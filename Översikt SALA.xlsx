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45657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45657</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45657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45657</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45657</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45657</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45657</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45657</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45657</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45657</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45657</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45657</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45657</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45657</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45657</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45657</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45657</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45657</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45657</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45657</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45657</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45657</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45657</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45657</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45657</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45657</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45657</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45657</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45657</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45657</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45657</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45657</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45657</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45657</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45657</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45657</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45657</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35213-2019</t>
        </is>
      </c>
      <c r="B39" s="1" t="n">
        <v>43662</v>
      </c>
      <c r="C39" s="1" t="n">
        <v>45657</v>
      </c>
      <c r="D39" t="inlineStr">
        <is>
          <t>VÄSTMANLANDS LÄN</t>
        </is>
      </c>
      <c r="E39" t="inlineStr">
        <is>
          <t>SALA</t>
        </is>
      </c>
      <c r="G39" t="n">
        <v>44.3</v>
      </c>
      <c r="H39" t="n">
        <v>1</v>
      </c>
      <c r="I39" t="n">
        <v>1</v>
      </c>
      <c r="J39" t="n">
        <v>1</v>
      </c>
      <c r="K39" t="n">
        <v>0</v>
      </c>
      <c r="L39" t="n">
        <v>0</v>
      </c>
      <c r="M39" t="n">
        <v>0</v>
      </c>
      <c r="N39" t="n">
        <v>0</v>
      </c>
      <c r="O39" t="n">
        <v>1</v>
      </c>
      <c r="P39" t="n">
        <v>0</v>
      </c>
      <c r="Q39" t="n">
        <v>2</v>
      </c>
      <c r="R39" s="2" t="inlineStr">
        <is>
          <t>Järpe
Mörk husmossa</t>
        </is>
      </c>
      <c r="S39">
        <f>HYPERLINK("https://klasma.github.io/Logging_1981/artfynd/A 35213-2019 artfynd.xlsx", "A 35213-2019")</f>
        <v/>
      </c>
      <c r="T39">
        <f>HYPERLINK("https://klasma.github.io/Logging_1981/kartor/A 35213-2019 karta.png", "A 35213-2019")</f>
        <v/>
      </c>
      <c r="U39">
        <f>HYPERLINK("https://klasma.github.io/Logging_1981/knärot/A 35213-2019 karta knärot.png", "A 35213-2019")</f>
        <v/>
      </c>
      <c r="V39">
        <f>HYPERLINK("https://klasma.github.io/Logging_1981/klagomål/A 35213-2019 FSC-klagomål.docx", "A 35213-2019")</f>
        <v/>
      </c>
      <c r="W39">
        <f>HYPERLINK("https://klasma.github.io/Logging_1981/klagomålsmail/A 35213-2019 FSC-klagomål mail.docx", "A 35213-2019")</f>
        <v/>
      </c>
      <c r="X39">
        <f>HYPERLINK("https://klasma.github.io/Logging_1981/tillsyn/A 35213-2019 tillsynsbegäran.docx", "A 35213-2019")</f>
        <v/>
      </c>
      <c r="Y39">
        <f>HYPERLINK("https://klasma.github.io/Logging_1981/tillsynsmail/A 35213-2019 tillsynsbegäran mail.docx", "A 35213-2019")</f>
        <v/>
      </c>
      <c r="Z39">
        <f>HYPERLINK("https://klasma.github.io/Logging_1981/fåglar/A 35213-2019 prioriterade fågelarter.docx", "A 35213-2019")</f>
        <v/>
      </c>
    </row>
    <row r="40" ht="15" customHeight="1">
      <c r="A40" t="inlineStr">
        <is>
          <t>A 39483-2019</t>
        </is>
      </c>
      <c r="B40" s="1" t="n">
        <v>43691</v>
      </c>
      <c r="C40" s="1" t="n">
        <v>45657</v>
      </c>
      <c r="D40" t="inlineStr">
        <is>
          <t>VÄSTMANLANDS LÄN</t>
        </is>
      </c>
      <c r="E40" t="inlineStr">
        <is>
          <t>SALA</t>
        </is>
      </c>
      <c r="G40" t="n">
        <v>4.6</v>
      </c>
      <c r="H40" t="n">
        <v>2</v>
      </c>
      <c r="I40" t="n">
        <v>0</v>
      </c>
      <c r="J40" t="n">
        <v>1</v>
      </c>
      <c r="K40" t="n">
        <v>0</v>
      </c>
      <c r="L40" t="n">
        <v>0</v>
      </c>
      <c r="M40" t="n">
        <v>0</v>
      </c>
      <c r="N40" t="n">
        <v>0</v>
      </c>
      <c r="O40" t="n">
        <v>1</v>
      </c>
      <c r="P40" t="n">
        <v>0</v>
      </c>
      <c r="Q40" t="n">
        <v>2</v>
      </c>
      <c r="R40" s="2" t="inlineStr">
        <is>
          <t>Nordfladdermus
Vattenfladdermus</t>
        </is>
      </c>
      <c r="S40">
        <f>HYPERLINK("https://klasma.github.io/Logging_1981/artfynd/A 39483-2019 artfynd.xlsx", "A 39483-2019")</f>
        <v/>
      </c>
      <c r="T40">
        <f>HYPERLINK("https://klasma.github.io/Logging_1981/kartor/A 39483-2019 karta.png", "A 39483-2019")</f>
        <v/>
      </c>
      <c r="V40">
        <f>HYPERLINK("https://klasma.github.io/Logging_1981/klagomål/A 39483-2019 FSC-klagomål.docx", "A 39483-2019")</f>
        <v/>
      </c>
      <c r="W40">
        <f>HYPERLINK("https://klasma.github.io/Logging_1981/klagomålsmail/A 39483-2019 FSC-klagomål mail.docx", "A 39483-2019")</f>
        <v/>
      </c>
      <c r="X40">
        <f>HYPERLINK("https://klasma.github.io/Logging_1981/tillsyn/A 39483-2019 tillsynsbegäran.docx", "A 39483-2019")</f>
        <v/>
      </c>
      <c r="Y40">
        <f>HYPERLINK("https://klasma.github.io/Logging_1981/tillsynsmail/A 39483-2019 tillsynsbegäran mail.docx", "A 39483-2019")</f>
        <v/>
      </c>
    </row>
    <row r="41" ht="15" customHeight="1">
      <c r="A41" t="inlineStr">
        <is>
          <t>A 59152-2019</t>
        </is>
      </c>
      <c r="B41" s="1" t="n">
        <v>43775</v>
      </c>
      <c r="C41" s="1" t="n">
        <v>45657</v>
      </c>
      <c r="D41" t="inlineStr">
        <is>
          <t>VÄSTMANLANDS LÄN</t>
        </is>
      </c>
      <c r="E41" t="inlineStr">
        <is>
          <t>SALA</t>
        </is>
      </c>
      <c r="F41" t="inlineStr">
        <is>
          <t>Övriga Aktiebolag</t>
        </is>
      </c>
      <c r="G41" t="n">
        <v>4.6</v>
      </c>
      <c r="H41" t="n">
        <v>0</v>
      </c>
      <c r="I41" t="n">
        <v>1</v>
      </c>
      <c r="J41" t="n">
        <v>1</v>
      </c>
      <c r="K41" t="n">
        <v>0</v>
      </c>
      <c r="L41" t="n">
        <v>0</v>
      </c>
      <c r="M41" t="n">
        <v>0</v>
      </c>
      <c r="N41" t="n">
        <v>0</v>
      </c>
      <c r="O41" t="n">
        <v>1</v>
      </c>
      <c r="P41" t="n">
        <v>0</v>
      </c>
      <c r="Q41" t="n">
        <v>2</v>
      </c>
      <c r="R41" s="2" t="inlineStr">
        <is>
          <t>Svart taggsvamp
Vedticka</t>
        </is>
      </c>
      <c r="S41">
        <f>HYPERLINK("https://klasma.github.io/Logging_1981/artfynd/A 59152-2019 artfynd.xlsx", "A 59152-2019")</f>
        <v/>
      </c>
      <c r="T41">
        <f>HYPERLINK("https://klasma.github.io/Logging_1981/kartor/A 59152-2019 karta.png", "A 59152-2019")</f>
        <v/>
      </c>
      <c r="V41">
        <f>HYPERLINK("https://klasma.github.io/Logging_1981/klagomål/A 59152-2019 FSC-klagomål.docx", "A 59152-2019")</f>
        <v/>
      </c>
      <c r="W41">
        <f>HYPERLINK("https://klasma.github.io/Logging_1981/klagomålsmail/A 59152-2019 FSC-klagomål mail.docx", "A 59152-2019")</f>
        <v/>
      </c>
      <c r="X41">
        <f>HYPERLINK("https://klasma.github.io/Logging_1981/tillsyn/A 59152-2019 tillsynsbegäran.docx", "A 59152-2019")</f>
        <v/>
      </c>
      <c r="Y41">
        <f>HYPERLINK("https://klasma.github.io/Logging_1981/tillsynsmail/A 59152-2019 tillsynsbegäran mail.docx", "A 59152-2019")</f>
        <v/>
      </c>
    </row>
    <row r="42" ht="15" customHeight="1">
      <c r="A42" t="inlineStr">
        <is>
          <t>A 32975-2020</t>
        </is>
      </c>
      <c r="B42" s="1" t="n">
        <v>44020</v>
      </c>
      <c r="C42" s="1" t="n">
        <v>45657</v>
      </c>
      <c r="D42" t="inlineStr">
        <is>
          <t>VÄSTMANLANDS LÄN</t>
        </is>
      </c>
      <c r="E42" t="inlineStr">
        <is>
          <t>SALA</t>
        </is>
      </c>
      <c r="G42" t="n">
        <v>10.1</v>
      </c>
      <c r="H42" t="n">
        <v>2</v>
      </c>
      <c r="I42" t="n">
        <v>0</v>
      </c>
      <c r="J42" t="n">
        <v>0</v>
      </c>
      <c r="K42" t="n">
        <v>1</v>
      </c>
      <c r="L42" t="n">
        <v>0</v>
      </c>
      <c r="M42" t="n">
        <v>0</v>
      </c>
      <c r="N42" t="n">
        <v>0</v>
      </c>
      <c r="O42" t="n">
        <v>1</v>
      </c>
      <c r="P42" t="n">
        <v>1</v>
      </c>
      <c r="Q42" t="n">
        <v>2</v>
      </c>
      <c r="R42" s="2" t="inlineStr">
        <is>
          <t>Knärot
Revlummer</t>
        </is>
      </c>
      <c r="S42">
        <f>HYPERLINK("https://klasma.github.io/Logging_1981/artfynd/A 32975-2020 artfynd.xlsx", "A 32975-2020")</f>
        <v/>
      </c>
      <c r="T42">
        <f>HYPERLINK("https://klasma.github.io/Logging_1981/kartor/A 32975-2020 karta.png", "A 32975-2020")</f>
        <v/>
      </c>
      <c r="U42">
        <f>HYPERLINK("https://klasma.github.io/Logging_1981/knärot/A 32975-2020 karta knärot.png", "A 32975-2020")</f>
        <v/>
      </c>
      <c r="V42">
        <f>HYPERLINK("https://klasma.github.io/Logging_1981/klagomål/A 32975-2020 FSC-klagomål.docx", "A 32975-2020")</f>
        <v/>
      </c>
      <c r="W42">
        <f>HYPERLINK("https://klasma.github.io/Logging_1981/klagomålsmail/A 32975-2020 FSC-klagomål mail.docx", "A 32975-2020")</f>
        <v/>
      </c>
      <c r="X42">
        <f>HYPERLINK("https://klasma.github.io/Logging_1981/tillsyn/A 32975-2020 tillsynsbegäran.docx", "A 32975-2020")</f>
        <v/>
      </c>
      <c r="Y42">
        <f>HYPERLINK("https://klasma.github.io/Logging_1981/tillsynsmail/A 32975-2020 tillsynsbegäran mail.docx", "A 32975-2020")</f>
        <v/>
      </c>
    </row>
    <row r="43" ht="15" customHeight="1">
      <c r="A43" t="inlineStr">
        <is>
          <t>A 54555-2021</t>
        </is>
      </c>
      <c r="B43" s="1" t="n">
        <v>44473</v>
      </c>
      <c r="C43" s="1" t="n">
        <v>45657</v>
      </c>
      <c r="D43" t="inlineStr">
        <is>
          <t>VÄSTMANLANDS LÄN</t>
        </is>
      </c>
      <c r="E43" t="inlineStr">
        <is>
          <t>SALA</t>
        </is>
      </c>
      <c r="G43" t="n">
        <v>13</v>
      </c>
      <c r="H43" t="n">
        <v>0</v>
      </c>
      <c r="I43" t="n">
        <v>1</v>
      </c>
      <c r="J43" t="n">
        <v>1</v>
      </c>
      <c r="K43" t="n">
        <v>0</v>
      </c>
      <c r="L43" t="n">
        <v>0</v>
      </c>
      <c r="M43" t="n">
        <v>0</v>
      </c>
      <c r="N43" t="n">
        <v>0</v>
      </c>
      <c r="O43" t="n">
        <v>1</v>
      </c>
      <c r="P43" t="n">
        <v>0</v>
      </c>
      <c r="Q43" t="n">
        <v>2</v>
      </c>
      <c r="R43" s="2" t="inlineStr">
        <is>
          <t>Storgröe
Stubbspretmossa</t>
        </is>
      </c>
      <c r="S43">
        <f>HYPERLINK("https://klasma.github.io/Logging_1981/artfynd/A 54555-2021 artfynd.xlsx", "A 54555-2021")</f>
        <v/>
      </c>
      <c r="T43">
        <f>HYPERLINK("https://klasma.github.io/Logging_1981/kartor/A 54555-2021 karta.png", "A 54555-2021")</f>
        <v/>
      </c>
      <c r="V43">
        <f>HYPERLINK("https://klasma.github.io/Logging_1981/klagomål/A 54555-2021 FSC-klagomål.docx", "A 54555-2021")</f>
        <v/>
      </c>
      <c r="W43">
        <f>HYPERLINK("https://klasma.github.io/Logging_1981/klagomålsmail/A 54555-2021 FSC-klagomål mail.docx", "A 54555-2021")</f>
        <v/>
      </c>
      <c r="X43">
        <f>HYPERLINK("https://klasma.github.io/Logging_1981/tillsyn/A 54555-2021 tillsynsbegäran.docx", "A 54555-2021")</f>
        <v/>
      </c>
      <c r="Y43">
        <f>HYPERLINK("https://klasma.github.io/Logging_1981/tillsynsmail/A 54555-2021 tillsynsbegäran mail.docx", "A 54555-2021")</f>
        <v/>
      </c>
    </row>
    <row r="44" ht="15" customHeight="1">
      <c r="A44" t="inlineStr">
        <is>
          <t>A 73598-2021</t>
        </is>
      </c>
      <c r="B44" s="1" t="n">
        <v>44552</v>
      </c>
      <c r="C44" s="1" t="n">
        <v>45657</v>
      </c>
      <c r="D44" t="inlineStr">
        <is>
          <t>VÄSTMANLANDS LÄN</t>
        </is>
      </c>
      <c r="E44" t="inlineStr">
        <is>
          <t>SALA</t>
        </is>
      </c>
      <c r="G44" t="n">
        <v>1.3</v>
      </c>
      <c r="H44" t="n">
        <v>1</v>
      </c>
      <c r="I44" t="n">
        <v>1</v>
      </c>
      <c r="J44" t="n">
        <v>0</v>
      </c>
      <c r="K44" t="n">
        <v>0</v>
      </c>
      <c r="L44" t="n">
        <v>0</v>
      </c>
      <c r="M44" t="n">
        <v>0</v>
      </c>
      <c r="N44" t="n">
        <v>0</v>
      </c>
      <c r="O44" t="n">
        <v>0</v>
      </c>
      <c r="P44" t="n">
        <v>0</v>
      </c>
      <c r="Q44" t="n">
        <v>2</v>
      </c>
      <c r="R44" s="2" t="inlineStr">
        <is>
          <t>Kryddspindling
Blåsippa</t>
        </is>
      </c>
      <c r="S44">
        <f>HYPERLINK("https://klasma.github.io/Logging_1981/artfynd/A 73598-2021 artfynd.xlsx", "A 73598-2021")</f>
        <v/>
      </c>
      <c r="T44">
        <f>HYPERLINK("https://klasma.github.io/Logging_1981/kartor/A 73598-2021 karta.png", "A 73598-2021")</f>
        <v/>
      </c>
      <c r="V44">
        <f>HYPERLINK("https://klasma.github.io/Logging_1981/klagomål/A 73598-2021 FSC-klagomål.docx", "A 73598-2021")</f>
        <v/>
      </c>
      <c r="W44">
        <f>HYPERLINK("https://klasma.github.io/Logging_1981/klagomålsmail/A 73598-2021 FSC-klagomål mail.docx", "A 73598-2021")</f>
        <v/>
      </c>
      <c r="X44">
        <f>HYPERLINK("https://klasma.github.io/Logging_1981/tillsyn/A 73598-2021 tillsynsbegäran.docx", "A 73598-2021")</f>
        <v/>
      </c>
      <c r="Y44">
        <f>HYPERLINK("https://klasma.github.io/Logging_1981/tillsynsmail/A 73598-2021 tillsynsbegäran mail.docx", "A 73598-2021")</f>
        <v/>
      </c>
    </row>
    <row r="45" ht="15" customHeight="1">
      <c r="A45" t="inlineStr">
        <is>
          <t>A 1500-2022</t>
        </is>
      </c>
      <c r="B45" s="1" t="n">
        <v>44573</v>
      </c>
      <c r="C45" s="1" t="n">
        <v>45657</v>
      </c>
      <c r="D45" t="inlineStr">
        <is>
          <t>VÄSTMANLANDS LÄN</t>
        </is>
      </c>
      <c r="E45" t="inlineStr">
        <is>
          <t>SALA</t>
        </is>
      </c>
      <c r="G45" t="n">
        <v>5.8</v>
      </c>
      <c r="H45" t="n">
        <v>2</v>
      </c>
      <c r="I45" t="n">
        <v>0</v>
      </c>
      <c r="J45" t="n">
        <v>0</v>
      </c>
      <c r="K45" t="n">
        <v>1</v>
      </c>
      <c r="L45" t="n">
        <v>0</v>
      </c>
      <c r="M45" t="n">
        <v>0</v>
      </c>
      <c r="N45" t="n">
        <v>0</v>
      </c>
      <c r="O45" t="n">
        <v>1</v>
      </c>
      <c r="P45" t="n">
        <v>1</v>
      </c>
      <c r="Q45" t="n">
        <v>2</v>
      </c>
      <c r="R45" s="2" t="inlineStr">
        <is>
          <t>Knärot
Revlummer</t>
        </is>
      </c>
      <c r="S45">
        <f>HYPERLINK("https://klasma.github.io/Logging_1981/artfynd/A 1500-2022 artfynd.xlsx", "A 1500-2022")</f>
        <v/>
      </c>
      <c r="T45">
        <f>HYPERLINK("https://klasma.github.io/Logging_1981/kartor/A 1500-2022 karta.png", "A 1500-2022")</f>
        <v/>
      </c>
      <c r="U45">
        <f>HYPERLINK("https://klasma.github.io/Logging_1981/knärot/A 1500-2022 karta knärot.png", "A 1500-2022")</f>
        <v/>
      </c>
      <c r="V45">
        <f>HYPERLINK("https://klasma.github.io/Logging_1981/klagomål/A 1500-2022 FSC-klagomål.docx", "A 1500-2022")</f>
        <v/>
      </c>
      <c r="W45">
        <f>HYPERLINK("https://klasma.github.io/Logging_1981/klagomålsmail/A 1500-2022 FSC-klagomål mail.docx", "A 1500-2022")</f>
        <v/>
      </c>
      <c r="X45">
        <f>HYPERLINK("https://klasma.github.io/Logging_1981/tillsyn/A 1500-2022 tillsynsbegäran.docx", "A 1500-2022")</f>
        <v/>
      </c>
      <c r="Y45">
        <f>HYPERLINK("https://klasma.github.io/Logging_1981/tillsynsmail/A 1500-2022 tillsynsbegäran mail.docx", "A 1500-2022")</f>
        <v/>
      </c>
    </row>
    <row r="46" ht="15" customHeight="1">
      <c r="A46" t="inlineStr">
        <is>
          <t>A 40042-2022</t>
        </is>
      </c>
      <c r="B46" s="1" t="n">
        <v>44819</v>
      </c>
      <c r="C46" s="1" t="n">
        <v>45657</v>
      </c>
      <c r="D46" t="inlineStr">
        <is>
          <t>VÄSTMANLANDS LÄN</t>
        </is>
      </c>
      <c r="E46" t="inlineStr">
        <is>
          <t>SALA</t>
        </is>
      </c>
      <c r="G46" t="n">
        <v>1.7</v>
      </c>
      <c r="H46" t="n">
        <v>2</v>
      </c>
      <c r="I46" t="n">
        <v>0</v>
      </c>
      <c r="J46" t="n">
        <v>0</v>
      </c>
      <c r="K46" t="n">
        <v>1</v>
      </c>
      <c r="L46" t="n">
        <v>0</v>
      </c>
      <c r="M46" t="n">
        <v>0</v>
      </c>
      <c r="N46" t="n">
        <v>0</v>
      </c>
      <c r="O46" t="n">
        <v>1</v>
      </c>
      <c r="P46" t="n">
        <v>1</v>
      </c>
      <c r="Q46" t="n">
        <v>2</v>
      </c>
      <c r="R46" s="2" t="inlineStr">
        <is>
          <t>Knärot
Revlummer</t>
        </is>
      </c>
      <c r="S46">
        <f>HYPERLINK("https://klasma.github.io/Logging_1981/artfynd/A 40042-2022 artfynd.xlsx", "A 40042-2022")</f>
        <v/>
      </c>
      <c r="T46">
        <f>HYPERLINK("https://klasma.github.io/Logging_1981/kartor/A 40042-2022 karta.png", "A 40042-2022")</f>
        <v/>
      </c>
      <c r="U46">
        <f>HYPERLINK("https://klasma.github.io/Logging_1981/knärot/A 40042-2022 karta knärot.png", "A 40042-2022")</f>
        <v/>
      </c>
      <c r="V46">
        <f>HYPERLINK("https://klasma.github.io/Logging_1981/klagomål/A 40042-2022 FSC-klagomål.docx", "A 40042-2022")</f>
        <v/>
      </c>
      <c r="W46">
        <f>HYPERLINK("https://klasma.github.io/Logging_1981/klagomålsmail/A 40042-2022 FSC-klagomål mail.docx", "A 40042-2022")</f>
        <v/>
      </c>
      <c r="X46">
        <f>HYPERLINK("https://klasma.github.io/Logging_1981/tillsyn/A 40042-2022 tillsynsbegäran.docx", "A 40042-2022")</f>
        <v/>
      </c>
      <c r="Y46">
        <f>HYPERLINK("https://klasma.github.io/Logging_1981/tillsynsmail/A 40042-2022 tillsynsbegäran mail.docx", "A 40042-2022")</f>
        <v/>
      </c>
    </row>
    <row r="47" ht="15" customHeight="1">
      <c r="A47" t="inlineStr">
        <is>
          <t>A 52909-2022</t>
        </is>
      </c>
      <c r="B47" s="1" t="n">
        <v>44875</v>
      </c>
      <c r="C47" s="1" t="n">
        <v>45657</v>
      </c>
      <c r="D47" t="inlineStr">
        <is>
          <t>VÄSTMANLANDS LÄN</t>
        </is>
      </c>
      <c r="E47" t="inlineStr">
        <is>
          <t>SALA</t>
        </is>
      </c>
      <c r="G47" t="n">
        <v>0.5</v>
      </c>
      <c r="H47" t="n">
        <v>1</v>
      </c>
      <c r="I47" t="n">
        <v>0</v>
      </c>
      <c r="J47" t="n">
        <v>1</v>
      </c>
      <c r="K47" t="n">
        <v>0</v>
      </c>
      <c r="L47" t="n">
        <v>0</v>
      </c>
      <c r="M47" t="n">
        <v>0</v>
      </c>
      <c r="N47" t="n">
        <v>0</v>
      </c>
      <c r="O47" t="n">
        <v>1</v>
      </c>
      <c r="P47" t="n">
        <v>0</v>
      </c>
      <c r="Q47" t="n">
        <v>2</v>
      </c>
      <c r="R47" s="2" t="inlineStr">
        <is>
          <t>Svinrot
Nattviol</t>
        </is>
      </c>
      <c r="S47">
        <f>HYPERLINK("https://klasma.github.io/Logging_1981/artfynd/A 52909-2022 artfynd.xlsx", "A 52909-2022")</f>
        <v/>
      </c>
      <c r="T47">
        <f>HYPERLINK("https://klasma.github.io/Logging_1981/kartor/A 52909-2022 karta.png", "A 52909-2022")</f>
        <v/>
      </c>
      <c r="V47">
        <f>HYPERLINK("https://klasma.github.io/Logging_1981/klagomål/A 52909-2022 FSC-klagomål.docx", "A 52909-2022")</f>
        <v/>
      </c>
      <c r="W47">
        <f>HYPERLINK("https://klasma.github.io/Logging_1981/klagomålsmail/A 52909-2022 FSC-klagomål mail.docx", "A 52909-2022")</f>
        <v/>
      </c>
      <c r="X47">
        <f>HYPERLINK("https://klasma.github.io/Logging_1981/tillsyn/A 52909-2022 tillsynsbegäran.docx", "A 52909-2022")</f>
        <v/>
      </c>
      <c r="Y47">
        <f>HYPERLINK("https://klasma.github.io/Logging_1981/tillsynsmail/A 52909-2022 tillsynsbegäran mail.docx", "A 52909-2022")</f>
        <v/>
      </c>
    </row>
    <row r="48" ht="15" customHeight="1">
      <c r="A48" t="inlineStr">
        <is>
          <t>A 7747-2023</t>
        </is>
      </c>
      <c r="B48" s="1" t="n">
        <v>44973</v>
      </c>
      <c r="C48" s="1" t="n">
        <v>45657</v>
      </c>
      <c r="D48" t="inlineStr">
        <is>
          <t>VÄSTMANLANDS LÄN</t>
        </is>
      </c>
      <c r="E48" t="inlineStr">
        <is>
          <t>SALA</t>
        </is>
      </c>
      <c r="F48" t="inlineStr">
        <is>
          <t>Övriga Aktiebolag</t>
        </is>
      </c>
      <c r="G48" t="n">
        <v>3.1</v>
      </c>
      <c r="H48" t="n">
        <v>1</v>
      </c>
      <c r="I48" t="n">
        <v>0</v>
      </c>
      <c r="J48" t="n">
        <v>2</v>
      </c>
      <c r="K48" t="n">
        <v>0</v>
      </c>
      <c r="L48" t="n">
        <v>0</v>
      </c>
      <c r="M48" t="n">
        <v>0</v>
      </c>
      <c r="N48" t="n">
        <v>0</v>
      </c>
      <c r="O48" t="n">
        <v>2</v>
      </c>
      <c r="P48" t="n">
        <v>0</v>
      </c>
      <c r="Q48" t="n">
        <v>2</v>
      </c>
      <c r="R48" s="2" t="inlineStr">
        <is>
          <t>Mindre timmerman
Talltita</t>
        </is>
      </c>
      <c r="S48">
        <f>HYPERLINK("https://klasma.github.io/Logging_1981/artfynd/A 7747-2023 artfynd.xlsx", "A 7747-2023")</f>
        <v/>
      </c>
      <c r="T48">
        <f>HYPERLINK("https://klasma.github.io/Logging_1981/kartor/A 7747-2023 karta.png", "A 7747-2023")</f>
        <v/>
      </c>
      <c r="V48">
        <f>HYPERLINK("https://klasma.github.io/Logging_1981/klagomål/A 7747-2023 FSC-klagomål.docx", "A 7747-2023")</f>
        <v/>
      </c>
      <c r="W48">
        <f>HYPERLINK("https://klasma.github.io/Logging_1981/klagomålsmail/A 7747-2023 FSC-klagomål mail.docx", "A 7747-2023")</f>
        <v/>
      </c>
      <c r="X48">
        <f>HYPERLINK("https://klasma.github.io/Logging_1981/tillsyn/A 7747-2023 tillsynsbegäran.docx", "A 7747-2023")</f>
        <v/>
      </c>
      <c r="Y48">
        <f>HYPERLINK("https://klasma.github.io/Logging_1981/tillsynsmail/A 7747-2023 tillsynsbegäran mail.docx", "A 7747-2023")</f>
        <v/>
      </c>
      <c r="Z48">
        <f>HYPERLINK("https://klasma.github.io/Logging_1981/fåglar/A 7747-2023 prioriterade fågelarter.docx", "A 7747-2023")</f>
        <v/>
      </c>
    </row>
    <row r="49" ht="15" customHeight="1">
      <c r="A49" t="inlineStr">
        <is>
          <t>A 13029-2023</t>
        </is>
      </c>
      <c r="B49" s="1" t="n">
        <v>45001</v>
      </c>
      <c r="C49" s="1" t="n">
        <v>45657</v>
      </c>
      <c r="D49" t="inlineStr">
        <is>
          <t>VÄSTMANLANDS LÄN</t>
        </is>
      </c>
      <c r="E49" t="inlineStr">
        <is>
          <t>SALA</t>
        </is>
      </c>
      <c r="G49" t="n">
        <v>2</v>
      </c>
      <c r="H49" t="n">
        <v>0</v>
      </c>
      <c r="I49" t="n">
        <v>0</v>
      </c>
      <c r="J49" t="n">
        <v>2</v>
      </c>
      <c r="K49" t="n">
        <v>0</v>
      </c>
      <c r="L49" t="n">
        <v>0</v>
      </c>
      <c r="M49" t="n">
        <v>0</v>
      </c>
      <c r="N49" t="n">
        <v>0</v>
      </c>
      <c r="O49" t="n">
        <v>2</v>
      </c>
      <c r="P49" t="n">
        <v>0</v>
      </c>
      <c r="Q49" t="n">
        <v>2</v>
      </c>
      <c r="R49" s="2" t="inlineStr">
        <is>
          <t>Krusfrö
Linmåra/småsnärjmåra</t>
        </is>
      </c>
      <c r="S49">
        <f>HYPERLINK("https://klasma.github.io/Logging_1981/artfynd/A 13029-2023 artfynd.xlsx", "A 13029-2023")</f>
        <v/>
      </c>
      <c r="T49">
        <f>HYPERLINK("https://klasma.github.io/Logging_1981/kartor/A 13029-2023 karta.png", "A 13029-2023")</f>
        <v/>
      </c>
      <c r="V49">
        <f>HYPERLINK("https://klasma.github.io/Logging_1981/klagomål/A 13029-2023 FSC-klagomål.docx", "A 13029-2023")</f>
        <v/>
      </c>
      <c r="W49">
        <f>HYPERLINK("https://klasma.github.io/Logging_1981/klagomålsmail/A 13029-2023 FSC-klagomål mail.docx", "A 13029-2023")</f>
        <v/>
      </c>
      <c r="X49">
        <f>HYPERLINK("https://klasma.github.io/Logging_1981/tillsyn/A 13029-2023 tillsynsbegäran.docx", "A 13029-2023")</f>
        <v/>
      </c>
      <c r="Y49">
        <f>HYPERLINK("https://klasma.github.io/Logging_1981/tillsynsmail/A 13029-2023 tillsynsbegäran mail.docx", "A 13029-2023")</f>
        <v/>
      </c>
    </row>
    <row r="50" ht="15" customHeight="1">
      <c r="A50" t="inlineStr">
        <is>
          <t>A 34752-2023</t>
        </is>
      </c>
      <c r="B50" s="1" t="n">
        <v>45141</v>
      </c>
      <c r="C50" s="1" t="n">
        <v>45657</v>
      </c>
      <c r="D50" t="inlineStr">
        <is>
          <t>VÄSTMANLANDS LÄN</t>
        </is>
      </c>
      <c r="E50" t="inlineStr">
        <is>
          <t>SALA</t>
        </is>
      </c>
      <c r="G50" t="n">
        <v>4.9</v>
      </c>
      <c r="H50" t="n">
        <v>1</v>
      </c>
      <c r="I50" t="n">
        <v>0</v>
      </c>
      <c r="J50" t="n">
        <v>0</v>
      </c>
      <c r="K50" t="n">
        <v>2</v>
      </c>
      <c r="L50" t="n">
        <v>0</v>
      </c>
      <c r="M50" t="n">
        <v>0</v>
      </c>
      <c r="N50" t="n">
        <v>0</v>
      </c>
      <c r="O50" t="n">
        <v>2</v>
      </c>
      <c r="P50" t="n">
        <v>2</v>
      </c>
      <c r="Q50" t="n">
        <v>2</v>
      </c>
      <c r="R50" s="2" t="inlineStr">
        <is>
          <t>Knärot
Sprickporing</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row>
    <row r="51" ht="15" customHeight="1">
      <c r="A51" t="inlineStr">
        <is>
          <t>A 59780-2023</t>
        </is>
      </c>
      <c r="B51" s="1" t="n">
        <v>45257</v>
      </c>
      <c r="C51" s="1" t="n">
        <v>45657</v>
      </c>
      <c r="D51" t="inlineStr">
        <is>
          <t>VÄSTMANLANDS LÄN</t>
        </is>
      </c>
      <c r="E51" t="inlineStr">
        <is>
          <t>SALA</t>
        </is>
      </c>
      <c r="G51" t="n">
        <v>5.9</v>
      </c>
      <c r="H51" t="n">
        <v>1</v>
      </c>
      <c r="I51" t="n">
        <v>0</v>
      </c>
      <c r="J51" t="n">
        <v>1</v>
      </c>
      <c r="K51" t="n">
        <v>1</v>
      </c>
      <c r="L51" t="n">
        <v>0</v>
      </c>
      <c r="M51" t="n">
        <v>0</v>
      </c>
      <c r="N51" t="n">
        <v>0</v>
      </c>
      <c r="O51" t="n">
        <v>2</v>
      </c>
      <c r="P51" t="n">
        <v>1</v>
      </c>
      <c r="Q51" t="n">
        <v>2</v>
      </c>
      <c r="R51" s="2" t="inlineStr">
        <is>
          <t>Knärot
Vedtrappmossa</t>
        </is>
      </c>
      <c r="S51">
        <f>HYPERLINK("https://klasma.github.io/Logging_1981/artfynd/A 59780-2023 artfynd.xlsx", "A 59780-2023")</f>
        <v/>
      </c>
      <c r="T51">
        <f>HYPERLINK("https://klasma.github.io/Logging_1981/kartor/A 59780-2023 karta.png", "A 59780-2023")</f>
        <v/>
      </c>
      <c r="U51">
        <f>HYPERLINK("https://klasma.github.io/Logging_1981/knärot/A 59780-2023 karta knärot.png", "A 59780-2023")</f>
        <v/>
      </c>
      <c r="V51">
        <f>HYPERLINK("https://klasma.github.io/Logging_1981/klagomål/A 59780-2023 FSC-klagomål.docx", "A 59780-2023")</f>
        <v/>
      </c>
      <c r="W51">
        <f>HYPERLINK("https://klasma.github.io/Logging_1981/klagomålsmail/A 59780-2023 FSC-klagomål mail.docx", "A 59780-2023")</f>
        <v/>
      </c>
      <c r="X51">
        <f>HYPERLINK("https://klasma.github.io/Logging_1981/tillsyn/A 59780-2023 tillsynsbegäran.docx", "A 59780-2023")</f>
        <v/>
      </c>
      <c r="Y51">
        <f>HYPERLINK("https://klasma.github.io/Logging_1981/tillsynsmail/A 59780-2023 tillsynsbegäran mail.docx", "A 59780-2023")</f>
        <v/>
      </c>
    </row>
    <row r="52" ht="15" customHeight="1">
      <c r="A52" t="inlineStr">
        <is>
          <t>A 4261-2024</t>
        </is>
      </c>
      <c r="B52" s="1" t="n">
        <v>45324</v>
      </c>
      <c r="C52" s="1" t="n">
        <v>45657</v>
      </c>
      <c r="D52" t="inlineStr">
        <is>
          <t>VÄSTMANLANDS LÄN</t>
        </is>
      </c>
      <c r="E52" t="inlineStr">
        <is>
          <t>SALA</t>
        </is>
      </c>
      <c r="G52" t="n">
        <v>5.7</v>
      </c>
      <c r="H52" t="n">
        <v>0</v>
      </c>
      <c r="I52" t="n">
        <v>1</v>
      </c>
      <c r="J52" t="n">
        <v>1</v>
      </c>
      <c r="K52" t="n">
        <v>0</v>
      </c>
      <c r="L52" t="n">
        <v>0</v>
      </c>
      <c r="M52" t="n">
        <v>0</v>
      </c>
      <c r="N52" t="n">
        <v>0</v>
      </c>
      <c r="O52" t="n">
        <v>1</v>
      </c>
      <c r="P52" t="n">
        <v>0</v>
      </c>
      <c r="Q52" t="n">
        <v>2</v>
      </c>
      <c r="R52" s="2" t="inlineStr">
        <is>
          <t>Ullticka
Västlig hakmossa</t>
        </is>
      </c>
      <c r="S52">
        <f>HYPERLINK("https://klasma.github.io/Logging_1981/artfynd/A 4261-2024 artfynd.xlsx", "A 4261-2024")</f>
        <v/>
      </c>
      <c r="T52">
        <f>HYPERLINK("https://klasma.github.io/Logging_1981/kartor/A 4261-2024 karta.png", "A 4261-2024")</f>
        <v/>
      </c>
      <c r="V52">
        <f>HYPERLINK("https://klasma.github.io/Logging_1981/klagomål/A 4261-2024 FSC-klagomål.docx", "A 4261-2024")</f>
        <v/>
      </c>
      <c r="W52">
        <f>HYPERLINK("https://klasma.github.io/Logging_1981/klagomålsmail/A 4261-2024 FSC-klagomål mail.docx", "A 4261-2024")</f>
        <v/>
      </c>
      <c r="X52">
        <f>HYPERLINK("https://klasma.github.io/Logging_1981/tillsyn/A 4261-2024 tillsynsbegäran.docx", "A 4261-2024")</f>
        <v/>
      </c>
      <c r="Y52">
        <f>HYPERLINK("https://klasma.github.io/Logging_1981/tillsynsmail/A 4261-2024 tillsynsbegäran mail.docx", "A 4261-2024")</f>
        <v/>
      </c>
    </row>
    <row r="53" ht="15" customHeight="1">
      <c r="A53" t="inlineStr">
        <is>
          <t>A 9921-2024</t>
        </is>
      </c>
      <c r="B53" s="1" t="n">
        <v>45363</v>
      </c>
      <c r="C53" s="1" t="n">
        <v>45657</v>
      </c>
      <c r="D53" t="inlineStr">
        <is>
          <t>VÄSTMANLANDS LÄN</t>
        </is>
      </c>
      <c r="E53" t="inlineStr">
        <is>
          <t>SALA</t>
        </is>
      </c>
      <c r="G53" t="n">
        <v>5.6</v>
      </c>
      <c r="H53" t="n">
        <v>0</v>
      </c>
      <c r="I53" t="n">
        <v>1</v>
      </c>
      <c r="J53" t="n">
        <v>1</v>
      </c>
      <c r="K53" t="n">
        <v>0</v>
      </c>
      <c r="L53" t="n">
        <v>0</v>
      </c>
      <c r="M53" t="n">
        <v>0</v>
      </c>
      <c r="N53" t="n">
        <v>0</v>
      </c>
      <c r="O53" t="n">
        <v>1</v>
      </c>
      <c r="P53" t="n">
        <v>0</v>
      </c>
      <c r="Q53" t="n">
        <v>2</v>
      </c>
      <c r="R53" s="2" t="inlineStr">
        <is>
          <t>Leptoporus erubescens
Vedticka</t>
        </is>
      </c>
      <c r="S53">
        <f>HYPERLINK("https://klasma.github.io/Logging_1981/artfynd/A 9921-2024 artfynd.xlsx", "A 9921-2024")</f>
        <v/>
      </c>
      <c r="T53">
        <f>HYPERLINK("https://klasma.github.io/Logging_1981/kartor/A 9921-2024 karta.png", "A 9921-2024")</f>
        <v/>
      </c>
      <c r="U53">
        <f>HYPERLINK("https://klasma.github.io/Logging_1981/knärot/A 9921-2024 karta knärot.png", "A 9921-2024")</f>
        <v/>
      </c>
      <c r="V53">
        <f>HYPERLINK("https://klasma.github.io/Logging_1981/klagomål/A 9921-2024 FSC-klagomål.docx", "A 9921-2024")</f>
        <v/>
      </c>
      <c r="W53">
        <f>HYPERLINK("https://klasma.github.io/Logging_1981/klagomålsmail/A 9921-2024 FSC-klagomål mail.docx", "A 9921-2024")</f>
        <v/>
      </c>
      <c r="X53">
        <f>HYPERLINK("https://klasma.github.io/Logging_1981/tillsyn/A 9921-2024 tillsynsbegäran.docx", "A 9921-2024")</f>
        <v/>
      </c>
      <c r="Y53">
        <f>HYPERLINK("https://klasma.github.io/Logging_1981/tillsynsmail/A 9921-2024 tillsynsbegäran mail.docx", "A 9921-2024")</f>
        <v/>
      </c>
    </row>
    <row r="54" ht="15" customHeight="1">
      <c r="A54" t="inlineStr">
        <is>
          <t>A 10552-2024</t>
        </is>
      </c>
      <c r="B54" s="1" t="n">
        <v>45366</v>
      </c>
      <c r="C54" s="1" t="n">
        <v>45657</v>
      </c>
      <c r="D54" t="inlineStr">
        <is>
          <t>VÄSTMANLANDS LÄN</t>
        </is>
      </c>
      <c r="E54" t="inlineStr">
        <is>
          <t>SALA</t>
        </is>
      </c>
      <c r="G54" t="n">
        <v>6.5</v>
      </c>
      <c r="H54" t="n">
        <v>2</v>
      </c>
      <c r="I54" t="n">
        <v>1</v>
      </c>
      <c r="J54" t="n">
        <v>0</v>
      </c>
      <c r="K54" t="n">
        <v>0</v>
      </c>
      <c r="L54" t="n">
        <v>0</v>
      </c>
      <c r="M54" t="n">
        <v>0</v>
      </c>
      <c r="N54" t="n">
        <v>0</v>
      </c>
      <c r="O54" t="n">
        <v>0</v>
      </c>
      <c r="P54" t="n">
        <v>0</v>
      </c>
      <c r="Q54" t="n">
        <v>2</v>
      </c>
      <c r="R54" s="2" t="inlineStr">
        <is>
          <t>Plattlummer
Fläcknycklar</t>
        </is>
      </c>
      <c r="S54">
        <f>HYPERLINK("https://klasma.github.io/Logging_1981/artfynd/A 10552-2024 artfynd.xlsx", "A 10552-2024")</f>
        <v/>
      </c>
      <c r="T54">
        <f>HYPERLINK("https://klasma.github.io/Logging_1981/kartor/A 10552-2024 karta.png", "A 10552-2024")</f>
        <v/>
      </c>
      <c r="V54">
        <f>HYPERLINK("https://klasma.github.io/Logging_1981/klagomål/A 10552-2024 FSC-klagomål.docx", "A 10552-2024")</f>
        <v/>
      </c>
      <c r="W54">
        <f>HYPERLINK("https://klasma.github.io/Logging_1981/klagomålsmail/A 10552-2024 FSC-klagomål mail.docx", "A 10552-2024")</f>
        <v/>
      </c>
      <c r="X54">
        <f>HYPERLINK("https://klasma.github.io/Logging_1981/tillsyn/A 10552-2024 tillsynsbegäran.docx", "A 10552-2024")</f>
        <v/>
      </c>
      <c r="Y54">
        <f>HYPERLINK("https://klasma.github.io/Logging_1981/tillsynsmail/A 10552-2024 tillsynsbegäran mail.docx", "A 10552-2024")</f>
        <v/>
      </c>
    </row>
    <row r="55" ht="15" customHeight="1">
      <c r="A55" t="inlineStr">
        <is>
          <t>A 11846-2024</t>
        </is>
      </c>
      <c r="B55" s="1" t="n">
        <v>45376</v>
      </c>
      <c r="C55" s="1" t="n">
        <v>45657</v>
      </c>
      <c r="D55" t="inlineStr">
        <is>
          <t>VÄSTMANLANDS LÄN</t>
        </is>
      </c>
      <c r="E55" t="inlineStr">
        <is>
          <t>SALA</t>
        </is>
      </c>
      <c r="G55" t="n">
        <v>8</v>
      </c>
      <c r="H55" t="n">
        <v>0</v>
      </c>
      <c r="I55" t="n">
        <v>2</v>
      </c>
      <c r="J55" t="n">
        <v>0</v>
      </c>
      <c r="K55" t="n">
        <v>0</v>
      </c>
      <c r="L55" t="n">
        <v>0</v>
      </c>
      <c r="M55" t="n">
        <v>0</v>
      </c>
      <c r="N55" t="n">
        <v>0</v>
      </c>
      <c r="O55" t="n">
        <v>0</v>
      </c>
      <c r="P55" t="n">
        <v>0</v>
      </c>
      <c r="Q55" t="n">
        <v>2</v>
      </c>
      <c r="R55" s="2" t="inlineStr">
        <is>
          <t>Bronshjon
Vågbandad barkbock</t>
        </is>
      </c>
      <c r="S55">
        <f>HYPERLINK("https://klasma.github.io/Logging_1981/artfynd/A 11846-2024 artfynd.xlsx", "A 11846-2024")</f>
        <v/>
      </c>
      <c r="T55">
        <f>HYPERLINK("https://klasma.github.io/Logging_1981/kartor/A 11846-2024 karta.png", "A 11846-2024")</f>
        <v/>
      </c>
      <c r="V55">
        <f>HYPERLINK("https://klasma.github.io/Logging_1981/klagomål/A 11846-2024 FSC-klagomål.docx", "A 11846-2024")</f>
        <v/>
      </c>
      <c r="W55">
        <f>HYPERLINK("https://klasma.github.io/Logging_1981/klagomålsmail/A 11846-2024 FSC-klagomål mail.docx", "A 11846-2024")</f>
        <v/>
      </c>
      <c r="X55">
        <f>HYPERLINK("https://klasma.github.io/Logging_1981/tillsyn/A 11846-2024 tillsynsbegäran.docx", "A 11846-2024")</f>
        <v/>
      </c>
      <c r="Y55">
        <f>HYPERLINK("https://klasma.github.io/Logging_1981/tillsynsmail/A 11846-2024 tillsynsbegäran mail.docx", "A 11846-2024")</f>
        <v/>
      </c>
    </row>
    <row r="56" ht="15" customHeight="1">
      <c r="A56" t="inlineStr">
        <is>
          <t>A 12444-2024</t>
        </is>
      </c>
      <c r="B56" s="1" t="n">
        <v>45379</v>
      </c>
      <c r="C56" s="1" t="n">
        <v>45657</v>
      </c>
      <c r="D56" t="inlineStr">
        <is>
          <t>VÄSTMANLANDS LÄN</t>
        </is>
      </c>
      <c r="E56" t="inlineStr">
        <is>
          <t>SALA</t>
        </is>
      </c>
      <c r="G56" t="n">
        <v>5.5</v>
      </c>
      <c r="H56" t="n">
        <v>0</v>
      </c>
      <c r="I56" t="n">
        <v>1</v>
      </c>
      <c r="J56" t="n">
        <v>1</v>
      </c>
      <c r="K56" t="n">
        <v>0</v>
      </c>
      <c r="L56" t="n">
        <v>0</v>
      </c>
      <c r="M56" t="n">
        <v>0</v>
      </c>
      <c r="N56" t="n">
        <v>0</v>
      </c>
      <c r="O56" t="n">
        <v>1</v>
      </c>
      <c r="P56" t="n">
        <v>0</v>
      </c>
      <c r="Q56" t="n">
        <v>2</v>
      </c>
      <c r="R56" s="2" t="inlineStr">
        <is>
          <t>Ullticka
Stuplav</t>
        </is>
      </c>
      <c r="S56">
        <f>HYPERLINK("https://klasma.github.io/Logging_1981/artfynd/A 12444-2024 artfynd.xlsx", "A 12444-2024")</f>
        <v/>
      </c>
      <c r="T56">
        <f>HYPERLINK("https://klasma.github.io/Logging_1981/kartor/A 12444-2024 karta.png", "A 12444-2024")</f>
        <v/>
      </c>
      <c r="U56">
        <f>HYPERLINK("https://klasma.github.io/Logging_1981/knärot/A 12444-2024 karta knärot.png", "A 12444-2024")</f>
        <v/>
      </c>
      <c r="V56">
        <f>HYPERLINK("https://klasma.github.io/Logging_1981/klagomål/A 12444-2024 FSC-klagomål.docx", "A 12444-2024")</f>
        <v/>
      </c>
      <c r="W56">
        <f>HYPERLINK("https://klasma.github.io/Logging_1981/klagomålsmail/A 12444-2024 FSC-klagomål mail.docx", "A 12444-2024")</f>
        <v/>
      </c>
      <c r="X56">
        <f>HYPERLINK("https://klasma.github.io/Logging_1981/tillsyn/A 12444-2024 tillsynsbegäran.docx", "A 12444-2024")</f>
        <v/>
      </c>
      <c r="Y56">
        <f>HYPERLINK("https://klasma.github.io/Logging_1981/tillsynsmail/A 12444-2024 tillsynsbegäran mail.docx", "A 12444-2024")</f>
        <v/>
      </c>
    </row>
    <row r="57" ht="15" customHeight="1">
      <c r="A57" t="inlineStr">
        <is>
          <t>A 40493-2024</t>
        </is>
      </c>
      <c r="B57" s="1" t="n">
        <v>45555</v>
      </c>
      <c r="C57" s="1" t="n">
        <v>45657</v>
      </c>
      <c r="D57" t="inlineStr">
        <is>
          <t>VÄSTMANLANDS LÄN</t>
        </is>
      </c>
      <c r="E57" t="inlineStr">
        <is>
          <t>SALA</t>
        </is>
      </c>
      <c r="G57" t="n">
        <v>3.8</v>
      </c>
      <c r="H57" t="n">
        <v>0</v>
      </c>
      <c r="I57" t="n">
        <v>1</v>
      </c>
      <c r="J57" t="n">
        <v>1</v>
      </c>
      <c r="K57" t="n">
        <v>0</v>
      </c>
      <c r="L57" t="n">
        <v>0</v>
      </c>
      <c r="M57" t="n">
        <v>0</v>
      </c>
      <c r="N57" t="n">
        <v>0</v>
      </c>
      <c r="O57" t="n">
        <v>1</v>
      </c>
      <c r="P57" t="n">
        <v>0</v>
      </c>
      <c r="Q57" t="n">
        <v>2</v>
      </c>
      <c r="R57" s="2" t="inlineStr">
        <is>
          <t>Vedskivlav
Dropptaggsvamp</t>
        </is>
      </c>
      <c r="S57">
        <f>HYPERLINK("https://klasma.github.io/Logging_1981/artfynd/A 40493-2024 artfynd.xlsx", "A 40493-2024")</f>
        <v/>
      </c>
      <c r="T57">
        <f>HYPERLINK("https://klasma.github.io/Logging_1981/kartor/A 40493-2024 karta.png", "A 40493-2024")</f>
        <v/>
      </c>
      <c r="V57">
        <f>HYPERLINK("https://klasma.github.io/Logging_1981/klagomål/A 40493-2024 FSC-klagomål.docx", "A 40493-2024")</f>
        <v/>
      </c>
      <c r="W57">
        <f>HYPERLINK("https://klasma.github.io/Logging_1981/klagomålsmail/A 40493-2024 FSC-klagomål mail.docx", "A 40493-2024")</f>
        <v/>
      </c>
      <c r="X57">
        <f>HYPERLINK("https://klasma.github.io/Logging_1981/tillsyn/A 40493-2024 tillsynsbegäran.docx", "A 40493-2024")</f>
        <v/>
      </c>
      <c r="Y57">
        <f>HYPERLINK("https://klasma.github.io/Logging_1981/tillsynsmail/A 40493-2024 tillsynsbegäran mail.docx", "A 40493-2024")</f>
        <v/>
      </c>
    </row>
    <row r="58" ht="15" customHeight="1">
      <c r="A58" t="inlineStr">
        <is>
          <t>A 61454-2024</t>
        </is>
      </c>
      <c r="B58" s="1" t="n">
        <v>45646</v>
      </c>
      <c r="C58" s="1" t="n">
        <v>45657</v>
      </c>
      <c r="D58" t="inlineStr">
        <is>
          <t>VÄSTMANLANDS LÄN</t>
        </is>
      </c>
      <c r="E58" t="inlineStr">
        <is>
          <t>SALA</t>
        </is>
      </c>
      <c r="G58" t="n">
        <v>15</v>
      </c>
      <c r="H58" t="n">
        <v>2</v>
      </c>
      <c r="I58" t="n">
        <v>0</v>
      </c>
      <c r="J58" t="n">
        <v>0</v>
      </c>
      <c r="K58" t="n">
        <v>1</v>
      </c>
      <c r="L58" t="n">
        <v>0</v>
      </c>
      <c r="M58" t="n">
        <v>0</v>
      </c>
      <c r="N58" t="n">
        <v>0</v>
      </c>
      <c r="O58" t="n">
        <v>1</v>
      </c>
      <c r="P58" t="n">
        <v>1</v>
      </c>
      <c r="Q58" t="n">
        <v>2</v>
      </c>
      <c r="R58" s="2" t="inlineStr">
        <is>
          <t>Knärot
Mindre vattensalamander</t>
        </is>
      </c>
      <c r="S58">
        <f>HYPERLINK("https://klasma.github.io/Logging_1981/artfynd/A 61454-2024 artfynd.xlsx", "A 61454-2024")</f>
        <v/>
      </c>
      <c r="T58">
        <f>HYPERLINK("https://klasma.github.io/Logging_1981/kartor/A 61454-2024 karta.png", "A 61454-2024")</f>
        <v/>
      </c>
      <c r="U58">
        <f>HYPERLINK("https://klasma.github.io/Logging_1981/knärot/A 61454-2024 karta knärot.png", "A 61454-2024")</f>
        <v/>
      </c>
      <c r="V58">
        <f>HYPERLINK("https://klasma.github.io/Logging_1981/klagomål/A 61454-2024 FSC-klagomål.docx", "A 61454-2024")</f>
        <v/>
      </c>
      <c r="W58">
        <f>HYPERLINK("https://klasma.github.io/Logging_1981/klagomålsmail/A 61454-2024 FSC-klagomål mail.docx", "A 61454-2024")</f>
        <v/>
      </c>
      <c r="X58">
        <f>HYPERLINK("https://klasma.github.io/Logging_1981/tillsyn/A 61454-2024 tillsynsbegäran.docx", "A 61454-2024")</f>
        <v/>
      </c>
      <c r="Y58">
        <f>HYPERLINK("https://klasma.github.io/Logging_1981/tillsynsmail/A 61454-2024 tillsynsbegäran mail.docx", "A 61454-2024")</f>
        <v/>
      </c>
    </row>
    <row r="59" ht="15" customHeight="1">
      <c r="A59" t="inlineStr">
        <is>
          <t>A 47716-2019</t>
        </is>
      </c>
      <c r="B59" s="1" t="n">
        <v>43724</v>
      </c>
      <c r="C59" s="1" t="n">
        <v>45657</v>
      </c>
      <c r="D59" t="inlineStr">
        <is>
          <t>VÄSTMANLANDS LÄN</t>
        </is>
      </c>
      <c r="E59" t="inlineStr">
        <is>
          <t>SALA</t>
        </is>
      </c>
      <c r="G59" t="n">
        <v>5</v>
      </c>
      <c r="H59" t="n">
        <v>0</v>
      </c>
      <c r="I59" t="n">
        <v>0</v>
      </c>
      <c r="J59" t="n">
        <v>0</v>
      </c>
      <c r="K59" t="n">
        <v>0</v>
      </c>
      <c r="L59" t="n">
        <v>0</v>
      </c>
      <c r="M59" t="n">
        <v>1</v>
      </c>
      <c r="N59" t="n">
        <v>0</v>
      </c>
      <c r="O59" t="n">
        <v>1</v>
      </c>
      <c r="P59" t="n">
        <v>1</v>
      </c>
      <c r="Q59" t="n">
        <v>1</v>
      </c>
      <c r="R59" s="2" t="inlineStr">
        <is>
          <t>Skogsalm</t>
        </is>
      </c>
      <c r="S59">
        <f>HYPERLINK("https://klasma.github.io/Logging_1981/artfynd/A 47716-2019 artfynd.xlsx", "A 47716-2019")</f>
        <v/>
      </c>
      <c r="T59">
        <f>HYPERLINK("https://klasma.github.io/Logging_1981/kartor/A 47716-2019 karta.png", "A 47716-2019")</f>
        <v/>
      </c>
      <c r="V59">
        <f>HYPERLINK("https://klasma.github.io/Logging_1981/klagomål/A 47716-2019 FSC-klagomål.docx", "A 47716-2019")</f>
        <v/>
      </c>
      <c r="W59">
        <f>HYPERLINK("https://klasma.github.io/Logging_1981/klagomålsmail/A 47716-2019 FSC-klagomål mail.docx", "A 47716-2019")</f>
        <v/>
      </c>
      <c r="X59">
        <f>HYPERLINK("https://klasma.github.io/Logging_1981/tillsyn/A 47716-2019 tillsynsbegäran.docx", "A 47716-2019")</f>
        <v/>
      </c>
      <c r="Y59">
        <f>HYPERLINK("https://klasma.github.io/Logging_1981/tillsynsmail/A 47716-2019 tillsynsbegäran mail.docx", "A 47716-2019")</f>
        <v/>
      </c>
    </row>
    <row r="60" ht="15" customHeight="1">
      <c r="A60" t="inlineStr">
        <is>
          <t>A 52753-2019</t>
        </is>
      </c>
      <c r="B60" s="1" t="n">
        <v>43739</v>
      </c>
      <c r="C60" s="1" t="n">
        <v>45657</v>
      </c>
      <c r="D60" t="inlineStr">
        <is>
          <t>VÄSTMANLANDS LÄN</t>
        </is>
      </c>
      <c r="E60" t="inlineStr">
        <is>
          <t>SALA</t>
        </is>
      </c>
      <c r="G60" t="n">
        <v>4.9</v>
      </c>
      <c r="H60" t="n">
        <v>1</v>
      </c>
      <c r="I60" t="n">
        <v>0</v>
      </c>
      <c r="J60" t="n">
        <v>0</v>
      </c>
      <c r="K60" t="n">
        <v>1</v>
      </c>
      <c r="L60" t="n">
        <v>0</v>
      </c>
      <c r="M60" t="n">
        <v>0</v>
      </c>
      <c r="N60" t="n">
        <v>0</v>
      </c>
      <c r="O60" t="n">
        <v>1</v>
      </c>
      <c r="P60" t="n">
        <v>1</v>
      </c>
      <c r="Q60" t="n">
        <v>1</v>
      </c>
      <c r="R60" s="2" t="inlineStr">
        <is>
          <t>Knärot</t>
        </is>
      </c>
      <c r="S60">
        <f>HYPERLINK("https://klasma.github.io/Logging_1981/artfynd/A 52753-2019 artfynd.xlsx", "A 52753-2019")</f>
        <v/>
      </c>
      <c r="T60">
        <f>HYPERLINK("https://klasma.github.io/Logging_1981/kartor/A 52753-2019 karta.png", "A 52753-2019")</f>
        <v/>
      </c>
      <c r="U60">
        <f>HYPERLINK("https://klasma.github.io/Logging_1981/knärot/A 52753-2019 karta knärot.png", "A 52753-2019")</f>
        <v/>
      </c>
      <c r="V60">
        <f>HYPERLINK("https://klasma.github.io/Logging_1981/klagomål/A 52753-2019 FSC-klagomål.docx", "A 52753-2019")</f>
        <v/>
      </c>
      <c r="W60">
        <f>HYPERLINK("https://klasma.github.io/Logging_1981/klagomålsmail/A 52753-2019 FSC-klagomål mail.docx", "A 52753-2019")</f>
        <v/>
      </c>
      <c r="X60">
        <f>HYPERLINK("https://klasma.github.io/Logging_1981/tillsyn/A 52753-2019 tillsynsbegäran.docx", "A 52753-2019")</f>
        <v/>
      </c>
      <c r="Y60">
        <f>HYPERLINK("https://klasma.github.io/Logging_1981/tillsynsmail/A 52753-2019 tillsynsbegäran mail.docx", "A 52753-2019")</f>
        <v/>
      </c>
    </row>
    <row r="61" ht="15" customHeight="1">
      <c r="A61" t="inlineStr">
        <is>
          <t>A 8432-2020</t>
        </is>
      </c>
      <c r="B61" s="1" t="n">
        <v>43875</v>
      </c>
      <c r="C61" s="1" t="n">
        <v>45657</v>
      </c>
      <c r="D61" t="inlineStr">
        <is>
          <t>VÄSTMANLANDS LÄN</t>
        </is>
      </c>
      <c r="E61" t="inlineStr">
        <is>
          <t>SALA</t>
        </is>
      </c>
      <c r="G61" t="n">
        <v>2</v>
      </c>
      <c r="H61" t="n">
        <v>1</v>
      </c>
      <c r="I61" t="n">
        <v>0</v>
      </c>
      <c r="J61" t="n">
        <v>0</v>
      </c>
      <c r="K61" t="n">
        <v>1</v>
      </c>
      <c r="L61" t="n">
        <v>0</v>
      </c>
      <c r="M61" t="n">
        <v>0</v>
      </c>
      <c r="N61" t="n">
        <v>0</v>
      </c>
      <c r="O61" t="n">
        <v>1</v>
      </c>
      <c r="P61" t="n">
        <v>1</v>
      </c>
      <c r="Q61" t="n">
        <v>1</v>
      </c>
      <c r="R61" s="2" t="inlineStr">
        <is>
          <t>Bombmurkla</t>
        </is>
      </c>
      <c r="S61">
        <f>HYPERLINK("https://klasma.github.io/Logging_1981/artfynd/A 8432-2020 artfynd.xlsx", "A 8432-2020")</f>
        <v/>
      </c>
      <c r="T61">
        <f>HYPERLINK("https://klasma.github.io/Logging_1981/kartor/A 8432-2020 karta.png", "A 8432-2020")</f>
        <v/>
      </c>
      <c r="V61">
        <f>HYPERLINK("https://klasma.github.io/Logging_1981/klagomål/A 8432-2020 FSC-klagomål.docx", "A 8432-2020")</f>
        <v/>
      </c>
      <c r="W61">
        <f>HYPERLINK("https://klasma.github.io/Logging_1981/klagomålsmail/A 8432-2020 FSC-klagomål mail.docx", "A 8432-2020")</f>
        <v/>
      </c>
      <c r="X61">
        <f>HYPERLINK("https://klasma.github.io/Logging_1981/tillsyn/A 8432-2020 tillsynsbegäran.docx", "A 8432-2020")</f>
        <v/>
      </c>
      <c r="Y61">
        <f>HYPERLINK("https://klasma.github.io/Logging_1981/tillsynsmail/A 8432-2020 tillsynsbegäran mail.docx", "A 8432-2020")</f>
        <v/>
      </c>
    </row>
    <row r="62" ht="15" customHeight="1">
      <c r="A62" t="inlineStr">
        <is>
          <t>A 13671-2020</t>
        </is>
      </c>
      <c r="B62" s="1" t="n">
        <v>43903</v>
      </c>
      <c r="C62" s="1" t="n">
        <v>45657</v>
      </c>
      <c r="D62" t="inlineStr">
        <is>
          <t>VÄSTMANLANDS LÄN</t>
        </is>
      </c>
      <c r="E62" t="inlineStr">
        <is>
          <t>SALA</t>
        </is>
      </c>
      <c r="G62" t="n">
        <v>2.5</v>
      </c>
      <c r="H62" t="n">
        <v>1</v>
      </c>
      <c r="I62" t="n">
        <v>0</v>
      </c>
      <c r="J62" t="n">
        <v>0</v>
      </c>
      <c r="K62" t="n">
        <v>0</v>
      </c>
      <c r="L62" t="n">
        <v>0</v>
      </c>
      <c r="M62" t="n">
        <v>0</v>
      </c>
      <c r="N62" t="n">
        <v>0</v>
      </c>
      <c r="O62" t="n">
        <v>0</v>
      </c>
      <c r="P62" t="n">
        <v>0</v>
      </c>
      <c r="Q62" t="n">
        <v>1</v>
      </c>
      <c r="R62" s="2" t="inlineStr">
        <is>
          <t>Revlummer</t>
        </is>
      </c>
      <c r="S62">
        <f>HYPERLINK("https://klasma.github.io/Logging_1981/artfynd/A 13671-2020 artfynd.xlsx", "A 13671-2020")</f>
        <v/>
      </c>
      <c r="T62">
        <f>HYPERLINK("https://klasma.github.io/Logging_1981/kartor/A 13671-2020 karta.png", "A 13671-2020")</f>
        <v/>
      </c>
      <c r="V62">
        <f>HYPERLINK("https://klasma.github.io/Logging_1981/klagomål/A 13671-2020 FSC-klagomål.docx", "A 13671-2020")</f>
        <v/>
      </c>
      <c r="W62">
        <f>HYPERLINK("https://klasma.github.io/Logging_1981/klagomålsmail/A 13671-2020 FSC-klagomål mail.docx", "A 13671-2020")</f>
        <v/>
      </c>
      <c r="X62">
        <f>HYPERLINK("https://klasma.github.io/Logging_1981/tillsyn/A 13671-2020 tillsynsbegäran.docx", "A 13671-2020")</f>
        <v/>
      </c>
      <c r="Y62">
        <f>HYPERLINK("https://klasma.github.io/Logging_1981/tillsynsmail/A 13671-2020 tillsynsbegäran mail.docx", "A 13671-2020")</f>
        <v/>
      </c>
    </row>
    <row r="63" ht="15" customHeight="1">
      <c r="A63" t="inlineStr">
        <is>
          <t>A 39800-2020</t>
        </is>
      </c>
      <c r="B63" s="1" t="n">
        <v>44067</v>
      </c>
      <c r="C63" s="1" t="n">
        <v>45657</v>
      </c>
      <c r="D63" t="inlineStr">
        <is>
          <t>VÄSTMANLANDS LÄN</t>
        </is>
      </c>
      <c r="E63" t="inlineStr">
        <is>
          <t>SALA</t>
        </is>
      </c>
      <c r="F63" t="inlineStr">
        <is>
          <t>Sveaskog</t>
        </is>
      </c>
      <c r="G63" t="n">
        <v>1.8</v>
      </c>
      <c r="H63" t="n">
        <v>1</v>
      </c>
      <c r="I63" t="n">
        <v>0</v>
      </c>
      <c r="J63" t="n">
        <v>0</v>
      </c>
      <c r="K63" t="n">
        <v>1</v>
      </c>
      <c r="L63" t="n">
        <v>0</v>
      </c>
      <c r="M63" t="n">
        <v>0</v>
      </c>
      <c r="N63" t="n">
        <v>0</v>
      </c>
      <c r="O63" t="n">
        <v>1</v>
      </c>
      <c r="P63" t="n">
        <v>1</v>
      </c>
      <c r="Q63" t="n">
        <v>1</v>
      </c>
      <c r="R63" s="2" t="inlineStr">
        <is>
          <t>Bombmurkla</t>
        </is>
      </c>
      <c r="S63">
        <f>HYPERLINK("https://klasma.github.io/Logging_1981/artfynd/A 39800-2020 artfynd.xlsx", "A 39800-2020")</f>
        <v/>
      </c>
      <c r="T63">
        <f>HYPERLINK("https://klasma.github.io/Logging_1981/kartor/A 39800-2020 karta.png", "A 39800-2020")</f>
        <v/>
      </c>
      <c r="V63">
        <f>HYPERLINK("https://klasma.github.io/Logging_1981/klagomål/A 39800-2020 FSC-klagomål.docx", "A 39800-2020")</f>
        <v/>
      </c>
      <c r="W63">
        <f>HYPERLINK("https://klasma.github.io/Logging_1981/klagomålsmail/A 39800-2020 FSC-klagomål mail.docx", "A 39800-2020")</f>
        <v/>
      </c>
      <c r="X63">
        <f>HYPERLINK("https://klasma.github.io/Logging_1981/tillsyn/A 39800-2020 tillsynsbegäran.docx", "A 39800-2020")</f>
        <v/>
      </c>
      <c r="Y63">
        <f>HYPERLINK("https://klasma.github.io/Logging_1981/tillsynsmail/A 39800-2020 tillsynsbegäran mail.docx", "A 39800-2020")</f>
        <v/>
      </c>
    </row>
    <row r="64" ht="15" customHeight="1">
      <c r="A64" t="inlineStr">
        <is>
          <t>A 39807-2020</t>
        </is>
      </c>
      <c r="B64" s="1" t="n">
        <v>44067</v>
      </c>
      <c r="C64" s="1" t="n">
        <v>45657</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39807-2020 artfynd.xlsx", "A 39807-2020")</f>
        <v/>
      </c>
      <c r="T64">
        <f>HYPERLINK("https://klasma.github.io/Logging_1981/kartor/A 39807-2020 karta.png", "A 39807-2020")</f>
        <v/>
      </c>
      <c r="V64">
        <f>HYPERLINK("https://klasma.github.io/Logging_1981/klagomål/A 39807-2020 FSC-klagomål.docx", "A 39807-2020")</f>
        <v/>
      </c>
      <c r="W64">
        <f>HYPERLINK("https://klasma.github.io/Logging_1981/klagomålsmail/A 39807-2020 FSC-klagomål mail.docx", "A 39807-2020")</f>
        <v/>
      </c>
      <c r="X64">
        <f>HYPERLINK("https://klasma.github.io/Logging_1981/tillsyn/A 39807-2020 tillsynsbegäran.docx", "A 39807-2020")</f>
        <v/>
      </c>
      <c r="Y64">
        <f>HYPERLINK("https://klasma.github.io/Logging_1981/tillsynsmail/A 39807-2020 tillsynsbegäran mail.docx", "A 39807-2020")</f>
        <v/>
      </c>
    </row>
    <row r="65" ht="15" customHeight="1">
      <c r="A65" t="inlineStr">
        <is>
          <t>A 42352-2020</t>
        </is>
      </c>
      <c r="B65" s="1" t="n">
        <v>44076</v>
      </c>
      <c r="C65" s="1" t="n">
        <v>45657</v>
      </c>
      <c r="D65" t="inlineStr">
        <is>
          <t>VÄSTMANLANDS LÄN</t>
        </is>
      </c>
      <c r="E65" t="inlineStr">
        <is>
          <t>SALA</t>
        </is>
      </c>
      <c r="G65" t="n">
        <v>8.6</v>
      </c>
      <c r="H65" t="n">
        <v>1</v>
      </c>
      <c r="I65" t="n">
        <v>0</v>
      </c>
      <c r="J65" t="n">
        <v>0</v>
      </c>
      <c r="K65" t="n">
        <v>0</v>
      </c>
      <c r="L65" t="n">
        <v>0</v>
      </c>
      <c r="M65" t="n">
        <v>0</v>
      </c>
      <c r="N65" t="n">
        <v>0</v>
      </c>
      <c r="O65" t="n">
        <v>0</v>
      </c>
      <c r="P65" t="n">
        <v>0</v>
      </c>
      <c r="Q65" t="n">
        <v>1</v>
      </c>
      <c r="R65" s="2" t="inlineStr">
        <is>
          <t>Mattlummer</t>
        </is>
      </c>
      <c r="S65">
        <f>HYPERLINK("https://klasma.github.io/Logging_1981/artfynd/A 42352-2020 artfynd.xlsx", "A 42352-2020")</f>
        <v/>
      </c>
      <c r="T65">
        <f>HYPERLINK("https://klasma.github.io/Logging_1981/kartor/A 42352-2020 karta.png", "A 42352-2020")</f>
        <v/>
      </c>
      <c r="V65">
        <f>HYPERLINK("https://klasma.github.io/Logging_1981/klagomål/A 42352-2020 FSC-klagomål.docx", "A 42352-2020")</f>
        <v/>
      </c>
      <c r="W65">
        <f>HYPERLINK("https://klasma.github.io/Logging_1981/klagomålsmail/A 42352-2020 FSC-klagomål mail.docx", "A 42352-2020")</f>
        <v/>
      </c>
      <c r="X65">
        <f>HYPERLINK("https://klasma.github.io/Logging_1981/tillsyn/A 42352-2020 tillsynsbegäran.docx", "A 42352-2020")</f>
        <v/>
      </c>
      <c r="Y65">
        <f>HYPERLINK("https://klasma.github.io/Logging_1981/tillsynsmail/A 42352-2020 tillsynsbegäran mail.docx", "A 42352-2020")</f>
        <v/>
      </c>
    </row>
    <row r="66" ht="15" customHeight="1">
      <c r="A66" t="inlineStr">
        <is>
          <t>A 56014-2020</t>
        </is>
      </c>
      <c r="B66" s="1" t="n">
        <v>44132</v>
      </c>
      <c r="C66" s="1" t="n">
        <v>45657</v>
      </c>
      <c r="D66" t="inlineStr">
        <is>
          <t>VÄSTMANLANDS LÄN</t>
        </is>
      </c>
      <c r="E66" t="inlineStr">
        <is>
          <t>SALA</t>
        </is>
      </c>
      <c r="G66" t="n">
        <v>5.6</v>
      </c>
      <c r="H66" t="n">
        <v>0</v>
      </c>
      <c r="I66" t="n">
        <v>0</v>
      </c>
      <c r="J66" t="n">
        <v>0</v>
      </c>
      <c r="K66" t="n">
        <v>1</v>
      </c>
      <c r="L66" t="n">
        <v>0</v>
      </c>
      <c r="M66" t="n">
        <v>0</v>
      </c>
      <c r="N66" t="n">
        <v>0</v>
      </c>
      <c r="O66" t="n">
        <v>1</v>
      </c>
      <c r="P66" t="n">
        <v>1</v>
      </c>
      <c r="Q66" t="n">
        <v>1</v>
      </c>
      <c r="R66" s="2" t="inlineStr">
        <is>
          <t>Blackticka</t>
        </is>
      </c>
      <c r="S66">
        <f>HYPERLINK("https://klasma.github.io/Logging_1981/artfynd/A 56014-2020 artfynd.xlsx", "A 56014-2020")</f>
        <v/>
      </c>
      <c r="T66">
        <f>HYPERLINK("https://klasma.github.io/Logging_1981/kartor/A 56014-2020 karta.png", "A 56014-2020")</f>
        <v/>
      </c>
      <c r="V66">
        <f>HYPERLINK("https://klasma.github.io/Logging_1981/klagomål/A 56014-2020 FSC-klagomål.docx", "A 56014-2020")</f>
        <v/>
      </c>
      <c r="W66">
        <f>HYPERLINK("https://klasma.github.io/Logging_1981/klagomålsmail/A 56014-2020 FSC-klagomål mail.docx", "A 56014-2020")</f>
        <v/>
      </c>
      <c r="X66">
        <f>HYPERLINK("https://klasma.github.io/Logging_1981/tillsyn/A 56014-2020 tillsynsbegäran.docx", "A 56014-2020")</f>
        <v/>
      </c>
      <c r="Y66">
        <f>HYPERLINK("https://klasma.github.io/Logging_1981/tillsynsmail/A 56014-2020 tillsynsbegäran mail.docx", "A 56014-2020")</f>
        <v/>
      </c>
    </row>
    <row r="67" ht="15" customHeight="1">
      <c r="A67" t="inlineStr">
        <is>
          <t>A 69362-2020</t>
        </is>
      </c>
      <c r="B67" s="1" t="n">
        <v>44193</v>
      </c>
      <c r="C67" s="1" t="n">
        <v>45657</v>
      </c>
      <c r="D67" t="inlineStr">
        <is>
          <t>VÄSTMANLANDS LÄN</t>
        </is>
      </c>
      <c r="E67" t="inlineStr">
        <is>
          <t>SALA</t>
        </is>
      </c>
      <c r="G67" t="n">
        <v>13.7</v>
      </c>
      <c r="H67" t="n">
        <v>1</v>
      </c>
      <c r="I67" t="n">
        <v>0</v>
      </c>
      <c r="J67" t="n">
        <v>1</v>
      </c>
      <c r="K67" t="n">
        <v>0</v>
      </c>
      <c r="L67" t="n">
        <v>0</v>
      </c>
      <c r="M67" t="n">
        <v>0</v>
      </c>
      <c r="N67" t="n">
        <v>0</v>
      </c>
      <c r="O67" t="n">
        <v>1</v>
      </c>
      <c r="P67" t="n">
        <v>0</v>
      </c>
      <c r="Q67" t="n">
        <v>1</v>
      </c>
      <c r="R67" s="2" t="inlineStr">
        <is>
          <t>Havsörn</t>
        </is>
      </c>
      <c r="S67">
        <f>HYPERLINK("https://klasma.github.io/Logging_1981/artfynd/A 69362-2020 artfynd.xlsx", "A 69362-2020")</f>
        <v/>
      </c>
      <c r="T67">
        <f>HYPERLINK("https://klasma.github.io/Logging_1981/kartor/A 69362-2020 karta.png", "A 69362-2020")</f>
        <v/>
      </c>
      <c r="V67">
        <f>HYPERLINK("https://klasma.github.io/Logging_1981/klagomål/A 69362-2020 FSC-klagomål.docx", "A 69362-2020")</f>
        <v/>
      </c>
      <c r="W67">
        <f>HYPERLINK("https://klasma.github.io/Logging_1981/klagomålsmail/A 69362-2020 FSC-klagomål mail.docx", "A 69362-2020")</f>
        <v/>
      </c>
      <c r="X67">
        <f>HYPERLINK("https://klasma.github.io/Logging_1981/tillsyn/A 69362-2020 tillsynsbegäran.docx", "A 69362-2020")</f>
        <v/>
      </c>
      <c r="Y67">
        <f>HYPERLINK("https://klasma.github.io/Logging_1981/tillsynsmail/A 69362-2020 tillsynsbegäran mail.docx", "A 69362-2020")</f>
        <v/>
      </c>
      <c r="Z67">
        <f>HYPERLINK("https://klasma.github.io/Logging_1981/fåglar/A 69362-2020 prioriterade fågelarter.docx", "A 69362-2020")</f>
        <v/>
      </c>
    </row>
    <row r="68" ht="15" customHeight="1">
      <c r="A68" t="inlineStr">
        <is>
          <t>A 13973-2021</t>
        </is>
      </c>
      <c r="B68" s="1" t="n">
        <v>44277</v>
      </c>
      <c r="C68" s="1" t="n">
        <v>45657</v>
      </c>
      <c r="D68" t="inlineStr">
        <is>
          <t>VÄSTMANLANDS LÄN</t>
        </is>
      </c>
      <c r="E68" t="inlineStr">
        <is>
          <t>SALA</t>
        </is>
      </c>
      <c r="G68" t="n">
        <v>2</v>
      </c>
      <c r="H68" t="n">
        <v>1</v>
      </c>
      <c r="I68" t="n">
        <v>0</v>
      </c>
      <c r="J68" t="n">
        <v>0</v>
      </c>
      <c r="K68" t="n">
        <v>0</v>
      </c>
      <c r="L68" t="n">
        <v>0</v>
      </c>
      <c r="M68" t="n">
        <v>0</v>
      </c>
      <c r="N68" t="n">
        <v>0</v>
      </c>
      <c r="O68" t="n">
        <v>0</v>
      </c>
      <c r="P68" t="n">
        <v>0</v>
      </c>
      <c r="Q68" t="n">
        <v>1</v>
      </c>
      <c r="R68" s="2" t="inlineStr">
        <is>
          <t>Blåsippa</t>
        </is>
      </c>
      <c r="S68">
        <f>HYPERLINK("https://klasma.github.io/Logging_1981/artfynd/A 13973-2021 artfynd.xlsx", "A 13973-2021")</f>
        <v/>
      </c>
      <c r="T68">
        <f>HYPERLINK("https://klasma.github.io/Logging_1981/kartor/A 13973-2021 karta.png", "A 13973-2021")</f>
        <v/>
      </c>
      <c r="V68">
        <f>HYPERLINK("https://klasma.github.io/Logging_1981/klagomål/A 13973-2021 FSC-klagomål.docx", "A 13973-2021")</f>
        <v/>
      </c>
      <c r="W68">
        <f>HYPERLINK("https://klasma.github.io/Logging_1981/klagomålsmail/A 13973-2021 FSC-klagomål mail.docx", "A 13973-2021")</f>
        <v/>
      </c>
      <c r="X68">
        <f>HYPERLINK("https://klasma.github.io/Logging_1981/tillsyn/A 13973-2021 tillsynsbegäran.docx", "A 13973-2021")</f>
        <v/>
      </c>
      <c r="Y68">
        <f>HYPERLINK("https://klasma.github.io/Logging_1981/tillsynsmail/A 13973-2021 tillsynsbegäran mail.docx", "A 13973-2021")</f>
        <v/>
      </c>
    </row>
    <row r="69" ht="15" customHeight="1">
      <c r="A69" t="inlineStr">
        <is>
          <t>A 44970-2021</t>
        </is>
      </c>
      <c r="B69" s="1" t="n">
        <v>44438</v>
      </c>
      <c r="C69" s="1" t="n">
        <v>45657</v>
      </c>
      <c r="D69" t="inlineStr">
        <is>
          <t>VÄSTMANLANDS LÄN</t>
        </is>
      </c>
      <c r="E69" t="inlineStr">
        <is>
          <t>SALA</t>
        </is>
      </c>
      <c r="G69" t="n">
        <v>1.2</v>
      </c>
      <c r="H69" t="n">
        <v>1</v>
      </c>
      <c r="I69" t="n">
        <v>0</v>
      </c>
      <c r="J69" t="n">
        <v>0</v>
      </c>
      <c r="K69" t="n">
        <v>0</v>
      </c>
      <c r="L69" t="n">
        <v>0</v>
      </c>
      <c r="M69" t="n">
        <v>0</v>
      </c>
      <c r="N69" t="n">
        <v>0</v>
      </c>
      <c r="O69" t="n">
        <v>0</v>
      </c>
      <c r="P69" t="n">
        <v>0</v>
      </c>
      <c r="Q69" t="n">
        <v>1</v>
      </c>
      <c r="R69" s="2" t="inlineStr">
        <is>
          <t>Revlummer</t>
        </is>
      </c>
      <c r="S69">
        <f>HYPERLINK("https://klasma.github.io/Logging_1981/artfynd/A 44970-2021 artfynd.xlsx", "A 44970-2021")</f>
        <v/>
      </c>
      <c r="T69">
        <f>HYPERLINK("https://klasma.github.io/Logging_1981/kartor/A 44970-2021 karta.png", "A 44970-2021")</f>
        <v/>
      </c>
      <c r="V69">
        <f>HYPERLINK("https://klasma.github.io/Logging_1981/klagomål/A 44970-2021 FSC-klagomål.docx", "A 44970-2021")</f>
        <v/>
      </c>
      <c r="W69">
        <f>HYPERLINK("https://klasma.github.io/Logging_1981/klagomålsmail/A 44970-2021 FSC-klagomål mail.docx", "A 44970-2021")</f>
        <v/>
      </c>
      <c r="X69">
        <f>HYPERLINK("https://klasma.github.io/Logging_1981/tillsyn/A 44970-2021 tillsynsbegäran.docx", "A 44970-2021")</f>
        <v/>
      </c>
      <c r="Y69">
        <f>HYPERLINK("https://klasma.github.io/Logging_1981/tillsynsmail/A 44970-2021 tillsynsbegäran mail.docx", "A 44970-2021")</f>
        <v/>
      </c>
    </row>
    <row r="70" ht="15" customHeight="1">
      <c r="A70" t="inlineStr">
        <is>
          <t>A 7919-2022</t>
        </is>
      </c>
      <c r="B70" s="1" t="n">
        <v>44608</v>
      </c>
      <c r="C70" s="1" t="n">
        <v>45657</v>
      </c>
      <c r="D70" t="inlineStr">
        <is>
          <t>VÄSTMANLANDS LÄN</t>
        </is>
      </c>
      <c r="E70" t="inlineStr">
        <is>
          <t>SALA</t>
        </is>
      </c>
      <c r="F70" t="inlineStr">
        <is>
          <t>Bergvik skog öst AB</t>
        </is>
      </c>
      <c r="G70" t="n">
        <v>4.5</v>
      </c>
      <c r="H70" t="n">
        <v>1</v>
      </c>
      <c r="I70" t="n">
        <v>0</v>
      </c>
      <c r="J70" t="n">
        <v>1</v>
      </c>
      <c r="K70" t="n">
        <v>0</v>
      </c>
      <c r="L70" t="n">
        <v>0</v>
      </c>
      <c r="M70" t="n">
        <v>0</v>
      </c>
      <c r="N70" t="n">
        <v>0</v>
      </c>
      <c r="O70" t="n">
        <v>1</v>
      </c>
      <c r="P70" t="n">
        <v>0</v>
      </c>
      <c r="Q70" t="n">
        <v>1</v>
      </c>
      <c r="R70" s="2" t="inlineStr">
        <is>
          <t>Ävjepilört</t>
        </is>
      </c>
      <c r="S70">
        <f>HYPERLINK("https://klasma.github.io/Logging_1981/artfynd/A 7919-2022 artfynd.xlsx", "A 7919-2022")</f>
        <v/>
      </c>
      <c r="T70">
        <f>HYPERLINK("https://klasma.github.io/Logging_1981/kartor/A 7919-2022 karta.png", "A 7919-2022")</f>
        <v/>
      </c>
      <c r="V70">
        <f>HYPERLINK("https://klasma.github.io/Logging_1981/klagomål/A 7919-2022 FSC-klagomål.docx", "A 7919-2022")</f>
        <v/>
      </c>
      <c r="W70">
        <f>HYPERLINK("https://klasma.github.io/Logging_1981/klagomålsmail/A 7919-2022 FSC-klagomål mail.docx", "A 7919-2022")</f>
        <v/>
      </c>
      <c r="X70">
        <f>HYPERLINK("https://klasma.github.io/Logging_1981/tillsyn/A 7919-2022 tillsynsbegäran.docx", "A 7919-2022")</f>
        <v/>
      </c>
      <c r="Y70">
        <f>HYPERLINK("https://klasma.github.io/Logging_1981/tillsynsmail/A 7919-2022 tillsynsbegäran mail.docx", "A 7919-2022")</f>
        <v/>
      </c>
    </row>
    <row r="71" ht="15" customHeight="1">
      <c r="A71" t="inlineStr">
        <is>
          <t>A 15988-2022</t>
        </is>
      </c>
      <c r="B71" s="1" t="n">
        <v>44664</v>
      </c>
      <c r="C71" s="1" t="n">
        <v>45657</v>
      </c>
      <c r="D71" t="inlineStr">
        <is>
          <t>VÄSTMANLANDS LÄN</t>
        </is>
      </c>
      <c r="E71" t="inlineStr">
        <is>
          <t>SALA</t>
        </is>
      </c>
      <c r="G71" t="n">
        <v>5</v>
      </c>
      <c r="H71" t="n">
        <v>1</v>
      </c>
      <c r="I71" t="n">
        <v>0</v>
      </c>
      <c r="J71" t="n">
        <v>0</v>
      </c>
      <c r="K71" t="n">
        <v>1</v>
      </c>
      <c r="L71" t="n">
        <v>0</v>
      </c>
      <c r="M71" t="n">
        <v>0</v>
      </c>
      <c r="N71" t="n">
        <v>0</v>
      </c>
      <c r="O71" t="n">
        <v>1</v>
      </c>
      <c r="P71" t="n">
        <v>1</v>
      </c>
      <c r="Q71" t="n">
        <v>1</v>
      </c>
      <c r="R71" s="2" t="inlineStr">
        <is>
          <t>Knärot</t>
        </is>
      </c>
      <c r="S71">
        <f>HYPERLINK("https://klasma.github.io/Logging_1981/artfynd/A 15988-2022 artfynd.xlsx", "A 15988-2022")</f>
        <v/>
      </c>
      <c r="T71">
        <f>HYPERLINK("https://klasma.github.io/Logging_1981/kartor/A 15988-2022 karta.png", "A 15988-2022")</f>
        <v/>
      </c>
      <c r="U71">
        <f>HYPERLINK("https://klasma.github.io/Logging_1981/knärot/A 15988-2022 karta knärot.png", "A 15988-2022")</f>
        <v/>
      </c>
      <c r="V71">
        <f>HYPERLINK("https://klasma.github.io/Logging_1981/klagomål/A 15988-2022 FSC-klagomål.docx", "A 15988-2022")</f>
        <v/>
      </c>
      <c r="W71">
        <f>HYPERLINK("https://klasma.github.io/Logging_1981/klagomålsmail/A 15988-2022 FSC-klagomål mail.docx", "A 15988-2022")</f>
        <v/>
      </c>
      <c r="X71">
        <f>HYPERLINK("https://klasma.github.io/Logging_1981/tillsyn/A 15988-2022 tillsynsbegäran.docx", "A 15988-2022")</f>
        <v/>
      </c>
      <c r="Y71">
        <f>HYPERLINK("https://klasma.github.io/Logging_1981/tillsynsmail/A 15988-2022 tillsynsbegäran mail.docx", "A 15988-2022")</f>
        <v/>
      </c>
    </row>
    <row r="72" ht="15" customHeight="1">
      <c r="A72" t="inlineStr">
        <is>
          <t>A 29985-2022</t>
        </is>
      </c>
      <c r="B72" s="1" t="n">
        <v>44756</v>
      </c>
      <c r="C72" s="1" t="n">
        <v>45657</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43705-2022</t>
        </is>
      </c>
      <c r="B73" s="1" t="n">
        <v>44837</v>
      </c>
      <c r="C73" s="1" t="n">
        <v>45657</v>
      </c>
      <c r="D73" t="inlineStr">
        <is>
          <t>VÄSTMANLANDS LÄN</t>
        </is>
      </c>
      <c r="E73" t="inlineStr">
        <is>
          <t>SALA</t>
        </is>
      </c>
      <c r="G73" t="n">
        <v>2.9</v>
      </c>
      <c r="H73" t="n">
        <v>1</v>
      </c>
      <c r="I73" t="n">
        <v>0</v>
      </c>
      <c r="J73" t="n">
        <v>0</v>
      </c>
      <c r="K73" t="n">
        <v>1</v>
      </c>
      <c r="L73" t="n">
        <v>0</v>
      </c>
      <c r="M73" t="n">
        <v>0</v>
      </c>
      <c r="N73" t="n">
        <v>0</v>
      </c>
      <c r="O73" t="n">
        <v>1</v>
      </c>
      <c r="P73" t="n">
        <v>1</v>
      </c>
      <c r="Q73" t="n">
        <v>1</v>
      </c>
      <c r="R73" s="2" t="inlineStr">
        <is>
          <t>Knärot</t>
        </is>
      </c>
      <c r="S73">
        <f>HYPERLINK("https://klasma.github.io/Logging_1981/artfynd/A 43705-2022 artfynd.xlsx", "A 43705-2022")</f>
        <v/>
      </c>
      <c r="T73">
        <f>HYPERLINK("https://klasma.github.io/Logging_1981/kartor/A 43705-2022 karta.png", "A 43705-2022")</f>
        <v/>
      </c>
      <c r="U73">
        <f>HYPERLINK("https://klasma.github.io/Logging_1981/knärot/A 43705-2022 karta knärot.png", "A 43705-2022")</f>
        <v/>
      </c>
      <c r="V73">
        <f>HYPERLINK("https://klasma.github.io/Logging_1981/klagomål/A 43705-2022 FSC-klagomål.docx", "A 43705-2022")</f>
        <v/>
      </c>
      <c r="W73">
        <f>HYPERLINK("https://klasma.github.io/Logging_1981/klagomålsmail/A 43705-2022 FSC-klagomål mail.docx", "A 43705-2022")</f>
        <v/>
      </c>
      <c r="X73">
        <f>HYPERLINK("https://klasma.github.io/Logging_1981/tillsyn/A 43705-2022 tillsynsbegäran.docx", "A 43705-2022")</f>
        <v/>
      </c>
      <c r="Y73">
        <f>HYPERLINK("https://klasma.github.io/Logging_1981/tillsynsmail/A 43705-2022 tillsynsbegäran mail.docx", "A 43705-2022")</f>
        <v/>
      </c>
    </row>
    <row r="74" ht="15" customHeight="1">
      <c r="A74" t="inlineStr">
        <is>
          <t>A 56704-2022</t>
        </is>
      </c>
      <c r="B74" s="1" t="n">
        <v>44893</v>
      </c>
      <c r="C74" s="1" t="n">
        <v>45657</v>
      </c>
      <c r="D74" t="inlineStr">
        <is>
          <t>VÄSTMANLANDS LÄN</t>
        </is>
      </c>
      <c r="E74" t="inlineStr">
        <is>
          <t>SALA</t>
        </is>
      </c>
      <c r="G74" t="n">
        <v>3.2</v>
      </c>
      <c r="H74" t="n">
        <v>1</v>
      </c>
      <c r="I74" t="n">
        <v>0</v>
      </c>
      <c r="J74" t="n">
        <v>0</v>
      </c>
      <c r="K74" t="n">
        <v>1</v>
      </c>
      <c r="L74" t="n">
        <v>0</v>
      </c>
      <c r="M74" t="n">
        <v>0</v>
      </c>
      <c r="N74" t="n">
        <v>0</v>
      </c>
      <c r="O74" t="n">
        <v>1</v>
      </c>
      <c r="P74" t="n">
        <v>1</v>
      </c>
      <c r="Q74" t="n">
        <v>1</v>
      </c>
      <c r="R74" s="2" t="inlineStr">
        <is>
          <t>Knärot</t>
        </is>
      </c>
      <c r="S74">
        <f>HYPERLINK("https://klasma.github.io/Logging_1981/artfynd/A 56704-2022 artfynd.xlsx", "A 56704-2022")</f>
        <v/>
      </c>
      <c r="T74">
        <f>HYPERLINK("https://klasma.github.io/Logging_1981/kartor/A 56704-2022 karta.png", "A 56704-2022")</f>
        <v/>
      </c>
      <c r="U74">
        <f>HYPERLINK("https://klasma.github.io/Logging_1981/knärot/A 56704-2022 karta knärot.png", "A 56704-2022")</f>
        <v/>
      </c>
      <c r="V74">
        <f>HYPERLINK("https://klasma.github.io/Logging_1981/klagomål/A 56704-2022 FSC-klagomål.docx", "A 56704-2022")</f>
        <v/>
      </c>
      <c r="W74">
        <f>HYPERLINK("https://klasma.github.io/Logging_1981/klagomålsmail/A 56704-2022 FSC-klagomål mail.docx", "A 56704-2022")</f>
        <v/>
      </c>
      <c r="X74">
        <f>HYPERLINK("https://klasma.github.io/Logging_1981/tillsyn/A 56704-2022 tillsynsbegäran.docx", "A 56704-2022")</f>
        <v/>
      </c>
      <c r="Y74">
        <f>HYPERLINK("https://klasma.github.io/Logging_1981/tillsynsmail/A 56704-2022 tillsynsbegäran mail.docx", "A 56704-2022")</f>
        <v/>
      </c>
    </row>
    <row r="75" ht="15" customHeight="1">
      <c r="A75" t="inlineStr">
        <is>
          <t>A 7731-2023</t>
        </is>
      </c>
      <c r="B75" s="1" t="n">
        <v>44973</v>
      </c>
      <c r="C75" s="1" t="n">
        <v>45657</v>
      </c>
      <c r="D75" t="inlineStr">
        <is>
          <t>VÄSTMANLANDS LÄN</t>
        </is>
      </c>
      <c r="E75" t="inlineStr">
        <is>
          <t>SALA</t>
        </is>
      </c>
      <c r="F75" t="inlineStr">
        <is>
          <t>Bergvik skog öst AB</t>
        </is>
      </c>
      <c r="G75" t="n">
        <v>1.7</v>
      </c>
      <c r="H75" t="n">
        <v>1</v>
      </c>
      <c r="I75" t="n">
        <v>0</v>
      </c>
      <c r="J75" t="n">
        <v>1</v>
      </c>
      <c r="K75" t="n">
        <v>0</v>
      </c>
      <c r="L75" t="n">
        <v>0</v>
      </c>
      <c r="M75" t="n">
        <v>0</v>
      </c>
      <c r="N75" t="n">
        <v>0</v>
      </c>
      <c r="O75" t="n">
        <v>1</v>
      </c>
      <c r="P75" t="n">
        <v>0</v>
      </c>
      <c r="Q75" t="n">
        <v>1</v>
      </c>
      <c r="R75" s="2" t="inlineStr">
        <is>
          <t>Ävjepilört</t>
        </is>
      </c>
      <c r="S75">
        <f>HYPERLINK("https://klasma.github.io/Logging_1981/artfynd/A 7731-2023 artfynd.xlsx", "A 7731-2023")</f>
        <v/>
      </c>
      <c r="T75">
        <f>HYPERLINK("https://klasma.github.io/Logging_1981/kartor/A 7731-2023 karta.png", "A 7731-2023")</f>
        <v/>
      </c>
      <c r="V75">
        <f>HYPERLINK("https://klasma.github.io/Logging_1981/klagomål/A 7731-2023 FSC-klagomål.docx", "A 7731-2023")</f>
        <v/>
      </c>
      <c r="W75">
        <f>HYPERLINK("https://klasma.github.io/Logging_1981/klagomålsmail/A 7731-2023 FSC-klagomål mail.docx", "A 7731-2023")</f>
        <v/>
      </c>
      <c r="X75">
        <f>HYPERLINK("https://klasma.github.io/Logging_1981/tillsyn/A 7731-2023 tillsynsbegäran.docx", "A 7731-2023")</f>
        <v/>
      </c>
      <c r="Y75">
        <f>HYPERLINK("https://klasma.github.io/Logging_1981/tillsynsmail/A 7731-2023 tillsynsbegäran mail.docx", "A 7731-2023")</f>
        <v/>
      </c>
    </row>
    <row r="76" ht="15" customHeight="1">
      <c r="A76" t="inlineStr">
        <is>
          <t>A 14775-2023</t>
        </is>
      </c>
      <c r="B76" s="1" t="n">
        <v>45014</v>
      </c>
      <c r="C76" s="1" t="n">
        <v>45657</v>
      </c>
      <c r="D76" t="inlineStr">
        <is>
          <t>VÄSTMANLANDS LÄN</t>
        </is>
      </c>
      <c r="E76" t="inlineStr">
        <is>
          <t>SALA</t>
        </is>
      </c>
      <c r="G76" t="n">
        <v>1.3</v>
      </c>
      <c r="H76" t="n">
        <v>1</v>
      </c>
      <c r="I76" t="n">
        <v>0</v>
      </c>
      <c r="J76" t="n">
        <v>0</v>
      </c>
      <c r="K76" t="n">
        <v>1</v>
      </c>
      <c r="L76" t="n">
        <v>0</v>
      </c>
      <c r="M76" t="n">
        <v>0</v>
      </c>
      <c r="N76" t="n">
        <v>0</v>
      </c>
      <c r="O76" t="n">
        <v>1</v>
      </c>
      <c r="P76" t="n">
        <v>1</v>
      </c>
      <c r="Q76" t="n">
        <v>1</v>
      </c>
      <c r="R76" s="2" t="inlineStr">
        <is>
          <t>Knärot</t>
        </is>
      </c>
      <c r="S76">
        <f>HYPERLINK("https://klasma.github.io/Logging_1981/artfynd/A 14775-2023 artfynd.xlsx", "A 14775-2023")</f>
        <v/>
      </c>
      <c r="T76">
        <f>HYPERLINK("https://klasma.github.io/Logging_1981/kartor/A 14775-2023 karta.png", "A 14775-2023")</f>
        <v/>
      </c>
      <c r="U76">
        <f>HYPERLINK("https://klasma.github.io/Logging_1981/knärot/A 14775-2023 karta knärot.png", "A 14775-2023")</f>
        <v/>
      </c>
      <c r="V76">
        <f>HYPERLINK("https://klasma.github.io/Logging_1981/klagomål/A 14775-2023 FSC-klagomål.docx", "A 14775-2023")</f>
        <v/>
      </c>
      <c r="W76">
        <f>HYPERLINK("https://klasma.github.io/Logging_1981/klagomålsmail/A 14775-2023 FSC-klagomål mail.docx", "A 14775-2023")</f>
        <v/>
      </c>
      <c r="X76">
        <f>HYPERLINK("https://klasma.github.io/Logging_1981/tillsyn/A 14775-2023 tillsynsbegäran.docx", "A 14775-2023")</f>
        <v/>
      </c>
      <c r="Y76">
        <f>HYPERLINK("https://klasma.github.io/Logging_1981/tillsynsmail/A 14775-2023 tillsynsbegäran mail.docx", "A 14775-2023")</f>
        <v/>
      </c>
    </row>
    <row r="77" ht="15" customHeight="1">
      <c r="A77" t="inlineStr">
        <is>
          <t>A 29727-2023</t>
        </is>
      </c>
      <c r="B77" s="1" t="n">
        <v>45107</v>
      </c>
      <c r="C77" s="1" t="n">
        <v>45657</v>
      </c>
      <c r="D77" t="inlineStr">
        <is>
          <t>VÄSTMANLANDS LÄN</t>
        </is>
      </c>
      <c r="E77" t="inlineStr">
        <is>
          <t>SALA</t>
        </is>
      </c>
      <c r="G77" t="n">
        <v>1.9</v>
      </c>
      <c r="H77" t="n">
        <v>0</v>
      </c>
      <c r="I77" t="n">
        <v>0</v>
      </c>
      <c r="J77" t="n">
        <v>1</v>
      </c>
      <c r="K77" t="n">
        <v>0</v>
      </c>
      <c r="L77" t="n">
        <v>0</v>
      </c>
      <c r="M77" t="n">
        <v>0</v>
      </c>
      <c r="N77" t="n">
        <v>0</v>
      </c>
      <c r="O77" t="n">
        <v>1</v>
      </c>
      <c r="P77" t="n">
        <v>0</v>
      </c>
      <c r="Q77" t="n">
        <v>1</v>
      </c>
      <c r="R77" s="2" t="inlineStr">
        <is>
          <t>Vedtrappmossa</t>
        </is>
      </c>
      <c r="S77">
        <f>HYPERLINK("https://klasma.github.io/Logging_1981/artfynd/A 29727-2023 artfynd.xlsx", "A 29727-2023")</f>
        <v/>
      </c>
      <c r="T77">
        <f>HYPERLINK("https://klasma.github.io/Logging_1981/kartor/A 29727-2023 karta.png", "A 29727-2023")</f>
        <v/>
      </c>
      <c r="V77">
        <f>HYPERLINK("https://klasma.github.io/Logging_1981/klagomål/A 29727-2023 FSC-klagomål.docx", "A 29727-2023")</f>
        <v/>
      </c>
      <c r="W77">
        <f>HYPERLINK("https://klasma.github.io/Logging_1981/klagomålsmail/A 29727-2023 FSC-klagomål mail.docx", "A 29727-2023")</f>
        <v/>
      </c>
      <c r="X77">
        <f>HYPERLINK("https://klasma.github.io/Logging_1981/tillsyn/A 29727-2023 tillsynsbegäran.docx", "A 29727-2023")</f>
        <v/>
      </c>
      <c r="Y77">
        <f>HYPERLINK("https://klasma.github.io/Logging_1981/tillsynsmail/A 29727-2023 tillsynsbegäran mail.docx", "A 29727-2023")</f>
        <v/>
      </c>
    </row>
    <row r="78" ht="15" customHeight="1">
      <c r="A78" t="inlineStr">
        <is>
          <t>A 31535-2023</t>
        </is>
      </c>
      <c r="B78" s="1" t="n">
        <v>45116</v>
      </c>
      <c r="C78" s="1" t="n">
        <v>45657</v>
      </c>
      <c r="D78" t="inlineStr">
        <is>
          <t>VÄSTMANLANDS LÄN</t>
        </is>
      </c>
      <c r="E78" t="inlineStr">
        <is>
          <t>SALA</t>
        </is>
      </c>
      <c r="G78" t="n">
        <v>0.9</v>
      </c>
      <c r="H78" t="n">
        <v>0</v>
      </c>
      <c r="I78" t="n">
        <v>0</v>
      </c>
      <c r="J78" t="n">
        <v>1</v>
      </c>
      <c r="K78" t="n">
        <v>0</v>
      </c>
      <c r="L78" t="n">
        <v>0</v>
      </c>
      <c r="M78" t="n">
        <v>0</v>
      </c>
      <c r="N78" t="n">
        <v>0</v>
      </c>
      <c r="O78" t="n">
        <v>1</v>
      </c>
      <c r="P78" t="n">
        <v>0</v>
      </c>
      <c r="Q78" t="n">
        <v>1</v>
      </c>
      <c r="R78" s="2" t="inlineStr">
        <is>
          <t>Orange taggsvamp</t>
        </is>
      </c>
      <c r="S78">
        <f>HYPERLINK("https://klasma.github.io/Logging_1981/artfynd/A 31535-2023 artfynd.xlsx", "A 31535-2023")</f>
        <v/>
      </c>
      <c r="T78">
        <f>HYPERLINK("https://klasma.github.io/Logging_1981/kartor/A 31535-2023 karta.png", "A 31535-2023")</f>
        <v/>
      </c>
      <c r="V78">
        <f>HYPERLINK("https://klasma.github.io/Logging_1981/klagomål/A 31535-2023 FSC-klagomål.docx", "A 31535-2023")</f>
        <v/>
      </c>
      <c r="W78">
        <f>HYPERLINK("https://klasma.github.io/Logging_1981/klagomålsmail/A 31535-2023 FSC-klagomål mail.docx", "A 31535-2023")</f>
        <v/>
      </c>
      <c r="X78">
        <f>HYPERLINK("https://klasma.github.io/Logging_1981/tillsyn/A 31535-2023 tillsynsbegäran.docx", "A 31535-2023")</f>
        <v/>
      </c>
      <c r="Y78">
        <f>HYPERLINK("https://klasma.github.io/Logging_1981/tillsynsmail/A 31535-2023 tillsynsbegäran mail.docx", "A 31535-2023")</f>
        <v/>
      </c>
    </row>
    <row r="79" ht="15" customHeight="1">
      <c r="A79" t="inlineStr">
        <is>
          <t>A 43175-2023</t>
        </is>
      </c>
      <c r="B79" s="1" t="n">
        <v>45183</v>
      </c>
      <c r="C79" s="1" t="n">
        <v>45657</v>
      </c>
      <c r="D79" t="inlineStr">
        <is>
          <t>VÄSTMANLANDS LÄN</t>
        </is>
      </c>
      <c r="E79" t="inlineStr">
        <is>
          <t>SALA</t>
        </is>
      </c>
      <c r="G79" t="n">
        <v>5.6</v>
      </c>
      <c r="H79" t="n">
        <v>0</v>
      </c>
      <c r="I79" t="n">
        <v>1</v>
      </c>
      <c r="J79" t="n">
        <v>0</v>
      </c>
      <c r="K79" t="n">
        <v>0</v>
      </c>
      <c r="L79" t="n">
        <v>0</v>
      </c>
      <c r="M79" t="n">
        <v>0</v>
      </c>
      <c r="N79" t="n">
        <v>0</v>
      </c>
      <c r="O79" t="n">
        <v>0</v>
      </c>
      <c r="P79" t="n">
        <v>0</v>
      </c>
      <c r="Q79" t="n">
        <v>1</v>
      </c>
      <c r="R79" s="2" t="inlineStr">
        <is>
          <t>Grönpyrola</t>
        </is>
      </c>
      <c r="S79">
        <f>HYPERLINK("https://klasma.github.io/Logging_1981/artfynd/A 43175-2023 artfynd.xlsx", "A 43175-2023")</f>
        <v/>
      </c>
      <c r="T79">
        <f>HYPERLINK("https://klasma.github.io/Logging_1981/kartor/A 43175-2023 karta.png", "A 43175-2023")</f>
        <v/>
      </c>
      <c r="V79">
        <f>HYPERLINK("https://klasma.github.io/Logging_1981/klagomål/A 43175-2023 FSC-klagomål.docx", "A 43175-2023")</f>
        <v/>
      </c>
      <c r="W79">
        <f>HYPERLINK("https://klasma.github.io/Logging_1981/klagomålsmail/A 43175-2023 FSC-klagomål mail.docx", "A 43175-2023")</f>
        <v/>
      </c>
      <c r="X79">
        <f>HYPERLINK("https://klasma.github.io/Logging_1981/tillsyn/A 43175-2023 tillsynsbegäran.docx", "A 43175-2023")</f>
        <v/>
      </c>
      <c r="Y79">
        <f>HYPERLINK("https://klasma.github.io/Logging_1981/tillsynsmail/A 43175-2023 tillsynsbegäran mail.docx", "A 43175-2023")</f>
        <v/>
      </c>
    </row>
    <row r="80" ht="15" customHeight="1">
      <c r="A80" t="inlineStr">
        <is>
          <t>A 55550-2023</t>
        </is>
      </c>
      <c r="B80" s="1" t="n">
        <v>45232</v>
      </c>
      <c r="C80" s="1" t="n">
        <v>45657</v>
      </c>
      <c r="D80" t="inlineStr">
        <is>
          <t>VÄSTMANLANDS LÄN</t>
        </is>
      </c>
      <c r="E80" t="inlineStr">
        <is>
          <t>SALA</t>
        </is>
      </c>
      <c r="G80" t="n">
        <v>9.9</v>
      </c>
      <c r="H80" t="n">
        <v>1</v>
      </c>
      <c r="I80" t="n">
        <v>0</v>
      </c>
      <c r="J80" t="n">
        <v>0</v>
      </c>
      <c r="K80" t="n">
        <v>1</v>
      </c>
      <c r="L80" t="n">
        <v>0</v>
      </c>
      <c r="M80" t="n">
        <v>0</v>
      </c>
      <c r="N80" t="n">
        <v>0</v>
      </c>
      <c r="O80" t="n">
        <v>1</v>
      </c>
      <c r="P80" t="n">
        <v>1</v>
      </c>
      <c r="Q80" t="n">
        <v>1</v>
      </c>
      <c r="R80" s="2" t="inlineStr">
        <is>
          <t>Knärot</t>
        </is>
      </c>
      <c r="S80">
        <f>HYPERLINK("https://klasma.github.io/Logging_1981/artfynd/A 55550-2023 artfynd.xlsx", "A 55550-2023")</f>
        <v/>
      </c>
      <c r="T80">
        <f>HYPERLINK("https://klasma.github.io/Logging_1981/kartor/A 55550-2023 karta.png", "A 55550-2023")</f>
        <v/>
      </c>
      <c r="U80">
        <f>HYPERLINK("https://klasma.github.io/Logging_1981/knärot/A 55550-2023 karta knärot.png", "A 55550-2023")</f>
        <v/>
      </c>
      <c r="V80">
        <f>HYPERLINK("https://klasma.github.io/Logging_1981/klagomål/A 55550-2023 FSC-klagomål.docx", "A 55550-2023")</f>
        <v/>
      </c>
      <c r="W80">
        <f>HYPERLINK("https://klasma.github.io/Logging_1981/klagomålsmail/A 55550-2023 FSC-klagomål mail.docx", "A 55550-2023")</f>
        <v/>
      </c>
      <c r="X80">
        <f>HYPERLINK("https://klasma.github.io/Logging_1981/tillsyn/A 55550-2023 tillsynsbegäran.docx", "A 55550-2023")</f>
        <v/>
      </c>
      <c r="Y80">
        <f>HYPERLINK("https://klasma.github.io/Logging_1981/tillsynsmail/A 55550-2023 tillsynsbegäran mail.docx", "A 55550-2023")</f>
        <v/>
      </c>
    </row>
    <row r="81" ht="15" customHeight="1">
      <c r="A81" t="inlineStr">
        <is>
          <t>A 3534-2024</t>
        </is>
      </c>
      <c r="B81" s="1" t="n">
        <v>45320</v>
      </c>
      <c r="C81" s="1" t="n">
        <v>45657</v>
      </c>
      <c r="D81" t="inlineStr">
        <is>
          <t>VÄSTMANLANDS LÄN</t>
        </is>
      </c>
      <c r="E81" t="inlineStr">
        <is>
          <t>SALA</t>
        </is>
      </c>
      <c r="G81" t="n">
        <v>1.9</v>
      </c>
      <c r="H81" t="n">
        <v>1</v>
      </c>
      <c r="I81" t="n">
        <v>0</v>
      </c>
      <c r="J81" t="n">
        <v>0</v>
      </c>
      <c r="K81" t="n">
        <v>0</v>
      </c>
      <c r="L81" t="n">
        <v>1</v>
      </c>
      <c r="M81" t="n">
        <v>0</v>
      </c>
      <c r="N81" t="n">
        <v>0</v>
      </c>
      <c r="O81" t="n">
        <v>1</v>
      </c>
      <c r="P81" t="n">
        <v>1</v>
      </c>
      <c r="Q81" t="n">
        <v>1</v>
      </c>
      <c r="R81" s="2" t="inlineStr">
        <is>
          <t>Mosippa</t>
        </is>
      </c>
      <c r="S81">
        <f>HYPERLINK("https://klasma.github.io/Logging_1981/artfynd/A 3534-2024 artfynd.xlsx", "A 3534-2024")</f>
        <v/>
      </c>
      <c r="T81">
        <f>HYPERLINK("https://klasma.github.io/Logging_1981/kartor/A 3534-2024 karta.png", "A 3534-2024")</f>
        <v/>
      </c>
      <c r="V81">
        <f>HYPERLINK("https://klasma.github.io/Logging_1981/klagomål/A 3534-2024 FSC-klagomål.docx", "A 3534-2024")</f>
        <v/>
      </c>
      <c r="W81">
        <f>HYPERLINK("https://klasma.github.io/Logging_1981/klagomålsmail/A 3534-2024 FSC-klagomål mail.docx", "A 3534-2024")</f>
        <v/>
      </c>
      <c r="X81">
        <f>HYPERLINK("https://klasma.github.io/Logging_1981/tillsyn/A 3534-2024 tillsynsbegäran.docx", "A 3534-2024")</f>
        <v/>
      </c>
      <c r="Y81">
        <f>HYPERLINK("https://klasma.github.io/Logging_1981/tillsynsmail/A 3534-2024 tillsynsbegäran mail.docx", "A 3534-2024")</f>
        <v/>
      </c>
    </row>
    <row r="82" ht="15" customHeight="1">
      <c r="A82" t="inlineStr">
        <is>
          <t>A 12434-2024</t>
        </is>
      </c>
      <c r="B82" s="1" t="n">
        <v>45379</v>
      </c>
      <c r="C82" s="1" t="n">
        <v>45657</v>
      </c>
      <c r="D82" t="inlineStr">
        <is>
          <t>VÄSTMANLANDS LÄN</t>
        </is>
      </c>
      <c r="E82" t="inlineStr">
        <is>
          <t>SALA</t>
        </is>
      </c>
      <c r="G82" t="n">
        <v>7.8</v>
      </c>
      <c r="H82" t="n">
        <v>1</v>
      </c>
      <c r="I82" t="n">
        <v>0</v>
      </c>
      <c r="J82" t="n">
        <v>0</v>
      </c>
      <c r="K82" t="n">
        <v>1</v>
      </c>
      <c r="L82" t="n">
        <v>0</v>
      </c>
      <c r="M82" t="n">
        <v>0</v>
      </c>
      <c r="N82" t="n">
        <v>0</v>
      </c>
      <c r="O82" t="n">
        <v>1</v>
      </c>
      <c r="P82" t="n">
        <v>1</v>
      </c>
      <c r="Q82" t="n">
        <v>1</v>
      </c>
      <c r="R82" s="2" t="inlineStr">
        <is>
          <t>Knärot</t>
        </is>
      </c>
      <c r="S82">
        <f>HYPERLINK("https://klasma.github.io/Logging_1981/artfynd/A 12434-2024 artfynd.xlsx", "A 12434-2024")</f>
        <v/>
      </c>
      <c r="T82">
        <f>HYPERLINK("https://klasma.github.io/Logging_1981/kartor/A 12434-2024 karta.png", "A 12434-2024")</f>
        <v/>
      </c>
      <c r="U82">
        <f>HYPERLINK("https://klasma.github.io/Logging_1981/knärot/A 12434-2024 karta knärot.png", "A 12434-2024")</f>
        <v/>
      </c>
      <c r="V82">
        <f>HYPERLINK("https://klasma.github.io/Logging_1981/klagomål/A 12434-2024 FSC-klagomål.docx", "A 12434-2024")</f>
        <v/>
      </c>
      <c r="W82">
        <f>HYPERLINK("https://klasma.github.io/Logging_1981/klagomålsmail/A 12434-2024 FSC-klagomål mail.docx", "A 12434-2024")</f>
        <v/>
      </c>
      <c r="X82">
        <f>HYPERLINK("https://klasma.github.io/Logging_1981/tillsyn/A 12434-2024 tillsynsbegäran.docx", "A 12434-2024")</f>
        <v/>
      </c>
      <c r="Y82">
        <f>HYPERLINK("https://klasma.github.io/Logging_1981/tillsynsmail/A 12434-2024 tillsynsbegäran mail.docx", "A 12434-2024")</f>
        <v/>
      </c>
    </row>
    <row r="83" ht="15" customHeight="1">
      <c r="A83" t="inlineStr">
        <is>
          <t>A 19716-2024</t>
        </is>
      </c>
      <c r="B83" s="1" t="n">
        <v>45432</v>
      </c>
      <c r="C83" s="1" t="n">
        <v>45657</v>
      </c>
      <c r="D83" t="inlineStr">
        <is>
          <t>VÄSTMANLANDS LÄN</t>
        </is>
      </c>
      <c r="E83" t="inlineStr">
        <is>
          <t>SALA</t>
        </is>
      </c>
      <c r="G83" t="n">
        <v>5.5</v>
      </c>
      <c r="H83" t="n">
        <v>1</v>
      </c>
      <c r="I83" t="n">
        <v>0</v>
      </c>
      <c r="J83" t="n">
        <v>0</v>
      </c>
      <c r="K83" t="n">
        <v>0</v>
      </c>
      <c r="L83" t="n">
        <v>0</v>
      </c>
      <c r="M83" t="n">
        <v>0</v>
      </c>
      <c r="N83" t="n">
        <v>0</v>
      </c>
      <c r="O83" t="n">
        <v>0</v>
      </c>
      <c r="P83" t="n">
        <v>0</v>
      </c>
      <c r="Q83" t="n">
        <v>1</v>
      </c>
      <c r="R83" s="2" t="inlineStr">
        <is>
          <t>Fläcknycklar</t>
        </is>
      </c>
      <c r="S83">
        <f>HYPERLINK("https://klasma.github.io/Logging_1981/artfynd/A 19716-2024 artfynd.xlsx", "A 19716-2024")</f>
        <v/>
      </c>
      <c r="T83">
        <f>HYPERLINK("https://klasma.github.io/Logging_1981/kartor/A 19716-2024 karta.png", "A 19716-2024")</f>
        <v/>
      </c>
      <c r="V83">
        <f>HYPERLINK("https://klasma.github.io/Logging_1981/klagomål/A 19716-2024 FSC-klagomål.docx", "A 19716-2024")</f>
        <v/>
      </c>
      <c r="W83">
        <f>HYPERLINK("https://klasma.github.io/Logging_1981/klagomålsmail/A 19716-2024 FSC-klagomål mail.docx", "A 19716-2024")</f>
        <v/>
      </c>
      <c r="X83">
        <f>HYPERLINK("https://klasma.github.io/Logging_1981/tillsyn/A 19716-2024 tillsynsbegäran.docx", "A 19716-2024")</f>
        <v/>
      </c>
      <c r="Y83">
        <f>HYPERLINK("https://klasma.github.io/Logging_1981/tillsynsmail/A 19716-2024 tillsynsbegäran mail.docx", "A 19716-2024")</f>
        <v/>
      </c>
    </row>
    <row r="84" ht="15" customHeight="1">
      <c r="A84" t="inlineStr">
        <is>
          <t>A 22350-2024</t>
        </is>
      </c>
      <c r="B84" s="1" t="n">
        <v>45446</v>
      </c>
      <c r="C84" s="1" t="n">
        <v>45657</v>
      </c>
      <c r="D84" t="inlineStr">
        <is>
          <t>VÄSTMANLANDS LÄN</t>
        </is>
      </c>
      <c r="E84" t="inlineStr">
        <is>
          <t>SALA</t>
        </is>
      </c>
      <c r="G84" t="n">
        <v>1.2</v>
      </c>
      <c r="H84" t="n">
        <v>1</v>
      </c>
      <c r="I84" t="n">
        <v>0</v>
      </c>
      <c r="J84" t="n">
        <v>0</v>
      </c>
      <c r="K84" t="n">
        <v>0</v>
      </c>
      <c r="L84" t="n">
        <v>0</v>
      </c>
      <c r="M84" t="n">
        <v>0</v>
      </c>
      <c r="N84" t="n">
        <v>0</v>
      </c>
      <c r="O84" t="n">
        <v>0</v>
      </c>
      <c r="P84" t="n">
        <v>0</v>
      </c>
      <c r="Q84" t="n">
        <v>1</v>
      </c>
      <c r="R84" s="2" t="inlineStr">
        <is>
          <t>Blåsippa</t>
        </is>
      </c>
      <c r="S84">
        <f>HYPERLINK("https://klasma.github.io/Logging_1981/artfynd/A 22350-2024 artfynd.xlsx", "A 22350-2024")</f>
        <v/>
      </c>
      <c r="T84">
        <f>HYPERLINK("https://klasma.github.io/Logging_1981/kartor/A 22350-2024 karta.png", "A 22350-2024")</f>
        <v/>
      </c>
      <c r="V84">
        <f>HYPERLINK("https://klasma.github.io/Logging_1981/klagomål/A 22350-2024 FSC-klagomål.docx", "A 22350-2024")</f>
        <v/>
      </c>
      <c r="W84">
        <f>HYPERLINK("https://klasma.github.io/Logging_1981/klagomålsmail/A 22350-2024 FSC-klagomål mail.docx", "A 22350-2024")</f>
        <v/>
      </c>
      <c r="X84">
        <f>HYPERLINK("https://klasma.github.io/Logging_1981/tillsyn/A 22350-2024 tillsynsbegäran.docx", "A 22350-2024")</f>
        <v/>
      </c>
      <c r="Y84">
        <f>HYPERLINK("https://klasma.github.io/Logging_1981/tillsynsmail/A 22350-2024 tillsynsbegäran mail.docx", "A 22350-2024")</f>
        <v/>
      </c>
    </row>
    <row r="85" ht="15" customHeight="1">
      <c r="A85" t="inlineStr">
        <is>
          <t>A 27591-2024</t>
        </is>
      </c>
      <c r="B85" s="1" t="n">
        <v>45474</v>
      </c>
      <c r="C85" s="1" t="n">
        <v>45657</v>
      </c>
      <c r="D85" t="inlineStr">
        <is>
          <t>VÄSTMANLANDS LÄN</t>
        </is>
      </c>
      <c r="E85" t="inlineStr">
        <is>
          <t>SALA</t>
        </is>
      </c>
      <c r="G85" t="n">
        <v>5.1</v>
      </c>
      <c r="H85" t="n">
        <v>1</v>
      </c>
      <c r="I85" t="n">
        <v>0</v>
      </c>
      <c r="J85" t="n">
        <v>1</v>
      </c>
      <c r="K85" t="n">
        <v>0</v>
      </c>
      <c r="L85" t="n">
        <v>0</v>
      </c>
      <c r="M85" t="n">
        <v>0</v>
      </c>
      <c r="N85" t="n">
        <v>0</v>
      </c>
      <c r="O85" t="n">
        <v>1</v>
      </c>
      <c r="P85" t="n">
        <v>0</v>
      </c>
      <c r="Q85" t="n">
        <v>1</v>
      </c>
      <c r="R85" s="2" t="inlineStr">
        <is>
          <t>Spillkråka</t>
        </is>
      </c>
      <c r="S85">
        <f>HYPERLINK("https://klasma.github.io/Logging_1981/artfynd/A 27591-2024 artfynd.xlsx", "A 27591-2024")</f>
        <v/>
      </c>
      <c r="T85">
        <f>HYPERLINK("https://klasma.github.io/Logging_1981/kartor/A 27591-2024 karta.png", "A 27591-2024")</f>
        <v/>
      </c>
      <c r="V85">
        <f>HYPERLINK("https://klasma.github.io/Logging_1981/klagomål/A 27591-2024 FSC-klagomål.docx", "A 27591-2024")</f>
        <v/>
      </c>
      <c r="W85">
        <f>HYPERLINK("https://klasma.github.io/Logging_1981/klagomålsmail/A 27591-2024 FSC-klagomål mail.docx", "A 27591-2024")</f>
        <v/>
      </c>
      <c r="X85">
        <f>HYPERLINK("https://klasma.github.io/Logging_1981/tillsyn/A 27591-2024 tillsynsbegäran.docx", "A 27591-2024")</f>
        <v/>
      </c>
      <c r="Y85">
        <f>HYPERLINK("https://klasma.github.io/Logging_1981/tillsynsmail/A 27591-2024 tillsynsbegäran mail.docx", "A 27591-2024")</f>
        <v/>
      </c>
      <c r="Z85">
        <f>HYPERLINK("https://klasma.github.io/Logging_1981/fåglar/A 27591-2024 prioriterade fågelarter.docx", "A 27591-2024")</f>
        <v/>
      </c>
    </row>
    <row r="86" ht="15" customHeight="1">
      <c r="A86" t="inlineStr">
        <is>
          <t>A 37166-2024</t>
        </is>
      </c>
      <c r="B86" s="1" t="n">
        <v>45539</v>
      </c>
      <c r="C86" s="1" t="n">
        <v>45657</v>
      </c>
      <c r="D86" t="inlineStr">
        <is>
          <t>VÄSTMANLANDS LÄN</t>
        </is>
      </c>
      <c r="E86" t="inlineStr">
        <is>
          <t>SALA</t>
        </is>
      </c>
      <c r="G86" t="n">
        <v>1.3</v>
      </c>
      <c r="H86" t="n">
        <v>1</v>
      </c>
      <c r="I86" t="n">
        <v>0</v>
      </c>
      <c r="J86" t="n">
        <v>0</v>
      </c>
      <c r="K86" t="n">
        <v>1</v>
      </c>
      <c r="L86" t="n">
        <v>0</v>
      </c>
      <c r="M86" t="n">
        <v>0</v>
      </c>
      <c r="N86" t="n">
        <v>0</v>
      </c>
      <c r="O86" t="n">
        <v>1</v>
      </c>
      <c r="P86" t="n">
        <v>1</v>
      </c>
      <c r="Q86" t="n">
        <v>1</v>
      </c>
      <c r="R86" s="2" t="inlineStr">
        <is>
          <t>Knärot</t>
        </is>
      </c>
      <c r="S86">
        <f>HYPERLINK("https://klasma.github.io/Logging_1981/artfynd/A 37166-2024 artfynd.xlsx", "A 37166-2024")</f>
        <v/>
      </c>
      <c r="T86">
        <f>HYPERLINK("https://klasma.github.io/Logging_1981/kartor/A 37166-2024 karta.png", "A 37166-2024")</f>
        <v/>
      </c>
      <c r="U86">
        <f>HYPERLINK("https://klasma.github.io/Logging_1981/knärot/A 37166-2024 karta knärot.png", "A 37166-2024")</f>
        <v/>
      </c>
      <c r="V86">
        <f>HYPERLINK("https://klasma.github.io/Logging_1981/klagomål/A 37166-2024 FSC-klagomål.docx", "A 37166-2024")</f>
        <v/>
      </c>
      <c r="W86">
        <f>HYPERLINK("https://klasma.github.io/Logging_1981/klagomålsmail/A 37166-2024 FSC-klagomål mail.docx", "A 37166-2024")</f>
        <v/>
      </c>
      <c r="X86">
        <f>HYPERLINK("https://klasma.github.io/Logging_1981/tillsyn/A 37166-2024 tillsynsbegäran.docx", "A 37166-2024")</f>
        <v/>
      </c>
      <c r="Y86">
        <f>HYPERLINK("https://klasma.github.io/Logging_1981/tillsynsmail/A 37166-2024 tillsynsbegäran mail.docx", "A 37166-2024")</f>
        <v/>
      </c>
    </row>
    <row r="87" ht="15" customHeight="1">
      <c r="A87" t="inlineStr">
        <is>
          <t>A 41270-2024</t>
        </is>
      </c>
      <c r="B87" s="1" t="n">
        <v>45559</v>
      </c>
      <c r="C87" s="1" t="n">
        <v>45657</v>
      </c>
      <c r="D87" t="inlineStr">
        <is>
          <t>VÄSTMANLANDS LÄN</t>
        </is>
      </c>
      <c r="E87" t="inlineStr">
        <is>
          <t>SALA</t>
        </is>
      </c>
      <c r="G87" t="n">
        <v>15.2</v>
      </c>
      <c r="H87" t="n">
        <v>1</v>
      </c>
      <c r="I87" t="n">
        <v>0</v>
      </c>
      <c r="J87" t="n">
        <v>1</v>
      </c>
      <c r="K87" t="n">
        <v>0</v>
      </c>
      <c r="L87" t="n">
        <v>0</v>
      </c>
      <c r="M87" t="n">
        <v>0</v>
      </c>
      <c r="N87" t="n">
        <v>0</v>
      </c>
      <c r="O87" t="n">
        <v>1</v>
      </c>
      <c r="P87" t="n">
        <v>0</v>
      </c>
      <c r="Q87" t="n">
        <v>1</v>
      </c>
      <c r="R87" s="2" t="inlineStr">
        <is>
          <t>Havsörn</t>
        </is>
      </c>
      <c r="S87">
        <f>HYPERLINK("https://klasma.github.io/Logging_1981/artfynd/A 41270-2024 artfynd.xlsx", "A 41270-2024")</f>
        <v/>
      </c>
      <c r="T87">
        <f>HYPERLINK("https://klasma.github.io/Logging_1981/kartor/A 41270-2024 karta.png", "A 41270-2024")</f>
        <v/>
      </c>
      <c r="V87">
        <f>HYPERLINK("https://klasma.github.io/Logging_1981/klagomål/A 41270-2024 FSC-klagomål.docx", "A 41270-2024")</f>
        <v/>
      </c>
      <c r="W87">
        <f>HYPERLINK("https://klasma.github.io/Logging_1981/klagomålsmail/A 41270-2024 FSC-klagomål mail.docx", "A 41270-2024")</f>
        <v/>
      </c>
      <c r="X87">
        <f>HYPERLINK("https://klasma.github.io/Logging_1981/tillsyn/A 41270-2024 tillsynsbegäran.docx", "A 41270-2024")</f>
        <v/>
      </c>
      <c r="Y87">
        <f>HYPERLINK("https://klasma.github.io/Logging_1981/tillsynsmail/A 41270-2024 tillsynsbegäran mail.docx", "A 41270-2024")</f>
        <v/>
      </c>
      <c r="Z87">
        <f>HYPERLINK("https://klasma.github.io/Logging_1981/fåglar/A 41270-2024 prioriterade fågelarter.docx", "A 41270-2024")</f>
        <v/>
      </c>
    </row>
    <row r="88" ht="15" customHeight="1">
      <c r="A88" t="inlineStr">
        <is>
          <t>A 43068-2024</t>
        </is>
      </c>
      <c r="B88" s="1" t="n">
        <v>45567</v>
      </c>
      <c r="C88" s="1" t="n">
        <v>45657</v>
      </c>
      <c r="D88" t="inlineStr">
        <is>
          <t>VÄSTMANLANDS LÄN</t>
        </is>
      </c>
      <c r="E88" t="inlineStr">
        <is>
          <t>SALA</t>
        </is>
      </c>
      <c r="G88" t="n">
        <v>1.1</v>
      </c>
      <c r="H88" t="n">
        <v>0</v>
      </c>
      <c r="I88" t="n">
        <v>1</v>
      </c>
      <c r="J88" t="n">
        <v>0</v>
      </c>
      <c r="K88" t="n">
        <v>0</v>
      </c>
      <c r="L88" t="n">
        <v>0</v>
      </c>
      <c r="M88" t="n">
        <v>0</v>
      </c>
      <c r="N88" t="n">
        <v>0</v>
      </c>
      <c r="O88" t="n">
        <v>0</v>
      </c>
      <c r="P88" t="n">
        <v>0</v>
      </c>
      <c r="Q88" t="n">
        <v>1</v>
      </c>
      <c r="R88" s="2" t="inlineStr">
        <is>
          <t>Vedticka</t>
        </is>
      </c>
      <c r="S88">
        <f>HYPERLINK("https://klasma.github.io/Logging_1981/artfynd/A 43068-2024 artfynd.xlsx", "A 43068-2024")</f>
        <v/>
      </c>
      <c r="T88">
        <f>HYPERLINK("https://klasma.github.io/Logging_1981/kartor/A 43068-2024 karta.png", "A 43068-2024")</f>
        <v/>
      </c>
      <c r="V88">
        <f>HYPERLINK("https://klasma.github.io/Logging_1981/klagomål/A 43068-2024 FSC-klagomål.docx", "A 43068-2024")</f>
        <v/>
      </c>
      <c r="W88">
        <f>HYPERLINK("https://klasma.github.io/Logging_1981/klagomålsmail/A 43068-2024 FSC-klagomål mail.docx", "A 43068-2024")</f>
        <v/>
      </c>
      <c r="X88">
        <f>HYPERLINK("https://klasma.github.io/Logging_1981/tillsyn/A 43068-2024 tillsynsbegäran.docx", "A 43068-2024")</f>
        <v/>
      </c>
      <c r="Y88">
        <f>HYPERLINK("https://klasma.github.io/Logging_1981/tillsynsmail/A 43068-2024 tillsynsbegäran mail.docx", "A 43068-2024")</f>
        <v/>
      </c>
    </row>
    <row r="89" ht="15" customHeight="1">
      <c r="A89" t="inlineStr">
        <is>
          <t>A 58711-2024</t>
        </is>
      </c>
      <c r="B89" s="1" t="n">
        <v>45635</v>
      </c>
      <c r="C89" s="1" t="n">
        <v>45657</v>
      </c>
      <c r="D89" t="inlineStr">
        <is>
          <t>VÄSTMANLANDS LÄN</t>
        </is>
      </c>
      <c r="E89" t="inlineStr">
        <is>
          <t>SALA</t>
        </is>
      </c>
      <c r="G89" t="n">
        <v>1.5</v>
      </c>
      <c r="H89" t="n">
        <v>1</v>
      </c>
      <c r="I89" t="n">
        <v>0</v>
      </c>
      <c r="J89" t="n">
        <v>0</v>
      </c>
      <c r="K89" t="n">
        <v>0</v>
      </c>
      <c r="L89" t="n">
        <v>0</v>
      </c>
      <c r="M89" t="n">
        <v>0</v>
      </c>
      <c r="N89" t="n">
        <v>0</v>
      </c>
      <c r="O89" t="n">
        <v>0</v>
      </c>
      <c r="P89" t="n">
        <v>0</v>
      </c>
      <c r="Q89" t="n">
        <v>1</v>
      </c>
      <c r="R89" s="2" t="inlineStr">
        <is>
          <t>Gröngöling</t>
        </is>
      </c>
      <c r="S89">
        <f>HYPERLINK("https://klasma.github.io/Logging_1981/artfynd/A 58711-2024 artfynd.xlsx", "A 58711-2024")</f>
        <v/>
      </c>
      <c r="T89">
        <f>HYPERLINK("https://klasma.github.io/Logging_1981/kartor/A 58711-2024 karta.png", "A 58711-2024")</f>
        <v/>
      </c>
      <c r="V89">
        <f>HYPERLINK("https://klasma.github.io/Logging_1981/klagomål/A 58711-2024 FSC-klagomål.docx", "A 58711-2024")</f>
        <v/>
      </c>
      <c r="W89">
        <f>HYPERLINK("https://klasma.github.io/Logging_1981/klagomålsmail/A 58711-2024 FSC-klagomål mail.docx", "A 58711-2024")</f>
        <v/>
      </c>
      <c r="X89">
        <f>HYPERLINK("https://klasma.github.io/Logging_1981/tillsyn/A 58711-2024 tillsynsbegäran.docx", "A 58711-2024")</f>
        <v/>
      </c>
      <c r="Y89">
        <f>HYPERLINK("https://klasma.github.io/Logging_1981/tillsynsmail/A 58711-2024 tillsynsbegäran mail.docx", "A 58711-2024")</f>
        <v/>
      </c>
      <c r="Z89">
        <f>HYPERLINK("https://klasma.github.io/Logging_1981/fåglar/A 58711-2024 prioriterade fågelarter.docx", "A 58711-2024")</f>
        <v/>
      </c>
    </row>
    <row r="90" ht="15" customHeight="1">
      <c r="A90" t="inlineStr">
        <is>
          <t>A 18255-2019</t>
        </is>
      </c>
      <c r="B90" s="1" t="n">
        <v>43558</v>
      </c>
      <c r="C90" s="1" t="n">
        <v>45657</v>
      </c>
      <c r="D90" t="inlineStr">
        <is>
          <t>VÄSTMANLANDS LÄN</t>
        </is>
      </c>
      <c r="E90" t="inlineStr">
        <is>
          <t>SALA</t>
        </is>
      </c>
      <c r="F90" t="inlineStr">
        <is>
          <t>Kommuner</t>
        </is>
      </c>
      <c r="G90" t="n">
        <v>2.2</v>
      </c>
      <c r="H90" t="n">
        <v>0</v>
      </c>
      <c r="I90" t="n">
        <v>0</v>
      </c>
      <c r="J90" t="n">
        <v>0</v>
      </c>
      <c r="K90" t="n">
        <v>0</v>
      </c>
      <c r="L90" t="n">
        <v>0</v>
      </c>
      <c r="M90" t="n">
        <v>0</v>
      </c>
      <c r="N90" t="n">
        <v>0</v>
      </c>
      <c r="O90" t="n">
        <v>0</v>
      </c>
      <c r="P90" t="n">
        <v>0</v>
      </c>
      <c r="Q90" t="n">
        <v>0</v>
      </c>
      <c r="R90" s="2" t="inlineStr"/>
    </row>
    <row r="91" ht="15" customHeight="1">
      <c r="A91" t="inlineStr">
        <is>
          <t>A 18352-2019</t>
        </is>
      </c>
      <c r="B91" s="1" t="n">
        <v>43559</v>
      </c>
      <c r="C91" s="1" t="n">
        <v>45657</v>
      </c>
      <c r="D91" t="inlineStr">
        <is>
          <t>VÄSTMANLANDS LÄN</t>
        </is>
      </c>
      <c r="E91" t="inlineStr">
        <is>
          <t>SALA</t>
        </is>
      </c>
      <c r="F91" t="inlineStr">
        <is>
          <t>Kommuner</t>
        </is>
      </c>
      <c r="G91" t="n">
        <v>1.7</v>
      </c>
      <c r="H91" t="n">
        <v>0</v>
      </c>
      <c r="I91" t="n">
        <v>0</v>
      </c>
      <c r="J91" t="n">
        <v>0</v>
      </c>
      <c r="K91" t="n">
        <v>0</v>
      </c>
      <c r="L91" t="n">
        <v>0</v>
      </c>
      <c r="M91" t="n">
        <v>0</v>
      </c>
      <c r="N91" t="n">
        <v>0</v>
      </c>
      <c r="O91" t="n">
        <v>0</v>
      </c>
      <c r="P91" t="n">
        <v>0</v>
      </c>
      <c r="Q91" t="n">
        <v>0</v>
      </c>
      <c r="R91" s="2" t="inlineStr"/>
    </row>
    <row r="92" ht="15" customHeight="1">
      <c r="A92" t="inlineStr">
        <is>
          <t>A 18791-2019</t>
        </is>
      </c>
      <c r="B92" s="1" t="n">
        <v>43562</v>
      </c>
      <c r="C92" s="1" t="n">
        <v>45657</v>
      </c>
      <c r="D92" t="inlineStr">
        <is>
          <t>VÄSTMANLANDS LÄN</t>
        </is>
      </c>
      <c r="E92" t="inlineStr">
        <is>
          <t>SALA</t>
        </is>
      </c>
      <c r="G92" t="n">
        <v>3.4</v>
      </c>
      <c r="H92" t="n">
        <v>0</v>
      </c>
      <c r="I92" t="n">
        <v>0</v>
      </c>
      <c r="J92" t="n">
        <v>0</v>
      </c>
      <c r="K92" t="n">
        <v>0</v>
      </c>
      <c r="L92" t="n">
        <v>0</v>
      </c>
      <c r="M92" t="n">
        <v>0</v>
      </c>
      <c r="N92" t="n">
        <v>0</v>
      </c>
      <c r="O92" t="n">
        <v>0</v>
      </c>
      <c r="P92" t="n">
        <v>0</v>
      </c>
      <c r="Q92" t="n">
        <v>0</v>
      </c>
      <c r="R92" s="2" t="inlineStr"/>
    </row>
    <row r="93" ht="15" customHeight="1">
      <c r="A93" t="inlineStr">
        <is>
          <t>A 18961-2019</t>
        </is>
      </c>
      <c r="B93" s="1" t="n">
        <v>43563</v>
      </c>
      <c r="C93" s="1" t="n">
        <v>45657</v>
      </c>
      <c r="D93" t="inlineStr">
        <is>
          <t>VÄSTMANLANDS LÄN</t>
        </is>
      </c>
      <c r="E93" t="inlineStr">
        <is>
          <t>SALA</t>
        </is>
      </c>
      <c r="F93" t="inlineStr">
        <is>
          <t>Kommuner</t>
        </is>
      </c>
      <c r="G93" t="n">
        <v>1.5</v>
      </c>
      <c r="H93" t="n">
        <v>0</v>
      </c>
      <c r="I93" t="n">
        <v>0</v>
      </c>
      <c r="J93" t="n">
        <v>0</v>
      </c>
      <c r="K93" t="n">
        <v>0</v>
      </c>
      <c r="L93" t="n">
        <v>0</v>
      </c>
      <c r="M93" t="n">
        <v>0</v>
      </c>
      <c r="N93" t="n">
        <v>0</v>
      </c>
      <c r="O93" t="n">
        <v>0</v>
      </c>
      <c r="P93" t="n">
        <v>0</v>
      </c>
      <c r="Q93" t="n">
        <v>0</v>
      </c>
      <c r="R93" s="2" t="inlineStr"/>
    </row>
    <row r="94" ht="15" customHeight="1">
      <c r="A94" t="inlineStr">
        <is>
          <t>A 19869-2019</t>
        </is>
      </c>
      <c r="B94" s="1" t="n">
        <v>43567</v>
      </c>
      <c r="C94" s="1" t="n">
        <v>45657</v>
      </c>
      <c r="D94" t="inlineStr">
        <is>
          <t>VÄSTMANLANDS LÄN</t>
        </is>
      </c>
      <c r="E94" t="inlineStr">
        <is>
          <t>SALA</t>
        </is>
      </c>
      <c r="G94" t="n">
        <v>1.6</v>
      </c>
      <c r="H94" t="n">
        <v>0</v>
      </c>
      <c r="I94" t="n">
        <v>0</v>
      </c>
      <c r="J94" t="n">
        <v>0</v>
      </c>
      <c r="K94" t="n">
        <v>0</v>
      </c>
      <c r="L94" t="n">
        <v>0</v>
      </c>
      <c r="M94" t="n">
        <v>0</v>
      </c>
      <c r="N94" t="n">
        <v>0</v>
      </c>
      <c r="O94" t="n">
        <v>0</v>
      </c>
      <c r="P94" t="n">
        <v>0</v>
      </c>
      <c r="Q94" t="n">
        <v>0</v>
      </c>
      <c r="R94" s="2" t="inlineStr"/>
    </row>
    <row r="95" ht="15" customHeight="1">
      <c r="A95" t="inlineStr">
        <is>
          <t>A 21985-2019</t>
        </is>
      </c>
      <c r="B95" s="1" t="n">
        <v>43584</v>
      </c>
      <c r="C95" s="1" t="n">
        <v>45657</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22249-2019</t>
        </is>
      </c>
      <c r="B96" s="1" t="n">
        <v>43585</v>
      </c>
      <c r="C96" s="1" t="n">
        <v>45657</v>
      </c>
      <c r="D96" t="inlineStr">
        <is>
          <t>VÄSTMANLANDS LÄN</t>
        </is>
      </c>
      <c r="E96" t="inlineStr">
        <is>
          <t>SALA</t>
        </is>
      </c>
      <c r="F96" t="inlineStr">
        <is>
          <t>Kommuner</t>
        </is>
      </c>
      <c r="G96" t="n">
        <v>0.8</v>
      </c>
      <c r="H96" t="n">
        <v>0</v>
      </c>
      <c r="I96" t="n">
        <v>0</v>
      </c>
      <c r="J96" t="n">
        <v>0</v>
      </c>
      <c r="K96" t="n">
        <v>0</v>
      </c>
      <c r="L96" t="n">
        <v>0</v>
      </c>
      <c r="M96" t="n">
        <v>0</v>
      </c>
      <c r="N96" t="n">
        <v>0</v>
      </c>
      <c r="O96" t="n">
        <v>0</v>
      </c>
      <c r="P96" t="n">
        <v>0</v>
      </c>
      <c r="Q96" t="n">
        <v>0</v>
      </c>
      <c r="R96" s="2" t="inlineStr"/>
    </row>
    <row r="97" ht="15" customHeight="1">
      <c r="A97" t="inlineStr">
        <is>
          <t>A 22833-2019</t>
        </is>
      </c>
      <c r="B97" s="1" t="n">
        <v>43591</v>
      </c>
      <c r="C97" s="1" t="n">
        <v>45657</v>
      </c>
      <c r="D97" t="inlineStr">
        <is>
          <t>VÄSTMANLANDS LÄN</t>
        </is>
      </c>
      <c r="E97" t="inlineStr">
        <is>
          <t>SALA</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25005-2019</t>
        </is>
      </c>
      <c r="B98" s="1" t="n">
        <v>43602</v>
      </c>
      <c r="C98" s="1" t="n">
        <v>45657</v>
      </c>
      <c r="D98" t="inlineStr">
        <is>
          <t>VÄSTMANLANDS LÄN</t>
        </is>
      </c>
      <c r="E98" t="inlineStr">
        <is>
          <t>SALA</t>
        </is>
      </c>
      <c r="F98" t="inlineStr">
        <is>
          <t>Kommuner</t>
        </is>
      </c>
      <c r="G98" t="n">
        <v>4.3</v>
      </c>
      <c r="H98" t="n">
        <v>0</v>
      </c>
      <c r="I98" t="n">
        <v>0</v>
      </c>
      <c r="J98" t="n">
        <v>0</v>
      </c>
      <c r="K98" t="n">
        <v>0</v>
      </c>
      <c r="L98" t="n">
        <v>0</v>
      </c>
      <c r="M98" t="n">
        <v>0</v>
      </c>
      <c r="N98" t="n">
        <v>0</v>
      </c>
      <c r="O98" t="n">
        <v>0</v>
      </c>
      <c r="P98" t="n">
        <v>0</v>
      </c>
      <c r="Q98" t="n">
        <v>0</v>
      </c>
      <c r="R98" s="2" t="inlineStr"/>
    </row>
    <row r="99" ht="15" customHeight="1">
      <c r="A99" t="inlineStr">
        <is>
          <t>A 25814-2019</t>
        </is>
      </c>
      <c r="B99" s="1" t="n">
        <v>43608</v>
      </c>
      <c r="C99" s="1" t="n">
        <v>45657</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26861-2019</t>
        </is>
      </c>
      <c r="B100" s="1" t="n">
        <v>43613</v>
      </c>
      <c r="C100" s="1" t="n">
        <v>45657</v>
      </c>
      <c r="D100" t="inlineStr">
        <is>
          <t>VÄSTMANLANDS LÄN</t>
        </is>
      </c>
      <c r="E100" t="inlineStr">
        <is>
          <t>SALA</t>
        </is>
      </c>
      <c r="G100" t="n">
        <v>1.2</v>
      </c>
      <c r="H100" t="n">
        <v>0</v>
      </c>
      <c r="I100" t="n">
        <v>0</v>
      </c>
      <c r="J100" t="n">
        <v>0</v>
      </c>
      <c r="K100" t="n">
        <v>0</v>
      </c>
      <c r="L100" t="n">
        <v>0</v>
      </c>
      <c r="M100" t="n">
        <v>0</v>
      </c>
      <c r="N100" t="n">
        <v>0</v>
      </c>
      <c r="O100" t="n">
        <v>0</v>
      </c>
      <c r="P100" t="n">
        <v>0</v>
      </c>
      <c r="Q100" t="n">
        <v>0</v>
      </c>
      <c r="R100" s="2" t="inlineStr"/>
    </row>
    <row r="101" ht="15" customHeight="1">
      <c r="A101" t="inlineStr">
        <is>
          <t>A 27164-2019</t>
        </is>
      </c>
      <c r="B101" s="1" t="n">
        <v>43614</v>
      </c>
      <c r="C101" s="1" t="n">
        <v>45657</v>
      </c>
      <c r="D101" t="inlineStr">
        <is>
          <t>VÄSTMANLANDS LÄN</t>
        </is>
      </c>
      <c r="E101" t="inlineStr">
        <is>
          <t>SALA</t>
        </is>
      </c>
      <c r="G101" t="n">
        <v>1.9</v>
      </c>
      <c r="H101" t="n">
        <v>0</v>
      </c>
      <c r="I101" t="n">
        <v>0</v>
      </c>
      <c r="J101" t="n">
        <v>0</v>
      </c>
      <c r="K101" t="n">
        <v>0</v>
      </c>
      <c r="L101" t="n">
        <v>0</v>
      </c>
      <c r="M101" t="n">
        <v>0</v>
      </c>
      <c r="N101" t="n">
        <v>0</v>
      </c>
      <c r="O101" t="n">
        <v>0</v>
      </c>
      <c r="P101" t="n">
        <v>0</v>
      </c>
      <c r="Q101" t="n">
        <v>0</v>
      </c>
      <c r="R101" s="2" t="inlineStr"/>
    </row>
    <row r="102" ht="15" customHeight="1">
      <c r="A102" t="inlineStr">
        <is>
          <t>A 27040-2019</t>
        </is>
      </c>
      <c r="B102" s="1" t="n">
        <v>43614</v>
      </c>
      <c r="C102" s="1" t="n">
        <v>45657</v>
      </c>
      <c r="D102" t="inlineStr">
        <is>
          <t>VÄSTMANLANDS LÄN</t>
        </is>
      </c>
      <c r="E102" t="inlineStr">
        <is>
          <t>SALA</t>
        </is>
      </c>
      <c r="G102" t="n">
        <v>1.4</v>
      </c>
      <c r="H102" t="n">
        <v>0</v>
      </c>
      <c r="I102" t="n">
        <v>0</v>
      </c>
      <c r="J102" t="n">
        <v>0</v>
      </c>
      <c r="K102" t="n">
        <v>0</v>
      </c>
      <c r="L102" t="n">
        <v>0</v>
      </c>
      <c r="M102" t="n">
        <v>0</v>
      </c>
      <c r="N102" t="n">
        <v>0</v>
      </c>
      <c r="O102" t="n">
        <v>0</v>
      </c>
      <c r="P102" t="n">
        <v>0</v>
      </c>
      <c r="Q102" t="n">
        <v>0</v>
      </c>
      <c r="R102" s="2" t="inlineStr"/>
    </row>
    <row r="103" ht="15" customHeight="1">
      <c r="A103" t="inlineStr">
        <is>
          <t>A 28132-2019</t>
        </is>
      </c>
      <c r="B103" s="1" t="n">
        <v>43621</v>
      </c>
      <c r="C103" s="1" t="n">
        <v>45657</v>
      </c>
      <c r="D103" t="inlineStr">
        <is>
          <t>VÄSTMANLANDS LÄN</t>
        </is>
      </c>
      <c r="E103" t="inlineStr">
        <is>
          <t>SALA</t>
        </is>
      </c>
      <c r="G103" t="n">
        <v>2.4</v>
      </c>
      <c r="H103" t="n">
        <v>0</v>
      </c>
      <c r="I103" t="n">
        <v>0</v>
      </c>
      <c r="J103" t="n">
        <v>0</v>
      </c>
      <c r="K103" t="n">
        <v>0</v>
      </c>
      <c r="L103" t="n">
        <v>0</v>
      </c>
      <c r="M103" t="n">
        <v>0</v>
      </c>
      <c r="N103" t="n">
        <v>0</v>
      </c>
      <c r="O103" t="n">
        <v>0</v>
      </c>
      <c r="P103" t="n">
        <v>0</v>
      </c>
      <c r="Q103" t="n">
        <v>0</v>
      </c>
      <c r="R103" s="2" t="inlineStr"/>
    </row>
    <row r="104" ht="15" customHeight="1">
      <c r="A104" t="inlineStr">
        <is>
          <t>A 28143-2019</t>
        </is>
      </c>
      <c r="B104" s="1" t="n">
        <v>43621</v>
      </c>
      <c r="C104" s="1" t="n">
        <v>45657</v>
      </c>
      <c r="D104" t="inlineStr">
        <is>
          <t>VÄSTMANLANDS LÄN</t>
        </is>
      </c>
      <c r="E104" t="inlineStr">
        <is>
          <t>SALA</t>
        </is>
      </c>
      <c r="G104" t="n">
        <v>2.3</v>
      </c>
      <c r="H104" t="n">
        <v>0</v>
      </c>
      <c r="I104" t="n">
        <v>0</v>
      </c>
      <c r="J104" t="n">
        <v>0</v>
      </c>
      <c r="K104" t="n">
        <v>0</v>
      </c>
      <c r="L104" t="n">
        <v>0</v>
      </c>
      <c r="M104" t="n">
        <v>0</v>
      </c>
      <c r="N104" t="n">
        <v>0</v>
      </c>
      <c r="O104" t="n">
        <v>0</v>
      </c>
      <c r="P104" t="n">
        <v>0</v>
      </c>
      <c r="Q104" t="n">
        <v>0</v>
      </c>
      <c r="R104" s="2" t="inlineStr"/>
    </row>
    <row r="105" ht="15" customHeight="1">
      <c r="A105" t="inlineStr">
        <is>
          <t>A 28162-2019</t>
        </is>
      </c>
      <c r="B105" s="1" t="n">
        <v>43621</v>
      </c>
      <c r="C105" s="1" t="n">
        <v>45657</v>
      </c>
      <c r="D105" t="inlineStr">
        <is>
          <t>VÄSTMANLANDS LÄN</t>
        </is>
      </c>
      <c r="E105" t="inlineStr">
        <is>
          <t>SALA</t>
        </is>
      </c>
      <c r="G105" t="n">
        <v>0.4</v>
      </c>
      <c r="H105" t="n">
        <v>0</v>
      </c>
      <c r="I105" t="n">
        <v>0</v>
      </c>
      <c r="J105" t="n">
        <v>0</v>
      </c>
      <c r="K105" t="n">
        <v>0</v>
      </c>
      <c r="L105" t="n">
        <v>0</v>
      </c>
      <c r="M105" t="n">
        <v>0</v>
      </c>
      <c r="N105" t="n">
        <v>0</v>
      </c>
      <c r="O105" t="n">
        <v>0</v>
      </c>
      <c r="P105" t="n">
        <v>0</v>
      </c>
      <c r="Q105" t="n">
        <v>0</v>
      </c>
      <c r="R105" s="2" t="inlineStr"/>
    </row>
    <row r="106" ht="15" customHeight="1">
      <c r="A106" t="inlineStr">
        <is>
          <t>A 29023-2019</t>
        </is>
      </c>
      <c r="B106" s="1" t="n">
        <v>43628</v>
      </c>
      <c r="C106" s="1" t="n">
        <v>45657</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29331-2019</t>
        </is>
      </c>
      <c r="B107" s="1" t="n">
        <v>43629</v>
      </c>
      <c r="C107" s="1" t="n">
        <v>45657</v>
      </c>
      <c r="D107" t="inlineStr">
        <is>
          <t>VÄSTMANLANDS LÄN</t>
        </is>
      </c>
      <c r="E107" t="inlineStr">
        <is>
          <t>SALA</t>
        </is>
      </c>
      <c r="G107" t="n">
        <v>5</v>
      </c>
      <c r="H107" t="n">
        <v>0</v>
      </c>
      <c r="I107" t="n">
        <v>0</v>
      </c>
      <c r="J107" t="n">
        <v>0</v>
      </c>
      <c r="K107" t="n">
        <v>0</v>
      </c>
      <c r="L107" t="n">
        <v>0</v>
      </c>
      <c r="M107" t="n">
        <v>0</v>
      </c>
      <c r="N107" t="n">
        <v>0</v>
      </c>
      <c r="O107" t="n">
        <v>0</v>
      </c>
      <c r="P107" t="n">
        <v>0</v>
      </c>
      <c r="Q107" t="n">
        <v>0</v>
      </c>
      <c r="R107" s="2" t="inlineStr"/>
    </row>
    <row r="108" ht="15" customHeight="1">
      <c r="A108" t="inlineStr">
        <is>
          <t>A 31225-2019</t>
        </is>
      </c>
      <c r="B108" s="1" t="n">
        <v>43635</v>
      </c>
      <c r="C108" s="1" t="n">
        <v>45657</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30974-2019</t>
        </is>
      </c>
      <c r="B109" s="1" t="n">
        <v>43639</v>
      </c>
      <c r="C109" s="1" t="n">
        <v>45657</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34709-2019</t>
        </is>
      </c>
      <c r="B110" s="1" t="n">
        <v>43648</v>
      </c>
      <c r="C110" s="1" t="n">
        <v>45657</v>
      </c>
      <c r="D110" t="inlineStr">
        <is>
          <t>VÄSTMANLANDS LÄN</t>
        </is>
      </c>
      <c r="E110" t="inlineStr">
        <is>
          <t>SALA</t>
        </is>
      </c>
      <c r="G110" t="n">
        <v>1.7</v>
      </c>
      <c r="H110" t="n">
        <v>0</v>
      </c>
      <c r="I110" t="n">
        <v>0</v>
      </c>
      <c r="J110" t="n">
        <v>0</v>
      </c>
      <c r="K110" t="n">
        <v>0</v>
      </c>
      <c r="L110" t="n">
        <v>0</v>
      </c>
      <c r="M110" t="n">
        <v>0</v>
      </c>
      <c r="N110" t="n">
        <v>0</v>
      </c>
      <c r="O110" t="n">
        <v>0</v>
      </c>
      <c r="P110" t="n">
        <v>0</v>
      </c>
      <c r="Q110" t="n">
        <v>0</v>
      </c>
      <c r="R110" s="2" t="inlineStr"/>
    </row>
    <row r="111" ht="15" customHeight="1">
      <c r="A111" t="inlineStr">
        <is>
          <t>A 35690-2019</t>
        </is>
      </c>
      <c r="B111" s="1" t="n">
        <v>43664</v>
      </c>
      <c r="C111" s="1" t="n">
        <v>45657</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36142-2019</t>
        </is>
      </c>
      <c r="B112" s="1" t="n">
        <v>43668</v>
      </c>
      <c r="C112" s="1" t="n">
        <v>45657</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36429-2019</t>
        </is>
      </c>
      <c r="B113" s="1" t="n">
        <v>43670</v>
      </c>
      <c r="C113" s="1" t="n">
        <v>45657</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36600-2019</t>
        </is>
      </c>
      <c r="B114" s="1" t="n">
        <v>43671</v>
      </c>
      <c r="C114" s="1" t="n">
        <v>45657</v>
      </c>
      <c r="D114" t="inlineStr">
        <is>
          <t>VÄSTMANLANDS LÄN</t>
        </is>
      </c>
      <c r="E114" t="inlineStr">
        <is>
          <t>SALA</t>
        </is>
      </c>
      <c r="F114" t="inlineStr">
        <is>
          <t>Kyrkan</t>
        </is>
      </c>
      <c r="G114" t="n">
        <v>4.3</v>
      </c>
      <c r="H114" t="n">
        <v>0</v>
      </c>
      <c r="I114" t="n">
        <v>0</v>
      </c>
      <c r="J114" t="n">
        <v>0</v>
      </c>
      <c r="K114" t="n">
        <v>0</v>
      </c>
      <c r="L114" t="n">
        <v>0</v>
      </c>
      <c r="M114" t="n">
        <v>0</v>
      </c>
      <c r="N114" t="n">
        <v>0</v>
      </c>
      <c r="O114" t="n">
        <v>0</v>
      </c>
      <c r="P114" t="n">
        <v>0</v>
      </c>
      <c r="Q114" t="n">
        <v>0</v>
      </c>
      <c r="R114" s="2" t="inlineStr"/>
    </row>
    <row r="115" ht="15" customHeight="1">
      <c r="A115" t="inlineStr">
        <is>
          <t>A 37186-2019</t>
        </is>
      </c>
      <c r="B115" s="1" t="n">
        <v>43677</v>
      </c>
      <c r="C115" s="1" t="n">
        <v>45657</v>
      </c>
      <c r="D115" t="inlineStr">
        <is>
          <t>VÄSTMANLANDS LÄN</t>
        </is>
      </c>
      <c r="E115" t="inlineStr">
        <is>
          <t>SALA</t>
        </is>
      </c>
      <c r="G115" t="n">
        <v>1.8</v>
      </c>
      <c r="H115" t="n">
        <v>0</v>
      </c>
      <c r="I115" t="n">
        <v>0</v>
      </c>
      <c r="J115" t="n">
        <v>0</v>
      </c>
      <c r="K115" t="n">
        <v>0</v>
      </c>
      <c r="L115" t="n">
        <v>0</v>
      </c>
      <c r="M115" t="n">
        <v>0</v>
      </c>
      <c r="N115" t="n">
        <v>0</v>
      </c>
      <c r="O115" t="n">
        <v>0</v>
      </c>
      <c r="P115" t="n">
        <v>0</v>
      </c>
      <c r="Q115" t="n">
        <v>0</v>
      </c>
      <c r="R115" s="2" t="inlineStr"/>
    </row>
    <row r="116" ht="15" customHeight="1">
      <c r="A116" t="inlineStr">
        <is>
          <t>A 37533-2019</t>
        </is>
      </c>
      <c r="B116" s="1" t="n">
        <v>43679</v>
      </c>
      <c r="C116" s="1" t="n">
        <v>45657</v>
      </c>
      <c r="D116" t="inlineStr">
        <is>
          <t>VÄSTMANLANDS LÄN</t>
        </is>
      </c>
      <c r="E116" t="inlineStr">
        <is>
          <t>SALA</t>
        </is>
      </c>
      <c r="G116" t="n">
        <v>7.9</v>
      </c>
      <c r="H116" t="n">
        <v>0</v>
      </c>
      <c r="I116" t="n">
        <v>0</v>
      </c>
      <c r="J116" t="n">
        <v>0</v>
      </c>
      <c r="K116" t="n">
        <v>0</v>
      </c>
      <c r="L116" t="n">
        <v>0</v>
      </c>
      <c r="M116" t="n">
        <v>0</v>
      </c>
      <c r="N116" t="n">
        <v>0</v>
      </c>
      <c r="O116" t="n">
        <v>0</v>
      </c>
      <c r="P116" t="n">
        <v>0</v>
      </c>
      <c r="Q116" t="n">
        <v>0</v>
      </c>
      <c r="R116" s="2" t="inlineStr"/>
    </row>
    <row r="117" ht="15" customHeight="1">
      <c r="A117" t="inlineStr">
        <is>
          <t>A 38645-2019</t>
        </is>
      </c>
      <c r="B117" s="1" t="n">
        <v>43686</v>
      </c>
      <c r="C117" s="1" t="n">
        <v>45657</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41259-2019</t>
        </is>
      </c>
      <c r="B118" s="1" t="n">
        <v>43698</v>
      </c>
      <c r="C118" s="1" t="n">
        <v>45657</v>
      </c>
      <c r="D118" t="inlineStr">
        <is>
          <t>VÄSTMANLANDS LÄN</t>
        </is>
      </c>
      <c r="E118" t="inlineStr">
        <is>
          <t>SALA</t>
        </is>
      </c>
      <c r="G118" t="n">
        <v>8.300000000000001</v>
      </c>
      <c r="H118" t="n">
        <v>0</v>
      </c>
      <c r="I118" t="n">
        <v>0</v>
      </c>
      <c r="J118" t="n">
        <v>0</v>
      </c>
      <c r="K118" t="n">
        <v>0</v>
      </c>
      <c r="L118" t="n">
        <v>0</v>
      </c>
      <c r="M118" t="n">
        <v>0</v>
      </c>
      <c r="N118" t="n">
        <v>0</v>
      </c>
      <c r="O118" t="n">
        <v>0</v>
      </c>
      <c r="P118" t="n">
        <v>0</v>
      </c>
      <c r="Q118" t="n">
        <v>0</v>
      </c>
      <c r="R118" s="2" t="inlineStr"/>
    </row>
    <row r="119" ht="15" customHeight="1">
      <c r="A119" t="inlineStr">
        <is>
          <t>A 45302-2019</t>
        </is>
      </c>
      <c r="B119" s="1" t="n">
        <v>43707</v>
      </c>
      <c r="C119" s="1" t="n">
        <v>45657</v>
      </c>
      <c r="D119" t="inlineStr">
        <is>
          <t>VÄSTMANLANDS LÄN</t>
        </is>
      </c>
      <c r="E119" t="inlineStr">
        <is>
          <t>SALA</t>
        </is>
      </c>
      <c r="G119" t="n">
        <v>2.1</v>
      </c>
      <c r="H119" t="n">
        <v>0</v>
      </c>
      <c r="I119" t="n">
        <v>0</v>
      </c>
      <c r="J119" t="n">
        <v>0</v>
      </c>
      <c r="K119" t="n">
        <v>0</v>
      </c>
      <c r="L119" t="n">
        <v>0</v>
      </c>
      <c r="M119" t="n">
        <v>0</v>
      </c>
      <c r="N119" t="n">
        <v>0</v>
      </c>
      <c r="O119" t="n">
        <v>0</v>
      </c>
      <c r="P119" t="n">
        <v>0</v>
      </c>
      <c r="Q119" t="n">
        <v>0</v>
      </c>
      <c r="R119" s="2" t="inlineStr"/>
    </row>
    <row r="120" ht="15" customHeight="1">
      <c r="A120" t="inlineStr">
        <is>
          <t>A 46936-2019</t>
        </is>
      </c>
      <c r="B120" s="1" t="n">
        <v>43719</v>
      </c>
      <c r="C120" s="1" t="n">
        <v>45657</v>
      </c>
      <c r="D120" t="inlineStr">
        <is>
          <t>VÄSTMANLANDS LÄN</t>
        </is>
      </c>
      <c r="E120" t="inlineStr">
        <is>
          <t>SALA</t>
        </is>
      </c>
      <c r="G120" t="n">
        <v>4.6</v>
      </c>
      <c r="H120" t="n">
        <v>0</v>
      </c>
      <c r="I120" t="n">
        <v>0</v>
      </c>
      <c r="J120" t="n">
        <v>0</v>
      </c>
      <c r="K120" t="n">
        <v>0</v>
      </c>
      <c r="L120" t="n">
        <v>0</v>
      </c>
      <c r="M120" t="n">
        <v>0</v>
      </c>
      <c r="N120" t="n">
        <v>0</v>
      </c>
      <c r="O120" t="n">
        <v>0</v>
      </c>
      <c r="P120" t="n">
        <v>0</v>
      </c>
      <c r="Q120" t="n">
        <v>0</v>
      </c>
      <c r="R120" s="2" t="inlineStr"/>
    </row>
    <row r="121" ht="15" customHeight="1">
      <c r="A121" t="inlineStr">
        <is>
          <t>A 48617-2019</t>
        </is>
      </c>
      <c r="B121" s="1" t="n">
        <v>43727</v>
      </c>
      <c r="C121" s="1" t="n">
        <v>45657</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48681-2019</t>
        </is>
      </c>
      <c r="B122" s="1" t="n">
        <v>43728</v>
      </c>
      <c r="C122" s="1" t="n">
        <v>45657</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52756-2019</t>
        </is>
      </c>
      <c r="B123" s="1" t="n">
        <v>43739</v>
      </c>
      <c r="C123" s="1" t="n">
        <v>45657</v>
      </c>
      <c r="D123" t="inlineStr">
        <is>
          <t>VÄSTMANLANDS LÄN</t>
        </is>
      </c>
      <c r="E123" t="inlineStr">
        <is>
          <t>SALA</t>
        </is>
      </c>
      <c r="G123" t="n">
        <v>4.2</v>
      </c>
      <c r="H123" t="n">
        <v>0</v>
      </c>
      <c r="I123" t="n">
        <v>0</v>
      </c>
      <c r="J123" t="n">
        <v>0</v>
      </c>
      <c r="K123" t="n">
        <v>0</v>
      </c>
      <c r="L123" t="n">
        <v>0</v>
      </c>
      <c r="M123" t="n">
        <v>0</v>
      </c>
      <c r="N123" t="n">
        <v>0</v>
      </c>
      <c r="O123" t="n">
        <v>0</v>
      </c>
      <c r="P123" t="n">
        <v>0</v>
      </c>
      <c r="Q123" t="n">
        <v>0</v>
      </c>
      <c r="R123" s="2" t="inlineStr"/>
    </row>
    <row r="124" ht="15" customHeight="1">
      <c r="A124" t="inlineStr">
        <is>
          <t>A 51854-2019</t>
        </is>
      </c>
      <c r="B124" s="1" t="n">
        <v>43741</v>
      </c>
      <c r="C124" s="1" t="n">
        <v>45657</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54393-2019</t>
        </is>
      </c>
      <c r="B125" s="1" t="n">
        <v>43746</v>
      </c>
      <c r="C125" s="1" t="n">
        <v>45657</v>
      </c>
      <c r="D125" t="inlineStr">
        <is>
          <t>VÄSTMANLANDS LÄN</t>
        </is>
      </c>
      <c r="E125" t="inlineStr">
        <is>
          <t>SALA</t>
        </is>
      </c>
      <c r="G125" t="n">
        <v>3.2</v>
      </c>
      <c r="H125" t="n">
        <v>0</v>
      </c>
      <c r="I125" t="n">
        <v>0</v>
      </c>
      <c r="J125" t="n">
        <v>0</v>
      </c>
      <c r="K125" t="n">
        <v>0</v>
      </c>
      <c r="L125" t="n">
        <v>0</v>
      </c>
      <c r="M125" t="n">
        <v>0</v>
      </c>
      <c r="N125" t="n">
        <v>0</v>
      </c>
      <c r="O125" t="n">
        <v>0</v>
      </c>
      <c r="P125" t="n">
        <v>0</v>
      </c>
      <c r="Q125" t="n">
        <v>0</v>
      </c>
      <c r="R125" s="2" t="inlineStr"/>
    </row>
    <row r="126" ht="15" customHeight="1">
      <c r="A126" t="inlineStr">
        <is>
          <t>A 54069-2019</t>
        </is>
      </c>
      <c r="B126" s="1" t="n">
        <v>43752</v>
      </c>
      <c r="C126" s="1" t="n">
        <v>45657</v>
      </c>
      <c r="D126" t="inlineStr">
        <is>
          <t>VÄSTMANLANDS LÄN</t>
        </is>
      </c>
      <c r="E126" t="inlineStr">
        <is>
          <t>SALA</t>
        </is>
      </c>
      <c r="G126" t="n">
        <v>3.5</v>
      </c>
      <c r="H126" t="n">
        <v>0</v>
      </c>
      <c r="I126" t="n">
        <v>0</v>
      </c>
      <c r="J126" t="n">
        <v>0</v>
      </c>
      <c r="K126" t="n">
        <v>0</v>
      </c>
      <c r="L126" t="n">
        <v>0</v>
      </c>
      <c r="M126" t="n">
        <v>0</v>
      </c>
      <c r="N126" t="n">
        <v>0</v>
      </c>
      <c r="O126" t="n">
        <v>0</v>
      </c>
      <c r="P126" t="n">
        <v>0</v>
      </c>
      <c r="Q126" t="n">
        <v>0</v>
      </c>
      <c r="R126" s="2" t="inlineStr"/>
    </row>
    <row r="127" ht="15" customHeight="1">
      <c r="A127" t="inlineStr">
        <is>
          <t>A 57743-2019</t>
        </is>
      </c>
      <c r="B127" s="1" t="n">
        <v>43768</v>
      </c>
      <c r="C127" s="1" t="n">
        <v>45657</v>
      </c>
      <c r="D127" t="inlineStr">
        <is>
          <t>VÄSTMANLANDS LÄN</t>
        </is>
      </c>
      <c r="E127" t="inlineStr">
        <is>
          <t>SALA</t>
        </is>
      </c>
      <c r="G127" t="n">
        <v>3.8</v>
      </c>
      <c r="H127" t="n">
        <v>0</v>
      </c>
      <c r="I127" t="n">
        <v>0</v>
      </c>
      <c r="J127" t="n">
        <v>0</v>
      </c>
      <c r="K127" t="n">
        <v>0</v>
      </c>
      <c r="L127" t="n">
        <v>0</v>
      </c>
      <c r="M127" t="n">
        <v>0</v>
      </c>
      <c r="N127" t="n">
        <v>0</v>
      </c>
      <c r="O127" t="n">
        <v>0</v>
      </c>
      <c r="P127" t="n">
        <v>0</v>
      </c>
      <c r="Q127" t="n">
        <v>0</v>
      </c>
      <c r="R127" s="2" t="inlineStr"/>
    </row>
    <row r="128" ht="15" customHeight="1">
      <c r="A128" t="inlineStr">
        <is>
          <t>A 58003-2019</t>
        </is>
      </c>
      <c r="B128" s="1" t="n">
        <v>43769</v>
      </c>
      <c r="C128" s="1" t="n">
        <v>45657</v>
      </c>
      <c r="D128" t="inlineStr">
        <is>
          <t>VÄSTMANLANDS LÄN</t>
        </is>
      </c>
      <c r="E128" t="inlineStr">
        <is>
          <t>SALA</t>
        </is>
      </c>
      <c r="G128" t="n">
        <v>1.3</v>
      </c>
      <c r="H128" t="n">
        <v>0</v>
      </c>
      <c r="I128" t="n">
        <v>0</v>
      </c>
      <c r="J128" t="n">
        <v>0</v>
      </c>
      <c r="K128" t="n">
        <v>0</v>
      </c>
      <c r="L128" t="n">
        <v>0</v>
      </c>
      <c r="M128" t="n">
        <v>0</v>
      </c>
      <c r="N128" t="n">
        <v>0</v>
      </c>
      <c r="O128" t="n">
        <v>0</v>
      </c>
      <c r="P128" t="n">
        <v>0</v>
      </c>
      <c r="Q128" t="n">
        <v>0</v>
      </c>
      <c r="R128" s="2" t="inlineStr"/>
    </row>
    <row r="129" ht="15" customHeight="1">
      <c r="A129" t="inlineStr">
        <is>
          <t>A 58027-2019</t>
        </is>
      </c>
      <c r="B129" s="1" t="n">
        <v>43769</v>
      </c>
      <c r="C129" s="1" t="n">
        <v>45657</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58681-2019</t>
        </is>
      </c>
      <c r="B130" s="1" t="n">
        <v>43773</v>
      </c>
      <c r="C130" s="1" t="n">
        <v>45657</v>
      </c>
      <c r="D130" t="inlineStr">
        <is>
          <t>VÄSTMANLANDS LÄN</t>
        </is>
      </c>
      <c r="E130" t="inlineStr">
        <is>
          <t>SALA</t>
        </is>
      </c>
      <c r="G130" t="n">
        <v>3</v>
      </c>
      <c r="H130" t="n">
        <v>0</v>
      </c>
      <c r="I130" t="n">
        <v>0</v>
      </c>
      <c r="J130" t="n">
        <v>0</v>
      </c>
      <c r="K130" t="n">
        <v>0</v>
      </c>
      <c r="L130" t="n">
        <v>0</v>
      </c>
      <c r="M130" t="n">
        <v>0</v>
      </c>
      <c r="N130" t="n">
        <v>0</v>
      </c>
      <c r="O130" t="n">
        <v>0</v>
      </c>
      <c r="P130" t="n">
        <v>0</v>
      </c>
      <c r="Q130" t="n">
        <v>0</v>
      </c>
      <c r="R130" s="2" t="inlineStr"/>
    </row>
    <row r="131" ht="15" customHeight="1">
      <c r="A131" t="inlineStr">
        <is>
          <t>A 58917-2019</t>
        </is>
      </c>
      <c r="B131" s="1" t="n">
        <v>43774</v>
      </c>
      <c r="C131" s="1" t="n">
        <v>45657</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59147-2019</t>
        </is>
      </c>
      <c r="B132" s="1" t="n">
        <v>43775</v>
      </c>
      <c r="C132" s="1" t="n">
        <v>45657</v>
      </c>
      <c r="D132" t="inlineStr">
        <is>
          <t>VÄSTMANLANDS LÄN</t>
        </is>
      </c>
      <c r="E132" t="inlineStr">
        <is>
          <t>SALA</t>
        </is>
      </c>
      <c r="F132" t="inlineStr">
        <is>
          <t>Övriga Aktiebolag</t>
        </is>
      </c>
      <c r="G132" t="n">
        <v>69.8</v>
      </c>
      <c r="H132" t="n">
        <v>0</v>
      </c>
      <c r="I132" t="n">
        <v>0</v>
      </c>
      <c r="J132" t="n">
        <v>0</v>
      </c>
      <c r="K132" t="n">
        <v>0</v>
      </c>
      <c r="L132" t="n">
        <v>0</v>
      </c>
      <c r="M132" t="n">
        <v>0</v>
      </c>
      <c r="N132" t="n">
        <v>0</v>
      </c>
      <c r="O132" t="n">
        <v>0</v>
      </c>
      <c r="P132" t="n">
        <v>0</v>
      </c>
      <c r="Q132" t="n">
        <v>0</v>
      </c>
      <c r="R132" s="2" t="inlineStr"/>
    </row>
    <row r="133" ht="15" customHeight="1">
      <c r="A133" t="inlineStr">
        <is>
          <t>A 60007-2019</t>
        </is>
      </c>
      <c r="B133" s="1" t="n">
        <v>43777</v>
      </c>
      <c r="C133" s="1" t="n">
        <v>45657</v>
      </c>
      <c r="D133" t="inlineStr">
        <is>
          <t>VÄSTMANLANDS LÄN</t>
        </is>
      </c>
      <c r="E133" t="inlineStr">
        <is>
          <t>SALA</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60012-2019</t>
        </is>
      </c>
      <c r="B134" s="1" t="n">
        <v>43777</v>
      </c>
      <c r="C134" s="1" t="n">
        <v>45657</v>
      </c>
      <c r="D134" t="inlineStr">
        <is>
          <t>VÄSTMANLANDS LÄN</t>
        </is>
      </c>
      <c r="E134" t="inlineStr">
        <is>
          <t>SALA</t>
        </is>
      </c>
      <c r="F134" t="inlineStr">
        <is>
          <t>Kyrkan</t>
        </is>
      </c>
      <c r="G134" t="n">
        <v>1.5</v>
      </c>
      <c r="H134" t="n">
        <v>0</v>
      </c>
      <c r="I134" t="n">
        <v>0</v>
      </c>
      <c r="J134" t="n">
        <v>0</v>
      </c>
      <c r="K134" t="n">
        <v>0</v>
      </c>
      <c r="L134" t="n">
        <v>0</v>
      </c>
      <c r="M134" t="n">
        <v>0</v>
      </c>
      <c r="N134" t="n">
        <v>0</v>
      </c>
      <c r="O134" t="n">
        <v>0</v>
      </c>
      <c r="P134" t="n">
        <v>0</v>
      </c>
      <c r="Q134" t="n">
        <v>0</v>
      </c>
      <c r="R134" s="2" t="inlineStr"/>
    </row>
    <row r="135" ht="15" customHeight="1">
      <c r="A135" t="inlineStr">
        <is>
          <t>A 61270-2019</t>
        </is>
      </c>
      <c r="B135" s="1" t="n">
        <v>43783</v>
      </c>
      <c r="C135" s="1" t="n">
        <v>45657</v>
      </c>
      <c r="D135" t="inlineStr">
        <is>
          <t>VÄSTMANLANDS LÄN</t>
        </is>
      </c>
      <c r="E135" t="inlineStr">
        <is>
          <t>SALA</t>
        </is>
      </c>
      <c r="G135" t="n">
        <v>3.3</v>
      </c>
      <c r="H135" t="n">
        <v>0</v>
      </c>
      <c r="I135" t="n">
        <v>0</v>
      </c>
      <c r="J135" t="n">
        <v>0</v>
      </c>
      <c r="K135" t="n">
        <v>0</v>
      </c>
      <c r="L135" t="n">
        <v>0</v>
      </c>
      <c r="M135" t="n">
        <v>0</v>
      </c>
      <c r="N135" t="n">
        <v>0</v>
      </c>
      <c r="O135" t="n">
        <v>0</v>
      </c>
      <c r="P135" t="n">
        <v>0</v>
      </c>
      <c r="Q135" t="n">
        <v>0</v>
      </c>
      <c r="R135" s="2" t="inlineStr"/>
    </row>
    <row r="136" ht="15" customHeight="1">
      <c r="A136" t="inlineStr">
        <is>
          <t>A 61394-2019</t>
        </is>
      </c>
      <c r="B136" s="1" t="n">
        <v>43783</v>
      </c>
      <c r="C136" s="1" t="n">
        <v>45657</v>
      </c>
      <c r="D136" t="inlineStr">
        <is>
          <t>VÄSTMANLANDS LÄN</t>
        </is>
      </c>
      <c r="E136" t="inlineStr">
        <is>
          <t>SALA</t>
        </is>
      </c>
      <c r="G136" t="n">
        <v>7.8</v>
      </c>
      <c r="H136" t="n">
        <v>0</v>
      </c>
      <c r="I136" t="n">
        <v>0</v>
      </c>
      <c r="J136" t="n">
        <v>0</v>
      </c>
      <c r="K136" t="n">
        <v>0</v>
      </c>
      <c r="L136" t="n">
        <v>0</v>
      </c>
      <c r="M136" t="n">
        <v>0</v>
      </c>
      <c r="N136" t="n">
        <v>0</v>
      </c>
      <c r="O136" t="n">
        <v>0</v>
      </c>
      <c r="P136" t="n">
        <v>0</v>
      </c>
      <c r="Q136" t="n">
        <v>0</v>
      </c>
      <c r="R136" s="2" t="inlineStr"/>
    </row>
    <row r="137" ht="15" customHeight="1">
      <c r="A137" t="inlineStr">
        <is>
          <t>A 61758-2019</t>
        </is>
      </c>
      <c r="B137" s="1" t="n">
        <v>43784</v>
      </c>
      <c r="C137" s="1" t="n">
        <v>45657</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62390-2019</t>
        </is>
      </c>
      <c r="B138" s="1" t="n">
        <v>43788</v>
      </c>
      <c r="C138" s="1" t="n">
        <v>45657</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64164-2019</t>
        </is>
      </c>
      <c r="B139" s="1" t="n">
        <v>43791</v>
      </c>
      <c r="C139" s="1" t="n">
        <v>45657</v>
      </c>
      <c r="D139" t="inlineStr">
        <is>
          <t>VÄSTMANLANDS LÄN</t>
        </is>
      </c>
      <c r="E139" t="inlineStr">
        <is>
          <t>SALA</t>
        </is>
      </c>
      <c r="G139" t="n">
        <v>1.1</v>
      </c>
      <c r="H139" t="n">
        <v>0</v>
      </c>
      <c r="I139" t="n">
        <v>0</v>
      </c>
      <c r="J139" t="n">
        <v>0</v>
      </c>
      <c r="K139" t="n">
        <v>0</v>
      </c>
      <c r="L139" t="n">
        <v>0</v>
      </c>
      <c r="M139" t="n">
        <v>0</v>
      </c>
      <c r="N139" t="n">
        <v>0</v>
      </c>
      <c r="O139" t="n">
        <v>0</v>
      </c>
      <c r="P139" t="n">
        <v>0</v>
      </c>
      <c r="Q139" t="n">
        <v>0</v>
      </c>
      <c r="R139" s="2" t="inlineStr"/>
    </row>
    <row r="140" ht="15" customHeight="1">
      <c r="A140" t="inlineStr">
        <is>
          <t>A 63369-2019</t>
        </is>
      </c>
      <c r="B140" s="1" t="n">
        <v>43794</v>
      </c>
      <c r="C140" s="1" t="n">
        <v>45657</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63498-2019</t>
        </is>
      </c>
      <c r="B141" s="1" t="n">
        <v>43794</v>
      </c>
      <c r="C141" s="1" t="n">
        <v>45657</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64090-2019</t>
        </is>
      </c>
      <c r="B142" s="1" t="n">
        <v>43796</v>
      </c>
      <c r="C142" s="1" t="n">
        <v>45657</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64092-2019</t>
        </is>
      </c>
      <c r="B143" s="1" t="n">
        <v>43796</v>
      </c>
      <c r="C143" s="1" t="n">
        <v>45657</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65021-2019</t>
        </is>
      </c>
      <c r="B144" s="1" t="n">
        <v>43801</v>
      </c>
      <c r="C144" s="1" t="n">
        <v>45657</v>
      </c>
      <c r="D144" t="inlineStr">
        <is>
          <t>VÄSTMANLANDS LÄN</t>
        </is>
      </c>
      <c r="E144" t="inlineStr">
        <is>
          <t>SALA</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66089-2019</t>
        </is>
      </c>
      <c r="B145" s="1" t="n">
        <v>43807</v>
      </c>
      <c r="C145" s="1" t="n">
        <v>45657</v>
      </c>
      <c r="D145" t="inlineStr">
        <is>
          <t>VÄSTMANLANDS LÄN</t>
        </is>
      </c>
      <c r="E145" t="inlineStr">
        <is>
          <t>SALA</t>
        </is>
      </c>
      <c r="G145" t="n">
        <v>17.1</v>
      </c>
      <c r="H145" t="n">
        <v>0</v>
      </c>
      <c r="I145" t="n">
        <v>0</v>
      </c>
      <c r="J145" t="n">
        <v>0</v>
      </c>
      <c r="K145" t="n">
        <v>0</v>
      </c>
      <c r="L145" t="n">
        <v>0</v>
      </c>
      <c r="M145" t="n">
        <v>0</v>
      </c>
      <c r="N145" t="n">
        <v>0</v>
      </c>
      <c r="O145" t="n">
        <v>0</v>
      </c>
      <c r="P145" t="n">
        <v>0</v>
      </c>
      <c r="Q145" t="n">
        <v>0</v>
      </c>
      <c r="R145" s="2" t="inlineStr"/>
    </row>
    <row r="146" ht="15" customHeight="1">
      <c r="A146" t="inlineStr">
        <is>
          <t>A 66216-2019</t>
        </is>
      </c>
      <c r="B146" s="1" t="n">
        <v>43808</v>
      </c>
      <c r="C146" s="1" t="n">
        <v>45657</v>
      </c>
      <c r="D146" t="inlineStr">
        <is>
          <t>VÄSTMANLANDS LÄN</t>
        </is>
      </c>
      <c r="E146" t="inlineStr">
        <is>
          <t>SALA</t>
        </is>
      </c>
      <c r="F146" t="inlineStr">
        <is>
          <t>Kommuner</t>
        </is>
      </c>
      <c r="G146" t="n">
        <v>3.7</v>
      </c>
      <c r="H146" t="n">
        <v>0</v>
      </c>
      <c r="I146" t="n">
        <v>0</v>
      </c>
      <c r="J146" t="n">
        <v>0</v>
      </c>
      <c r="K146" t="n">
        <v>0</v>
      </c>
      <c r="L146" t="n">
        <v>0</v>
      </c>
      <c r="M146" t="n">
        <v>0</v>
      </c>
      <c r="N146" t="n">
        <v>0</v>
      </c>
      <c r="O146" t="n">
        <v>0</v>
      </c>
      <c r="P146" t="n">
        <v>0</v>
      </c>
      <c r="Q146" t="n">
        <v>0</v>
      </c>
      <c r="R146" s="2" t="inlineStr"/>
    </row>
    <row r="147" ht="15" customHeight="1">
      <c r="A147" t="inlineStr">
        <is>
          <t>A 67360-2019</t>
        </is>
      </c>
      <c r="B147" s="1" t="n">
        <v>43812</v>
      </c>
      <c r="C147" s="1" t="n">
        <v>45657</v>
      </c>
      <c r="D147" t="inlineStr">
        <is>
          <t>VÄSTMANLANDS LÄN</t>
        </is>
      </c>
      <c r="E147" t="inlineStr">
        <is>
          <t>SALA</t>
        </is>
      </c>
      <c r="G147" t="n">
        <v>4.9</v>
      </c>
      <c r="H147" t="n">
        <v>0</v>
      </c>
      <c r="I147" t="n">
        <v>0</v>
      </c>
      <c r="J147" t="n">
        <v>0</v>
      </c>
      <c r="K147" t="n">
        <v>0</v>
      </c>
      <c r="L147" t="n">
        <v>0</v>
      </c>
      <c r="M147" t="n">
        <v>0</v>
      </c>
      <c r="N147" t="n">
        <v>0</v>
      </c>
      <c r="O147" t="n">
        <v>0</v>
      </c>
      <c r="P147" t="n">
        <v>0</v>
      </c>
      <c r="Q147" t="n">
        <v>0</v>
      </c>
      <c r="R147" s="2" t="inlineStr"/>
    </row>
    <row r="148" ht="15" customHeight="1">
      <c r="A148" t="inlineStr">
        <is>
          <t>A 68398-2019</t>
        </is>
      </c>
      <c r="B148" s="1" t="n">
        <v>43818</v>
      </c>
      <c r="C148" s="1" t="n">
        <v>45657</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68394-2019</t>
        </is>
      </c>
      <c r="B149" s="1" t="n">
        <v>43818</v>
      </c>
      <c r="C149" s="1" t="n">
        <v>45657</v>
      </c>
      <c r="D149" t="inlineStr">
        <is>
          <t>VÄSTMANLANDS LÄN</t>
        </is>
      </c>
      <c r="E149" t="inlineStr">
        <is>
          <t>SALA</t>
        </is>
      </c>
      <c r="G149" t="n">
        <v>1.6</v>
      </c>
      <c r="H149" t="n">
        <v>0</v>
      </c>
      <c r="I149" t="n">
        <v>0</v>
      </c>
      <c r="J149" t="n">
        <v>0</v>
      </c>
      <c r="K149" t="n">
        <v>0</v>
      </c>
      <c r="L149" t="n">
        <v>0</v>
      </c>
      <c r="M149" t="n">
        <v>0</v>
      </c>
      <c r="N149" t="n">
        <v>0</v>
      </c>
      <c r="O149" t="n">
        <v>0</v>
      </c>
      <c r="P149" t="n">
        <v>0</v>
      </c>
      <c r="Q149" t="n">
        <v>0</v>
      </c>
      <c r="R149" s="2" t="inlineStr"/>
    </row>
    <row r="150" ht="15" customHeight="1">
      <c r="A150" t="inlineStr">
        <is>
          <t>A 1465-2020</t>
        </is>
      </c>
      <c r="B150" s="1" t="n">
        <v>43822</v>
      </c>
      <c r="C150" s="1" t="n">
        <v>45657</v>
      </c>
      <c r="D150" t="inlineStr">
        <is>
          <t>VÄSTMANLANDS LÄN</t>
        </is>
      </c>
      <c r="E150" t="inlineStr">
        <is>
          <t>SALA</t>
        </is>
      </c>
      <c r="G150" t="n">
        <v>4.1</v>
      </c>
      <c r="H150" t="n">
        <v>0</v>
      </c>
      <c r="I150" t="n">
        <v>0</v>
      </c>
      <c r="J150" t="n">
        <v>0</v>
      </c>
      <c r="K150" t="n">
        <v>0</v>
      </c>
      <c r="L150" t="n">
        <v>0</v>
      </c>
      <c r="M150" t="n">
        <v>0</v>
      </c>
      <c r="N150" t="n">
        <v>0</v>
      </c>
      <c r="O150" t="n">
        <v>0</v>
      </c>
      <c r="P150" t="n">
        <v>0</v>
      </c>
      <c r="Q150" t="n">
        <v>0</v>
      </c>
      <c r="R150" s="2" t="inlineStr"/>
    </row>
    <row r="151" ht="15" customHeight="1">
      <c r="A151" t="inlineStr">
        <is>
          <t>A 63-2020</t>
        </is>
      </c>
      <c r="B151" s="1" t="n">
        <v>43832</v>
      </c>
      <c r="C151" s="1" t="n">
        <v>45657</v>
      </c>
      <c r="D151" t="inlineStr">
        <is>
          <t>VÄSTMANLANDS LÄN</t>
        </is>
      </c>
      <c r="E151" t="inlineStr">
        <is>
          <t>SALA</t>
        </is>
      </c>
      <c r="G151" t="n">
        <v>4.6</v>
      </c>
      <c r="H151" t="n">
        <v>0</v>
      </c>
      <c r="I151" t="n">
        <v>0</v>
      </c>
      <c r="J151" t="n">
        <v>0</v>
      </c>
      <c r="K151" t="n">
        <v>0</v>
      </c>
      <c r="L151" t="n">
        <v>0</v>
      </c>
      <c r="M151" t="n">
        <v>0</v>
      </c>
      <c r="N151" t="n">
        <v>0</v>
      </c>
      <c r="O151" t="n">
        <v>0</v>
      </c>
      <c r="P151" t="n">
        <v>0</v>
      </c>
      <c r="Q151" t="n">
        <v>0</v>
      </c>
      <c r="R151" s="2" t="inlineStr"/>
    </row>
    <row r="152" ht="15" customHeight="1">
      <c r="A152" t="inlineStr">
        <is>
          <t>A 151-2020</t>
        </is>
      </c>
      <c r="B152" s="1" t="n">
        <v>43833</v>
      </c>
      <c r="C152" s="1" t="n">
        <v>45657</v>
      </c>
      <c r="D152" t="inlineStr">
        <is>
          <t>VÄSTMANLANDS LÄN</t>
        </is>
      </c>
      <c r="E152" t="inlineStr">
        <is>
          <t>SALA</t>
        </is>
      </c>
      <c r="F152" t="inlineStr">
        <is>
          <t>Kyrkan</t>
        </is>
      </c>
      <c r="G152" t="n">
        <v>6.5</v>
      </c>
      <c r="H152" t="n">
        <v>0</v>
      </c>
      <c r="I152" t="n">
        <v>0</v>
      </c>
      <c r="J152" t="n">
        <v>0</v>
      </c>
      <c r="K152" t="n">
        <v>0</v>
      </c>
      <c r="L152" t="n">
        <v>0</v>
      </c>
      <c r="M152" t="n">
        <v>0</v>
      </c>
      <c r="N152" t="n">
        <v>0</v>
      </c>
      <c r="O152" t="n">
        <v>0</v>
      </c>
      <c r="P152" t="n">
        <v>0</v>
      </c>
      <c r="Q152" t="n">
        <v>0</v>
      </c>
      <c r="R152" s="2" t="inlineStr"/>
    </row>
    <row r="153" ht="15" customHeight="1">
      <c r="A153" t="inlineStr">
        <is>
          <t>A 161-2020</t>
        </is>
      </c>
      <c r="B153" s="1" t="n">
        <v>43833</v>
      </c>
      <c r="C153" s="1" t="n">
        <v>45657</v>
      </c>
      <c r="D153" t="inlineStr">
        <is>
          <t>VÄSTMANLANDS LÄN</t>
        </is>
      </c>
      <c r="E153" t="inlineStr">
        <is>
          <t>SALA</t>
        </is>
      </c>
      <c r="F153" t="inlineStr">
        <is>
          <t>Kyrkan</t>
        </is>
      </c>
      <c r="G153" t="n">
        <v>1.6</v>
      </c>
      <c r="H153" t="n">
        <v>0</v>
      </c>
      <c r="I153" t="n">
        <v>0</v>
      </c>
      <c r="J153" t="n">
        <v>0</v>
      </c>
      <c r="K153" t="n">
        <v>0</v>
      </c>
      <c r="L153" t="n">
        <v>0</v>
      </c>
      <c r="M153" t="n">
        <v>0</v>
      </c>
      <c r="N153" t="n">
        <v>0</v>
      </c>
      <c r="O153" t="n">
        <v>0</v>
      </c>
      <c r="P153" t="n">
        <v>0</v>
      </c>
      <c r="Q153" t="n">
        <v>0</v>
      </c>
      <c r="R153" s="2" t="inlineStr"/>
    </row>
    <row r="154" ht="15" customHeight="1">
      <c r="A154" t="inlineStr">
        <is>
          <t>A 297-2020</t>
        </is>
      </c>
      <c r="B154" s="1" t="n">
        <v>43837</v>
      </c>
      <c r="C154" s="1" t="n">
        <v>45657</v>
      </c>
      <c r="D154" t="inlineStr">
        <is>
          <t>VÄSTMANLANDS LÄN</t>
        </is>
      </c>
      <c r="E154" t="inlineStr">
        <is>
          <t>SALA</t>
        </is>
      </c>
      <c r="F154" t="inlineStr">
        <is>
          <t>Kyrkan</t>
        </is>
      </c>
      <c r="G154" t="n">
        <v>0.3</v>
      </c>
      <c r="H154" t="n">
        <v>0</v>
      </c>
      <c r="I154" t="n">
        <v>0</v>
      </c>
      <c r="J154" t="n">
        <v>0</v>
      </c>
      <c r="K154" t="n">
        <v>0</v>
      </c>
      <c r="L154" t="n">
        <v>0</v>
      </c>
      <c r="M154" t="n">
        <v>0</v>
      </c>
      <c r="N154" t="n">
        <v>0</v>
      </c>
      <c r="O154" t="n">
        <v>0</v>
      </c>
      <c r="P154" t="n">
        <v>0</v>
      </c>
      <c r="Q154" t="n">
        <v>0</v>
      </c>
      <c r="R154" s="2" t="inlineStr"/>
    </row>
    <row r="155" ht="15" customHeight="1">
      <c r="A155" t="inlineStr">
        <is>
          <t>A 496-2020</t>
        </is>
      </c>
      <c r="B155" s="1" t="n">
        <v>43837</v>
      </c>
      <c r="C155" s="1" t="n">
        <v>45657</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1005-2020</t>
        </is>
      </c>
      <c r="B156" s="1" t="n">
        <v>43839</v>
      </c>
      <c r="C156" s="1" t="n">
        <v>45657</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1272-2020</t>
        </is>
      </c>
      <c r="B157" s="1" t="n">
        <v>43841</v>
      </c>
      <c r="C157" s="1" t="n">
        <v>45657</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1346-2020</t>
        </is>
      </c>
      <c r="B158" s="1" t="n">
        <v>43843</v>
      </c>
      <c r="C158" s="1" t="n">
        <v>45657</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3935-2020</t>
        </is>
      </c>
      <c r="B159" s="1" t="n">
        <v>43846</v>
      </c>
      <c r="C159" s="1" t="n">
        <v>45657</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2588-2020</t>
        </is>
      </c>
      <c r="B160" s="1" t="n">
        <v>43847</v>
      </c>
      <c r="C160" s="1" t="n">
        <v>45657</v>
      </c>
      <c r="D160" t="inlineStr">
        <is>
          <t>VÄSTMANLANDS LÄN</t>
        </is>
      </c>
      <c r="E160" t="inlineStr">
        <is>
          <t>SALA</t>
        </is>
      </c>
      <c r="G160" t="n">
        <v>1.8</v>
      </c>
      <c r="H160" t="n">
        <v>0</v>
      </c>
      <c r="I160" t="n">
        <v>0</v>
      </c>
      <c r="J160" t="n">
        <v>0</v>
      </c>
      <c r="K160" t="n">
        <v>0</v>
      </c>
      <c r="L160" t="n">
        <v>0</v>
      </c>
      <c r="M160" t="n">
        <v>0</v>
      </c>
      <c r="N160" t="n">
        <v>0</v>
      </c>
      <c r="O160" t="n">
        <v>0</v>
      </c>
      <c r="P160" t="n">
        <v>0</v>
      </c>
      <c r="Q160" t="n">
        <v>0</v>
      </c>
      <c r="R160" s="2" t="inlineStr"/>
    </row>
    <row r="161" ht="15" customHeight="1">
      <c r="A161" t="inlineStr">
        <is>
          <t>A 4630-2020</t>
        </is>
      </c>
      <c r="B161" s="1" t="n">
        <v>43851</v>
      </c>
      <c r="C161" s="1" t="n">
        <v>45657</v>
      </c>
      <c r="D161" t="inlineStr">
        <is>
          <t>VÄSTMANLANDS LÄN</t>
        </is>
      </c>
      <c r="E161" t="inlineStr">
        <is>
          <t>SALA</t>
        </is>
      </c>
      <c r="G161" t="n">
        <v>0.4</v>
      </c>
      <c r="H161" t="n">
        <v>0</v>
      </c>
      <c r="I161" t="n">
        <v>0</v>
      </c>
      <c r="J161" t="n">
        <v>0</v>
      </c>
      <c r="K161" t="n">
        <v>0</v>
      </c>
      <c r="L161" t="n">
        <v>0</v>
      </c>
      <c r="M161" t="n">
        <v>0</v>
      </c>
      <c r="N161" t="n">
        <v>0</v>
      </c>
      <c r="O161" t="n">
        <v>0</v>
      </c>
      <c r="P161" t="n">
        <v>0</v>
      </c>
      <c r="Q161" t="n">
        <v>0</v>
      </c>
      <c r="R161" s="2" t="inlineStr"/>
    </row>
    <row r="162" ht="15" customHeight="1">
      <c r="A162" t="inlineStr">
        <is>
          <t>A 3590-2020</t>
        </is>
      </c>
      <c r="B162" s="1" t="n">
        <v>43853</v>
      </c>
      <c r="C162" s="1" t="n">
        <v>45657</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4866-2020</t>
        </is>
      </c>
      <c r="B163" s="1" t="n">
        <v>43859</v>
      </c>
      <c r="C163" s="1" t="n">
        <v>45657</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5201-2020</t>
        </is>
      </c>
      <c r="B164" s="1" t="n">
        <v>43860</v>
      </c>
      <c r="C164" s="1" t="n">
        <v>45657</v>
      </c>
      <c r="D164" t="inlineStr">
        <is>
          <t>VÄSTMANLANDS LÄN</t>
        </is>
      </c>
      <c r="E164" t="inlineStr">
        <is>
          <t>SALA</t>
        </is>
      </c>
      <c r="F164" t="inlineStr">
        <is>
          <t>Kyrkan</t>
        </is>
      </c>
      <c r="G164" t="n">
        <v>5</v>
      </c>
      <c r="H164" t="n">
        <v>0</v>
      </c>
      <c r="I164" t="n">
        <v>0</v>
      </c>
      <c r="J164" t="n">
        <v>0</v>
      </c>
      <c r="K164" t="n">
        <v>0</v>
      </c>
      <c r="L164" t="n">
        <v>0</v>
      </c>
      <c r="M164" t="n">
        <v>0</v>
      </c>
      <c r="N164" t="n">
        <v>0</v>
      </c>
      <c r="O164" t="n">
        <v>0</v>
      </c>
      <c r="P164" t="n">
        <v>0</v>
      </c>
      <c r="Q164" t="n">
        <v>0</v>
      </c>
      <c r="R164" s="2" t="inlineStr"/>
    </row>
    <row r="165" ht="15" customHeight="1">
      <c r="A165" t="inlineStr">
        <is>
          <t>A 5163-2020</t>
        </is>
      </c>
      <c r="B165" s="1" t="n">
        <v>43860</v>
      </c>
      <c r="C165" s="1" t="n">
        <v>45657</v>
      </c>
      <c r="D165" t="inlineStr">
        <is>
          <t>VÄSTMANLANDS LÄN</t>
        </is>
      </c>
      <c r="E165" t="inlineStr">
        <is>
          <t>SALA</t>
        </is>
      </c>
      <c r="G165" t="n">
        <v>1.9</v>
      </c>
      <c r="H165" t="n">
        <v>0</v>
      </c>
      <c r="I165" t="n">
        <v>0</v>
      </c>
      <c r="J165" t="n">
        <v>0</v>
      </c>
      <c r="K165" t="n">
        <v>0</v>
      </c>
      <c r="L165" t="n">
        <v>0</v>
      </c>
      <c r="M165" t="n">
        <v>0</v>
      </c>
      <c r="N165" t="n">
        <v>0</v>
      </c>
      <c r="O165" t="n">
        <v>0</v>
      </c>
      <c r="P165" t="n">
        <v>0</v>
      </c>
      <c r="Q165" t="n">
        <v>0</v>
      </c>
      <c r="R165" s="2" t="inlineStr"/>
    </row>
    <row r="166" ht="15" customHeight="1">
      <c r="A166" t="inlineStr">
        <is>
          <t>A 5191-2020</t>
        </is>
      </c>
      <c r="B166" s="1" t="n">
        <v>43860</v>
      </c>
      <c r="C166" s="1" t="n">
        <v>45657</v>
      </c>
      <c r="D166" t="inlineStr">
        <is>
          <t>VÄSTMANLANDS LÄN</t>
        </is>
      </c>
      <c r="E166" t="inlineStr">
        <is>
          <t>SALA</t>
        </is>
      </c>
      <c r="F166" t="inlineStr">
        <is>
          <t>Kyrkan</t>
        </is>
      </c>
      <c r="G166" t="n">
        <v>10.9</v>
      </c>
      <c r="H166" t="n">
        <v>0</v>
      </c>
      <c r="I166" t="n">
        <v>0</v>
      </c>
      <c r="J166" t="n">
        <v>0</v>
      </c>
      <c r="K166" t="n">
        <v>0</v>
      </c>
      <c r="L166" t="n">
        <v>0</v>
      </c>
      <c r="M166" t="n">
        <v>0</v>
      </c>
      <c r="N166" t="n">
        <v>0</v>
      </c>
      <c r="O166" t="n">
        <v>0</v>
      </c>
      <c r="P166" t="n">
        <v>0</v>
      </c>
      <c r="Q166" t="n">
        <v>0</v>
      </c>
      <c r="R166" s="2" t="inlineStr"/>
    </row>
    <row r="167" ht="15" customHeight="1">
      <c r="A167" t="inlineStr">
        <is>
          <t>A 5320-2020</t>
        </is>
      </c>
      <c r="B167" s="1" t="n">
        <v>43860</v>
      </c>
      <c r="C167" s="1" t="n">
        <v>45657</v>
      </c>
      <c r="D167" t="inlineStr">
        <is>
          <t>VÄSTMANLANDS LÄN</t>
        </is>
      </c>
      <c r="E167" t="inlineStr">
        <is>
          <t>SALA</t>
        </is>
      </c>
      <c r="G167" t="n">
        <v>3.1</v>
      </c>
      <c r="H167" t="n">
        <v>0</v>
      </c>
      <c r="I167" t="n">
        <v>0</v>
      </c>
      <c r="J167" t="n">
        <v>0</v>
      </c>
      <c r="K167" t="n">
        <v>0</v>
      </c>
      <c r="L167" t="n">
        <v>0</v>
      </c>
      <c r="M167" t="n">
        <v>0</v>
      </c>
      <c r="N167" t="n">
        <v>0</v>
      </c>
      <c r="O167" t="n">
        <v>0</v>
      </c>
      <c r="P167" t="n">
        <v>0</v>
      </c>
      <c r="Q167" t="n">
        <v>0</v>
      </c>
      <c r="R167" s="2" t="inlineStr"/>
    </row>
    <row r="168" ht="15" customHeight="1">
      <c r="A168" t="inlineStr">
        <is>
          <t>A 5587-2020</t>
        </is>
      </c>
      <c r="B168" s="1" t="n">
        <v>43861</v>
      </c>
      <c r="C168" s="1" t="n">
        <v>45657</v>
      </c>
      <c r="D168" t="inlineStr">
        <is>
          <t>VÄSTMANLANDS LÄN</t>
        </is>
      </c>
      <c r="E168" t="inlineStr">
        <is>
          <t>SALA</t>
        </is>
      </c>
      <c r="G168" t="n">
        <v>9.6</v>
      </c>
      <c r="H168" t="n">
        <v>0</v>
      </c>
      <c r="I168" t="n">
        <v>0</v>
      </c>
      <c r="J168" t="n">
        <v>0</v>
      </c>
      <c r="K168" t="n">
        <v>0</v>
      </c>
      <c r="L168" t="n">
        <v>0</v>
      </c>
      <c r="M168" t="n">
        <v>0</v>
      </c>
      <c r="N168" t="n">
        <v>0</v>
      </c>
      <c r="O168" t="n">
        <v>0</v>
      </c>
      <c r="P168" t="n">
        <v>0</v>
      </c>
      <c r="Q168" t="n">
        <v>0</v>
      </c>
      <c r="R168" s="2" t="inlineStr"/>
    </row>
    <row r="169" ht="15" customHeight="1">
      <c r="A169" t="inlineStr">
        <is>
          <t>A 5750-2020</t>
        </is>
      </c>
      <c r="B169" s="1" t="n">
        <v>43864</v>
      </c>
      <c r="C169" s="1" t="n">
        <v>45657</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6185-2020</t>
        </is>
      </c>
      <c r="B170" s="1" t="n">
        <v>43865</v>
      </c>
      <c r="C170" s="1" t="n">
        <v>45657</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7190-2020</t>
        </is>
      </c>
      <c r="B171" s="1" t="n">
        <v>43868</v>
      </c>
      <c r="C171" s="1" t="n">
        <v>45657</v>
      </c>
      <c r="D171" t="inlineStr">
        <is>
          <t>VÄSTMANLANDS LÄN</t>
        </is>
      </c>
      <c r="E171" t="inlineStr">
        <is>
          <t>SALA</t>
        </is>
      </c>
      <c r="G171" t="n">
        <v>4.5</v>
      </c>
      <c r="H171" t="n">
        <v>0</v>
      </c>
      <c r="I171" t="n">
        <v>0</v>
      </c>
      <c r="J171" t="n">
        <v>0</v>
      </c>
      <c r="K171" t="n">
        <v>0</v>
      </c>
      <c r="L171" t="n">
        <v>0</v>
      </c>
      <c r="M171" t="n">
        <v>0</v>
      </c>
      <c r="N171" t="n">
        <v>0</v>
      </c>
      <c r="O171" t="n">
        <v>0</v>
      </c>
      <c r="P171" t="n">
        <v>0</v>
      </c>
      <c r="Q171" t="n">
        <v>0</v>
      </c>
      <c r="R171" s="2" t="inlineStr"/>
    </row>
    <row r="172" ht="15" customHeight="1">
      <c r="A172" t="inlineStr">
        <is>
          <t>A 10010-2020</t>
        </is>
      </c>
      <c r="B172" s="1" t="n">
        <v>43882</v>
      </c>
      <c r="C172" s="1" t="n">
        <v>45657</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10276-2020</t>
        </is>
      </c>
      <c r="B173" s="1" t="n">
        <v>43885</v>
      </c>
      <c r="C173" s="1" t="n">
        <v>45657</v>
      </c>
      <c r="D173" t="inlineStr">
        <is>
          <t>VÄSTMANLANDS LÄN</t>
        </is>
      </c>
      <c r="E173" t="inlineStr">
        <is>
          <t>SALA</t>
        </is>
      </c>
      <c r="G173" t="n">
        <v>1.3</v>
      </c>
      <c r="H173" t="n">
        <v>0</v>
      </c>
      <c r="I173" t="n">
        <v>0</v>
      </c>
      <c r="J173" t="n">
        <v>0</v>
      </c>
      <c r="K173" t="n">
        <v>0</v>
      </c>
      <c r="L173" t="n">
        <v>0</v>
      </c>
      <c r="M173" t="n">
        <v>0</v>
      </c>
      <c r="N173" t="n">
        <v>0</v>
      </c>
      <c r="O173" t="n">
        <v>0</v>
      </c>
      <c r="P173" t="n">
        <v>0</v>
      </c>
      <c r="Q173" t="n">
        <v>0</v>
      </c>
      <c r="R173" s="2" t="inlineStr"/>
    </row>
    <row r="174" ht="15" customHeight="1">
      <c r="A174" t="inlineStr">
        <is>
          <t>A 10811-2020</t>
        </is>
      </c>
      <c r="B174" s="1" t="n">
        <v>43888</v>
      </c>
      <c r="C174" s="1" t="n">
        <v>45657</v>
      </c>
      <c r="D174" t="inlineStr">
        <is>
          <t>VÄSTMANLANDS LÄN</t>
        </is>
      </c>
      <c r="E174" t="inlineStr">
        <is>
          <t>SALA</t>
        </is>
      </c>
      <c r="G174" t="n">
        <v>3.9</v>
      </c>
      <c r="H174" t="n">
        <v>0</v>
      </c>
      <c r="I174" t="n">
        <v>0</v>
      </c>
      <c r="J174" t="n">
        <v>0</v>
      </c>
      <c r="K174" t="n">
        <v>0</v>
      </c>
      <c r="L174" t="n">
        <v>0</v>
      </c>
      <c r="M174" t="n">
        <v>0</v>
      </c>
      <c r="N174" t="n">
        <v>0</v>
      </c>
      <c r="O174" t="n">
        <v>0</v>
      </c>
      <c r="P174" t="n">
        <v>0</v>
      </c>
      <c r="Q174" t="n">
        <v>0</v>
      </c>
      <c r="R174" s="2" t="inlineStr"/>
    </row>
    <row r="175" ht="15" customHeight="1">
      <c r="A175" t="inlineStr">
        <is>
          <t>A 14110-2020</t>
        </is>
      </c>
      <c r="B175" s="1" t="n">
        <v>43900</v>
      </c>
      <c r="C175" s="1" t="n">
        <v>45657</v>
      </c>
      <c r="D175" t="inlineStr">
        <is>
          <t>VÄSTMANLANDS LÄN</t>
        </is>
      </c>
      <c r="E175" t="inlineStr">
        <is>
          <t>SALA</t>
        </is>
      </c>
      <c r="G175" t="n">
        <v>2.5</v>
      </c>
      <c r="H175" t="n">
        <v>0</v>
      </c>
      <c r="I175" t="n">
        <v>0</v>
      </c>
      <c r="J175" t="n">
        <v>0</v>
      </c>
      <c r="K175" t="n">
        <v>0</v>
      </c>
      <c r="L175" t="n">
        <v>0</v>
      </c>
      <c r="M175" t="n">
        <v>0</v>
      </c>
      <c r="N175" t="n">
        <v>0</v>
      </c>
      <c r="O175" t="n">
        <v>0</v>
      </c>
      <c r="P175" t="n">
        <v>0</v>
      </c>
      <c r="Q175" t="n">
        <v>0</v>
      </c>
      <c r="R175" s="2" t="inlineStr"/>
    </row>
    <row r="176" ht="15" customHeight="1">
      <c r="A176" t="inlineStr">
        <is>
          <t>A 13643-2020</t>
        </is>
      </c>
      <c r="B176" s="1" t="n">
        <v>43903</v>
      </c>
      <c r="C176" s="1" t="n">
        <v>45657</v>
      </c>
      <c r="D176" t="inlineStr">
        <is>
          <t>VÄSTMANLANDS LÄN</t>
        </is>
      </c>
      <c r="E176" t="inlineStr">
        <is>
          <t>SALA</t>
        </is>
      </c>
      <c r="G176" t="n">
        <v>2.3</v>
      </c>
      <c r="H176" t="n">
        <v>0</v>
      </c>
      <c r="I176" t="n">
        <v>0</v>
      </c>
      <c r="J176" t="n">
        <v>0</v>
      </c>
      <c r="K176" t="n">
        <v>0</v>
      </c>
      <c r="L176" t="n">
        <v>0</v>
      </c>
      <c r="M176" t="n">
        <v>0</v>
      </c>
      <c r="N176" t="n">
        <v>0</v>
      </c>
      <c r="O176" t="n">
        <v>0</v>
      </c>
      <c r="P176" t="n">
        <v>0</v>
      </c>
      <c r="Q176" t="n">
        <v>0</v>
      </c>
      <c r="R176" s="2" t="inlineStr"/>
    </row>
    <row r="177" ht="15" customHeight="1">
      <c r="A177" t="inlineStr">
        <is>
          <t>A 13936-2020</t>
        </is>
      </c>
      <c r="B177" s="1" t="n">
        <v>43903</v>
      </c>
      <c r="C177" s="1" t="n">
        <v>45657</v>
      </c>
      <c r="D177" t="inlineStr">
        <is>
          <t>VÄSTMANLANDS LÄN</t>
        </is>
      </c>
      <c r="E177" t="inlineStr">
        <is>
          <t>SALA</t>
        </is>
      </c>
      <c r="G177" t="n">
        <v>1.7</v>
      </c>
      <c r="H177" t="n">
        <v>0</v>
      </c>
      <c r="I177" t="n">
        <v>0</v>
      </c>
      <c r="J177" t="n">
        <v>0</v>
      </c>
      <c r="K177" t="n">
        <v>0</v>
      </c>
      <c r="L177" t="n">
        <v>0</v>
      </c>
      <c r="M177" t="n">
        <v>0</v>
      </c>
      <c r="N177" t="n">
        <v>0</v>
      </c>
      <c r="O177" t="n">
        <v>0</v>
      </c>
      <c r="P177" t="n">
        <v>0</v>
      </c>
      <c r="Q177" t="n">
        <v>0</v>
      </c>
      <c r="R177" s="2" t="inlineStr"/>
    </row>
    <row r="178" ht="15" customHeight="1">
      <c r="A178" t="inlineStr">
        <is>
          <t>A 14049-2020</t>
        </is>
      </c>
      <c r="B178" s="1" t="n">
        <v>43906</v>
      </c>
      <c r="C178" s="1" t="n">
        <v>45657</v>
      </c>
      <c r="D178" t="inlineStr">
        <is>
          <t>VÄSTMANLANDS LÄN</t>
        </is>
      </c>
      <c r="E178" t="inlineStr">
        <is>
          <t>SALA</t>
        </is>
      </c>
      <c r="G178" t="n">
        <v>4.4</v>
      </c>
      <c r="H178" t="n">
        <v>0</v>
      </c>
      <c r="I178" t="n">
        <v>0</v>
      </c>
      <c r="J178" t="n">
        <v>0</v>
      </c>
      <c r="K178" t="n">
        <v>0</v>
      </c>
      <c r="L178" t="n">
        <v>0</v>
      </c>
      <c r="M178" t="n">
        <v>0</v>
      </c>
      <c r="N178" t="n">
        <v>0</v>
      </c>
      <c r="O178" t="n">
        <v>0</v>
      </c>
      <c r="P178" t="n">
        <v>0</v>
      </c>
      <c r="Q178" t="n">
        <v>0</v>
      </c>
      <c r="R178" s="2" t="inlineStr"/>
    </row>
    <row r="179" ht="15" customHeight="1">
      <c r="A179" t="inlineStr">
        <is>
          <t>A 14542-2020</t>
        </is>
      </c>
      <c r="B179" s="1" t="n">
        <v>43908</v>
      </c>
      <c r="C179" s="1" t="n">
        <v>45657</v>
      </c>
      <c r="D179" t="inlineStr">
        <is>
          <t>VÄSTMANLANDS LÄN</t>
        </is>
      </c>
      <c r="E179" t="inlineStr">
        <is>
          <t>SALA</t>
        </is>
      </c>
      <c r="G179" t="n">
        <v>4.1</v>
      </c>
      <c r="H179" t="n">
        <v>0</v>
      </c>
      <c r="I179" t="n">
        <v>0</v>
      </c>
      <c r="J179" t="n">
        <v>0</v>
      </c>
      <c r="K179" t="n">
        <v>0</v>
      </c>
      <c r="L179" t="n">
        <v>0</v>
      </c>
      <c r="M179" t="n">
        <v>0</v>
      </c>
      <c r="N179" t="n">
        <v>0</v>
      </c>
      <c r="O179" t="n">
        <v>0</v>
      </c>
      <c r="P179" t="n">
        <v>0</v>
      </c>
      <c r="Q179" t="n">
        <v>0</v>
      </c>
      <c r="R179" s="2" t="inlineStr"/>
    </row>
    <row r="180" ht="15" customHeight="1">
      <c r="A180" t="inlineStr">
        <is>
          <t>A 16480-2020</t>
        </is>
      </c>
      <c r="B180" s="1" t="n">
        <v>43914</v>
      </c>
      <c r="C180" s="1" t="n">
        <v>45657</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15850-2020</t>
        </is>
      </c>
      <c r="B181" s="1" t="n">
        <v>43915</v>
      </c>
      <c r="C181" s="1" t="n">
        <v>45657</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15748-2020</t>
        </is>
      </c>
      <c r="B182" s="1" t="n">
        <v>43915</v>
      </c>
      <c r="C182" s="1" t="n">
        <v>45657</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16093-2020</t>
        </is>
      </c>
      <c r="B183" s="1" t="n">
        <v>43916</v>
      </c>
      <c r="C183" s="1" t="n">
        <v>45657</v>
      </c>
      <c r="D183" t="inlineStr">
        <is>
          <t>VÄSTMANLANDS LÄN</t>
        </is>
      </c>
      <c r="E183" t="inlineStr">
        <is>
          <t>SALA</t>
        </is>
      </c>
      <c r="G183" t="n">
        <v>1.6</v>
      </c>
      <c r="H183" t="n">
        <v>0</v>
      </c>
      <c r="I183" t="n">
        <v>0</v>
      </c>
      <c r="J183" t="n">
        <v>0</v>
      </c>
      <c r="K183" t="n">
        <v>0</v>
      </c>
      <c r="L183" t="n">
        <v>0</v>
      </c>
      <c r="M183" t="n">
        <v>0</v>
      </c>
      <c r="N183" t="n">
        <v>0</v>
      </c>
      <c r="O183" t="n">
        <v>0</v>
      </c>
      <c r="P183" t="n">
        <v>0</v>
      </c>
      <c r="Q183" t="n">
        <v>0</v>
      </c>
      <c r="R183" s="2" t="inlineStr"/>
    </row>
    <row r="184" ht="15" customHeight="1">
      <c r="A184" t="inlineStr">
        <is>
          <t>A 17139-2020</t>
        </is>
      </c>
      <c r="B184" s="1" t="n">
        <v>43922</v>
      </c>
      <c r="C184" s="1" t="n">
        <v>45657</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17205-2020</t>
        </is>
      </c>
      <c r="B185" s="1" t="n">
        <v>43922</v>
      </c>
      <c r="C185" s="1" t="n">
        <v>45657</v>
      </c>
      <c r="D185" t="inlineStr">
        <is>
          <t>VÄSTMANLANDS LÄN</t>
        </is>
      </c>
      <c r="E185" t="inlineStr">
        <is>
          <t>SALA</t>
        </is>
      </c>
      <c r="G185" t="n">
        <v>3.2</v>
      </c>
      <c r="H185" t="n">
        <v>0</v>
      </c>
      <c r="I185" t="n">
        <v>0</v>
      </c>
      <c r="J185" t="n">
        <v>0</v>
      </c>
      <c r="K185" t="n">
        <v>0</v>
      </c>
      <c r="L185" t="n">
        <v>0</v>
      </c>
      <c r="M185" t="n">
        <v>0</v>
      </c>
      <c r="N185" t="n">
        <v>0</v>
      </c>
      <c r="O185" t="n">
        <v>0</v>
      </c>
      <c r="P185" t="n">
        <v>0</v>
      </c>
      <c r="Q185" t="n">
        <v>0</v>
      </c>
      <c r="R185" s="2" t="inlineStr"/>
    </row>
    <row r="186" ht="15" customHeight="1">
      <c r="A186" t="inlineStr">
        <is>
          <t>A 17355-2020</t>
        </is>
      </c>
      <c r="B186" s="1" t="n">
        <v>43923</v>
      </c>
      <c r="C186" s="1" t="n">
        <v>45657</v>
      </c>
      <c r="D186" t="inlineStr">
        <is>
          <t>VÄSTMANLANDS LÄN</t>
        </is>
      </c>
      <c r="E186" t="inlineStr">
        <is>
          <t>SALA</t>
        </is>
      </c>
      <c r="G186" t="n">
        <v>0.4</v>
      </c>
      <c r="H186" t="n">
        <v>0</v>
      </c>
      <c r="I186" t="n">
        <v>0</v>
      </c>
      <c r="J186" t="n">
        <v>0</v>
      </c>
      <c r="K186" t="n">
        <v>0</v>
      </c>
      <c r="L186" t="n">
        <v>0</v>
      </c>
      <c r="M186" t="n">
        <v>0</v>
      </c>
      <c r="N186" t="n">
        <v>0</v>
      </c>
      <c r="O186" t="n">
        <v>0</v>
      </c>
      <c r="P186" t="n">
        <v>0</v>
      </c>
      <c r="Q186" t="n">
        <v>0</v>
      </c>
      <c r="R186" s="2" t="inlineStr"/>
    </row>
    <row r="187" ht="15" customHeight="1">
      <c r="A187" t="inlineStr">
        <is>
          <t>A 17492-2020</t>
        </is>
      </c>
      <c r="B187" s="1" t="n">
        <v>43923</v>
      </c>
      <c r="C187" s="1" t="n">
        <v>45657</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18772-2020</t>
        </is>
      </c>
      <c r="B188" s="1" t="n">
        <v>43930</v>
      </c>
      <c r="C188" s="1" t="n">
        <v>45657</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19071-2020</t>
        </is>
      </c>
      <c r="B189" s="1" t="n">
        <v>43936</v>
      </c>
      <c r="C189" s="1" t="n">
        <v>45657</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19480-2020</t>
        </is>
      </c>
      <c r="B190" s="1" t="n">
        <v>43936</v>
      </c>
      <c r="C190" s="1" t="n">
        <v>45657</v>
      </c>
      <c r="D190" t="inlineStr">
        <is>
          <t>VÄSTMANLANDS LÄN</t>
        </is>
      </c>
      <c r="E190" t="inlineStr">
        <is>
          <t>SALA</t>
        </is>
      </c>
      <c r="G190" t="n">
        <v>4.8</v>
      </c>
      <c r="H190" t="n">
        <v>0</v>
      </c>
      <c r="I190" t="n">
        <v>0</v>
      </c>
      <c r="J190" t="n">
        <v>0</v>
      </c>
      <c r="K190" t="n">
        <v>0</v>
      </c>
      <c r="L190" t="n">
        <v>0</v>
      </c>
      <c r="M190" t="n">
        <v>0</v>
      </c>
      <c r="N190" t="n">
        <v>0</v>
      </c>
      <c r="O190" t="n">
        <v>0</v>
      </c>
      <c r="P190" t="n">
        <v>0</v>
      </c>
      <c r="Q190" t="n">
        <v>0</v>
      </c>
      <c r="R190" s="2" t="inlineStr"/>
    </row>
    <row r="191" ht="15" customHeight="1">
      <c r="A191" t="inlineStr">
        <is>
          <t>A 22305-2020</t>
        </is>
      </c>
      <c r="B191" s="1" t="n">
        <v>43957</v>
      </c>
      <c r="C191" s="1" t="n">
        <v>45657</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22058-2020</t>
        </is>
      </c>
      <c r="B192" s="1" t="n">
        <v>43959</v>
      </c>
      <c r="C192" s="1" t="n">
        <v>45657</v>
      </c>
      <c r="D192" t="inlineStr">
        <is>
          <t>VÄSTMANLANDS LÄN</t>
        </is>
      </c>
      <c r="E192" t="inlineStr">
        <is>
          <t>SALA</t>
        </is>
      </c>
      <c r="G192" t="n">
        <v>3.1</v>
      </c>
      <c r="H192" t="n">
        <v>0</v>
      </c>
      <c r="I192" t="n">
        <v>0</v>
      </c>
      <c r="J192" t="n">
        <v>0</v>
      </c>
      <c r="K192" t="n">
        <v>0</v>
      </c>
      <c r="L192" t="n">
        <v>0</v>
      </c>
      <c r="M192" t="n">
        <v>0</v>
      </c>
      <c r="N192" t="n">
        <v>0</v>
      </c>
      <c r="O192" t="n">
        <v>0</v>
      </c>
      <c r="P192" t="n">
        <v>0</v>
      </c>
      <c r="Q192" t="n">
        <v>0</v>
      </c>
      <c r="R192" s="2" t="inlineStr"/>
    </row>
    <row r="193" ht="15" customHeight="1">
      <c r="A193" t="inlineStr">
        <is>
          <t>A 24235-2020</t>
        </is>
      </c>
      <c r="B193" s="1" t="n">
        <v>43976</v>
      </c>
      <c r="C193" s="1" t="n">
        <v>45657</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24763-2020</t>
        </is>
      </c>
      <c r="B194" s="1" t="n">
        <v>43978</v>
      </c>
      <c r="C194" s="1" t="n">
        <v>45657</v>
      </c>
      <c r="D194" t="inlineStr">
        <is>
          <t>VÄSTMANLANDS LÄN</t>
        </is>
      </c>
      <c r="E194" t="inlineStr">
        <is>
          <t>SALA</t>
        </is>
      </c>
      <c r="G194" t="n">
        <v>3.6</v>
      </c>
      <c r="H194" t="n">
        <v>0</v>
      </c>
      <c r="I194" t="n">
        <v>0</v>
      </c>
      <c r="J194" t="n">
        <v>0</v>
      </c>
      <c r="K194" t="n">
        <v>0</v>
      </c>
      <c r="L194" t="n">
        <v>0</v>
      </c>
      <c r="M194" t="n">
        <v>0</v>
      </c>
      <c r="N194" t="n">
        <v>0</v>
      </c>
      <c r="O194" t="n">
        <v>0</v>
      </c>
      <c r="P194" t="n">
        <v>0</v>
      </c>
      <c r="Q194" t="n">
        <v>0</v>
      </c>
      <c r="R194" s="2" t="inlineStr"/>
    </row>
    <row r="195" ht="15" customHeight="1">
      <c r="A195" t="inlineStr">
        <is>
          <t>A 26098-2020</t>
        </is>
      </c>
      <c r="B195" s="1" t="n">
        <v>43985</v>
      </c>
      <c r="C195" s="1" t="n">
        <v>45657</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26425-2020</t>
        </is>
      </c>
      <c r="B196" s="1" t="n">
        <v>43987</v>
      </c>
      <c r="C196" s="1" t="n">
        <v>45657</v>
      </c>
      <c r="D196" t="inlineStr">
        <is>
          <t>VÄSTMANLANDS LÄN</t>
        </is>
      </c>
      <c r="E196" t="inlineStr">
        <is>
          <t>SALA</t>
        </is>
      </c>
      <c r="G196" t="n">
        <v>6.3</v>
      </c>
      <c r="H196" t="n">
        <v>0</v>
      </c>
      <c r="I196" t="n">
        <v>0</v>
      </c>
      <c r="J196" t="n">
        <v>0</v>
      </c>
      <c r="K196" t="n">
        <v>0</v>
      </c>
      <c r="L196" t="n">
        <v>0</v>
      </c>
      <c r="M196" t="n">
        <v>0</v>
      </c>
      <c r="N196" t="n">
        <v>0</v>
      </c>
      <c r="O196" t="n">
        <v>0</v>
      </c>
      <c r="P196" t="n">
        <v>0</v>
      </c>
      <c r="Q196" t="n">
        <v>0</v>
      </c>
      <c r="R196" s="2" t="inlineStr"/>
    </row>
    <row r="197" ht="15" customHeight="1">
      <c r="A197" t="inlineStr">
        <is>
          <t>A 26937-2020</t>
        </is>
      </c>
      <c r="B197" s="1" t="n">
        <v>43990</v>
      </c>
      <c r="C197" s="1" t="n">
        <v>45657</v>
      </c>
      <c r="D197" t="inlineStr">
        <is>
          <t>VÄSTMANLANDS LÄN</t>
        </is>
      </c>
      <c r="E197" t="inlineStr">
        <is>
          <t>SALA</t>
        </is>
      </c>
      <c r="F197" t="inlineStr">
        <is>
          <t>Bergvik skog öst AB</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27730-2020</t>
        </is>
      </c>
      <c r="B198" s="1" t="n">
        <v>43994</v>
      </c>
      <c r="C198" s="1" t="n">
        <v>45657</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29845-2020</t>
        </is>
      </c>
      <c r="B199" s="1" t="n">
        <v>44005</v>
      </c>
      <c r="C199" s="1" t="n">
        <v>45657</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29821-2020</t>
        </is>
      </c>
      <c r="B200" s="1" t="n">
        <v>44005</v>
      </c>
      <c r="C200" s="1" t="n">
        <v>45657</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29925-2020</t>
        </is>
      </c>
      <c r="B201" s="1" t="n">
        <v>44006</v>
      </c>
      <c r="C201" s="1" t="n">
        <v>45657</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30327-2020</t>
        </is>
      </c>
      <c r="B202" s="1" t="n">
        <v>44007</v>
      </c>
      <c r="C202" s="1" t="n">
        <v>45657</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32371-2020</t>
        </is>
      </c>
      <c r="B203" s="1" t="n">
        <v>44018</v>
      </c>
      <c r="C203" s="1" t="n">
        <v>45657</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32367-2020</t>
        </is>
      </c>
      <c r="B204" s="1" t="n">
        <v>44018</v>
      </c>
      <c r="C204" s="1" t="n">
        <v>45657</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32368-2020</t>
        </is>
      </c>
      <c r="B205" s="1" t="n">
        <v>44018</v>
      </c>
      <c r="C205" s="1" t="n">
        <v>45657</v>
      </c>
      <c r="D205" t="inlineStr">
        <is>
          <t>VÄSTMANLANDS LÄN</t>
        </is>
      </c>
      <c r="E205" t="inlineStr">
        <is>
          <t>SALA</t>
        </is>
      </c>
      <c r="G205" t="n">
        <v>3.4</v>
      </c>
      <c r="H205" t="n">
        <v>0</v>
      </c>
      <c r="I205" t="n">
        <v>0</v>
      </c>
      <c r="J205" t="n">
        <v>0</v>
      </c>
      <c r="K205" t="n">
        <v>0</v>
      </c>
      <c r="L205" t="n">
        <v>0</v>
      </c>
      <c r="M205" t="n">
        <v>0</v>
      </c>
      <c r="N205" t="n">
        <v>0</v>
      </c>
      <c r="O205" t="n">
        <v>0</v>
      </c>
      <c r="P205" t="n">
        <v>0</v>
      </c>
      <c r="Q205" t="n">
        <v>0</v>
      </c>
      <c r="R205" s="2" t="inlineStr"/>
    </row>
    <row r="206" ht="15" customHeight="1">
      <c r="A206" t="inlineStr">
        <is>
          <t>A 32377-2020</t>
        </is>
      </c>
      <c r="B206" s="1" t="n">
        <v>44018</v>
      </c>
      <c r="C206" s="1" t="n">
        <v>45657</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33181-2020</t>
        </is>
      </c>
      <c r="B207" s="1" t="n">
        <v>44021</v>
      </c>
      <c r="C207" s="1" t="n">
        <v>45657</v>
      </c>
      <c r="D207" t="inlineStr">
        <is>
          <t>VÄSTMANLANDS LÄN</t>
        </is>
      </c>
      <c r="E207" t="inlineStr">
        <is>
          <t>SALA</t>
        </is>
      </c>
      <c r="G207" t="n">
        <v>2.8</v>
      </c>
      <c r="H207" t="n">
        <v>0</v>
      </c>
      <c r="I207" t="n">
        <v>0</v>
      </c>
      <c r="J207" t="n">
        <v>0</v>
      </c>
      <c r="K207" t="n">
        <v>0</v>
      </c>
      <c r="L207" t="n">
        <v>0</v>
      </c>
      <c r="M207" t="n">
        <v>0</v>
      </c>
      <c r="N207" t="n">
        <v>0</v>
      </c>
      <c r="O207" t="n">
        <v>0</v>
      </c>
      <c r="P207" t="n">
        <v>0</v>
      </c>
      <c r="Q207" t="n">
        <v>0</v>
      </c>
      <c r="R207" s="2" t="inlineStr"/>
    </row>
    <row r="208" ht="15" customHeight="1">
      <c r="A208" t="inlineStr">
        <is>
          <t>A 34430-2020</t>
        </is>
      </c>
      <c r="B208" s="1" t="n">
        <v>44032</v>
      </c>
      <c r="C208" s="1" t="n">
        <v>45657</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34429-2020</t>
        </is>
      </c>
      <c r="B209" s="1" t="n">
        <v>44032</v>
      </c>
      <c r="C209" s="1" t="n">
        <v>45657</v>
      </c>
      <c r="D209" t="inlineStr">
        <is>
          <t>VÄSTMANLANDS LÄN</t>
        </is>
      </c>
      <c r="E209" t="inlineStr">
        <is>
          <t>SALA</t>
        </is>
      </c>
      <c r="G209" t="n">
        <v>3.6</v>
      </c>
      <c r="H209" t="n">
        <v>0</v>
      </c>
      <c r="I209" t="n">
        <v>0</v>
      </c>
      <c r="J209" t="n">
        <v>0</v>
      </c>
      <c r="K209" t="n">
        <v>0</v>
      </c>
      <c r="L209" t="n">
        <v>0</v>
      </c>
      <c r="M209" t="n">
        <v>0</v>
      </c>
      <c r="N209" t="n">
        <v>0</v>
      </c>
      <c r="O209" t="n">
        <v>0</v>
      </c>
      <c r="P209" t="n">
        <v>0</v>
      </c>
      <c r="Q209" t="n">
        <v>0</v>
      </c>
      <c r="R209" s="2" t="inlineStr"/>
    </row>
    <row r="210" ht="15" customHeight="1">
      <c r="A210" t="inlineStr">
        <is>
          <t>A 37008-2020</t>
        </is>
      </c>
      <c r="B210" s="1" t="n">
        <v>44054</v>
      </c>
      <c r="C210" s="1" t="n">
        <v>45657</v>
      </c>
      <c r="D210" t="inlineStr">
        <is>
          <t>VÄSTMANLANDS LÄN</t>
        </is>
      </c>
      <c r="E210" t="inlineStr">
        <is>
          <t>SALA</t>
        </is>
      </c>
      <c r="F210" t="inlineStr">
        <is>
          <t>Kommuner</t>
        </is>
      </c>
      <c r="G210" t="n">
        <v>5.5</v>
      </c>
      <c r="H210" t="n">
        <v>0</v>
      </c>
      <c r="I210" t="n">
        <v>0</v>
      </c>
      <c r="J210" t="n">
        <v>0</v>
      </c>
      <c r="K210" t="n">
        <v>0</v>
      </c>
      <c r="L210" t="n">
        <v>0</v>
      </c>
      <c r="M210" t="n">
        <v>0</v>
      </c>
      <c r="N210" t="n">
        <v>0</v>
      </c>
      <c r="O210" t="n">
        <v>0</v>
      </c>
      <c r="P210" t="n">
        <v>0</v>
      </c>
      <c r="Q210" t="n">
        <v>0</v>
      </c>
      <c r="R210" s="2" t="inlineStr"/>
    </row>
    <row r="211" ht="15" customHeight="1">
      <c r="A211" t="inlineStr">
        <is>
          <t>A 37098-2020</t>
        </is>
      </c>
      <c r="B211" s="1" t="n">
        <v>44054</v>
      </c>
      <c r="C211" s="1" t="n">
        <v>45657</v>
      </c>
      <c r="D211" t="inlineStr">
        <is>
          <t>VÄSTMANLANDS LÄN</t>
        </is>
      </c>
      <c r="E211" t="inlineStr">
        <is>
          <t>SALA</t>
        </is>
      </c>
      <c r="F211" t="inlineStr">
        <is>
          <t>Kommuner</t>
        </is>
      </c>
      <c r="G211" t="n">
        <v>3.8</v>
      </c>
      <c r="H211" t="n">
        <v>0</v>
      </c>
      <c r="I211" t="n">
        <v>0</v>
      </c>
      <c r="J211" t="n">
        <v>0</v>
      </c>
      <c r="K211" t="n">
        <v>0</v>
      </c>
      <c r="L211" t="n">
        <v>0</v>
      </c>
      <c r="M211" t="n">
        <v>0</v>
      </c>
      <c r="N211" t="n">
        <v>0</v>
      </c>
      <c r="O211" t="n">
        <v>0</v>
      </c>
      <c r="P211" t="n">
        <v>0</v>
      </c>
      <c r="Q211" t="n">
        <v>0</v>
      </c>
      <c r="R211" s="2" t="inlineStr"/>
    </row>
    <row r="212" ht="15" customHeight="1">
      <c r="A212" t="inlineStr">
        <is>
          <t>A 37150-2020</t>
        </is>
      </c>
      <c r="B212" s="1" t="n">
        <v>44054</v>
      </c>
      <c r="C212" s="1" t="n">
        <v>45657</v>
      </c>
      <c r="D212" t="inlineStr">
        <is>
          <t>VÄSTMANLANDS LÄN</t>
        </is>
      </c>
      <c r="E212" t="inlineStr">
        <is>
          <t>SALA</t>
        </is>
      </c>
      <c r="F212" t="inlineStr">
        <is>
          <t>Kommuner</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38579-2020</t>
        </is>
      </c>
      <c r="B213" s="1" t="n">
        <v>44061</v>
      </c>
      <c r="C213" s="1" t="n">
        <v>45657</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38713-2020</t>
        </is>
      </c>
      <c r="B214" s="1" t="n">
        <v>44061</v>
      </c>
      <c r="C214" s="1" t="n">
        <v>45657</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39519-2020</t>
        </is>
      </c>
      <c r="B215" s="1" t="n">
        <v>44064</v>
      </c>
      <c r="C215" s="1" t="n">
        <v>45657</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39818-2020</t>
        </is>
      </c>
      <c r="B216" s="1" t="n">
        <v>44067</v>
      </c>
      <c r="C216" s="1" t="n">
        <v>45657</v>
      </c>
      <c r="D216" t="inlineStr">
        <is>
          <t>VÄSTMANLANDS LÄN</t>
        </is>
      </c>
      <c r="E216" t="inlineStr">
        <is>
          <t>SALA</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41493-2020</t>
        </is>
      </c>
      <c r="B217" s="1" t="n">
        <v>44074</v>
      </c>
      <c r="C217" s="1" t="n">
        <v>45657</v>
      </c>
      <c r="D217" t="inlineStr">
        <is>
          <t>VÄSTMANLANDS LÄN</t>
        </is>
      </c>
      <c r="E217" t="inlineStr">
        <is>
          <t>SALA</t>
        </is>
      </c>
      <c r="G217" t="n">
        <v>2.4</v>
      </c>
      <c r="H217" t="n">
        <v>0</v>
      </c>
      <c r="I217" t="n">
        <v>0</v>
      </c>
      <c r="J217" t="n">
        <v>0</v>
      </c>
      <c r="K217" t="n">
        <v>0</v>
      </c>
      <c r="L217" t="n">
        <v>0</v>
      </c>
      <c r="M217" t="n">
        <v>0</v>
      </c>
      <c r="N217" t="n">
        <v>0</v>
      </c>
      <c r="O217" t="n">
        <v>0</v>
      </c>
      <c r="P217" t="n">
        <v>0</v>
      </c>
      <c r="Q217" t="n">
        <v>0</v>
      </c>
      <c r="R217" s="2" t="inlineStr"/>
    </row>
    <row r="218" ht="15" customHeight="1">
      <c r="A218" t="inlineStr">
        <is>
          <t>A 41485-2020</t>
        </is>
      </c>
      <c r="B218" s="1" t="n">
        <v>44074</v>
      </c>
      <c r="C218" s="1" t="n">
        <v>45657</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42344-2020</t>
        </is>
      </c>
      <c r="B219" s="1" t="n">
        <v>44076</v>
      </c>
      <c r="C219" s="1" t="n">
        <v>45657</v>
      </c>
      <c r="D219" t="inlineStr">
        <is>
          <t>VÄSTMANLANDS LÄN</t>
        </is>
      </c>
      <c r="E219" t="inlineStr">
        <is>
          <t>SALA</t>
        </is>
      </c>
      <c r="G219" t="n">
        <v>5.1</v>
      </c>
      <c r="H219" t="n">
        <v>0</v>
      </c>
      <c r="I219" t="n">
        <v>0</v>
      </c>
      <c r="J219" t="n">
        <v>0</v>
      </c>
      <c r="K219" t="n">
        <v>0</v>
      </c>
      <c r="L219" t="n">
        <v>0</v>
      </c>
      <c r="M219" t="n">
        <v>0</v>
      </c>
      <c r="N219" t="n">
        <v>0</v>
      </c>
      <c r="O219" t="n">
        <v>0</v>
      </c>
      <c r="P219" t="n">
        <v>0</v>
      </c>
      <c r="Q219" t="n">
        <v>0</v>
      </c>
      <c r="R219" s="2" t="inlineStr"/>
    </row>
    <row r="220" ht="15" customHeight="1">
      <c r="A220" t="inlineStr">
        <is>
          <t>A 42345-2020</t>
        </is>
      </c>
      <c r="B220" s="1" t="n">
        <v>44076</v>
      </c>
      <c r="C220" s="1" t="n">
        <v>45657</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42346-2020</t>
        </is>
      </c>
      <c r="B221" s="1" t="n">
        <v>44076</v>
      </c>
      <c r="C221" s="1" t="n">
        <v>45657</v>
      </c>
      <c r="D221" t="inlineStr">
        <is>
          <t>VÄSTMANLANDS LÄN</t>
        </is>
      </c>
      <c r="E221" t="inlineStr">
        <is>
          <t>SALA</t>
        </is>
      </c>
      <c r="G221" t="n">
        <v>1.7</v>
      </c>
      <c r="H221" t="n">
        <v>0</v>
      </c>
      <c r="I221" t="n">
        <v>0</v>
      </c>
      <c r="J221" t="n">
        <v>0</v>
      </c>
      <c r="K221" t="n">
        <v>0</v>
      </c>
      <c r="L221" t="n">
        <v>0</v>
      </c>
      <c r="M221" t="n">
        <v>0</v>
      </c>
      <c r="N221" t="n">
        <v>0</v>
      </c>
      <c r="O221" t="n">
        <v>0</v>
      </c>
      <c r="P221" t="n">
        <v>0</v>
      </c>
      <c r="Q221" t="n">
        <v>0</v>
      </c>
      <c r="R221" s="2" t="inlineStr"/>
    </row>
    <row r="222" ht="15" customHeight="1">
      <c r="A222" t="inlineStr">
        <is>
          <t>A 43349-2020</t>
        </is>
      </c>
      <c r="B222" s="1" t="n">
        <v>44081</v>
      </c>
      <c r="C222" s="1" t="n">
        <v>45657</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44652-2020</t>
        </is>
      </c>
      <c r="B223" s="1" t="n">
        <v>44085</v>
      </c>
      <c r="C223" s="1" t="n">
        <v>45657</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44950-2020</t>
        </is>
      </c>
      <c r="B224" s="1" t="n">
        <v>44088</v>
      </c>
      <c r="C224" s="1" t="n">
        <v>45657</v>
      </c>
      <c r="D224" t="inlineStr">
        <is>
          <t>VÄSTMANLANDS LÄN</t>
        </is>
      </c>
      <c r="E224" t="inlineStr">
        <is>
          <t>SALA</t>
        </is>
      </c>
      <c r="G224" t="n">
        <v>9</v>
      </c>
      <c r="H224" t="n">
        <v>0</v>
      </c>
      <c r="I224" t="n">
        <v>0</v>
      </c>
      <c r="J224" t="n">
        <v>0</v>
      </c>
      <c r="K224" t="n">
        <v>0</v>
      </c>
      <c r="L224" t="n">
        <v>0</v>
      </c>
      <c r="M224" t="n">
        <v>0</v>
      </c>
      <c r="N224" t="n">
        <v>0</v>
      </c>
      <c r="O224" t="n">
        <v>0</v>
      </c>
      <c r="P224" t="n">
        <v>0</v>
      </c>
      <c r="Q224" t="n">
        <v>0</v>
      </c>
      <c r="R224" s="2" t="inlineStr"/>
    </row>
    <row r="225" ht="15" customHeight="1">
      <c r="A225" t="inlineStr">
        <is>
          <t>A 46965-2020</t>
        </is>
      </c>
      <c r="B225" s="1" t="n">
        <v>44096</v>
      </c>
      <c r="C225" s="1" t="n">
        <v>45657</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47054-2020</t>
        </is>
      </c>
      <c r="B226" s="1" t="n">
        <v>44096</v>
      </c>
      <c r="C226" s="1" t="n">
        <v>45657</v>
      </c>
      <c r="D226" t="inlineStr">
        <is>
          <t>VÄSTMANLANDS LÄN</t>
        </is>
      </c>
      <c r="E226" t="inlineStr">
        <is>
          <t>SALA</t>
        </is>
      </c>
      <c r="F226" t="inlineStr">
        <is>
          <t>Kommuner</t>
        </is>
      </c>
      <c r="G226" t="n">
        <v>1.1</v>
      </c>
      <c r="H226" t="n">
        <v>0</v>
      </c>
      <c r="I226" t="n">
        <v>0</v>
      </c>
      <c r="J226" t="n">
        <v>0</v>
      </c>
      <c r="K226" t="n">
        <v>0</v>
      </c>
      <c r="L226" t="n">
        <v>0</v>
      </c>
      <c r="M226" t="n">
        <v>0</v>
      </c>
      <c r="N226" t="n">
        <v>0</v>
      </c>
      <c r="O226" t="n">
        <v>0</v>
      </c>
      <c r="P226" t="n">
        <v>0</v>
      </c>
      <c r="Q226" t="n">
        <v>0</v>
      </c>
      <c r="R226" s="2" t="inlineStr"/>
    </row>
    <row r="227" ht="15" customHeight="1">
      <c r="A227" t="inlineStr">
        <is>
          <t>A 47208-2020</t>
        </is>
      </c>
      <c r="B227" s="1" t="n">
        <v>44097</v>
      </c>
      <c r="C227" s="1" t="n">
        <v>45657</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50559-2020</t>
        </is>
      </c>
      <c r="B228" s="1" t="n">
        <v>44110</v>
      </c>
      <c r="C228" s="1" t="n">
        <v>45657</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50801-2020</t>
        </is>
      </c>
      <c r="B229" s="1" t="n">
        <v>44111</v>
      </c>
      <c r="C229" s="1" t="n">
        <v>45657</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50818-2020</t>
        </is>
      </c>
      <c r="B230" s="1" t="n">
        <v>44111</v>
      </c>
      <c r="C230" s="1" t="n">
        <v>45657</v>
      </c>
      <c r="D230" t="inlineStr">
        <is>
          <t>VÄSTMANLANDS LÄN</t>
        </is>
      </c>
      <c r="E230" t="inlineStr">
        <is>
          <t>SALA</t>
        </is>
      </c>
      <c r="G230" t="n">
        <v>0.4</v>
      </c>
      <c r="H230" t="n">
        <v>0</v>
      </c>
      <c r="I230" t="n">
        <v>0</v>
      </c>
      <c r="J230" t="n">
        <v>0</v>
      </c>
      <c r="K230" t="n">
        <v>0</v>
      </c>
      <c r="L230" t="n">
        <v>0</v>
      </c>
      <c r="M230" t="n">
        <v>0</v>
      </c>
      <c r="N230" t="n">
        <v>0</v>
      </c>
      <c r="O230" t="n">
        <v>0</v>
      </c>
      <c r="P230" t="n">
        <v>0</v>
      </c>
      <c r="Q230" t="n">
        <v>0</v>
      </c>
      <c r="R230" s="2" t="inlineStr"/>
    </row>
    <row r="231" ht="15" customHeight="1">
      <c r="A231" t="inlineStr">
        <is>
          <t>A 54322-2020</t>
        </is>
      </c>
      <c r="B231" s="1" t="n">
        <v>44126</v>
      </c>
      <c r="C231" s="1" t="n">
        <v>45657</v>
      </c>
      <c r="D231" t="inlineStr">
        <is>
          <t>VÄSTMANLANDS LÄN</t>
        </is>
      </c>
      <c r="E231" t="inlineStr">
        <is>
          <t>SALA</t>
        </is>
      </c>
      <c r="G231" t="n">
        <v>2</v>
      </c>
      <c r="H231" t="n">
        <v>0</v>
      </c>
      <c r="I231" t="n">
        <v>0</v>
      </c>
      <c r="J231" t="n">
        <v>0</v>
      </c>
      <c r="K231" t="n">
        <v>0</v>
      </c>
      <c r="L231" t="n">
        <v>0</v>
      </c>
      <c r="M231" t="n">
        <v>0</v>
      </c>
      <c r="N231" t="n">
        <v>0</v>
      </c>
      <c r="O231" t="n">
        <v>0</v>
      </c>
      <c r="P231" t="n">
        <v>0</v>
      </c>
      <c r="Q231" t="n">
        <v>0</v>
      </c>
      <c r="R231" s="2" t="inlineStr"/>
    </row>
    <row r="232" ht="15" customHeight="1">
      <c r="A232" t="inlineStr">
        <is>
          <t>A 54923-2020</t>
        </is>
      </c>
      <c r="B232" s="1" t="n">
        <v>44127</v>
      </c>
      <c r="C232" s="1" t="n">
        <v>45657</v>
      </c>
      <c r="D232" t="inlineStr">
        <is>
          <t>VÄSTMANLANDS LÄN</t>
        </is>
      </c>
      <c r="E232" t="inlineStr">
        <is>
          <t>SALA</t>
        </is>
      </c>
      <c r="G232" t="n">
        <v>4.9</v>
      </c>
      <c r="H232" t="n">
        <v>0</v>
      </c>
      <c r="I232" t="n">
        <v>0</v>
      </c>
      <c r="J232" t="n">
        <v>0</v>
      </c>
      <c r="K232" t="n">
        <v>0</v>
      </c>
      <c r="L232" t="n">
        <v>0</v>
      </c>
      <c r="M232" t="n">
        <v>0</v>
      </c>
      <c r="N232" t="n">
        <v>0</v>
      </c>
      <c r="O232" t="n">
        <v>0</v>
      </c>
      <c r="P232" t="n">
        <v>0</v>
      </c>
      <c r="Q232" t="n">
        <v>0</v>
      </c>
      <c r="R232" s="2" t="inlineStr"/>
    </row>
    <row r="233" ht="15" customHeight="1">
      <c r="A233" t="inlineStr">
        <is>
          <t>A 54931-2020</t>
        </is>
      </c>
      <c r="B233" s="1" t="n">
        <v>44127</v>
      </c>
      <c r="C233" s="1" t="n">
        <v>45657</v>
      </c>
      <c r="D233" t="inlineStr">
        <is>
          <t>VÄSTMANLANDS LÄN</t>
        </is>
      </c>
      <c r="E233" t="inlineStr">
        <is>
          <t>SALA</t>
        </is>
      </c>
      <c r="G233" t="n">
        <v>7</v>
      </c>
      <c r="H233" t="n">
        <v>0</v>
      </c>
      <c r="I233" t="n">
        <v>0</v>
      </c>
      <c r="J233" t="n">
        <v>0</v>
      </c>
      <c r="K233" t="n">
        <v>0</v>
      </c>
      <c r="L233" t="n">
        <v>0</v>
      </c>
      <c r="M233" t="n">
        <v>0</v>
      </c>
      <c r="N233" t="n">
        <v>0</v>
      </c>
      <c r="O233" t="n">
        <v>0</v>
      </c>
      <c r="P233" t="n">
        <v>0</v>
      </c>
      <c r="Q233" t="n">
        <v>0</v>
      </c>
      <c r="R233" s="2" t="inlineStr"/>
    </row>
    <row r="234" ht="15" customHeight="1">
      <c r="A234" t="inlineStr">
        <is>
          <t>A 55439-2020</t>
        </is>
      </c>
      <c r="B234" s="1" t="n">
        <v>44130</v>
      </c>
      <c r="C234" s="1" t="n">
        <v>45657</v>
      </c>
      <c r="D234" t="inlineStr">
        <is>
          <t>VÄSTMANLANDS LÄN</t>
        </is>
      </c>
      <c r="E234" t="inlineStr">
        <is>
          <t>SALA</t>
        </is>
      </c>
      <c r="G234" t="n">
        <v>4.3</v>
      </c>
      <c r="H234" t="n">
        <v>0</v>
      </c>
      <c r="I234" t="n">
        <v>0</v>
      </c>
      <c r="J234" t="n">
        <v>0</v>
      </c>
      <c r="K234" t="n">
        <v>0</v>
      </c>
      <c r="L234" t="n">
        <v>0</v>
      </c>
      <c r="M234" t="n">
        <v>0</v>
      </c>
      <c r="N234" t="n">
        <v>0</v>
      </c>
      <c r="O234" t="n">
        <v>0</v>
      </c>
      <c r="P234" t="n">
        <v>0</v>
      </c>
      <c r="Q234" t="n">
        <v>0</v>
      </c>
      <c r="R234" s="2" t="inlineStr"/>
    </row>
    <row r="235" ht="15" customHeight="1">
      <c r="A235" t="inlineStr">
        <is>
          <t>A 55881-2020</t>
        </is>
      </c>
      <c r="B235" s="1" t="n">
        <v>44132</v>
      </c>
      <c r="C235" s="1" t="n">
        <v>45657</v>
      </c>
      <c r="D235" t="inlineStr">
        <is>
          <t>VÄSTMANLANDS LÄN</t>
        </is>
      </c>
      <c r="E235" t="inlineStr">
        <is>
          <t>SALA</t>
        </is>
      </c>
      <c r="G235" t="n">
        <v>3</v>
      </c>
      <c r="H235" t="n">
        <v>0</v>
      </c>
      <c r="I235" t="n">
        <v>0</v>
      </c>
      <c r="J235" t="n">
        <v>0</v>
      </c>
      <c r="K235" t="n">
        <v>0</v>
      </c>
      <c r="L235" t="n">
        <v>0</v>
      </c>
      <c r="M235" t="n">
        <v>0</v>
      </c>
      <c r="N235" t="n">
        <v>0</v>
      </c>
      <c r="O235" t="n">
        <v>0</v>
      </c>
      <c r="P235" t="n">
        <v>0</v>
      </c>
      <c r="Q235" t="n">
        <v>0</v>
      </c>
      <c r="R235" s="2" t="inlineStr"/>
    </row>
    <row r="236" ht="15" customHeight="1">
      <c r="A236" t="inlineStr">
        <is>
          <t>A 56134-2020</t>
        </is>
      </c>
      <c r="B236" s="1" t="n">
        <v>44132</v>
      </c>
      <c r="C236" s="1" t="n">
        <v>45657</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56098-2020</t>
        </is>
      </c>
      <c r="B237" s="1" t="n">
        <v>44132</v>
      </c>
      <c r="C237" s="1" t="n">
        <v>45657</v>
      </c>
      <c r="D237" t="inlineStr">
        <is>
          <t>VÄSTMANLANDS LÄN</t>
        </is>
      </c>
      <c r="E237" t="inlineStr">
        <is>
          <t>SALA</t>
        </is>
      </c>
      <c r="G237" t="n">
        <v>1.9</v>
      </c>
      <c r="H237" t="n">
        <v>0</v>
      </c>
      <c r="I237" t="n">
        <v>0</v>
      </c>
      <c r="J237" t="n">
        <v>0</v>
      </c>
      <c r="K237" t="n">
        <v>0</v>
      </c>
      <c r="L237" t="n">
        <v>0</v>
      </c>
      <c r="M237" t="n">
        <v>0</v>
      </c>
      <c r="N237" t="n">
        <v>0</v>
      </c>
      <c r="O237" t="n">
        <v>0</v>
      </c>
      <c r="P237" t="n">
        <v>0</v>
      </c>
      <c r="Q237" t="n">
        <v>0</v>
      </c>
      <c r="R237" s="2" t="inlineStr"/>
    </row>
    <row r="238" ht="15" customHeight="1">
      <c r="A238" t="inlineStr">
        <is>
          <t>A 57800-2020</t>
        </is>
      </c>
      <c r="B238" s="1" t="n">
        <v>44141</v>
      </c>
      <c r="C238" s="1" t="n">
        <v>45657</v>
      </c>
      <c r="D238" t="inlineStr">
        <is>
          <t>VÄSTMANLANDS LÄN</t>
        </is>
      </c>
      <c r="E238" t="inlineStr">
        <is>
          <t>SALA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58314-2020</t>
        </is>
      </c>
      <c r="B239" s="1" t="n">
        <v>44145</v>
      </c>
      <c r="C239" s="1" t="n">
        <v>45657</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58781-2020</t>
        </is>
      </c>
      <c r="B240" s="1" t="n">
        <v>44146</v>
      </c>
      <c r="C240" s="1" t="n">
        <v>45657</v>
      </c>
      <c r="D240" t="inlineStr">
        <is>
          <t>VÄSTMANLANDS LÄN</t>
        </is>
      </c>
      <c r="E240" t="inlineStr">
        <is>
          <t>SALA</t>
        </is>
      </c>
      <c r="G240" t="n">
        <v>1.2</v>
      </c>
      <c r="H240" t="n">
        <v>0</v>
      </c>
      <c r="I240" t="n">
        <v>0</v>
      </c>
      <c r="J240" t="n">
        <v>0</v>
      </c>
      <c r="K240" t="n">
        <v>0</v>
      </c>
      <c r="L240" t="n">
        <v>0</v>
      </c>
      <c r="M240" t="n">
        <v>0</v>
      </c>
      <c r="N240" t="n">
        <v>0</v>
      </c>
      <c r="O240" t="n">
        <v>0</v>
      </c>
      <c r="P240" t="n">
        <v>0</v>
      </c>
      <c r="Q240" t="n">
        <v>0</v>
      </c>
      <c r="R240" s="2" t="inlineStr"/>
    </row>
    <row r="241" ht="15" customHeight="1">
      <c r="A241" t="inlineStr">
        <is>
          <t>A 58912-2020</t>
        </is>
      </c>
      <c r="B241" s="1" t="n">
        <v>44146</v>
      </c>
      <c r="C241" s="1" t="n">
        <v>45657</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61415-2020</t>
        </is>
      </c>
      <c r="B242" s="1" t="n">
        <v>44156</v>
      </c>
      <c r="C242" s="1" t="n">
        <v>45657</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62275-2020</t>
        </is>
      </c>
      <c r="B243" s="1" t="n">
        <v>44158</v>
      </c>
      <c r="C243" s="1" t="n">
        <v>45657</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62680-2020</t>
        </is>
      </c>
      <c r="B244" s="1" t="n">
        <v>44161</v>
      </c>
      <c r="C244" s="1" t="n">
        <v>45657</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64940-2020</t>
        </is>
      </c>
      <c r="B245" s="1" t="n">
        <v>44172</v>
      </c>
      <c r="C245" s="1" t="n">
        <v>45657</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66821-2020</t>
        </is>
      </c>
      <c r="B246" s="1" t="n">
        <v>44179</v>
      </c>
      <c r="C246" s="1" t="n">
        <v>45657</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68113-2020</t>
        </is>
      </c>
      <c r="B247" s="1" t="n">
        <v>44182</v>
      </c>
      <c r="C247" s="1" t="n">
        <v>45657</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69194-2020</t>
        </is>
      </c>
      <c r="B248" s="1" t="n">
        <v>44191</v>
      </c>
      <c r="C248" s="1" t="n">
        <v>45657</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69192-2020</t>
        </is>
      </c>
      <c r="B249" s="1" t="n">
        <v>44191</v>
      </c>
      <c r="C249" s="1" t="n">
        <v>45657</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69195-2020</t>
        </is>
      </c>
      <c r="B250" s="1" t="n">
        <v>44191</v>
      </c>
      <c r="C250" s="1" t="n">
        <v>45657</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69319-2020</t>
        </is>
      </c>
      <c r="B251" s="1" t="n">
        <v>44193</v>
      </c>
      <c r="C251" s="1" t="n">
        <v>45657</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69318-2020</t>
        </is>
      </c>
      <c r="B252" s="1" t="n">
        <v>44193</v>
      </c>
      <c r="C252" s="1" t="n">
        <v>45657</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1599-2021</t>
        </is>
      </c>
      <c r="B253" s="1" t="n">
        <v>44209</v>
      </c>
      <c r="C253" s="1" t="n">
        <v>45657</v>
      </c>
      <c r="D253" t="inlineStr">
        <is>
          <t>VÄSTMANLANDS LÄN</t>
        </is>
      </c>
      <c r="E253" t="inlineStr">
        <is>
          <t>SALA</t>
        </is>
      </c>
      <c r="G253" t="n">
        <v>9.6</v>
      </c>
      <c r="H253" t="n">
        <v>0</v>
      </c>
      <c r="I253" t="n">
        <v>0</v>
      </c>
      <c r="J253" t="n">
        <v>0</v>
      </c>
      <c r="K253" t="n">
        <v>0</v>
      </c>
      <c r="L253" t="n">
        <v>0</v>
      </c>
      <c r="M253" t="n">
        <v>0</v>
      </c>
      <c r="N253" t="n">
        <v>0</v>
      </c>
      <c r="O253" t="n">
        <v>0</v>
      </c>
      <c r="P253" t="n">
        <v>0</v>
      </c>
      <c r="Q253" t="n">
        <v>0</v>
      </c>
      <c r="R253" s="2" t="inlineStr"/>
      <c r="U253">
        <f>HYPERLINK("https://klasma.github.io/Logging_1981/knärot/A 1599-2021 karta knärot.png", "A 1599-2021")</f>
        <v/>
      </c>
      <c r="V253">
        <f>HYPERLINK("https://klasma.github.io/Logging_1981/klagomål/A 1599-2021 FSC-klagomål.docx", "A 1599-2021")</f>
        <v/>
      </c>
      <c r="W253">
        <f>HYPERLINK("https://klasma.github.io/Logging_1981/klagomålsmail/A 1599-2021 FSC-klagomål mail.docx", "A 1599-2021")</f>
        <v/>
      </c>
      <c r="X253">
        <f>HYPERLINK("https://klasma.github.io/Logging_1981/tillsyn/A 1599-2021 tillsynsbegäran.docx", "A 1599-2021")</f>
        <v/>
      </c>
      <c r="Y253">
        <f>HYPERLINK("https://klasma.github.io/Logging_1981/tillsynsmail/A 1599-2021 tillsynsbegäran mail.docx", "A 1599-2021")</f>
        <v/>
      </c>
    </row>
    <row r="254" ht="15" customHeight="1">
      <c r="A254" t="inlineStr">
        <is>
          <t>A 2443-2021</t>
        </is>
      </c>
      <c r="B254" s="1" t="n">
        <v>44214</v>
      </c>
      <c r="C254" s="1" t="n">
        <v>45657</v>
      </c>
      <c r="D254" t="inlineStr">
        <is>
          <t>VÄSTMANLANDS LÄN</t>
        </is>
      </c>
      <c r="E254" t="inlineStr">
        <is>
          <t>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4736-2021</t>
        </is>
      </c>
      <c r="B255" s="1" t="n">
        <v>44225</v>
      </c>
      <c r="C255" s="1" t="n">
        <v>45657</v>
      </c>
      <c r="D255" t="inlineStr">
        <is>
          <t>VÄSTMANLANDS LÄN</t>
        </is>
      </c>
      <c r="E255" t="inlineStr">
        <is>
          <t>SALA</t>
        </is>
      </c>
      <c r="G255" t="n">
        <v>4.2</v>
      </c>
      <c r="H255" t="n">
        <v>0</v>
      </c>
      <c r="I255" t="n">
        <v>0</v>
      </c>
      <c r="J255" t="n">
        <v>0</v>
      </c>
      <c r="K255" t="n">
        <v>0</v>
      </c>
      <c r="L255" t="n">
        <v>0</v>
      </c>
      <c r="M255" t="n">
        <v>0</v>
      </c>
      <c r="N255" t="n">
        <v>0</v>
      </c>
      <c r="O255" t="n">
        <v>0</v>
      </c>
      <c r="P255" t="n">
        <v>0</v>
      </c>
      <c r="Q255" t="n">
        <v>0</v>
      </c>
      <c r="R255" s="2" t="inlineStr"/>
    </row>
    <row r="256" ht="15" customHeight="1">
      <c r="A256" t="inlineStr">
        <is>
          <t>A 6088-2021</t>
        </is>
      </c>
      <c r="B256" s="1" t="n">
        <v>44232</v>
      </c>
      <c r="C256" s="1" t="n">
        <v>45657</v>
      </c>
      <c r="D256" t="inlineStr">
        <is>
          <t>VÄSTMANLANDS LÄN</t>
        </is>
      </c>
      <c r="E256" t="inlineStr">
        <is>
          <t>SALA</t>
        </is>
      </c>
      <c r="G256" t="n">
        <v>0.2</v>
      </c>
      <c r="H256" t="n">
        <v>0</v>
      </c>
      <c r="I256" t="n">
        <v>0</v>
      </c>
      <c r="J256" t="n">
        <v>0</v>
      </c>
      <c r="K256" t="n">
        <v>0</v>
      </c>
      <c r="L256" t="n">
        <v>0</v>
      </c>
      <c r="M256" t="n">
        <v>0</v>
      </c>
      <c r="N256" t="n">
        <v>0</v>
      </c>
      <c r="O256" t="n">
        <v>0</v>
      </c>
      <c r="P256" t="n">
        <v>0</v>
      </c>
      <c r="Q256" t="n">
        <v>0</v>
      </c>
      <c r="R256" s="2" t="inlineStr"/>
    </row>
    <row r="257" ht="15" customHeight="1">
      <c r="A257" t="inlineStr">
        <is>
          <t>A 6308-2021</t>
        </is>
      </c>
      <c r="B257" s="1" t="n">
        <v>44235</v>
      </c>
      <c r="C257" s="1" t="n">
        <v>45657</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7681-2021</t>
        </is>
      </c>
      <c r="B258" s="1" t="n">
        <v>44242</v>
      </c>
      <c r="C258" s="1" t="n">
        <v>45657</v>
      </c>
      <c r="D258" t="inlineStr">
        <is>
          <t>VÄSTMANLANDS LÄN</t>
        </is>
      </c>
      <c r="E258" t="inlineStr">
        <is>
          <t>SALA</t>
        </is>
      </c>
      <c r="F258" t="inlineStr">
        <is>
          <t>Sveaskog</t>
        </is>
      </c>
      <c r="G258" t="n">
        <v>16.1</v>
      </c>
      <c r="H258" t="n">
        <v>0</v>
      </c>
      <c r="I258" t="n">
        <v>0</v>
      </c>
      <c r="J258" t="n">
        <v>0</v>
      </c>
      <c r="K258" t="n">
        <v>0</v>
      </c>
      <c r="L258" t="n">
        <v>0</v>
      </c>
      <c r="M258" t="n">
        <v>0</v>
      </c>
      <c r="N258" t="n">
        <v>0</v>
      </c>
      <c r="O258" t="n">
        <v>0</v>
      </c>
      <c r="P258" t="n">
        <v>0</v>
      </c>
      <c r="Q258" t="n">
        <v>0</v>
      </c>
      <c r="R258" s="2" t="inlineStr"/>
    </row>
    <row r="259" ht="15" customHeight="1">
      <c r="A259" t="inlineStr">
        <is>
          <t>A 7968-2021</t>
        </is>
      </c>
      <c r="B259" s="1" t="n">
        <v>44243</v>
      </c>
      <c r="C259" s="1" t="n">
        <v>45657</v>
      </c>
      <c r="D259" t="inlineStr">
        <is>
          <t>VÄSTMANLANDS LÄN</t>
        </is>
      </c>
      <c r="E259" t="inlineStr">
        <is>
          <t>SALA</t>
        </is>
      </c>
      <c r="G259" t="n">
        <v>3.1</v>
      </c>
      <c r="H259" t="n">
        <v>0</v>
      </c>
      <c r="I259" t="n">
        <v>0</v>
      </c>
      <c r="J259" t="n">
        <v>0</v>
      </c>
      <c r="K259" t="n">
        <v>0</v>
      </c>
      <c r="L259" t="n">
        <v>0</v>
      </c>
      <c r="M259" t="n">
        <v>0</v>
      </c>
      <c r="N259" t="n">
        <v>0</v>
      </c>
      <c r="O259" t="n">
        <v>0</v>
      </c>
      <c r="P259" t="n">
        <v>0</v>
      </c>
      <c r="Q259" t="n">
        <v>0</v>
      </c>
      <c r="R259" s="2" t="inlineStr"/>
    </row>
    <row r="260" ht="15" customHeight="1">
      <c r="A260" t="inlineStr">
        <is>
          <t>A 7955-2021</t>
        </is>
      </c>
      <c r="B260" s="1" t="n">
        <v>44243</v>
      </c>
      <c r="C260" s="1" t="n">
        <v>45657</v>
      </c>
      <c r="D260" t="inlineStr">
        <is>
          <t>VÄSTMANLANDS LÄN</t>
        </is>
      </c>
      <c r="E260" t="inlineStr">
        <is>
          <t>SALA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8513-2021</t>
        </is>
      </c>
      <c r="B261" s="1" t="n">
        <v>44244</v>
      </c>
      <c r="C261" s="1" t="n">
        <v>45657</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10154-2021</t>
        </is>
      </c>
      <c r="B262" s="1" t="n">
        <v>44256</v>
      </c>
      <c r="C262" s="1" t="n">
        <v>45657</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10812-2021</t>
        </is>
      </c>
      <c r="B263" s="1" t="n">
        <v>44259</v>
      </c>
      <c r="C263" s="1" t="n">
        <v>45657</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11017-2021</t>
        </is>
      </c>
      <c r="B264" s="1" t="n">
        <v>44260</v>
      </c>
      <c r="C264" s="1" t="n">
        <v>45657</v>
      </c>
      <c r="D264" t="inlineStr">
        <is>
          <t>VÄSTMANLANDS LÄN</t>
        </is>
      </c>
      <c r="E264" t="inlineStr">
        <is>
          <t>SALA</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11007-2021</t>
        </is>
      </c>
      <c r="B265" s="1" t="n">
        <v>44260</v>
      </c>
      <c r="C265" s="1" t="n">
        <v>45657</v>
      </c>
      <c r="D265" t="inlineStr">
        <is>
          <t>VÄSTMANLANDS LÄN</t>
        </is>
      </c>
      <c r="E265" t="inlineStr">
        <is>
          <t>SALA</t>
        </is>
      </c>
      <c r="F265" t="inlineStr">
        <is>
          <t>Kyrkan</t>
        </is>
      </c>
      <c r="G265" t="n">
        <v>1.6</v>
      </c>
      <c r="H265" t="n">
        <v>0</v>
      </c>
      <c r="I265" t="n">
        <v>0</v>
      </c>
      <c r="J265" t="n">
        <v>0</v>
      </c>
      <c r="K265" t="n">
        <v>0</v>
      </c>
      <c r="L265" t="n">
        <v>0</v>
      </c>
      <c r="M265" t="n">
        <v>0</v>
      </c>
      <c r="N265" t="n">
        <v>0</v>
      </c>
      <c r="O265" t="n">
        <v>0</v>
      </c>
      <c r="P265" t="n">
        <v>0</v>
      </c>
      <c r="Q265" t="n">
        <v>0</v>
      </c>
      <c r="R265" s="2" t="inlineStr"/>
    </row>
    <row r="266" ht="15" customHeight="1">
      <c r="A266" t="inlineStr">
        <is>
          <t>A 11560-2021</t>
        </is>
      </c>
      <c r="B266" s="1" t="n">
        <v>44264</v>
      </c>
      <c r="C266" s="1" t="n">
        <v>45657</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13112-2021</t>
        </is>
      </c>
      <c r="B267" s="1" t="n">
        <v>44272</v>
      </c>
      <c r="C267" s="1" t="n">
        <v>45657</v>
      </c>
      <c r="D267" t="inlineStr">
        <is>
          <t>VÄSTMANLANDS LÄN</t>
        </is>
      </c>
      <c r="E267" t="inlineStr">
        <is>
          <t>SALA</t>
        </is>
      </c>
      <c r="G267" t="n">
        <v>3.7</v>
      </c>
      <c r="H267" t="n">
        <v>0</v>
      </c>
      <c r="I267" t="n">
        <v>0</v>
      </c>
      <c r="J267" t="n">
        <v>0</v>
      </c>
      <c r="K267" t="n">
        <v>0</v>
      </c>
      <c r="L267" t="n">
        <v>0</v>
      </c>
      <c r="M267" t="n">
        <v>0</v>
      </c>
      <c r="N267" t="n">
        <v>0</v>
      </c>
      <c r="O267" t="n">
        <v>0</v>
      </c>
      <c r="P267" t="n">
        <v>0</v>
      </c>
      <c r="Q267" t="n">
        <v>0</v>
      </c>
      <c r="R267" s="2" t="inlineStr"/>
    </row>
    <row r="268" ht="15" customHeight="1">
      <c r="A268" t="inlineStr">
        <is>
          <t>A 14010-2021</t>
        </is>
      </c>
      <c r="B268" s="1" t="n">
        <v>44277</v>
      </c>
      <c r="C268" s="1" t="n">
        <v>45657</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15354-2021</t>
        </is>
      </c>
      <c r="B269" s="1" t="n">
        <v>44284</v>
      </c>
      <c r="C269" s="1" t="n">
        <v>45657</v>
      </c>
      <c r="D269" t="inlineStr">
        <is>
          <t>VÄSTMANLANDS LÄN</t>
        </is>
      </c>
      <c r="E269" t="inlineStr">
        <is>
          <t>SALA</t>
        </is>
      </c>
      <c r="F269" t="inlineStr">
        <is>
          <t>Kyrkan</t>
        </is>
      </c>
      <c r="G269" t="n">
        <v>8.5</v>
      </c>
      <c r="H269" t="n">
        <v>0</v>
      </c>
      <c r="I269" t="n">
        <v>0</v>
      </c>
      <c r="J269" t="n">
        <v>0</v>
      </c>
      <c r="K269" t="n">
        <v>0</v>
      </c>
      <c r="L269" t="n">
        <v>0</v>
      </c>
      <c r="M269" t="n">
        <v>0</v>
      </c>
      <c r="N269" t="n">
        <v>0</v>
      </c>
      <c r="O269" t="n">
        <v>0</v>
      </c>
      <c r="P269" t="n">
        <v>0</v>
      </c>
      <c r="Q269" t="n">
        <v>0</v>
      </c>
      <c r="R269" s="2" t="inlineStr"/>
    </row>
    <row r="270" ht="15" customHeight="1">
      <c r="A270" t="inlineStr">
        <is>
          <t>A 15483-2021</t>
        </is>
      </c>
      <c r="B270" s="1" t="n">
        <v>44285</v>
      </c>
      <c r="C270" s="1" t="n">
        <v>45657</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45657</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16651-2021</t>
        </is>
      </c>
      <c r="B272" s="1" t="n">
        <v>44294</v>
      </c>
      <c r="C272" s="1" t="n">
        <v>45657</v>
      </c>
      <c r="D272" t="inlineStr">
        <is>
          <t>VÄSTMANLANDS LÄN</t>
        </is>
      </c>
      <c r="E272" t="inlineStr">
        <is>
          <t>SALA</t>
        </is>
      </c>
      <c r="G272" t="n">
        <v>7.7</v>
      </c>
      <c r="H272" t="n">
        <v>0</v>
      </c>
      <c r="I272" t="n">
        <v>0</v>
      </c>
      <c r="J272" t="n">
        <v>0</v>
      </c>
      <c r="K272" t="n">
        <v>0</v>
      </c>
      <c r="L272" t="n">
        <v>0</v>
      </c>
      <c r="M272" t="n">
        <v>0</v>
      </c>
      <c r="N272" t="n">
        <v>0</v>
      </c>
      <c r="O272" t="n">
        <v>0</v>
      </c>
      <c r="P272" t="n">
        <v>0</v>
      </c>
      <c r="Q272" t="n">
        <v>0</v>
      </c>
      <c r="R272" s="2" t="inlineStr"/>
    </row>
    <row r="273" ht="15" customHeight="1">
      <c r="A273" t="inlineStr">
        <is>
          <t>A 18046-2021</t>
        </is>
      </c>
      <c r="B273" s="1" t="n">
        <v>44301</v>
      </c>
      <c r="C273" s="1" t="n">
        <v>45657</v>
      </c>
      <c r="D273" t="inlineStr">
        <is>
          <t>VÄSTMANLANDS LÄN</t>
        </is>
      </c>
      <c r="E273" t="inlineStr">
        <is>
          <t>SALA</t>
        </is>
      </c>
      <c r="G273" t="n">
        <v>3.5</v>
      </c>
      <c r="H273" t="n">
        <v>0</v>
      </c>
      <c r="I273" t="n">
        <v>0</v>
      </c>
      <c r="J273" t="n">
        <v>0</v>
      </c>
      <c r="K273" t="n">
        <v>0</v>
      </c>
      <c r="L273" t="n">
        <v>0</v>
      </c>
      <c r="M273" t="n">
        <v>0</v>
      </c>
      <c r="N273" t="n">
        <v>0</v>
      </c>
      <c r="O273" t="n">
        <v>0</v>
      </c>
      <c r="P273" t="n">
        <v>0</v>
      </c>
      <c r="Q273" t="n">
        <v>0</v>
      </c>
      <c r="R273" s="2" t="inlineStr"/>
    </row>
    <row r="274" ht="15" customHeight="1">
      <c r="A274" t="inlineStr">
        <is>
          <t>A 18189-2021</t>
        </is>
      </c>
      <c r="B274" s="1" t="n">
        <v>44302</v>
      </c>
      <c r="C274" s="1" t="n">
        <v>45657</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18259-2021</t>
        </is>
      </c>
      <c r="B275" s="1" t="n">
        <v>44305</v>
      </c>
      <c r="C275" s="1" t="n">
        <v>45657</v>
      </c>
      <c r="D275" t="inlineStr">
        <is>
          <t>VÄSTMANLANDS LÄN</t>
        </is>
      </c>
      <c r="E275" t="inlineStr">
        <is>
          <t>SALA</t>
        </is>
      </c>
      <c r="G275" t="n">
        <v>0</v>
      </c>
      <c r="H275" t="n">
        <v>0</v>
      </c>
      <c r="I275" t="n">
        <v>0</v>
      </c>
      <c r="J275" t="n">
        <v>0</v>
      </c>
      <c r="K275" t="n">
        <v>0</v>
      </c>
      <c r="L275" t="n">
        <v>0</v>
      </c>
      <c r="M275" t="n">
        <v>0</v>
      </c>
      <c r="N275" t="n">
        <v>0</v>
      </c>
      <c r="O275" t="n">
        <v>0</v>
      </c>
      <c r="P275" t="n">
        <v>0</v>
      </c>
      <c r="Q275" t="n">
        <v>0</v>
      </c>
      <c r="R275" s="2" t="inlineStr"/>
    </row>
    <row r="276" ht="15" customHeight="1">
      <c r="A276" t="inlineStr">
        <is>
          <t>A 18378-2021</t>
        </is>
      </c>
      <c r="B276" s="1" t="n">
        <v>44305</v>
      </c>
      <c r="C276" s="1" t="n">
        <v>45657</v>
      </c>
      <c r="D276" t="inlineStr">
        <is>
          <t>VÄSTMANLANDS LÄN</t>
        </is>
      </c>
      <c r="E276" t="inlineStr">
        <is>
          <t>SALA</t>
        </is>
      </c>
      <c r="F276" t="inlineStr">
        <is>
          <t>Kommuner</t>
        </is>
      </c>
      <c r="G276" t="n">
        <v>0.9</v>
      </c>
      <c r="H276" t="n">
        <v>0</v>
      </c>
      <c r="I276" t="n">
        <v>0</v>
      </c>
      <c r="J276" t="n">
        <v>0</v>
      </c>
      <c r="K276" t="n">
        <v>0</v>
      </c>
      <c r="L276" t="n">
        <v>0</v>
      </c>
      <c r="M276" t="n">
        <v>0</v>
      </c>
      <c r="N276" t="n">
        <v>0</v>
      </c>
      <c r="O276" t="n">
        <v>0</v>
      </c>
      <c r="P276" t="n">
        <v>0</v>
      </c>
      <c r="Q276" t="n">
        <v>0</v>
      </c>
      <c r="R276" s="2" t="inlineStr"/>
    </row>
    <row r="277" ht="15" customHeight="1">
      <c r="A277" t="inlineStr">
        <is>
          <t>A 18385-2021</t>
        </is>
      </c>
      <c r="B277" s="1" t="n">
        <v>44305</v>
      </c>
      <c r="C277" s="1" t="n">
        <v>45657</v>
      </c>
      <c r="D277" t="inlineStr">
        <is>
          <t>VÄSTMANLANDS LÄN</t>
        </is>
      </c>
      <c r="E277" t="inlineStr">
        <is>
          <t>SALA</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18951-2021</t>
        </is>
      </c>
      <c r="B278" s="1" t="n">
        <v>44308</v>
      </c>
      <c r="C278" s="1" t="n">
        <v>45657</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21458-2021</t>
        </is>
      </c>
      <c r="B279" s="1" t="n">
        <v>44321</v>
      </c>
      <c r="C279" s="1" t="n">
        <v>45657</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21478-2021</t>
        </is>
      </c>
      <c r="B280" s="1" t="n">
        <v>44321</v>
      </c>
      <c r="C280" s="1" t="n">
        <v>45657</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22019-2021</t>
        </is>
      </c>
      <c r="B281" s="1" t="n">
        <v>44323</v>
      </c>
      <c r="C281" s="1" t="n">
        <v>45657</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22026-2021</t>
        </is>
      </c>
      <c r="B282" s="1" t="n">
        <v>44323</v>
      </c>
      <c r="C282" s="1" t="n">
        <v>45657</v>
      </c>
      <c r="D282" t="inlineStr">
        <is>
          <t>VÄSTMANLANDS LÄN</t>
        </is>
      </c>
      <c r="E282" t="inlineStr">
        <is>
          <t>SALA</t>
        </is>
      </c>
      <c r="G282" t="n">
        <v>2.9</v>
      </c>
      <c r="H282" t="n">
        <v>0</v>
      </c>
      <c r="I282" t="n">
        <v>0</v>
      </c>
      <c r="J282" t="n">
        <v>0</v>
      </c>
      <c r="K282" t="n">
        <v>0</v>
      </c>
      <c r="L282" t="n">
        <v>0</v>
      </c>
      <c r="M282" t="n">
        <v>0</v>
      </c>
      <c r="N282" t="n">
        <v>0</v>
      </c>
      <c r="O282" t="n">
        <v>0</v>
      </c>
      <c r="P282" t="n">
        <v>0</v>
      </c>
      <c r="Q282" t="n">
        <v>0</v>
      </c>
      <c r="R282" s="2" t="inlineStr"/>
    </row>
    <row r="283" ht="15" customHeight="1">
      <c r="A283" t="inlineStr">
        <is>
          <t>A 22017-2021</t>
        </is>
      </c>
      <c r="B283" s="1" t="n">
        <v>44323</v>
      </c>
      <c r="C283" s="1" t="n">
        <v>45657</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22362-2021</t>
        </is>
      </c>
      <c r="B284" s="1" t="n">
        <v>44326</v>
      </c>
      <c r="C284" s="1" t="n">
        <v>45657</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23696-2021</t>
        </is>
      </c>
      <c r="B285" s="1" t="n">
        <v>44334</v>
      </c>
      <c r="C285" s="1" t="n">
        <v>45657</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23693-2021</t>
        </is>
      </c>
      <c r="B286" s="1" t="n">
        <v>44334</v>
      </c>
      <c r="C286" s="1" t="n">
        <v>45657</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24740-2021</t>
        </is>
      </c>
      <c r="B287" s="1" t="n">
        <v>44340</v>
      </c>
      <c r="C287" s="1" t="n">
        <v>45657</v>
      </c>
      <c r="D287" t="inlineStr">
        <is>
          <t>VÄSTMANLANDS LÄN</t>
        </is>
      </c>
      <c r="E287" t="inlineStr">
        <is>
          <t>SALA</t>
        </is>
      </c>
      <c r="G287" t="n">
        <v>2.1</v>
      </c>
      <c r="H287" t="n">
        <v>0</v>
      </c>
      <c r="I287" t="n">
        <v>0</v>
      </c>
      <c r="J287" t="n">
        <v>0</v>
      </c>
      <c r="K287" t="n">
        <v>0</v>
      </c>
      <c r="L287" t="n">
        <v>0</v>
      </c>
      <c r="M287" t="n">
        <v>0</v>
      </c>
      <c r="N287" t="n">
        <v>0</v>
      </c>
      <c r="O287" t="n">
        <v>0</v>
      </c>
      <c r="P287" t="n">
        <v>0</v>
      </c>
      <c r="Q287" t="n">
        <v>0</v>
      </c>
      <c r="R287" s="2" t="inlineStr"/>
    </row>
    <row r="288" ht="15" customHeight="1">
      <c r="A288" t="inlineStr">
        <is>
          <t>A 24823-2021</t>
        </is>
      </c>
      <c r="B288" s="1" t="n">
        <v>44340</v>
      </c>
      <c r="C288" s="1" t="n">
        <v>45657</v>
      </c>
      <c r="D288" t="inlineStr">
        <is>
          <t>VÄSTMANLANDS LÄN</t>
        </is>
      </c>
      <c r="E288" t="inlineStr">
        <is>
          <t>SALA</t>
        </is>
      </c>
      <c r="G288" t="n">
        <v>4.9</v>
      </c>
      <c r="H288" t="n">
        <v>0</v>
      </c>
      <c r="I288" t="n">
        <v>0</v>
      </c>
      <c r="J288" t="n">
        <v>0</v>
      </c>
      <c r="K288" t="n">
        <v>0</v>
      </c>
      <c r="L288" t="n">
        <v>0</v>
      </c>
      <c r="M288" t="n">
        <v>0</v>
      </c>
      <c r="N288" t="n">
        <v>0</v>
      </c>
      <c r="O288" t="n">
        <v>0</v>
      </c>
      <c r="P288" t="n">
        <v>0</v>
      </c>
      <c r="Q288" t="n">
        <v>0</v>
      </c>
      <c r="R288" s="2" t="inlineStr"/>
    </row>
    <row r="289" ht="15" customHeight="1">
      <c r="A289" t="inlineStr">
        <is>
          <t>A 24755-2021</t>
        </is>
      </c>
      <c r="B289" s="1" t="n">
        <v>44340</v>
      </c>
      <c r="C289" s="1" t="n">
        <v>45657</v>
      </c>
      <c r="D289" t="inlineStr">
        <is>
          <t>VÄSTMANLANDS LÄN</t>
        </is>
      </c>
      <c r="E289" t="inlineStr">
        <is>
          <t>SALA</t>
        </is>
      </c>
      <c r="G289" t="n">
        <v>1.2</v>
      </c>
      <c r="H289" t="n">
        <v>0</v>
      </c>
      <c r="I289" t="n">
        <v>0</v>
      </c>
      <c r="J289" t="n">
        <v>0</v>
      </c>
      <c r="K289" t="n">
        <v>0</v>
      </c>
      <c r="L289" t="n">
        <v>0</v>
      </c>
      <c r="M289" t="n">
        <v>0</v>
      </c>
      <c r="N289" t="n">
        <v>0</v>
      </c>
      <c r="O289" t="n">
        <v>0</v>
      </c>
      <c r="P289" t="n">
        <v>0</v>
      </c>
      <c r="Q289" t="n">
        <v>0</v>
      </c>
      <c r="R289" s="2" t="inlineStr"/>
    </row>
    <row r="290" ht="15" customHeight="1">
      <c r="A290" t="inlineStr">
        <is>
          <t>A 26579-2021</t>
        </is>
      </c>
      <c r="B290" s="1" t="n">
        <v>44348</v>
      </c>
      <c r="C290" s="1" t="n">
        <v>45657</v>
      </c>
      <c r="D290" t="inlineStr">
        <is>
          <t>VÄSTMANLANDS LÄN</t>
        </is>
      </c>
      <c r="E290" t="inlineStr">
        <is>
          <t>SALA</t>
        </is>
      </c>
      <c r="G290" t="n">
        <v>1.6</v>
      </c>
      <c r="H290" t="n">
        <v>0</v>
      </c>
      <c r="I290" t="n">
        <v>0</v>
      </c>
      <c r="J290" t="n">
        <v>0</v>
      </c>
      <c r="K290" t="n">
        <v>0</v>
      </c>
      <c r="L290" t="n">
        <v>0</v>
      </c>
      <c r="M290" t="n">
        <v>0</v>
      </c>
      <c r="N290" t="n">
        <v>0</v>
      </c>
      <c r="O290" t="n">
        <v>0</v>
      </c>
      <c r="P290" t="n">
        <v>0</v>
      </c>
      <c r="Q290" t="n">
        <v>0</v>
      </c>
      <c r="R290" s="2" t="inlineStr"/>
    </row>
    <row r="291" ht="15" customHeight="1">
      <c r="A291" t="inlineStr">
        <is>
          <t>A 26570-2021</t>
        </is>
      </c>
      <c r="B291" s="1" t="n">
        <v>44348</v>
      </c>
      <c r="C291" s="1" t="n">
        <v>45657</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26575-2021</t>
        </is>
      </c>
      <c r="B292" s="1" t="n">
        <v>44348</v>
      </c>
      <c r="C292" s="1" t="n">
        <v>45657</v>
      </c>
      <c r="D292" t="inlineStr">
        <is>
          <t>VÄSTMANLANDS LÄN</t>
        </is>
      </c>
      <c r="E292" t="inlineStr">
        <is>
          <t>SALA</t>
        </is>
      </c>
      <c r="G292" t="n">
        <v>2.7</v>
      </c>
      <c r="H292" t="n">
        <v>0</v>
      </c>
      <c r="I292" t="n">
        <v>0</v>
      </c>
      <c r="J292" t="n">
        <v>0</v>
      </c>
      <c r="K292" t="n">
        <v>0</v>
      </c>
      <c r="L292" t="n">
        <v>0</v>
      </c>
      <c r="M292" t="n">
        <v>0</v>
      </c>
      <c r="N292" t="n">
        <v>0</v>
      </c>
      <c r="O292" t="n">
        <v>0</v>
      </c>
      <c r="P292" t="n">
        <v>0</v>
      </c>
      <c r="Q292" t="n">
        <v>0</v>
      </c>
      <c r="R292" s="2" t="inlineStr"/>
    </row>
    <row r="293" ht="15" customHeight="1">
      <c r="A293" t="inlineStr">
        <is>
          <t>A 28425-2021</t>
        </is>
      </c>
      <c r="B293" s="1" t="n">
        <v>44356</v>
      </c>
      <c r="C293" s="1" t="n">
        <v>45657</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30170-2021</t>
        </is>
      </c>
      <c r="B294" s="1" t="n">
        <v>44363</v>
      </c>
      <c r="C294" s="1" t="n">
        <v>45657</v>
      </c>
      <c r="D294" t="inlineStr">
        <is>
          <t>VÄSTMANLANDS LÄN</t>
        </is>
      </c>
      <c r="E294" t="inlineStr">
        <is>
          <t>SALA</t>
        </is>
      </c>
      <c r="G294" t="n">
        <v>7.2</v>
      </c>
      <c r="H294" t="n">
        <v>0</v>
      </c>
      <c r="I294" t="n">
        <v>0</v>
      </c>
      <c r="J294" t="n">
        <v>0</v>
      </c>
      <c r="K294" t="n">
        <v>0</v>
      </c>
      <c r="L294" t="n">
        <v>0</v>
      </c>
      <c r="M294" t="n">
        <v>0</v>
      </c>
      <c r="N294" t="n">
        <v>0</v>
      </c>
      <c r="O294" t="n">
        <v>0</v>
      </c>
      <c r="P294" t="n">
        <v>0</v>
      </c>
      <c r="Q294" t="n">
        <v>0</v>
      </c>
      <c r="R294" s="2" t="inlineStr"/>
    </row>
    <row r="295" ht="15" customHeight="1">
      <c r="A295" t="inlineStr">
        <is>
          <t>A 30859-2021</t>
        </is>
      </c>
      <c r="B295" s="1" t="n">
        <v>44365</v>
      </c>
      <c r="C295" s="1" t="n">
        <v>45657</v>
      </c>
      <c r="D295" t="inlineStr">
        <is>
          <t>VÄSTMANLANDS LÄN</t>
        </is>
      </c>
      <c r="E295" t="inlineStr">
        <is>
          <t>SALA</t>
        </is>
      </c>
      <c r="G295" t="n">
        <v>3.1</v>
      </c>
      <c r="H295" t="n">
        <v>0</v>
      </c>
      <c r="I295" t="n">
        <v>0</v>
      </c>
      <c r="J295" t="n">
        <v>0</v>
      </c>
      <c r="K295" t="n">
        <v>0</v>
      </c>
      <c r="L295" t="n">
        <v>0</v>
      </c>
      <c r="M295" t="n">
        <v>0</v>
      </c>
      <c r="N295" t="n">
        <v>0</v>
      </c>
      <c r="O295" t="n">
        <v>0</v>
      </c>
      <c r="P295" t="n">
        <v>0</v>
      </c>
      <c r="Q295" t="n">
        <v>0</v>
      </c>
      <c r="R295" s="2" t="inlineStr"/>
    </row>
    <row r="296" ht="15" customHeight="1">
      <c r="A296" t="inlineStr">
        <is>
          <t>A 30904-2021</t>
        </is>
      </c>
      <c r="B296" s="1" t="n">
        <v>44365</v>
      </c>
      <c r="C296" s="1" t="n">
        <v>45657</v>
      </c>
      <c r="D296" t="inlineStr">
        <is>
          <t>VÄSTMANLANDS LÄN</t>
        </is>
      </c>
      <c r="E296" t="inlineStr">
        <is>
          <t>SALA</t>
        </is>
      </c>
      <c r="G296" t="n">
        <v>1.9</v>
      </c>
      <c r="H296" t="n">
        <v>0</v>
      </c>
      <c r="I296" t="n">
        <v>0</v>
      </c>
      <c r="J296" t="n">
        <v>0</v>
      </c>
      <c r="K296" t="n">
        <v>0</v>
      </c>
      <c r="L296" t="n">
        <v>0</v>
      </c>
      <c r="M296" t="n">
        <v>0</v>
      </c>
      <c r="N296" t="n">
        <v>0</v>
      </c>
      <c r="O296" t="n">
        <v>0</v>
      </c>
      <c r="P296" t="n">
        <v>0</v>
      </c>
      <c r="Q296" t="n">
        <v>0</v>
      </c>
      <c r="R296" s="2" t="inlineStr"/>
    </row>
    <row r="297" ht="15" customHeight="1">
      <c r="A297" t="inlineStr">
        <is>
          <t>A 30915-2021</t>
        </is>
      </c>
      <c r="B297" s="1" t="n">
        <v>44365</v>
      </c>
      <c r="C297" s="1" t="n">
        <v>45657</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30925-2021</t>
        </is>
      </c>
      <c r="B298" s="1" t="n">
        <v>44365</v>
      </c>
      <c r="C298" s="1" t="n">
        <v>45657</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30918-2021</t>
        </is>
      </c>
      <c r="B299" s="1" t="n">
        <v>44365</v>
      </c>
      <c r="C299" s="1" t="n">
        <v>45657</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45657</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45657</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31452-2021</t>
        </is>
      </c>
      <c r="B302" s="1" t="n">
        <v>44369</v>
      </c>
      <c r="C302" s="1" t="n">
        <v>45657</v>
      </c>
      <c r="D302" t="inlineStr">
        <is>
          <t>VÄSTMANLANDS LÄN</t>
        </is>
      </c>
      <c r="E302" t="inlineStr">
        <is>
          <t>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31470-2021</t>
        </is>
      </c>
      <c r="B303" s="1" t="n">
        <v>44369</v>
      </c>
      <c r="C303" s="1" t="n">
        <v>45657</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31904-2021</t>
        </is>
      </c>
      <c r="B304" s="1" t="n">
        <v>44370</v>
      </c>
      <c r="C304" s="1" t="n">
        <v>45657</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32610-2021</t>
        </is>
      </c>
      <c r="B305" s="1" t="n">
        <v>44375</v>
      </c>
      <c r="C305" s="1" t="n">
        <v>45657</v>
      </c>
      <c r="D305" t="inlineStr">
        <is>
          <t>VÄSTMANLANDS LÄN</t>
        </is>
      </c>
      <c r="E305" t="inlineStr">
        <is>
          <t>SALA</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45657</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34814-2021</t>
        </is>
      </c>
      <c r="B307" s="1" t="n">
        <v>44383</v>
      </c>
      <c r="C307" s="1" t="n">
        <v>45657</v>
      </c>
      <c r="D307" t="inlineStr">
        <is>
          <t>VÄSTMANLANDS LÄN</t>
        </is>
      </c>
      <c r="E307" t="inlineStr">
        <is>
          <t>SALA</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35207-2021</t>
        </is>
      </c>
      <c r="B308" s="1" t="n">
        <v>44384</v>
      </c>
      <c r="C308" s="1" t="n">
        <v>45657</v>
      </c>
      <c r="D308" t="inlineStr">
        <is>
          <t>VÄSTMANLANDS LÄN</t>
        </is>
      </c>
      <c r="E308" t="inlineStr">
        <is>
          <t>SALA</t>
        </is>
      </c>
      <c r="G308" t="n">
        <v>2.2</v>
      </c>
      <c r="H308" t="n">
        <v>0</v>
      </c>
      <c r="I308" t="n">
        <v>0</v>
      </c>
      <c r="J308" t="n">
        <v>0</v>
      </c>
      <c r="K308" t="n">
        <v>0</v>
      </c>
      <c r="L308" t="n">
        <v>0</v>
      </c>
      <c r="M308" t="n">
        <v>0</v>
      </c>
      <c r="N308" t="n">
        <v>0</v>
      </c>
      <c r="O308" t="n">
        <v>0</v>
      </c>
      <c r="P308" t="n">
        <v>0</v>
      </c>
      <c r="Q308" t="n">
        <v>0</v>
      </c>
      <c r="R308" s="2" t="inlineStr"/>
    </row>
    <row r="309" ht="15" customHeight="1">
      <c r="A309" t="inlineStr">
        <is>
          <t>A 35211-2021</t>
        </is>
      </c>
      <c r="B309" s="1" t="n">
        <v>44384</v>
      </c>
      <c r="C309" s="1" t="n">
        <v>45657</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35451-2021</t>
        </is>
      </c>
      <c r="B310" s="1" t="n">
        <v>44384</v>
      </c>
      <c r="C310" s="1" t="n">
        <v>45657</v>
      </c>
      <c r="D310" t="inlineStr">
        <is>
          <t>VÄSTMANLANDS LÄN</t>
        </is>
      </c>
      <c r="E310" t="inlineStr">
        <is>
          <t>SALA</t>
        </is>
      </c>
      <c r="G310" t="n">
        <v>2.5</v>
      </c>
      <c r="H310" t="n">
        <v>0</v>
      </c>
      <c r="I310" t="n">
        <v>0</v>
      </c>
      <c r="J310" t="n">
        <v>0</v>
      </c>
      <c r="K310" t="n">
        <v>0</v>
      </c>
      <c r="L310" t="n">
        <v>0</v>
      </c>
      <c r="M310" t="n">
        <v>0</v>
      </c>
      <c r="N310" t="n">
        <v>0</v>
      </c>
      <c r="O310" t="n">
        <v>0</v>
      </c>
      <c r="P310" t="n">
        <v>0</v>
      </c>
      <c r="Q310" t="n">
        <v>0</v>
      </c>
      <c r="R310" s="2" t="inlineStr"/>
    </row>
    <row r="311" ht="15" customHeight="1">
      <c r="A311" t="inlineStr">
        <is>
          <t>A 35487-2021</t>
        </is>
      </c>
      <c r="B311" s="1" t="n">
        <v>44384</v>
      </c>
      <c r="C311" s="1" t="n">
        <v>45657</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35482-2021</t>
        </is>
      </c>
      <c r="B312" s="1" t="n">
        <v>44384</v>
      </c>
      <c r="C312" s="1" t="n">
        <v>45657</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35921-2021</t>
        </is>
      </c>
      <c r="B313" s="1" t="n">
        <v>44388</v>
      </c>
      <c r="C313" s="1" t="n">
        <v>45657</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37703-2021</t>
        </is>
      </c>
      <c r="B314" s="1" t="n">
        <v>44400</v>
      </c>
      <c r="C314" s="1" t="n">
        <v>45657</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37856-2021</t>
        </is>
      </c>
      <c r="B315" s="1" t="n">
        <v>44403</v>
      </c>
      <c r="C315" s="1" t="n">
        <v>45657</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37872-2021</t>
        </is>
      </c>
      <c r="B316" s="1" t="n">
        <v>44403</v>
      </c>
      <c r="C316" s="1" t="n">
        <v>45657</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37881-2021</t>
        </is>
      </c>
      <c r="B317" s="1" t="n">
        <v>44403</v>
      </c>
      <c r="C317" s="1" t="n">
        <v>45657</v>
      </c>
      <c r="D317" t="inlineStr">
        <is>
          <t>VÄSTMANLANDS LÄN</t>
        </is>
      </c>
      <c r="E317" t="inlineStr">
        <is>
          <t>SALA</t>
        </is>
      </c>
      <c r="G317" t="n">
        <v>4.6</v>
      </c>
      <c r="H317" t="n">
        <v>0</v>
      </c>
      <c r="I317" t="n">
        <v>0</v>
      </c>
      <c r="J317" t="n">
        <v>0</v>
      </c>
      <c r="K317" t="n">
        <v>0</v>
      </c>
      <c r="L317" t="n">
        <v>0</v>
      </c>
      <c r="M317" t="n">
        <v>0</v>
      </c>
      <c r="N317" t="n">
        <v>0</v>
      </c>
      <c r="O317" t="n">
        <v>0</v>
      </c>
      <c r="P317" t="n">
        <v>0</v>
      </c>
      <c r="Q317" t="n">
        <v>0</v>
      </c>
      <c r="R317" s="2" t="inlineStr"/>
    </row>
    <row r="318" ht="15" customHeight="1">
      <c r="A318" t="inlineStr">
        <is>
          <t>A 38195-2021</t>
        </is>
      </c>
      <c r="B318" s="1" t="n">
        <v>44405</v>
      </c>
      <c r="C318" s="1" t="n">
        <v>45657</v>
      </c>
      <c r="D318" t="inlineStr">
        <is>
          <t>VÄSTMANLANDS LÄN</t>
        </is>
      </c>
      <c r="E318" t="inlineStr">
        <is>
          <t>SALA</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38634-2021</t>
        </is>
      </c>
      <c r="B319" s="1" t="n">
        <v>44410</v>
      </c>
      <c r="C319" s="1" t="n">
        <v>45657</v>
      </c>
      <c r="D319" t="inlineStr">
        <is>
          <t>VÄSTMANLANDS LÄN</t>
        </is>
      </c>
      <c r="E319" t="inlineStr">
        <is>
          <t>SALA</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39439-2021</t>
        </is>
      </c>
      <c r="B320" s="1" t="n">
        <v>44414</v>
      </c>
      <c r="C320" s="1" t="n">
        <v>45657</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39807-2021</t>
        </is>
      </c>
      <c r="B321" s="1" t="n">
        <v>44417</v>
      </c>
      <c r="C321" s="1" t="n">
        <v>45657</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40157-2021</t>
        </is>
      </c>
      <c r="B322" s="1" t="n">
        <v>44418</v>
      </c>
      <c r="C322" s="1" t="n">
        <v>45657</v>
      </c>
      <c r="D322" t="inlineStr">
        <is>
          <t>VÄSTMANLANDS LÄN</t>
        </is>
      </c>
      <c r="E322" t="inlineStr">
        <is>
          <t>SALA</t>
        </is>
      </c>
      <c r="G322" t="n">
        <v>1.7</v>
      </c>
      <c r="H322" t="n">
        <v>0</v>
      </c>
      <c r="I322" t="n">
        <v>0</v>
      </c>
      <c r="J322" t="n">
        <v>0</v>
      </c>
      <c r="K322" t="n">
        <v>0</v>
      </c>
      <c r="L322" t="n">
        <v>0</v>
      </c>
      <c r="M322" t="n">
        <v>0</v>
      </c>
      <c r="N322" t="n">
        <v>0</v>
      </c>
      <c r="O322" t="n">
        <v>0</v>
      </c>
      <c r="P322" t="n">
        <v>0</v>
      </c>
      <c r="Q322" t="n">
        <v>0</v>
      </c>
      <c r="R322" s="2" t="inlineStr"/>
    </row>
    <row r="323" ht="15" customHeight="1">
      <c r="A323" t="inlineStr">
        <is>
          <t>A 40153-2021</t>
        </is>
      </c>
      <c r="B323" s="1" t="n">
        <v>44418</v>
      </c>
      <c r="C323" s="1" t="n">
        <v>45657</v>
      </c>
      <c r="D323" t="inlineStr">
        <is>
          <t>VÄSTMANLANDS LÄN</t>
        </is>
      </c>
      <c r="E323" t="inlineStr">
        <is>
          <t>SALA</t>
        </is>
      </c>
      <c r="G323" t="n">
        <v>2.8</v>
      </c>
      <c r="H323" t="n">
        <v>0</v>
      </c>
      <c r="I323" t="n">
        <v>0</v>
      </c>
      <c r="J323" t="n">
        <v>0</v>
      </c>
      <c r="K323" t="n">
        <v>0</v>
      </c>
      <c r="L323" t="n">
        <v>0</v>
      </c>
      <c r="M323" t="n">
        <v>0</v>
      </c>
      <c r="N323" t="n">
        <v>0</v>
      </c>
      <c r="O323" t="n">
        <v>0</v>
      </c>
      <c r="P323" t="n">
        <v>0</v>
      </c>
      <c r="Q323" t="n">
        <v>0</v>
      </c>
      <c r="R323" s="2" t="inlineStr"/>
    </row>
    <row r="324" ht="15" customHeight="1">
      <c r="A324" t="inlineStr">
        <is>
          <t>A 40398-2021</t>
        </is>
      </c>
      <c r="B324" s="1" t="n">
        <v>44419</v>
      </c>
      <c r="C324" s="1" t="n">
        <v>45657</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40659-2021</t>
        </is>
      </c>
      <c r="B325" s="1" t="n">
        <v>44420</v>
      </c>
      <c r="C325" s="1" t="n">
        <v>45657</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40871-2021</t>
        </is>
      </c>
      <c r="B326" s="1" t="n">
        <v>44421</v>
      </c>
      <c r="C326" s="1" t="n">
        <v>45657</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41292-2021</t>
        </is>
      </c>
      <c r="B327" s="1" t="n">
        <v>44424</v>
      </c>
      <c r="C327" s="1" t="n">
        <v>45657</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41583-2021</t>
        </is>
      </c>
      <c r="B328" s="1" t="n">
        <v>44425</v>
      </c>
      <c r="C328" s="1" t="n">
        <v>45657</v>
      </c>
      <c r="D328" t="inlineStr">
        <is>
          <t>VÄSTMANLANDS LÄN</t>
        </is>
      </c>
      <c r="E328" t="inlineStr">
        <is>
          <t>SALA</t>
        </is>
      </c>
      <c r="G328" t="n">
        <v>5</v>
      </c>
      <c r="H328" t="n">
        <v>0</v>
      </c>
      <c r="I328" t="n">
        <v>0</v>
      </c>
      <c r="J328" t="n">
        <v>0</v>
      </c>
      <c r="K328" t="n">
        <v>0</v>
      </c>
      <c r="L328" t="n">
        <v>0</v>
      </c>
      <c r="M328" t="n">
        <v>0</v>
      </c>
      <c r="N328" t="n">
        <v>0</v>
      </c>
      <c r="O328" t="n">
        <v>0</v>
      </c>
      <c r="P328" t="n">
        <v>0</v>
      </c>
      <c r="Q328" t="n">
        <v>0</v>
      </c>
      <c r="R328" s="2" t="inlineStr"/>
    </row>
    <row r="329" ht="15" customHeight="1">
      <c r="A329" t="inlineStr">
        <is>
          <t>A 43292-2021</t>
        </is>
      </c>
      <c r="B329" s="1" t="n">
        <v>44432</v>
      </c>
      <c r="C329" s="1" t="n">
        <v>45657</v>
      </c>
      <c r="D329" t="inlineStr">
        <is>
          <t>VÄSTMANLANDS LÄN</t>
        </is>
      </c>
      <c r="E329" t="inlineStr">
        <is>
          <t>SALA</t>
        </is>
      </c>
      <c r="G329" t="n">
        <v>15</v>
      </c>
      <c r="H329" t="n">
        <v>0</v>
      </c>
      <c r="I329" t="n">
        <v>0</v>
      </c>
      <c r="J329" t="n">
        <v>0</v>
      </c>
      <c r="K329" t="n">
        <v>0</v>
      </c>
      <c r="L329" t="n">
        <v>0</v>
      </c>
      <c r="M329" t="n">
        <v>0</v>
      </c>
      <c r="N329" t="n">
        <v>0</v>
      </c>
      <c r="O329" t="n">
        <v>0</v>
      </c>
      <c r="P329" t="n">
        <v>0</v>
      </c>
      <c r="Q329" t="n">
        <v>0</v>
      </c>
      <c r="R329" s="2" t="inlineStr"/>
    </row>
    <row r="330" ht="15" customHeight="1">
      <c r="A330" t="inlineStr">
        <is>
          <t>A 43509-2021</t>
        </is>
      </c>
      <c r="B330" s="1" t="n">
        <v>44433</v>
      </c>
      <c r="C330" s="1" t="n">
        <v>45657</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46279-2021</t>
        </is>
      </c>
      <c r="B331" s="1" t="n">
        <v>44442</v>
      </c>
      <c r="C331" s="1" t="n">
        <v>45657</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47701-2021</t>
        </is>
      </c>
      <c r="B332" s="1" t="n">
        <v>44448</v>
      </c>
      <c r="C332" s="1" t="n">
        <v>45657</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45657</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48400-2021</t>
        </is>
      </c>
      <c r="B334" s="1" t="n">
        <v>44449</v>
      </c>
      <c r="C334" s="1" t="n">
        <v>45657</v>
      </c>
      <c r="D334" t="inlineStr">
        <is>
          <t>VÄSTMANLANDS LÄN</t>
        </is>
      </c>
      <c r="E334" t="inlineStr">
        <is>
          <t>SALA</t>
        </is>
      </c>
      <c r="G334" t="n">
        <v>3</v>
      </c>
      <c r="H334" t="n">
        <v>0</v>
      </c>
      <c r="I334" t="n">
        <v>0</v>
      </c>
      <c r="J334" t="n">
        <v>0</v>
      </c>
      <c r="K334" t="n">
        <v>0</v>
      </c>
      <c r="L334" t="n">
        <v>0</v>
      </c>
      <c r="M334" t="n">
        <v>0</v>
      </c>
      <c r="N334" t="n">
        <v>0</v>
      </c>
      <c r="O334" t="n">
        <v>0</v>
      </c>
      <c r="P334" t="n">
        <v>0</v>
      </c>
      <c r="Q334" t="n">
        <v>0</v>
      </c>
      <c r="R334" s="2" t="inlineStr"/>
    </row>
    <row r="335" ht="15" customHeight="1">
      <c r="A335" t="inlineStr">
        <is>
          <t>A 50962-2021</t>
        </is>
      </c>
      <c r="B335" s="1" t="n">
        <v>44460</v>
      </c>
      <c r="C335" s="1" t="n">
        <v>45657</v>
      </c>
      <c r="D335" t="inlineStr">
        <is>
          <t>VÄSTMANLANDS LÄN</t>
        </is>
      </c>
      <c r="E335" t="inlineStr">
        <is>
          <t>SALA</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54030-2021</t>
        </is>
      </c>
      <c r="B336" s="1" t="n">
        <v>44470</v>
      </c>
      <c r="C336" s="1" t="n">
        <v>45657</v>
      </c>
      <c r="D336" t="inlineStr">
        <is>
          <t>VÄSTMANLANDS LÄN</t>
        </is>
      </c>
      <c r="E336" t="inlineStr">
        <is>
          <t>SALA</t>
        </is>
      </c>
      <c r="G336" t="n">
        <v>4.1</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45657</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57049-2021</t>
        </is>
      </c>
      <c r="B338" s="1" t="n">
        <v>44482</v>
      </c>
      <c r="C338" s="1" t="n">
        <v>45657</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57056-2021</t>
        </is>
      </c>
      <c r="B339" s="1" t="n">
        <v>44482</v>
      </c>
      <c r="C339" s="1" t="n">
        <v>45657</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57000-2021</t>
        </is>
      </c>
      <c r="B340" s="1" t="n">
        <v>44482</v>
      </c>
      <c r="C340" s="1" t="n">
        <v>45657</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57131-2021</t>
        </is>
      </c>
      <c r="B341" s="1" t="n">
        <v>44482</v>
      </c>
      <c r="C341" s="1" t="n">
        <v>45657</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57517-2021</t>
        </is>
      </c>
      <c r="B342" s="1" t="n">
        <v>44483</v>
      </c>
      <c r="C342" s="1" t="n">
        <v>45657</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57596-2021</t>
        </is>
      </c>
      <c r="B343" s="1" t="n">
        <v>44483</v>
      </c>
      <c r="C343" s="1" t="n">
        <v>45657</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58107-2021</t>
        </is>
      </c>
      <c r="B344" s="1" t="n">
        <v>44487</v>
      </c>
      <c r="C344" s="1" t="n">
        <v>45657</v>
      </c>
      <c r="D344" t="inlineStr">
        <is>
          <t>VÄSTMANLANDS LÄN</t>
        </is>
      </c>
      <c r="E344" t="inlineStr">
        <is>
          <t>SALA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58106-2021</t>
        </is>
      </c>
      <c r="B345" s="1" t="n">
        <v>44487</v>
      </c>
      <c r="C345" s="1" t="n">
        <v>45657</v>
      </c>
      <c r="D345" t="inlineStr">
        <is>
          <t>VÄSTMANLANDS LÄN</t>
        </is>
      </c>
      <c r="E345" t="inlineStr">
        <is>
          <t>SALA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58522-2021</t>
        </is>
      </c>
      <c r="B346" s="1" t="n">
        <v>44488</v>
      </c>
      <c r="C346" s="1" t="n">
        <v>45657</v>
      </c>
      <c r="D346" t="inlineStr">
        <is>
          <t>VÄSTMANLANDS LÄN</t>
        </is>
      </c>
      <c r="E346" t="inlineStr">
        <is>
          <t>SALA</t>
        </is>
      </c>
      <c r="G346" t="n">
        <v>0.3</v>
      </c>
      <c r="H346" t="n">
        <v>0</v>
      </c>
      <c r="I346" t="n">
        <v>0</v>
      </c>
      <c r="J346" t="n">
        <v>0</v>
      </c>
      <c r="K346" t="n">
        <v>0</v>
      </c>
      <c r="L346" t="n">
        <v>0</v>
      </c>
      <c r="M346" t="n">
        <v>0</v>
      </c>
      <c r="N346" t="n">
        <v>0</v>
      </c>
      <c r="O346" t="n">
        <v>0</v>
      </c>
      <c r="P346" t="n">
        <v>0</v>
      </c>
      <c r="Q346" t="n">
        <v>0</v>
      </c>
      <c r="R346" s="2" t="inlineStr"/>
    </row>
    <row r="347" ht="15" customHeight="1">
      <c r="A347" t="inlineStr">
        <is>
          <t>A 58701-2021</t>
        </is>
      </c>
      <c r="B347" s="1" t="n">
        <v>44489</v>
      </c>
      <c r="C347" s="1" t="n">
        <v>45657</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60031-2021</t>
        </is>
      </c>
      <c r="B348" s="1" t="n">
        <v>44495</v>
      </c>
      <c r="C348" s="1" t="n">
        <v>45657</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60951-2021</t>
        </is>
      </c>
      <c r="B349" s="1" t="n">
        <v>44497</v>
      </c>
      <c r="C349" s="1" t="n">
        <v>45657</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61892-2021</t>
        </is>
      </c>
      <c r="B350" s="1" t="n">
        <v>44502</v>
      </c>
      <c r="C350" s="1" t="n">
        <v>45657</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61874-2021</t>
        </is>
      </c>
      <c r="B351" s="1" t="n">
        <v>44502</v>
      </c>
      <c r="C351" s="1" t="n">
        <v>45657</v>
      </c>
      <c r="D351" t="inlineStr">
        <is>
          <t>VÄSTMANLANDS LÄN</t>
        </is>
      </c>
      <c r="E351" t="inlineStr">
        <is>
          <t>SALA</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61897-2021</t>
        </is>
      </c>
      <c r="B352" s="1" t="n">
        <v>44502</v>
      </c>
      <c r="C352" s="1" t="n">
        <v>45657</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v>
      </c>
      <c r="C353" s="1" t="n">
        <v>45657</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62793-2021</t>
        </is>
      </c>
      <c r="B354" s="1" t="n">
        <v>44504</v>
      </c>
      <c r="C354" s="1" t="n">
        <v>45657</v>
      </c>
      <c r="D354" t="inlineStr">
        <is>
          <t>VÄSTMANLANDS LÄN</t>
        </is>
      </c>
      <c r="E354" t="inlineStr">
        <is>
          <t>SALA</t>
        </is>
      </c>
      <c r="G354" t="n">
        <v>5.7</v>
      </c>
      <c r="H354" t="n">
        <v>0</v>
      </c>
      <c r="I354" t="n">
        <v>0</v>
      </c>
      <c r="J354" t="n">
        <v>0</v>
      </c>
      <c r="K354" t="n">
        <v>0</v>
      </c>
      <c r="L354" t="n">
        <v>0</v>
      </c>
      <c r="M354" t="n">
        <v>0</v>
      </c>
      <c r="N354" t="n">
        <v>0</v>
      </c>
      <c r="O354" t="n">
        <v>0</v>
      </c>
      <c r="P354" t="n">
        <v>0</v>
      </c>
      <c r="Q354" t="n">
        <v>0</v>
      </c>
      <c r="R354" s="2" t="inlineStr"/>
    </row>
    <row r="355" ht="15" customHeight="1">
      <c r="A355" t="inlineStr">
        <is>
          <t>A 62833-2021</t>
        </is>
      </c>
      <c r="B355" s="1" t="n">
        <v>44504</v>
      </c>
      <c r="C355" s="1" t="n">
        <v>45657</v>
      </c>
      <c r="D355" t="inlineStr">
        <is>
          <t>VÄSTMANLANDS LÄN</t>
        </is>
      </c>
      <c r="E355" t="inlineStr">
        <is>
          <t>SALA</t>
        </is>
      </c>
      <c r="G355" t="n">
        <v>5</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45657</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62967-2021</t>
        </is>
      </c>
      <c r="B357" s="1" t="n">
        <v>44505</v>
      </c>
      <c r="C357" s="1" t="n">
        <v>45657</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63290-2021</t>
        </is>
      </c>
      <c r="B358" s="1" t="n">
        <v>44505</v>
      </c>
      <c r="C358" s="1" t="n">
        <v>45657</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64931-2021</t>
        </is>
      </c>
      <c r="B359" s="1" t="n">
        <v>44512</v>
      </c>
      <c r="C359" s="1" t="n">
        <v>45657</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64932-2021</t>
        </is>
      </c>
      <c r="B360" s="1" t="n">
        <v>44512</v>
      </c>
      <c r="C360" s="1" t="n">
        <v>45657</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65213-2021</t>
        </is>
      </c>
      <c r="B361" s="1" t="n">
        <v>44515</v>
      </c>
      <c r="C361" s="1" t="n">
        <v>45657</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65321-2021</t>
        </is>
      </c>
      <c r="B362" s="1" t="n">
        <v>44515</v>
      </c>
      <c r="C362" s="1" t="n">
        <v>45657</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65338-2021</t>
        </is>
      </c>
      <c r="B363" s="1" t="n">
        <v>44515</v>
      </c>
      <c r="C363" s="1" t="n">
        <v>45657</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65353-2021</t>
        </is>
      </c>
      <c r="B364" s="1" t="n">
        <v>44515</v>
      </c>
      <c r="C364" s="1" t="n">
        <v>45657</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65490-2021</t>
        </is>
      </c>
      <c r="B365" s="1" t="n">
        <v>44515</v>
      </c>
      <c r="C365" s="1" t="n">
        <v>45657</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65856-2021</t>
        </is>
      </c>
      <c r="B366" s="1" t="n">
        <v>44517</v>
      </c>
      <c r="C366" s="1" t="n">
        <v>45657</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65818-2021</t>
        </is>
      </c>
      <c r="B367" s="1" t="n">
        <v>44517</v>
      </c>
      <c r="C367" s="1" t="n">
        <v>45657</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65835-2021</t>
        </is>
      </c>
      <c r="B368" s="1" t="n">
        <v>44517</v>
      </c>
      <c r="C368" s="1" t="n">
        <v>45657</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65860-2021</t>
        </is>
      </c>
      <c r="B369" s="1" t="n">
        <v>44517</v>
      </c>
      <c r="C369" s="1" t="n">
        <v>45657</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66307-2021</t>
        </is>
      </c>
      <c r="B370" s="1" t="n">
        <v>44518</v>
      </c>
      <c r="C370" s="1" t="n">
        <v>45657</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66508-2021</t>
        </is>
      </c>
      <c r="B371" s="1" t="n">
        <v>44519</v>
      </c>
      <c r="C371" s="1" t="n">
        <v>45657</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66563-2021</t>
        </is>
      </c>
      <c r="B372" s="1" t="n">
        <v>44519</v>
      </c>
      <c r="C372" s="1" t="n">
        <v>45657</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66561-2021</t>
        </is>
      </c>
      <c r="B373" s="1" t="n">
        <v>44519</v>
      </c>
      <c r="C373" s="1" t="n">
        <v>45657</v>
      </c>
      <c r="D373" t="inlineStr">
        <is>
          <t>VÄSTMANLANDS LÄN</t>
        </is>
      </c>
      <c r="E373" t="inlineStr">
        <is>
          <t>SALA</t>
        </is>
      </c>
      <c r="G373" t="n">
        <v>0.3</v>
      </c>
      <c r="H373" t="n">
        <v>0</v>
      </c>
      <c r="I373" t="n">
        <v>0</v>
      </c>
      <c r="J373" t="n">
        <v>0</v>
      </c>
      <c r="K373" t="n">
        <v>0</v>
      </c>
      <c r="L373" t="n">
        <v>0</v>
      </c>
      <c r="M373" t="n">
        <v>0</v>
      </c>
      <c r="N373" t="n">
        <v>0</v>
      </c>
      <c r="O373" t="n">
        <v>0</v>
      </c>
      <c r="P373" t="n">
        <v>0</v>
      </c>
      <c r="Q373" t="n">
        <v>0</v>
      </c>
      <c r="R373" s="2" t="inlineStr"/>
    </row>
    <row r="374" ht="15" customHeight="1">
      <c r="A374" t="inlineStr">
        <is>
          <t>A 66908-2021</t>
        </is>
      </c>
      <c r="B374" s="1" t="n">
        <v>44522</v>
      </c>
      <c r="C374" s="1" t="n">
        <v>45657</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66830-2021</t>
        </is>
      </c>
      <c r="B375" s="1" t="n">
        <v>44522</v>
      </c>
      <c r="C375" s="1" t="n">
        <v>45657</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67037-2021</t>
        </is>
      </c>
      <c r="B376" s="1" t="n">
        <v>44522</v>
      </c>
      <c r="C376" s="1" t="n">
        <v>45657</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c r="U376">
        <f>HYPERLINK("https://klasma.github.io/Logging_1981/knärot/A 67037-2021 karta knärot.png", "A 67037-2021")</f>
        <v/>
      </c>
      <c r="V376">
        <f>HYPERLINK("https://klasma.github.io/Logging_1981/klagomål/A 67037-2021 FSC-klagomål.docx", "A 67037-2021")</f>
        <v/>
      </c>
      <c r="W376">
        <f>HYPERLINK("https://klasma.github.io/Logging_1981/klagomålsmail/A 67037-2021 FSC-klagomål mail.docx", "A 67037-2021")</f>
        <v/>
      </c>
      <c r="X376">
        <f>HYPERLINK("https://klasma.github.io/Logging_1981/tillsyn/A 67037-2021 tillsynsbegäran.docx", "A 67037-2021")</f>
        <v/>
      </c>
      <c r="Y376">
        <f>HYPERLINK("https://klasma.github.io/Logging_1981/tillsynsmail/A 67037-2021 tillsynsbegäran mail.docx", "A 67037-2021")</f>
        <v/>
      </c>
    </row>
    <row r="377" ht="15" customHeight="1">
      <c r="A377" t="inlineStr">
        <is>
          <t>A 67965-2021</t>
        </is>
      </c>
      <c r="B377" s="1" t="n">
        <v>44525</v>
      </c>
      <c r="C377" s="1" t="n">
        <v>45657</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67958-2021</t>
        </is>
      </c>
      <c r="B378" s="1" t="n">
        <v>44525</v>
      </c>
      <c r="C378" s="1" t="n">
        <v>45657</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67962-2021</t>
        </is>
      </c>
      <c r="B379" s="1" t="n">
        <v>44525</v>
      </c>
      <c r="C379" s="1" t="n">
        <v>45657</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68355-2021</t>
        </is>
      </c>
      <c r="B380" s="1" t="n">
        <v>44528</v>
      </c>
      <c r="C380" s="1" t="n">
        <v>45657</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68484-2021</t>
        </is>
      </c>
      <c r="B381" s="1" t="n">
        <v>44529</v>
      </c>
      <c r="C381" s="1" t="n">
        <v>45657</v>
      </c>
      <c r="D381" t="inlineStr">
        <is>
          <t>VÄSTMANLANDS LÄN</t>
        </is>
      </c>
      <c r="E381" t="inlineStr">
        <is>
          <t>SALA</t>
        </is>
      </c>
      <c r="G381" t="n">
        <v>1.7</v>
      </c>
      <c r="H381" t="n">
        <v>0</v>
      </c>
      <c r="I381" t="n">
        <v>0</v>
      </c>
      <c r="J381" t="n">
        <v>0</v>
      </c>
      <c r="K381" t="n">
        <v>0</v>
      </c>
      <c r="L381" t="n">
        <v>0</v>
      </c>
      <c r="M381" t="n">
        <v>0</v>
      </c>
      <c r="N381" t="n">
        <v>0</v>
      </c>
      <c r="O381" t="n">
        <v>0</v>
      </c>
      <c r="P381" t="n">
        <v>0</v>
      </c>
      <c r="Q381" t="n">
        <v>0</v>
      </c>
      <c r="R381" s="2" t="inlineStr"/>
    </row>
    <row r="382" ht="15" customHeight="1">
      <c r="A382" t="inlineStr">
        <is>
          <t>A 68980-2021</t>
        </is>
      </c>
      <c r="B382" s="1" t="n">
        <v>44529</v>
      </c>
      <c r="C382" s="1" t="n">
        <v>45657</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68864-2021</t>
        </is>
      </c>
      <c r="B383" s="1" t="n">
        <v>44530</v>
      </c>
      <c r="C383" s="1" t="n">
        <v>45657</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69232-2021</t>
        </is>
      </c>
      <c r="B384" s="1" t="n">
        <v>44531</v>
      </c>
      <c r="C384" s="1" t="n">
        <v>45657</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69236-2021</t>
        </is>
      </c>
      <c r="B385" s="1" t="n">
        <v>44531</v>
      </c>
      <c r="C385" s="1" t="n">
        <v>45657</v>
      </c>
      <c r="D385" t="inlineStr">
        <is>
          <t>VÄSTMANLANDS LÄN</t>
        </is>
      </c>
      <c r="E385" t="inlineStr">
        <is>
          <t>SALA</t>
        </is>
      </c>
      <c r="G385" t="n">
        <v>2.8</v>
      </c>
      <c r="H385" t="n">
        <v>0</v>
      </c>
      <c r="I385" t="n">
        <v>0</v>
      </c>
      <c r="J385" t="n">
        <v>0</v>
      </c>
      <c r="K385" t="n">
        <v>0</v>
      </c>
      <c r="L385" t="n">
        <v>0</v>
      </c>
      <c r="M385" t="n">
        <v>0</v>
      </c>
      <c r="N385" t="n">
        <v>0</v>
      </c>
      <c r="O385" t="n">
        <v>0</v>
      </c>
      <c r="P385" t="n">
        <v>0</v>
      </c>
      <c r="Q385" t="n">
        <v>0</v>
      </c>
      <c r="R385" s="2" t="inlineStr"/>
    </row>
    <row r="386" ht="15" customHeight="1">
      <c r="A386" t="inlineStr">
        <is>
          <t>A 70218-2021</t>
        </is>
      </c>
      <c r="B386" s="1" t="n">
        <v>44535</v>
      </c>
      <c r="C386" s="1" t="n">
        <v>45657</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70319-2021</t>
        </is>
      </c>
      <c r="B387" s="1" t="n">
        <v>44536</v>
      </c>
      <c r="C387" s="1" t="n">
        <v>45657</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70655-2021</t>
        </is>
      </c>
      <c r="B388" s="1" t="n">
        <v>44537</v>
      </c>
      <c r="C388" s="1" t="n">
        <v>45657</v>
      </c>
      <c r="D388" t="inlineStr">
        <is>
          <t>VÄSTMANLANDS LÄN</t>
        </is>
      </c>
      <c r="E388" t="inlineStr">
        <is>
          <t>SALA</t>
        </is>
      </c>
      <c r="G388" t="n">
        <v>4.8</v>
      </c>
      <c r="H388" t="n">
        <v>0</v>
      </c>
      <c r="I388" t="n">
        <v>0</v>
      </c>
      <c r="J388" t="n">
        <v>0</v>
      </c>
      <c r="K388" t="n">
        <v>0</v>
      </c>
      <c r="L388" t="n">
        <v>0</v>
      </c>
      <c r="M388" t="n">
        <v>0</v>
      </c>
      <c r="N388" t="n">
        <v>0</v>
      </c>
      <c r="O388" t="n">
        <v>0</v>
      </c>
      <c r="P388" t="n">
        <v>0</v>
      </c>
      <c r="Q388" t="n">
        <v>0</v>
      </c>
      <c r="R388" s="2" t="inlineStr"/>
    </row>
    <row r="389" ht="15" customHeight="1">
      <c r="A389" t="inlineStr">
        <is>
          <t>A 70958-2021</t>
        </is>
      </c>
      <c r="B389" s="1" t="n">
        <v>44538</v>
      </c>
      <c r="C389" s="1" t="n">
        <v>45657</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45657</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71853-2021</t>
        </is>
      </c>
      <c r="B391" s="1" t="n">
        <v>44543</v>
      </c>
      <c r="C391" s="1" t="n">
        <v>45657</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72071-2021</t>
        </is>
      </c>
      <c r="B392" s="1" t="n">
        <v>44544</v>
      </c>
      <c r="C392" s="1" t="n">
        <v>45657</v>
      </c>
      <c r="D392" t="inlineStr">
        <is>
          <t>VÄSTMANLANDS LÄN</t>
        </is>
      </c>
      <c r="E392" t="inlineStr">
        <is>
          <t>SALA</t>
        </is>
      </c>
      <c r="G392" t="n">
        <v>3.5</v>
      </c>
      <c r="H392" t="n">
        <v>0</v>
      </c>
      <c r="I392" t="n">
        <v>0</v>
      </c>
      <c r="J392" t="n">
        <v>0</v>
      </c>
      <c r="K392" t="n">
        <v>0</v>
      </c>
      <c r="L392" t="n">
        <v>0</v>
      </c>
      <c r="M392" t="n">
        <v>0</v>
      </c>
      <c r="N392" t="n">
        <v>0</v>
      </c>
      <c r="O392" t="n">
        <v>0</v>
      </c>
      <c r="P392" t="n">
        <v>0</v>
      </c>
      <c r="Q392" t="n">
        <v>0</v>
      </c>
      <c r="R392" s="2" t="inlineStr"/>
    </row>
    <row r="393" ht="15" customHeight="1">
      <c r="A393" t="inlineStr">
        <is>
          <t>A 72405-2021</t>
        </is>
      </c>
      <c r="B393" s="1" t="n">
        <v>44545</v>
      </c>
      <c r="C393" s="1" t="n">
        <v>45657</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72389-2021</t>
        </is>
      </c>
      <c r="B394" s="1" t="n">
        <v>44545</v>
      </c>
      <c r="C394" s="1" t="n">
        <v>45657</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72810-2021</t>
        </is>
      </c>
      <c r="B395" s="1" t="n">
        <v>44546</v>
      </c>
      <c r="C395" s="1" t="n">
        <v>45657</v>
      </c>
      <c r="D395" t="inlineStr">
        <is>
          <t>VÄSTMANLANDS LÄN</t>
        </is>
      </c>
      <c r="E395" t="inlineStr">
        <is>
          <t>SALA</t>
        </is>
      </c>
      <c r="G395" t="n">
        <v>3.3</v>
      </c>
      <c r="H395" t="n">
        <v>0</v>
      </c>
      <c r="I395" t="n">
        <v>0</v>
      </c>
      <c r="J395" t="n">
        <v>0</v>
      </c>
      <c r="K395" t="n">
        <v>0</v>
      </c>
      <c r="L395" t="n">
        <v>0</v>
      </c>
      <c r="M395" t="n">
        <v>0</v>
      </c>
      <c r="N395" t="n">
        <v>0</v>
      </c>
      <c r="O395" t="n">
        <v>0</v>
      </c>
      <c r="P395" t="n">
        <v>0</v>
      </c>
      <c r="Q395" t="n">
        <v>0</v>
      </c>
      <c r="R395" s="2" t="inlineStr"/>
    </row>
    <row r="396" ht="15" customHeight="1">
      <c r="A396" t="inlineStr">
        <is>
          <t>A 72805-2021</t>
        </is>
      </c>
      <c r="B396" s="1" t="n">
        <v>44546</v>
      </c>
      <c r="C396" s="1" t="n">
        <v>45657</v>
      </c>
      <c r="D396" t="inlineStr">
        <is>
          <t>VÄSTMANLANDS LÄN</t>
        </is>
      </c>
      <c r="E396" t="inlineStr">
        <is>
          <t>SALA</t>
        </is>
      </c>
      <c r="G396" t="n">
        <v>7.8</v>
      </c>
      <c r="H396" t="n">
        <v>0</v>
      </c>
      <c r="I396" t="n">
        <v>0</v>
      </c>
      <c r="J396" t="n">
        <v>0</v>
      </c>
      <c r="K396" t="n">
        <v>0</v>
      </c>
      <c r="L396" t="n">
        <v>0</v>
      </c>
      <c r="M396" t="n">
        <v>0</v>
      </c>
      <c r="N396" t="n">
        <v>0</v>
      </c>
      <c r="O396" t="n">
        <v>0</v>
      </c>
      <c r="P396" t="n">
        <v>0</v>
      </c>
      <c r="Q396" t="n">
        <v>0</v>
      </c>
      <c r="R396" s="2" t="inlineStr"/>
    </row>
    <row r="397" ht="15" customHeight="1">
      <c r="A397" t="inlineStr">
        <is>
          <t>A 72808-2021</t>
        </is>
      </c>
      <c r="B397" s="1" t="n">
        <v>44546</v>
      </c>
      <c r="C397" s="1" t="n">
        <v>45657</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72776-2021</t>
        </is>
      </c>
      <c r="B398" s="1" t="n">
        <v>44547</v>
      </c>
      <c r="C398" s="1" t="n">
        <v>45657</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73029-2021</t>
        </is>
      </c>
      <c r="B399" s="1" t="n">
        <v>44550</v>
      </c>
      <c r="C399" s="1" t="n">
        <v>45657</v>
      </c>
      <c r="D399" t="inlineStr">
        <is>
          <t>VÄSTMANLANDS LÄN</t>
        </is>
      </c>
      <c r="E399" t="inlineStr">
        <is>
          <t>SALA</t>
        </is>
      </c>
      <c r="G399" t="n">
        <v>1.8</v>
      </c>
      <c r="H399" t="n">
        <v>0</v>
      </c>
      <c r="I399" t="n">
        <v>0</v>
      </c>
      <c r="J399" t="n">
        <v>0</v>
      </c>
      <c r="K399" t="n">
        <v>0</v>
      </c>
      <c r="L399" t="n">
        <v>0</v>
      </c>
      <c r="M399" t="n">
        <v>0</v>
      </c>
      <c r="N399" t="n">
        <v>0</v>
      </c>
      <c r="O399" t="n">
        <v>0</v>
      </c>
      <c r="P399" t="n">
        <v>0</v>
      </c>
      <c r="Q399" t="n">
        <v>0</v>
      </c>
      <c r="R399" s="2" t="inlineStr"/>
    </row>
    <row r="400" ht="15" customHeight="1">
      <c r="A400" t="inlineStr">
        <is>
          <t>A 73124-2021</t>
        </is>
      </c>
      <c r="B400" s="1" t="n">
        <v>44550</v>
      </c>
      <c r="C400" s="1" t="n">
        <v>45657</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73219-2021</t>
        </is>
      </c>
      <c r="B401" s="1" t="n">
        <v>44550</v>
      </c>
      <c r="C401" s="1" t="n">
        <v>45657</v>
      </c>
      <c r="D401" t="inlineStr">
        <is>
          <t>VÄSTMANLANDS LÄN</t>
        </is>
      </c>
      <c r="E401" t="inlineStr">
        <is>
          <t>SALA</t>
        </is>
      </c>
      <c r="G401" t="n">
        <v>7.1</v>
      </c>
      <c r="H401" t="n">
        <v>0</v>
      </c>
      <c r="I401" t="n">
        <v>0</v>
      </c>
      <c r="J401" t="n">
        <v>0</v>
      </c>
      <c r="K401" t="n">
        <v>0</v>
      </c>
      <c r="L401" t="n">
        <v>0</v>
      </c>
      <c r="M401" t="n">
        <v>0</v>
      </c>
      <c r="N401" t="n">
        <v>0</v>
      </c>
      <c r="O401" t="n">
        <v>0</v>
      </c>
      <c r="P401" t="n">
        <v>0</v>
      </c>
      <c r="Q401" t="n">
        <v>0</v>
      </c>
      <c r="R401" s="2" t="inlineStr"/>
    </row>
    <row r="402" ht="15" customHeight="1">
      <c r="A402" t="inlineStr">
        <is>
          <t>A 73423-2021</t>
        </is>
      </c>
      <c r="B402" s="1" t="n">
        <v>44551</v>
      </c>
      <c r="C402" s="1" t="n">
        <v>45657</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73519-2021</t>
        </is>
      </c>
      <c r="B403" s="1" t="n">
        <v>44551</v>
      </c>
      <c r="C403" s="1" t="n">
        <v>45657</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73683-2021</t>
        </is>
      </c>
      <c r="B404" s="1" t="n">
        <v>44552</v>
      </c>
      <c r="C404" s="1" t="n">
        <v>45657</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73663-2021</t>
        </is>
      </c>
      <c r="B405" s="1" t="n">
        <v>44552</v>
      </c>
      <c r="C405" s="1" t="n">
        <v>45657</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73673-2021</t>
        </is>
      </c>
      <c r="B406" s="1" t="n">
        <v>44552</v>
      </c>
      <c r="C406" s="1" t="n">
        <v>45657</v>
      </c>
      <c r="D406" t="inlineStr">
        <is>
          <t>VÄSTMANLANDS LÄN</t>
        </is>
      </c>
      <c r="E406" t="inlineStr">
        <is>
          <t>SALA</t>
        </is>
      </c>
      <c r="G406" t="n">
        <v>11.4</v>
      </c>
      <c r="H406" t="n">
        <v>0</v>
      </c>
      <c r="I406" t="n">
        <v>0</v>
      </c>
      <c r="J406" t="n">
        <v>0</v>
      </c>
      <c r="K406" t="n">
        <v>0</v>
      </c>
      <c r="L406" t="n">
        <v>0</v>
      </c>
      <c r="M406" t="n">
        <v>0</v>
      </c>
      <c r="N406" t="n">
        <v>0</v>
      </c>
      <c r="O406" t="n">
        <v>0</v>
      </c>
      <c r="P406" t="n">
        <v>0</v>
      </c>
      <c r="Q406" t="n">
        <v>0</v>
      </c>
      <c r="R406" s="2" t="inlineStr"/>
    </row>
    <row r="407" ht="15" customHeight="1">
      <c r="A407" t="inlineStr">
        <is>
          <t>A 73606-2021</t>
        </is>
      </c>
      <c r="B407" s="1" t="n">
        <v>44552</v>
      </c>
      <c r="C407" s="1" t="n">
        <v>45657</v>
      </c>
      <c r="D407" t="inlineStr">
        <is>
          <t>VÄSTMANLANDS LÄN</t>
        </is>
      </c>
      <c r="E407" t="inlineStr">
        <is>
          <t>SALA</t>
        </is>
      </c>
      <c r="G407" t="n">
        <v>1.5</v>
      </c>
      <c r="H407" t="n">
        <v>0</v>
      </c>
      <c r="I407" t="n">
        <v>0</v>
      </c>
      <c r="J407" t="n">
        <v>0</v>
      </c>
      <c r="K407" t="n">
        <v>0</v>
      </c>
      <c r="L407" t="n">
        <v>0</v>
      </c>
      <c r="M407" t="n">
        <v>0</v>
      </c>
      <c r="N407" t="n">
        <v>0</v>
      </c>
      <c r="O407" t="n">
        <v>0</v>
      </c>
      <c r="P407" t="n">
        <v>0</v>
      </c>
      <c r="Q407" t="n">
        <v>0</v>
      </c>
      <c r="R407" s="2" t="inlineStr"/>
    </row>
    <row r="408" ht="15" customHeight="1">
      <c r="A408" t="inlineStr">
        <is>
          <t>A 73668-2021</t>
        </is>
      </c>
      <c r="B408" s="1" t="n">
        <v>44552</v>
      </c>
      <c r="C408" s="1" t="n">
        <v>45657</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73687-2021</t>
        </is>
      </c>
      <c r="B409" s="1" t="n">
        <v>44552</v>
      </c>
      <c r="C409" s="1" t="n">
        <v>45657</v>
      </c>
      <c r="D409" t="inlineStr">
        <is>
          <t>VÄSTMANLANDS LÄN</t>
        </is>
      </c>
      <c r="E409" t="inlineStr">
        <is>
          <t>SALA</t>
        </is>
      </c>
      <c r="G409" t="n">
        <v>5.6</v>
      </c>
      <c r="H409" t="n">
        <v>0</v>
      </c>
      <c r="I409" t="n">
        <v>0</v>
      </c>
      <c r="J409" t="n">
        <v>0</v>
      </c>
      <c r="K409" t="n">
        <v>0</v>
      </c>
      <c r="L409" t="n">
        <v>0</v>
      </c>
      <c r="M409" t="n">
        <v>0</v>
      </c>
      <c r="N409" t="n">
        <v>0</v>
      </c>
      <c r="O409" t="n">
        <v>0</v>
      </c>
      <c r="P409" t="n">
        <v>0</v>
      </c>
      <c r="Q409" t="n">
        <v>0</v>
      </c>
      <c r="R409" s="2" t="inlineStr"/>
    </row>
    <row r="410" ht="15" customHeight="1">
      <c r="A410" t="inlineStr">
        <is>
          <t>A 73788-2021</t>
        </is>
      </c>
      <c r="B410" s="1" t="n">
        <v>44552</v>
      </c>
      <c r="C410" s="1" t="n">
        <v>45657</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73835-2021</t>
        </is>
      </c>
      <c r="B411" s="1" t="n">
        <v>44552</v>
      </c>
      <c r="C411" s="1" t="n">
        <v>45657</v>
      </c>
      <c r="D411" t="inlineStr">
        <is>
          <t>VÄSTMANLANDS LÄN</t>
        </is>
      </c>
      <c r="E411" t="inlineStr">
        <is>
          <t>SALA</t>
        </is>
      </c>
      <c r="G411" t="n">
        <v>2</v>
      </c>
      <c r="H411" t="n">
        <v>0</v>
      </c>
      <c r="I411" t="n">
        <v>0</v>
      </c>
      <c r="J411" t="n">
        <v>0</v>
      </c>
      <c r="K411" t="n">
        <v>0</v>
      </c>
      <c r="L411" t="n">
        <v>0</v>
      </c>
      <c r="M411" t="n">
        <v>0</v>
      </c>
      <c r="N411" t="n">
        <v>0</v>
      </c>
      <c r="O411" t="n">
        <v>0</v>
      </c>
      <c r="P411" t="n">
        <v>0</v>
      </c>
      <c r="Q411" t="n">
        <v>0</v>
      </c>
      <c r="R411" s="2" t="inlineStr"/>
    </row>
    <row r="412" ht="15" customHeight="1">
      <c r="A412" t="inlineStr">
        <is>
          <t>A 74123-2021</t>
        </is>
      </c>
      <c r="B412" s="1" t="n">
        <v>44557</v>
      </c>
      <c r="C412" s="1" t="n">
        <v>45657</v>
      </c>
      <c r="D412" t="inlineStr">
        <is>
          <t>VÄSTMANLANDS LÄN</t>
        </is>
      </c>
      <c r="E412" t="inlineStr">
        <is>
          <t>SALA</t>
        </is>
      </c>
      <c r="F412" t="inlineStr">
        <is>
          <t>Kommuner</t>
        </is>
      </c>
      <c r="G412" t="n">
        <v>11.9</v>
      </c>
      <c r="H412" t="n">
        <v>0</v>
      </c>
      <c r="I412" t="n">
        <v>0</v>
      </c>
      <c r="J412" t="n">
        <v>0</v>
      </c>
      <c r="K412" t="n">
        <v>0</v>
      </c>
      <c r="L412" t="n">
        <v>0</v>
      </c>
      <c r="M412" t="n">
        <v>0</v>
      </c>
      <c r="N412" t="n">
        <v>0</v>
      </c>
      <c r="O412" t="n">
        <v>0</v>
      </c>
      <c r="P412" t="n">
        <v>0</v>
      </c>
      <c r="Q412" t="n">
        <v>0</v>
      </c>
      <c r="R412" s="2" t="inlineStr"/>
    </row>
    <row r="413" ht="15" customHeight="1">
      <c r="A413" t="inlineStr">
        <is>
          <t>A 74277-2021</t>
        </is>
      </c>
      <c r="B413" s="1" t="n">
        <v>44558</v>
      </c>
      <c r="C413" s="1" t="n">
        <v>45657</v>
      </c>
      <c r="D413" t="inlineStr">
        <is>
          <t>VÄSTMANLANDS LÄN</t>
        </is>
      </c>
      <c r="E413" t="inlineStr">
        <is>
          <t>SALA</t>
        </is>
      </c>
      <c r="F413" t="inlineStr">
        <is>
          <t>Kommuner</t>
        </is>
      </c>
      <c r="G413" t="n">
        <v>24.4</v>
      </c>
      <c r="H413" t="n">
        <v>0</v>
      </c>
      <c r="I413" t="n">
        <v>0</v>
      </c>
      <c r="J413" t="n">
        <v>0</v>
      </c>
      <c r="K413" t="n">
        <v>0</v>
      </c>
      <c r="L413" t="n">
        <v>0</v>
      </c>
      <c r="M413" t="n">
        <v>0</v>
      </c>
      <c r="N413" t="n">
        <v>0</v>
      </c>
      <c r="O413" t="n">
        <v>0</v>
      </c>
      <c r="P413" t="n">
        <v>0</v>
      </c>
      <c r="Q413" t="n">
        <v>0</v>
      </c>
      <c r="R413" s="2" t="inlineStr"/>
    </row>
    <row r="414" ht="15" customHeight="1">
      <c r="A414" t="inlineStr">
        <is>
          <t>A 617-2022</t>
        </is>
      </c>
      <c r="B414" s="1" t="n">
        <v>44567</v>
      </c>
      <c r="C414" s="1" t="n">
        <v>45657</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939-2022</t>
        </is>
      </c>
      <c r="B415" s="1" t="n">
        <v>44571</v>
      </c>
      <c r="C415" s="1" t="n">
        <v>45657</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1043-2022</t>
        </is>
      </c>
      <c r="B416" s="1" t="n">
        <v>44571</v>
      </c>
      <c r="C416" s="1" t="n">
        <v>45657</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1162-2022</t>
        </is>
      </c>
      <c r="B417" s="1" t="n">
        <v>44572</v>
      </c>
      <c r="C417" s="1" t="n">
        <v>45657</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1985-2022</t>
        </is>
      </c>
      <c r="B418" s="1" t="n">
        <v>44575</v>
      </c>
      <c r="C418" s="1" t="n">
        <v>45657</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1993-2022</t>
        </is>
      </c>
      <c r="B419" s="1" t="n">
        <v>44575</v>
      </c>
      <c r="C419" s="1" t="n">
        <v>45657</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2529-2022</t>
        </is>
      </c>
      <c r="B420" s="1" t="n">
        <v>44579</v>
      </c>
      <c r="C420" s="1" t="n">
        <v>45657</v>
      </c>
      <c r="D420" t="inlineStr">
        <is>
          <t>VÄSTMANLANDS LÄN</t>
        </is>
      </c>
      <c r="E420" t="inlineStr">
        <is>
          <t>SALA</t>
        </is>
      </c>
      <c r="G420" t="n">
        <v>1.7</v>
      </c>
      <c r="H420" t="n">
        <v>0</v>
      </c>
      <c r="I420" t="n">
        <v>0</v>
      </c>
      <c r="J420" t="n">
        <v>0</v>
      </c>
      <c r="K420" t="n">
        <v>0</v>
      </c>
      <c r="L420" t="n">
        <v>0</v>
      </c>
      <c r="M420" t="n">
        <v>0</v>
      </c>
      <c r="N420" t="n">
        <v>0</v>
      </c>
      <c r="O420" t="n">
        <v>0</v>
      </c>
      <c r="P420" t="n">
        <v>0</v>
      </c>
      <c r="Q420" t="n">
        <v>0</v>
      </c>
      <c r="R420" s="2" t="inlineStr"/>
    </row>
    <row r="421" ht="15" customHeight="1">
      <c r="A421" t="inlineStr">
        <is>
          <t>A 3050-2022</t>
        </is>
      </c>
      <c r="B421" s="1" t="n">
        <v>44582</v>
      </c>
      <c r="C421" s="1" t="n">
        <v>45657</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3201-2022</t>
        </is>
      </c>
      <c r="B422" s="1" t="n">
        <v>44582</v>
      </c>
      <c r="C422" s="1" t="n">
        <v>45657</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3204-2022</t>
        </is>
      </c>
      <c r="B423" s="1" t="n">
        <v>44582</v>
      </c>
      <c r="C423" s="1" t="n">
        <v>45657</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3647-2022</t>
        </is>
      </c>
      <c r="B424" s="1" t="n">
        <v>44586</v>
      </c>
      <c r="C424" s="1" t="n">
        <v>45657</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3888-2022</t>
        </is>
      </c>
      <c r="B425" s="1" t="n">
        <v>44587</v>
      </c>
      <c r="C425" s="1" t="n">
        <v>45657</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3920-2022</t>
        </is>
      </c>
      <c r="B426" s="1" t="n">
        <v>44587</v>
      </c>
      <c r="C426" s="1" t="n">
        <v>45657</v>
      </c>
      <c r="D426" t="inlineStr">
        <is>
          <t>VÄSTMANLANDS LÄN</t>
        </is>
      </c>
      <c r="E426" t="inlineStr">
        <is>
          <t>SALA</t>
        </is>
      </c>
      <c r="G426" t="n">
        <v>1.8</v>
      </c>
      <c r="H426" t="n">
        <v>0</v>
      </c>
      <c r="I426" t="n">
        <v>0</v>
      </c>
      <c r="J426" t="n">
        <v>0</v>
      </c>
      <c r="K426" t="n">
        <v>0</v>
      </c>
      <c r="L426" t="n">
        <v>0</v>
      </c>
      <c r="M426" t="n">
        <v>0</v>
      </c>
      <c r="N426" t="n">
        <v>0</v>
      </c>
      <c r="O426" t="n">
        <v>0</v>
      </c>
      <c r="P426" t="n">
        <v>0</v>
      </c>
      <c r="Q426" t="n">
        <v>0</v>
      </c>
      <c r="R426" s="2" t="inlineStr"/>
    </row>
    <row r="427" ht="15" customHeight="1">
      <c r="A427" t="inlineStr">
        <is>
          <t>A 4237-2022</t>
        </is>
      </c>
      <c r="B427" s="1" t="n">
        <v>44588</v>
      </c>
      <c r="C427" s="1" t="n">
        <v>45657</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4281-2022</t>
        </is>
      </c>
      <c r="B428" s="1" t="n">
        <v>44588</v>
      </c>
      <c r="C428" s="1" t="n">
        <v>45657</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4663-2022</t>
        </is>
      </c>
      <c r="B429" s="1" t="n">
        <v>44592</v>
      </c>
      <c r="C429" s="1" t="n">
        <v>45657</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4779-2022</t>
        </is>
      </c>
      <c r="B430" s="1" t="n">
        <v>44592</v>
      </c>
      <c r="C430" s="1" t="n">
        <v>45657</v>
      </c>
      <c r="D430" t="inlineStr">
        <is>
          <t>VÄSTMANLANDS LÄN</t>
        </is>
      </c>
      <c r="E430" t="inlineStr">
        <is>
          <t>SALA</t>
        </is>
      </c>
      <c r="G430" t="n">
        <v>4.3</v>
      </c>
      <c r="H430" t="n">
        <v>0</v>
      </c>
      <c r="I430" t="n">
        <v>0</v>
      </c>
      <c r="J430" t="n">
        <v>0</v>
      </c>
      <c r="K430" t="n">
        <v>0</v>
      </c>
      <c r="L430" t="n">
        <v>0</v>
      </c>
      <c r="M430" t="n">
        <v>0</v>
      </c>
      <c r="N430" t="n">
        <v>0</v>
      </c>
      <c r="O430" t="n">
        <v>0</v>
      </c>
      <c r="P430" t="n">
        <v>0</v>
      </c>
      <c r="Q430" t="n">
        <v>0</v>
      </c>
      <c r="R430" s="2" t="inlineStr"/>
    </row>
    <row r="431" ht="15" customHeight="1">
      <c r="A431" t="inlineStr">
        <is>
          <t>A 5335-2022</t>
        </is>
      </c>
      <c r="B431" s="1" t="n">
        <v>44594</v>
      </c>
      <c r="C431" s="1" t="n">
        <v>45657</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5737-2022</t>
        </is>
      </c>
      <c r="B432" s="1" t="n">
        <v>44596</v>
      </c>
      <c r="C432" s="1" t="n">
        <v>45657</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5728-2022</t>
        </is>
      </c>
      <c r="B433" s="1" t="n">
        <v>44596</v>
      </c>
      <c r="C433" s="1" t="n">
        <v>45657</v>
      </c>
      <c r="D433" t="inlineStr">
        <is>
          <t>VÄSTMANLANDS LÄN</t>
        </is>
      </c>
      <c r="E433" t="inlineStr">
        <is>
          <t>SALA</t>
        </is>
      </c>
      <c r="G433" t="n">
        <v>1.7</v>
      </c>
      <c r="H433" t="n">
        <v>0</v>
      </c>
      <c r="I433" t="n">
        <v>0</v>
      </c>
      <c r="J433" t="n">
        <v>0</v>
      </c>
      <c r="K433" t="n">
        <v>0</v>
      </c>
      <c r="L433" t="n">
        <v>0</v>
      </c>
      <c r="M433" t="n">
        <v>0</v>
      </c>
      <c r="N433" t="n">
        <v>0</v>
      </c>
      <c r="O433" t="n">
        <v>0</v>
      </c>
      <c r="P433" t="n">
        <v>0</v>
      </c>
      <c r="Q433" t="n">
        <v>0</v>
      </c>
      <c r="R433" s="2" t="inlineStr"/>
    </row>
    <row r="434" ht="15" customHeight="1">
      <c r="A434" t="inlineStr">
        <is>
          <t>A 6097-2022</t>
        </is>
      </c>
      <c r="B434" s="1" t="n">
        <v>44599</v>
      </c>
      <c r="C434" s="1" t="n">
        <v>45657</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6705-2022</t>
        </is>
      </c>
      <c r="B435" s="1" t="n">
        <v>44602</v>
      </c>
      <c r="C435" s="1" t="n">
        <v>45657</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6665-2022</t>
        </is>
      </c>
      <c r="B436" s="1" t="n">
        <v>44602</v>
      </c>
      <c r="C436" s="1" t="n">
        <v>45657</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6667-2022</t>
        </is>
      </c>
      <c r="B437" s="1" t="n">
        <v>44602</v>
      </c>
      <c r="C437" s="1" t="n">
        <v>45657</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6710-2022</t>
        </is>
      </c>
      <c r="B438" s="1" t="n">
        <v>44602</v>
      </c>
      <c r="C438" s="1" t="n">
        <v>45657</v>
      </c>
      <c r="D438" t="inlineStr">
        <is>
          <t>VÄSTMANLANDS LÄN</t>
        </is>
      </c>
      <c r="E438" t="inlineStr">
        <is>
          <t>SALA</t>
        </is>
      </c>
      <c r="G438" t="n">
        <v>6.4</v>
      </c>
      <c r="H438" t="n">
        <v>0</v>
      </c>
      <c r="I438" t="n">
        <v>0</v>
      </c>
      <c r="J438" t="n">
        <v>0</v>
      </c>
      <c r="K438" t="n">
        <v>0</v>
      </c>
      <c r="L438" t="n">
        <v>0</v>
      </c>
      <c r="M438" t="n">
        <v>0</v>
      </c>
      <c r="N438" t="n">
        <v>0</v>
      </c>
      <c r="O438" t="n">
        <v>0</v>
      </c>
      <c r="P438" t="n">
        <v>0</v>
      </c>
      <c r="Q438" t="n">
        <v>0</v>
      </c>
      <c r="R438" s="2" t="inlineStr"/>
    </row>
    <row r="439" ht="15" customHeight="1">
      <c r="A439" t="inlineStr">
        <is>
          <t>A 6957-2022</t>
        </is>
      </c>
      <c r="B439" s="1" t="n">
        <v>44603</v>
      </c>
      <c r="C439" s="1" t="n">
        <v>45657</v>
      </c>
      <c r="D439" t="inlineStr">
        <is>
          <t>VÄSTMANLANDS LÄN</t>
        </is>
      </c>
      <c r="E439" t="inlineStr">
        <is>
          <t>SALA</t>
        </is>
      </c>
      <c r="G439" t="n">
        <v>4.5</v>
      </c>
      <c r="H439" t="n">
        <v>0</v>
      </c>
      <c r="I439" t="n">
        <v>0</v>
      </c>
      <c r="J439" t="n">
        <v>0</v>
      </c>
      <c r="K439" t="n">
        <v>0</v>
      </c>
      <c r="L439" t="n">
        <v>0</v>
      </c>
      <c r="M439" t="n">
        <v>0</v>
      </c>
      <c r="N439" t="n">
        <v>0</v>
      </c>
      <c r="O439" t="n">
        <v>0</v>
      </c>
      <c r="P439" t="n">
        <v>0</v>
      </c>
      <c r="Q439" t="n">
        <v>0</v>
      </c>
      <c r="R439" s="2" t="inlineStr"/>
    </row>
    <row r="440" ht="15" customHeight="1">
      <c r="A440" t="inlineStr">
        <is>
          <t>A 7169-2022</t>
        </is>
      </c>
      <c r="B440" s="1" t="n">
        <v>44604</v>
      </c>
      <c r="C440" s="1" t="n">
        <v>45657</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8130-2022</t>
        </is>
      </c>
      <c r="B441" s="1" t="n">
        <v>44609</v>
      </c>
      <c r="C441" s="1" t="n">
        <v>45657</v>
      </c>
      <c r="D441" t="inlineStr">
        <is>
          <t>VÄSTMANLANDS LÄN</t>
        </is>
      </c>
      <c r="E441" t="inlineStr">
        <is>
          <t>SALA</t>
        </is>
      </c>
      <c r="G441" t="n">
        <v>3.5</v>
      </c>
      <c r="H441" t="n">
        <v>0</v>
      </c>
      <c r="I441" t="n">
        <v>0</v>
      </c>
      <c r="J441" t="n">
        <v>0</v>
      </c>
      <c r="K441" t="n">
        <v>0</v>
      </c>
      <c r="L441" t="n">
        <v>0</v>
      </c>
      <c r="M441" t="n">
        <v>0</v>
      </c>
      <c r="N441" t="n">
        <v>0</v>
      </c>
      <c r="O441" t="n">
        <v>0</v>
      </c>
      <c r="P441" t="n">
        <v>0</v>
      </c>
      <c r="Q441" t="n">
        <v>0</v>
      </c>
      <c r="R441" s="2" t="inlineStr"/>
    </row>
    <row r="442" ht="15" customHeight="1">
      <c r="A442" t="inlineStr">
        <is>
          <t>A 9048-2022</t>
        </is>
      </c>
      <c r="B442" s="1" t="n">
        <v>44615</v>
      </c>
      <c r="C442" s="1" t="n">
        <v>45657</v>
      </c>
      <c r="D442" t="inlineStr">
        <is>
          <t>VÄSTMANLANDS LÄN</t>
        </is>
      </c>
      <c r="E442" t="inlineStr">
        <is>
          <t>SALA</t>
        </is>
      </c>
      <c r="G442" t="n">
        <v>5.2</v>
      </c>
      <c r="H442" t="n">
        <v>0</v>
      </c>
      <c r="I442" t="n">
        <v>0</v>
      </c>
      <c r="J442" t="n">
        <v>0</v>
      </c>
      <c r="K442" t="n">
        <v>0</v>
      </c>
      <c r="L442" t="n">
        <v>0</v>
      </c>
      <c r="M442" t="n">
        <v>0</v>
      </c>
      <c r="N442" t="n">
        <v>0</v>
      </c>
      <c r="O442" t="n">
        <v>0</v>
      </c>
      <c r="P442" t="n">
        <v>0</v>
      </c>
      <c r="Q442" t="n">
        <v>0</v>
      </c>
      <c r="R442" s="2" t="inlineStr"/>
    </row>
    <row r="443" ht="15" customHeight="1">
      <c r="A443" t="inlineStr">
        <is>
          <t>A 9050-2022</t>
        </is>
      </c>
      <c r="B443" s="1" t="n">
        <v>44615</v>
      </c>
      <c r="C443" s="1" t="n">
        <v>45657</v>
      </c>
      <c r="D443" t="inlineStr">
        <is>
          <t>VÄSTMANLANDS LÄN</t>
        </is>
      </c>
      <c r="E443" t="inlineStr">
        <is>
          <t>SALA</t>
        </is>
      </c>
      <c r="G443" t="n">
        <v>3.1</v>
      </c>
      <c r="H443" t="n">
        <v>0</v>
      </c>
      <c r="I443" t="n">
        <v>0</v>
      </c>
      <c r="J443" t="n">
        <v>0</v>
      </c>
      <c r="K443" t="n">
        <v>0</v>
      </c>
      <c r="L443" t="n">
        <v>0</v>
      </c>
      <c r="M443" t="n">
        <v>0</v>
      </c>
      <c r="N443" t="n">
        <v>0</v>
      </c>
      <c r="O443" t="n">
        <v>0</v>
      </c>
      <c r="P443" t="n">
        <v>0</v>
      </c>
      <c r="Q443" t="n">
        <v>0</v>
      </c>
      <c r="R443" s="2" t="inlineStr"/>
    </row>
    <row r="444" ht="15" customHeight="1">
      <c r="A444" t="inlineStr">
        <is>
          <t>A 9075-2022</t>
        </is>
      </c>
      <c r="B444" s="1" t="n">
        <v>44615</v>
      </c>
      <c r="C444" s="1" t="n">
        <v>45657</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9335-2022</t>
        </is>
      </c>
      <c r="B445" s="1" t="n">
        <v>44616</v>
      </c>
      <c r="C445" s="1" t="n">
        <v>45657</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9856-2022</t>
        </is>
      </c>
      <c r="B446" s="1" t="n">
        <v>44620</v>
      </c>
      <c r="C446" s="1" t="n">
        <v>45657</v>
      </c>
      <c r="D446" t="inlineStr">
        <is>
          <t>VÄSTMANLANDS LÄN</t>
        </is>
      </c>
      <c r="E446" t="inlineStr">
        <is>
          <t>SALA</t>
        </is>
      </c>
      <c r="G446" t="n">
        <v>2.4</v>
      </c>
      <c r="H446" t="n">
        <v>0</v>
      </c>
      <c r="I446" t="n">
        <v>0</v>
      </c>
      <c r="J446" t="n">
        <v>0</v>
      </c>
      <c r="K446" t="n">
        <v>0</v>
      </c>
      <c r="L446" t="n">
        <v>0</v>
      </c>
      <c r="M446" t="n">
        <v>0</v>
      </c>
      <c r="N446" t="n">
        <v>0</v>
      </c>
      <c r="O446" t="n">
        <v>0</v>
      </c>
      <c r="P446" t="n">
        <v>0</v>
      </c>
      <c r="Q446" t="n">
        <v>0</v>
      </c>
      <c r="R446" s="2" t="inlineStr"/>
    </row>
    <row r="447" ht="15" customHeight="1">
      <c r="A447" t="inlineStr">
        <is>
          <t>A 10083-2022</t>
        </is>
      </c>
      <c r="B447" s="1" t="n">
        <v>44621</v>
      </c>
      <c r="C447" s="1" t="n">
        <v>45657</v>
      </c>
      <c r="D447" t="inlineStr">
        <is>
          <t>VÄSTMANLANDS LÄN</t>
        </is>
      </c>
      <c r="E447" t="inlineStr">
        <is>
          <t>SALA</t>
        </is>
      </c>
      <c r="G447" t="n">
        <v>7.8</v>
      </c>
      <c r="H447" t="n">
        <v>0</v>
      </c>
      <c r="I447" t="n">
        <v>0</v>
      </c>
      <c r="J447" t="n">
        <v>0</v>
      </c>
      <c r="K447" t="n">
        <v>0</v>
      </c>
      <c r="L447" t="n">
        <v>0</v>
      </c>
      <c r="M447" t="n">
        <v>0</v>
      </c>
      <c r="N447" t="n">
        <v>0</v>
      </c>
      <c r="O447" t="n">
        <v>0</v>
      </c>
      <c r="P447" t="n">
        <v>0</v>
      </c>
      <c r="Q447" t="n">
        <v>0</v>
      </c>
      <c r="R447" s="2" t="inlineStr"/>
    </row>
    <row r="448" ht="15" customHeight="1">
      <c r="A448" t="inlineStr">
        <is>
          <t>A 10168-2022</t>
        </is>
      </c>
      <c r="B448" s="1" t="n">
        <v>44622</v>
      </c>
      <c r="C448" s="1" t="n">
        <v>45657</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10434-2022</t>
        </is>
      </c>
      <c r="B449" s="1" t="n">
        <v>44623</v>
      </c>
      <c r="C449" s="1" t="n">
        <v>45657</v>
      </c>
      <c r="D449" t="inlineStr">
        <is>
          <t>VÄSTMANLANDS LÄN</t>
        </is>
      </c>
      <c r="E449" t="inlineStr">
        <is>
          <t>SALA</t>
        </is>
      </c>
      <c r="G449" t="n">
        <v>5.5</v>
      </c>
      <c r="H449" t="n">
        <v>0</v>
      </c>
      <c r="I449" t="n">
        <v>0</v>
      </c>
      <c r="J449" t="n">
        <v>0</v>
      </c>
      <c r="K449" t="n">
        <v>0</v>
      </c>
      <c r="L449" t="n">
        <v>0</v>
      </c>
      <c r="M449" t="n">
        <v>0</v>
      </c>
      <c r="N449" t="n">
        <v>0</v>
      </c>
      <c r="O449" t="n">
        <v>0</v>
      </c>
      <c r="P449" t="n">
        <v>0</v>
      </c>
      <c r="Q449" t="n">
        <v>0</v>
      </c>
      <c r="R449" s="2" t="inlineStr"/>
    </row>
    <row r="450" ht="15" customHeight="1">
      <c r="A450" t="inlineStr">
        <is>
          <t>A 10585-2022</t>
        </is>
      </c>
      <c r="B450" s="1" t="n">
        <v>44624</v>
      </c>
      <c r="C450" s="1" t="n">
        <v>45657</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10579-2022</t>
        </is>
      </c>
      <c r="B451" s="1" t="n">
        <v>44624</v>
      </c>
      <c r="C451" s="1" t="n">
        <v>45657</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11370-2022</t>
        </is>
      </c>
      <c r="B452" s="1" t="n">
        <v>44630</v>
      </c>
      <c r="C452" s="1" t="n">
        <v>45657</v>
      </c>
      <c r="D452" t="inlineStr">
        <is>
          <t>VÄSTMANLANDS LÄN</t>
        </is>
      </c>
      <c r="E452" t="inlineStr">
        <is>
          <t>SALA</t>
        </is>
      </c>
      <c r="G452" t="n">
        <v>4.3</v>
      </c>
      <c r="H452" t="n">
        <v>0</v>
      </c>
      <c r="I452" t="n">
        <v>0</v>
      </c>
      <c r="J452" t="n">
        <v>0</v>
      </c>
      <c r="K452" t="n">
        <v>0</v>
      </c>
      <c r="L452" t="n">
        <v>0</v>
      </c>
      <c r="M452" t="n">
        <v>0</v>
      </c>
      <c r="N452" t="n">
        <v>0</v>
      </c>
      <c r="O452" t="n">
        <v>0</v>
      </c>
      <c r="P452" t="n">
        <v>0</v>
      </c>
      <c r="Q452" t="n">
        <v>0</v>
      </c>
      <c r="R452" s="2" t="inlineStr"/>
    </row>
    <row r="453" ht="15" customHeight="1">
      <c r="A453" t="inlineStr">
        <is>
          <t>A 12245-2022</t>
        </is>
      </c>
      <c r="B453" s="1" t="n">
        <v>44637</v>
      </c>
      <c r="C453" s="1" t="n">
        <v>45657</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13608-2022</t>
        </is>
      </c>
      <c r="B454" s="1" t="n">
        <v>44648</v>
      </c>
      <c r="C454" s="1" t="n">
        <v>45657</v>
      </c>
      <c r="D454" t="inlineStr">
        <is>
          <t>VÄSTMANLANDS LÄN</t>
        </is>
      </c>
      <c r="E454" t="inlineStr">
        <is>
          <t>SALA</t>
        </is>
      </c>
      <c r="G454" t="n">
        <v>5.9</v>
      </c>
      <c r="H454" t="n">
        <v>0</v>
      </c>
      <c r="I454" t="n">
        <v>0</v>
      </c>
      <c r="J454" t="n">
        <v>0</v>
      </c>
      <c r="K454" t="n">
        <v>0</v>
      </c>
      <c r="L454" t="n">
        <v>0</v>
      </c>
      <c r="M454" t="n">
        <v>0</v>
      </c>
      <c r="N454" t="n">
        <v>0</v>
      </c>
      <c r="O454" t="n">
        <v>0</v>
      </c>
      <c r="P454" t="n">
        <v>0</v>
      </c>
      <c r="Q454" t="n">
        <v>0</v>
      </c>
      <c r="R454" s="2" t="inlineStr"/>
    </row>
    <row r="455" ht="15" customHeight="1">
      <c r="A455" t="inlineStr">
        <is>
          <t>A 13962-2022</t>
        </is>
      </c>
      <c r="B455" s="1" t="n">
        <v>44650</v>
      </c>
      <c r="C455" s="1" t="n">
        <v>45657</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v>
      </c>
      <c r="C456" s="1" t="n">
        <v>45657</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16255-2022</t>
        </is>
      </c>
      <c r="B457" s="1" t="n">
        <v>44670</v>
      </c>
      <c r="C457" s="1" t="n">
        <v>45657</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16404-2022</t>
        </is>
      </c>
      <c r="B458" s="1" t="n">
        <v>44671</v>
      </c>
      <c r="C458" s="1" t="n">
        <v>45657</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16768-2022</t>
        </is>
      </c>
      <c r="B459" s="1" t="n">
        <v>44673</v>
      </c>
      <c r="C459" s="1" t="n">
        <v>45657</v>
      </c>
      <c r="D459" t="inlineStr">
        <is>
          <t>VÄSTMANLANDS LÄN</t>
        </is>
      </c>
      <c r="E459" t="inlineStr">
        <is>
          <t>SALA</t>
        </is>
      </c>
      <c r="G459" t="n">
        <v>4.7</v>
      </c>
      <c r="H459" t="n">
        <v>0</v>
      </c>
      <c r="I459" t="n">
        <v>0</v>
      </c>
      <c r="J459" t="n">
        <v>0</v>
      </c>
      <c r="K459" t="n">
        <v>0</v>
      </c>
      <c r="L459" t="n">
        <v>0</v>
      </c>
      <c r="M459" t="n">
        <v>0</v>
      </c>
      <c r="N459" t="n">
        <v>0</v>
      </c>
      <c r="O459" t="n">
        <v>0</v>
      </c>
      <c r="P459" t="n">
        <v>0</v>
      </c>
      <c r="Q459" t="n">
        <v>0</v>
      </c>
      <c r="R459" s="2" t="inlineStr"/>
    </row>
    <row r="460" ht="15" customHeight="1">
      <c r="A460" t="inlineStr">
        <is>
          <t>A 16905-2022</t>
        </is>
      </c>
      <c r="B460" s="1" t="n">
        <v>44676</v>
      </c>
      <c r="C460" s="1" t="n">
        <v>45657</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17897-2022</t>
        </is>
      </c>
      <c r="B461" s="1" t="n">
        <v>44683</v>
      </c>
      <c r="C461" s="1" t="n">
        <v>45657</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19058-2022</t>
        </is>
      </c>
      <c r="B462" s="1" t="n">
        <v>44691</v>
      </c>
      <c r="C462" s="1" t="n">
        <v>45657</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19065-2022</t>
        </is>
      </c>
      <c r="B463" s="1" t="n">
        <v>44691</v>
      </c>
      <c r="C463" s="1" t="n">
        <v>45657</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19751-2022</t>
        </is>
      </c>
      <c r="B464" s="1" t="n">
        <v>44694</v>
      </c>
      <c r="C464" s="1" t="n">
        <v>45657</v>
      </c>
      <c r="D464" t="inlineStr">
        <is>
          <t>VÄSTMANLANDS LÄN</t>
        </is>
      </c>
      <c r="E464" t="inlineStr">
        <is>
          <t>SALA</t>
        </is>
      </c>
      <c r="G464" t="n">
        <v>2.7</v>
      </c>
      <c r="H464" t="n">
        <v>0</v>
      </c>
      <c r="I464" t="n">
        <v>0</v>
      </c>
      <c r="J464" t="n">
        <v>0</v>
      </c>
      <c r="K464" t="n">
        <v>0</v>
      </c>
      <c r="L464" t="n">
        <v>0</v>
      </c>
      <c r="M464" t="n">
        <v>0</v>
      </c>
      <c r="N464" t="n">
        <v>0</v>
      </c>
      <c r="O464" t="n">
        <v>0</v>
      </c>
      <c r="P464" t="n">
        <v>0</v>
      </c>
      <c r="Q464" t="n">
        <v>0</v>
      </c>
      <c r="R464" s="2" t="inlineStr"/>
    </row>
    <row r="465" ht="15" customHeight="1">
      <c r="A465" t="inlineStr">
        <is>
          <t>A 19760-2022</t>
        </is>
      </c>
      <c r="B465" s="1" t="n">
        <v>44694</v>
      </c>
      <c r="C465" s="1" t="n">
        <v>45657</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20344-2022</t>
        </is>
      </c>
      <c r="B466" s="1" t="n">
        <v>44699</v>
      </c>
      <c r="C466" s="1" t="n">
        <v>45657</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20352-2022</t>
        </is>
      </c>
      <c r="B467" s="1" t="n">
        <v>44699</v>
      </c>
      <c r="C467" s="1" t="n">
        <v>45657</v>
      </c>
      <c r="D467" t="inlineStr">
        <is>
          <t>VÄSTMANLANDS LÄN</t>
        </is>
      </c>
      <c r="E467" t="inlineStr">
        <is>
          <t>SALA</t>
        </is>
      </c>
      <c r="G467" t="n">
        <v>1.3</v>
      </c>
      <c r="H467" t="n">
        <v>0</v>
      </c>
      <c r="I467" t="n">
        <v>0</v>
      </c>
      <c r="J467" t="n">
        <v>0</v>
      </c>
      <c r="K467" t="n">
        <v>0</v>
      </c>
      <c r="L467" t="n">
        <v>0</v>
      </c>
      <c r="M467" t="n">
        <v>0</v>
      </c>
      <c r="N467" t="n">
        <v>0</v>
      </c>
      <c r="O467" t="n">
        <v>0</v>
      </c>
      <c r="P467" t="n">
        <v>0</v>
      </c>
      <c r="Q467" t="n">
        <v>0</v>
      </c>
      <c r="R467" s="2" t="inlineStr"/>
    </row>
    <row r="468" ht="15" customHeight="1">
      <c r="A468" t="inlineStr">
        <is>
          <t>A 20875-2022</t>
        </is>
      </c>
      <c r="B468" s="1" t="n">
        <v>44701</v>
      </c>
      <c r="C468" s="1" t="n">
        <v>45657</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21055-2022</t>
        </is>
      </c>
      <c r="B469" s="1" t="n">
        <v>44704</v>
      </c>
      <c r="C469" s="1" t="n">
        <v>45657</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21053-2022</t>
        </is>
      </c>
      <c r="B470" s="1" t="n">
        <v>44704</v>
      </c>
      <c r="C470" s="1" t="n">
        <v>45657</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21159-2022</t>
        </is>
      </c>
      <c r="B471" s="1" t="n">
        <v>44704</v>
      </c>
      <c r="C471" s="1" t="n">
        <v>45657</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21777-2022</t>
        </is>
      </c>
      <c r="B472" s="1" t="n">
        <v>44708</v>
      </c>
      <c r="C472" s="1" t="n">
        <v>45657</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22397-2022</t>
        </is>
      </c>
      <c r="B473" s="1" t="n">
        <v>44713</v>
      </c>
      <c r="C473" s="1" t="n">
        <v>45657</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22575-2022</t>
        </is>
      </c>
      <c r="B474" s="1" t="n">
        <v>44713</v>
      </c>
      <c r="C474" s="1" t="n">
        <v>45657</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22562-2022</t>
        </is>
      </c>
      <c r="B475" s="1" t="n">
        <v>44713</v>
      </c>
      <c r="C475" s="1" t="n">
        <v>45657</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22811-2022</t>
        </is>
      </c>
      <c r="B476" s="1" t="n">
        <v>44715</v>
      </c>
      <c r="C476" s="1" t="n">
        <v>45657</v>
      </c>
      <c r="D476" t="inlineStr">
        <is>
          <t>VÄSTMANLANDS LÄN</t>
        </is>
      </c>
      <c r="E476" t="inlineStr">
        <is>
          <t>SALA</t>
        </is>
      </c>
      <c r="G476" t="n">
        <v>5</v>
      </c>
      <c r="H476" t="n">
        <v>0</v>
      </c>
      <c r="I476" t="n">
        <v>0</v>
      </c>
      <c r="J476" t="n">
        <v>0</v>
      </c>
      <c r="K476" t="n">
        <v>0</v>
      </c>
      <c r="L476" t="n">
        <v>0</v>
      </c>
      <c r="M476" t="n">
        <v>0</v>
      </c>
      <c r="N476" t="n">
        <v>0</v>
      </c>
      <c r="O476" t="n">
        <v>0</v>
      </c>
      <c r="P476" t="n">
        <v>0</v>
      </c>
      <c r="Q476" t="n">
        <v>0</v>
      </c>
      <c r="R476" s="2" t="inlineStr"/>
    </row>
    <row r="477" ht="15" customHeight="1">
      <c r="A477" t="inlineStr">
        <is>
          <t>A 23119-2022</t>
        </is>
      </c>
      <c r="B477" s="1" t="n">
        <v>44719</v>
      </c>
      <c r="C477" s="1" t="n">
        <v>45657</v>
      </c>
      <c r="D477" t="inlineStr">
        <is>
          <t>VÄSTMANLANDS LÄN</t>
        </is>
      </c>
      <c r="E477" t="inlineStr">
        <is>
          <t>SALA</t>
        </is>
      </c>
      <c r="G477" t="n">
        <v>7</v>
      </c>
      <c r="H477" t="n">
        <v>0</v>
      </c>
      <c r="I477" t="n">
        <v>0</v>
      </c>
      <c r="J477" t="n">
        <v>0</v>
      </c>
      <c r="K477" t="n">
        <v>0</v>
      </c>
      <c r="L477" t="n">
        <v>0</v>
      </c>
      <c r="M477" t="n">
        <v>0</v>
      </c>
      <c r="N477" t="n">
        <v>0</v>
      </c>
      <c r="O477" t="n">
        <v>0</v>
      </c>
      <c r="P477" t="n">
        <v>0</v>
      </c>
      <c r="Q477" t="n">
        <v>0</v>
      </c>
      <c r="R477" s="2" t="inlineStr"/>
    </row>
    <row r="478" ht="15" customHeight="1">
      <c r="A478" t="inlineStr">
        <is>
          <t>A 23181-2022</t>
        </is>
      </c>
      <c r="B478" s="1" t="n">
        <v>44719</v>
      </c>
      <c r="C478" s="1" t="n">
        <v>45657</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23180-2022</t>
        </is>
      </c>
      <c r="B479" s="1" t="n">
        <v>44719</v>
      </c>
      <c r="C479" s="1" t="n">
        <v>45657</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23182-2022</t>
        </is>
      </c>
      <c r="B480" s="1" t="n">
        <v>44719</v>
      </c>
      <c r="C480" s="1" t="n">
        <v>45657</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v>
      </c>
      <c r="C481" s="1" t="n">
        <v>45657</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23847-2022</t>
        </is>
      </c>
      <c r="B482" s="1" t="n">
        <v>44722</v>
      </c>
      <c r="C482" s="1" t="n">
        <v>45657</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24818-2022</t>
        </is>
      </c>
      <c r="B483" s="1" t="n">
        <v>44727</v>
      </c>
      <c r="C483" s="1" t="n">
        <v>45657</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24835-2022</t>
        </is>
      </c>
      <c r="B484" s="1" t="n">
        <v>44727</v>
      </c>
      <c r="C484" s="1" t="n">
        <v>45657</v>
      </c>
      <c r="D484" t="inlineStr">
        <is>
          <t>VÄSTMANLANDS LÄN</t>
        </is>
      </c>
      <c r="E484" t="inlineStr">
        <is>
          <t>SALA</t>
        </is>
      </c>
      <c r="G484" t="n">
        <v>5.8</v>
      </c>
      <c r="H484" t="n">
        <v>0</v>
      </c>
      <c r="I484" t="n">
        <v>0</v>
      </c>
      <c r="J484" t="n">
        <v>0</v>
      </c>
      <c r="K484" t="n">
        <v>0</v>
      </c>
      <c r="L484" t="n">
        <v>0</v>
      </c>
      <c r="M484" t="n">
        <v>0</v>
      </c>
      <c r="N484" t="n">
        <v>0</v>
      </c>
      <c r="O484" t="n">
        <v>0</v>
      </c>
      <c r="P484" t="n">
        <v>0</v>
      </c>
      <c r="Q484" t="n">
        <v>0</v>
      </c>
      <c r="R484" s="2" t="inlineStr"/>
    </row>
    <row r="485" ht="15" customHeight="1">
      <c r="A485" t="inlineStr">
        <is>
          <t>A 24882-2022</t>
        </is>
      </c>
      <c r="B485" s="1" t="n">
        <v>44728</v>
      </c>
      <c r="C485" s="1" t="n">
        <v>45657</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25603-2022</t>
        </is>
      </c>
      <c r="B486" s="1" t="n">
        <v>44732</v>
      </c>
      <c r="C486" s="1" t="n">
        <v>45657</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25748-2022</t>
        </is>
      </c>
      <c r="B487" s="1" t="n">
        <v>44732</v>
      </c>
      <c r="C487" s="1" t="n">
        <v>45657</v>
      </c>
      <c r="D487" t="inlineStr">
        <is>
          <t>VÄSTMANLANDS LÄN</t>
        </is>
      </c>
      <c r="E487" t="inlineStr">
        <is>
          <t>SALA</t>
        </is>
      </c>
      <c r="G487" t="n">
        <v>7.7</v>
      </c>
      <c r="H487" t="n">
        <v>0</v>
      </c>
      <c r="I487" t="n">
        <v>0</v>
      </c>
      <c r="J487" t="n">
        <v>0</v>
      </c>
      <c r="K487" t="n">
        <v>0</v>
      </c>
      <c r="L487" t="n">
        <v>0</v>
      </c>
      <c r="M487" t="n">
        <v>0</v>
      </c>
      <c r="N487" t="n">
        <v>0</v>
      </c>
      <c r="O487" t="n">
        <v>0</v>
      </c>
      <c r="P487" t="n">
        <v>0</v>
      </c>
      <c r="Q487" t="n">
        <v>0</v>
      </c>
      <c r="R487" s="2" t="inlineStr"/>
    </row>
    <row r="488" ht="15" customHeight="1">
      <c r="A488" t="inlineStr">
        <is>
          <t>A 27229-2022</t>
        </is>
      </c>
      <c r="B488" s="1" t="n">
        <v>44741</v>
      </c>
      <c r="C488" s="1" t="n">
        <v>45657</v>
      </c>
      <c r="D488" t="inlineStr">
        <is>
          <t>VÄSTMANLANDS LÄN</t>
        </is>
      </c>
      <c r="E488" t="inlineStr">
        <is>
          <t>SALA</t>
        </is>
      </c>
      <c r="F488" t="inlineStr">
        <is>
          <t>Kommuner</t>
        </is>
      </c>
      <c r="G488" t="n">
        <v>1.4</v>
      </c>
      <c r="H488" t="n">
        <v>0</v>
      </c>
      <c r="I488" t="n">
        <v>0</v>
      </c>
      <c r="J488" t="n">
        <v>0</v>
      </c>
      <c r="K488" t="n">
        <v>0</v>
      </c>
      <c r="L488" t="n">
        <v>0</v>
      </c>
      <c r="M488" t="n">
        <v>0</v>
      </c>
      <c r="N488" t="n">
        <v>0</v>
      </c>
      <c r="O488" t="n">
        <v>0</v>
      </c>
      <c r="P488" t="n">
        <v>0</v>
      </c>
      <c r="Q488" t="n">
        <v>0</v>
      </c>
      <c r="R488" s="2" t="inlineStr"/>
    </row>
    <row r="489" ht="15" customHeight="1">
      <c r="A489" t="inlineStr">
        <is>
          <t>A 27240-2022</t>
        </is>
      </c>
      <c r="B489" s="1" t="n">
        <v>44741</v>
      </c>
      <c r="C489" s="1" t="n">
        <v>45657</v>
      </c>
      <c r="D489" t="inlineStr">
        <is>
          <t>VÄSTMANLANDS LÄN</t>
        </is>
      </c>
      <c r="E489" t="inlineStr">
        <is>
          <t>SALA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27446-2022</t>
        </is>
      </c>
      <c r="B490" s="1" t="n">
        <v>44742</v>
      </c>
      <c r="C490" s="1" t="n">
        <v>45657</v>
      </c>
      <c r="D490" t="inlineStr">
        <is>
          <t>VÄSTMANLANDS LÄN</t>
        </is>
      </c>
      <c r="E490" t="inlineStr">
        <is>
          <t>SALA</t>
        </is>
      </c>
      <c r="G490" t="n">
        <v>6.7</v>
      </c>
      <c r="H490" t="n">
        <v>0</v>
      </c>
      <c r="I490" t="n">
        <v>0</v>
      </c>
      <c r="J490" t="n">
        <v>0</v>
      </c>
      <c r="K490" t="n">
        <v>0</v>
      </c>
      <c r="L490" t="n">
        <v>0</v>
      </c>
      <c r="M490" t="n">
        <v>0</v>
      </c>
      <c r="N490" t="n">
        <v>0</v>
      </c>
      <c r="O490" t="n">
        <v>0</v>
      </c>
      <c r="P490" t="n">
        <v>0</v>
      </c>
      <c r="Q490" t="n">
        <v>0</v>
      </c>
      <c r="R490" s="2" t="inlineStr"/>
    </row>
    <row r="491" ht="15" customHeight="1">
      <c r="A491" t="inlineStr">
        <is>
          <t>A 27528-2022</t>
        </is>
      </c>
      <c r="B491" s="1" t="n">
        <v>44742</v>
      </c>
      <c r="C491" s="1" t="n">
        <v>45657</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27486-2022</t>
        </is>
      </c>
      <c r="B492" s="1" t="n">
        <v>44742</v>
      </c>
      <c r="C492" s="1" t="n">
        <v>45657</v>
      </c>
      <c r="D492" t="inlineStr">
        <is>
          <t>VÄSTMANLANDS LÄN</t>
        </is>
      </c>
      <c r="E492" t="inlineStr">
        <is>
          <t>SALA</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28069-2022</t>
        </is>
      </c>
      <c r="B493" s="1" t="n">
        <v>44746</v>
      </c>
      <c r="C493" s="1" t="n">
        <v>45657</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28215-2022</t>
        </is>
      </c>
      <c r="B494" s="1" t="n">
        <v>44746</v>
      </c>
      <c r="C494" s="1" t="n">
        <v>45657</v>
      </c>
      <c r="D494" t="inlineStr">
        <is>
          <t>VÄSTMANLANDS LÄN</t>
        </is>
      </c>
      <c r="E494" t="inlineStr">
        <is>
          <t>SALA</t>
        </is>
      </c>
      <c r="F494" t="inlineStr">
        <is>
          <t>Kyrkan</t>
        </is>
      </c>
      <c r="G494" t="n">
        <v>1.9</v>
      </c>
      <c r="H494" t="n">
        <v>0</v>
      </c>
      <c r="I494" t="n">
        <v>0</v>
      </c>
      <c r="J494" t="n">
        <v>0</v>
      </c>
      <c r="K494" t="n">
        <v>0</v>
      </c>
      <c r="L494" t="n">
        <v>0</v>
      </c>
      <c r="M494" t="n">
        <v>0</v>
      </c>
      <c r="N494" t="n">
        <v>0</v>
      </c>
      <c r="O494" t="n">
        <v>0</v>
      </c>
      <c r="P494" t="n">
        <v>0</v>
      </c>
      <c r="Q494" t="n">
        <v>0</v>
      </c>
      <c r="R494" s="2" t="inlineStr"/>
    </row>
    <row r="495" ht="15" customHeight="1">
      <c r="A495" t="inlineStr">
        <is>
          <t>A 28402-2022</t>
        </is>
      </c>
      <c r="B495" s="1" t="n">
        <v>44747</v>
      </c>
      <c r="C495" s="1" t="n">
        <v>45657</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28863-2022</t>
        </is>
      </c>
      <c r="B496" s="1" t="n">
        <v>44749</v>
      </c>
      <c r="C496" s="1" t="n">
        <v>45657</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28875-2022</t>
        </is>
      </c>
      <c r="B497" s="1" t="n">
        <v>44749</v>
      </c>
      <c r="C497" s="1" t="n">
        <v>45657</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28999-2022</t>
        </is>
      </c>
      <c r="B498" s="1" t="n">
        <v>44749</v>
      </c>
      <c r="C498" s="1" t="n">
        <v>45657</v>
      </c>
      <c r="D498" t="inlineStr">
        <is>
          <t>VÄSTMANLANDS LÄN</t>
        </is>
      </c>
      <c r="E498" t="inlineStr">
        <is>
          <t>SALA</t>
        </is>
      </c>
      <c r="G498" t="n">
        <v>5.7</v>
      </c>
      <c r="H498" t="n">
        <v>0</v>
      </c>
      <c r="I498" t="n">
        <v>0</v>
      </c>
      <c r="J498" t="n">
        <v>0</v>
      </c>
      <c r="K498" t="n">
        <v>0</v>
      </c>
      <c r="L498" t="n">
        <v>0</v>
      </c>
      <c r="M498" t="n">
        <v>0</v>
      </c>
      <c r="N498" t="n">
        <v>0</v>
      </c>
      <c r="O498" t="n">
        <v>0</v>
      </c>
      <c r="P498" t="n">
        <v>0</v>
      </c>
      <c r="Q498" t="n">
        <v>0</v>
      </c>
      <c r="R498" s="2" t="inlineStr"/>
    </row>
    <row r="499" ht="15" customHeight="1">
      <c r="A499" t="inlineStr">
        <is>
          <t>A 28827-2022</t>
        </is>
      </c>
      <c r="B499" s="1" t="n">
        <v>44749</v>
      </c>
      <c r="C499" s="1" t="n">
        <v>45657</v>
      </c>
      <c r="D499" t="inlineStr">
        <is>
          <t>VÄSTMANLANDS LÄN</t>
        </is>
      </c>
      <c r="E499" t="inlineStr">
        <is>
          <t>SALA</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28873-2022</t>
        </is>
      </c>
      <c r="B500" s="1" t="n">
        <v>44749</v>
      </c>
      <c r="C500" s="1" t="n">
        <v>45657</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29002-2022</t>
        </is>
      </c>
      <c r="B501" s="1" t="n">
        <v>44749</v>
      </c>
      <c r="C501" s="1" t="n">
        <v>45657</v>
      </c>
      <c r="D501" t="inlineStr">
        <is>
          <t>VÄSTMANLANDS LÄN</t>
        </is>
      </c>
      <c r="E501" t="inlineStr">
        <is>
          <t>SALA</t>
        </is>
      </c>
      <c r="G501" t="n">
        <v>5.4</v>
      </c>
      <c r="H501" t="n">
        <v>0</v>
      </c>
      <c r="I501" t="n">
        <v>0</v>
      </c>
      <c r="J501" t="n">
        <v>0</v>
      </c>
      <c r="K501" t="n">
        <v>0</v>
      </c>
      <c r="L501" t="n">
        <v>0</v>
      </c>
      <c r="M501" t="n">
        <v>0</v>
      </c>
      <c r="N501" t="n">
        <v>0</v>
      </c>
      <c r="O501" t="n">
        <v>0</v>
      </c>
      <c r="P501" t="n">
        <v>0</v>
      </c>
      <c r="Q501" t="n">
        <v>0</v>
      </c>
      <c r="R501" s="2" t="inlineStr"/>
    </row>
    <row r="502" ht="15" customHeight="1">
      <c r="A502" t="inlineStr">
        <is>
          <t>A 28868-2022</t>
        </is>
      </c>
      <c r="B502" s="1" t="n">
        <v>44749</v>
      </c>
      <c r="C502" s="1" t="n">
        <v>45657</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28874-2022</t>
        </is>
      </c>
      <c r="B503" s="1" t="n">
        <v>44749</v>
      </c>
      <c r="C503" s="1" t="n">
        <v>45657</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28879-2022</t>
        </is>
      </c>
      <c r="B504" s="1" t="n">
        <v>44749</v>
      </c>
      <c r="C504" s="1" t="n">
        <v>45657</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29235-2022</t>
        </is>
      </c>
      <c r="B505" s="1" t="n">
        <v>44750</v>
      </c>
      <c r="C505" s="1" t="n">
        <v>45657</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29228-2022</t>
        </is>
      </c>
      <c r="B506" s="1" t="n">
        <v>44750</v>
      </c>
      <c r="C506" s="1" t="n">
        <v>45657</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29233-2022</t>
        </is>
      </c>
      <c r="B507" s="1" t="n">
        <v>44750</v>
      </c>
      <c r="C507" s="1" t="n">
        <v>45657</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29248-2022</t>
        </is>
      </c>
      <c r="B508" s="1" t="n">
        <v>44750</v>
      </c>
      <c r="C508" s="1" t="n">
        <v>45657</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29230-2022</t>
        </is>
      </c>
      <c r="B509" s="1" t="n">
        <v>44750</v>
      </c>
      <c r="C509" s="1" t="n">
        <v>45657</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29133-2022</t>
        </is>
      </c>
      <c r="B510" s="1" t="n">
        <v>44750</v>
      </c>
      <c r="C510" s="1" t="n">
        <v>45657</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29213-2022</t>
        </is>
      </c>
      <c r="B511" s="1" t="n">
        <v>44750</v>
      </c>
      <c r="C511" s="1" t="n">
        <v>45657</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29963-2022</t>
        </is>
      </c>
      <c r="B512" s="1" t="n">
        <v>44756</v>
      </c>
      <c r="C512" s="1" t="n">
        <v>45657</v>
      </c>
      <c r="D512" t="inlineStr">
        <is>
          <t>VÄSTMANLANDS LÄN</t>
        </is>
      </c>
      <c r="E512" t="inlineStr">
        <is>
          <t>SALA</t>
        </is>
      </c>
      <c r="G512" t="n">
        <v>2.3</v>
      </c>
      <c r="H512" t="n">
        <v>0</v>
      </c>
      <c r="I512" t="n">
        <v>0</v>
      </c>
      <c r="J512" t="n">
        <v>0</v>
      </c>
      <c r="K512" t="n">
        <v>0</v>
      </c>
      <c r="L512" t="n">
        <v>0</v>
      </c>
      <c r="M512" t="n">
        <v>0</v>
      </c>
      <c r="N512" t="n">
        <v>0</v>
      </c>
      <c r="O512" t="n">
        <v>0</v>
      </c>
      <c r="P512" t="n">
        <v>0</v>
      </c>
      <c r="Q512" t="n">
        <v>0</v>
      </c>
      <c r="R512" s="2" t="inlineStr"/>
    </row>
    <row r="513" ht="15" customHeight="1">
      <c r="A513" t="inlineStr">
        <is>
          <t>A 29965-2022</t>
        </is>
      </c>
      <c r="B513" s="1" t="n">
        <v>44756</v>
      </c>
      <c r="C513" s="1" t="n">
        <v>45657</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29982-2022</t>
        </is>
      </c>
      <c r="B514" s="1" t="n">
        <v>44756</v>
      </c>
      <c r="C514" s="1" t="n">
        <v>45657</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30360-2022</t>
        </is>
      </c>
      <c r="B515" s="1" t="n">
        <v>44760</v>
      </c>
      <c r="C515" s="1" t="n">
        <v>45657</v>
      </c>
      <c r="D515" t="inlineStr">
        <is>
          <t>VÄSTMANLANDS LÄN</t>
        </is>
      </c>
      <c r="E515" t="inlineStr">
        <is>
          <t>SALA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30442-2022</t>
        </is>
      </c>
      <c r="B516" s="1" t="n">
        <v>44761</v>
      </c>
      <c r="C516" s="1" t="n">
        <v>45657</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30971-2022</t>
        </is>
      </c>
      <c r="B517" s="1" t="n">
        <v>44768</v>
      </c>
      <c r="C517" s="1" t="n">
        <v>45657</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31000-2022</t>
        </is>
      </c>
      <c r="B518" s="1" t="n">
        <v>44768</v>
      </c>
      <c r="C518" s="1" t="n">
        <v>45657</v>
      </c>
      <c r="D518" t="inlineStr">
        <is>
          <t>VÄSTMANLANDS LÄN</t>
        </is>
      </c>
      <c r="E518" t="inlineStr">
        <is>
          <t>SALA</t>
        </is>
      </c>
      <c r="G518" t="n">
        <v>5.7</v>
      </c>
      <c r="H518" t="n">
        <v>0</v>
      </c>
      <c r="I518" t="n">
        <v>0</v>
      </c>
      <c r="J518" t="n">
        <v>0</v>
      </c>
      <c r="K518" t="n">
        <v>0</v>
      </c>
      <c r="L518" t="n">
        <v>0</v>
      </c>
      <c r="M518" t="n">
        <v>0</v>
      </c>
      <c r="N518" t="n">
        <v>0</v>
      </c>
      <c r="O518" t="n">
        <v>0</v>
      </c>
      <c r="P518" t="n">
        <v>0</v>
      </c>
      <c r="Q518" t="n">
        <v>0</v>
      </c>
      <c r="R518" s="2" t="inlineStr"/>
    </row>
    <row r="519" ht="15" customHeight="1">
      <c r="A519" t="inlineStr">
        <is>
          <t>A 31373-2022</t>
        </is>
      </c>
      <c r="B519" s="1" t="n">
        <v>44774</v>
      </c>
      <c r="C519" s="1" t="n">
        <v>45657</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31380-2022</t>
        </is>
      </c>
      <c r="B520" s="1" t="n">
        <v>44774</v>
      </c>
      <c r="C520" s="1" t="n">
        <v>45657</v>
      </c>
      <c r="D520" t="inlineStr">
        <is>
          <t>VÄSTMANLANDS LÄN</t>
        </is>
      </c>
      <c r="E520" t="inlineStr">
        <is>
          <t>SALA</t>
        </is>
      </c>
      <c r="G520" t="n">
        <v>4.7</v>
      </c>
      <c r="H520" t="n">
        <v>0</v>
      </c>
      <c r="I520" t="n">
        <v>0</v>
      </c>
      <c r="J520" t="n">
        <v>0</v>
      </c>
      <c r="K520" t="n">
        <v>0</v>
      </c>
      <c r="L520" t="n">
        <v>0</v>
      </c>
      <c r="M520" t="n">
        <v>0</v>
      </c>
      <c r="N520" t="n">
        <v>0</v>
      </c>
      <c r="O520" t="n">
        <v>0</v>
      </c>
      <c r="P520" t="n">
        <v>0</v>
      </c>
      <c r="Q520" t="n">
        <v>0</v>
      </c>
      <c r="R520" s="2" t="inlineStr"/>
    </row>
    <row r="521" ht="15" customHeight="1">
      <c r="A521" t="inlineStr">
        <is>
          <t>A 31387-2022</t>
        </is>
      </c>
      <c r="B521" s="1" t="n">
        <v>44774</v>
      </c>
      <c r="C521" s="1" t="n">
        <v>45657</v>
      </c>
      <c r="D521" t="inlineStr">
        <is>
          <t>VÄSTMANLANDS LÄN</t>
        </is>
      </c>
      <c r="E521" t="inlineStr">
        <is>
          <t>SALA</t>
        </is>
      </c>
      <c r="G521" t="n">
        <v>5.8</v>
      </c>
      <c r="H521" t="n">
        <v>0</v>
      </c>
      <c r="I521" t="n">
        <v>0</v>
      </c>
      <c r="J521" t="n">
        <v>0</v>
      </c>
      <c r="K521" t="n">
        <v>0</v>
      </c>
      <c r="L521" t="n">
        <v>0</v>
      </c>
      <c r="M521" t="n">
        <v>0</v>
      </c>
      <c r="N521" t="n">
        <v>0</v>
      </c>
      <c r="O521" t="n">
        <v>0</v>
      </c>
      <c r="P521" t="n">
        <v>0</v>
      </c>
      <c r="Q521" t="n">
        <v>0</v>
      </c>
      <c r="R521" s="2" t="inlineStr"/>
    </row>
    <row r="522" ht="15" customHeight="1">
      <c r="A522" t="inlineStr">
        <is>
          <t>A 31394-2022</t>
        </is>
      </c>
      <c r="B522" s="1" t="n">
        <v>44774</v>
      </c>
      <c r="C522" s="1" t="n">
        <v>45657</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33309-2022</t>
        </is>
      </c>
      <c r="B523" s="1" t="n">
        <v>44788</v>
      </c>
      <c r="C523" s="1" t="n">
        <v>45657</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34110-2022</t>
        </is>
      </c>
      <c r="B524" s="1" t="n">
        <v>44791</v>
      </c>
      <c r="C524" s="1" t="n">
        <v>45657</v>
      </c>
      <c r="D524" t="inlineStr">
        <is>
          <t>VÄSTMANLANDS LÄN</t>
        </is>
      </c>
      <c r="E524" t="inlineStr">
        <is>
          <t>SALA</t>
        </is>
      </c>
      <c r="G524" t="n">
        <v>0.2</v>
      </c>
      <c r="H524" t="n">
        <v>0</v>
      </c>
      <c r="I524" t="n">
        <v>0</v>
      </c>
      <c r="J524" t="n">
        <v>0</v>
      </c>
      <c r="K524" t="n">
        <v>0</v>
      </c>
      <c r="L524" t="n">
        <v>0</v>
      </c>
      <c r="M524" t="n">
        <v>0</v>
      </c>
      <c r="N524" t="n">
        <v>0</v>
      </c>
      <c r="O524" t="n">
        <v>0</v>
      </c>
      <c r="P524" t="n">
        <v>0</v>
      </c>
      <c r="Q524" t="n">
        <v>0</v>
      </c>
      <c r="R524" s="2" t="inlineStr"/>
    </row>
    <row r="525" ht="15" customHeight="1">
      <c r="A525" t="inlineStr">
        <is>
          <t>A 34468-2022</t>
        </is>
      </c>
      <c r="B525" s="1" t="n">
        <v>44792</v>
      </c>
      <c r="C525" s="1" t="n">
        <v>45657</v>
      </c>
      <c r="D525" t="inlineStr">
        <is>
          <t>VÄSTMANLANDS LÄN</t>
        </is>
      </c>
      <c r="E525" t="inlineStr">
        <is>
          <t>SALA</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34737-2022</t>
        </is>
      </c>
      <c r="B526" s="1" t="n">
        <v>44795</v>
      </c>
      <c r="C526" s="1" t="n">
        <v>45657</v>
      </c>
      <c r="D526" t="inlineStr">
        <is>
          <t>VÄSTMANLANDS LÄN</t>
        </is>
      </c>
      <c r="E526" t="inlineStr">
        <is>
          <t>SALA</t>
        </is>
      </c>
      <c r="G526" t="n">
        <v>1.3</v>
      </c>
      <c r="H526" t="n">
        <v>0</v>
      </c>
      <c r="I526" t="n">
        <v>0</v>
      </c>
      <c r="J526" t="n">
        <v>0</v>
      </c>
      <c r="K526" t="n">
        <v>0</v>
      </c>
      <c r="L526" t="n">
        <v>0</v>
      </c>
      <c r="M526" t="n">
        <v>0</v>
      </c>
      <c r="N526" t="n">
        <v>0</v>
      </c>
      <c r="O526" t="n">
        <v>0</v>
      </c>
      <c r="P526" t="n">
        <v>0</v>
      </c>
      <c r="Q526" t="n">
        <v>0</v>
      </c>
      <c r="R526" s="2" t="inlineStr"/>
    </row>
    <row r="527" ht="15" customHeight="1">
      <c r="A527" t="inlineStr">
        <is>
          <t>A 35410-2022</t>
        </is>
      </c>
      <c r="B527" s="1" t="n">
        <v>44798</v>
      </c>
      <c r="C527" s="1" t="n">
        <v>45657</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35637-2022</t>
        </is>
      </c>
      <c r="B528" s="1" t="n">
        <v>44799</v>
      </c>
      <c r="C528" s="1" t="n">
        <v>45657</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38081-2022</t>
        </is>
      </c>
      <c r="B529" s="1" t="n">
        <v>44811</v>
      </c>
      <c r="C529" s="1" t="n">
        <v>45657</v>
      </c>
      <c r="D529" t="inlineStr">
        <is>
          <t>VÄSTMANLANDS LÄN</t>
        </is>
      </c>
      <c r="E529" t="inlineStr">
        <is>
          <t>SALA</t>
        </is>
      </c>
      <c r="G529" t="n">
        <v>3.4</v>
      </c>
      <c r="H529" t="n">
        <v>0</v>
      </c>
      <c r="I529" t="n">
        <v>0</v>
      </c>
      <c r="J529" t="n">
        <v>0</v>
      </c>
      <c r="K529" t="n">
        <v>0</v>
      </c>
      <c r="L529" t="n">
        <v>0</v>
      </c>
      <c r="M529" t="n">
        <v>0</v>
      </c>
      <c r="N529" t="n">
        <v>0</v>
      </c>
      <c r="O529" t="n">
        <v>0</v>
      </c>
      <c r="P529" t="n">
        <v>0</v>
      </c>
      <c r="Q529" t="n">
        <v>0</v>
      </c>
      <c r="R529" s="2" t="inlineStr"/>
    </row>
    <row r="530" ht="15" customHeight="1">
      <c r="A530" t="inlineStr">
        <is>
          <t>A 38161-2022</t>
        </is>
      </c>
      <c r="B530" s="1" t="n">
        <v>44812</v>
      </c>
      <c r="C530" s="1" t="n">
        <v>45657</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39451-2022</t>
        </is>
      </c>
      <c r="B531" s="1" t="n">
        <v>44818</v>
      </c>
      <c r="C531" s="1" t="n">
        <v>45657</v>
      </c>
      <c r="D531" t="inlineStr">
        <is>
          <t>VÄSTMANLANDS LÄN</t>
        </is>
      </c>
      <c r="E531" t="inlineStr">
        <is>
          <t>SALA</t>
        </is>
      </c>
      <c r="G531" t="n">
        <v>9.4</v>
      </c>
      <c r="H531" t="n">
        <v>0</v>
      </c>
      <c r="I531" t="n">
        <v>0</v>
      </c>
      <c r="J531" t="n">
        <v>0</v>
      </c>
      <c r="K531" t="n">
        <v>0</v>
      </c>
      <c r="L531" t="n">
        <v>0</v>
      </c>
      <c r="M531" t="n">
        <v>0</v>
      </c>
      <c r="N531" t="n">
        <v>0</v>
      </c>
      <c r="O531" t="n">
        <v>0</v>
      </c>
      <c r="P531" t="n">
        <v>0</v>
      </c>
      <c r="Q531" t="n">
        <v>0</v>
      </c>
      <c r="R531" s="2" t="inlineStr"/>
    </row>
    <row r="532" ht="15" customHeight="1">
      <c r="A532" t="inlineStr">
        <is>
          <t>A 39600-2022</t>
        </is>
      </c>
      <c r="B532" s="1" t="n">
        <v>44818</v>
      </c>
      <c r="C532" s="1" t="n">
        <v>45657</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39597-2022</t>
        </is>
      </c>
      <c r="B533" s="1" t="n">
        <v>44818</v>
      </c>
      <c r="C533" s="1" t="n">
        <v>45657</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40094-2022</t>
        </is>
      </c>
      <c r="B534" s="1" t="n">
        <v>44819</v>
      </c>
      <c r="C534" s="1" t="n">
        <v>45657</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40113-2022</t>
        </is>
      </c>
      <c r="B535" s="1" t="n">
        <v>44819</v>
      </c>
      <c r="C535" s="1" t="n">
        <v>45657</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40405-2022</t>
        </is>
      </c>
      <c r="B536" s="1" t="n">
        <v>44823</v>
      </c>
      <c r="C536" s="1" t="n">
        <v>45657</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40597-2022</t>
        </is>
      </c>
      <c r="B537" s="1" t="n">
        <v>44823</v>
      </c>
      <c r="C537" s="1" t="n">
        <v>45657</v>
      </c>
      <c r="D537" t="inlineStr">
        <is>
          <t>VÄSTMANLANDS LÄN</t>
        </is>
      </c>
      <c r="E537" t="inlineStr">
        <is>
          <t>SALA</t>
        </is>
      </c>
      <c r="G537" t="n">
        <v>3.5</v>
      </c>
      <c r="H537" t="n">
        <v>0</v>
      </c>
      <c r="I537" t="n">
        <v>0</v>
      </c>
      <c r="J537" t="n">
        <v>0</v>
      </c>
      <c r="K537" t="n">
        <v>0</v>
      </c>
      <c r="L537" t="n">
        <v>0</v>
      </c>
      <c r="M537" t="n">
        <v>0</v>
      </c>
      <c r="N537" t="n">
        <v>0</v>
      </c>
      <c r="O537" t="n">
        <v>0</v>
      </c>
      <c r="P537" t="n">
        <v>0</v>
      </c>
      <c r="Q537" t="n">
        <v>0</v>
      </c>
      <c r="R537" s="2" t="inlineStr"/>
    </row>
    <row r="538" ht="15" customHeight="1">
      <c r="A538" t="inlineStr">
        <is>
          <t>A 41567-2022</t>
        </is>
      </c>
      <c r="B538" s="1" t="n">
        <v>44827</v>
      </c>
      <c r="C538" s="1" t="n">
        <v>45657</v>
      </c>
      <c r="D538" t="inlineStr">
        <is>
          <t>VÄSTMANLANDS LÄN</t>
        </is>
      </c>
      <c r="E538" t="inlineStr">
        <is>
          <t>SALA</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41876-2022</t>
        </is>
      </c>
      <c r="B539" s="1" t="n">
        <v>44830</v>
      </c>
      <c r="C539" s="1" t="n">
        <v>45657</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42416-2022</t>
        </is>
      </c>
      <c r="B540" s="1" t="n">
        <v>44831</v>
      </c>
      <c r="C540" s="1" t="n">
        <v>45657</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42447-2022</t>
        </is>
      </c>
      <c r="B541" s="1" t="n">
        <v>44831</v>
      </c>
      <c r="C541" s="1" t="n">
        <v>45657</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42414-2022</t>
        </is>
      </c>
      <c r="B542" s="1" t="n">
        <v>44831</v>
      </c>
      <c r="C542" s="1" t="n">
        <v>45657</v>
      </c>
      <c r="D542" t="inlineStr">
        <is>
          <t>VÄSTMANLANDS LÄN</t>
        </is>
      </c>
      <c r="E542" t="inlineStr">
        <is>
          <t>SALA</t>
        </is>
      </c>
      <c r="G542" t="n">
        <v>3.4</v>
      </c>
      <c r="H542" t="n">
        <v>0</v>
      </c>
      <c r="I542" t="n">
        <v>0</v>
      </c>
      <c r="J542" t="n">
        <v>0</v>
      </c>
      <c r="K542" t="n">
        <v>0</v>
      </c>
      <c r="L542" t="n">
        <v>0</v>
      </c>
      <c r="M542" t="n">
        <v>0</v>
      </c>
      <c r="N542" t="n">
        <v>0</v>
      </c>
      <c r="O542" t="n">
        <v>0</v>
      </c>
      <c r="P542" t="n">
        <v>0</v>
      </c>
      <c r="Q542" t="n">
        <v>0</v>
      </c>
      <c r="R542" s="2" t="inlineStr"/>
    </row>
    <row r="543" ht="15" customHeight="1">
      <c r="A543" t="inlineStr">
        <is>
          <t>A 43103-2022</t>
        </is>
      </c>
      <c r="B543" s="1" t="n">
        <v>44833</v>
      </c>
      <c r="C543" s="1" t="n">
        <v>45657</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43101-2022</t>
        </is>
      </c>
      <c r="B544" s="1" t="n">
        <v>44833</v>
      </c>
      <c r="C544" s="1" t="n">
        <v>45657</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44217-2022</t>
        </is>
      </c>
      <c r="B545" s="1" t="n">
        <v>44839</v>
      </c>
      <c r="C545" s="1" t="n">
        <v>45657</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44318-2022</t>
        </is>
      </c>
      <c r="B546" s="1" t="n">
        <v>44839</v>
      </c>
      <c r="C546" s="1" t="n">
        <v>45657</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44224-2022</t>
        </is>
      </c>
      <c r="B547" s="1" t="n">
        <v>44839</v>
      </c>
      <c r="C547" s="1" t="n">
        <v>45657</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44892-2022</t>
        </is>
      </c>
      <c r="B548" s="1" t="n">
        <v>44841</v>
      </c>
      <c r="C548" s="1" t="n">
        <v>45657</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45015-2022</t>
        </is>
      </c>
      <c r="B549" s="1" t="n">
        <v>44841</v>
      </c>
      <c r="C549" s="1" t="n">
        <v>45657</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44935-2022</t>
        </is>
      </c>
      <c r="B550" s="1" t="n">
        <v>44841</v>
      </c>
      <c r="C550" s="1" t="n">
        <v>45657</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45309-2022</t>
        </is>
      </c>
      <c r="B551" s="1" t="n">
        <v>44844</v>
      </c>
      <c r="C551" s="1" t="n">
        <v>45657</v>
      </c>
      <c r="D551" t="inlineStr">
        <is>
          <t>VÄSTMANLANDS LÄN</t>
        </is>
      </c>
      <c r="E551" t="inlineStr">
        <is>
          <t>SALA</t>
        </is>
      </c>
      <c r="G551" t="n">
        <v>10.9</v>
      </c>
      <c r="H551" t="n">
        <v>0</v>
      </c>
      <c r="I551" t="n">
        <v>0</v>
      </c>
      <c r="J551" t="n">
        <v>0</v>
      </c>
      <c r="K551" t="n">
        <v>0</v>
      </c>
      <c r="L551" t="n">
        <v>0</v>
      </c>
      <c r="M551" t="n">
        <v>0</v>
      </c>
      <c r="N551" t="n">
        <v>0</v>
      </c>
      <c r="O551" t="n">
        <v>0</v>
      </c>
      <c r="P551" t="n">
        <v>0</v>
      </c>
      <c r="Q551" t="n">
        <v>0</v>
      </c>
      <c r="R551" s="2" t="inlineStr"/>
    </row>
    <row r="552" ht="15" customHeight="1">
      <c r="A552" t="inlineStr">
        <is>
          <t>A 45517-2022</t>
        </is>
      </c>
      <c r="B552" s="1" t="n">
        <v>44845</v>
      </c>
      <c r="C552" s="1" t="n">
        <v>45657</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45615-2022</t>
        </is>
      </c>
      <c r="B553" s="1" t="n">
        <v>44845</v>
      </c>
      <c r="C553" s="1" t="n">
        <v>45657</v>
      </c>
      <c r="D553" t="inlineStr">
        <is>
          <t>VÄSTMANLANDS LÄN</t>
        </is>
      </c>
      <c r="E553" t="inlineStr">
        <is>
          <t>SALA</t>
        </is>
      </c>
      <c r="F553" t="inlineStr">
        <is>
          <t>Bergvik skog öst AB</t>
        </is>
      </c>
      <c r="G553" t="n">
        <v>10</v>
      </c>
      <c r="H553" t="n">
        <v>0</v>
      </c>
      <c r="I553" t="n">
        <v>0</v>
      </c>
      <c r="J553" t="n">
        <v>0</v>
      </c>
      <c r="K553" t="n">
        <v>0</v>
      </c>
      <c r="L553" t="n">
        <v>0</v>
      </c>
      <c r="M553" t="n">
        <v>0</v>
      </c>
      <c r="N553" t="n">
        <v>0</v>
      </c>
      <c r="O553" t="n">
        <v>0</v>
      </c>
      <c r="P553" t="n">
        <v>0</v>
      </c>
      <c r="Q553" t="n">
        <v>0</v>
      </c>
      <c r="R553" s="2" t="inlineStr"/>
    </row>
    <row r="554" ht="15" customHeight="1">
      <c r="A554" t="inlineStr">
        <is>
          <t>A 46264-2022</t>
        </is>
      </c>
      <c r="B554" s="1" t="n">
        <v>44847</v>
      </c>
      <c r="C554" s="1" t="n">
        <v>45657</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46460-2022</t>
        </is>
      </c>
      <c r="B555" s="1" t="n">
        <v>44848</v>
      </c>
      <c r="C555" s="1" t="n">
        <v>45657</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47086-2022</t>
        </is>
      </c>
      <c r="B556" s="1" t="n">
        <v>44852</v>
      </c>
      <c r="C556" s="1" t="n">
        <v>45657</v>
      </c>
      <c r="D556" t="inlineStr">
        <is>
          <t>VÄSTMANLANDS LÄN</t>
        </is>
      </c>
      <c r="E556" t="inlineStr">
        <is>
          <t>SALA</t>
        </is>
      </c>
      <c r="G556" t="n">
        <v>12.5</v>
      </c>
      <c r="H556" t="n">
        <v>0</v>
      </c>
      <c r="I556" t="n">
        <v>0</v>
      </c>
      <c r="J556" t="n">
        <v>0</v>
      </c>
      <c r="K556" t="n">
        <v>0</v>
      </c>
      <c r="L556" t="n">
        <v>0</v>
      </c>
      <c r="M556" t="n">
        <v>0</v>
      </c>
      <c r="N556" t="n">
        <v>0</v>
      </c>
      <c r="O556" t="n">
        <v>0</v>
      </c>
      <c r="P556" t="n">
        <v>0</v>
      </c>
      <c r="Q556" t="n">
        <v>0</v>
      </c>
      <c r="R556" s="2" t="inlineStr"/>
    </row>
    <row r="557" ht="15" customHeight="1">
      <c r="A557" t="inlineStr">
        <is>
          <t>A 47713-2022</t>
        </is>
      </c>
      <c r="B557" s="1" t="n">
        <v>44854</v>
      </c>
      <c r="C557" s="1" t="n">
        <v>45657</v>
      </c>
      <c r="D557" t="inlineStr">
        <is>
          <t>VÄSTMANLANDS LÄN</t>
        </is>
      </c>
      <c r="E557" t="inlineStr">
        <is>
          <t>SALA</t>
        </is>
      </c>
      <c r="G557" t="n">
        <v>3.4</v>
      </c>
      <c r="H557" t="n">
        <v>0</v>
      </c>
      <c r="I557" t="n">
        <v>0</v>
      </c>
      <c r="J557" t="n">
        <v>0</v>
      </c>
      <c r="K557" t="n">
        <v>0</v>
      </c>
      <c r="L557" t="n">
        <v>0</v>
      </c>
      <c r="M557" t="n">
        <v>0</v>
      </c>
      <c r="N557" t="n">
        <v>0</v>
      </c>
      <c r="O557" t="n">
        <v>0</v>
      </c>
      <c r="P557" t="n">
        <v>0</v>
      </c>
      <c r="Q557" t="n">
        <v>0</v>
      </c>
      <c r="R557" s="2" t="inlineStr"/>
    </row>
    <row r="558" ht="15" customHeight="1">
      <c r="A558" t="inlineStr">
        <is>
          <t>A 47715-2022</t>
        </is>
      </c>
      <c r="B558" s="1" t="n">
        <v>44854</v>
      </c>
      <c r="C558" s="1" t="n">
        <v>45657</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47909-2022</t>
        </is>
      </c>
      <c r="B559" s="1" t="n">
        <v>44855</v>
      </c>
      <c r="C559" s="1" t="n">
        <v>45657</v>
      </c>
      <c r="D559" t="inlineStr">
        <is>
          <t>VÄSTMANLANDS LÄN</t>
        </is>
      </c>
      <c r="E559" t="inlineStr">
        <is>
          <t>SALA</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48219-2022</t>
        </is>
      </c>
      <c r="B560" s="1" t="n">
        <v>44858</v>
      </c>
      <c r="C560" s="1" t="n">
        <v>45657</v>
      </c>
      <c r="D560" t="inlineStr">
        <is>
          <t>VÄSTMANLANDS LÄN</t>
        </is>
      </c>
      <c r="E560" t="inlineStr">
        <is>
          <t>SALA</t>
        </is>
      </c>
      <c r="G560" t="n">
        <v>3.6</v>
      </c>
      <c r="H560" t="n">
        <v>0</v>
      </c>
      <c r="I560" t="n">
        <v>0</v>
      </c>
      <c r="J560" t="n">
        <v>0</v>
      </c>
      <c r="K560" t="n">
        <v>0</v>
      </c>
      <c r="L560" t="n">
        <v>0</v>
      </c>
      <c r="M560" t="n">
        <v>0</v>
      </c>
      <c r="N560" t="n">
        <v>0</v>
      </c>
      <c r="O560" t="n">
        <v>0</v>
      </c>
      <c r="P560" t="n">
        <v>0</v>
      </c>
      <c r="Q560" t="n">
        <v>0</v>
      </c>
      <c r="R560" s="2" t="inlineStr"/>
    </row>
    <row r="561" ht="15" customHeight="1">
      <c r="A561" t="inlineStr">
        <is>
          <t>A 49086-2022</t>
        </is>
      </c>
      <c r="B561" s="1" t="n">
        <v>44860</v>
      </c>
      <c r="C561" s="1" t="n">
        <v>45657</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49254-2022</t>
        </is>
      </c>
      <c r="B562" s="1" t="n">
        <v>44861</v>
      </c>
      <c r="C562" s="1" t="n">
        <v>45657</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50461-2022</t>
        </is>
      </c>
      <c r="B563" s="1" t="n">
        <v>44861</v>
      </c>
      <c r="C563" s="1" t="n">
        <v>45657</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45657</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51279-2022</t>
        </is>
      </c>
      <c r="B565" s="1" t="n">
        <v>44866</v>
      </c>
      <c r="C565" s="1" t="n">
        <v>45657</v>
      </c>
      <c r="D565" t="inlineStr">
        <is>
          <t>VÄSTMANLANDS LÄN</t>
        </is>
      </c>
      <c r="E565" t="inlineStr">
        <is>
          <t>SALA</t>
        </is>
      </c>
      <c r="G565" t="n">
        <v>3.9</v>
      </c>
      <c r="H565" t="n">
        <v>0</v>
      </c>
      <c r="I565" t="n">
        <v>0</v>
      </c>
      <c r="J565" t="n">
        <v>0</v>
      </c>
      <c r="K565" t="n">
        <v>0</v>
      </c>
      <c r="L565" t="n">
        <v>0</v>
      </c>
      <c r="M565" t="n">
        <v>0</v>
      </c>
      <c r="N565" t="n">
        <v>0</v>
      </c>
      <c r="O565" t="n">
        <v>0</v>
      </c>
      <c r="P565" t="n">
        <v>0</v>
      </c>
      <c r="Q565" t="n">
        <v>0</v>
      </c>
      <c r="R565" s="2" t="inlineStr"/>
    </row>
    <row r="566" ht="15" customHeight="1">
      <c r="A566" t="inlineStr">
        <is>
          <t>A 51377-2022</t>
        </is>
      </c>
      <c r="B566" s="1" t="n">
        <v>44866</v>
      </c>
      <c r="C566" s="1" t="n">
        <v>45657</v>
      </c>
      <c r="D566" t="inlineStr">
        <is>
          <t>VÄSTMANLANDS LÄN</t>
        </is>
      </c>
      <c r="E566" t="inlineStr">
        <is>
          <t>SALA</t>
        </is>
      </c>
      <c r="G566" t="n">
        <v>6.3</v>
      </c>
      <c r="H566" t="n">
        <v>0</v>
      </c>
      <c r="I566" t="n">
        <v>0</v>
      </c>
      <c r="J566" t="n">
        <v>0</v>
      </c>
      <c r="K566" t="n">
        <v>0</v>
      </c>
      <c r="L566" t="n">
        <v>0</v>
      </c>
      <c r="M566" t="n">
        <v>0</v>
      </c>
      <c r="N566" t="n">
        <v>0</v>
      </c>
      <c r="O566" t="n">
        <v>0</v>
      </c>
      <c r="P566" t="n">
        <v>0</v>
      </c>
      <c r="Q566" t="n">
        <v>0</v>
      </c>
      <c r="R566" s="2" t="inlineStr"/>
    </row>
    <row r="567" ht="15" customHeight="1">
      <c r="A567" t="inlineStr">
        <is>
          <t>A 50795-2022</t>
        </is>
      </c>
      <c r="B567" s="1" t="n">
        <v>44867</v>
      </c>
      <c r="C567" s="1" t="n">
        <v>45657</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51600-2022</t>
        </is>
      </c>
      <c r="B568" s="1" t="n">
        <v>44871</v>
      </c>
      <c r="C568" s="1" t="n">
        <v>45657</v>
      </c>
      <c r="D568" t="inlineStr">
        <is>
          <t>VÄSTMANLANDS LÄN</t>
        </is>
      </c>
      <c r="E568" t="inlineStr">
        <is>
          <t>SALA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51596-2022</t>
        </is>
      </c>
      <c r="B569" s="1" t="n">
        <v>44871</v>
      </c>
      <c r="C569" s="1" t="n">
        <v>45657</v>
      </c>
      <c r="D569" t="inlineStr">
        <is>
          <t>VÄSTMANLANDS LÄN</t>
        </is>
      </c>
      <c r="E569" t="inlineStr">
        <is>
          <t>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52504-2022</t>
        </is>
      </c>
      <c r="B570" s="1" t="n">
        <v>44874</v>
      </c>
      <c r="C570" s="1" t="n">
        <v>45657</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52498-2022</t>
        </is>
      </c>
      <c r="B571" s="1" t="n">
        <v>44874</v>
      </c>
      <c r="C571" s="1" t="n">
        <v>45657</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52630-2022</t>
        </is>
      </c>
      <c r="B572" s="1" t="n">
        <v>44874</v>
      </c>
      <c r="C572" s="1" t="n">
        <v>45657</v>
      </c>
      <c r="D572" t="inlineStr">
        <is>
          <t>VÄSTMANLANDS LÄN</t>
        </is>
      </c>
      <c r="E572" t="inlineStr">
        <is>
          <t>SALA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53425-2022</t>
        </is>
      </c>
      <c r="B573" s="1" t="n">
        <v>44879</v>
      </c>
      <c r="C573" s="1" t="n">
        <v>45657</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53432-2022</t>
        </is>
      </c>
      <c r="B574" s="1" t="n">
        <v>44879</v>
      </c>
      <c r="C574" s="1" t="n">
        <v>45657</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v>
      </c>
      <c r="C575" s="1" t="n">
        <v>45657</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53630-2022</t>
        </is>
      </c>
      <c r="B576" s="1" t="n">
        <v>44879</v>
      </c>
      <c r="C576" s="1" t="n">
        <v>45657</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53864-2022</t>
        </is>
      </c>
      <c r="B577" s="1" t="n">
        <v>44880</v>
      </c>
      <c r="C577" s="1" t="n">
        <v>45657</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v>
      </c>
      <c r="C578" s="1" t="n">
        <v>45657</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53838-2022</t>
        </is>
      </c>
      <c r="B579" s="1" t="n">
        <v>44880</v>
      </c>
      <c r="C579" s="1" t="n">
        <v>45657</v>
      </c>
      <c r="D579" t="inlineStr">
        <is>
          <t>VÄSTMANLANDS LÄN</t>
        </is>
      </c>
      <c r="E579" t="inlineStr">
        <is>
          <t>SALA</t>
        </is>
      </c>
      <c r="G579" t="n">
        <v>3.9</v>
      </c>
      <c r="H579" t="n">
        <v>0</v>
      </c>
      <c r="I579" t="n">
        <v>0</v>
      </c>
      <c r="J579" t="n">
        <v>0</v>
      </c>
      <c r="K579" t="n">
        <v>0</v>
      </c>
      <c r="L579" t="n">
        <v>0</v>
      </c>
      <c r="M579" t="n">
        <v>0</v>
      </c>
      <c r="N579" t="n">
        <v>0</v>
      </c>
      <c r="O579" t="n">
        <v>0</v>
      </c>
      <c r="P579" t="n">
        <v>0</v>
      </c>
      <c r="Q579" t="n">
        <v>0</v>
      </c>
      <c r="R579" s="2" t="inlineStr"/>
    </row>
    <row r="580" ht="15" customHeight="1">
      <c r="A580" t="inlineStr">
        <is>
          <t>A 53997-2022</t>
        </is>
      </c>
      <c r="B580" s="1" t="n">
        <v>44881</v>
      </c>
      <c r="C580" s="1" t="n">
        <v>45657</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55733-2022</t>
        </is>
      </c>
      <c r="B581" s="1" t="n">
        <v>44888</v>
      </c>
      <c r="C581" s="1" t="n">
        <v>45657</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56089-2022</t>
        </is>
      </c>
      <c r="B582" s="1" t="n">
        <v>44889</v>
      </c>
      <c r="C582" s="1" t="n">
        <v>45657</v>
      </c>
      <c r="D582" t="inlineStr">
        <is>
          <t>VÄSTMANLANDS LÄN</t>
        </is>
      </c>
      <c r="E582" t="inlineStr">
        <is>
          <t>SALA</t>
        </is>
      </c>
      <c r="F582" t="inlineStr">
        <is>
          <t>Sveaskog</t>
        </is>
      </c>
      <c r="G582" t="n">
        <v>4.3</v>
      </c>
      <c r="H582" t="n">
        <v>0</v>
      </c>
      <c r="I582" t="n">
        <v>0</v>
      </c>
      <c r="J582" t="n">
        <v>0</v>
      </c>
      <c r="K582" t="n">
        <v>0</v>
      </c>
      <c r="L582" t="n">
        <v>0</v>
      </c>
      <c r="M582" t="n">
        <v>0</v>
      </c>
      <c r="N582" t="n">
        <v>0</v>
      </c>
      <c r="O582" t="n">
        <v>0</v>
      </c>
      <c r="P582" t="n">
        <v>0</v>
      </c>
      <c r="Q582" t="n">
        <v>0</v>
      </c>
      <c r="R582" s="2" t="inlineStr"/>
    </row>
    <row r="583" ht="15" customHeight="1">
      <c r="A583" t="inlineStr">
        <is>
          <t>A 56088-2022</t>
        </is>
      </c>
      <c r="B583" s="1" t="n">
        <v>44889</v>
      </c>
      <c r="C583" s="1" t="n">
        <v>45657</v>
      </c>
      <c r="D583" t="inlineStr">
        <is>
          <t>VÄSTMANLANDS LÄN</t>
        </is>
      </c>
      <c r="E583" t="inlineStr">
        <is>
          <t>SALA</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56234-2022</t>
        </is>
      </c>
      <c r="B584" s="1" t="n">
        <v>44890</v>
      </c>
      <c r="C584" s="1" t="n">
        <v>45657</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56242-2022</t>
        </is>
      </c>
      <c r="B585" s="1" t="n">
        <v>44890</v>
      </c>
      <c r="C585" s="1" t="n">
        <v>45657</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v>
      </c>
      <c r="C586" s="1" t="n">
        <v>45657</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56706-2022</t>
        </is>
      </c>
      <c r="B587" s="1" t="n">
        <v>44893</v>
      </c>
      <c r="C587" s="1" t="n">
        <v>45657</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56547-2022</t>
        </is>
      </c>
      <c r="B588" s="1" t="n">
        <v>44893</v>
      </c>
      <c r="C588" s="1" t="n">
        <v>45657</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56707-2022</t>
        </is>
      </c>
      <c r="B589" s="1" t="n">
        <v>44893</v>
      </c>
      <c r="C589" s="1" t="n">
        <v>45657</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56977-2022</t>
        </is>
      </c>
      <c r="B590" s="1" t="n">
        <v>44894</v>
      </c>
      <c r="C590" s="1" t="n">
        <v>45657</v>
      </c>
      <c r="D590" t="inlineStr">
        <is>
          <t>VÄSTMANLANDS LÄN</t>
        </is>
      </c>
      <c r="E590" t="inlineStr">
        <is>
          <t>SALA</t>
        </is>
      </c>
      <c r="G590" t="n">
        <v>13</v>
      </c>
      <c r="H590" t="n">
        <v>0</v>
      </c>
      <c r="I590" t="n">
        <v>0</v>
      </c>
      <c r="J590" t="n">
        <v>0</v>
      </c>
      <c r="K590" t="n">
        <v>0</v>
      </c>
      <c r="L590" t="n">
        <v>0</v>
      </c>
      <c r="M590" t="n">
        <v>0</v>
      </c>
      <c r="N590" t="n">
        <v>0</v>
      </c>
      <c r="O590" t="n">
        <v>0</v>
      </c>
      <c r="P590" t="n">
        <v>0</v>
      </c>
      <c r="Q590" t="n">
        <v>0</v>
      </c>
      <c r="R590" s="2" t="inlineStr"/>
    </row>
    <row r="591" ht="15" customHeight="1">
      <c r="A591" t="inlineStr">
        <is>
          <t>A 57371-2022</t>
        </is>
      </c>
      <c r="B591" s="1" t="n">
        <v>44896</v>
      </c>
      <c r="C591" s="1" t="n">
        <v>45657</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58076-2022</t>
        </is>
      </c>
      <c r="B592" s="1" t="n">
        <v>44900</v>
      </c>
      <c r="C592" s="1" t="n">
        <v>45657</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58496-2022</t>
        </is>
      </c>
      <c r="B593" s="1" t="n">
        <v>44902</v>
      </c>
      <c r="C593" s="1" t="n">
        <v>45657</v>
      </c>
      <c r="D593" t="inlineStr">
        <is>
          <t>VÄSTMANLANDS LÄN</t>
        </is>
      </c>
      <c r="E593" t="inlineStr">
        <is>
          <t>SALA</t>
        </is>
      </c>
      <c r="G593" t="n">
        <v>5.9</v>
      </c>
      <c r="H593" t="n">
        <v>0</v>
      </c>
      <c r="I593" t="n">
        <v>0</v>
      </c>
      <c r="J593" t="n">
        <v>0</v>
      </c>
      <c r="K593" t="n">
        <v>0</v>
      </c>
      <c r="L593" t="n">
        <v>0</v>
      </c>
      <c r="M593" t="n">
        <v>0</v>
      </c>
      <c r="N593" t="n">
        <v>0</v>
      </c>
      <c r="O593" t="n">
        <v>0</v>
      </c>
      <c r="P593" t="n">
        <v>0</v>
      </c>
      <c r="Q593" t="n">
        <v>0</v>
      </c>
      <c r="R593" s="2" t="inlineStr"/>
    </row>
    <row r="594" ht="15" customHeight="1">
      <c r="A594" t="inlineStr">
        <is>
          <t>A 58502-2022</t>
        </is>
      </c>
      <c r="B594" s="1" t="n">
        <v>44902</v>
      </c>
      <c r="C594" s="1" t="n">
        <v>45657</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59019-2022</t>
        </is>
      </c>
      <c r="B595" s="1" t="n">
        <v>44903</v>
      </c>
      <c r="C595" s="1" t="n">
        <v>45657</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59175-2022</t>
        </is>
      </c>
      <c r="B596" s="1" t="n">
        <v>44904</v>
      </c>
      <c r="C596" s="1" t="n">
        <v>45657</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59483-2022</t>
        </is>
      </c>
      <c r="B597" s="1" t="n">
        <v>44907</v>
      </c>
      <c r="C597" s="1" t="n">
        <v>45657</v>
      </c>
      <c r="D597" t="inlineStr">
        <is>
          <t>VÄSTMANLANDS LÄN</t>
        </is>
      </c>
      <c r="E597" t="inlineStr">
        <is>
          <t>SALA</t>
        </is>
      </c>
      <c r="G597" t="n">
        <v>5.2</v>
      </c>
      <c r="H597" t="n">
        <v>0</v>
      </c>
      <c r="I597" t="n">
        <v>0</v>
      </c>
      <c r="J597" t="n">
        <v>0</v>
      </c>
      <c r="K597" t="n">
        <v>0</v>
      </c>
      <c r="L597" t="n">
        <v>0</v>
      </c>
      <c r="M597" t="n">
        <v>0</v>
      </c>
      <c r="N597" t="n">
        <v>0</v>
      </c>
      <c r="O597" t="n">
        <v>0</v>
      </c>
      <c r="P597" t="n">
        <v>0</v>
      </c>
      <c r="Q597" t="n">
        <v>0</v>
      </c>
      <c r="R597" s="2" t="inlineStr"/>
    </row>
    <row r="598" ht="15" customHeight="1">
      <c r="A598" t="inlineStr">
        <is>
          <t>A 60156-2022</t>
        </is>
      </c>
      <c r="B598" s="1" t="n">
        <v>44909</v>
      </c>
      <c r="C598" s="1" t="n">
        <v>45657</v>
      </c>
      <c r="D598" t="inlineStr">
        <is>
          <t>VÄSTMANLANDS LÄN</t>
        </is>
      </c>
      <c r="E598" t="inlineStr">
        <is>
          <t>SALA</t>
        </is>
      </c>
      <c r="G598" t="n">
        <v>3.4</v>
      </c>
      <c r="H598" t="n">
        <v>0</v>
      </c>
      <c r="I598" t="n">
        <v>0</v>
      </c>
      <c r="J598" t="n">
        <v>0</v>
      </c>
      <c r="K598" t="n">
        <v>0</v>
      </c>
      <c r="L598" t="n">
        <v>0</v>
      </c>
      <c r="M598" t="n">
        <v>0</v>
      </c>
      <c r="N598" t="n">
        <v>0</v>
      </c>
      <c r="O598" t="n">
        <v>0</v>
      </c>
      <c r="P598" t="n">
        <v>0</v>
      </c>
      <c r="Q598" t="n">
        <v>0</v>
      </c>
      <c r="R598" s="2" t="inlineStr"/>
    </row>
    <row r="599" ht="15" customHeight="1">
      <c r="A599" t="inlineStr">
        <is>
          <t>A 60379-2022</t>
        </is>
      </c>
      <c r="B599" s="1" t="n">
        <v>44910</v>
      </c>
      <c r="C599" s="1" t="n">
        <v>45657</v>
      </c>
      <c r="D599" t="inlineStr">
        <is>
          <t>VÄSTMANLANDS LÄN</t>
        </is>
      </c>
      <c r="E599" t="inlineStr">
        <is>
          <t>SALA</t>
        </is>
      </c>
      <c r="F599" t="inlineStr">
        <is>
          <t>Kyrkan</t>
        </is>
      </c>
      <c r="G599" t="n">
        <v>2.5</v>
      </c>
      <c r="H599" t="n">
        <v>0</v>
      </c>
      <c r="I599" t="n">
        <v>0</v>
      </c>
      <c r="J599" t="n">
        <v>0</v>
      </c>
      <c r="K599" t="n">
        <v>0</v>
      </c>
      <c r="L599" t="n">
        <v>0</v>
      </c>
      <c r="M599" t="n">
        <v>0</v>
      </c>
      <c r="N599" t="n">
        <v>0</v>
      </c>
      <c r="O599" t="n">
        <v>0</v>
      </c>
      <c r="P599" t="n">
        <v>0</v>
      </c>
      <c r="Q599" t="n">
        <v>0</v>
      </c>
      <c r="R599" s="2" t="inlineStr"/>
    </row>
    <row r="600" ht="15" customHeight="1">
      <c r="A600" t="inlineStr">
        <is>
          <t>A 60703-2022</t>
        </is>
      </c>
      <c r="B600" s="1" t="n">
        <v>44912</v>
      </c>
      <c r="C600" s="1" t="n">
        <v>45657</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60974-2022</t>
        </is>
      </c>
      <c r="B601" s="1" t="n">
        <v>44914</v>
      </c>
      <c r="C601" s="1" t="n">
        <v>45657</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62635-2022</t>
        </is>
      </c>
      <c r="B602" s="1" t="n">
        <v>44917</v>
      </c>
      <c r="C602" s="1" t="n">
        <v>45657</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62654-2022</t>
        </is>
      </c>
      <c r="B603" s="1" t="n">
        <v>44917</v>
      </c>
      <c r="C603" s="1" t="n">
        <v>45657</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62651-2022</t>
        </is>
      </c>
      <c r="B604" s="1" t="n">
        <v>44917</v>
      </c>
      <c r="C604" s="1" t="n">
        <v>45657</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62648-2022</t>
        </is>
      </c>
      <c r="B605" s="1" t="n">
        <v>44917</v>
      </c>
      <c r="C605" s="1" t="n">
        <v>45657</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61985-2022</t>
        </is>
      </c>
      <c r="B606" s="1" t="n">
        <v>44918</v>
      </c>
      <c r="C606" s="1" t="n">
        <v>45657</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62292-2022</t>
        </is>
      </c>
      <c r="B607" s="1" t="n">
        <v>44923</v>
      </c>
      <c r="C607" s="1" t="n">
        <v>45657</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62300-2022</t>
        </is>
      </c>
      <c r="B608" s="1" t="n">
        <v>44923</v>
      </c>
      <c r="C608" s="1" t="n">
        <v>45657</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1196-2023</t>
        </is>
      </c>
      <c r="B609" s="1" t="n">
        <v>44935</v>
      </c>
      <c r="C609" s="1" t="n">
        <v>45657</v>
      </c>
      <c r="D609" t="inlineStr">
        <is>
          <t>VÄSTMANLANDS LÄN</t>
        </is>
      </c>
      <c r="E609" t="inlineStr">
        <is>
          <t>SALA</t>
        </is>
      </c>
      <c r="G609" t="n">
        <v>4.1</v>
      </c>
      <c r="H609" t="n">
        <v>0</v>
      </c>
      <c r="I609" t="n">
        <v>0</v>
      </c>
      <c r="J609" t="n">
        <v>0</v>
      </c>
      <c r="K609" t="n">
        <v>0</v>
      </c>
      <c r="L609" t="n">
        <v>0</v>
      </c>
      <c r="M609" t="n">
        <v>0</v>
      </c>
      <c r="N609" t="n">
        <v>0</v>
      </c>
      <c r="O609" t="n">
        <v>0</v>
      </c>
      <c r="P609" t="n">
        <v>0</v>
      </c>
      <c r="Q609" t="n">
        <v>0</v>
      </c>
      <c r="R609" s="2" t="inlineStr"/>
    </row>
    <row r="610" ht="15" customHeight="1">
      <c r="A610" t="inlineStr">
        <is>
          <t>A 1638-2023</t>
        </is>
      </c>
      <c r="B610" s="1" t="n">
        <v>44937</v>
      </c>
      <c r="C610" s="1" t="n">
        <v>45657</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1793-2023</t>
        </is>
      </c>
      <c r="B611" s="1" t="n">
        <v>44937</v>
      </c>
      <c r="C611" s="1" t="n">
        <v>45657</v>
      </c>
      <c r="D611" t="inlineStr">
        <is>
          <t>VÄSTMANLANDS LÄN</t>
        </is>
      </c>
      <c r="E611" t="inlineStr">
        <is>
          <t>SALA</t>
        </is>
      </c>
      <c r="G611" t="n">
        <v>2.6</v>
      </c>
      <c r="H611" t="n">
        <v>0</v>
      </c>
      <c r="I611" t="n">
        <v>0</v>
      </c>
      <c r="J611" t="n">
        <v>0</v>
      </c>
      <c r="K611" t="n">
        <v>0</v>
      </c>
      <c r="L611" t="n">
        <v>0</v>
      </c>
      <c r="M611" t="n">
        <v>0</v>
      </c>
      <c r="N611" t="n">
        <v>0</v>
      </c>
      <c r="O611" t="n">
        <v>0</v>
      </c>
      <c r="P611" t="n">
        <v>0</v>
      </c>
      <c r="Q611" t="n">
        <v>0</v>
      </c>
      <c r="R611" s="2" t="inlineStr"/>
    </row>
    <row r="612" ht="15" customHeight="1">
      <c r="A612" t="inlineStr">
        <is>
          <t>A 1934-2023</t>
        </is>
      </c>
      <c r="B612" s="1" t="n">
        <v>44939</v>
      </c>
      <c r="C612" s="1" t="n">
        <v>45657</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1967-2023</t>
        </is>
      </c>
      <c r="B613" s="1" t="n">
        <v>44939</v>
      </c>
      <c r="C613" s="1" t="n">
        <v>45657</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2521-2023</t>
        </is>
      </c>
      <c r="B614" s="1" t="n">
        <v>44943</v>
      </c>
      <c r="C614" s="1" t="n">
        <v>45657</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2900-2023</t>
        </is>
      </c>
      <c r="B615" s="1" t="n">
        <v>44943</v>
      </c>
      <c r="C615" s="1" t="n">
        <v>45657</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3733-2023</t>
        </is>
      </c>
      <c r="B616" s="1" t="n">
        <v>44951</v>
      </c>
      <c r="C616" s="1" t="n">
        <v>45657</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3810-2023</t>
        </is>
      </c>
      <c r="B617" s="1" t="n">
        <v>44951</v>
      </c>
      <c r="C617" s="1" t="n">
        <v>45657</v>
      </c>
      <c r="D617" t="inlineStr">
        <is>
          <t>VÄSTMANLANDS LÄN</t>
        </is>
      </c>
      <c r="E617" t="inlineStr">
        <is>
          <t>SALA</t>
        </is>
      </c>
      <c r="G617" t="n">
        <v>4.2</v>
      </c>
      <c r="H617" t="n">
        <v>0</v>
      </c>
      <c r="I617" t="n">
        <v>0</v>
      </c>
      <c r="J617" t="n">
        <v>0</v>
      </c>
      <c r="K617" t="n">
        <v>0</v>
      </c>
      <c r="L617" t="n">
        <v>0</v>
      </c>
      <c r="M617" t="n">
        <v>0</v>
      </c>
      <c r="N617" t="n">
        <v>0</v>
      </c>
      <c r="O617" t="n">
        <v>0</v>
      </c>
      <c r="P617" t="n">
        <v>0</v>
      </c>
      <c r="Q617" t="n">
        <v>0</v>
      </c>
      <c r="R617" s="2" t="inlineStr"/>
    </row>
    <row r="618" ht="15" customHeight="1">
      <c r="A618" t="inlineStr">
        <is>
          <t>A 3866-2023</t>
        </is>
      </c>
      <c r="B618" s="1" t="n">
        <v>44951</v>
      </c>
      <c r="C618" s="1" t="n">
        <v>45657</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4853-2023</t>
        </is>
      </c>
      <c r="B619" s="1" t="n">
        <v>44957</v>
      </c>
      <c r="C619" s="1" t="n">
        <v>45657</v>
      </c>
      <c r="D619" t="inlineStr">
        <is>
          <t>VÄSTMANLANDS LÄN</t>
        </is>
      </c>
      <c r="E619" t="inlineStr">
        <is>
          <t>SALA</t>
        </is>
      </c>
      <c r="G619" t="n">
        <v>2.7</v>
      </c>
      <c r="H619" t="n">
        <v>0</v>
      </c>
      <c r="I619" t="n">
        <v>0</v>
      </c>
      <c r="J619" t="n">
        <v>0</v>
      </c>
      <c r="K619" t="n">
        <v>0</v>
      </c>
      <c r="L619" t="n">
        <v>0</v>
      </c>
      <c r="M619" t="n">
        <v>0</v>
      </c>
      <c r="N619" t="n">
        <v>0</v>
      </c>
      <c r="O619" t="n">
        <v>0</v>
      </c>
      <c r="P619" t="n">
        <v>0</v>
      </c>
      <c r="Q619" t="n">
        <v>0</v>
      </c>
      <c r="R619" s="2" t="inlineStr"/>
    </row>
    <row r="620" ht="15" customHeight="1">
      <c r="A620" t="inlineStr">
        <is>
          <t>A 4637-2023</t>
        </is>
      </c>
      <c r="B620" s="1" t="n">
        <v>44957</v>
      </c>
      <c r="C620" s="1" t="n">
        <v>45657</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4791-2023</t>
        </is>
      </c>
      <c r="B621" s="1" t="n">
        <v>44957</v>
      </c>
      <c r="C621" s="1" t="n">
        <v>45657</v>
      </c>
      <c r="D621" t="inlineStr">
        <is>
          <t>VÄSTMANLANDS LÄN</t>
        </is>
      </c>
      <c r="E621" t="inlineStr">
        <is>
          <t>SALA</t>
        </is>
      </c>
      <c r="G621" t="n">
        <v>2.8</v>
      </c>
      <c r="H621" t="n">
        <v>0</v>
      </c>
      <c r="I621" t="n">
        <v>0</v>
      </c>
      <c r="J621" t="n">
        <v>0</v>
      </c>
      <c r="K621" t="n">
        <v>0</v>
      </c>
      <c r="L621" t="n">
        <v>0</v>
      </c>
      <c r="M621" t="n">
        <v>0</v>
      </c>
      <c r="N621" t="n">
        <v>0</v>
      </c>
      <c r="O621" t="n">
        <v>0</v>
      </c>
      <c r="P621" t="n">
        <v>0</v>
      </c>
      <c r="Q621" t="n">
        <v>0</v>
      </c>
      <c r="R621" s="2" t="inlineStr"/>
    </row>
    <row r="622" ht="15" customHeight="1">
      <c r="A622" t="inlineStr">
        <is>
          <t>A 4797-2023</t>
        </is>
      </c>
      <c r="B622" s="1" t="n">
        <v>44957</v>
      </c>
      <c r="C622" s="1" t="n">
        <v>45657</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4852-2023</t>
        </is>
      </c>
      <c r="B623" s="1" t="n">
        <v>44957</v>
      </c>
      <c r="C623" s="1" t="n">
        <v>45657</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5782-2023</t>
        </is>
      </c>
      <c r="B624" s="1" t="n">
        <v>44963</v>
      </c>
      <c r="C624" s="1" t="n">
        <v>45657</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6111-2023</t>
        </is>
      </c>
      <c r="B625" s="1" t="n">
        <v>44964</v>
      </c>
      <c r="C625" s="1" t="n">
        <v>45657</v>
      </c>
      <c r="D625" t="inlineStr">
        <is>
          <t>VÄSTMANLANDS LÄN</t>
        </is>
      </c>
      <c r="E625" t="inlineStr">
        <is>
          <t>SALA</t>
        </is>
      </c>
      <c r="G625" t="n">
        <v>3.7</v>
      </c>
      <c r="H625" t="n">
        <v>0</v>
      </c>
      <c r="I625" t="n">
        <v>0</v>
      </c>
      <c r="J625" t="n">
        <v>0</v>
      </c>
      <c r="K625" t="n">
        <v>0</v>
      </c>
      <c r="L625" t="n">
        <v>0</v>
      </c>
      <c r="M625" t="n">
        <v>0</v>
      </c>
      <c r="N625" t="n">
        <v>0</v>
      </c>
      <c r="O625" t="n">
        <v>0</v>
      </c>
      <c r="P625" t="n">
        <v>0</v>
      </c>
      <c r="Q625" t="n">
        <v>0</v>
      </c>
      <c r="R625" s="2" t="inlineStr"/>
    </row>
    <row r="626" ht="15" customHeight="1">
      <c r="A626" t="inlineStr">
        <is>
          <t>A 6135-2023</t>
        </is>
      </c>
      <c r="B626" s="1" t="n">
        <v>44964</v>
      </c>
      <c r="C626" s="1" t="n">
        <v>45657</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6167-2023</t>
        </is>
      </c>
      <c r="B627" s="1" t="n">
        <v>44964</v>
      </c>
      <c r="C627" s="1" t="n">
        <v>45657</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6130-2023</t>
        </is>
      </c>
      <c r="B628" s="1" t="n">
        <v>44964</v>
      </c>
      <c r="C628" s="1" t="n">
        <v>45657</v>
      </c>
      <c r="D628" t="inlineStr">
        <is>
          <t>VÄSTMANLANDS LÄN</t>
        </is>
      </c>
      <c r="E628" t="inlineStr">
        <is>
          <t>SALA</t>
        </is>
      </c>
      <c r="G628" t="n">
        <v>8</v>
      </c>
      <c r="H628" t="n">
        <v>0</v>
      </c>
      <c r="I628" t="n">
        <v>0</v>
      </c>
      <c r="J628" t="n">
        <v>0</v>
      </c>
      <c r="K628" t="n">
        <v>0</v>
      </c>
      <c r="L628" t="n">
        <v>0</v>
      </c>
      <c r="M628" t="n">
        <v>0</v>
      </c>
      <c r="N628" t="n">
        <v>0</v>
      </c>
      <c r="O628" t="n">
        <v>0</v>
      </c>
      <c r="P628" t="n">
        <v>0</v>
      </c>
      <c r="Q628" t="n">
        <v>0</v>
      </c>
      <c r="R628" s="2" t="inlineStr"/>
    </row>
    <row r="629" ht="15" customHeight="1">
      <c r="A629" t="inlineStr">
        <is>
          <t>A 6116-2023</t>
        </is>
      </c>
      <c r="B629" s="1" t="n">
        <v>44964</v>
      </c>
      <c r="C629" s="1" t="n">
        <v>45657</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6139-2023</t>
        </is>
      </c>
      <c r="B630" s="1" t="n">
        <v>44964</v>
      </c>
      <c r="C630" s="1" t="n">
        <v>45657</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6869-2023</t>
        </is>
      </c>
      <c r="B631" s="1" t="n">
        <v>44964</v>
      </c>
      <c r="C631" s="1" t="n">
        <v>45657</v>
      </c>
      <c r="D631" t="inlineStr">
        <is>
          <t>VÄSTMANLANDS LÄN</t>
        </is>
      </c>
      <c r="E631" t="inlineStr">
        <is>
          <t>SALA</t>
        </is>
      </c>
      <c r="G631" t="n">
        <v>11.6</v>
      </c>
      <c r="H631" t="n">
        <v>0</v>
      </c>
      <c r="I631" t="n">
        <v>0</v>
      </c>
      <c r="J631" t="n">
        <v>0</v>
      </c>
      <c r="K631" t="n">
        <v>0</v>
      </c>
      <c r="L631" t="n">
        <v>0</v>
      </c>
      <c r="M631" t="n">
        <v>0</v>
      </c>
      <c r="N631" t="n">
        <v>0</v>
      </c>
      <c r="O631" t="n">
        <v>0</v>
      </c>
      <c r="P631" t="n">
        <v>0</v>
      </c>
      <c r="Q631" t="n">
        <v>0</v>
      </c>
      <c r="R631" s="2" t="inlineStr"/>
    </row>
    <row r="632" ht="15" customHeight="1">
      <c r="A632" t="inlineStr">
        <is>
          <t>A 6351-2023</t>
        </is>
      </c>
      <c r="B632" s="1" t="n">
        <v>44965</v>
      </c>
      <c r="C632" s="1" t="n">
        <v>45657</v>
      </c>
      <c r="D632" t="inlineStr">
        <is>
          <t>VÄSTMANLANDS LÄN</t>
        </is>
      </c>
      <c r="E632" t="inlineStr">
        <is>
          <t>SALA</t>
        </is>
      </c>
      <c r="F632" t="inlineStr">
        <is>
          <t>Kommuner</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6851-2023</t>
        </is>
      </c>
      <c r="B633" s="1" t="n">
        <v>44967</v>
      </c>
      <c r="C633" s="1" t="n">
        <v>45657</v>
      </c>
      <c r="D633" t="inlineStr">
        <is>
          <t>VÄSTMANLANDS LÄN</t>
        </is>
      </c>
      <c r="E633" t="inlineStr">
        <is>
          <t>SALA</t>
        </is>
      </c>
      <c r="G633" t="n">
        <v>2.7</v>
      </c>
      <c r="H633" t="n">
        <v>0</v>
      </c>
      <c r="I633" t="n">
        <v>0</v>
      </c>
      <c r="J633" t="n">
        <v>0</v>
      </c>
      <c r="K633" t="n">
        <v>0</v>
      </c>
      <c r="L633" t="n">
        <v>0</v>
      </c>
      <c r="M633" t="n">
        <v>0</v>
      </c>
      <c r="N633" t="n">
        <v>0</v>
      </c>
      <c r="O633" t="n">
        <v>0</v>
      </c>
      <c r="P633" t="n">
        <v>0</v>
      </c>
      <c r="Q633" t="n">
        <v>0</v>
      </c>
      <c r="R633" s="2" t="inlineStr"/>
    </row>
    <row r="634" ht="15" customHeight="1">
      <c r="A634" t="inlineStr">
        <is>
          <t>A 7176-2023</t>
        </is>
      </c>
      <c r="B634" s="1" t="n">
        <v>44970</v>
      </c>
      <c r="C634" s="1" t="n">
        <v>45657</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7193-2023</t>
        </is>
      </c>
      <c r="B635" s="1" t="n">
        <v>44970</v>
      </c>
      <c r="C635" s="1" t="n">
        <v>45657</v>
      </c>
      <c r="D635" t="inlineStr">
        <is>
          <t>VÄSTMANLANDS LÄN</t>
        </is>
      </c>
      <c r="E635" t="inlineStr">
        <is>
          <t>SALA</t>
        </is>
      </c>
      <c r="G635" t="n">
        <v>2.5</v>
      </c>
      <c r="H635" t="n">
        <v>0</v>
      </c>
      <c r="I635" t="n">
        <v>0</v>
      </c>
      <c r="J635" t="n">
        <v>0</v>
      </c>
      <c r="K635" t="n">
        <v>0</v>
      </c>
      <c r="L635" t="n">
        <v>0</v>
      </c>
      <c r="M635" t="n">
        <v>0</v>
      </c>
      <c r="N635" t="n">
        <v>0</v>
      </c>
      <c r="O635" t="n">
        <v>0</v>
      </c>
      <c r="P635" t="n">
        <v>0</v>
      </c>
      <c r="Q635" t="n">
        <v>0</v>
      </c>
      <c r="R635" s="2" t="inlineStr"/>
    </row>
    <row r="636" ht="15" customHeight="1">
      <c r="A636" t="inlineStr">
        <is>
          <t>A 7954-2023</t>
        </is>
      </c>
      <c r="B636" s="1" t="n">
        <v>44970</v>
      </c>
      <c r="C636" s="1" t="n">
        <v>45657</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7377-2023</t>
        </is>
      </c>
      <c r="B637" s="1" t="n">
        <v>44971</v>
      </c>
      <c r="C637" s="1" t="n">
        <v>45657</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7351-2023</t>
        </is>
      </c>
      <c r="B638" s="1" t="n">
        <v>44971</v>
      </c>
      <c r="C638" s="1" t="n">
        <v>45657</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7502-2023</t>
        </is>
      </c>
      <c r="B639" s="1" t="n">
        <v>44971</v>
      </c>
      <c r="C639" s="1" t="n">
        <v>45657</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7664-2023</t>
        </is>
      </c>
      <c r="B640" s="1" t="n">
        <v>44972</v>
      </c>
      <c r="C640" s="1" t="n">
        <v>45657</v>
      </c>
      <c r="D640" t="inlineStr">
        <is>
          <t>VÄSTMANLANDS LÄN</t>
        </is>
      </c>
      <c r="E640" t="inlineStr">
        <is>
          <t>SALA</t>
        </is>
      </c>
      <c r="G640" t="n">
        <v>1.4</v>
      </c>
      <c r="H640" t="n">
        <v>0</v>
      </c>
      <c r="I640" t="n">
        <v>0</v>
      </c>
      <c r="J640" t="n">
        <v>0</v>
      </c>
      <c r="K640" t="n">
        <v>0</v>
      </c>
      <c r="L640" t="n">
        <v>0</v>
      </c>
      <c r="M640" t="n">
        <v>0</v>
      </c>
      <c r="N640" t="n">
        <v>0</v>
      </c>
      <c r="O640" t="n">
        <v>0</v>
      </c>
      <c r="P640" t="n">
        <v>0</v>
      </c>
      <c r="Q640" t="n">
        <v>0</v>
      </c>
      <c r="R640" s="2" t="inlineStr"/>
    </row>
    <row r="641" ht="15" customHeight="1">
      <c r="A641" t="inlineStr">
        <is>
          <t>A 7635-2023</t>
        </is>
      </c>
      <c r="B641" s="1" t="n">
        <v>44972</v>
      </c>
      <c r="C641" s="1" t="n">
        <v>45657</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7772-2023</t>
        </is>
      </c>
      <c r="B642" s="1" t="n">
        <v>44973</v>
      </c>
      <c r="C642" s="1" t="n">
        <v>45657</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7813-2023</t>
        </is>
      </c>
      <c r="B643" s="1" t="n">
        <v>44973</v>
      </c>
      <c r="C643" s="1" t="n">
        <v>45657</v>
      </c>
      <c r="D643" t="inlineStr">
        <is>
          <t>VÄSTMANLANDS LÄN</t>
        </is>
      </c>
      <c r="E643" t="inlineStr">
        <is>
          <t>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8047-2023</t>
        </is>
      </c>
      <c r="B644" s="1" t="n">
        <v>44974</v>
      </c>
      <c r="C644" s="1" t="n">
        <v>45657</v>
      </c>
      <c r="D644" t="inlineStr">
        <is>
          <t>VÄSTMANLANDS LÄN</t>
        </is>
      </c>
      <c r="E644" t="inlineStr">
        <is>
          <t>SALA</t>
        </is>
      </c>
      <c r="G644" t="n">
        <v>17.4</v>
      </c>
      <c r="H644" t="n">
        <v>0</v>
      </c>
      <c r="I644" t="n">
        <v>0</v>
      </c>
      <c r="J644" t="n">
        <v>0</v>
      </c>
      <c r="K644" t="n">
        <v>0</v>
      </c>
      <c r="L644" t="n">
        <v>0</v>
      </c>
      <c r="M644" t="n">
        <v>0</v>
      </c>
      <c r="N644" t="n">
        <v>0</v>
      </c>
      <c r="O644" t="n">
        <v>0</v>
      </c>
      <c r="P644" t="n">
        <v>0</v>
      </c>
      <c r="Q644" t="n">
        <v>0</v>
      </c>
      <c r="R644" s="2" t="inlineStr"/>
    </row>
    <row r="645" ht="15" customHeight="1">
      <c r="A645" t="inlineStr">
        <is>
          <t>A 8766-2023</t>
        </is>
      </c>
      <c r="B645" s="1" t="n">
        <v>44978</v>
      </c>
      <c r="C645" s="1" t="n">
        <v>45657</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9051-2023</t>
        </is>
      </c>
      <c r="B646" s="1" t="n">
        <v>44979</v>
      </c>
      <c r="C646" s="1" t="n">
        <v>45657</v>
      </c>
      <c r="D646" t="inlineStr">
        <is>
          <t>VÄSTMANLANDS LÄN</t>
        </is>
      </c>
      <c r="E646" t="inlineStr">
        <is>
          <t>SALA</t>
        </is>
      </c>
      <c r="G646" t="n">
        <v>4.1</v>
      </c>
      <c r="H646" t="n">
        <v>0</v>
      </c>
      <c r="I646" t="n">
        <v>0</v>
      </c>
      <c r="J646" t="n">
        <v>0</v>
      </c>
      <c r="K646" t="n">
        <v>0</v>
      </c>
      <c r="L646" t="n">
        <v>0</v>
      </c>
      <c r="M646" t="n">
        <v>0</v>
      </c>
      <c r="N646" t="n">
        <v>0</v>
      </c>
      <c r="O646" t="n">
        <v>0</v>
      </c>
      <c r="P646" t="n">
        <v>0</v>
      </c>
      <c r="Q646" t="n">
        <v>0</v>
      </c>
      <c r="R646" s="2" t="inlineStr"/>
    </row>
    <row r="647" ht="15" customHeight="1">
      <c r="A647" t="inlineStr">
        <is>
          <t>A 11190-2023</t>
        </is>
      </c>
      <c r="B647" s="1" t="n">
        <v>44992</v>
      </c>
      <c r="C647" s="1" t="n">
        <v>45657</v>
      </c>
      <c r="D647" t="inlineStr">
        <is>
          <t>VÄSTMANLANDS LÄN</t>
        </is>
      </c>
      <c r="E647" t="inlineStr">
        <is>
          <t>SALA</t>
        </is>
      </c>
      <c r="G647" t="n">
        <v>1</v>
      </c>
      <c r="H647" t="n">
        <v>0</v>
      </c>
      <c r="I647" t="n">
        <v>0</v>
      </c>
      <c r="J647" t="n">
        <v>0</v>
      </c>
      <c r="K647" t="n">
        <v>0</v>
      </c>
      <c r="L647" t="n">
        <v>0</v>
      </c>
      <c r="M647" t="n">
        <v>0</v>
      </c>
      <c r="N647" t="n">
        <v>0</v>
      </c>
      <c r="O647" t="n">
        <v>0</v>
      </c>
      <c r="P647" t="n">
        <v>0</v>
      </c>
      <c r="Q647" t="n">
        <v>0</v>
      </c>
      <c r="R647" s="2" t="inlineStr"/>
    </row>
    <row r="648" ht="15" customHeight="1">
      <c r="A648" t="inlineStr">
        <is>
          <t>A 11166-2023</t>
        </is>
      </c>
      <c r="B648" s="1" t="n">
        <v>44992</v>
      </c>
      <c r="C648" s="1" t="n">
        <v>45657</v>
      </c>
      <c r="D648" t="inlineStr">
        <is>
          <t>VÄSTMANLANDS LÄN</t>
        </is>
      </c>
      <c r="E648" t="inlineStr">
        <is>
          <t>SALA</t>
        </is>
      </c>
      <c r="G648" t="n">
        <v>3.9</v>
      </c>
      <c r="H648" t="n">
        <v>0</v>
      </c>
      <c r="I648" t="n">
        <v>0</v>
      </c>
      <c r="J648" t="n">
        <v>0</v>
      </c>
      <c r="K648" t="n">
        <v>0</v>
      </c>
      <c r="L648" t="n">
        <v>0</v>
      </c>
      <c r="M648" t="n">
        <v>0</v>
      </c>
      <c r="N648" t="n">
        <v>0</v>
      </c>
      <c r="O648" t="n">
        <v>0</v>
      </c>
      <c r="P648" t="n">
        <v>0</v>
      </c>
      <c r="Q648" t="n">
        <v>0</v>
      </c>
      <c r="R648" s="2" t="inlineStr"/>
    </row>
    <row r="649" ht="15" customHeight="1">
      <c r="A649" t="inlineStr">
        <is>
          <t>A 11183-2023</t>
        </is>
      </c>
      <c r="B649" s="1" t="n">
        <v>44992</v>
      </c>
      <c r="C649" s="1" t="n">
        <v>45657</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11631-2023</t>
        </is>
      </c>
      <c r="B650" s="1" t="n">
        <v>44994</v>
      </c>
      <c r="C650" s="1" t="n">
        <v>45657</v>
      </c>
      <c r="D650" t="inlineStr">
        <is>
          <t>VÄSTMANLANDS LÄN</t>
        </is>
      </c>
      <c r="E650" t="inlineStr">
        <is>
          <t>SALA</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12231-2023</t>
        </is>
      </c>
      <c r="B651" s="1" t="n">
        <v>44995</v>
      </c>
      <c r="C651" s="1" t="n">
        <v>45657</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45657</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12272-2023</t>
        </is>
      </c>
      <c r="B653" s="1" t="n">
        <v>44995</v>
      </c>
      <c r="C653" s="1" t="n">
        <v>45657</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12242-2023</t>
        </is>
      </c>
      <c r="B654" s="1" t="n">
        <v>44995</v>
      </c>
      <c r="C654" s="1" t="n">
        <v>45657</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12252-2023</t>
        </is>
      </c>
      <c r="B655" s="1" t="n">
        <v>44995</v>
      </c>
      <c r="C655" s="1" t="n">
        <v>45657</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12225-2023</t>
        </is>
      </c>
      <c r="B656" s="1" t="n">
        <v>44995</v>
      </c>
      <c r="C656" s="1" t="n">
        <v>45657</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12509-2023</t>
        </is>
      </c>
      <c r="B657" s="1" t="n">
        <v>45000</v>
      </c>
      <c r="C657" s="1" t="n">
        <v>45657</v>
      </c>
      <c r="D657" t="inlineStr">
        <is>
          <t>VÄSTMANLANDS LÄN</t>
        </is>
      </c>
      <c r="E657" t="inlineStr">
        <is>
          <t>SALA</t>
        </is>
      </c>
      <c r="G657" t="n">
        <v>13.9</v>
      </c>
      <c r="H657" t="n">
        <v>0</v>
      </c>
      <c r="I657" t="n">
        <v>0</v>
      </c>
      <c r="J657" t="n">
        <v>0</v>
      </c>
      <c r="K657" t="n">
        <v>0</v>
      </c>
      <c r="L657" t="n">
        <v>0</v>
      </c>
      <c r="M657" t="n">
        <v>0</v>
      </c>
      <c r="N657" t="n">
        <v>0</v>
      </c>
      <c r="O657" t="n">
        <v>0</v>
      </c>
      <c r="P657" t="n">
        <v>0</v>
      </c>
      <c r="Q657" t="n">
        <v>0</v>
      </c>
      <c r="R657" s="2" t="inlineStr"/>
    </row>
    <row r="658" ht="15" customHeight="1">
      <c r="A658" t="inlineStr">
        <is>
          <t>A 12510-2023</t>
        </is>
      </c>
      <c r="B658" s="1" t="n">
        <v>45000</v>
      </c>
      <c r="C658" s="1" t="n">
        <v>45657</v>
      </c>
      <c r="D658" t="inlineStr">
        <is>
          <t>VÄSTMANLANDS LÄN</t>
        </is>
      </c>
      <c r="E658" t="inlineStr">
        <is>
          <t>SALA</t>
        </is>
      </c>
      <c r="G658" t="n">
        <v>3.1</v>
      </c>
      <c r="H658" t="n">
        <v>0</v>
      </c>
      <c r="I658" t="n">
        <v>0</v>
      </c>
      <c r="J658" t="n">
        <v>0</v>
      </c>
      <c r="K658" t="n">
        <v>0</v>
      </c>
      <c r="L658" t="n">
        <v>0</v>
      </c>
      <c r="M658" t="n">
        <v>0</v>
      </c>
      <c r="N658" t="n">
        <v>0</v>
      </c>
      <c r="O658" t="n">
        <v>0</v>
      </c>
      <c r="P658" t="n">
        <v>0</v>
      </c>
      <c r="Q658" t="n">
        <v>0</v>
      </c>
      <c r="R658" s="2" t="inlineStr"/>
    </row>
    <row r="659" ht="15" customHeight="1">
      <c r="A659" t="inlineStr">
        <is>
          <t>A 13146-2023</t>
        </is>
      </c>
      <c r="B659" s="1" t="n">
        <v>45002</v>
      </c>
      <c r="C659" s="1" t="n">
        <v>45657</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13022-2023</t>
        </is>
      </c>
      <c r="B660" s="1" t="n">
        <v>45002</v>
      </c>
      <c r="C660" s="1" t="n">
        <v>45657</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13151-2023</t>
        </is>
      </c>
      <c r="B661" s="1" t="n">
        <v>45002</v>
      </c>
      <c r="C661" s="1" t="n">
        <v>45657</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13128-2023</t>
        </is>
      </c>
      <c r="B662" s="1" t="n">
        <v>45002</v>
      </c>
      <c r="C662" s="1" t="n">
        <v>45657</v>
      </c>
      <c r="D662" t="inlineStr">
        <is>
          <t>VÄSTMANLANDS LÄN</t>
        </is>
      </c>
      <c r="E662" t="inlineStr">
        <is>
          <t>SALA</t>
        </is>
      </c>
      <c r="G662" t="n">
        <v>7.9</v>
      </c>
      <c r="H662" t="n">
        <v>0</v>
      </c>
      <c r="I662" t="n">
        <v>0</v>
      </c>
      <c r="J662" t="n">
        <v>0</v>
      </c>
      <c r="K662" t="n">
        <v>0</v>
      </c>
      <c r="L662" t="n">
        <v>0</v>
      </c>
      <c r="M662" t="n">
        <v>0</v>
      </c>
      <c r="N662" t="n">
        <v>0</v>
      </c>
      <c r="O662" t="n">
        <v>0</v>
      </c>
      <c r="P662" t="n">
        <v>0</v>
      </c>
      <c r="Q662" t="n">
        <v>0</v>
      </c>
      <c r="R662" s="2" t="inlineStr"/>
    </row>
    <row r="663" ht="15" customHeight="1">
      <c r="A663" t="inlineStr">
        <is>
          <t>A 13153-2023</t>
        </is>
      </c>
      <c r="B663" s="1" t="n">
        <v>45002</v>
      </c>
      <c r="C663" s="1" t="n">
        <v>45657</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13059-2023</t>
        </is>
      </c>
      <c r="B664" s="1" t="n">
        <v>45002</v>
      </c>
      <c r="C664" s="1" t="n">
        <v>45657</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13857-2023</t>
        </is>
      </c>
      <c r="B665" s="1" t="n">
        <v>45007</v>
      </c>
      <c r="C665" s="1" t="n">
        <v>45657</v>
      </c>
      <c r="D665" t="inlineStr">
        <is>
          <t>VÄSTMANLANDS LÄN</t>
        </is>
      </c>
      <c r="E665" t="inlineStr">
        <is>
          <t>SALA</t>
        </is>
      </c>
      <c r="G665" t="n">
        <v>5.7</v>
      </c>
      <c r="H665" t="n">
        <v>0</v>
      </c>
      <c r="I665" t="n">
        <v>0</v>
      </c>
      <c r="J665" t="n">
        <v>0</v>
      </c>
      <c r="K665" t="n">
        <v>0</v>
      </c>
      <c r="L665" t="n">
        <v>0</v>
      </c>
      <c r="M665" t="n">
        <v>0</v>
      </c>
      <c r="N665" t="n">
        <v>0</v>
      </c>
      <c r="O665" t="n">
        <v>0</v>
      </c>
      <c r="P665" t="n">
        <v>0</v>
      </c>
      <c r="Q665" t="n">
        <v>0</v>
      </c>
      <c r="R665" s="2" t="inlineStr"/>
    </row>
    <row r="666" ht="15" customHeight="1">
      <c r="A666" t="inlineStr">
        <is>
          <t>A 13833-2023</t>
        </is>
      </c>
      <c r="B666" s="1" t="n">
        <v>45007</v>
      </c>
      <c r="C666" s="1" t="n">
        <v>45657</v>
      </c>
      <c r="D666" t="inlineStr">
        <is>
          <t>VÄSTMANLANDS LÄN</t>
        </is>
      </c>
      <c r="E666" t="inlineStr">
        <is>
          <t>SALA</t>
        </is>
      </c>
      <c r="G666" t="n">
        <v>4.3</v>
      </c>
      <c r="H666" t="n">
        <v>0</v>
      </c>
      <c r="I666" t="n">
        <v>0</v>
      </c>
      <c r="J666" t="n">
        <v>0</v>
      </c>
      <c r="K666" t="n">
        <v>0</v>
      </c>
      <c r="L666" t="n">
        <v>0</v>
      </c>
      <c r="M666" t="n">
        <v>0</v>
      </c>
      <c r="N666" t="n">
        <v>0</v>
      </c>
      <c r="O666" t="n">
        <v>0</v>
      </c>
      <c r="P666" t="n">
        <v>0</v>
      </c>
      <c r="Q666" t="n">
        <v>0</v>
      </c>
      <c r="R666" s="2" t="inlineStr"/>
    </row>
    <row r="667" ht="15" customHeight="1">
      <c r="A667" t="inlineStr">
        <is>
          <t>A 13855-2023</t>
        </is>
      </c>
      <c r="B667" s="1" t="n">
        <v>45007</v>
      </c>
      <c r="C667" s="1" t="n">
        <v>45657</v>
      </c>
      <c r="D667" t="inlineStr">
        <is>
          <t>VÄSTMANLANDS LÄN</t>
        </is>
      </c>
      <c r="E667" t="inlineStr">
        <is>
          <t>SALA</t>
        </is>
      </c>
      <c r="G667" t="n">
        <v>2.9</v>
      </c>
      <c r="H667" t="n">
        <v>0</v>
      </c>
      <c r="I667" t="n">
        <v>0</v>
      </c>
      <c r="J667" t="n">
        <v>0</v>
      </c>
      <c r="K667" t="n">
        <v>0</v>
      </c>
      <c r="L667" t="n">
        <v>0</v>
      </c>
      <c r="M667" t="n">
        <v>0</v>
      </c>
      <c r="N667" t="n">
        <v>0</v>
      </c>
      <c r="O667" t="n">
        <v>0</v>
      </c>
      <c r="P667" t="n">
        <v>0</v>
      </c>
      <c r="Q667" t="n">
        <v>0</v>
      </c>
      <c r="R667" s="2" t="inlineStr"/>
    </row>
    <row r="668" ht="15" customHeight="1">
      <c r="A668" t="inlineStr">
        <is>
          <t>A 13990-2023</t>
        </is>
      </c>
      <c r="B668" s="1" t="n">
        <v>45007</v>
      </c>
      <c r="C668" s="1" t="n">
        <v>45657</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45657</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13935-2023</t>
        </is>
      </c>
      <c r="B670" s="1" t="n">
        <v>45008</v>
      </c>
      <c r="C670" s="1" t="n">
        <v>45657</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14578-2023</t>
        </is>
      </c>
      <c r="B671" s="1" t="n">
        <v>45013</v>
      </c>
      <c r="C671" s="1" t="n">
        <v>45657</v>
      </c>
      <c r="D671" t="inlineStr">
        <is>
          <t>VÄSTMANLANDS LÄN</t>
        </is>
      </c>
      <c r="E671" t="inlineStr">
        <is>
          <t>SALA</t>
        </is>
      </c>
      <c r="G671" t="n">
        <v>5.2</v>
      </c>
      <c r="H671" t="n">
        <v>0</v>
      </c>
      <c r="I671" t="n">
        <v>0</v>
      </c>
      <c r="J671" t="n">
        <v>0</v>
      </c>
      <c r="K671" t="n">
        <v>0</v>
      </c>
      <c r="L671" t="n">
        <v>0</v>
      </c>
      <c r="M671" t="n">
        <v>0</v>
      </c>
      <c r="N671" t="n">
        <v>0</v>
      </c>
      <c r="O671" t="n">
        <v>0</v>
      </c>
      <c r="P671" t="n">
        <v>0</v>
      </c>
      <c r="Q671" t="n">
        <v>0</v>
      </c>
      <c r="R671" s="2" t="inlineStr"/>
    </row>
    <row r="672" ht="15" customHeight="1">
      <c r="A672" t="inlineStr">
        <is>
          <t>A 14823-2023</t>
        </is>
      </c>
      <c r="B672" s="1" t="n">
        <v>45014</v>
      </c>
      <c r="C672" s="1" t="n">
        <v>45657</v>
      </c>
      <c r="D672" t="inlineStr">
        <is>
          <t>VÄSTMANLANDS LÄN</t>
        </is>
      </c>
      <c r="E672" t="inlineStr">
        <is>
          <t>SALA</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14790-2023</t>
        </is>
      </c>
      <c r="B673" s="1" t="n">
        <v>45014</v>
      </c>
      <c r="C673" s="1" t="n">
        <v>45657</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15589-2023</t>
        </is>
      </c>
      <c r="B674" s="1" t="n">
        <v>45020</v>
      </c>
      <c r="C674" s="1" t="n">
        <v>45657</v>
      </c>
      <c r="D674" t="inlineStr">
        <is>
          <t>VÄSTMANLANDS LÄN</t>
        </is>
      </c>
      <c r="E674" t="inlineStr">
        <is>
          <t>SALA</t>
        </is>
      </c>
      <c r="G674" t="n">
        <v>7.5</v>
      </c>
      <c r="H674" t="n">
        <v>0</v>
      </c>
      <c r="I674" t="n">
        <v>0</v>
      </c>
      <c r="J674" t="n">
        <v>0</v>
      </c>
      <c r="K674" t="n">
        <v>0</v>
      </c>
      <c r="L674" t="n">
        <v>0</v>
      </c>
      <c r="M674" t="n">
        <v>0</v>
      </c>
      <c r="N674" t="n">
        <v>0</v>
      </c>
      <c r="O674" t="n">
        <v>0</v>
      </c>
      <c r="P674" t="n">
        <v>0</v>
      </c>
      <c r="Q674" t="n">
        <v>0</v>
      </c>
      <c r="R674" s="2" t="inlineStr"/>
    </row>
    <row r="675" ht="15" customHeight="1">
      <c r="A675" t="inlineStr">
        <is>
          <t>A 15584-2023</t>
        </is>
      </c>
      <c r="B675" s="1" t="n">
        <v>45020</v>
      </c>
      <c r="C675" s="1" t="n">
        <v>45657</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16003-2023</t>
        </is>
      </c>
      <c r="B676" s="1" t="n">
        <v>45024</v>
      </c>
      <c r="C676" s="1" t="n">
        <v>45657</v>
      </c>
      <c r="D676" t="inlineStr">
        <is>
          <t>VÄSTMANLANDS LÄN</t>
        </is>
      </c>
      <c r="E676" t="inlineStr">
        <is>
          <t>SALA</t>
        </is>
      </c>
      <c r="G676" t="n">
        <v>6.6</v>
      </c>
      <c r="H676" t="n">
        <v>0</v>
      </c>
      <c r="I676" t="n">
        <v>0</v>
      </c>
      <c r="J676" t="n">
        <v>0</v>
      </c>
      <c r="K676" t="n">
        <v>0</v>
      </c>
      <c r="L676" t="n">
        <v>0</v>
      </c>
      <c r="M676" t="n">
        <v>0</v>
      </c>
      <c r="N676" t="n">
        <v>0</v>
      </c>
      <c r="O676" t="n">
        <v>0</v>
      </c>
      <c r="P676" t="n">
        <v>0</v>
      </c>
      <c r="Q676" t="n">
        <v>0</v>
      </c>
      <c r="R676" s="2" t="inlineStr"/>
    </row>
    <row r="677" ht="15" customHeight="1">
      <c r="A677" t="inlineStr">
        <is>
          <t>A 16002-2023</t>
        </is>
      </c>
      <c r="B677" s="1" t="n">
        <v>45024</v>
      </c>
      <c r="C677" s="1" t="n">
        <v>45657</v>
      </c>
      <c r="D677" t="inlineStr">
        <is>
          <t>VÄSTMANLANDS LÄN</t>
        </is>
      </c>
      <c r="E677" t="inlineStr">
        <is>
          <t>SALA</t>
        </is>
      </c>
      <c r="G677" t="n">
        <v>1</v>
      </c>
      <c r="H677" t="n">
        <v>0</v>
      </c>
      <c r="I677" t="n">
        <v>0</v>
      </c>
      <c r="J677" t="n">
        <v>0</v>
      </c>
      <c r="K677" t="n">
        <v>0</v>
      </c>
      <c r="L677" t="n">
        <v>0</v>
      </c>
      <c r="M677" t="n">
        <v>0</v>
      </c>
      <c r="N677" t="n">
        <v>0</v>
      </c>
      <c r="O677" t="n">
        <v>0</v>
      </c>
      <c r="P677" t="n">
        <v>0</v>
      </c>
      <c r="Q677" t="n">
        <v>0</v>
      </c>
      <c r="R677" s="2" t="inlineStr"/>
    </row>
    <row r="678" ht="15" customHeight="1">
      <c r="A678" t="inlineStr">
        <is>
          <t>A 16041-2023</t>
        </is>
      </c>
      <c r="B678" s="1" t="n">
        <v>45027</v>
      </c>
      <c r="C678" s="1" t="n">
        <v>45657</v>
      </c>
      <c r="D678" t="inlineStr">
        <is>
          <t>VÄSTMANLANDS LÄN</t>
        </is>
      </c>
      <c r="E678" t="inlineStr">
        <is>
          <t>SALA</t>
        </is>
      </c>
      <c r="G678" t="n">
        <v>3.1</v>
      </c>
      <c r="H678" t="n">
        <v>0</v>
      </c>
      <c r="I678" t="n">
        <v>0</v>
      </c>
      <c r="J678" t="n">
        <v>0</v>
      </c>
      <c r="K678" t="n">
        <v>0</v>
      </c>
      <c r="L678" t="n">
        <v>0</v>
      </c>
      <c r="M678" t="n">
        <v>0</v>
      </c>
      <c r="N678" t="n">
        <v>0</v>
      </c>
      <c r="O678" t="n">
        <v>0</v>
      </c>
      <c r="P678" t="n">
        <v>0</v>
      </c>
      <c r="Q678" t="n">
        <v>0</v>
      </c>
      <c r="R678" s="2" t="inlineStr"/>
    </row>
    <row r="679" ht="15" customHeight="1">
      <c r="A679" t="inlineStr">
        <is>
          <t>A 16142-2023</t>
        </is>
      </c>
      <c r="B679" s="1" t="n">
        <v>45027</v>
      </c>
      <c r="C679" s="1" t="n">
        <v>45657</v>
      </c>
      <c r="D679" t="inlineStr">
        <is>
          <t>VÄSTMANLANDS LÄN</t>
        </is>
      </c>
      <c r="E679" t="inlineStr">
        <is>
          <t>SALA</t>
        </is>
      </c>
      <c r="G679" t="n">
        <v>6.3</v>
      </c>
      <c r="H679" t="n">
        <v>0</v>
      </c>
      <c r="I679" t="n">
        <v>0</v>
      </c>
      <c r="J679" t="n">
        <v>0</v>
      </c>
      <c r="K679" t="n">
        <v>0</v>
      </c>
      <c r="L679" t="n">
        <v>0</v>
      </c>
      <c r="M679" t="n">
        <v>0</v>
      </c>
      <c r="N679" t="n">
        <v>0</v>
      </c>
      <c r="O679" t="n">
        <v>0</v>
      </c>
      <c r="P679" t="n">
        <v>0</v>
      </c>
      <c r="Q679" t="n">
        <v>0</v>
      </c>
      <c r="R679" s="2" t="inlineStr"/>
    </row>
    <row r="680" ht="15" customHeight="1">
      <c r="A680" t="inlineStr">
        <is>
          <t>A 16083-2023</t>
        </is>
      </c>
      <c r="B680" s="1" t="n">
        <v>45027</v>
      </c>
      <c r="C680" s="1" t="n">
        <v>45657</v>
      </c>
      <c r="D680" t="inlineStr">
        <is>
          <t>VÄSTMANLANDS LÄN</t>
        </is>
      </c>
      <c r="E680" t="inlineStr">
        <is>
          <t>SALA</t>
        </is>
      </c>
      <c r="G680" t="n">
        <v>4.4</v>
      </c>
      <c r="H680" t="n">
        <v>0</v>
      </c>
      <c r="I680" t="n">
        <v>0</v>
      </c>
      <c r="J680" t="n">
        <v>0</v>
      </c>
      <c r="K680" t="n">
        <v>0</v>
      </c>
      <c r="L680" t="n">
        <v>0</v>
      </c>
      <c r="M680" t="n">
        <v>0</v>
      </c>
      <c r="N680" t="n">
        <v>0</v>
      </c>
      <c r="O680" t="n">
        <v>0</v>
      </c>
      <c r="P680" t="n">
        <v>0</v>
      </c>
      <c r="Q680" t="n">
        <v>0</v>
      </c>
      <c r="R680" s="2" t="inlineStr"/>
    </row>
    <row r="681" ht="15" customHeight="1">
      <c r="A681" t="inlineStr">
        <is>
          <t>A 16638-2023</t>
        </is>
      </c>
      <c r="B681" s="1" t="n">
        <v>45027</v>
      </c>
      <c r="C681" s="1" t="n">
        <v>45657</v>
      </c>
      <c r="D681" t="inlineStr">
        <is>
          <t>VÄSTMANLANDS LÄN</t>
        </is>
      </c>
      <c r="E681" t="inlineStr">
        <is>
          <t>SALA</t>
        </is>
      </c>
      <c r="G681" t="n">
        <v>14.8</v>
      </c>
      <c r="H681" t="n">
        <v>0</v>
      </c>
      <c r="I681" t="n">
        <v>0</v>
      </c>
      <c r="J681" t="n">
        <v>0</v>
      </c>
      <c r="K681" t="n">
        <v>0</v>
      </c>
      <c r="L681" t="n">
        <v>0</v>
      </c>
      <c r="M681" t="n">
        <v>0</v>
      </c>
      <c r="N681" t="n">
        <v>0</v>
      </c>
      <c r="O681" t="n">
        <v>0</v>
      </c>
      <c r="P681" t="n">
        <v>0</v>
      </c>
      <c r="Q681" t="n">
        <v>0</v>
      </c>
      <c r="R681" s="2" t="inlineStr"/>
    </row>
    <row r="682" ht="15" customHeight="1">
      <c r="A682" t="inlineStr">
        <is>
          <t>A 16693-2023</t>
        </is>
      </c>
      <c r="B682" s="1" t="n">
        <v>45028</v>
      </c>
      <c r="C682" s="1" t="n">
        <v>45657</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16546-2023</t>
        </is>
      </c>
      <c r="B683" s="1" t="n">
        <v>45029</v>
      </c>
      <c r="C683" s="1" t="n">
        <v>45657</v>
      </c>
      <c r="D683" t="inlineStr">
        <is>
          <t>VÄSTMANLANDS LÄN</t>
        </is>
      </c>
      <c r="E683" t="inlineStr">
        <is>
          <t>SALA</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16543-2023</t>
        </is>
      </c>
      <c r="B684" s="1" t="n">
        <v>45029</v>
      </c>
      <c r="C684" s="1" t="n">
        <v>45657</v>
      </c>
      <c r="D684" t="inlineStr">
        <is>
          <t>VÄSTMANLANDS LÄN</t>
        </is>
      </c>
      <c r="E684" t="inlineStr">
        <is>
          <t>SALA</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16544-2023</t>
        </is>
      </c>
      <c r="B685" s="1" t="n">
        <v>45029</v>
      </c>
      <c r="C685" s="1" t="n">
        <v>45657</v>
      </c>
      <c r="D685" t="inlineStr">
        <is>
          <t>VÄSTMANLANDS LÄN</t>
        </is>
      </c>
      <c r="E685" t="inlineStr">
        <is>
          <t>SALA</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16547-2023</t>
        </is>
      </c>
      <c r="B686" s="1" t="n">
        <v>45029</v>
      </c>
      <c r="C686" s="1" t="n">
        <v>45657</v>
      </c>
      <c r="D686" t="inlineStr">
        <is>
          <t>VÄSTMANLANDS LÄN</t>
        </is>
      </c>
      <c r="E686" t="inlineStr">
        <is>
          <t>SALA</t>
        </is>
      </c>
      <c r="F686" t="inlineStr">
        <is>
          <t>Sveaskog</t>
        </is>
      </c>
      <c r="G686" t="n">
        <v>11.2</v>
      </c>
      <c r="H686" t="n">
        <v>0</v>
      </c>
      <c r="I686" t="n">
        <v>0</v>
      </c>
      <c r="J686" t="n">
        <v>0</v>
      </c>
      <c r="K686" t="n">
        <v>0</v>
      </c>
      <c r="L686" t="n">
        <v>0</v>
      </c>
      <c r="M686" t="n">
        <v>0</v>
      </c>
      <c r="N686" t="n">
        <v>0</v>
      </c>
      <c r="O686" t="n">
        <v>0</v>
      </c>
      <c r="P686" t="n">
        <v>0</v>
      </c>
      <c r="Q686" t="n">
        <v>0</v>
      </c>
      <c r="R686" s="2" t="inlineStr"/>
    </row>
    <row r="687" ht="15" customHeight="1">
      <c r="A687" t="inlineStr">
        <is>
          <t>A 16545-2023</t>
        </is>
      </c>
      <c r="B687" s="1" t="n">
        <v>45029</v>
      </c>
      <c r="C687" s="1" t="n">
        <v>45657</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16984-2023</t>
        </is>
      </c>
      <c r="B688" s="1" t="n">
        <v>45033</v>
      </c>
      <c r="C688" s="1" t="n">
        <v>45657</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17079-2023</t>
        </is>
      </c>
      <c r="B689" s="1" t="n">
        <v>45034</v>
      </c>
      <c r="C689" s="1" t="n">
        <v>45657</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17117-2023</t>
        </is>
      </c>
      <c r="B690" s="1" t="n">
        <v>45034</v>
      </c>
      <c r="C690" s="1" t="n">
        <v>45657</v>
      </c>
      <c r="D690" t="inlineStr">
        <is>
          <t>VÄSTMANLANDS LÄN</t>
        </is>
      </c>
      <c r="E690" t="inlineStr">
        <is>
          <t>SALA</t>
        </is>
      </c>
      <c r="G690" t="n">
        <v>0.4</v>
      </c>
      <c r="H690" t="n">
        <v>0</v>
      </c>
      <c r="I690" t="n">
        <v>0</v>
      </c>
      <c r="J690" t="n">
        <v>0</v>
      </c>
      <c r="K690" t="n">
        <v>0</v>
      </c>
      <c r="L690" t="n">
        <v>0</v>
      </c>
      <c r="M690" t="n">
        <v>0</v>
      </c>
      <c r="N690" t="n">
        <v>0</v>
      </c>
      <c r="O690" t="n">
        <v>0</v>
      </c>
      <c r="P690" t="n">
        <v>0</v>
      </c>
      <c r="Q690" t="n">
        <v>0</v>
      </c>
      <c r="R690" s="2" t="inlineStr"/>
    </row>
    <row r="691" ht="15" customHeight="1">
      <c r="A691" t="inlineStr">
        <is>
          <t>A 17109-2023</t>
        </is>
      </c>
      <c r="B691" s="1" t="n">
        <v>45034</v>
      </c>
      <c r="C691" s="1" t="n">
        <v>45657</v>
      </c>
      <c r="D691" t="inlineStr">
        <is>
          <t>VÄSTMANLANDS LÄN</t>
        </is>
      </c>
      <c r="E691" t="inlineStr">
        <is>
          <t>SALA</t>
        </is>
      </c>
      <c r="G691" t="n">
        <v>5.8</v>
      </c>
      <c r="H691" t="n">
        <v>0</v>
      </c>
      <c r="I691" t="n">
        <v>0</v>
      </c>
      <c r="J691" t="n">
        <v>0</v>
      </c>
      <c r="K691" t="n">
        <v>0</v>
      </c>
      <c r="L691" t="n">
        <v>0</v>
      </c>
      <c r="M691" t="n">
        <v>0</v>
      </c>
      <c r="N691" t="n">
        <v>0</v>
      </c>
      <c r="O691" t="n">
        <v>0</v>
      </c>
      <c r="P691" t="n">
        <v>0</v>
      </c>
      <c r="Q691" t="n">
        <v>0</v>
      </c>
      <c r="R691" s="2" t="inlineStr"/>
    </row>
    <row r="692" ht="15" customHeight="1">
      <c r="A692" t="inlineStr">
        <is>
          <t>A 17120-2023</t>
        </is>
      </c>
      <c r="B692" s="1" t="n">
        <v>45034</v>
      </c>
      <c r="C692" s="1" t="n">
        <v>45657</v>
      </c>
      <c r="D692" t="inlineStr">
        <is>
          <t>VÄSTMANLANDS LÄN</t>
        </is>
      </c>
      <c r="E692" t="inlineStr">
        <is>
          <t>SALA</t>
        </is>
      </c>
      <c r="G692" t="n">
        <v>0.1</v>
      </c>
      <c r="H692" t="n">
        <v>0</v>
      </c>
      <c r="I692" t="n">
        <v>0</v>
      </c>
      <c r="J692" t="n">
        <v>0</v>
      </c>
      <c r="K692" t="n">
        <v>0</v>
      </c>
      <c r="L692" t="n">
        <v>0</v>
      </c>
      <c r="M692" t="n">
        <v>0</v>
      </c>
      <c r="N692" t="n">
        <v>0</v>
      </c>
      <c r="O692" t="n">
        <v>0</v>
      </c>
      <c r="P692" t="n">
        <v>0</v>
      </c>
      <c r="Q692" t="n">
        <v>0</v>
      </c>
      <c r="R692" s="2" t="inlineStr"/>
    </row>
    <row r="693" ht="15" customHeight="1">
      <c r="A693" t="inlineStr">
        <is>
          <t>A 18100-2023</t>
        </is>
      </c>
      <c r="B693" s="1" t="n">
        <v>45040</v>
      </c>
      <c r="C693" s="1" t="n">
        <v>45657</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18431-2023</t>
        </is>
      </c>
      <c r="B694" s="1" t="n">
        <v>45042</v>
      </c>
      <c r="C694" s="1" t="n">
        <v>45657</v>
      </c>
      <c r="D694" t="inlineStr">
        <is>
          <t>VÄSTMANLANDS LÄN</t>
        </is>
      </c>
      <c r="E694" t="inlineStr">
        <is>
          <t>SALA</t>
        </is>
      </c>
      <c r="G694" t="n">
        <v>1.9</v>
      </c>
      <c r="H694" t="n">
        <v>0</v>
      </c>
      <c r="I694" t="n">
        <v>0</v>
      </c>
      <c r="J694" t="n">
        <v>0</v>
      </c>
      <c r="K694" t="n">
        <v>0</v>
      </c>
      <c r="L694" t="n">
        <v>0</v>
      </c>
      <c r="M694" t="n">
        <v>0</v>
      </c>
      <c r="N694" t="n">
        <v>0</v>
      </c>
      <c r="O694" t="n">
        <v>0</v>
      </c>
      <c r="P694" t="n">
        <v>0</v>
      </c>
      <c r="Q694" t="n">
        <v>0</v>
      </c>
      <c r="R694" s="2" t="inlineStr"/>
    </row>
    <row r="695" ht="15" customHeight="1">
      <c r="A695" t="inlineStr">
        <is>
          <t>A 18877-2023</t>
        </is>
      </c>
      <c r="B695" s="1" t="n">
        <v>45044</v>
      </c>
      <c r="C695" s="1" t="n">
        <v>45657</v>
      </c>
      <c r="D695" t="inlineStr">
        <is>
          <t>VÄSTMANLANDS LÄN</t>
        </is>
      </c>
      <c r="E695" t="inlineStr">
        <is>
          <t>SALA</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19916-2023</t>
        </is>
      </c>
      <c r="B696" s="1" t="n">
        <v>45054</v>
      </c>
      <c r="C696" s="1" t="n">
        <v>45657</v>
      </c>
      <c r="D696" t="inlineStr">
        <is>
          <t>VÄSTMANLANDS LÄN</t>
        </is>
      </c>
      <c r="E696" t="inlineStr">
        <is>
          <t>SALA</t>
        </is>
      </c>
      <c r="G696" t="n">
        <v>9.9</v>
      </c>
      <c r="H696" t="n">
        <v>0</v>
      </c>
      <c r="I696" t="n">
        <v>0</v>
      </c>
      <c r="J696" t="n">
        <v>0</v>
      </c>
      <c r="K696" t="n">
        <v>0</v>
      </c>
      <c r="L696" t="n">
        <v>0</v>
      </c>
      <c r="M696" t="n">
        <v>0</v>
      </c>
      <c r="N696" t="n">
        <v>0</v>
      </c>
      <c r="O696" t="n">
        <v>0</v>
      </c>
      <c r="P696" t="n">
        <v>0</v>
      </c>
      <c r="Q696" t="n">
        <v>0</v>
      </c>
      <c r="R696" s="2" t="inlineStr"/>
    </row>
    <row r="697" ht="15" customHeight="1">
      <c r="A697" t="inlineStr">
        <is>
          <t>A 20568-2023</t>
        </is>
      </c>
      <c r="B697" s="1" t="n">
        <v>45055</v>
      </c>
      <c r="C697" s="1" t="n">
        <v>45657</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20567-2023</t>
        </is>
      </c>
      <c r="B698" s="1" t="n">
        <v>45055</v>
      </c>
      <c r="C698" s="1" t="n">
        <v>45657</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20405-2023</t>
        </is>
      </c>
      <c r="B699" s="1" t="n">
        <v>45056</v>
      </c>
      <c r="C699" s="1" t="n">
        <v>45657</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20587-2023</t>
        </is>
      </c>
      <c r="B700" s="1" t="n">
        <v>45057</v>
      </c>
      <c r="C700" s="1" t="n">
        <v>45657</v>
      </c>
      <c r="D700" t="inlineStr">
        <is>
          <t>VÄSTMANLANDS LÄN</t>
        </is>
      </c>
      <c r="E700" t="inlineStr">
        <is>
          <t>SALA</t>
        </is>
      </c>
      <c r="G700" t="n">
        <v>1</v>
      </c>
      <c r="H700" t="n">
        <v>0</v>
      </c>
      <c r="I700" t="n">
        <v>0</v>
      </c>
      <c r="J700" t="n">
        <v>0</v>
      </c>
      <c r="K700" t="n">
        <v>0</v>
      </c>
      <c r="L700" t="n">
        <v>0</v>
      </c>
      <c r="M700" t="n">
        <v>0</v>
      </c>
      <c r="N700" t="n">
        <v>0</v>
      </c>
      <c r="O700" t="n">
        <v>0</v>
      </c>
      <c r="P700" t="n">
        <v>0</v>
      </c>
      <c r="Q700" t="n">
        <v>0</v>
      </c>
      <c r="R700" s="2" t="inlineStr"/>
    </row>
    <row r="701" ht="15" customHeight="1">
      <c r="A701" t="inlineStr">
        <is>
          <t>A 21455-2023</t>
        </is>
      </c>
      <c r="B701" s="1" t="n">
        <v>45058</v>
      </c>
      <c r="C701" s="1" t="n">
        <v>45657</v>
      </c>
      <c r="D701" t="inlineStr">
        <is>
          <t>VÄSTMANLANDS LÄN</t>
        </is>
      </c>
      <c r="E701" t="inlineStr">
        <is>
          <t>SALA</t>
        </is>
      </c>
      <c r="G701" t="n">
        <v>6.4</v>
      </c>
      <c r="H701" t="n">
        <v>0</v>
      </c>
      <c r="I701" t="n">
        <v>0</v>
      </c>
      <c r="J701" t="n">
        <v>0</v>
      </c>
      <c r="K701" t="n">
        <v>0</v>
      </c>
      <c r="L701" t="n">
        <v>0</v>
      </c>
      <c r="M701" t="n">
        <v>0</v>
      </c>
      <c r="N701" t="n">
        <v>0</v>
      </c>
      <c r="O701" t="n">
        <v>0</v>
      </c>
      <c r="P701" t="n">
        <v>0</v>
      </c>
      <c r="Q701" t="n">
        <v>0</v>
      </c>
      <c r="R701" s="2" t="inlineStr"/>
    </row>
    <row r="702" ht="15" customHeight="1">
      <c r="A702" t="inlineStr">
        <is>
          <t>A 22097-2023</t>
        </is>
      </c>
      <c r="B702" s="1" t="n">
        <v>45065</v>
      </c>
      <c r="C702" s="1" t="n">
        <v>45657</v>
      </c>
      <c r="D702" t="inlineStr">
        <is>
          <t>VÄSTMANLANDS LÄN</t>
        </is>
      </c>
      <c r="E702" t="inlineStr">
        <is>
          <t>SALA</t>
        </is>
      </c>
      <c r="G702" t="n">
        <v>3.6</v>
      </c>
      <c r="H702" t="n">
        <v>0</v>
      </c>
      <c r="I702" t="n">
        <v>0</v>
      </c>
      <c r="J702" t="n">
        <v>0</v>
      </c>
      <c r="K702" t="n">
        <v>0</v>
      </c>
      <c r="L702" t="n">
        <v>0</v>
      </c>
      <c r="M702" t="n">
        <v>0</v>
      </c>
      <c r="N702" t="n">
        <v>0</v>
      </c>
      <c r="O702" t="n">
        <v>0</v>
      </c>
      <c r="P702" t="n">
        <v>0</v>
      </c>
      <c r="Q702" t="n">
        <v>0</v>
      </c>
      <c r="R702" s="2" t="inlineStr"/>
    </row>
    <row r="703" ht="15" customHeight="1">
      <c r="A703" t="inlineStr">
        <is>
          <t>A 22076-2023</t>
        </is>
      </c>
      <c r="B703" s="1" t="n">
        <v>45069</v>
      </c>
      <c r="C703" s="1" t="n">
        <v>45657</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22146-2023</t>
        </is>
      </c>
      <c r="B704" s="1" t="n">
        <v>45069</v>
      </c>
      <c r="C704" s="1" t="n">
        <v>45657</v>
      </c>
      <c r="D704" t="inlineStr">
        <is>
          <t>VÄSTMANLANDS LÄN</t>
        </is>
      </c>
      <c r="E704" t="inlineStr">
        <is>
          <t>SALA</t>
        </is>
      </c>
      <c r="F704" t="inlineStr">
        <is>
          <t>Kommuner</t>
        </is>
      </c>
      <c r="G704" t="n">
        <v>9.9</v>
      </c>
      <c r="H704" t="n">
        <v>0</v>
      </c>
      <c r="I704" t="n">
        <v>0</v>
      </c>
      <c r="J704" t="n">
        <v>0</v>
      </c>
      <c r="K704" t="n">
        <v>0</v>
      </c>
      <c r="L704" t="n">
        <v>0</v>
      </c>
      <c r="M704" t="n">
        <v>0</v>
      </c>
      <c r="N704" t="n">
        <v>0</v>
      </c>
      <c r="O704" t="n">
        <v>0</v>
      </c>
      <c r="P704" t="n">
        <v>0</v>
      </c>
      <c r="Q704" t="n">
        <v>0</v>
      </c>
      <c r="R704" s="2" t="inlineStr"/>
    </row>
    <row r="705" ht="15" customHeight="1">
      <c r="A705" t="inlineStr">
        <is>
          <t>A 22091-2023</t>
        </is>
      </c>
      <c r="B705" s="1" t="n">
        <v>45069</v>
      </c>
      <c r="C705" s="1" t="n">
        <v>45657</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22082-2023</t>
        </is>
      </c>
      <c r="B706" s="1" t="n">
        <v>45069</v>
      </c>
      <c r="C706" s="1" t="n">
        <v>45657</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45657</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22921-2023</t>
        </is>
      </c>
      <c r="B708" s="1" t="n">
        <v>45070</v>
      </c>
      <c r="C708" s="1" t="n">
        <v>45657</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22963-2023</t>
        </is>
      </c>
      <c r="B709" s="1" t="n">
        <v>45072</v>
      </c>
      <c r="C709" s="1" t="n">
        <v>45657</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22961-2023</t>
        </is>
      </c>
      <c r="B710" s="1" t="n">
        <v>45072</v>
      </c>
      <c r="C710" s="1" t="n">
        <v>45657</v>
      </c>
      <c r="D710" t="inlineStr">
        <is>
          <t>VÄSTMANLANDS LÄN</t>
        </is>
      </c>
      <c r="E710" t="inlineStr">
        <is>
          <t>SALA</t>
        </is>
      </c>
      <c r="G710" t="n">
        <v>2.7</v>
      </c>
      <c r="H710" t="n">
        <v>0</v>
      </c>
      <c r="I710" t="n">
        <v>0</v>
      </c>
      <c r="J710" t="n">
        <v>0</v>
      </c>
      <c r="K710" t="n">
        <v>0</v>
      </c>
      <c r="L710" t="n">
        <v>0</v>
      </c>
      <c r="M710" t="n">
        <v>0</v>
      </c>
      <c r="N710" t="n">
        <v>0</v>
      </c>
      <c r="O710" t="n">
        <v>0</v>
      </c>
      <c r="P710" t="n">
        <v>0</v>
      </c>
      <c r="Q710" t="n">
        <v>0</v>
      </c>
      <c r="R710" s="2" t="inlineStr"/>
    </row>
    <row r="711" ht="15" customHeight="1">
      <c r="A711" t="inlineStr">
        <is>
          <t>A 23145-2023</t>
        </is>
      </c>
      <c r="B711" s="1" t="n">
        <v>45075</v>
      </c>
      <c r="C711" s="1" t="n">
        <v>45657</v>
      </c>
      <c r="D711" t="inlineStr">
        <is>
          <t>VÄSTMANLANDS LÄN</t>
        </is>
      </c>
      <c r="E711" t="inlineStr">
        <is>
          <t>SALA</t>
        </is>
      </c>
      <c r="G711" t="n">
        <v>5.3</v>
      </c>
      <c r="H711" t="n">
        <v>0</v>
      </c>
      <c r="I711" t="n">
        <v>0</v>
      </c>
      <c r="J711" t="n">
        <v>0</v>
      </c>
      <c r="K711" t="n">
        <v>0</v>
      </c>
      <c r="L711" t="n">
        <v>0</v>
      </c>
      <c r="M711" t="n">
        <v>0</v>
      </c>
      <c r="N711" t="n">
        <v>0</v>
      </c>
      <c r="O711" t="n">
        <v>0</v>
      </c>
      <c r="P711" t="n">
        <v>0</v>
      </c>
      <c r="Q711" t="n">
        <v>0</v>
      </c>
      <c r="R711" s="2" t="inlineStr"/>
    </row>
    <row r="712" ht="15" customHeight="1">
      <c r="A712" t="inlineStr">
        <is>
          <t>A 23146-2023</t>
        </is>
      </c>
      <c r="B712" s="1" t="n">
        <v>45075</v>
      </c>
      <c r="C712" s="1" t="n">
        <v>45657</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23224-2023</t>
        </is>
      </c>
      <c r="B713" s="1" t="n">
        <v>45075</v>
      </c>
      <c r="C713" s="1" t="n">
        <v>45657</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23222-2023</t>
        </is>
      </c>
      <c r="B714" s="1" t="n">
        <v>45075</v>
      </c>
      <c r="C714" s="1" t="n">
        <v>45657</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23232-2023</t>
        </is>
      </c>
      <c r="B715" s="1" t="n">
        <v>45075</v>
      </c>
      <c r="C715" s="1" t="n">
        <v>45657</v>
      </c>
      <c r="D715" t="inlineStr">
        <is>
          <t>VÄSTMANLANDS LÄN</t>
        </is>
      </c>
      <c r="E715" t="inlineStr">
        <is>
          <t>SALA</t>
        </is>
      </c>
      <c r="G715" t="n">
        <v>1.6</v>
      </c>
      <c r="H715" t="n">
        <v>0</v>
      </c>
      <c r="I715" t="n">
        <v>0</v>
      </c>
      <c r="J715" t="n">
        <v>0</v>
      </c>
      <c r="K715" t="n">
        <v>0</v>
      </c>
      <c r="L715" t="n">
        <v>0</v>
      </c>
      <c r="M715" t="n">
        <v>0</v>
      </c>
      <c r="N715" t="n">
        <v>0</v>
      </c>
      <c r="O715" t="n">
        <v>0</v>
      </c>
      <c r="P715" t="n">
        <v>0</v>
      </c>
      <c r="Q715" t="n">
        <v>0</v>
      </c>
      <c r="R715" s="2" t="inlineStr"/>
    </row>
    <row r="716" ht="15" customHeight="1">
      <c r="A716" t="inlineStr">
        <is>
          <t>A 23374-2023</t>
        </is>
      </c>
      <c r="B716" s="1" t="n">
        <v>45076</v>
      </c>
      <c r="C716" s="1" t="n">
        <v>45657</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23372-2023</t>
        </is>
      </c>
      <c r="B717" s="1" t="n">
        <v>45076</v>
      </c>
      <c r="C717" s="1" t="n">
        <v>45657</v>
      </c>
      <c r="D717" t="inlineStr">
        <is>
          <t>VÄSTMANLANDS LÄN</t>
        </is>
      </c>
      <c r="E717" t="inlineStr">
        <is>
          <t>SALA</t>
        </is>
      </c>
      <c r="G717" t="n">
        <v>2.2</v>
      </c>
      <c r="H717" t="n">
        <v>0</v>
      </c>
      <c r="I717" t="n">
        <v>0</v>
      </c>
      <c r="J717" t="n">
        <v>0</v>
      </c>
      <c r="K717" t="n">
        <v>0</v>
      </c>
      <c r="L717" t="n">
        <v>0</v>
      </c>
      <c r="M717" t="n">
        <v>0</v>
      </c>
      <c r="N717" t="n">
        <v>0</v>
      </c>
      <c r="O717" t="n">
        <v>0</v>
      </c>
      <c r="P717" t="n">
        <v>0</v>
      </c>
      <c r="Q717" t="n">
        <v>0</v>
      </c>
      <c r="R717" s="2" t="inlineStr"/>
    </row>
    <row r="718" ht="15" customHeight="1">
      <c r="A718" t="inlineStr">
        <is>
          <t>A 23659-2023</t>
        </is>
      </c>
      <c r="B718" s="1" t="n">
        <v>45077</v>
      </c>
      <c r="C718" s="1" t="n">
        <v>45657</v>
      </c>
      <c r="D718" t="inlineStr">
        <is>
          <t>VÄSTMANLANDS LÄN</t>
        </is>
      </c>
      <c r="E718" t="inlineStr">
        <is>
          <t>SALA</t>
        </is>
      </c>
      <c r="G718" t="n">
        <v>2.5</v>
      </c>
      <c r="H718" t="n">
        <v>0</v>
      </c>
      <c r="I718" t="n">
        <v>0</v>
      </c>
      <c r="J718" t="n">
        <v>0</v>
      </c>
      <c r="K718" t="n">
        <v>0</v>
      </c>
      <c r="L718" t="n">
        <v>0</v>
      </c>
      <c r="M718" t="n">
        <v>0</v>
      </c>
      <c r="N718" t="n">
        <v>0</v>
      </c>
      <c r="O718" t="n">
        <v>0</v>
      </c>
      <c r="P718" t="n">
        <v>0</v>
      </c>
      <c r="Q718" t="n">
        <v>0</v>
      </c>
      <c r="R718" s="2" t="inlineStr"/>
    </row>
    <row r="719" ht="15" customHeight="1">
      <c r="A719" t="inlineStr">
        <is>
          <t>A 24248-2023</t>
        </is>
      </c>
      <c r="B719" s="1" t="n">
        <v>45079</v>
      </c>
      <c r="C719" s="1" t="n">
        <v>45657</v>
      </c>
      <c r="D719" t="inlineStr">
        <is>
          <t>VÄSTMANLANDS LÄN</t>
        </is>
      </c>
      <c r="E719" t="inlineStr">
        <is>
          <t>SALA</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24495-2023</t>
        </is>
      </c>
      <c r="B720" s="1" t="n">
        <v>45082</v>
      </c>
      <c r="C720" s="1" t="n">
        <v>45657</v>
      </c>
      <c r="D720" t="inlineStr">
        <is>
          <t>VÄSTMANLANDS LÄN</t>
        </is>
      </c>
      <c r="E720" t="inlineStr">
        <is>
          <t>SALA</t>
        </is>
      </c>
      <c r="G720" t="n">
        <v>5.2</v>
      </c>
      <c r="H720" t="n">
        <v>0</v>
      </c>
      <c r="I720" t="n">
        <v>0</v>
      </c>
      <c r="J720" t="n">
        <v>0</v>
      </c>
      <c r="K720" t="n">
        <v>0</v>
      </c>
      <c r="L720" t="n">
        <v>0</v>
      </c>
      <c r="M720" t="n">
        <v>0</v>
      </c>
      <c r="N720" t="n">
        <v>0</v>
      </c>
      <c r="O720" t="n">
        <v>0</v>
      </c>
      <c r="P720" t="n">
        <v>0</v>
      </c>
      <c r="Q720" t="n">
        <v>0</v>
      </c>
      <c r="R720" s="2" t="inlineStr"/>
    </row>
    <row r="721" ht="15" customHeight="1">
      <c r="A721" t="inlineStr">
        <is>
          <t>A 24585-2023</t>
        </is>
      </c>
      <c r="B721" s="1" t="n">
        <v>45083</v>
      </c>
      <c r="C721" s="1" t="n">
        <v>45657</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24584-2023</t>
        </is>
      </c>
      <c r="B722" s="1" t="n">
        <v>45083</v>
      </c>
      <c r="C722" s="1" t="n">
        <v>45657</v>
      </c>
      <c r="D722" t="inlineStr">
        <is>
          <t>VÄSTMANLANDS LÄN</t>
        </is>
      </c>
      <c r="E722" t="inlineStr">
        <is>
          <t>SALA</t>
        </is>
      </c>
      <c r="F722" t="inlineStr">
        <is>
          <t>Sveaskog</t>
        </is>
      </c>
      <c r="G722" t="n">
        <v>7.2</v>
      </c>
      <c r="H722" t="n">
        <v>0</v>
      </c>
      <c r="I722" t="n">
        <v>0</v>
      </c>
      <c r="J722" t="n">
        <v>0</v>
      </c>
      <c r="K722" t="n">
        <v>0</v>
      </c>
      <c r="L722" t="n">
        <v>0</v>
      </c>
      <c r="M722" t="n">
        <v>0</v>
      </c>
      <c r="N722" t="n">
        <v>0</v>
      </c>
      <c r="O722" t="n">
        <v>0</v>
      </c>
      <c r="P722" t="n">
        <v>0</v>
      </c>
      <c r="Q722" t="n">
        <v>0</v>
      </c>
      <c r="R722" s="2" t="inlineStr"/>
    </row>
    <row r="723" ht="15" customHeight="1">
      <c r="A723" t="inlineStr">
        <is>
          <t>A 24586-2023</t>
        </is>
      </c>
      <c r="B723" s="1" t="n">
        <v>45083</v>
      </c>
      <c r="C723" s="1" t="n">
        <v>45657</v>
      </c>
      <c r="D723" t="inlineStr">
        <is>
          <t>VÄSTMANLANDS LÄN</t>
        </is>
      </c>
      <c r="E723" t="inlineStr">
        <is>
          <t>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24773-2023</t>
        </is>
      </c>
      <c r="B724" s="1" t="n">
        <v>45084</v>
      </c>
      <c r="C724" s="1" t="n">
        <v>45657</v>
      </c>
      <c r="D724" t="inlineStr">
        <is>
          <t>VÄSTMANLANDS LÄN</t>
        </is>
      </c>
      <c r="E724" t="inlineStr">
        <is>
          <t>SALA</t>
        </is>
      </c>
      <c r="G724" t="n">
        <v>5</v>
      </c>
      <c r="H724" t="n">
        <v>0</v>
      </c>
      <c r="I724" t="n">
        <v>0</v>
      </c>
      <c r="J724" t="n">
        <v>0</v>
      </c>
      <c r="K724" t="n">
        <v>0</v>
      </c>
      <c r="L724" t="n">
        <v>0</v>
      </c>
      <c r="M724" t="n">
        <v>0</v>
      </c>
      <c r="N724" t="n">
        <v>0</v>
      </c>
      <c r="O724" t="n">
        <v>0</v>
      </c>
      <c r="P724" t="n">
        <v>0</v>
      </c>
      <c r="Q724" t="n">
        <v>0</v>
      </c>
      <c r="R724" s="2" t="inlineStr"/>
    </row>
    <row r="725" ht="15" customHeight="1">
      <c r="A725" t="inlineStr">
        <is>
          <t>A 24777-2023</t>
        </is>
      </c>
      <c r="B725" s="1" t="n">
        <v>45084</v>
      </c>
      <c r="C725" s="1" t="n">
        <v>45657</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24944-2023</t>
        </is>
      </c>
      <c r="B726" s="1" t="n">
        <v>45085</v>
      </c>
      <c r="C726" s="1" t="n">
        <v>45657</v>
      </c>
      <c r="D726" t="inlineStr">
        <is>
          <t>VÄSTMANLANDS LÄN</t>
        </is>
      </c>
      <c r="E726" t="inlineStr">
        <is>
          <t>SALA</t>
        </is>
      </c>
      <c r="G726" t="n">
        <v>3.8</v>
      </c>
      <c r="H726" t="n">
        <v>0</v>
      </c>
      <c r="I726" t="n">
        <v>0</v>
      </c>
      <c r="J726" t="n">
        <v>0</v>
      </c>
      <c r="K726" t="n">
        <v>0</v>
      </c>
      <c r="L726" t="n">
        <v>0</v>
      </c>
      <c r="M726" t="n">
        <v>0</v>
      </c>
      <c r="N726" t="n">
        <v>0</v>
      </c>
      <c r="O726" t="n">
        <v>0</v>
      </c>
      <c r="P726" t="n">
        <v>0</v>
      </c>
      <c r="Q726" t="n">
        <v>0</v>
      </c>
      <c r="R726" s="2" t="inlineStr"/>
    </row>
    <row r="727" ht="15" customHeight="1">
      <c r="A727" t="inlineStr">
        <is>
          <t>A 25260-2023</t>
        </is>
      </c>
      <c r="B727" s="1" t="n">
        <v>45086</v>
      </c>
      <c r="C727" s="1" t="n">
        <v>45657</v>
      </c>
      <c r="D727" t="inlineStr">
        <is>
          <t>VÄSTMANLANDS LÄN</t>
        </is>
      </c>
      <c r="E727" t="inlineStr">
        <is>
          <t>SALA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25233-2023</t>
        </is>
      </c>
      <c r="B728" s="1" t="n">
        <v>45086</v>
      </c>
      <c r="C728" s="1" t="n">
        <v>45657</v>
      </c>
      <c r="D728" t="inlineStr">
        <is>
          <t>VÄSTMANLANDS LÄN</t>
        </is>
      </c>
      <c r="E728" t="inlineStr">
        <is>
          <t>SALA</t>
        </is>
      </c>
      <c r="F728" t="inlineStr">
        <is>
          <t>Kommuner</t>
        </is>
      </c>
      <c r="G728" t="n">
        <v>4.7</v>
      </c>
      <c r="H728" t="n">
        <v>0</v>
      </c>
      <c r="I728" t="n">
        <v>0</v>
      </c>
      <c r="J728" t="n">
        <v>0</v>
      </c>
      <c r="K728" t="n">
        <v>0</v>
      </c>
      <c r="L728" t="n">
        <v>0</v>
      </c>
      <c r="M728" t="n">
        <v>0</v>
      </c>
      <c r="N728" t="n">
        <v>0</v>
      </c>
      <c r="O728" t="n">
        <v>0</v>
      </c>
      <c r="P728" t="n">
        <v>0</v>
      </c>
      <c r="Q728" t="n">
        <v>0</v>
      </c>
      <c r="R728" s="2" t="inlineStr"/>
    </row>
    <row r="729" ht="15" customHeight="1">
      <c r="A729" t="inlineStr">
        <is>
          <t>A 26229-2023</t>
        </is>
      </c>
      <c r="B729" s="1" t="n">
        <v>45086</v>
      </c>
      <c r="C729" s="1" t="n">
        <v>45657</v>
      </c>
      <c r="D729" t="inlineStr">
        <is>
          <t>VÄSTMANLANDS LÄN</t>
        </is>
      </c>
      <c r="E729" t="inlineStr">
        <is>
          <t>SALA</t>
        </is>
      </c>
      <c r="G729" t="n">
        <v>6.6</v>
      </c>
      <c r="H729" t="n">
        <v>0</v>
      </c>
      <c r="I729" t="n">
        <v>0</v>
      </c>
      <c r="J729" t="n">
        <v>0</v>
      </c>
      <c r="K729" t="n">
        <v>0</v>
      </c>
      <c r="L729" t="n">
        <v>0</v>
      </c>
      <c r="M729" t="n">
        <v>0</v>
      </c>
      <c r="N729" t="n">
        <v>0</v>
      </c>
      <c r="O729" t="n">
        <v>0</v>
      </c>
      <c r="P729" t="n">
        <v>0</v>
      </c>
      <c r="Q729" t="n">
        <v>0</v>
      </c>
      <c r="R729" s="2" t="inlineStr"/>
    </row>
    <row r="730" ht="15" customHeight="1">
      <c r="A730" t="inlineStr">
        <is>
          <t>A 25566-2023</t>
        </is>
      </c>
      <c r="B730" s="1" t="n">
        <v>45089</v>
      </c>
      <c r="C730" s="1" t="n">
        <v>45657</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25571-2023</t>
        </is>
      </c>
      <c r="B731" s="1" t="n">
        <v>45089</v>
      </c>
      <c r="C731" s="1" t="n">
        <v>45657</v>
      </c>
      <c r="D731" t="inlineStr">
        <is>
          <t>VÄSTMANLANDS LÄN</t>
        </is>
      </c>
      <c r="E731" t="inlineStr">
        <is>
          <t>SALA</t>
        </is>
      </c>
      <c r="G731" t="n">
        <v>1.7</v>
      </c>
      <c r="H731" t="n">
        <v>0</v>
      </c>
      <c r="I731" t="n">
        <v>0</v>
      </c>
      <c r="J731" t="n">
        <v>0</v>
      </c>
      <c r="K731" t="n">
        <v>0</v>
      </c>
      <c r="L731" t="n">
        <v>0</v>
      </c>
      <c r="M731" t="n">
        <v>0</v>
      </c>
      <c r="N731" t="n">
        <v>0</v>
      </c>
      <c r="O731" t="n">
        <v>0</v>
      </c>
      <c r="P731" t="n">
        <v>0</v>
      </c>
      <c r="Q731" t="n">
        <v>0</v>
      </c>
      <c r="R731" s="2" t="inlineStr"/>
    </row>
    <row r="732" ht="15" customHeight="1">
      <c r="A732" t="inlineStr">
        <is>
          <t>A 25576-2023</t>
        </is>
      </c>
      <c r="B732" s="1" t="n">
        <v>45089</v>
      </c>
      <c r="C732" s="1" t="n">
        <v>45657</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25580-2023</t>
        </is>
      </c>
      <c r="B733" s="1" t="n">
        <v>45089</v>
      </c>
      <c r="C733" s="1" t="n">
        <v>45657</v>
      </c>
      <c r="D733" t="inlineStr">
        <is>
          <t>VÄSTMANLANDS LÄN</t>
        </is>
      </c>
      <c r="E733" t="inlineStr">
        <is>
          <t>SALA</t>
        </is>
      </c>
      <c r="G733" t="n">
        <v>0.8</v>
      </c>
      <c r="H733" t="n">
        <v>0</v>
      </c>
      <c r="I733" t="n">
        <v>0</v>
      </c>
      <c r="J733" t="n">
        <v>0</v>
      </c>
      <c r="K733" t="n">
        <v>0</v>
      </c>
      <c r="L733" t="n">
        <v>0</v>
      </c>
      <c r="M733" t="n">
        <v>0</v>
      </c>
      <c r="N733" t="n">
        <v>0</v>
      </c>
      <c r="O733" t="n">
        <v>0</v>
      </c>
      <c r="P733" t="n">
        <v>0</v>
      </c>
      <c r="Q733" t="n">
        <v>0</v>
      </c>
      <c r="R733" s="2" t="inlineStr"/>
    </row>
    <row r="734" ht="15" customHeight="1">
      <c r="A734" t="inlineStr">
        <is>
          <t>A 25894-2023</t>
        </is>
      </c>
      <c r="B734" s="1" t="n">
        <v>45090</v>
      </c>
      <c r="C734" s="1" t="n">
        <v>45657</v>
      </c>
      <c r="D734" t="inlineStr">
        <is>
          <t>VÄSTMANLANDS LÄN</t>
        </is>
      </c>
      <c r="E734" t="inlineStr">
        <is>
          <t>SALA</t>
        </is>
      </c>
      <c r="G734" t="n">
        <v>3.2</v>
      </c>
      <c r="H734" t="n">
        <v>0</v>
      </c>
      <c r="I734" t="n">
        <v>0</v>
      </c>
      <c r="J734" t="n">
        <v>0</v>
      </c>
      <c r="K734" t="n">
        <v>0</v>
      </c>
      <c r="L734" t="n">
        <v>0</v>
      </c>
      <c r="M734" t="n">
        <v>0</v>
      </c>
      <c r="N734" t="n">
        <v>0</v>
      </c>
      <c r="O734" t="n">
        <v>0</v>
      </c>
      <c r="P734" t="n">
        <v>0</v>
      </c>
      <c r="Q734" t="n">
        <v>0</v>
      </c>
      <c r="R734" s="2" t="inlineStr"/>
    </row>
    <row r="735" ht="15" customHeight="1">
      <c r="A735" t="inlineStr">
        <is>
          <t>A 26607-2023</t>
        </is>
      </c>
      <c r="B735" s="1" t="n">
        <v>45090</v>
      </c>
      <c r="C735" s="1" t="n">
        <v>45657</v>
      </c>
      <c r="D735" t="inlineStr">
        <is>
          <t>VÄSTMANLANDS LÄN</t>
        </is>
      </c>
      <c r="E735" t="inlineStr">
        <is>
          <t>SALA</t>
        </is>
      </c>
      <c r="G735" t="n">
        <v>4.8</v>
      </c>
      <c r="H735" t="n">
        <v>0</v>
      </c>
      <c r="I735" t="n">
        <v>0</v>
      </c>
      <c r="J735" t="n">
        <v>0</v>
      </c>
      <c r="K735" t="n">
        <v>0</v>
      </c>
      <c r="L735" t="n">
        <v>0</v>
      </c>
      <c r="M735" t="n">
        <v>0</v>
      </c>
      <c r="N735" t="n">
        <v>0</v>
      </c>
      <c r="O735" t="n">
        <v>0</v>
      </c>
      <c r="P735" t="n">
        <v>0</v>
      </c>
      <c r="Q735" t="n">
        <v>0</v>
      </c>
      <c r="R735" s="2" t="inlineStr"/>
    </row>
    <row r="736" ht="15" customHeight="1">
      <c r="A736" t="inlineStr">
        <is>
          <t>A 26505-2023</t>
        </is>
      </c>
      <c r="B736" s="1" t="n">
        <v>45092</v>
      </c>
      <c r="C736" s="1" t="n">
        <v>45657</v>
      </c>
      <c r="D736" t="inlineStr">
        <is>
          <t>VÄSTMANLANDS LÄN</t>
        </is>
      </c>
      <c r="E736" t="inlineStr">
        <is>
          <t>SALA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26509-2023</t>
        </is>
      </c>
      <c r="B737" s="1" t="n">
        <v>45092</v>
      </c>
      <c r="C737" s="1" t="n">
        <v>45657</v>
      </c>
      <c r="D737" t="inlineStr">
        <is>
          <t>VÄSTMANLANDS LÄN</t>
        </is>
      </c>
      <c r="E737" t="inlineStr">
        <is>
          <t>SALA</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26508-2023</t>
        </is>
      </c>
      <c r="B738" s="1" t="n">
        <v>45092</v>
      </c>
      <c r="C738" s="1" t="n">
        <v>45657</v>
      </c>
      <c r="D738" t="inlineStr">
        <is>
          <t>VÄSTMANLANDS LÄN</t>
        </is>
      </c>
      <c r="E738" t="inlineStr">
        <is>
          <t>SALA</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26416-2023</t>
        </is>
      </c>
      <c r="B739" s="1" t="n">
        <v>45092</v>
      </c>
      <c r="C739" s="1" t="n">
        <v>45657</v>
      </c>
      <c r="D739" t="inlineStr">
        <is>
          <t>VÄSTMANLANDS LÄN</t>
        </is>
      </c>
      <c r="E739" t="inlineStr">
        <is>
          <t>SALA</t>
        </is>
      </c>
      <c r="G739" t="n">
        <v>2.9</v>
      </c>
      <c r="H739" t="n">
        <v>0</v>
      </c>
      <c r="I739" t="n">
        <v>0</v>
      </c>
      <c r="J739" t="n">
        <v>0</v>
      </c>
      <c r="K739" t="n">
        <v>0</v>
      </c>
      <c r="L739" t="n">
        <v>0</v>
      </c>
      <c r="M739" t="n">
        <v>0</v>
      </c>
      <c r="N739" t="n">
        <v>0</v>
      </c>
      <c r="O739" t="n">
        <v>0</v>
      </c>
      <c r="P739" t="n">
        <v>0</v>
      </c>
      <c r="Q739" t="n">
        <v>0</v>
      </c>
      <c r="R739" s="2" t="inlineStr"/>
    </row>
    <row r="740" ht="15" customHeight="1">
      <c r="A740" t="inlineStr">
        <is>
          <t>A 26507-2023</t>
        </is>
      </c>
      <c r="B740" s="1" t="n">
        <v>45092</v>
      </c>
      <c r="C740" s="1" t="n">
        <v>45657</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26692-2023</t>
        </is>
      </c>
      <c r="B741" s="1" t="n">
        <v>45093</v>
      </c>
      <c r="C741" s="1" t="n">
        <v>45657</v>
      </c>
      <c r="D741" t="inlineStr">
        <is>
          <t>VÄSTMANLANDS LÄN</t>
        </is>
      </c>
      <c r="E741" t="inlineStr">
        <is>
          <t>SALA</t>
        </is>
      </c>
      <c r="G741" t="n">
        <v>1.8</v>
      </c>
      <c r="H741" t="n">
        <v>0</v>
      </c>
      <c r="I741" t="n">
        <v>0</v>
      </c>
      <c r="J741" t="n">
        <v>0</v>
      </c>
      <c r="K741" t="n">
        <v>0</v>
      </c>
      <c r="L741" t="n">
        <v>0</v>
      </c>
      <c r="M741" t="n">
        <v>0</v>
      </c>
      <c r="N741" t="n">
        <v>0</v>
      </c>
      <c r="O741" t="n">
        <v>0</v>
      </c>
      <c r="P741" t="n">
        <v>0</v>
      </c>
      <c r="Q741" t="n">
        <v>0</v>
      </c>
      <c r="R741" s="2" t="inlineStr"/>
    </row>
    <row r="742" ht="15" customHeight="1">
      <c r="A742" t="inlineStr">
        <is>
          <t>A 26761-2023</t>
        </is>
      </c>
      <c r="B742" s="1" t="n">
        <v>45093</v>
      </c>
      <c r="C742" s="1" t="n">
        <v>45657</v>
      </c>
      <c r="D742" t="inlineStr">
        <is>
          <t>VÄSTMANLANDS LÄN</t>
        </is>
      </c>
      <c r="E742" t="inlineStr">
        <is>
          <t>SALA</t>
        </is>
      </c>
      <c r="G742" t="n">
        <v>4.3</v>
      </c>
      <c r="H742" t="n">
        <v>0</v>
      </c>
      <c r="I742" t="n">
        <v>0</v>
      </c>
      <c r="J742" t="n">
        <v>0</v>
      </c>
      <c r="K742" t="n">
        <v>0</v>
      </c>
      <c r="L742" t="n">
        <v>0</v>
      </c>
      <c r="M742" t="n">
        <v>0</v>
      </c>
      <c r="N742" t="n">
        <v>0</v>
      </c>
      <c r="O742" t="n">
        <v>0</v>
      </c>
      <c r="P742" t="n">
        <v>0</v>
      </c>
      <c r="Q742" t="n">
        <v>0</v>
      </c>
      <c r="R742" s="2" t="inlineStr"/>
    </row>
    <row r="743" ht="15" customHeight="1">
      <c r="A743" t="inlineStr">
        <is>
          <t>A 27023-2023</t>
        </is>
      </c>
      <c r="B743" s="1" t="n">
        <v>45094</v>
      </c>
      <c r="C743" s="1" t="n">
        <v>45657</v>
      </c>
      <c r="D743" t="inlineStr">
        <is>
          <t>VÄSTMANLANDS LÄN</t>
        </is>
      </c>
      <c r="E743" t="inlineStr">
        <is>
          <t>SALA</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27038-2023</t>
        </is>
      </c>
      <c r="B744" s="1" t="n">
        <v>45095</v>
      </c>
      <c r="C744" s="1" t="n">
        <v>45657</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27228-2023</t>
        </is>
      </c>
      <c r="B745" s="1" t="n">
        <v>45096</v>
      </c>
      <c r="C745" s="1" t="n">
        <v>45657</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27255-2023</t>
        </is>
      </c>
      <c r="B746" s="1" t="n">
        <v>45096</v>
      </c>
      <c r="C746" s="1" t="n">
        <v>45657</v>
      </c>
      <c r="D746" t="inlineStr">
        <is>
          <t>VÄSTMANLANDS LÄN</t>
        </is>
      </c>
      <c r="E746" t="inlineStr">
        <is>
          <t>SALA</t>
        </is>
      </c>
      <c r="F746" t="inlineStr">
        <is>
          <t>Sveaskog</t>
        </is>
      </c>
      <c r="G746" t="n">
        <v>2.3</v>
      </c>
      <c r="H746" t="n">
        <v>0</v>
      </c>
      <c r="I746" t="n">
        <v>0</v>
      </c>
      <c r="J746" t="n">
        <v>0</v>
      </c>
      <c r="K746" t="n">
        <v>0</v>
      </c>
      <c r="L746" t="n">
        <v>0</v>
      </c>
      <c r="M746" t="n">
        <v>0</v>
      </c>
      <c r="N746" t="n">
        <v>0</v>
      </c>
      <c r="O746" t="n">
        <v>0</v>
      </c>
      <c r="P746" t="n">
        <v>0</v>
      </c>
      <c r="Q746" t="n">
        <v>0</v>
      </c>
      <c r="R746" s="2" t="inlineStr"/>
    </row>
    <row r="747" ht="15" customHeight="1">
      <c r="A747" t="inlineStr">
        <is>
          <t>A 27424-2023</t>
        </is>
      </c>
      <c r="B747" s="1" t="n">
        <v>45097</v>
      </c>
      <c r="C747" s="1" t="n">
        <v>45657</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27638-2023</t>
        </is>
      </c>
      <c r="B748" s="1" t="n">
        <v>45097</v>
      </c>
      <c r="C748" s="1" t="n">
        <v>45657</v>
      </c>
      <c r="D748" t="inlineStr">
        <is>
          <t>VÄSTMANLANDS LÄN</t>
        </is>
      </c>
      <c r="E748" t="inlineStr">
        <is>
          <t>SALA</t>
        </is>
      </c>
      <c r="G748" t="n">
        <v>8.4</v>
      </c>
      <c r="H748" t="n">
        <v>0</v>
      </c>
      <c r="I748" t="n">
        <v>0</v>
      </c>
      <c r="J748" t="n">
        <v>0</v>
      </c>
      <c r="K748" t="n">
        <v>0</v>
      </c>
      <c r="L748" t="n">
        <v>0</v>
      </c>
      <c r="M748" t="n">
        <v>0</v>
      </c>
      <c r="N748" t="n">
        <v>0</v>
      </c>
      <c r="O748" t="n">
        <v>0</v>
      </c>
      <c r="P748" t="n">
        <v>0</v>
      </c>
      <c r="Q748" t="n">
        <v>0</v>
      </c>
      <c r="R748" s="2" t="inlineStr"/>
    </row>
    <row r="749" ht="15" customHeight="1">
      <c r="A749" t="inlineStr">
        <is>
          <t>A 27657-2023</t>
        </is>
      </c>
      <c r="B749" s="1" t="n">
        <v>45097</v>
      </c>
      <c r="C749" s="1" t="n">
        <v>45657</v>
      </c>
      <c r="D749" t="inlineStr">
        <is>
          <t>VÄSTMANLANDS LÄN</t>
        </is>
      </c>
      <c r="E749" t="inlineStr">
        <is>
          <t>SALA</t>
        </is>
      </c>
      <c r="G749" t="n">
        <v>0.1</v>
      </c>
      <c r="H749" t="n">
        <v>0</v>
      </c>
      <c r="I749" t="n">
        <v>0</v>
      </c>
      <c r="J749" t="n">
        <v>0</v>
      </c>
      <c r="K749" t="n">
        <v>0</v>
      </c>
      <c r="L749" t="n">
        <v>0</v>
      </c>
      <c r="M749" t="n">
        <v>0</v>
      </c>
      <c r="N749" t="n">
        <v>0</v>
      </c>
      <c r="O749" t="n">
        <v>0</v>
      </c>
      <c r="P749" t="n">
        <v>0</v>
      </c>
      <c r="Q749" t="n">
        <v>0</v>
      </c>
      <c r="R749" s="2" t="inlineStr"/>
    </row>
    <row r="750" ht="15" customHeight="1">
      <c r="A750" t="inlineStr">
        <is>
          <t>A 27744-2023</t>
        </is>
      </c>
      <c r="B750" s="1" t="n">
        <v>45098</v>
      </c>
      <c r="C750" s="1" t="n">
        <v>45657</v>
      </c>
      <c r="D750" t="inlineStr">
        <is>
          <t>VÄSTMANLANDS LÄN</t>
        </is>
      </c>
      <c r="E750" t="inlineStr">
        <is>
          <t>SALA</t>
        </is>
      </c>
      <c r="G750" t="n">
        <v>5.7</v>
      </c>
      <c r="H750" t="n">
        <v>0</v>
      </c>
      <c r="I750" t="n">
        <v>0</v>
      </c>
      <c r="J750" t="n">
        <v>0</v>
      </c>
      <c r="K750" t="n">
        <v>0</v>
      </c>
      <c r="L750" t="n">
        <v>0</v>
      </c>
      <c r="M750" t="n">
        <v>0</v>
      </c>
      <c r="N750" t="n">
        <v>0</v>
      </c>
      <c r="O750" t="n">
        <v>0</v>
      </c>
      <c r="P750" t="n">
        <v>0</v>
      </c>
      <c r="Q750" t="n">
        <v>0</v>
      </c>
      <c r="R750" s="2" t="inlineStr"/>
    </row>
    <row r="751" ht="15" customHeight="1">
      <c r="A751" t="inlineStr">
        <is>
          <t>A 27834-2023</t>
        </is>
      </c>
      <c r="B751" s="1" t="n">
        <v>45098</v>
      </c>
      <c r="C751" s="1" t="n">
        <v>45657</v>
      </c>
      <c r="D751" t="inlineStr">
        <is>
          <t>VÄSTMANLANDS LÄN</t>
        </is>
      </c>
      <c r="E751" t="inlineStr">
        <is>
          <t>SALA</t>
        </is>
      </c>
      <c r="G751" t="n">
        <v>5</v>
      </c>
      <c r="H751" t="n">
        <v>0</v>
      </c>
      <c r="I751" t="n">
        <v>0</v>
      </c>
      <c r="J751" t="n">
        <v>0</v>
      </c>
      <c r="K751" t="n">
        <v>0</v>
      </c>
      <c r="L751" t="n">
        <v>0</v>
      </c>
      <c r="M751" t="n">
        <v>0</v>
      </c>
      <c r="N751" t="n">
        <v>0</v>
      </c>
      <c r="O751" t="n">
        <v>0</v>
      </c>
      <c r="P751" t="n">
        <v>0</v>
      </c>
      <c r="Q751" t="n">
        <v>0</v>
      </c>
      <c r="R751" s="2" t="inlineStr"/>
    </row>
    <row r="752" ht="15" customHeight="1">
      <c r="A752" t="inlineStr">
        <is>
          <t>A 27824-2023</t>
        </is>
      </c>
      <c r="B752" s="1" t="n">
        <v>45098</v>
      </c>
      <c r="C752" s="1" t="n">
        <v>45657</v>
      </c>
      <c r="D752" t="inlineStr">
        <is>
          <t>VÄSTMANLANDS LÄN</t>
        </is>
      </c>
      <c r="E752" t="inlineStr">
        <is>
          <t>SALA</t>
        </is>
      </c>
      <c r="G752" t="n">
        <v>5.3</v>
      </c>
      <c r="H752" t="n">
        <v>0</v>
      </c>
      <c r="I752" t="n">
        <v>0</v>
      </c>
      <c r="J752" t="n">
        <v>0</v>
      </c>
      <c r="K752" t="n">
        <v>0</v>
      </c>
      <c r="L752" t="n">
        <v>0</v>
      </c>
      <c r="M752" t="n">
        <v>0</v>
      </c>
      <c r="N752" t="n">
        <v>0</v>
      </c>
      <c r="O752" t="n">
        <v>0</v>
      </c>
      <c r="P752" t="n">
        <v>0</v>
      </c>
      <c r="Q752" t="n">
        <v>0</v>
      </c>
      <c r="R752" s="2" t="inlineStr"/>
    </row>
    <row r="753" ht="15" customHeight="1">
      <c r="A753" t="inlineStr">
        <is>
          <t>A 27749-2023</t>
        </is>
      </c>
      <c r="B753" s="1" t="n">
        <v>45098</v>
      </c>
      <c r="C753" s="1" t="n">
        <v>45657</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29542-2023</t>
        </is>
      </c>
      <c r="B754" s="1" t="n">
        <v>45098</v>
      </c>
      <c r="C754" s="1" t="n">
        <v>45657</v>
      </c>
      <c r="D754" t="inlineStr">
        <is>
          <t>VÄSTMANLANDS LÄN</t>
        </is>
      </c>
      <c r="E754" t="inlineStr">
        <is>
          <t>SALA</t>
        </is>
      </c>
      <c r="G754" t="n">
        <v>4.8</v>
      </c>
      <c r="H754" t="n">
        <v>0</v>
      </c>
      <c r="I754" t="n">
        <v>0</v>
      </c>
      <c r="J754" t="n">
        <v>0</v>
      </c>
      <c r="K754" t="n">
        <v>0</v>
      </c>
      <c r="L754" t="n">
        <v>0</v>
      </c>
      <c r="M754" t="n">
        <v>0</v>
      </c>
      <c r="N754" t="n">
        <v>0</v>
      </c>
      <c r="O754" t="n">
        <v>0</v>
      </c>
      <c r="P754" t="n">
        <v>0</v>
      </c>
      <c r="Q754" t="n">
        <v>0</v>
      </c>
      <c r="R754" s="2" t="inlineStr"/>
    </row>
    <row r="755" ht="15" customHeight="1">
      <c r="A755" t="inlineStr">
        <is>
          <t>A 28328-2023</t>
        </is>
      </c>
      <c r="B755" s="1" t="n">
        <v>45099</v>
      </c>
      <c r="C755" s="1" t="n">
        <v>45657</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28696-2023</t>
        </is>
      </c>
      <c r="B756" s="1" t="n">
        <v>45103</v>
      </c>
      <c r="C756" s="1" t="n">
        <v>45657</v>
      </c>
      <c r="D756" t="inlineStr">
        <is>
          <t>VÄSTMANLANDS LÄN</t>
        </is>
      </c>
      <c r="E756" t="inlineStr">
        <is>
          <t>SALA</t>
        </is>
      </c>
      <c r="F756" t="inlineStr">
        <is>
          <t>Kommuner</t>
        </is>
      </c>
      <c r="G756" t="n">
        <v>5.9</v>
      </c>
      <c r="H756" t="n">
        <v>0</v>
      </c>
      <c r="I756" t="n">
        <v>0</v>
      </c>
      <c r="J756" t="n">
        <v>0</v>
      </c>
      <c r="K756" t="n">
        <v>0</v>
      </c>
      <c r="L756" t="n">
        <v>0</v>
      </c>
      <c r="M756" t="n">
        <v>0</v>
      </c>
      <c r="N756" t="n">
        <v>0</v>
      </c>
      <c r="O756" t="n">
        <v>0</v>
      </c>
      <c r="P756" t="n">
        <v>0</v>
      </c>
      <c r="Q756" t="n">
        <v>0</v>
      </c>
      <c r="R756" s="2" t="inlineStr"/>
    </row>
    <row r="757" ht="15" customHeight="1">
      <c r="A757" t="inlineStr">
        <is>
          <t>A 29241-2023</t>
        </is>
      </c>
      <c r="B757" s="1" t="n">
        <v>45105</v>
      </c>
      <c r="C757" s="1" t="n">
        <v>45657</v>
      </c>
      <c r="D757" t="inlineStr">
        <is>
          <t>VÄSTMANLANDS LÄN</t>
        </is>
      </c>
      <c r="E757" t="inlineStr">
        <is>
          <t>SALA</t>
        </is>
      </c>
      <c r="F757" t="inlineStr">
        <is>
          <t>Kommuner</t>
        </is>
      </c>
      <c r="G757" t="n">
        <v>4.8</v>
      </c>
      <c r="H757" t="n">
        <v>0</v>
      </c>
      <c r="I757" t="n">
        <v>0</v>
      </c>
      <c r="J757" t="n">
        <v>0</v>
      </c>
      <c r="K757" t="n">
        <v>0</v>
      </c>
      <c r="L757" t="n">
        <v>0</v>
      </c>
      <c r="M757" t="n">
        <v>0</v>
      </c>
      <c r="N757" t="n">
        <v>0</v>
      </c>
      <c r="O757" t="n">
        <v>0</v>
      </c>
      <c r="P757" t="n">
        <v>0</v>
      </c>
      <c r="Q757" t="n">
        <v>0</v>
      </c>
      <c r="R757" s="2" t="inlineStr"/>
    </row>
    <row r="758" ht="15" customHeight="1">
      <c r="A758" t="inlineStr">
        <is>
          <t>A 31945-2023</t>
        </is>
      </c>
      <c r="B758" s="1" t="n">
        <v>45107</v>
      </c>
      <c r="C758" s="1" t="n">
        <v>45657</v>
      </c>
      <c r="D758" t="inlineStr">
        <is>
          <t>VÄSTMANLANDS LÄN</t>
        </is>
      </c>
      <c r="E758" t="inlineStr">
        <is>
          <t>SALA</t>
        </is>
      </c>
      <c r="G758" t="n">
        <v>2.1</v>
      </c>
      <c r="H758" t="n">
        <v>0</v>
      </c>
      <c r="I758" t="n">
        <v>0</v>
      </c>
      <c r="J758" t="n">
        <v>0</v>
      </c>
      <c r="K758" t="n">
        <v>0</v>
      </c>
      <c r="L758" t="n">
        <v>0</v>
      </c>
      <c r="M758" t="n">
        <v>0</v>
      </c>
      <c r="N758" t="n">
        <v>0</v>
      </c>
      <c r="O758" t="n">
        <v>0</v>
      </c>
      <c r="P758" t="n">
        <v>0</v>
      </c>
      <c r="Q758" t="n">
        <v>0</v>
      </c>
      <c r="R758" s="2" t="inlineStr"/>
    </row>
    <row r="759" ht="15" customHeight="1">
      <c r="A759" t="inlineStr">
        <is>
          <t>A 31950-2023</t>
        </is>
      </c>
      <c r="B759" s="1" t="n">
        <v>45107</v>
      </c>
      <c r="C759" s="1" t="n">
        <v>45657</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31953-2023</t>
        </is>
      </c>
      <c r="B760" s="1" t="n">
        <v>45107</v>
      </c>
      <c r="C760" s="1" t="n">
        <v>45657</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31298-2023</t>
        </is>
      </c>
      <c r="B761" s="1" t="n">
        <v>45114</v>
      </c>
      <c r="C761" s="1" t="n">
        <v>45657</v>
      </c>
      <c r="D761" t="inlineStr">
        <is>
          <t>VÄSTMANLANDS LÄN</t>
        </is>
      </c>
      <c r="E761" t="inlineStr">
        <is>
          <t>SALA</t>
        </is>
      </c>
      <c r="G761" t="n">
        <v>3</v>
      </c>
      <c r="H761" t="n">
        <v>0</v>
      </c>
      <c r="I761" t="n">
        <v>0</v>
      </c>
      <c r="J761" t="n">
        <v>0</v>
      </c>
      <c r="K761" t="n">
        <v>0</v>
      </c>
      <c r="L761" t="n">
        <v>0</v>
      </c>
      <c r="M761" t="n">
        <v>0</v>
      </c>
      <c r="N761" t="n">
        <v>0</v>
      </c>
      <c r="O761" t="n">
        <v>0</v>
      </c>
      <c r="P761" t="n">
        <v>0</v>
      </c>
      <c r="Q761" t="n">
        <v>0</v>
      </c>
      <c r="R761" s="2" t="inlineStr"/>
    </row>
    <row r="762" ht="15" customHeight="1">
      <c r="A762" t="inlineStr">
        <is>
          <t>A 31315-2023</t>
        </is>
      </c>
      <c r="B762" s="1" t="n">
        <v>45114</v>
      </c>
      <c r="C762" s="1" t="n">
        <v>45657</v>
      </c>
      <c r="D762" t="inlineStr">
        <is>
          <t>VÄSTMANLANDS LÄN</t>
        </is>
      </c>
      <c r="E762" t="inlineStr">
        <is>
          <t>SALA</t>
        </is>
      </c>
      <c r="G762" t="n">
        <v>1.7</v>
      </c>
      <c r="H762" t="n">
        <v>0</v>
      </c>
      <c r="I762" t="n">
        <v>0</v>
      </c>
      <c r="J762" t="n">
        <v>0</v>
      </c>
      <c r="K762" t="n">
        <v>0</v>
      </c>
      <c r="L762" t="n">
        <v>0</v>
      </c>
      <c r="M762" t="n">
        <v>0</v>
      </c>
      <c r="N762" t="n">
        <v>0</v>
      </c>
      <c r="O762" t="n">
        <v>0</v>
      </c>
      <c r="P762" t="n">
        <v>0</v>
      </c>
      <c r="Q762" t="n">
        <v>0</v>
      </c>
      <c r="R762" s="2" t="inlineStr"/>
    </row>
    <row r="763" ht="15" customHeight="1">
      <c r="A763" t="inlineStr">
        <is>
          <t>A 31646-2023</t>
        </is>
      </c>
      <c r="B763" s="1" t="n">
        <v>45117</v>
      </c>
      <c r="C763" s="1" t="n">
        <v>45657</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31859-2023</t>
        </is>
      </c>
      <c r="B764" s="1" t="n">
        <v>45118</v>
      </c>
      <c r="C764" s="1" t="n">
        <v>45657</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c r="U764">
        <f>HYPERLINK("https://klasma.github.io/Logging_1981/knärot/A 31859-2023 karta knärot.png", "A 31859-2023")</f>
        <v/>
      </c>
      <c r="V764">
        <f>HYPERLINK("https://klasma.github.io/Logging_1981/klagomål/A 31859-2023 FSC-klagomål.docx", "A 31859-2023")</f>
        <v/>
      </c>
      <c r="W764">
        <f>HYPERLINK("https://klasma.github.io/Logging_1981/klagomålsmail/A 31859-2023 FSC-klagomål mail.docx", "A 31859-2023")</f>
        <v/>
      </c>
      <c r="X764">
        <f>HYPERLINK("https://klasma.github.io/Logging_1981/tillsyn/A 31859-2023 tillsynsbegäran.docx", "A 31859-2023")</f>
        <v/>
      </c>
      <c r="Y764">
        <f>HYPERLINK("https://klasma.github.io/Logging_1981/tillsynsmail/A 31859-2023 tillsynsbegäran mail.docx", "A 31859-2023")</f>
        <v/>
      </c>
    </row>
    <row r="765" ht="15" customHeight="1">
      <c r="A765" t="inlineStr">
        <is>
          <t>A 32945-2023</t>
        </is>
      </c>
      <c r="B765" s="1" t="n">
        <v>45125</v>
      </c>
      <c r="C765" s="1" t="n">
        <v>45657</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33152-2023</t>
        </is>
      </c>
      <c r="B766" s="1" t="n">
        <v>45126</v>
      </c>
      <c r="C766" s="1" t="n">
        <v>45657</v>
      </c>
      <c r="D766" t="inlineStr">
        <is>
          <t>VÄSTMANLANDS LÄN</t>
        </is>
      </c>
      <c r="E766" t="inlineStr">
        <is>
          <t>SALA</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33151-2023</t>
        </is>
      </c>
      <c r="B767" s="1" t="n">
        <v>45126</v>
      </c>
      <c r="C767" s="1" t="n">
        <v>45657</v>
      </c>
      <c r="D767" t="inlineStr">
        <is>
          <t>VÄSTMANLANDS LÄN</t>
        </is>
      </c>
      <c r="E767" t="inlineStr">
        <is>
          <t>SALA</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33180-2023</t>
        </is>
      </c>
      <c r="B768" s="1" t="n">
        <v>45127</v>
      </c>
      <c r="C768" s="1" t="n">
        <v>45657</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33273-2023</t>
        </is>
      </c>
      <c r="B769" s="1" t="n">
        <v>45127</v>
      </c>
      <c r="C769" s="1" t="n">
        <v>45657</v>
      </c>
      <c r="D769" t="inlineStr">
        <is>
          <t>VÄSTMANLANDS LÄN</t>
        </is>
      </c>
      <c r="E769" t="inlineStr">
        <is>
          <t>SALA</t>
        </is>
      </c>
      <c r="G769" t="n">
        <v>2.6</v>
      </c>
      <c r="H769" t="n">
        <v>0</v>
      </c>
      <c r="I769" t="n">
        <v>0</v>
      </c>
      <c r="J769" t="n">
        <v>0</v>
      </c>
      <c r="K769" t="n">
        <v>0</v>
      </c>
      <c r="L769" t="n">
        <v>0</v>
      </c>
      <c r="M769" t="n">
        <v>0</v>
      </c>
      <c r="N769" t="n">
        <v>0</v>
      </c>
      <c r="O769" t="n">
        <v>0</v>
      </c>
      <c r="P769" t="n">
        <v>0</v>
      </c>
      <c r="Q769" t="n">
        <v>0</v>
      </c>
      <c r="R769" s="2" t="inlineStr"/>
    </row>
    <row r="770" ht="15" customHeight="1">
      <c r="A770" t="inlineStr">
        <is>
          <t>A 33527-2023</t>
        </is>
      </c>
      <c r="B770" s="1" t="n">
        <v>45131</v>
      </c>
      <c r="C770" s="1" t="n">
        <v>45657</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34361-2023</t>
        </is>
      </c>
      <c r="B771" s="1" t="n">
        <v>45131</v>
      </c>
      <c r="C771" s="1" t="n">
        <v>45657</v>
      </c>
      <c r="D771" t="inlineStr">
        <is>
          <t>VÄSTMANLANDS LÄN</t>
        </is>
      </c>
      <c r="E771" t="inlineStr">
        <is>
          <t>SALA</t>
        </is>
      </c>
      <c r="G771" t="n">
        <v>2.7</v>
      </c>
      <c r="H771" t="n">
        <v>0</v>
      </c>
      <c r="I771" t="n">
        <v>0</v>
      </c>
      <c r="J771" t="n">
        <v>0</v>
      </c>
      <c r="K771" t="n">
        <v>0</v>
      </c>
      <c r="L771" t="n">
        <v>0</v>
      </c>
      <c r="M771" t="n">
        <v>0</v>
      </c>
      <c r="N771" t="n">
        <v>0</v>
      </c>
      <c r="O771" t="n">
        <v>0</v>
      </c>
      <c r="P771" t="n">
        <v>0</v>
      </c>
      <c r="Q771" t="n">
        <v>0</v>
      </c>
      <c r="R771" s="2" t="inlineStr"/>
    </row>
    <row r="772" ht="15" customHeight="1">
      <c r="A772" t="inlineStr">
        <is>
          <t>A 33732-2023</t>
        </is>
      </c>
      <c r="B772" s="1" t="n">
        <v>45133</v>
      </c>
      <c r="C772" s="1" t="n">
        <v>45657</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33743-2023</t>
        </is>
      </c>
      <c r="B773" s="1" t="n">
        <v>45133</v>
      </c>
      <c r="C773" s="1" t="n">
        <v>45657</v>
      </c>
      <c r="D773" t="inlineStr">
        <is>
          <t>VÄSTMANLANDS LÄN</t>
        </is>
      </c>
      <c r="E773" t="inlineStr">
        <is>
          <t>SALA</t>
        </is>
      </c>
      <c r="G773" t="n">
        <v>4.6</v>
      </c>
      <c r="H773" t="n">
        <v>0</v>
      </c>
      <c r="I773" t="n">
        <v>0</v>
      </c>
      <c r="J773" t="n">
        <v>0</v>
      </c>
      <c r="K773" t="n">
        <v>0</v>
      </c>
      <c r="L773" t="n">
        <v>0</v>
      </c>
      <c r="M773" t="n">
        <v>0</v>
      </c>
      <c r="N773" t="n">
        <v>0</v>
      </c>
      <c r="O773" t="n">
        <v>0</v>
      </c>
      <c r="P773" t="n">
        <v>0</v>
      </c>
      <c r="Q773" t="n">
        <v>0</v>
      </c>
      <c r="R773" s="2" t="inlineStr"/>
    </row>
    <row r="774" ht="15" customHeight="1">
      <c r="A774" t="inlineStr">
        <is>
          <t>A 34494-2023</t>
        </is>
      </c>
      <c r="B774" s="1" t="n">
        <v>45133</v>
      </c>
      <c r="C774" s="1" t="n">
        <v>45657</v>
      </c>
      <c r="D774" t="inlineStr">
        <is>
          <t>VÄSTMANLANDS LÄN</t>
        </is>
      </c>
      <c r="E774" t="inlineStr">
        <is>
          <t>SALA</t>
        </is>
      </c>
      <c r="G774" t="n">
        <v>0.8</v>
      </c>
      <c r="H774" t="n">
        <v>0</v>
      </c>
      <c r="I774" t="n">
        <v>0</v>
      </c>
      <c r="J774" t="n">
        <v>0</v>
      </c>
      <c r="K774" t="n">
        <v>0</v>
      </c>
      <c r="L774" t="n">
        <v>0</v>
      </c>
      <c r="M774" t="n">
        <v>0</v>
      </c>
      <c r="N774" t="n">
        <v>0</v>
      </c>
      <c r="O774" t="n">
        <v>0</v>
      </c>
      <c r="P774" t="n">
        <v>0</v>
      </c>
      <c r="Q774" t="n">
        <v>0</v>
      </c>
      <c r="R774" s="2" t="inlineStr"/>
    </row>
    <row r="775" ht="15" customHeight="1">
      <c r="A775" t="inlineStr">
        <is>
          <t>A 34215-2023</t>
        </is>
      </c>
      <c r="B775" s="1" t="n">
        <v>45138</v>
      </c>
      <c r="C775" s="1" t="n">
        <v>45657</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34867-2023</t>
        </is>
      </c>
      <c r="B776" s="1" t="n">
        <v>45142</v>
      </c>
      <c r="C776" s="1" t="n">
        <v>45657</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35434-2023</t>
        </is>
      </c>
      <c r="B777" s="1" t="n">
        <v>45146</v>
      </c>
      <c r="C777" s="1" t="n">
        <v>45657</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36393-2023</t>
        </is>
      </c>
      <c r="B778" s="1" t="n">
        <v>45152</v>
      </c>
      <c r="C778" s="1" t="n">
        <v>45657</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36858-2023</t>
        </is>
      </c>
      <c r="B779" s="1" t="n">
        <v>45154</v>
      </c>
      <c r="C779" s="1" t="n">
        <v>45657</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38773-2023</t>
        </is>
      </c>
      <c r="B780" s="1" t="n">
        <v>45161</v>
      </c>
      <c r="C780" s="1" t="n">
        <v>45657</v>
      </c>
      <c r="D780" t="inlineStr">
        <is>
          <t>VÄSTMANLANDS LÄN</t>
        </is>
      </c>
      <c r="E780" t="inlineStr">
        <is>
          <t>SALA</t>
        </is>
      </c>
      <c r="G780" t="n">
        <v>12.5</v>
      </c>
      <c r="H780" t="n">
        <v>0</v>
      </c>
      <c r="I780" t="n">
        <v>0</v>
      </c>
      <c r="J780" t="n">
        <v>0</v>
      </c>
      <c r="K780" t="n">
        <v>0</v>
      </c>
      <c r="L780" t="n">
        <v>0</v>
      </c>
      <c r="M780" t="n">
        <v>0</v>
      </c>
      <c r="N780" t="n">
        <v>0</v>
      </c>
      <c r="O780" t="n">
        <v>0</v>
      </c>
      <c r="P780" t="n">
        <v>0</v>
      </c>
      <c r="Q780" t="n">
        <v>0</v>
      </c>
      <c r="R780" s="2" t="inlineStr"/>
    </row>
    <row r="781" ht="15" customHeight="1">
      <c r="A781" t="inlineStr">
        <is>
          <t>A 38561-2023</t>
        </is>
      </c>
      <c r="B781" s="1" t="n">
        <v>45162</v>
      </c>
      <c r="C781" s="1" t="n">
        <v>45657</v>
      </c>
      <c r="D781" t="inlineStr">
        <is>
          <t>VÄSTMANLANDS LÄN</t>
        </is>
      </c>
      <c r="E781" t="inlineStr">
        <is>
          <t>SALA</t>
        </is>
      </c>
      <c r="G781" t="n">
        <v>2.9</v>
      </c>
      <c r="H781" t="n">
        <v>0</v>
      </c>
      <c r="I781" t="n">
        <v>0</v>
      </c>
      <c r="J781" t="n">
        <v>0</v>
      </c>
      <c r="K781" t="n">
        <v>0</v>
      </c>
      <c r="L781" t="n">
        <v>0</v>
      </c>
      <c r="M781" t="n">
        <v>0</v>
      </c>
      <c r="N781" t="n">
        <v>0</v>
      </c>
      <c r="O781" t="n">
        <v>0</v>
      </c>
      <c r="P781" t="n">
        <v>0</v>
      </c>
      <c r="Q781" t="n">
        <v>0</v>
      </c>
      <c r="R781" s="2" t="inlineStr"/>
    </row>
    <row r="782" ht="15" customHeight="1">
      <c r="A782" t="inlineStr">
        <is>
          <t>A 39011-2023</t>
        </is>
      </c>
      <c r="B782" s="1" t="n">
        <v>45162</v>
      </c>
      <c r="C782" s="1" t="n">
        <v>45657</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39604-2023</t>
        </is>
      </c>
      <c r="B783" s="1" t="n">
        <v>45163</v>
      </c>
      <c r="C783" s="1" t="n">
        <v>45657</v>
      </c>
      <c r="D783" t="inlineStr">
        <is>
          <t>VÄSTMANLANDS LÄN</t>
        </is>
      </c>
      <c r="E783" t="inlineStr">
        <is>
          <t>SALA</t>
        </is>
      </c>
      <c r="G783" t="n">
        <v>2.7</v>
      </c>
      <c r="H783" t="n">
        <v>0</v>
      </c>
      <c r="I783" t="n">
        <v>0</v>
      </c>
      <c r="J783" t="n">
        <v>0</v>
      </c>
      <c r="K783" t="n">
        <v>0</v>
      </c>
      <c r="L783" t="n">
        <v>0</v>
      </c>
      <c r="M783" t="n">
        <v>0</v>
      </c>
      <c r="N783" t="n">
        <v>0</v>
      </c>
      <c r="O783" t="n">
        <v>0</v>
      </c>
      <c r="P783" t="n">
        <v>0</v>
      </c>
      <c r="Q783" t="n">
        <v>0</v>
      </c>
      <c r="R783" s="2" t="inlineStr"/>
    </row>
    <row r="784" ht="15" customHeight="1">
      <c r="A784" t="inlineStr">
        <is>
          <t>A 39714-2023</t>
        </is>
      </c>
      <c r="B784" s="1" t="n">
        <v>45167</v>
      </c>
      <c r="C784" s="1" t="n">
        <v>45657</v>
      </c>
      <c r="D784" t="inlineStr">
        <is>
          <t>VÄSTMANLANDS LÄN</t>
        </is>
      </c>
      <c r="E784" t="inlineStr">
        <is>
          <t>SALA</t>
        </is>
      </c>
      <c r="G784" t="n">
        <v>1.3</v>
      </c>
      <c r="H784" t="n">
        <v>0</v>
      </c>
      <c r="I784" t="n">
        <v>0</v>
      </c>
      <c r="J784" t="n">
        <v>0</v>
      </c>
      <c r="K784" t="n">
        <v>0</v>
      </c>
      <c r="L784" t="n">
        <v>0</v>
      </c>
      <c r="M784" t="n">
        <v>0</v>
      </c>
      <c r="N784" t="n">
        <v>0</v>
      </c>
      <c r="O784" t="n">
        <v>0</v>
      </c>
      <c r="P784" t="n">
        <v>0</v>
      </c>
      <c r="Q784" t="n">
        <v>0</v>
      </c>
      <c r="R784" s="2" t="inlineStr"/>
    </row>
    <row r="785" ht="15" customHeight="1">
      <c r="A785" t="inlineStr">
        <is>
          <t>A 39708-2023</t>
        </is>
      </c>
      <c r="B785" s="1" t="n">
        <v>45167</v>
      </c>
      <c r="C785" s="1" t="n">
        <v>45657</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39713-2023</t>
        </is>
      </c>
      <c r="B786" s="1" t="n">
        <v>45167</v>
      </c>
      <c r="C786" s="1" t="n">
        <v>45657</v>
      </c>
      <c r="D786" t="inlineStr">
        <is>
          <t>VÄSTMANLANDS LÄN</t>
        </is>
      </c>
      <c r="E786" t="inlineStr">
        <is>
          <t>SALA</t>
        </is>
      </c>
      <c r="G786" t="n">
        <v>3.1</v>
      </c>
      <c r="H786" t="n">
        <v>0</v>
      </c>
      <c r="I786" t="n">
        <v>0</v>
      </c>
      <c r="J786" t="n">
        <v>0</v>
      </c>
      <c r="K786" t="n">
        <v>0</v>
      </c>
      <c r="L786" t="n">
        <v>0</v>
      </c>
      <c r="M786" t="n">
        <v>0</v>
      </c>
      <c r="N786" t="n">
        <v>0</v>
      </c>
      <c r="O786" t="n">
        <v>0</v>
      </c>
      <c r="P786" t="n">
        <v>0</v>
      </c>
      <c r="Q786" t="n">
        <v>0</v>
      </c>
      <c r="R786" s="2" t="inlineStr"/>
    </row>
    <row r="787" ht="15" customHeight="1">
      <c r="A787" t="inlineStr">
        <is>
          <t>A 40214-2023</t>
        </is>
      </c>
      <c r="B787" s="1" t="n">
        <v>45169</v>
      </c>
      <c r="C787" s="1" t="n">
        <v>45657</v>
      </c>
      <c r="D787" t="inlineStr">
        <is>
          <t>VÄSTMANLANDS LÄN</t>
        </is>
      </c>
      <c r="E787" t="inlineStr">
        <is>
          <t>SALA</t>
        </is>
      </c>
      <c r="G787" t="n">
        <v>5.5</v>
      </c>
      <c r="H787" t="n">
        <v>0</v>
      </c>
      <c r="I787" t="n">
        <v>0</v>
      </c>
      <c r="J787" t="n">
        <v>0</v>
      </c>
      <c r="K787" t="n">
        <v>0</v>
      </c>
      <c r="L787" t="n">
        <v>0</v>
      </c>
      <c r="M787" t="n">
        <v>0</v>
      </c>
      <c r="N787" t="n">
        <v>0</v>
      </c>
      <c r="O787" t="n">
        <v>0</v>
      </c>
      <c r="P787" t="n">
        <v>0</v>
      </c>
      <c r="Q787" t="n">
        <v>0</v>
      </c>
      <c r="R787" s="2" t="inlineStr"/>
    </row>
    <row r="788" ht="15" customHeight="1">
      <c r="A788" t="inlineStr">
        <is>
          <t>A 41613-2023</t>
        </is>
      </c>
      <c r="B788" s="1" t="n">
        <v>45173</v>
      </c>
      <c r="C788" s="1" t="n">
        <v>45657</v>
      </c>
      <c r="D788" t="inlineStr">
        <is>
          <t>VÄSTMANLANDS LÄN</t>
        </is>
      </c>
      <c r="E788" t="inlineStr">
        <is>
          <t>SALA</t>
        </is>
      </c>
      <c r="G788" t="n">
        <v>0.7</v>
      </c>
      <c r="H788" t="n">
        <v>0</v>
      </c>
      <c r="I788" t="n">
        <v>0</v>
      </c>
      <c r="J788" t="n">
        <v>0</v>
      </c>
      <c r="K788" t="n">
        <v>0</v>
      </c>
      <c r="L788" t="n">
        <v>0</v>
      </c>
      <c r="M788" t="n">
        <v>0</v>
      </c>
      <c r="N788" t="n">
        <v>0</v>
      </c>
      <c r="O788" t="n">
        <v>0</v>
      </c>
      <c r="P788" t="n">
        <v>0</v>
      </c>
      <c r="Q788" t="n">
        <v>0</v>
      </c>
      <c r="R788" s="2" t="inlineStr"/>
    </row>
    <row r="789" ht="15" customHeight="1">
      <c r="A789" t="inlineStr">
        <is>
          <t>A 41619-2023</t>
        </is>
      </c>
      <c r="B789" s="1" t="n">
        <v>45173</v>
      </c>
      <c r="C789" s="1" t="n">
        <v>45657</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42312-2023</t>
        </is>
      </c>
      <c r="B790" s="1" t="n">
        <v>45175</v>
      </c>
      <c r="C790" s="1" t="n">
        <v>45657</v>
      </c>
      <c r="D790" t="inlineStr">
        <is>
          <t>VÄSTMANLANDS LÄN</t>
        </is>
      </c>
      <c r="E790" t="inlineStr">
        <is>
          <t>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42938-2023</t>
        </is>
      </c>
      <c r="B791" s="1" t="n">
        <v>45179</v>
      </c>
      <c r="C791" s="1" t="n">
        <v>45657</v>
      </c>
      <c r="D791" t="inlineStr">
        <is>
          <t>VÄSTMANLANDS LÄN</t>
        </is>
      </c>
      <c r="E791" t="inlineStr">
        <is>
          <t>SALA</t>
        </is>
      </c>
      <c r="G791" t="n">
        <v>10.9</v>
      </c>
      <c r="H791" t="n">
        <v>0</v>
      </c>
      <c r="I791" t="n">
        <v>0</v>
      </c>
      <c r="J791" t="n">
        <v>0</v>
      </c>
      <c r="K791" t="n">
        <v>0</v>
      </c>
      <c r="L791" t="n">
        <v>0</v>
      </c>
      <c r="M791" t="n">
        <v>0</v>
      </c>
      <c r="N791" t="n">
        <v>0</v>
      </c>
      <c r="O791" t="n">
        <v>0</v>
      </c>
      <c r="P791" t="n">
        <v>0</v>
      </c>
      <c r="Q791" t="n">
        <v>0</v>
      </c>
      <c r="R791" s="2" t="inlineStr"/>
    </row>
    <row r="792" ht="15" customHeight="1">
      <c r="A792" t="inlineStr">
        <is>
          <t>A 42984-2023</t>
        </is>
      </c>
      <c r="B792" s="1" t="n">
        <v>45179</v>
      </c>
      <c r="C792" s="1" t="n">
        <v>45657</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42991-2023</t>
        </is>
      </c>
      <c r="B793" s="1" t="n">
        <v>45179</v>
      </c>
      <c r="C793" s="1" t="n">
        <v>45657</v>
      </c>
      <c r="D793" t="inlineStr">
        <is>
          <t>VÄSTMANLANDS LÄN</t>
        </is>
      </c>
      <c r="E793" t="inlineStr">
        <is>
          <t>SALA</t>
        </is>
      </c>
      <c r="G793" t="n">
        <v>3.6</v>
      </c>
      <c r="H793" t="n">
        <v>0</v>
      </c>
      <c r="I793" t="n">
        <v>0</v>
      </c>
      <c r="J793" t="n">
        <v>0</v>
      </c>
      <c r="K793" t="n">
        <v>0</v>
      </c>
      <c r="L793" t="n">
        <v>0</v>
      </c>
      <c r="M793" t="n">
        <v>0</v>
      </c>
      <c r="N793" t="n">
        <v>0</v>
      </c>
      <c r="O793" t="n">
        <v>0</v>
      </c>
      <c r="P793" t="n">
        <v>0</v>
      </c>
      <c r="Q793" t="n">
        <v>0</v>
      </c>
      <c r="R793" s="2" t="inlineStr"/>
    </row>
    <row r="794" ht="15" customHeight="1">
      <c r="A794" t="inlineStr">
        <is>
          <t>A 44247-2023</t>
        </is>
      </c>
      <c r="B794" s="1" t="n">
        <v>45182</v>
      </c>
      <c r="C794" s="1" t="n">
        <v>45657</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43188-2023</t>
        </is>
      </c>
      <c r="B795" s="1" t="n">
        <v>45183</v>
      </c>
      <c r="C795" s="1" t="n">
        <v>45657</v>
      </c>
      <c r="D795" t="inlineStr">
        <is>
          <t>VÄSTMANLANDS LÄN</t>
        </is>
      </c>
      <c r="E795" t="inlineStr">
        <is>
          <t>SALA</t>
        </is>
      </c>
      <c r="G795" t="n">
        <v>1.2</v>
      </c>
      <c r="H795" t="n">
        <v>0</v>
      </c>
      <c r="I795" t="n">
        <v>0</v>
      </c>
      <c r="J795" t="n">
        <v>0</v>
      </c>
      <c r="K795" t="n">
        <v>0</v>
      </c>
      <c r="L795" t="n">
        <v>0</v>
      </c>
      <c r="M795" t="n">
        <v>0</v>
      </c>
      <c r="N795" t="n">
        <v>0</v>
      </c>
      <c r="O795" t="n">
        <v>0</v>
      </c>
      <c r="P795" t="n">
        <v>0</v>
      </c>
      <c r="Q795" t="n">
        <v>0</v>
      </c>
      <c r="R795" s="2" t="inlineStr"/>
    </row>
    <row r="796" ht="15" customHeight="1">
      <c r="A796" t="inlineStr">
        <is>
          <t>A 43184-2023</t>
        </is>
      </c>
      <c r="B796" s="1" t="n">
        <v>45183</v>
      </c>
      <c r="C796" s="1" t="n">
        <v>45657</v>
      </c>
      <c r="D796" t="inlineStr">
        <is>
          <t>VÄSTMANLANDS LÄN</t>
        </is>
      </c>
      <c r="E796" t="inlineStr">
        <is>
          <t>SALA</t>
        </is>
      </c>
      <c r="G796" t="n">
        <v>1.6</v>
      </c>
      <c r="H796" t="n">
        <v>0</v>
      </c>
      <c r="I796" t="n">
        <v>0</v>
      </c>
      <c r="J796" t="n">
        <v>0</v>
      </c>
      <c r="K796" t="n">
        <v>0</v>
      </c>
      <c r="L796" t="n">
        <v>0</v>
      </c>
      <c r="M796" t="n">
        <v>0</v>
      </c>
      <c r="N796" t="n">
        <v>0</v>
      </c>
      <c r="O796" t="n">
        <v>0</v>
      </c>
      <c r="P796" t="n">
        <v>0</v>
      </c>
      <c r="Q796" t="n">
        <v>0</v>
      </c>
      <c r="R796" s="2" t="inlineStr"/>
    </row>
    <row r="797" ht="15" customHeight="1">
      <c r="A797" t="inlineStr">
        <is>
          <t>A 43205-2023</t>
        </is>
      </c>
      <c r="B797" s="1" t="n">
        <v>45183</v>
      </c>
      <c r="C797" s="1" t="n">
        <v>45657</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43176-2023</t>
        </is>
      </c>
      <c r="B798" s="1" t="n">
        <v>45183</v>
      </c>
      <c r="C798" s="1" t="n">
        <v>45657</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43187-2023</t>
        </is>
      </c>
      <c r="B799" s="1" t="n">
        <v>45183</v>
      </c>
      <c r="C799" s="1" t="n">
        <v>45657</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43363-2023</t>
        </is>
      </c>
      <c r="B800" s="1" t="n">
        <v>45183</v>
      </c>
      <c r="C800" s="1" t="n">
        <v>45657</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43362-2023</t>
        </is>
      </c>
      <c r="B801" s="1" t="n">
        <v>45183</v>
      </c>
      <c r="C801" s="1" t="n">
        <v>45657</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44713-2023</t>
        </is>
      </c>
      <c r="B802" s="1" t="n">
        <v>45184</v>
      </c>
      <c r="C802" s="1" t="n">
        <v>45657</v>
      </c>
      <c r="D802" t="inlineStr">
        <is>
          <t>VÄSTMANLANDS LÄN</t>
        </is>
      </c>
      <c r="E802" t="inlineStr">
        <is>
          <t>SALA</t>
        </is>
      </c>
      <c r="F802" t="inlineStr">
        <is>
          <t>Kyrkan</t>
        </is>
      </c>
      <c r="G802" t="n">
        <v>7.6</v>
      </c>
      <c r="H802" t="n">
        <v>0</v>
      </c>
      <c r="I802" t="n">
        <v>0</v>
      </c>
      <c r="J802" t="n">
        <v>0</v>
      </c>
      <c r="K802" t="n">
        <v>0</v>
      </c>
      <c r="L802" t="n">
        <v>0</v>
      </c>
      <c r="M802" t="n">
        <v>0</v>
      </c>
      <c r="N802" t="n">
        <v>0</v>
      </c>
      <c r="O802" t="n">
        <v>0</v>
      </c>
      <c r="P802" t="n">
        <v>0</v>
      </c>
      <c r="Q802" t="n">
        <v>0</v>
      </c>
      <c r="R802" s="2" t="inlineStr"/>
    </row>
    <row r="803" ht="15" customHeight="1">
      <c r="A803" t="inlineStr">
        <is>
          <t>A 44720-2023</t>
        </is>
      </c>
      <c r="B803" s="1" t="n">
        <v>45184</v>
      </c>
      <c r="C803" s="1" t="n">
        <v>45657</v>
      </c>
      <c r="D803" t="inlineStr">
        <is>
          <t>VÄSTMANLANDS LÄN</t>
        </is>
      </c>
      <c r="E803" t="inlineStr">
        <is>
          <t>SALA</t>
        </is>
      </c>
      <c r="F803" t="inlineStr">
        <is>
          <t>Kyrkan</t>
        </is>
      </c>
      <c r="G803" t="n">
        <v>2.3</v>
      </c>
      <c r="H803" t="n">
        <v>0</v>
      </c>
      <c r="I803" t="n">
        <v>0</v>
      </c>
      <c r="J803" t="n">
        <v>0</v>
      </c>
      <c r="K803" t="n">
        <v>0</v>
      </c>
      <c r="L803" t="n">
        <v>0</v>
      </c>
      <c r="M803" t="n">
        <v>0</v>
      </c>
      <c r="N803" t="n">
        <v>0</v>
      </c>
      <c r="O803" t="n">
        <v>0</v>
      </c>
      <c r="P803" t="n">
        <v>0</v>
      </c>
      <c r="Q803" t="n">
        <v>0</v>
      </c>
      <c r="R803" s="2" t="inlineStr"/>
    </row>
    <row r="804" ht="15" customHeight="1">
      <c r="A804" t="inlineStr">
        <is>
          <t>A 44297-2023</t>
        </is>
      </c>
      <c r="B804" s="1" t="n">
        <v>45188</v>
      </c>
      <c r="C804" s="1" t="n">
        <v>45657</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44846-2023</t>
        </is>
      </c>
      <c r="B805" s="1" t="n">
        <v>45190</v>
      </c>
      <c r="C805" s="1" t="n">
        <v>45657</v>
      </c>
      <c r="D805" t="inlineStr">
        <is>
          <t>VÄSTMANLANDS LÄN</t>
        </is>
      </c>
      <c r="E805" t="inlineStr">
        <is>
          <t>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44857-2023</t>
        </is>
      </c>
      <c r="B806" s="1" t="n">
        <v>45190</v>
      </c>
      <c r="C806" s="1" t="n">
        <v>45657</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46352-2023</t>
        </is>
      </c>
      <c r="B807" s="1" t="n">
        <v>45192</v>
      </c>
      <c r="C807" s="1" t="n">
        <v>45657</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46355-2023</t>
        </is>
      </c>
      <c r="B808" s="1" t="n">
        <v>45192</v>
      </c>
      <c r="C808" s="1" t="n">
        <v>45657</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46350-2023</t>
        </is>
      </c>
      <c r="B809" s="1" t="n">
        <v>45192</v>
      </c>
      <c r="C809" s="1" t="n">
        <v>45657</v>
      </c>
      <c r="D809" t="inlineStr">
        <is>
          <t>VÄSTMANLANDS LÄN</t>
        </is>
      </c>
      <c r="E809" t="inlineStr">
        <is>
          <t>SALA</t>
        </is>
      </c>
      <c r="G809" t="n">
        <v>4.8</v>
      </c>
      <c r="H809" t="n">
        <v>0</v>
      </c>
      <c r="I809" t="n">
        <v>0</v>
      </c>
      <c r="J809" t="n">
        <v>0</v>
      </c>
      <c r="K809" t="n">
        <v>0</v>
      </c>
      <c r="L809" t="n">
        <v>0</v>
      </c>
      <c r="M809" t="n">
        <v>0</v>
      </c>
      <c r="N809" t="n">
        <v>0</v>
      </c>
      <c r="O809" t="n">
        <v>0</v>
      </c>
      <c r="P809" t="n">
        <v>0</v>
      </c>
      <c r="Q809" t="n">
        <v>0</v>
      </c>
      <c r="R809" s="2" t="inlineStr"/>
    </row>
    <row r="810" ht="15" customHeight="1">
      <c r="A810" t="inlineStr">
        <is>
          <t>A 45531-2023</t>
        </is>
      </c>
      <c r="B810" s="1" t="n">
        <v>45194</v>
      </c>
      <c r="C810" s="1" t="n">
        <v>45657</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45602-2023</t>
        </is>
      </c>
      <c r="B811" s="1" t="n">
        <v>45194</v>
      </c>
      <c r="C811" s="1" t="n">
        <v>45657</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45790-2023</t>
        </is>
      </c>
      <c r="B812" s="1" t="n">
        <v>45195</v>
      </c>
      <c r="C812" s="1" t="n">
        <v>45657</v>
      </c>
      <c r="D812" t="inlineStr">
        <is>
          <t>VÄSTMANLANDS LÄN</t>
        </is>
      </c>
      <c r="E812" t="inlineStr">
        <is>
          <t>SALA</t>
        </is>
      </c>
      <c r="G812" t="n">
        <v>5.7</v>
      </c>
      <c r="H812" t="n">
        <v>0</v>
      </c>
      <c r="I812" t="n">
        <v>0</v>
      </c>
      <c r="J812" t="n">
        <v>0</v>
      </c>
      <c r="K812" t="n">
        <v>0</v>
      </c>
      <c r="L812" t="n">
        <v>0</v>
      </c>
      <c r="M812" t="n">
        <v>0</v>
      </c>
      <c r="N812" t="n">
        <v>0</v>
      </c>
      <c r="O812" t="n">
        <v>0</v>
      </c>
      <c r="P812" t="n">
        <v>0</v>
      </c>
      <c r="Q812" t="n">
        <v>0</v>
      </c>
      <c r="R812" s="2" t="inlineStr"/>
    </row>
    <row r="813" ht="15" customHeight="1">
      <c r="A813" t="inlineStr">
        <is>
          <t>A 46226-2023</t>
        </is>
      </c>
      <c r="B813" s="1" t="n">
        <v>45196</v>
      </c>
      <c r="C813" s="1" t="n">
        <v>45657</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47501-2023</t>
        </is>
      </c>
      <c r="B814" s="1" t="n">
        <v>45202</v>
      </c>
      <c r="C814" s="1" t="n">
        <v>45657</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50876-2023</t>
        </is>
      </c>
      <c r="B815" s="1" t="n">
        <v>45211</v>
      </c>
      <c r="C815" s="1" t="n">
        <v>45657</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50241-2023</t>
        </is>
      </c>
      <c r="B816" s="1" t="n">
        <v>45216</v>
      </c>
      <c r="C816" s="1" t="n">
        <v>45657</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51203-2023</t>
        </is>
      </c>
      <c r="B817" s="1" t="n">
        <v>45219</v>
      </c>
      <c r="C817" s="1" t="n">
        <v>45657</v>
      </c>
      <c r="D817" t="inlineStr">
        <is>
          <t>VÄSTMANLANDS LÄN</t>
        </is>
      </c>
      <c r="E817" t="inlineStr">
        <is>
          <t>SALA</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51848-2023</t>
        </is>
      </c>
      <c r="B818" s="1" t="n">
        <v>45223</v>
      </c>
      <c r="C818" s="1" t="n">
        <v>45657</v>
      </c>
      <c r="D818" t="inlineStr">
        <is>
          <t>VÄSTMANLANDS LÄN</t>
        </is>
      </c>
      <c r="E818" t="inlineStr">
        <is>
          <t>SALA</t>
        </is>
      </c>
      <c r="G818" t="n">
        <v>7</v>
      </c>
      <c r="H818" t="n">
        <v>0</v>
      </c>
      <c r="I818" t="n">
        <v>0</v>
      </c>
      <c r="J818" t="n">
        <v>0</v>
      </c>
      <c r="K818" t="n">
        <v>0</v>
      </c>
      <c r="L818" t="n">
        <v>0</v>
      </c>
      <c r="M818" t="n">
        <v>0</v>
      </c>
      <c r="N818" t="n">
        <v>0</v>
      </c>
      <c r="O818" t="n">
        <v>0</v>
      </c>
      <c r="P818" t="n">
        <v>0</v>
      </c>
      <c r="Q818" t="n">
        <v>0</v>
      </c>
      <c r="R818" s="2" t="inlineStr"/>
    </row>
    <row r="819" ht="15" customHeight="1">
      <c r="A819" t="inlineStr">
        <is>
          <t>A 52654-2023</t>
        </is>
      </c>
      <c r="B819" s="1" t="n">
        <v>45225</v>
      </c>
      <c r="C819" s="1" t="n">
        <v>45657</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54910-2023</t>
        </is>
      </c>
      <c r="B820" s="1" t="n">
        <v>45229</v>
      </c>
      <c r="C820" s="1" t="n">
        <v>45657</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55024-2023</t>
        </is>
      </c>
      <c r="B821" s="1" t="n">
        <v>45229</v>
      </c>
      <c r="C821" s="1" t="n">
        <v>45657</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55032-2023</t>
        </is>
      </c>
      <c r="B822" s="1" t="n">
        <v>45229</v>
      </c>
      <c r="C822" s="1" t="n">
        <v>45657</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55035-2023</t>
        </is>
      </c>
      <c r="B823" s="1" t="n">
        <v>45229</v>
      </c>
      <c r="C823" s="1" t="n">
        <v>45657</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55040-2023</t>
        </is>
      </c>
      <c r="B824" s="1" t="n">
        <v>45229</v>
      </c>
      <c r="C824" s="1" t="n">
        <v>45657</v>
      </c>
      <c r="D824" t="inlineStr">
        <is>
          <t>VÄSTMANLANDS LÄN</t>
        </is>
      </c>
      <c r="E824" t="inlineStr">
        <is>
          <t>SALA</t>
        </is>
      </c>
      <c r="G824" t="n">
        <v>3.3</v>
      </c>
      <c r="H824" t="n">
        <v>0</v>
      </c>
      <c r="I824" t="n">
        <v>0</v>
      </c>
      <c r="J824" t="n">
        <v>0</v>
      </c>
      <c r="K824" t="n">
        <v>0</v>
      </c>
      <c r="L824" t="n">
        <v>0</v>
      </c>
      <c r="M824" t="n">
        <v>0</v>
      </c>
      <c r="N824" t="n">
        <v>0</v>
      </c>
      <c r="O824" t="n">
        <v>0</v>
      </c>
      <c r="P824" t="n">
        <v>0</v>
      </c>
      <c r="Q824" t="n">
        <v>0</v>
      </c>
      <c r="R824" s="2" t="inlineStr"/>
    </row>
    <row r="825" ht="15" customHeight="1">
      <c r="A825" t="inlineStr">
        <is>
          <t>A 53877-2023</t>
        </is>
      </c>
      <c r="B825" s="1" t="n">
        <v>45231</v>
      </c>
      <c r="C825" s="1" t="n">
        <v>45657</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53951-2023</t>
        </is>
      </c>
      <c r="B826" s="1" t="n">
        <v>45231</v>
      </c>
      <c r="C826" s="1" t="n">
        <v>45657</v>
      </c>
      <c r="D826" t="inlineStr">
        <is>
          <t>VÄSTMANLANDS LÄN</t>
        </is>
      </c>
      <c r="E826" t="inlineStr">
        <is>
          <t>SALA</t>
        </is>
      </c>
      <c r="F826" t="inlineStr">
        <is>
          <t>Kommuner</t>
        </is>
      </c>
      <c r="G826" t="n">
        <v>8.4</v>
      </c>
      <c r="H826" t="n">
        <v>0</v>
      </c>
      <c r="I826" t="n">
        <v>0</v>
      </c>
      <c r="J826" t="n">
        <v>0</v>
      </c>
      <c r="K826" t="n">
        <v>0</v>
      </c>
      <c r="L826" t="n">
        <v>0</v>
      </c>
      <c r="M826" t="n">
        <v>0</v>
      </c>
      <c r="N826" t="n">
        <v>0</v>
      </c>
      <c r="O826" t="n">
        <v>0</v>
      </c>
      <c r="P826" t="n">
        <v>0</v>
      </c>
      <c r="Q826" t="n">
        <v>0</v>
      </c>
      <c r="R826" s="2" t="inlineStr"/>
      <c r="U826">
        <f>HYPERLINK("https://klasma.github.io/Logging_1981/knärot/A 53951-2023 karta knärot.png", "A 53951-2023")</f>
        <v/>
      </c>
      <c r="V826">
        <f>HYPERLINK("https://klasma.github.io/Logging_1981/klagomål/A 53951-2023 FSC-klagomål.docx", "A 53951-2023")</f>
        <v/>
      </c>
      <c r="W826">
        <f>HYPERLINK("https://klasma.github.io/Logging_1981/klagomålsmail/A 53951-2023 FSC-klagomål mail.docx", "A 53951-2023")</f>
        <v/>
      </c>
      <c r="X826">
        <f>HYPERLINK("https://klasma.github.io/Logging_1981/tillsyn/A 53951-2023 tillsynsbegäran.docx", "A 53951-2023")</f>
        <v/>
      </c>
      <c r="Y826">
        <f>HYPERLINK("https://klasma.github.io/Logging_1981/tillsynsmail/A 53951-2023 tillsynsbegäran mail.docx", "A 53951-2023")</f>
        <v/>
      </c>
    </row>
    <row r="827" ht="15" customHeight="1">
      <c r="A827" t="inlineStr">
        <is>
          <t>A 54125-2023</t>
        </is>
      </c>
      <c r="B827" s="1" t="n">
        <v>45232</v>
      </c>
      <c r="C827" s="1" t="n">
        <v>45657</v>
      </c>
      <c r="D827" t="inlineStr">
        <is>
          <t>VÄSTMANLANDS LÄN</t>
        </is>
      </c>
      <c r="E827" t="inlineStr">
        <is>
          <t>SALA</t>
        </is>
      </c>
      <c r="G827" t="n">
        <v>3.7</v>
      </c>
      <c r="H827" t="n">
        <v>0</v>
      </c>
      <c r="I827" t="n">
        <v>0</v>
      </c>
      <c r="J827" t="n">
        <v>0</v>
      </c>
      <c r="K827" t="n">
        <v>0</v>
      </c>
      <c r="L827" t="n">
        <v>0</v>
      </c>
      <c r="M827" t="n">
        <v>0</v>
      </c>
      <c r="N827" t="n">
        <v>0</v>
      </c>
      <c r="O827" t="n">
        <v>0</v>
      </c>
      <c r="P827" t="n">
        <v>0</v>
      </c>
      <c r="Q827" t="n">
        <v>0</v>
      </c>
      <c r="R827" s="2" t="inlineStr"/>
    </row>
    <row r="828" ht="15" customHeight="1">
      <c r="A828" t="inlineStr">
        <is>
          <t>A 54114-2023</t>
        </is>
      </c>
      <c r="B828" s="1" t="n">
        <v>45232</v>
      </c>
      <c r="C828" s="1" t="n">
        <v>45657</v>
      </c>
      <c r="D828" t="inlineStr">
        <is>
          <t>VÄSTMANLANDS LÄN</t>
        </is>
      </c>
      <c r="E828" t="inlineStr">
        <is>
          <t>SALA</t>
        </is>
      </c>
      <c r="G828" t="n">
        <v>1.6</v>
      </c>
      <c r="H828" t="n">
        <v>0</v>
      </c>
      <c r="I828" t="n">
        <v>0</v>
      </c>
      <c r="J828" t="n">
        <v>0</v>
      </c>
      <c r="K828" t="n">
        <v>0</v>
      </c>
      <c r="L828" t="n">
        <v>0</v>
      </c>
      <c r="M828" t="n">
        <v>0</v>
      </c>
      <c r="N828" t="n">
        <v>0</v>
      </c>
      <c r="O828" t="n">
        <v>0</v>
      </c>
      <c r="P828" t="n">
        <v>0</v>
      </c>
      <c r="Q828" t="n">
        <v>0</v>
      </c>
      <c r="R828" s="2" t="inlineStr"/>
    </row>
    <row r="829" ht="15" customHeight="1">
      <c r="A829" t="inlineStr">
        <is>
          <t>A 54118-2023</t>
        </is>
      </c>
      <c r="B829" s="1" t="n">
        <v>45232</v>
      </c>
      <c r="C829" s="1" t="n">
        <v>45657</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55556-2023</t>
        </is>
      </c>
      <c r="B830" s="1" t="n">
        <v>45232</v>
      </c>
      <c r="C830" s="1" t="n">
        <v>45657</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56057-2023</t>
        </is>
      </c>
      <c r="B831" s="1" t="n">
        <v>45233</v>
      </c>
      <c r="C831" s="1" t="n">
        <v>45657</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56064-2023</t>
        </is>
      </c>
      <c r="B832" s="1" t="n">
        <v>45233</v>
      </c>
      <c r="C832" s="1" t="n">
        <v>45657</v>
      </c>
      <c r="D832" t="inlineStr">
        <is>
          <t>VÄSTMANLANDS LÄN</t>
        </is>
      </c>
      <c r="E832" t="inlineStr">
        <is>
          <t>SALA</t>
        </is>
      </c>
      <c r="G832" t="n">
        <v>0.8</v>
      </c>
      <c r="H832" t="n">
        <v>0</v>
      </c>
      <c r="I832" t="n">
        <v>0</v>
      </c>
      <c r="J832" t="n">
        <v>0</v>
      </c>
      <c r="K832" t="n">
        <v>0</v>
      </c>
      <c r="L832" t="n">
        <v>0</v>
      </c>
      <c r="M832" t="n">
        <v>0</v>
      </c>
      <c r="N832" t="n">
        <v>0</v>
      </c>
      <c r="O832" t="n">
        <v>0</v>
      </c>
      <c r="P832" t="n">
        <v>0</v>
      </c>
      <c r="Q832" t="n">
        <v>0</v>
      </c>
      <c r="R832" s="2" t="inlineStr"/>
    </row>
    <row r="833" ht="15" customHeight="1">
      <c r="A833" t="inlineStr">
        <is>
          <t>A 55504-2023</t>
        </is>
      </c>
      <c r="B833" s="1" t="n">
        <v>45238</v>
      </c>
      <c r="C833" s="1" t="n">
        <v>45657</v>
      </c>
      <c r="D833" t="inlineStr">
        <is>
          <t>VÄSTMANLANDS LÄN</t>
        </is>
      </c>
      <c r="E833" t="inlineStr">
        <is>
          <t>SALA</t>
        </is>
      </c>
      <c r="G833" t="n">
        <v>4</v>
      </c>
      <c r="H833" t="n">
        <v>0</v>
      </c>
      <c r="I833" t="n">
        <v>0</v>
      </c>
      <c r="J833" t="n">
        <v>0</v>
      </c>
      <c r="K833" t="n">
        <v>0</v>
      </c>
      <c r="L833" t="n">
        <v>0</v>
      </c>
      <c r="M833" t="n">
        <v>0</v>
      </c>
      <c r="N833" t="n">
        <v>0</v>
      </c>
      <c r="O833" t="n">
        <v>0</v>
      </c>
      <c r="P833" t="n">
        <v>0</v>
      </c>
      <c r="Q833" t="n">
        <v>0</v>
      </c>
      <c r="R833" s="2" t="inlineStr"/>
    </row>
    <row r="834" ht="15" customHeight="1">
      <c r="A834" t="inlineStr">
        <is>
          <t>A 55474-2023</t>
        </is>
      </c>
      <c r="B834" s="1" t="n">
        <v>45238</v>
      </c>
      <c r="C834" s="1" t="n">
        <v>45657</v>
      </c>
      <c r="D834" t="inlineStr">
        <is>
          <t>VÄSTMANLANDS LÄN</t>
        </is>
      </c>
      <c r="E834" t="inlineStr">
        <is>
          <t>SALA</t>
        </is>
      </c>
      <c r="G834" t="n">
        <v>2.4</v>
      </c>
      <c r="H834" t="n">
        <v>0</v>
      </c>
      <c r="I834" t="n">
        <v>0</v>
      </c>
      <c r="J834" t="n">
        <v>0</v>
      </c>
      <c r="K834" t="n">
        <v>0</v>
      </c>
      <c r="L834" t="n">
        <v>0</v>
      </c>
      <c r="M834" t="n">
        <v>0</v>
      </c>
      <c r="N834" t="n">
        <v>0</v>
      </c>
      <c r="O834" t="n">
        <v>0</v>
      </c>
      <c r="P834" t="n">
        <v>0</v>
      </c>
      <c r="Q834" t="n">
        <v>0</v>
      </c>
      <c r="R834" s="2" t="inlineStr"/>
    </row>
    <row r="835" ht="15" customHeight="1">
      <c r="A835" t="inlineStr">
        <is>
          <t>A 56956-2023</t>
        </is>
      </c>
      <c r="B835" s="1" t="n">
        <v>45244</v>
      </c>
      <c r="C835" s="1" t="n">
        <v>45657</v>
      </c>
      <c r="D835" t="inlineStr">
        <is>
          <t>VÄSTMANLANDS LÄN</t>
        </is>
      </c>
      <c r="E835" t="inlineStr">
        <is>
          <t>SALA</t>
        </is>
      </c>
      <c r="G835" t="n">
        <v>6.5</v>
      </c>
      <c r="H835" t="n">
        <v>0</v>
      </c>
      <c r="I835" t="n">
        <v>0</v>
      </c>
      <c r="J835" t="n">
        <v>0</v>
      </c>
      <c r="K835" t="n">
        <v>0</v>
      </c>
      <c r="L835" t="n">
        <v>0</v>
      </c>
      <c r="M835" t="n">
        <v>0</v>
      </c>
      <c r="N835" t="n">
        <v>0</v>
      </c>
      <c r="O835" t="n">
        <v>0</v>
      </c>
      <c r="P835" t="n">
        <v>0</v>
      </c>
      <c r="Q835" t="n">
        <v>0</v>
      </c>
      <c r="R835" s="2" t="inlineStr"/>
    </row>
    <row r="836" ht="15" customHeight="1">
      <c r="A836" t="inlineStr">
        <is>
          <t>A 56949-2023</t>
        </is>
      </c>
      <c r="B836" s="1" t="n">
        <v>45244</v>
      </c>
      <c r="C836" s="1" t="n">
        <v>45657</v>
      </c>
      <c r="D836" t="inlineStr">
        <is>
          <t>VÄSTMANLANDS LÄN</t>
        </is>
      </c>
      <c r="E836" t="inlineStr">
        <is>
          <t>SALA</t>
        </is>
      </c>
      <c r="G836" t="n">
        <v>4.7</v>
      </c>
      <c r="H836" t="n">
        <v>0</v>
      </c>
      <c r="I836" t="n">
        <v>0</v>
      </c>
      <c r="J836" t="n">
        <v>0</v>
      </c>
      <c r="K836" t="n">
        <v>0</v>
      </c>
      <c r="L836" t="n">
        <v>0</v>
      </c>
      <c r="M836" t="n">
        <v>0</v>
      </c>
      <c r="N836" t="n">
        <v>0</v>
      </c>
      <c r="O836" t="n">
        <v>0</v>
      </c>
      <c r="P836" t="n">
        <v>0</v>
      </c>
      <c r="Q836" t="n">
        <v>0</v>
      </c>
      <c r="R836" s="2" t="inlineStr"/>
    </row>
    <row r="837" ht="15" customHeight="1">
      <c r="A837" t="inlineStr">
        <is>
          <t>A 56964-2023</t>
        </is>
      </c>
      <c r="B837" s="1" t="n">
        <v>45244</v>
      </c>
      <c r="C837" s="1" t="n">
        <v>45657</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58028-2023</t>
        </is>
      </c>
      <c r="B838" s="1" t="n">
        <v>45247</v>
      </c>
      <c r="C838" s="1" t="n">
        <v>45657</v>
      </c>
      <c r="D838" t="inlineStr">
        <is>
          <t>VÄSTMANLANDS LÄN</t>
        </is>
      </c>
      <c r="E838" t="inlineStr">
        <is>
          <t>SALA</t>
        </is>
      </c>
      <c r="G838" t="n">
        <v>19.6</v>
      </c>
      <c r="H838" t="n">
        <v>0</v>
      </c>
      <c r="I838" t="n">
        <v>0</v>
      </c>
      <c r="J838" t="n">
        <v>0</v>
      </c>
      <c r="K838" t="n">
        <v>0</v>
      </c>
      <c r="L838" t="n">
        <v>0</v>
      </c>
      <c r="M838" t="n">
        <v>0</v>
      </c>
      <c r="N838" t="n">
        <v>0</v>
      </c>
      <c r="O838" t="n">
        <v>0</v>
      </c>
      <c r="P838" t="n">
        <v>0</v>
      </c>
      <c r="Q838" t="n">
        <v>0</v>
      </c>
      <c r="R838" s="2" t="inlineStr"/>
    </row>
    <row r="839" ht="15" customHeight="1">
      <c r="A839" t="inlineStr">
        <is>
          <t>A 58113-2023</t>
        </is>
      </c>
      <c r="B839" s="1" t="n">
        <v>45249</v>
      </c>
      <c r="C839" s="1" t="n">
        <v>45657</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58271-2023</t>
        </is>
      </c>
      <c r="B840" s="1" t="n">
        <v>45250</v>
      </c>
      <c r="C840" s="1" t="n">
        <v>45657</v>
      </c>
      <c r="D840" t="inlineStr">
        <is>
          <t>VÄSTMANLANDS LÄN</t>
        </is>
      </c>
      <c r="E840" t="inlineStr">
        <is>
          <t>SALA</t>
        </is>
      </c>
      <c r="G840" t="n">
        <v>5.2</v>
      </c>
      <c r="H840" t="n">
        <v>0</v>
      </c>
      <c r="I840" t="n">
        <v>0</v>
      </c>
      <c r="J840" t="n">
        <v>0</v>
      </c>
      <c r="K840" t="n">
        <v>0</v>
      </c>
      <c r="L840" t="n">
        <v>0</v>
      </c>
      <c r="M840" t="n">
        <v>0</v>
      </c>
      <c r="N840" t="n">
        <v>0</v>
      </c>
      <c r="O840" t="n">
        <v>0</v>
      </c>
      <c r="P840" t="n">
        <v>0</v>
      </c>
      <c r="Q840" t="n">
        <v>0</v>
      </c>
      <c r="R840" s="2" t="inlineStr"/>
    </row>
    <row r="841" ht="15" customHeight="1">
      <c r="A841" t="inlineStr">
        <is>
          <t>A 58920-2023</t>
        </is>
      </c>
      <c r="B841" s="1" t="n">
        <v>45252</v>
      </c>
      <c r="C841" s="1" t="n">
        <v>45657</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58823-2023</t>
        </is>
      </c>
      <c r="B842" s="1" t="n">
        <v>45252</v>
      </c>
      <c r="C842" s="1" t="n">
        <v>45657</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59297-2023</t>
        </is>
      </c>
      <c r="B843" s="1" t="n">
        <v>45253</v>
      </c>
      <c r="C843" s="1" t="n">
        <v>45657</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59713-2023</t>
        </is>
      </c>
      <c r="B844" s="1" t="n">
        <v>45257</v>
      </c>
      <c r="C844" s="1" t="n">
        <v>45657</v>
      </c>
      <c r="D844" t="inlineStr">
        <is>
          <t>VÄSTMANLANDS LÄN</t>
        </is>
      </c>
      <c r="E844" t="inlineStr">
        <is>
          <t>SALA</t>
        </is>
      </c>
      <c r="G844" t="n">
        <v>1.2</v>
      </c>
      <c r="H844" t="n">
        <v>0</v>
      </c>
      <c r="I844" t="n">
        <v>0</v>
      </c>
      <c r="J844" t="n">
        <v>0</v>
      </c>
      <c r="K844" t="n">
        <v>0</v>
      </c>
      <c r="L844" t="n">
        <v>0</v>
      </c>
      <c r="M844" t="n">
        <v>0</v>
      </c>
      <c r="N844" t="n">
        <v>0</v>
      </c>
      <c r="O844" t="n">
        <v>0</v>
      </c>
      <c r="P844" t="n">
        <v>0</v>
      </c>
      <c r="Q844" t="n">
        <v>0</v>
      </c>
      <c r="R844" s="2" t="inlineStr"/>
    </row>
    <row r="845" ht="15" customHeight="1">
      <c r="A845" t="inlineStr">
        <is>
          <t>A 59785-2023</t>
        </is>
      </c>
      <c r="B845" s="1" t="n">
        <v>45257</v>
      </c>
      <c r="C845" s="1" t="n">
        <v>45657</v>
      </c>
      <c r="D845" t="inlineStr">
        <is>
          <t>VÄSTMANLANDS LÄN</t>
        </is>
      </c>
      <c r="E845" t="inlineStr">
        <is>
          <t>SALA</t>
        </is>
      </c>
      <c r="G845" t="n">
        <v>2.2</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45657</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45657</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60730-2023</t>
        </is>
      </c>
      <c r="B848" s="1" t="n">
        <v>45260</v>
      </c>
      <c r="C848" s="1" t="n">
        <v>45657</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61525-2023</t>
        </is>
      </c>
      <c r="B849" s="1" t="n">
        <v>45265</v>
      </c>
      <c r="C849" s="1" t="n">
        <v>45657</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c r="U849">
        <f>HYPERLINK("https://klasma.github.io/Logging_1981/knärot/A 61525-2023 karta knärot.png", "A 61525-2023")</f>
        <v/>
      </c>
      <c r="V849">
        <f>HYPERLINK("https://klasma.github.io/Logging_1981/klagomål/A 61525-2023 FSC-klagomål.docx", "A 61525-2023")</f>
        <v/>
      </c>
      <c r="W849">
        <f>HYPERLINK("https://klasma.github.io/Logging_1981/klagomålsmail/A 61525-2023 FSC-klagomål mail.docx", "A 61525-2023")</f>
        <v/>
      </c>
      <c r="X849">
        <f>HYPERLINK("https://klasma.github.io/Logging_1981/tillsyn/A 61525-2023 tillsynsbegäran.docx", "A 61525-2023")</f>
        <v/>
      </c>
      <c r="Y849">
        <f>HYPERLINK("https://klasma.github.io/Logging_1981/tillsynsmail/A 61525-2023 tillsynsbegäran mail.docx", "A 61525-2023")</f>
        <v/>
      </c>
    </row>
    <row r="850" ht="15" customHeight="1">
      <c r="A850" t="inlineStr">
        <is>
          <t>A 62449-2023</t>
        </is>
      </c>
      <c r="B850" s="1" t="n">
        <v>45268</v>
      </c>
      <c r="C850" s="1" t="n">
        <v>45657</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62630-2023</t>
        </is>
      </c>
      <c r="B851" s="1" t="n">
        <v>45271</v>
      </c>
      <c r="C851" s="1" t="n">
        <v>45657</v>
      </c>
      <c r="D851" t="inlineStr">
        <is>
          <t>VÄSTMANLANDS LÄN</t>
        </is>
      </c>
      <c r="E851" t="inlineStr">
        <is>
          <t>SALA</t>
        </is>
      </c>
      <c r="G851" t="n">
        <v>1.5</v>
      </c>
      <c r="H851" t="n">
        <v>0</v>
      </c>
      <c r="I851" t="n">
        <v>0</v>
      </c>
      <c r="J851" t="n">
        <v>0</v>
      </c>
      <c r="K851" t="n">
        <v>0</v>
      </c>
      <c r="L851" t="n">
        <v>0</v>
      </c>
      <c r="M851" t="n">
        <v>0</v>
      </c>
      <c r="N851" t="n">
        <v>0</v>
      </c>
      <c r="O851" t="n">
        <v>0</v>
      </c>
      <c r="P851" t="n">
        <v>0</v>
      </c>
      <c r="Q851" t="n">
        <v>0</v>
      </c>
      <c r="R851" s="2" t="inlineStr"/>
    </row>
    <row r="852" ht="15" customHeight="1">
      <c r="A852" t="inlineStr">
        <is>
          <t>A 63234-2023</t>
        </is>
      </c>
      <c r="B852" s="1" t="n">
        <v>45273</v>
      </c>
      <c r="C852" s="1" t="n">
        <v>45657</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63274-2023</t>
        </is>
      </c>
      <c r="B853" s="1" t="n">
        <v>45273</v>
      </c>
      <c r="C853" s="1" t="n">
        <v>45657</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63466-2023</t>
        </is>
      </c>
      <c r="B854" s="1" t="n">
        <v>45274</v>
      </c>
      <c r="C854" s="1" t="n">
        <v>45657</v>
      </c>
      <c r="D854" t="inlineStr">
        <is>
          <t>VÄSTMANLANDS LÄN</t>
        </is>
      </c>
      <c r="E854" t="inlineStr">
        <is>
          <t>SALA</t>
        </is>
      </c>
      <c r="G854" t="n">
        <v>2.9</v>
      </c>
      <c r="H854" t="n">
        <v>0</v>
      </c>
      <c r="I854" t="n">
        <v>0</v>
      </c>
      <c r="J854" t="n">
        <v>0</v>
      </c>
      <c r="K854" t="n">
        <v>0</v>
      </c>
      <c r="L854" t="n">
        <v>0</v>
      </c>
      <c r="M854" t="n">
        <v>0</v>
      </c>
      <c r="N854" t="n">
        <v>0</v>
      </c>
      <c r="O854" t="n">
        <v>0</v>
      </c>
      <c r="P854" t="n">
        <v>0</v>
      </c>
      <c r="Q854" t="n">
        <v>0</v>
      </c>
      <c r="R854" s="2" t="inlineStr"/>
    </row>
    <row r="855" ht="15" customHeight="1">
      <c r="A855" t="inlineStr">
        <is>
          <t>A 63564-2023</t>
        </is>
      </c>
      <c r="B855" s="1" t="n">
        <v>45275</v>
      </c>
      <c r="C855" s="1" t="n">
        <v>45657</v>
      </c>
      <c r="D855" t="inlineStr">
        <is>
          <t>VÄSTMANLANDS LÄN</t>
        </is>
      </c>
      <c r="E855" t="inlineStr">
        <is>
          <t>SALA</t>
        </is>
      </c>
      <c r="G855" t="n">
        <v>3.6</v>
      </c>
      <c r="H855" t="n">
        <v>0</v>
      </c>
      <c r="I855" t="n">
        <v>0</v>
      </c>
      <c r="J855" t="n">
        <v>0</v>
      </c>
      <c r="K855" t="n">
        <v>0</v>
      </c>
      <c r="L855" t="n">
        <v>0</v>
      </c>
      <c r="M855" t="n">
        <v>0</v>
      </c>
      <c r="N855" t="n">
        <v>0</v>
      </c>
      <c r="O855" t="n">
        <v>0</v>
      </c>
      <c r="P855" t="n">
        <v>0</v>
      </c>
      <c r="Q855" t="n">
        <v>0</v>
      </c>
      <c r="R855" s="2" t="inlineStr"/>
    </row>
    <row r="856" ht="15" customHeight="1">
      <c r="A856" t="inlineStr">
        <is>
          <t>A 63905-2023</t>
        </is>
      </c>
      <c r="B856" s="1" t="n">
        <v>45278</v>
      </c>
      <c r="C856" s="1" t="n">
        <v>45657</v>
      </c>
      <c r="D856" t="inlineStr">
        <is>
          <t>VÄSTMANLANDS LÄN</t>
        </is>
      </c>
      <c r="E856" t="inlineStr">
        <is>
          <t>SALA</t>
        </is>
      </c>
      <c r="G856" t="n">
        <v>4.1</v>
      </c>
      <c r="H856" t="n">
        <v>0</v>
      </c>
      <c r="I856" t="n">
        <v>0</v>
      </c>
      <c r="J856" t="n">
        <v>0</v>
      </c>
      <c r="K856" t="n">
        <v>0</v>
      </c>
      <c r="L856" t="n">
        <v>0</v>
      </c>
      <c r="M856" t="n">
        <v>0</v>
      </c>
      <c r="N856" t="n">
        <v>0</v>
      </c>
      <c r="O856" t="n">
        <v>0</v>
      </c>
      <c r="P856" t="n">
        <v>0</v>
      </c>
      <c r="Q856" t="n">
        <v>0</v>
      </c>
      <c r="R856" s="2" t="inlineStr"/>
    </row>
    <row r="857" ht="15" customHeight="1">
      <c r="A857" t="inlineStr">
        <is>
          <t>A 63933-2023</t>
        </is>
      </c>
      <c r="B857" s="1" t="n">
        <v>45278</v>
      </c>
      <c r="C857" s="1" t="n">
        <v>45657</v>
      </c>
      <c r="D857" t="inlineStr">
        <is>
          <t>VÄSTMANLANDS LÄN</t>
        </is>
      </c>
      <c r="E857" t="inlineStr">
        <is>
          <t>SALA</t>
        </is>
      </c>
      <c r="G857" t="n">
        <v>1.4</v>
      </c>
      <c r="H857" t="n">
        <v>0</v>
      </c>
      <c r="I857" t="n">
        <v>0</v>
      </c>
      <c r="J857" t="n">
        <v>0</v>
      </c>
      <c r="K857" t="n">
        <v>0</v>
      </c>
      <c r="L857" t="n">
        <v>0</v>
      </c>
      <c r="M857" t="n">
        <v>0</v>
      </c>
      <c r="N857" t="n">
        <v>0</v>
      </c>
      <c r="O857" t="n">
        <v>0</v>
      </c>
      <c r="P857" t="n">
        <v>0</v>
      </c>
      <c r="Q857" t="n">
        <v>0</v>
      </c>
      <c r="R857" s="2" t="inlineStr"/>
    </row>
    <row r="858" ht="15" customHeight="1">
      <c r="A858" t="inlineStr">
        <is>
          <t>A 64109-2023</t>
        </is>
      </c>
      <c r="B858" s="1" t="n">
        <v>45279</v>
      </c>
      <c r="C858" s="1" t="n">
        <v>45657</v>
      </c>
      <c r="D858" t="inlineStr">
        <is>
          <t>VÄSTMANLANDS LÄN</t>
        </is>
      </c>
      <c r="E858" t="inlineStr">
        <is>
          <t>SALA</t>
        </is>
      </c>
      <c r="G858" t="n">
        <v>3.7</v>
      </c>
      <c r="H858" t="n">
        <v>0</v>
      </c>
      <c r="I858" t="n">
        <v>0</v>
      </c>
      <c r="J858" t="n">
        <v>0</v>
      </c>
      <c r="K858" t="n">
        <v>0</v>
      </c>
      <c r="L858" t="n">
        <v>0</v>
      </c>
      <c r="M858" t="n">
        <v>0</v>
      </c>
      <c r="N858" t="n">
        <v>0</v>
      </c>
      <c r="O858" t="n">
        <v>0</v>
      </c>
      <c r="P858" t="n">
        <v>0</v>
      </c>
      <c r="Q858" t="n">
        <v>0</v>
      </c>
      <c r="R858" s="2" t="inlineStr"/>
    </row>
    <row r="859" ht="15" customHeight="1">
      <c r="A859" t="inlineStr">
        <is>
          <t>A 64123-2023</t>
        </is>
      </c>
      <c r="B859" s="1" t="n">
        <v>45279</v>
      </c>
      <c r="C859" s="1" t="n">
        <v>45657</v>
      </c>
      <c r="D859" t="inlineStr">
        <is>
          <t>VÄSTMANLANDS LÄN</t>
        </is>
      </c>
      <c r="E859" t="inlineStr">
        <is>
          <t>SALA</t>
        </is>
      </c>
      <c r="G859" t="n">
        <v>4</v>
      </c>
      <c r="H859" t="n">
        <v>0</v>
      </c>
      <c r="I859" t="n">
        <v>0</v>
      </c>
      <c r="J859" t="n">
        <v>0</v>
      </c>
      <c r="K859" t="n">
        <v>0</v>
      </c>
      <c r="L859" t="n">
        <v>0</v>
      </c>
      <c r="M859" t="n">
        <v>0</v>
      </c>
      <c r="N859" t="n">
        <v>0</v>
      </c>
      <c r="O859" t="n">
        <v>0</v>
      </c>
      <c r="P859" t="n">
        <v>0</v>
      </c>
      <c r="Q859" t="n">
        <v>0</v>
      </c>
      <c r="R859" s="2" t="inlineStr"/>
    </row>
    <row r="860" ht="15" customHeight="1">
      <c r="A860" t="inlineStr">
        <is>
          <t>A 64693-2023</t>
        </is>
      </c>
      <c r="B860" s="1" t="n">
        <v>45281</v>
      </c>
      <c r="C860" s="1" t="n">
        <v>45657</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64729-2023</t>
        </is>
      </c>
      <c r="B861" s="1" t="n">
        <v>45281</v>
      </c>
      <c r="C861" s="1" t="n">
        <v>45657</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64724-2023</t>
        </is>
      </c>
      <c r="B862" s="1" t="n">
        <v>45281</v>
      </c>
      <c r="C862" s="1" t="n">
        <v>45657</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64692-2023</t>
        </is>
      </c>
      <c r="B863" s="1" t="n">
        <v>45281</v>
      </c>
      <c r="C863" s="1" t="n">
        <v>45657</v>
      </c>
      <c r="D863" t="inlineStr">
        <is>
          <t>VÄSTMANLANDS LÄN</t>
        </is>
      </c>
      <c r="E863" t="inlineStr">
        <is>
          <t>SALA</t>
        </is>
      </c>
      <c r="G863" t="n">
        <v>1.7</v>
      </c>
      <c r="H863" t="n">
        <v>0</v>
      </c>
      <c r="I863" t="n">
        <v>0</v>
      </c>
      <c r="J863" t="n">
        <v>0</v>
      </c>
      <c r="K863" t="n">
        <v>0</v>
      </c>
      <c r="L863" t="n">
        <v>0</v>
      </c>
      <c r="M863" t="n">
        <v>0</v>
      </c>
      <c r="N863" t="n">
        <v>0</v>
      </c>
      <c r="O863" t="n">
        <v>0</v>
      </c>
      <c r="P863" t="n">
        <v>0</v>
      </c>
      <c r="Q863" t="n">
        <v>0</v>
      </c>
      <c r="R863" s="2" t="inlineStr"/>
    </row>
    <row r="864" ht="15" customHeight="1">
      <c r="A864" t="inlineStr">
        <is>
          <t>A 64687-2023</t>
        </is>
      </c>
      <c r="B864" s="1" t="n">
        <v>45281</v>
      </c>
      <c r="C864" s="1" t="n">
        <v>45657</v>
      </c>
      <c r="D864" t="inlineStr">
        <is>
          <t>VÄSTMANLANDS LÄN</t>
        </is>
      </c>
      <c r="E864" t="inlineStr">
        <is>
          <t>SALA</t>
        </is>
      </c>
      <c r="G864" t="n">
        <v>2.8</v>
      </c>
      <c r="H864" t="n">
        <v>0</v>
      </c>
      <c r="I864" t="n">
        <v>0</v>
      </c>
      <c r="J864" t="n">
        <v>0</v>
      </c>
      <c r="K864" t="n">
        <v>0</v>
      </c>
      <c r="L864" t="n">
        <v>0</v>
      </c>
      <c r="M864" t="n">
        <v>0</v>
      </c>
      <c r="N864" t="n">
        <v>0</v>
      </c>
      <c r="O864" t="n">
        <v>0</v>
      </c>
      <c r="P864" t="n">
        <v>0</v>
      </c>
      <c r="Q864" t="n">
        <v>0</v>
      </c>
      <c r="R864" s="2" t="inlineStr"/>
    </row>
    <row r="865" ht="15" customHeight="1">
      <c r="A865" t="inlineStr">
        <is>
          <t>A 64695-2023</t>
        </is>
      </c>
      <c r="B865" s="1" t="n">
        <v>45281</v>
      </c>
      <c r="C865" s="1" t="n">
        <v>45657</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64925-2023</t>
        </is>
      </c>
      <c r="B866" s="1" t="n">
        <v>45282</v>
      </c>
      <c r="C866" s="1" t="n">
        <v>45657</v>
      </c>
      <c r="D866" t="inlineStr">
        <is>
          <t>VÄSTMANLANDS LÄN</t>
        </is>
      </c>
      <c r="E866" t="inlineStr">
        <is>
          <t>SALA</t>
        </is>
      </c>
      <c r="G866" t="n">
        <v>2.5</v>
      </c>
      <c r="H866" t="n">
        <v>0</v>
      </c>
      <c r="I866" t="n">
        <v>0</v>
      </c>
      <c r="J866" t="n">
        <v>0</v>
      </c>
      <c r="K866" t="n">
        <v>0</v>
      </c>
      <c r="L866" t="n">
        <v>0</v>
      </c>
      <c r="M866" t="n">
        <v>0</v>
      </c>
      <c r="N866" t="n">
        <v>0</v>
      </c>
      <c r="O866" t="n">
        <v>0</v>
      </c>
      <c r="P866" t="n">
        <v>0</v>
      </c>
      <c r="Q866" t="n">
        <v>0</v>
      </c>
      <c r="R866" s="2" t="inlineStr"/>
    </row>
    <row r="867" ht="15" customHeight="1">
      <c r="A867" t="inlineStr">
        <is>
          <t>A 30-2024</t>
        </is>
      </c>
      <c r="B867" s="1" t="n">
        <v>45293</v>
      </c>
      <c r="C867" s="1" t="n">
        <v>45657</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96-2024</t>
        </is>
      </c>
      <c r="B868" s="1" t="n">
        <v>45293</v>
      </c>
      <c r="C868" s="1" t="n">
        <v>45657</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110-2024</t>
        </is>
      </c>
      <c r="B869" s="1" t="n">
        <v>45294</v>
      </c>
      <c r="C869" s="1" t="n">
        <v>45657</v>
      </c>
      <c r="D869" t="inlineStr">
        <is>
          <t>VÄSTMANLANDS LÄN</t>
        </is>
      </c>
      <c r="E869" t="inlineStr">
        <is>
          <t>SALA</t>
        </is>
      </c>
      <c r="G869" t="n">
        <v>3.8</v>
      </c>
      <c r="H869" t="n">
        <v>0</v>
      </c>
      <c r="I869" t="n">
        <v>0</v>
      </c>
      <c r="J869" t="n">
        <v>0</v>
      </c>
      <c r="K869" t="n">
        <v>0</v>
      </c>
      <c r="L869" t="n">
        <v>0</v>
      </c>
      <c r="M869" t="n">
        <v>0</v>
      </c>
      <c r="N869" t="n">
        <v>0</v>
      </c>
      <c r="O869" t="n">
        <v>0</v>
      </c>
      <c r="P869" t="n">
        <v>0</v>
      </c>
      <c r="Q869" t="n">
        <v>0</v>
      </c>
      <c r="R869" s="2" t="inlineStr"/>
    </row>
    <row r="870" ht="15" customHeight="1">
      <c r="A870" t="inlineStr">
        <is>
          <t>A 456-2024</t>
        </is>
      </c>
      <c r="B870" s="1" t="n">
        <v>45296</v>
      </c>
      <c r="C870" s="1" t="n">
        <v>45657</v>
      </c>
      <c r="D870" t="inlineStr">
        <is>
          <t>VÄSTMANLANDS LÄN</t>
        </is>
      </c>
      <c r="E870" t="inlineStr">
        <is>
          <t>SALA</t>
        </is>
      </c>
      <c r="G870" t="n">
        <v>4.7</v>
      </c>
      <c r="H870" t="n">
        <v>0</v>
      </c>
      <c r="I870" t="n">
        <v>0</v>
      </c>
      <c r="J870" t="n">
        <v>0</v>
      </c>
      <c r="K870" t="n">
        <v>0</v>
      </c>
      <c r="L870" t="n">
        <v>0</v>
      </c>
      <c r="M870" t="n">
        <v>0</v>
      </c>
      <c r="N870" t="n">
        <v>0</v>
      </c>
      <c r="O870" t="n">
        <v>0</v>
      </c>
      <c r="P870" t="n">
        <v>0</v>
      </c>
      <c r="Q870" t="n">
        <v>0</v>
      </c>
      <c r="R870" s="2" t="inlineStr"/>
    </row>
    <row r="871" ht="15" customHeight="1">
      <c r="A871" t="inlineStr">
        <is>
          <t>A 1118-2024</t>
        </is>
      </c>
      <c r="B871" s="1" t="n">
        <v>45302</v>
      </c>
      <c r="C871" s="1" t="n">
        <v>45657</v>
      </c>
      <c r="D871" t="inlineStr">
        <is>
          <t>VÄSTMANLANDS LÄN</t>
        </is>
      </c>
      <c r="E871" t="inlineStr">
        <is>
          <t>SALA</t>
        </is>
      </c>
      <c r="G871" t="n">
        <v>1.9</v>
      </c>
      <c r="H871" t="n">
        <v>0</v>
      </c>
      <c r="I871" t="n">
        <v>0</v>
      </c>
      <c r="J871" t="n">
        <v>0</v>
      </c>
      <c r="K871" t="n">
        <v>0</v>
      </c>
      <c r="L871" t="n">
        <v>0</v>
      </c>
      <c r="M871" t="n">
        <v>0</v>
      </c>
      <c r="N871" t="n">
        <v>0</v>
      </c>
      <c r="O871" t="n">
        <v>0</v>
      </c>
      <c r="P871" t="n">
        <v>0</v>
      </c>
      <c r="Q871" t="n">
        <v>0</v>
      </c>
      <c r="R871" s="2" t="inlineStr"/>
    </row>
    <row r="872" ht="15" customHeight="1">
      <c r="A872" t="inlineStr">
        <is>
          <t>A 1555-2024</t>
        </is>
      </c>
      <c r="B872" s="1" t="n">
        <v>45306</v>
      </c>
      <c r="C872" s="1" t="n">
        <v>45657</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1552-2024</t>
        </is>
      </c>
      <c r="B873" s="1" t="n">
        <v>45306</v>
      </c>
      <c r="C873" s="1" t="n">
        <v>45657</v>
      </c>
      <c r="D873" t="inlineStr">
        <is>
          <t>VÄSTMANLANDS LÄN</t>
        </is>
      </c>
      <c r="E873" t="inlineStr">
        <is>
          <t>SALA</t>
        </is>
      </c>
      <c r="G873" t="n">
        <v>3.3</v>
      </c>
      <c r="H873" t="n">
        <v>0</v>
      </c>
      <c r="I873" t="n">
        <v>0</v>
      </c>
      <c r="J873" t="n">
        <v>0</v>
      </c>
      <c r="K873" t="n">
        <v>0</v>
      </c>
      <c r="L873" t="n">
        <v>0</v>
      </c>
      <c r="M873" t="n">
        <v>0</v>
      </c>
      <c r="N873" t="n">
        <v>0</v>
      </c>
      <c r="O873" t="n">
        <v>0</v>
      </c>
      <c r="P873" t="n">
        <v>0</v>
      </c>
      <c r="Q873" t="n">
        <v>0</v>
      </c>
      <c r="R873" s="2" t="inlineStr"/>
    </row>
    <row r="874" ht="15" customHeight="1">
      <c r="A874" t="inlineStr">
        <is>
          <t>A 2392-2024</t>
        </is>
      </c>
      <c r="B874" s="1" t="n">
        <v>45310</v>
      </c>
      <c r="C874" s="1" t="n">
        <v>45657</v>
      </c>
      <c r="D874" t="inlineStr">
        <is>
          <t>VÄSTMANLANDS LÄN</t>
        </is>
      </c>
      <c r="E874" t="inlineStr">
        <is>
          <t>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2478-2024</t>
        </is>
      </c>
      <c r="B875" s="1" t="n">
        <v>45313</v>
      </c>
      <c r="C875" s="1" t="n">
        <v>45657</v>
      </c>
      <c r="D875" t="inlineStr">
        <is>
          <t>VÄSTMANLANDS LÄN</t>
        </is>
      </c>
      <c r="E875" t="inlineStr">
        <is>
          <t>SALA</t>
        </is>
      </c>
      <c r="G875" t="n">
        <v>0.9</v>
      </c>
      <c r="H875" t="n">
        <v>0</v>
      </c>
      <c r="I875" t="n">
        <v>0</v>
      </c>
      <c r="J875" t="n">
        <v>0</v>
      </c>
      <c r="K875" t="n">
        <v>0</v>
      </c>
      <c r="L875" t="n">
        <v>0</v>
      </c>
      <c r="M875" t="n">
        <v>0</v>
      </c>
      <c r="N875" t="n">
        <v>0</v>
      </c>
      <c r="O875" t="n">
        <v>0</v>
      </c>
      <c r="P875" t="n">
        <v>0</v>
      </c>
      <c r="Q875" t="n">
        <v>0</v>
      </c>
      <c r="R875" s="2" t="inlineStr"/>
    </row>
    <row r="876" ht="15" customHeight="1">
      <c r="A876" t="inlineStr">
        <is>
          <t>A 2599-2024</t>
        </is>
      </c>
      <c r="B876" s="1" t="n">
        <v>45313</v>
      </c>
      <c r="C876" s="1" t="n">
        <v>45657</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2766-2024</t>
        </is>
      </c>
      <c r="B877" s="1" t="n">
        <v>45314</v>
      </c>
      <c r="C877" s="1" t="n">
        <v>45657</v>
      </c>
      <c r="D877" t="inlineStr">
        <is>
          <t>VÄSTMANLANDS LÄN</t>
        </is>
      </c>
      <c r="E877" t="inlineStr">
        <is>
          <t>SALA</t>
        </is>
      </c>
      <c r="G877" t="n">
        <v>2.8</v>
      </c>
      <c r="H877" t="n">
        <v>0</v>
      </c>
      <c r="I877" t="n">
        <v>0</v>
      </c>
      <c r="J877" t="n">
        <v>0</v>
      </c>
      <c r="K877" t="n">
        <v>0</v>
      </c>
      <c r="L877" t="n">
        <v>0</v>
      </c>
      <c r="M877" t="n">
        <v>0</v>
      </c>
      <c r="N877" t="n">
        <v>0</v>
      </c>
      <c r="O877" t="n">
        <v>0</v>
      </c>
      <c r="P877" t="n">
        <v>0</v>
      </c>
      <c r="Q877" t="n">
        <v>0</v>
      </c>
      <c r="R877" s="2" t="inlineStr"/>
    </row>
    <row r="878" ht="15" customHeight="1">
      <c r="A878" t="inlineStr">
        <is>
          <t>A 2925-2024</t>
        </is>
      </c>
      <c r="B878" s="1" t="n">
        <v>45315</v>
      </c>
      <c r="C878" s="1" t="n">
        <v>45657</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2928-2024</t>
        </is>
      </c>
      <c r="B879" s="1" t="n">
        <v>45315</v>
      </c>
      <c r="C879" s="1" t="n">
        <v>45657</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2927-2024</t>
        </is>
      </c>
      <c r="B880" s="1" t="n">
        <v>45315</v>
      </c>
      <c r="C880" s="1" t="n">
        <v>45657</v>
      </c>
      <c r="D880" t="inlineStr">
        <is>
          <t>VÄSTMANLANDS LÄN</t>
        </is>
      </c>
      <c r="E880" t="inlineStr">
        <is>
          <t>SALA</t>
        </is>
      </c>
      <c r="G880" t="n">
        <v>2.5</v>
      </c>
      <c r="H880" t="n">
        <v>0</v>
      </c>
      <c r="I880" t="n">
        <v>0</v>
      </c>
      <c r="J880" t="n">
        <v>0</v>
      </c>
      <c r="K880" t="n">
        <v>0</v>
      </c>
      <c r="L880" t="n">
        <v>0</v>
      </c>
      <c r="M880" t="n">
        <v>0</v>
      </c>
      <c r="N880" t="n">
        <v>0</v>
      </c>
      <c r="O880" t="n">
        <v>0</v>
      </c>
      <c r="P880" t="n">
        <v>0</v>
      </c>
      <c r="Q880" t="n">
        <v>0</v>
      </c>
      <c r="R880" s="2" t="inlineStr"/>
    </row>
    <row r="881" ht="15" customHeight="1">
      <c r="A881" t="inlineStr">
        <is>
          <t>A 3061-2024</t>
        </is>
      </c>
      <c r="B881" s="1" t="n">
        <v>45316</v>
      </c>
      <c r="C881" s="1" t="n">
        <v>45657</v>
      </c>
      <c r="D881" t="inlineStr">
        <is>
          <t>VÄSTMANLANDS LÄN</t>
        </is>
      </c>
      <c r="E881" t="inlineStr">
        <is>
          <t>SALA</t>
        </is>
      </c>
      <c r="G881" t="n">
        <v>5.7</v>
      </c>
      <c r="H881" t="n">
        <v>0</v>
      </c>
      <c r="I881" t="n">
        <v>0</v>
      </c>
      <c r="J881" t="n">
        <v>0</v>
      </c>
      <c r="K881" t="n">
        <v>0</v>
      </c>
      <c r="L881" t="n">
        <v>0</v>
      </c>
      <c r="M881" t="n">
        <v>0</v>
      </c>
      <c r="N881" t="n">
        <v>0</v>
      </c>
      <c r="O881" t="n">
        <v>0</v>
      </c>
      <c r="P881" t="n">
        <v>0</v>
      </c>
      <c r="Q881" t="n">
        <v>0</v>
      </c>
      <c r="R881" s="2" t="inlineStr"/>
    </row>
    <row r="882" ht="15" customHeight="1">
      <c r="A882" t="inlineStr">
        <is>
          <t>A 3332-2024</t>
        </is>
      </c>
      <c r="B882" s="1" t="n">
        <v>45317</v>
      </c>
      <c r="C882" s="1" t="n">
        <v>45657</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3577-2024</t>
        </is>
      </c>
      <c r="B883" s="1" t="n">
        <v>45320</v>
      </c>
      <c r="C883" s="1" t="n">
        <v>45657</v>
      </c>
      <c r="D883" t="inlineStr">
        <is>
          <t>VÄSTMANLANDS LÄN</t>
        </is>
      </c>
      <c r="E883" t="inlineStr">
        <is>
          <t>SALA</t>
        </is>
      </c>
      <c r="F883" t="inlineStr">
        <is>
          <t>Kommuner</t>
        </is>
      </c>
      <c r="G883" t="n">
        <v>7.2</v>
      </c>
      <c r="H883" t="n">
        <v>0</v>
      </c>
      <c r="I883" t="n">
        <v>0</v>
      </c>
      <c r="J883" t="n">
        <v>0</v>
      </c>
      <c r="K883" t="n">
        <v>0</v>
      </c>
      <c r="L883" t="n">
        <v>0</v>
      </c>
      <c r="M883" t="n">
        <v>0</v>
      </c>
      <c r="N883" t="n">
        <v>0</v>
      </c>
      <c r="O883" t="n">
        <v>0</v>
      </c>
      <c r="P883" t="n">
        <v>0</v>
      </c>
      <c r="Q883" t="n">
        <v>0</v>
      </c>
      <c r="R883" s="2" t="inlineStr"/>
    </row>
    <row r="884" ht="15" customHeight="1">
      <c r="A884" t="inlineStr">
        <is>
          <t>A 3527-2024</t>
        </is>
      </c>
      <c r="B884" s="1" t="n">
        <v>45320</v>
      </c>
      <c r="C884" s="1" t="n">
        <v>45657</v>
      </c>
      <c r="D884" t="inlineStr">
        <is>
          <t>VÄSTMANLANDS LÄN</t>
        </is>
      </c>
      <c r="E884" t="inlineStr">
        <is>
          <t>SALA</t>
        </is>
      </c>
      <c r="G884" t="n">
        <v>1.7</v>
      </c>
      <c r="H884" t="n">
        <v>0</v>
      </c>
      <c r="I884" t="n">
        <v>0</v>
      </c>
      <c r="J884" t="n">
        <v>0</v>
      </c>
      <c r="K884" t="n">
        <v>0</v>
      </c>
      <c r="L884" t="n">
        <v>0</v>
      </c>
      <c r="M884" t="n">
        <v>0</v>
      </c>
      <c r="N884" t="n">
        <v>0</v>
      </c>
      <c r="O884" t="n">
        <v>0</v>
      </c>
      <c r="P884" t="n">
        <v>0</v>
      </c>
      <c r="Q884" t="n">
        <v>0</v>
      </c>
      <c r="R884" s="2" t="inlineStr"/>
    </row>
    <row r="885" ht="15" customHeight="1">
      <c r="A885" t="inlineStr">
        <is>
          <t>A 3551-2024</t>
        </is>
      </c>
      <c r="B885" s="1" t="n">
        <v>45320</v>
      </c>
      <c r="C885" s="1" t="n">
        <v>45657</v>
      </c>
      <c r="D885" t="inlineStr">
        <is>
          <t>VÄSTMANLANDS LÄN</t>
        </is>
      </c>
      <c r="E885" t="inlineStr">
        <is>
          <t>SALA</t>
        </is>
      </c>
      <c r="F885" t="inlineStr">
        <is>
          <t>Kommuner</t>
        </is>
      </c>
      <c r="G885" t="n">
        <v>6</v>
      </c>
      <c r="H885" t="n">
        <v>0</v>
      </c>
      <c r="I885" t="n">
        <v>0</v>
      </c>
      <c r="J885" t="n">
        <v>0</v>
      </c>
      <c r="K885" t="n">
        <v>0</v>
      </c>
      <c r="L885" t="n">
        <v>0</v>
      </c>
      <c r="M885" t="n">
        <v>0</v>
      </c>
      <c r="N885" t="n">
        <v>0</v>
      </c>
      <c r="O885" t="n">
        <v>0</v>
      </c>
      <c r="P885" t="n">
        <v>0</v>
      </c>
      <c r="Q885" t="n">
        <v>0</v>
      </c>
      <c r="R885" s="2" t="inlineStr"/>
    </row>
    <row r="886" ht="15" customHeight="1">
      <c r="A886" t="inlineStr">
        <is>
          <t>A 3525-2024</t>
        </is>
      </c>
      <c r="B886" s="1" t="n">
        <v>45320</v>
      </c>
      <c r="C886" s="1" t="n">
        <v>45657</v>
      </c>
      <c r="D886" t="inlineStr">
        <is>
          <t>VÄSTMANLANDS LÄN</t>
        </is>
      </c>
      <c r="E886" t="inlineStr">
        <is>
          <t>SALA</t>
        </is>
      </c>
      <c r="G886" t="n">
        <v>3.5</v>
      </c>
      <c r="H886" t="n">
        <v>0</v>
      </c>
      <c r="I886" t="n">
        <v>0</v>
      </c>
      <c r="J886" t="n">
        <v>0</v>
      </c>
      <c r="K886" t="n">
        <v>0</v>
      </c>
      <c r="L886" t="n">
        <v>0</v>
      </c>
      <c r="M886" t="n">
        <v>0</v>
      </c>
      <c r="N886" t="n">
        <v>0</v>
      </c>
      <c r="O886" t="n">
        <v>0</v>
      </c>
      <c r="P886" t="n">
        <v>0</v>
      </c>
      <c r="Q886" t="n">
        <v>0</v>
      </c>
      <c r="R886" s="2" t="inlineStr"/>
    </row>
    <row r="887" ht="15" customHeight="1">
      <c r="A887" t="inlineStr">
        <is>
          <t>A 3560-2024</t>
        </is>
      </c>
      <c r="B887" s="1" t="n">
        <v>45320</v>
      </c>
      <c r="C887" s="1" t="n">
        <v>45657</v>
      </c>
      <c r="D887" t="inlineStr">
        <is>
          <t>VÄSTMANLANDS LÄN</t>
        </is>
      </c>
      <c r="E887" t="inlineStr">
        <is>
          <t>SALA</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4417-2024</t>
        </is>
      </c>
      <c r="B888" s="1" t="n">
        <v>45327</v>
      </c>
      <c r="C888" s="1" t="n">
        <v>45657</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4897-2024</t>
        </is>
      </c>
      <c r="B889" s="1" t="n">
        <v>45329</v>
      </c>
      <c r="C889" s="1" t="n">
        <v>45657</v>
      </c>
      <c r="D889" t="inlineStr">
        <is>
          <t>VÄSTMANLANDS LÄN</t>
        </is>
      </c>
      <c r="E889" t="inlineStr">
        <is>
          <t>SALA</t>
        </is>
      </c>
      <c r="G889" t="n">
        <v>3.4</v>
      </c>
      <c r="H889" t="n">
        <v>0</v>
      </c>
      <c r="I889" t="n">
        <v>0</v>
      </c>
      <c r="J889" t="n">
        <v>0</v>
      </c>
      <c r="K889" t="n">
        <v>0</v>
      </c>
      <c r="L889" t="n">
        <v>0</v>
      </c>
      <c r="M889" t="n">
        <v>0</v>
      </c>
      <c r="N889" t="n">
        <v>0</v>
      </c>
      <c r="O889" t="n">
        <v>0</v>
      </c>
      <c r="P889" t="n">
        <v>0</v>
      </c>
      <c r="Q889" t="n">
        <v>0</v>
      </c>
      <c r="R889" s="2" t="inlineStr"/>
    </row>
    <row r="890" ht="15" customHeight="1">
      <c r="A890" t="inlineStr">
        <is>
          <t>A 5478-2024</t>
        </is>
      </c>
      <c r="B890" s="1" t="n">
        <v>45333</v>
      </c>
      <c r="C890" s="1" t="n">
        <v>45657</v>
      </c>
      <c r="D890" t="inlineStr">
        <is>
          <t>VÄSTMANLANDS LÄN</t>
        </is>
      </c>
      <c r="E890" t="inlineStr">
        <is>
          <t>SALA</t>
        </is>
      </c>
      <c r="G890" t="n">
        <v>1.5</v>
      </c>
      <c r="H890" t="n">
        <v>0</v>
      </c>
      <c r="I890" t="n">
        <v>0</v>
      </c>
      <c r="J890" t="n">
        <v>0</v>
      </c>
      <c r="K890" t="n">
        <v>0</v>
      </c>
      <c r="L890" t="n">
        <v>0</v>
      </c>
      <c r="M890" t="n">
        <v>0</v>
      </c>
      <c r="N890" t="n">
        <v>0</v>
      </c>
      <c r="O890" t="n">
        <v>0</v>
      </c>
      <c r="P890" t="n">
        <v>0</v>
      </c>
      <c r="Q890" t="n">
        <v>0</v>
      </c>
      <c r="R890" s="2" t="inlineStr"/>
    </row>
    <row r="891" ht="15" customHeight="1">
      <c r="A891" t="inlineStr">
        <is>
          <t>A 5477-2024</t>
        </is>
      </c>
      <c r="B891" s="1" t="n">
        <v>45333</v>
      </c>
      <c r="C891" s="1" t="n">
        <v>45657</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5705-2024</t>
        </is>
      </c>
      <c r="B892" s="1" t="n">
        <v>45334</v>
      </c>
      <c r="C892" s="1" t="n">
        <v>45657</v>
      </c>
      <c r="D892" t="inlineStr">
        <is>
          <t>VÄSTMANLANDS LÄN</t>
        </is>
      </c>
      <c r="E892" t="inlineStr">
        <is>
          <t>SALA</t>
        </is>
      </c>
      <c r="G892" t="n">
        <v>2.1</v>
      </c>
      <c r="H892" t="n">
        <v>0</v>
      </c>
      <c r="I892" t="n">
        <v>0</v>
      </c>
      <c r="J892" t="n">
        <v>0</v>
      </c>
      <c r="K892" t="n">
        <v>0</v>
      </c>
      <c r="L892" t="n">
        <v>0</v>
      </c>
      <c r="M892" t="n">
        <v>0</v>
      </c>
      <c r="N892" t="n">
        <v>0</v>
      </c>
      <c r="O892" t="n">
        <v>0</v>
      </c>
      <c r="P892" t="n">
        <v>0</v>
      </c>
      <c r="Q892" t="n">
        <v>0</v>
      </c>
      <c r="R892" s="2" t="inlineStr"/>
    </row>
    <row r="893" ht="15" customHeight="1">
      <c r="A893" t="inlineStr">
        <is>
          <t>A 5977-2024</t>
        </is>
      </c>
      <c r="B893" s="1" t="n">
        <v>45336</v>
      </c>
      <c r="C893" s="1" t="n">
        <v>45657</v>
      </c>
      <c r="D893" t="inlineStr">
        <is>
          <t>VÄSTMANLANDS LÄN</t>
        </is>
      </c>
      <c r="E893" t="inlineStr">
        <is>
          <t>SALA</t>
        </is>
      </c>
      <c r="G893" t="n">
        <v>13.1</v>
      </c>
      <c r="H893" t="n">
        <v>0</v>
      </c>
      <c r="I893" t="n">
        <v>0</v>
      </c>
      <c r="J893" t="n">
        <v>0</v>
      </c>
      <c r="K893" t="n">
        <v>0</v>
      </c>
      <c r="L893" t="n">
        <v>0</v>
      </c>
      <c r="M893" t="n">
        <v>0</v>
      </c>
      <c r="N893" t="n">
        <v>0</v>
      </c>
      <c r="O893" t="n">
        <v>0</v>
      </c>
      <c r="P893" t="n">
        <v>0</v>
      </c>
      <c r="Q893" t="n">
        <v>0</v>
      </c>
      <c r="R893" s="2" t="inlineStr"/>
    </row>
    <row r="894" ht="15" customHeight="1">
      <c r="A894" t="inlineStr">
        <is>
          <t>A 6030-2024</t>
        </is>
      </c>
      <c r="B894" s="1" t="n">
        <v>45336</v>
      </c>
      <c r="C894" s="1" t="n">
        <v>45657</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5984-2024</t>
        </is>
      </c>
      <c r="B895" s="1" t="n">
        <v>45336</v>
      </c>
      <c r="C895" s="1" t="n">
        <v>45657</v>
      </c>
      <c r="D895" t="inlineStr">
        <is>
          <t>VÄSTMANLANDS LÄN</t>
        </is>
      </c>
      <c r="E895" t="inlineStr">
        <is>
          <t>SALA</t>
        </is>
      </c>
      <c r="G895" t="n">
        <v>0.7</v>
      </c>
      <c r="H895" t="n">
        <v>0</v>
      </c>
      <c r="I895" t="n">
        <v>0</v>
      </c>
      <c r="J895" t="n">
        <v>0</v>
      </c>
      <c r="K895" t="n">
        <v>0</v>
      </c>
      <c r="L895" t="n">
        <v>0</v>
      </c>
      <c r="M895" t="n">
        <v>0</v>
      </c>
      <c r="N895" t="n">
        <v>0</v>
      </c>
      <c r="O895" t="n">
        <v>0</v>
      </c>
      <c r="P895" t="n">
        <v>0</v>
      </c>
      <c r="Q895" t="n">
        <v>0</v>
      </c>
      <c r="R895" s="2" t="inlineStr"/>
    </row>
    <row r="896" ht="15" customHeight="1">
      <c r="A896" t="inlineStr">
        <is>
          <t>A 6134-2024</t>
        </is>
      </c>
      <c r="B896" s="1" t="n">
        <v>45337</v>
      </c>
      <c r="C896" s="1" t="n">
        <v>45657</v>
      </c>
      <c r="D896" t="inlineStr">
        <is>
          <t>VÄSTMANLANDS LÄN</t>
        </is>
      </c>
      <c r="E896" t="inlineStr">
        <is>
          <t>SALA</t>
        </is>
      </c>
      <c r="G896" t="n">
        <v>1.8</v>
      </c>
      <c r="H896" t="n">
        <v>0</v>
      </c>
      <c r="I896" t="n">
        <v>0</v>
      </c>
      <c r="J896" t="n">
        <v>0</v>
      </c>
      <c r="K896" t="n">
        <v>0</v>
      </c>
      <c r="L896" t="n">
        <v>0</v>
      </c>
      <c r="M896" t="n">
        <v>0</v>
      </c>
      <c r="N896" t="n">
        <v>0</v>
      </c>
      <c r="O896" t="n">
        <v>0</v>
      </c>
      <c r="P896" t="n">
        <v>0</v>
      </c>
      <c r="Q896" t="n">
        <v>0</v>
      </c>
      <c r="R896" s="2" t="inlineStr"/>
    </row>
    <row r="897" ht="15" customHeight="1">
      <c r="A897" t="inlineStr">
        <is>
          <t>A 6572-2024</t>
        </is>
      </c>
      <c r="B897" s="1" t="n">
        <v>45338</v>
      </c>
      <c r="C897" s="1" t="n">
        <v>45657</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6538-2024</t>
        </is>
      </c>
      <c r="B898" s="1" t="n">
        <v>45338</v>
      </c>
      <c r="C898" s="1" t="n">
        <v>45657</v>
      </c>
      <c r="D898" t="inlineStr">
        <is>
          <t>VÄSTMANLANDS LÄN</t>
        </is>
      </c>
      <c r="E898" t="inlineStr">
        <is>
          <t>SALA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6601-2024</t>
        </is>
      </c>
      <c r="B899" s="1" t="n">
        <v>45338</v>
      </c>
      <c r="C899" s="1" t="n">
        <v>45657</v>
      </c>
      <c r="D899" t="inlineStr">
        <is>
          <t>VÄSTMANLANDS LÄN</t>
        </is>
      </c>
      <c r="E899" t="inlineStr">
        <is>
          <t>SALA</t>
        </is>
      </c>
      <c r="G899" t="n">
        <v>4</v>
      </c>
      <c r="H899" t="n">
        <v>0</v>
      </c>
      <c r="I899" t="n">
        <v>0</v>
      </c>
      <c r="J899" t="n">
        <v>0</v>
      </c>
      <c r="K899" t="n">
        <v>0</v>
      </c>
      <c r="L899" t="n">
        <v>0</v>
      </c>
      <c r="M899" t="n">
        <v>0</v>
      </c>
      <c r="N899" t="n">
        <v>0</v>
      </c>
      <c r="O899" t="n">
        <v>0</v>
      </c>
      <c r="P899" t="n">
        <v>0</v>
      </c>
      <c r="Q899" t="n">
        <v>0</v>
      </c>
      <c r="R899" s="2" t="inlineStr"/>
    </row>
    <row r="900" ht="15" customHeight="1">
      <c r="A900" t="inlineStr">
        <is>
          <t>A 6585-2024</t>
        </is>
      </c>
      <c r="B900" s="1" t="n">
        <v>45338</v>
      </c>
      <c r="C900" s="1" t="n">
        <v>45657</v>
      </c>
      <c r="D900" t="inlineStr">
        <is>
          <t>VÄSTMANLANDS LÄN</t>
        </is>
      </c>
      <c r="E900" t="inlineStr">
        <is>
          <t>SALA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6541-2024</t>
        </is>
      </c>
      <c r="B901" s="1" t="n">
        <v>45338</v>
      </c>
      <c r="C901" s="1" t="n">
        <v>45657</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6657-2024</t>
        </is>
      </c>
      <c r="B902" s="1" t="n">
        <v>45341</v>
      </c>
      <c r="C902" s="1" t="n">
        <v>45657</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7953-2024</t>
        </is>
      </c>
      <c r="B903" s="1" t="n">
        <v>45350</v>
      </c>
      <c r="C903" s="1" t="n">
        <v>45657</v>
      </c>
      <c r="D903" t="inlineStr">
        <is>
          <t>VÄSTMANLANDS LÄN</t>
        </is>
      </c>
      <c r="E903" t="inlineStr">
        <is>
          <t>SALA</t>
        </is>
      </c>
      <c r="G903" t="n">
        <v>2.6</v>
      </c>
      <c r="H903" t="n">
        <v>0</v>
      </c>
      <c r="I903" t="n">
        <v>0</v>
      </c>
      <c r="J903" t="n">
        <v>0</v>
      </c>
      <c r="K903" t="n">
        <v>0</v>
      </c>
      <c r="L903" t="n">
        <v>0</v>
      </c>
      <c r="M903" t="n">
        <v>0</v>
      </c>
      <c r="N903" t="n">
        <v>0</v>
      </c>
      <c r="O903" t="n">
        <v>0</v>
      </c>
      <c r="P903" t="n">
        <v>0</v>
      </c>
      <c r="Q903" t="n">
        <v>0</v>
      </c>
      <c r="R903" s="2" t="inlineStr"/>
    </row>
    <row r="904" ht="15" customHeight="1">
      <c r="A904" t="inlineStr">
        <is>
          <t>A 8591-2024</t>
        </is>
      </c>
      <c r="B904" s="1" t="n">
        <v>45355</v>
      </c>
      <c r="C904" s="1" t="n">
        <v>45657</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8775-2024</t>
        </is>
      </c>
      <c r="B905" s="1" t="n">
        <v>45356</v>
      </c>
      <c r="C905" s="1" t="n">
        <v>45657</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8793-2024</t>
        </is>
      </c>
      <c r="B906" s="1" t="n">
        <v>45356</v>
      </c>
      <c r="C906" s="1" t="n">
        <v>45657</v>
      </c>
      <c r="D906" t="inlineStr">
        <is>
          <t>VÄSTMANLANDS LÄN</t>
        </is>
      </c>
      <c r="E906" t="inlineStr">
        <is>
          <t>SALA</t>
        </is>
      </c>
      <c r="G906" t="n">
        <v>2</v>
      </c>
      <c r="H906" t="n">
        <v>0</v>
      </c>
      <c r="I906" t="n">
        <v>0</v>
      </c>
      <c r="J906" t="n">
        <v>0</v>
      </c>
      <c r="K906" t="n">
        <v>0</v>
      </c>
      <c r="L906" t="n">
        <v>0</v>
      </c>
      <c r="M906" t="n">
        <v>0</v>
      </c>
      <c r="N906" t="n">
        <v>0</v>
      </c>
      <c r="O906" t="n">
        <v>0</v>
      </c>
      <c r="P906" t="n">
        <v>0</v>
      </c>
      <c r="Q906" t="n">
        <v>0</v>
      </c>
      <c r="R906" s="2" t="inlineStr"/>
    </row>
    <row r="907" ht="15" customHeight="1">
      <c r="A907" t="inlineStr">
        <is>
          <t>A 8778-2024</t>
        </is>
      </c>
      <c r="B907" s="1" t="n">
        <v>45356</v>
      </c>
      <c r="C907" s="1" t="n">
        <v>45657</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9205-2024</t>
        </is>
      </c>
      <c r="B908" s="1" t="n">
        <v>45358</v>
      </c>
      <c r="C908" s="1" t="n">
        <v>45657</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9204-2024</t>
        </is>
      </c>
      <c r="B909" s="1" t="n">
        <v>45358</v>
      </c>
      <c r="C909" s="1" t="n">
        <v>45657</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9474-2024</t>
        </is>
      </c>
      <c r="B910" s="1" t="n">
        <v>45359</v>
      </c>
      <c r="C910" s="1" t="n">
        <v>45657</v>
      </c>
      <c r="D910" t="inlineStr">
        <is>
          <t>VÄSTMANLANDS LÄN</t>
        </is>
      </c>
      <c r="E910" t="inlineStr">
        <is>
          <t>SALA</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9853-2024</t>
        </is>
      </c>
      <c r="B911" s="1" t="n">
        <v>45363</v>
      </c>
      <c r="C911" s="1" t="n">
        <v>45657</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9874-2024</t>
        </is>
      </c>
      <c r="B912" s="1" t="n">
        <v>45363</v>
      </c>
      <c r="C912" s="1" t="n">
        <v>45657</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10255-2024</t>
        </is>
      </c>
      <c r="B913" s="1" t="n">
        <v>45365</v>
      </c>
      <c r="C913" s="1" t="n">
        <v>45657</v>
      </c>
      <c r="D913" t="inlineStr">
        <is>
          <t>VÄSTMANLANDS LÄN</t>
        </is>
      </c>
      <c r="E913" t="inlineStr">
        <is>
          <t>SALA</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10559-2024</t>
        </is>
      </c>
      <c r="B914" s="1" t="n">
        <v>45366</v>
      </c>
      <c r="C914" s="1" t="n">
        <v>45657</v>
      </c>
      <c r="D914" t="inlineStr">
        <is>
          <t>VÄSTMANLANDS LÄN</t>
        </is>
      </c>
      <c r="E914" t="inlineStr">
        <is>
          <t>SALA</t>
        </is>
      </c>
      <c r="G914" t="n">
        <v>0.3</v>
      </c>
      <c r="H914" t="n">
        <v>0</v>
      </c>
      <c r="I914" t="n">
        <v>0</v>
      </c>
      <c r="J914" t="n">
        <v>0</v>
      </c>
      <c r="K914" t="n">
        <v>0</v>
      </c>
      <c r="L914" t="n">
        <v>0</v>
      </c>
      <c r="M914" t="n">
        <v>0</v>
      </c>
      <c r="N914" t="n">
        <v>0</v>
      </c>
      <c r="O914" t="n">
        <v>0</v>
      </c>
      <c r="P914" t="n">
        <v>0</v>
      </c>
      <c r="Q914" t="n">
        <v>0</v>
      </c>
      <c r="R914" s="2" t="inlineStr"/>
    </row>
    <row r="915" ht="15" customHeight="1">
      <c r="A915" t="inlineStr">
        <is>
          <t>A 10751-2024</t>
        </is>
      </c>
      <c r="B915" s="1" t="n">
        <v>45369</v>
      </c>
      <c r="C915" s="1" t="n">
        <v>45657</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10754-2024</t>
        </is>
      </c>
      <c r="B916" s="1" t="n">
        <v>45369</v>
      </c>
      <c r="C916" s="1" t="n">
        <v>45657</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10909-2024</t>
        </is>
      </c>
      <c r="B917" s="1" t="n">
        <v>45370</v>
      </c>
      <c r="C917" s="1" t="n">
        <v>45657</v>
      </c>
      <c r="D917" t="inlineStr">
        <is>
          <t>VÄSTMANLANDS LÄN</t>
        </is>
      </c>
      <c r="E917" t="inlineStr">
        <is>
          <t>SALA</t>
        </is>
      </c>
      <c r="G917" t="n">
        <v>3.3</v>
      </c>
      <c r="H917" t="n">
        <v>0</v>
      </c>
      <c r="I917" t="n">
        <v>0</v>
      </c>
      <c r="J917" t="n">
        <v>0</v>
      </c>
      <c r="K917" t="n">
        <v>0</v>
      </c>
      <c r="L917" t="n">
        <v>0</v>
      </c>
      <c r="M917" t="n">
        <v>0</v>
      </c>
      <c r="N917" t="n">
        <v>0</v>
      </c>
      <c r="O917" t="n">
        <v>0</v>
      </c>
      <c r="P917" t="n">
        <v>0</v>
      </c>
      <c r="Q917" t="n">
        <v>0</v>
      </c>
      <c r="R917" s="2" t="inlineStr"/>
    </row>
    <row r="918" ht="15" customHeight="1">
      <c r="A918" t="inlineStr">
        <is>
          <t>A 11244-2024</t>
        </is>
      </c>
      <c r="B918" s="1" t="n">
        <v>45371</v>
      </c>
      <c r="C918" s="1" t="n">
        <v>45657</v>
      </c>
      <c r="D918" t="inlineStr">
        <is>
          <t>VÄSTMANLANDS LÄN</t>
        </is>
      </c>
      <c r="E918" t="inlineStr">
        <is>
          <t>SALA</t>
        </is>
      </c>
      <c r="G918" t="n">
        <v>1.2</v>
      </c>
      <c r="H918" t="n">
        <v>0</v>
      </c>
      <c r="I918" t="n">
        <v>0</v>
      </c>
      <c r="J918" t="n">
        <v>0</v>
      </c>
      <c r="K918" t="n">
        <v>0</v>
      </c>
      <c r="L918" t="n">
        <v>0</v>
      </c>
      <c r="M918" t="n">
        <v>0</v>
      </c>
      <c r="N918" t="n">
        <v>0</v>
      </c>
      <c r="O918" t="n">
        <v>0</v>
      </c>
      <c r="P918" t="n">
        <v>0</v>
      </c>
      <c r="Q918" t="n">
        <v>0</v>
      </c>
      <c r="R918" s="2" t="inlineStr"/>
    </row>
    <row r="919" ht="15" customHeight="1">
      <c r="A919" t="inlineStr">
        <is>
          <t>A 11381-2024</t>
        </is>
      </c>
      <c r="B919" s="1" t="n">
        <v>45372</v>
      </c>
      <c r="C919" s="1" t="n">
        <v>45657</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11389-2024</t>
        </is>
      </c>
      <c r="B920" s="1" t="n">
        <v>45372</v>
      </c>
      <c r="C920" s="1" t="n">
        <v>45657</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11378-2024</t>
        </is>
      </c>
      <c r="B921" s="1" t="n">
        <v>45372</v>
      </c>
      <c r="C921" s="1" t="n">
        <v>45657</v>
      </c>
      <c r="D921" t="inlineStr">
        <is>
          <t>VÄSTMANLANDS LÄN</t>
        </is>
      </c>
      <c r="E921" t="inlineStr">
        <is>
          <t>SALA</t>
        </is>
      </c>
      <c r="G921" t="n">
        <v>2.9</v>
      </c>
      <c r="H921" t="n">
        <v>0</v>
      </c>
      <c r="I921" t="n">
        <v>0</v>
      </c>
      <c r="J921" t="n">
        <v>0</v>
      </c>
      <c r="K921" t="n">
        <v>0</v>
      </c>
      <c r="L921" t="n">
        <v>0</v>
      </c>
      <c r="M921" t="n">
        <v>0</v>
      </c>
      <c r="N921" t="n">
        <v>0</v>
      </c>
      <c r="O921" t="n">
        <v>0</v>
      </c>
      <c r="P921" t="n">
        <v>0</v>
      </c>
      <c r="Q921" t="n">
        <v>0</v>
      </c>
      <c r="R921" s="2" t="inlineStr"/>
    </row>
    <row r="922" ht="15" customHeight="1">
      <c r="A922" t="inlineStr">
        <is>
          <t>A 11492-2024</t>
        </is>
      </c>
      <c r="B922" s="1" t="n">
        <v>45372</v>
      </c>
      <c r="C922" s="1" t="n">
        <v>45657</v>
      </c>
      <c r="D922" t="inlineStr">
        <is>
          <t>VÄSTMANLANDS LÄN</t>
        </is>
      </c>
      <c r="E922" t="inlineStr">
        <is>
          <t>SALA</t>
        </is>
      </c>
      <c r="G922" t="n">
        <v>6.9</v>
      </c>
      <c r="H922" t="n">
        <v>0</v>
      </c>
      <c r="I922" t="n">
        <v>0</v>
      </c>
      <c r="J922" t="n">
        <v>0</v>
      </c>
      <c r="K922" t="n">
        <v>0</v>
      </c>
      <c r="L922" t="n">
        <v>0</v>
      </c>
      <c r="M922" t="n">
        <v>0</v>
      </c>
      <c r="N922" t="n">
        <v>0</v>
      </c>
      <c r="O922" t="n">
        <v>0</v>
      </c>
      <c r="P922" t="n">
        <v>0</v>
      </c>
      <c r="Q922" t="n">
        <v>0</v>
      </c>
      <c r="R922" s="2" t="inlineStr"/>
    </row>
    <row r="923" ht="15" customHeight="1">
      <c r="A923" t="inlineStr">
        <is>
          <t>A 11847-2024</t>
        </is>
      </c>
      <c r="B923" s="1" t="n">
        <v>45376</v>
      </c>
      <c r="C923" s="1" t="n">
        <v>45657</v>
      </c>
      <c r="D923" t="inlineStr">
        <is>
          <t>VÄSTMANLANDS LÄN</t>
        </is>
      </c>
      <c r="E923" t="inlineStr">
        <is>
          <t>SALA</t>
        </is>
      </c>
      <c r="G923" t="n">
        <v>7.1</v>
      </c>
      <c r="H923" t="n">
        <v>0</v>
      </c>
      <c r="I923" t="n">
        <v>0</v>
      </c>
      <c r="J923" t="n">
        <v>0</v>
      </c>
      <c r="K923" t="n">
        <v>0</v>
      </c>
      <c r="L923" t="n">
        <v>0</v>
      </c>
      <c r="M923" t="n">
        <v>0</v>
      </c>
      <c r="N923" t="n">
        <v>0</v>
      </c>
      <c r="O923" t="n">
        <v>0</v>
      </c>
      <c r="P923" t="n">
        <v>0</v>
      </c>
      <c r="Q923" t="n">
        <v>0</v>
      </c>
      <c r="R923" s="2" t="inlineStr"/>
    </row>
    <row r="924" ht="15" customHeight="1">
      <c r="A924" t="inlineStr">
        <is>
          <t>A 12236-2024</t>
        </is>
      </c>
      <c r="B924" s="1" t="n">
        <v>45378</v>
      </c>
      <c r="C924" s="1" t="n">
        <v>45657</v>
      </c>
      <c r="D924" t="inlineStr">
        <is>
          <t>VÄSTMANLANDS LÄN</t>
        </is>
      </c>
      <c r="E924" t="inlineStr">
        <is>
          <t>SALA</t>
        </is>
      </c>
      <c r="F924" t="inlineStr">
        <is>
          <t>Kommuner</t>
        </is>
      </c>
      <c r="G924" t="n">
        <v>4.4</v>
      </c>
      <c r="H924" t="n">
        <v>0</v>
      </c>
      <c r="I924" t="n">
        <v>0</v>
      </c>
      <c r="J924" t="n">
        <v>0</v>
      </c>
      <c r="K924" t="n">
        <v>0</v>
      </c>
      <c r="L924" t="n">
        <v>0</v>
      </c>
      <c r="M924" t="n">
        <v>0</v>
      </c>
      <c r="N924" t="n">
        <v>0</v>
      </c>
      <c r="O924" t="n">
        <v>0</v>
      </c>
      <c r="P924" t="n">
        <v>0</v>
      </c>
      <c r="Q924" t="n">
        <v>0</v>
      </c>
      <c r="R924" s="2" t="inlineStr"/>
    </row>
    <row r="925" ht="15" customHeight="1">
      <c r="A925" t="inlineStr">
        <is>
          <t>A 12244-2024</t>
        </is>
      </c>
      <c r="B925" s="1" t="n">
        <v>45378</v>
      </c>
      <c r="C925" s="1" t="n">
        <v>45657</v>
      </c>
      <c r="D925" t="inlineStr">
        <is>
          <t>VÄSTMANLANDS LÄN</t>
        </is>
      </c>
      <c r="E925" t="inlineStr">
        <is>
          <t>SALA</t>
        </is>
      </c>
      <c r="G925" t="n">
        <v>3.6</v>
      </c>
      <c r="H925" t="n">
        <v>0</v>
      </c>
      <c r="I925" t="n">
        <v>0</v>
      </c>
      <c r="J925" t="n">
        <v>0</v>
      </c>
      <c r="K925" t="n">
        <v>0</v>
      </c>
      <c r="L925" t="n">
        <v>0</v>
      </c>
      <c r="M925" t="n">
        <v>0</v>
      </c>
      <c r="N925" t="n">
        <v>0</v>
      </c>
      <c r="O925" t="n">
        <v>0</v>
      </c>
      <c r="P925" t="n">
        <v>0</v>
      </c>
      <c r="Q925" t="n">
        <v>0</v>
      </c>
      <c r="R925" s="2" t="inlineStr"/>
    </row>
    <row r="926" ht="15" customHeight="1">
      <c r="A926" t="inlineStr">
        <is>
          <t>A 12237-2024</t>
        </is>
      </c>
      <c r="B926" s="1" t="n">
        <v>45378</v>
      </c>
      <c r="C926" s="1" t="n">
        <v>45657</v>
      </c>
      <c r="D926" t="inlineStr">
        <is>
          <t>VÄSTMANLANDS LÄN</t>
        </is>
      </c>
      <c r="E926" t="inlineStr">
        <is>
          <t>SALA</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12242-2024</t>
        </is>
      </c>
      <c r="B927" s="1" t="n">
        <v>45378</v>
      </c>
      <c r="C927" s="1" t="n">
        <v>45657</v>
      </c>
      <c r="D927" t="inlineStr">
        <is>
          <t>VÄSTMANLANDS LÄN</t>
        </is>
      </c>
      <c r="E927" t="inlineStr">
        <is>
          <t>SALA</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12463-2024</t>
        </is>
      </c>
      <c r="B928" s="1" t="n">
        <v>45378</v>
      </c>
      <c r="C928" s="1" t="n">
        <v>45657</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12485-2024</t>
        </is>
      </c>
      <c r="B929" s="1" t="n">
        <v>45379</v>
      </c>
      <c r="C929" s="1" t="n">
        <v>45657</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13106-2024</t>
        </is>
      </c>
      <c r="B930" s="1" t="n">
        <v>45385</v>
      </c>
      <c r="C930" s="1" t="n">
        <v>45657</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13110-2024</t>
        </is>
      </c>
      <c r="B931" s="1" t="n">
        <v>45385</v>
      </c>
      <c r="C931" s="1" t="n">
        <v>45657</v>
      </c>
      <c r="D931" t="inlineStr">
        <is>
          <t>VÄSTMANLANDS LÄN</t>
        </is>
      </c>
      <c r="E931" t="inlineStr">
        <is>
          <t>SALA</t>
        </is>
      </c>
      <c r="G931" t="n">
        <v>3</v>
      </c>
      <c r="H931" t="n">
        <v>0</v>
      </c>
      <c r="I931" t="n">
        <v>0</v>
      </c>
      <c r="J931" t="n">
        <v>0</v>
      </c>
      <c r="K931" t="n">
        <v>0</v>
      </c>
      <c r="L931" t="n">
        <v>0</v>
      </c>
      <c r="M931" t="n">
        <v>0</v>
      </c>
      <c r="N931" t="n">
        <v>0</v>
      </c>
      <c r="O931" t="n">
        <v>0</v>
      </c>
      <c r="P931" t="n">
        <v>0</v>
      </c>
      <c r="Q931" t="n">
        <v>0</v>
      </c>
      <c r="R931" s="2" t="inlineStr"/>
    </row>
    <row r="932" ht="15" customHeight="1">
      <c r="A932" t="inlineStr">
        <is>
          <t>A 14001-2024</t>
        </is>
      </c>
      <c r="B932" s="1" t="n">
        <v>45392</v>
      </c>
      <c r="C932" s="1" t="n">
        <v>45657</v>
      </c>
      <c r="D932" t="inlineStr">
        <is>
          <t>VÄSTMANLANDS LÄN</t>
        </is>
      </c>
      <c r="E932" t="inlineStr">
        <is>
          <t>SALA</t>
        </is>
      </c>
      <c r="G932" t="n">
        <v>2.2</v>
      </c>
      <c r="H932" t="n">
        <v>0</v>
      </c>
      <c r="I932" t="n">
        <v>0</v>
      </c>
      <c r="J932" t="n">
        <v>0</v>
      </c>
      <c r="K932" t="n">
        <v>0</v>
      </c>
      <c r="L932" t="n">
        <v>0</v>
      </c>
      <c r="M932" t="n">
        <v>0</v>
      </c>
      <c r="N932" t="n">
        <v>0</v>
      </c>
      <c r="O932" t="n">
        <v>0</v>
      </c>
      <c r="P932" t="n">
        <v>0</v>
      </c>
      <c r="Q932" t="n">
        <v>0</v>
      </c>
      <c r="R932" s="2" t="inlineStr"/>
    </row>
    <row r="933" ht="15" customHeight="1">
      <c r="A933" t="inlineStr">
        <is>
          <t>A 14115-2024</t>
        </is>
      </c>
      <c r="B933" s="1" t="n">
        <v>45392</v>
      </c>
      <c r="C933" s="1" t="n">
        <v>45657</v>
      </c>
      <c r="D933" t="inlineStr">
        <is>
          <t>VÄSTMANLANDS LÄN</t>
        </is>
      </c>
      <c r="E933" t="inlineStr">
        <is>
          <t>SALA</t>
        </is>
      </c>
      <c r="G933" t="n">
        <v>5</v>
      </c>
      <c r="H933" t="n">
        <v>0</v>
      </c>
      <c r="I933" t="n">
        <v>0</v>
      </c>
      <c r="J933" t="n">
        <v>0</v>
      </c>
      <c r="K933" t="n">
        <v>0</v>
      </c>
      <c r="L933" t="n">
        <v>0</v>
      </c>
      <c r="M933" t="n">
        <v>0</v>
      </c>
      <c r="N933" t="n">
        <v>0</v>
      </c>
      <c r="O933" t="n">
        <v>0</v>
      </c>
      <c r="P933" t="n">
        <v>0</v>
      </c>
      <c r="Q933" t="n">
        <v>0</v>
      </c>
      <c r="R933" s="2" t="inlineStr"/>
    </row>
    <row r="934" ht="15" customHeight="1">
      <c r="A934" t="inlineStr">
        <is>
          <t>A 14181-2024</t>
        </is>
      </c>
      <c r="B934" s="1" t="n">
        <v>45393</v>
      </c>
      <c r="C934" s="1" t="n">
        <v>45657</v>
      </c>
      <c r="D934" t="inlineStr">
        <is>
          <t>VÄSTMANLANDS LÄN</t>
        </is>
      </c>
      <c r="E934" t="inlineStr">
        <is>
          <t>SALA</t>
        </is>
      </c>
      <c r="G934" t="n">
        <v>6.4</v>
      </c>
      <c r="H934" t="n">
        <v>0</v>
      </c>
      <c r="I934" t="n">
        <v>0</v>
      </c>
      <c r="J934" t="n">
        <v>0</v>
      </c>
      <c r="K934" t="n">
        <v>0</v>
      </c>
      <c r="L934" t="n">
        <v>0</v>
      </c>
      <c r="M934" t="n">
        <v>0</v>
      </c>
      <c r="N934" t="n">
        <v>0</v>
      </c>
      <c r="O934" t="n">
        <v>0</v>
      </c>
      <c r="P934" t="n">
        <v>0</v>
      </c>
      <c r="Q934" t="n">
        <v>0</v>
      </c>
      <c r="R934" s="2" t="inlineStr"/>
    </row>
    <row r="935" ht="15" customHeight="1">
      <c r="A935" t="inlineStr">
        <is>
          <t>A 15972-2024</t>
        </is>
      </c>
      <c r="B935" s="1" t="n">
        <v>45405</v>
      </c>
      <c r="C935" s="1" t="n">
        <v>45657</v>
      </c>
      <c r="D935" t="inlineStr">
        <is>
          <t>VÄSTMANLANDS LÄN</t>
        </is>
      </c>
      <c r="E935" t="inlineStr">
        <is>
          <t>SALA</t>
        </is>
      </c>
      <c r="G935" t="n">
        <v>1.8</v>
      </c>
      <c r="H935" t="n">
        <v>0</v>
      </c>
      <c r="I935" t="n">
        <v>0</v>
      </c>
      <c r="J935" t="n">
        <v>0</v>
      </c>
      <c r="K935" t="n">
        <v>0</v>
      </c>
      <c r="L935" t="n">
        <v>0</v>
      </c>
      <c r="M935" t="n">
        <v>0</v>
      </c>
      <c r="N935" t="n">
        <v>0</v>
      </c>
      <c r="O935" t="n">
        <v>0</v>
      </c>
      <c r="P935" t="n">
        <v>0</v>
      </c>
      <c r="Q935" t="n">
        <v>0</v>
      </c>
      <c r="R935" s="2" t="inlineStr"/>
    </row>
    <row r="936" ht="15" customHeight="1">
      <c r="A936" t="inlineStr">
        <is>
          <t>A 15968-2024</t>
        </is>
      </c>
      <c r="B936" s="1" t="n">
        <v>45405</v>
      </c>
      <c r="C936" s="1" t="n">
        <v>45657</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15965-2024</t>
        </is>
      </c>
      <c r="B937" s="1" t="n">
        <v>45405</v>
      </c>
      <c r="C937" s="1" t="n">
        <v>45657</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16159-2024</t>
        </is>
      </c>
      <c r="B938" s="1" t="n">
        <v>45406</v>
      </c>
      <c r="C938" s="1" t="n">
        <v>45657</v>
      </c>
      <c r="D938" t="inlineStr">
        <is>
          <t>VÄSTMANLANDS LÄN</t>
        </is>
      </c>
      <c r="E938" t="inlineStr">
        <is>
          <t>SALA</t>
        </is>
      </c>
      <c r="G938" t="n">
        <v>0.4</v>
      </c>
      <c r="H938" t="n">
        <v>0</v>
      </c>
      <c r="I938" t="n">
        <v>0</v>
      </c>
      <c r="J938" t="n">
        <v>0</v>
      </c>
      <c r="K938" t="n">
        <v>0</v>
      </c>
      <c r="L938" t="n">
        <v>0</v>
      </c>
      <c r="M938" t="n">
        <v>0</v>
      </c>
      <c r="N938" t="n">
        <v>0</v>
      </c>
      <c r="O938" t="n">
        <v>0</v>
      </c>
      <c r="P938" t="n">
        <v>0</v>
      </c>
      <c r="Q938" t="n">
        <v>0</v>
      </c>
      <c r="R938" s="2" t="inlineStr"/>
    </row>
    <row r="939" ht="15" customHeight="1">
      <c r="A939" t="inlineStr">
        <is>
          <t>A 16163-2024</t>
        </is>
      </c>
      <c r="B939" s="1" t="n">
        <v>45406</v>
      </c>
      <c r="C939" s="1" t="n">
        <v>45657</v>
      </c>
      <c r="D939" t="inlineStr">
        <is>
          <t>VÄSTMANLANDS LÄN</t>
        </is>
      </c>
      <c r="E939" t="inlineStr">
        <is>
          <t>SALA</t>
        </is>
      </c>
      <c r="G939" t="n">
        <v>3.2</v>
      </c>
      <c r="H939" t="n">
        <v>0</v>
      </c>
      <c r="I939" t="n">
        <v>0</v>
      </c>
      <c r="J939" t="n">
        <v>0</v>
      </c>
      <c r="K939" t="n">
        <v>0</v>
      </c>
      <c r="L939" t="n">
        <v>0</v>
      </c>
      <c r="M939" t="n">
        <v>0</v>
      </c>
      <c r="N939" t="n">
        <v>0</v>
      </c>
      <c r="O939" t="n">
        <v>0</v>
      </c>
      <c r="P939" t="n">
        <v>0</v>
      </c>
      <c r="Q939" t="n">
        <v>0</v>
      </c>
      <c r="R939" s="2" t="inlineStr"/>
    </row>
    <row r="940" ht="15" customHeight="1">
      <c r="A940" t="inlineStr">
        <is>
          <t>A 16148-2024</t>
        </is>
      </c>
      <c r="B940" s="1" t="n">
        <v>45406</v>
      </c>
      <c r="C940" s="1" t="n">
        <v>45657</v>
      </c>
      <c r="D940" t="inlineStr">
        <is>
          <t>VÄSTMANLANDS LÄN</t>
        </is>
      </c>
      <c r="E940" t="inlineStr">
        <is>
          <t>SALA</t>
        </is>
      </c>
      <c r="G940" t="n">
        <v>5.1</v>
      </c>
      <c r="H940" t="n">
        <v>0</v>
      </c>
      <c r="I940" t="n">
        <v>0</v>
      </c>
      <c r="J940" t="n">
        <v>0</v>
      </c>
      <c r="K940" t="n">
        <v>0</v>
      </c>
      <c r="L940" t="n">
        <v>0</v>
      </c>
      <c r="M940" t="n">
        <v>0</v>
      </c>
      <c r="N940" t="n">
        <v>0</v>
      </c>
      <c r="O940" t="n">
        <v>0</v>
      </c>
      <c r="P940" t="n">
        <v>0</v>
      </c>
      <c r="Q940" t="n">
        <v>0</v>
      </c>
      <c r="R940" s="2" t="inlineStr"/>
    </row>
    <row r="941" ht="15" customHeight="1">
      <c r="A941" t="inlineStr">
        <is>
          <t>A 16160-2024</t>
        </is>
      </c>
      <c r="B941" s="1" t="n">
        <v>45406</v>
      </c>
      <c r="C941" s="1" t="n">
        <v>45657</v>
      </c>
      <c r="D941" t="inlineStr">
        <is>
          <t>VÄSTMANLANDS LÄN</t>
        </is>
      </c>
      <c r="E941" t="inlineStr">
        <is>
          <t>SALA</t>
        </is>
      </c>
      <c r="G941" t="n">
        <v>1.1</v>
      </c>
      <c r="H941" t="n">
        <v>0</v>
      </c>
      <c r="I941" t="n">
        <v>0</v>
      </c>
      <c r="J941" t="n">
        <v>0</v>
      </c>
      <c r="K941" t="n">
        <v>0</v>
      </c>
      <c r="L941" t="n">
        <v>0</v>
      </c>
      <c r="M941" t="n">
        <v>0</v>
      </c>
      <c r="N941" t="n">
        <v>0</v>
      </c>
      <c r="O941" t="n">
        <v>0</v>
      </c>
      <c r="P941" t="n">
        <v>0</v>
      </c>
      <c r="Q941" t="n">
        <v>0</v>
      </c>
      <c r="R941" s="2" t="inlineStr"/>
    </row>
    <row r="942" ht="15" customHeight="1">
      <c r="A942" t="inlineStr">
        <is>
          <t>A 16767-2024</t>
        </is>
      </c>
      <c r="B942" s="1" t="n">
        <v>45411</v>
      </c>
      <c r="C942" s="1" t="n">
        <v>45657</v>
      </c>
      <c r="D942" t="inlineStr">
        <is>
          <t>VÄSTMANLANDS LÄN</t>
        </is>
      </c>
      <c r="E942" t="inlineStr">
        <is>
          <t>SALA</t>
        </is>
      </c>
      <c r="G942" t="n">
        <v>2.5</v>
      </c>
      <c r="H942" t="n">
        <v>0</v>
      </c>
      <c r="I942" t="n">
        <v>0</v>
      </c>
      <c r="J942" t="n">
        <v>0</v>
      </c>
      <c r="K942" t="n">
        <v>0</v>
      </c>
      <c r="L942" t="n">
        <v>0</v>
      </c>
      <c r="M942" t="n">
        <v>0</v>
      </c>
      <c r="N942" t="n">
        <v>0</v>
      </c>
      <c r="O942" t="n">
        <v>0</v>
      </c>
      <c r="P942" t="n">
        <v>0</v>
      </c>
      <c r="Q942" t="n">
        <v>0</v>
      </c>
      <c r="R942" s="2" t="inlineStr"/>
    </row>
    <row r="943" ht="15" customHeight="1">
      <c r="A943" t="inlineStr">
        <is>
          <t>A 16760-2024</t>
        </is>
      </c>
      <c r="B943" s="1" t="n">
        <v>45411</v>
      </c>
      <c r="C943" s="1" t="n">
        <v>45657</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16769-2024</t>
        </is>
      </c>
      <c r="B944" s="1" t="n">
        <v>45411</v>
      </c>
      <c r="C944" s="1" t="n">
        <v>45657</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17455-2024</t>
        </is>
      </c>
      <c r="B945" s="1" t="n">
        <v>45415</v>
      </c>
      <c r="C945" s="1" t="n">
        <v>45657</v>
      </c>
      <c r="D945" t="inlineStr">
        <is>
          <t>VÄSTMANLANDS LÄN</t>
        </is>
      </c>
      <c r="E945" t="inlineStr">
        <is>
          <t>SALA</t>
        </is>
      </c>
      <c r="G945" t="n">
        <v>2.8</v>
      </c>
      <c r="H945" t="n">
        <v>0</v>
      </c>
      <c r="I945" t="n">
        <v>0</v>
      </c>
      <c r="J945" t="n">
        <v>0</v>
      </c>
      <c r="K945" t="n">
        <v>0</v>
      </c>
      <c r="L945" t="n">
        <v>0</v>
      </c>
      <c r="M945" t="n">
        <v>0</v>
      </c>
      <c r="N945" t="n">
        <v>0</v>
      </c>
      <c r="O945" t="n">
        <v>0</v>
      </c>
      <c r="P945" t="n">
        <v>0</v>
      </c>
      <c r="Q945" t="n">
        <v>0</v>
      </c>
      <c r="R945" s="2" t="inlineStr"/>
    </row>
    <row r="946" ht="15" customHeight="1">
      <c r="A946" t="inlineStr">
        <is>
          <t>A 17495-2024</t>
        </is>
      </c>
      <c r="B946" s="1" t="n">
        <v>45415</v>
      </c>
      <c r="C946" s="1" t="n">
        <v>45657</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17457-2024</t>
        </is>
      </c>
      <c r="B947" s="1" t="n">
        <v>45415</v>
      </c>
      <c r="C947" s="1" t="n">
        <v>45657</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17458-2024</t>
        </is>
      </c>
      <c r="B948" s="1" t="n">
        <v>45415</v>
      </c>
      <c r="C948" s="1" t="n">
        <v>45657</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17496-2024</t>
        </is>
      </c>
      <c r="B949" s="1" t="n">
        <v>45415</v>
      </c>
      <c r="C949" s="1" t="n">
        <v>45657</v>
      </c>
      <c r="D949" t="inlineStr">
        <is>
          <t>VÄSTMANLANDS LÄN</t>
        </is>
      </c>
      <c r="E949" t="inlineStr">
        <is>
          <t>SALA</t>
        </is>
      </c>
      <c r="G949" t="n">
        <v>1.6</v>
      </c>
      <c r="H949" t="n">
        <v>0</v>
      </c>
      <c r="I949" t="n">
        <v>0</v>
      </c>
      <c r="J949" t="n">
        <v>0</v>
      </c>
      <c r="K949" t="n">
        <v>0</v>
      </c>
      <c r="L949" t="n">
        <v>0</v>
      </c>
      <c r="M949" t="n">
        <v>0</v>
      </c>
      <c r="N949" t="n">
        <v>0</v>
      </c>
      <c r="O949" t="n">
        <v>0</v>
      </c>
      <c r="P949" t="n">
        <v>0</v>
      </c>
      <c r="Q949" t="n">
        <v>0</v>
      </c>
      <c r="R949" s="2" t="inlineStr"/>
    </row>
    <row r="950" ht="15" customHeight="1">
      <c r="A950" t="inlineStr">
        <is>
          <t>A 17918-2024</t>
        </is>
      </c>
      <c r="B950" s="1" t="n">
        <v>45419</v>
      </c>
      <c r="C950" s="1" t="n">
        <v>45657</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18461-2024</t>
        </is>
      </c>
      <c r="B951" s="1" t="n">
        <v>45425</v>
      </c>
      <c r="C951" s="1" t="n">
        <v>45657</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18522-2024</t>
        </is>
      </c>
      <c r="B952" s="1" t="n">
        <v>45425</v>
      </c>
      <c r="C952" s="1" t="n">
        <v>45657</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18750-2024</t>
        </is>
      </c>
      <c r="B953" s="1" t="n">
        <v>45426</v>
      </c>
      <c r="C953" s="1" t="n">
        <v>45657</v>
      </c>
      <c r="D953" t="inlineStr">
        <is>
          <t>VÄSTMANLANDS LÄN</t>
        </is>
      </c>
      <c r="E953" t="inlineStr">
        <is>
          <t>SALA</t>
        </is>
      </c>
      <c r="G953" t="n">
        <v>5.5</v>
      </c>
      <c r="H953" t="n">
        <v>0</v>
      </c>
      <c r="I953" t="n">
        <v>0</v>
      </c>
      <c r="J953" t="n">
        <v>0</v>
      </c>
      <c r="K953" t="n">
        <v>0</v>
      </c>
      <c r="L953" t="n">
        <v>0</v>
      </c>
      <c r="M953" t="n">
        <v>0</v>
      </c>
      <c r="N953" t="n">
        <v>0</v>
      </c>
      <c r="O953" t="n">
        <v>0</v>
      </c>
      <c r="P953" t="n">
        <v>0</v>
      </c>
      <c r="Q953" t="n">
        <v>0</v>
      </c>
      <c r="R953" s="2" t="inlineStr"/>
    </row>
    <row r="954" ht="15" customHeight="1">
      <c r="A954" t="inlineStr">
        <is>
          <t>A 18762-2024</t>
        </is>
      </c>
      <c r="B954" s="1" t="n">
        <v>45426</v>
      </c>
      <c r="C954" s="1" t="n">
        <v>45657</v>
      </c>
      <c r="D954" t="inlineStr">
        <is>
          <t>VÄSTMANLANDS LÄN</t>
        </is>
      </c>
      <c r="E954" t="inlineStr">
        <is>
          <t>SALA</t>
        </is>
      </c>
      <c r="G954" t="n">
        <v>6.2</v>
      </c>
      <c r="H954" t="n">
        <v>0</v>
      </c>
      <c r="I954" t="n">
        <v>0</v>
      </c>
      <c r="J954" t="n">
        <v>0</v>
      </c>
      <c r="K954" t="n">
        <v>0</v>
      </c>
      <c r="L954" t="n">
        <v>0</v>
      </c>
      <c r="M954" t="n">
        <v>0</v>
      </c>
      <c r="N954" t="n">
        <v>0</v>
      </c>
      <c r="O954" t="n">
        <v>0</v>
      </c>
      <c r="P954" t="n">
        <v>0</v>
      </c>
      <c r="Q954" t="n">
        <v>0</v>
      </c>
      <c r="R954" s="2" t="inlineStr"/>
    </row>
    <row r="955" ht="15" customHeight="1">
      <c r="A955" t="inlineStr">
        <is>
          <t>A 19224-2024</t>
        </is>
      </c>
      <c r="B955" s="1" t="n">
        <v>45428</v>
      </c>
      <c r="C955" s="1" t="n">
        <v>45657</v>
      </c>
      <c r="D955" t="inlineStr">
        <is>
          <t>VÄSTMANLANDS LÄN</t>
        </is>
      </c>
      <c r="E955" t="inlineStr">
        <is>
          <t>SALA</t>
        </is>
      </c>
      <c r="G955" t="n">
        <v>1.5</v>
      </c>
      <c r="H955" t="n">
        <v>0</v>
      </c>
      <c r="I955" t="n">
        <v>0</v>
      </c>
      <c r="J955" t="n">
        <v>0</v>
      </c>
      <c r="K955" t="n">
        <v>0</v>
      </c>
      <c r="L955" t="n">
        <v>0</v>
      </c>
      <c r="M955" t="n">
        <v>0</v>
      </c>
      <c r="N955" t="n">
        <v>0</v>
      </c>
      <c r="O955" t="n">
        <v>0</v>
      </c>
      <c r="P955" t="n">
        <v>0</v>
      </c>
      <c r="Q955" t="n">
        <v>0</v>
      </c>
      <c r="R955" s="2" t="inlineStr"/>
    </row>
    <row r="956" ht="15" customHeight="1">
      <c r="A956" t="inlineStr">
        <is>
          <t>A 19803-2024</t>
        </is>
      </c>
      <c r="B956" s="1" t="n">
        <v>45432</v>
      </c>
      <c r="C956" s="1" t="n">
        <v>45657</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19860-2024</t>
        </is>
      </c>
      <c r="B957" s="1" t="n">
        <v>45433</v>
      </c>
      <c r="C957" s="1" t="n">
        <v>45657</v>
      </c>
      <c r="D957" t="inlineStr">
        <is>
          <t>VÄSTMANLANDS LÄN</t>
        </is>
      </c>
      <c r="E957" t="inlineStr">
        <is>
          <t>SALA</t>
        </is>
      </c>
      <c r="G957" t="n">
        <v>2.2</v>
      </c>
      <c r="H957" t="n">
        <v>0</v>
      </c>
      <c r="I957" t="n">
        <v>0</v>
      </c>
      <c r="J957" t="n">
        <v>0</v>
      </c>
      <c r="K957" t="n">
        <v>0</v>
      </c>
      <c r="L957" t="n">
        <v>0</v>
      </c>
      <c r="M957" t="n">
        <v>0</v>
      </c>
      <c r="N957" t="n">
        <v>0</v>
      </c>
      <c r="O957" t="n">
        <v>0</v>
      </c>
      <c r="P957" t="n">
        <v>0</v>
      </c>
      <c r="Q957" t="n">
        <v>0</v>
      </c>
      <c r="R957" s="2" t="inlineStr"/>
    </row>
    <row r="958" ht="15" customHeight="1">
      <c r="A958" t="inlineStr">
        <is>
          <t>A 19969-2024</t>
        </is>
      </c>
      <c r="B958" s="1" t="n">
        <v>45433</v>
      </c>
      <c r="C958" s="1" t="n">
        <v>45657</v>
      </c>
      <c r="D958" t="inlineStr">
        <is>
          <t>VÄSTMANLANDS LÄN</t>
        </is>
      </c>
      <c r="E958" t="inlineStr">
        <is>
          <t>SALA</t>
        </is>
      </c>
      <c r="G958" t="n">
        <v>4.7</v>
      </c>
      <c r="H958" t="n">
        <v>0</v>
      </c>
      <c r="I958" t="n">
        <v>0</v>
      </c>
      <c r="J958" t="n">
        <v>0</v>
      </c>
      <c r="K958" t="n">
        <v>0</v>
      </c>
      <c r="L958" t="n">
        <v>0</v>
      </c>
      <c r="M958" t="n">
        <v>0</v>
      </c>
      <c r="N958" t="n">
        <v>0</v>
      </c>
      <c r="O958" t="n">
        <v>0</v>
      </c>
      <c r="P958" t="n">
        <v>0</v>
      </c>
      <c r="Q958" t="n">
        <v>0</v>
      </c>
      <c r="R958" s="2" t="inlineStr"/>
    </row>
    <row r="959" ht="15" customHeight="1">
      <c r="A959" t="inlineStr">
        <is>
          <t>A 21234-2024</t>
        </is>
      </c>
      <c r="B959" s="1" t="n">
        <v>45440</v>
      </c>
      <c r="C959" s="1" t="n">
        <v>45657</v>
      </c>
      <c r="D959" t="inlineStr">
        <is>
          <t>VÄSTMANLANDS LÄN</t>
        </is>
      </c>
      <c r="E959" t="inlineStr">
        <is>
          <t>SALA</t>
        </is>
      </c>
      <c r="G959" t="n">
        <v>4.9</v>
      </c>
      <c r="H959" t="n">
        <v>0</v>
      </c>
      <c r="I959" t="n">
        <v>0</v>
      </c>
      <c r="J959" t="n">
        <v>0</v>
      </c>
      <c r="K959" t="n">
        <v>0</v>
      </c>
      <c r="L959" t="n">
        <v>0</v>
      </c>
      <c r="M959" t="n">
        <v>0</v>
      </c>
      <c r="N959" t="n">
        <v>0</v>
      </c>
      <c r="O959" t="n">
        <v>0</v>
      </c>
      <c r="P959" t="n">
        <v>0</v>
      </c>
      <c r="Q959" t="n">
        <v>0</v>
      </c>
      <c r="R959" s="2" t="inlineStr"/>
    </row>
    <row r="960" ht="15" customHeight="1">
      <c r="A960" t="inlineStr">
        <is>
          <t>A 21225-2024</t>
        </is>
      </c>
      <c r="B960" s="1" t="n">
        <v>45440</v>
      </c>
      <c r="C960" s="1" t="n">
        <v>45657</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21968-2024</t>
        </is>
      </c>
      <c r="B961" s="1" t="n">
        <v>45443</v>
      </c>
      <c r="C961" s="1" t="n">
        <v>45657</v>
      </c>
      <c r="D961" t="inlineStr">
        <is>
          <t>VÄSTMANLANDS LÄN</t>
        </is>
      </c>
      <c r="E961" t="inlineStr">
        <is>
          <t>SALA</t>
        </is>
      </c>
      <c r="G961" t="n">
        <v>1.9</v>
      </c>
      <c r="H961" t="n">
        <v>0</v>
      </c>
      <c r="I961" t="n">
        <v>0</v>
      </c>
      <c r="J961" t="n">
        <v>0</v>
      </c>
      <c r="K961" t="n">
        <v>0</v>
      </c>
      <c r="L961" t="n">
        <v>0</v>
      </c>
      <c r="M961" t="n">
        <v>0</v>
      </c>
      <c r="N961" t="n">
        <v>0</v>
      </c>
      <c r="O961" t="n">
        <v>0</v>
      </c>
      <c r="P961" t="n">
        <v>0</v>
      </c>
      <c r="Q961" t="n">
        <v>0</v>
      </c>
      <c r="R961" s="2" t="inlineStr"/>
    </row>
    <row r="962" ht="15" customHeight="1">
      <c r="A962" t="inlineStr">
        <is>
          <t>A 23317-2024</t>
        </is>
      </c>
      <c r="B962" s="1" t="n">
        <v>45453</v>
      </c>
      <c r="C962" s="1" t="n">
        <v>45657</v>
      </c>
      <c r="D962" t="inlineStr">
        <is>
          <t>VÄSTMANLANDS LÄN</t>
        </is>
      </c>
      <c r="E962" t="inlineStr">
        <is>
          <t>SALA</t>
        </is>
      </c>
      <c r="G962" t="n">
        <v>6.5</v>
      </c>
      <c r="H962" t="n">
        <v>0</v>
      </c>
      <c r="I962" t="n">
        <v>0</v>
      </c>
      <c r="J962" t="n">
        <v>0</v>
      </c>
      <c r="K962" t="n">
        <v>0</v>
      </c>
      <c r="L962" t="n">
        <v>0</v>
      </c>
      <c r="M962" t="n">
        <v>0</v>
      </c>
      <c r="N962" t="n">
        <v>0</v>
      </c>
      <c r="O962" t="n">
        <v>0</v>
      </c>
      <c r="P962" t="n">
        <v>0</v>
      </c>
      <c r="Q962" t="n">
        <v>0</v>
      </c>
      <c r="R962" s="2" t="inlineStr"/>
    </row>
    <row r="963" ht="15" customHeight="1">
      <c r="A963" t="inlineStr">
        <is>
          <t>A 23406-2024</t>
        </is>
      </c>
      <c r="B963" s="1" t="n">
        <v>45453</v>
      </c>
      <c r="C963" s="1" t="n">
        <v>45657</v>
      </c>
      <c r="D963" t="inlineStr">
        <is>
          <t>VÄSTMANLANDS LÄN</t>
        </is>
      </c>
      <c r="E963" t="inlineStr">
        <is>
          <t>SALA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23431-2024</t>
        </is>
      </c>
      <c r="B964" s="1" t="n">
        <v>45453</v>
      </c>
      <c r="C964" s="1" t="n">
        <v>45657</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23433-2024</t>
        </is>
      </c>
      <c r="B965" s="1" t="n">
        <v>45453</v>
      </c>
      <c r="C965" s="1" t="n">
        <v>45657</v>
      </c>
      <c r="D965" t="inlineStr">
        <is>
          <t>VÄSTMANLANDS LÄN</t>
        </is>
      </c>
      <c r="E965" t="inlineStr">
        <is>
          <t>SALA</t>
        </is>
      </c>
      <c r="G965" t="n">
        <v>2.1</v>
      </c>
      <c r="H965" t="n">
        <v>0</v>
      </c>
      <c r="I965" t="n">
        <v>0</v>
      </c>
      <c r="J965" t="n">
        <v>0</v>
      </c>
      <c r="K965" t="n">
        <v>0</v>
      </c>
      <c r="L965" t="n">
        <v>0</v>
      </c>
      <c r="M965" t="n">
        <v>0</v>
      </c>
      <c r="N965" t="n">
        <v>0</v>
      </c>
      <c r="O965" t="n">
        <v>0</v>
      </c>
      <c r="P965" t="n">
        <v>0</v>
      </c>
      <c r="Q965" t="n">
        <v>0</v>
      </c>
      <c r="R965" s="2" t="inlineStr"/>
    </row>
    <row r="966" ht="15" customHeight="1">
      <c r="A966" t="inlineStr">
        <is>
          <t>A 23322-2024</t>
        </is>
      </c>
      <c r="B966" s="1" t="n">
        <v>45453</v>
      </c>
      <c r="C966" s="1" t="n">
        <v>45657</v>
      </c>
      <c r="D966" t="inlineStr">
        <is>
          <t>VÄSTMANLANDS LÄN</t>
        </is>
      </c>
      <c r="E966" t="inlineStr">
        <is>
          <t>SALA</t>
        </is>
      </c>
      <c r="G966" t="n">
        <v>3.2</v>
      </c>
      <c r="H966" t="n">
        <v>0</v>
      </c>
      <c r="I966" t="n">
        <v>0</v>
      </c>
      <c r="J966" t="n">
        <v>0</v>
      </c>
      <c r="K966" t="n">
        <v>0</v>
      </c>
      <c r="L966" t="n">
        <v>0</v>
      </c>
      <c r="M966" t="n">
        <v>0</v>
      </c>
      <c r="N966" t="n">
        <v>0</v>
      </c>
      <c r="O966" t="n">
        <v>0</v>
      </c>
      <c r="P966" t="n">
        <v>0</v>
      </c>
      <c r="Q966" t="n">
        <v>0</v>
      </c>
      <c r="R966" s="2" t="inlineStr"/>
    </row>
    <row r="967" ht="15" customHeight="1">
      <c r="A967" t="inlineStr">
        <is>
          <t>A 23621-2024</t>
        </is>
      </c>
      <c r="B967" s="1" t="n">
        <v>45454</v>
      </c>
      <c r="C967" s="1" t="n">
        <v>45657</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24039-2024</t>
        </is>
      </c>
      <c r="B968" s="1" t="n">
        <v>45456</v>
      </c>
      <c r="C968" s="1" t="n">
        <v>45657</v>
      </c>
      <c r="D968" t="inlineStr">
        <is>
          <t>VÄSTMANLANDS LÄN</t>
        </is>
      </c>
      <c r="E968" t="inlineStr">
        <is>
          <t>SALA</t>
        </is>
      </c>
      <c r="G968" t="n">
        <v>1.2</v>
      </c>
      <c r="H968" t="n">
        <v>0</v>
      </c>
      <c r="I968" t="n">
        <v>0</v>
      </c>
      <c r="J968" t="n">
        <v>0</v>
      </c>
      <c r="K968" t="n">
        <v>0</v>
      </c>
      <c r="L968" t="n">
        <v>0</v>
      </c>
      <c r="M968" t="n">
        <v>0</v>
      </c>
      <c r="N968" t="n">
        <v>0</v>
      </c>
      <c r="O968" t="n">
        <v>0</v>
      </c>
      <c r="P968" t="n">
        <v>0</v>
      </c>
      <c r="Q968" t="n">
        <v>0</v>
      </c>
      <c r="R968" s="2" t="inlineStr"/>
    </row>
    <row r="969" ht="15" customHeight="1">
      <c r="A969" t="inlineStr">
        <is>
          <t>A 24037-2024</t>
        </is>
      </c>
      <c r="B969" s="1" t="n">
        <v>45456</v>
      </c>
      <c r="C969" s="1" t="n">
        <v>45657</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24175-2024</t>
        </is>
      </c>
      <c r="B970" s="1" t="n">
        <v>45456</v>
      </c>
      <c r="C970" s="1" t="n">
        <v>45657</v>
      </c>
      <c r="D970" t="inlineStr">
        <is>
          <t>VÄSTMANLANDS LÄN</t>
        </is>
      </c>
      <c r="E970" t="inlineStr">
        <is>
          <t>SALA</t>
        </is>
      </c>
      <c r="G970" t="n">
        <v>0.6</v>
      </c>
      <c r="H970" t="n">
        <v>0</v>
      </c>
      <c r="I970" t="n">
        <v>0</v>
      </c>
      <c r="J970" t="n">
        <v>0</v>
      </c>
      <c r="K970" t="n">
        <v>0</v>
      </c>
      <c r="L970" t="n">
        <v>0</v>
      </c>
      <c r="M970" t="n">
        <v>0</v>
      </c>
      <c r="N970" t="n">
        <v>0</v>
      </c>
      <c r="O970" t="n">
        <v>0</v>
      </c>
      <c r="P970" t="n">
        <v>0</v>
      </c>
      <c r="Q970" t="n">
        <v>0</v>
      </c>
      <c r="R970" s="2" t="inlineStr"/>
    </row>
    <row r="971" ht="15" customHeight="1">
      <c r="A971" t="inlineStr">
        <is>
          <t>A 24337-2024</t>
        </is>
      </c>
      <c r="B971" s="1" t="n">
        <v>45457</v>
      </c>
      <c r="C971" s="1" t="n">
        <v>45657</v>
      </c>
      <c r="D971" t="inlineStr">
        <is>
          <t>VÄSTMANLANDS LÄN</t>
        </is>
      </c>
      <c r="E971" t="inlineStr">
        <is>
          <t>SALA</t>
        </is>
      </c>
      <c r="G971" t="n">
        <v>2.9</v>
      </c>
      <c r="H971" t="n">
        <v>0</v>
      </c>
      <c r="I971" t="n">
        <v>0</v>
      </c>
      <c r="J971" t="n">
        <v>0</v>
      </c>
      <c r="K971" t="n">
        <v>0</v>
      </c>
      <c r="L971" t="n">
        <v>0</v>
      </c>
      <c r="M971" t="n">
        <v>0</v>
      </c>
      <c r="N971" t="n">
        <v>0</v>
      </c>
      <c r="O971" t="n">
        <v>0</v>
      </c>
      <c r="P971" t="n">
        <v>0</v>
      </c>
      <c r="Q971" t="n">
        <v>0</v>
      </c>
      <c r="R971" s="2" t="inlineStr"/>
    </row>
    <row r="972" ht="15" customHeight="1">
      <c r="A972" t="inlineStr">
        <is>
          <t>A 24375-2024</t>
        </is>
      </c>
      <c r="B972" s="1" t="n">
        <v>45457</v>
      </c>
      <c r="C972" s="1" t="n">
        <v>45657</v>
      </c>
      <c r="D972" t="inlineStr">
        <is>
          <t>VÄSTMANLANDS LÄN</t>
        </is>
      </c>
      <c r="E972" t="inlineStr">
        <is>
          <t>SALA</t>
        </is>
      </c>
      <c r="G972" t="n">
        <v>6.3</v>
      </c>
      <c r="H972" t="n">
        <v>0</v>
      </c>
      <c r="I972" t="n">
        <v>0</v>
      </c>
      <c r="J972" t="n">
        <v>0</v>
      </c>
      <c r="K972" t="n">
        <v>0</v>
      </c>
      <c r="L972" t="n">
        <v>0</v>
      </c>
      <c r="M972" t="n">
        <v>0</v>
      </c>
      <c r="N972" t="n">
        <v>0</v>
      </c>
      <c r="O972" t="n">
        <v>0</v>
      </c>
      <c r="P972" t="n">
        <v>0</v>
      </c>
      <c r="Q972" t="n">
        <v>0</v>
      </c>
      <c r="R972" s="2" t="inlineStr"/>
    </row>
    <row r="973" ht="15" customHeight="1">
      <c r="A973" t="inlineStr">
        <is>
          <t>A 24866-2024</t>
        </is>
      </c>
      <c r="B973" s="1" t="n">
        <v>45461</v>
      </c>
      <c r="C973" s="1" t="n">
        <v>45657</v>
      </c>
      <c r="D973" t="inlineStr">
        <is>
          <t>VÄSTMANLANDS LÄN</t>
        </is>
      </c>
      <c r="E973" t="inlineStr">
        <is>
          <t>SALA</t>
        </is>
      </c>
      <c r="G973" t="n">
        <v>2.8</v>
      </c>
      <c r="H973" t="n">
        <v>0</v>
      </c>
      <c r="I973" t="n">
        <v>0</v>
      </c>
      <c r="J973" t="n">
        <v>0</v>
      </c>
      <c r="K973" t="n">
        <v>0</v>
      </c>
      <c r="L973" t="n">
        <v>0</v>
      </c>
      <c r="M973" t="n">
        <v>0</v>
      </c>
      <c r="N973" t="n">
        <v>0</v>
      </c>
      <c r="O973" t="n">
        <v>0</v>
      </c>
      <c r="P973" t="n">
        <v>0</v>
      </c>
      <c r="Q973" t="n">
        <v>0</v>
      </c>
      <c r="R973" s="2" t="inlineStr"/>
    </row>
    <row r="974" ht="15" customHeight="1">
      <c r="A974" t="inlineStr">
        <is>
          <t>A 24900-2024</t>
        </is>
      </c>
      <c r="B974" s="1" t="n">
        <v>45461</v>
      </c>
      <c r="C974" s="1" t="n">
        <v>45657</v>
      </c>
      <c r="D974" t="inlineStr">
        <is>
          <t>VÄSTMANLANDS LÄN</t>
        </is>
      </c>
      <c r="E974" t="inlineStr">
        <is>
          <t>SALA</t>
        </is>
      </c>
      <c r="G974" t="n">
        <v>5.8</v>
      </c>
      <c r="H974" t="n">
        <v>0</v>
      </c>
      <c r="I974" t="n">
        <v>0</v>
      </c>
      <c r="J974" t="n">
        <v>0</v>
      </c>
      <c r="K974" t="n">
        <v>0</v>
      </c>
      <c r="L974" t="n">
        <v>0</v>
      </c>
      <c r="M974" t="n">
        <v>0</v>
      </c>
      <c r="N974" t="n">
        <v>0</v>
      </c>
      <c r="O974" t="n">
        <v>0</v>
      </c>
      <c r="P974" t="n">
        <v>0</v>
      </c>
      <c r="Q974" t="n">
        <v>0</v>
      </c>
      <c r="R974" s="2" t="inlineStr"/>
    </row>
    <row r="975" ht="15" customHeight="1">
      <c r="A975" t="inlineStr">
        <is>
          <t>A 24864-2024</t>
        </is>
      </c>
      <c r="B975" s="1" t="n">
        <v>45461</v>
      </c>
      <c r="C975" s="1" t="n">
        <v>45657</v>
      </c>
      <c r="D975" t="inlineStr">
        <is>
          <t>VÄSTMANLANDS LÄN</t>
        </is>
      </c>
      <c r="E975" t="inlineStr">
        <is>
          <t>SALA</t>
        </is>
      </c>
      <c r="G975" t="n">
        <v>0.6</v>
      </c>
      <c r="H975" t="n">
        <v>0</v>
      </c>
      <c r="I975" t="n">
        <v>0</v>
      </c>
      <c r="J975" t="n">
        <v>0</v>
      </c>
      <c r="K975" t="n">
        <v>0</v>
      </c>
      <c r="L975" t="n">
        <v>0</v>
      </c>
      <c r="M975" t="n">
        <v>0</v>
      </c>
      <c r="N975" t="n">
        <v>0</v>
      </c>
      <c r="O975" t="n">
        <v>0</v>
      </c>
      <c r="P975" t="n">
        <v>0</v>
      </c>
      <c r="Q975" t="n">
        <v>0</v>
      </c>
      <c r="R975" s="2" t="inlineStr"/>
    </row>
    <row r="976" ht="15" customHeight="1">
      <c r="A976" t="inlineStr">
        <is>
          <t>A 25541-2024</t>
        </is>
      </c>
      <c r="B976" s="1" t="n">
        <v>45463</v>
      </c>
      <c r="C976" s="1" t="n">
        <v>45657</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25860-2024</t>
        </is>
      </c>
      <c r="B977" s="1" t="n">
        <v>45467</v>
      </c>
      <c r="C977" s="1" t="n">
        <v>45657</v>
      </c>
      <c r="D977" t="inlineStr">
        <is>
          <t>VÄSTMANLANDS LÄN</t>
        </is>
      </c>
      <c r="E977" t="inlineStr">
        <is>
          <t>SALA</t>
        </is>
      </c>
      <c r="G977" t="n">
        <v>0.7</v>
      </c>
      <c r="H977" t="n">
        <v>0</v>
      </c>
      <c r="I977" t="n">
        <v>0</v>
      </c>
      <c r="J977" t="n">
        <v>0</v>
      </c>
      <c r="K977" t="n">
        <v>0</v>
      </c>
      <c r="L977" t="n">
        <v>0</v>
      </c>
      <c r="M977" t="n">
        <v>0</v>
      </c>
      <c r="N977" t="n">
        <v>0</v>
      </c>
      <c r="O977" t="n">
        <v>0</v>
      </c>
      <c r="P977" t="n">
        <v>0</v>
      </c>
      <c r="Q977" t="n">
        <v>0</v>
      </c>
      <c r="R977" s="2" t="inlineStr"/>
    </row>
    <row r="978" ht="15" customHeight="1">
      <c r="A978" t="inlineStr">
        <is>
          <t>A 25897-2024</t>
        </is>
      </c>
      <c r="B978" s="1" t="n">
        <v>45467</v>
      </c>
      <c r="C978" s="1" t="n">
        <v>45657</v>
      </c>
      <c r="D978" t="inlineStr">
        <is>
          <t>VÄSTMANLANDS LÄN</t>
        </is>
      </c>
      <c r="E978" t="inlineStr">
        <is>
          <t>SALA</t>
        </is>
      </c>
      <c r="G978" t="n">
        <v>9.9</v>
      </c>
      <c r="H978" t="n">
        <v>0</v>
      </c>
      <c r="I978" t="n">
        <v>0</v>
      </c>
      <c r="J978" t="n">
        <v>0</v>
      </c>
      <c r="K978" t="n">
        <v>0</v>
      </c>
      <c r="L978" t="n">
        <v>0</v>
      </c>
      <c r="M978" t="n">
        <v>0</v>
      </c>
      <c r="N978" t="n">
        <v>0</v>
      </c>
      <c r="O978" t="n">
        <v>0</v>
      </c>
      <c r="P978" t="n">
        <v>0</v>
      </c>
      <c r="Q978" t="n">
        <v>0</v>
      </c>
      <c r="R978" s="2" t="inlineStr"/>
    </row>
    <row r="979" ht="15" customHeight="1">
      <c r="A979" t="inlineStr">
        <is>
          <t>A 25891-2024</t>
        </is>
      </c>
      <c r="B979" s="1" t="n">
        <v>45467</v>
      </c>
      <c r="C979" s="1" t="n">
        <v>45657</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25868-2024</t>
        </is>
      </c>
      <c r="B980" s="1" t="n">
        <v>45467</v>
      </c>
      <c r="C980" s="1" t="n">
        <v>45657</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26854-2024</t>
        </is>
      </c>
      <c r="B981" s="1" t="n">
        <v>45470</v>
      </c>
      <c r="C981" s="1" t="n">
        <v>45657</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26848-2024</t>
        </is>
      </c>
      <c r="B982" s="1" t="n">
        <v>45470</v>
      </c>
      <c r="C982" s="1" t="n">
        <v>45657</v>
      </c>
      <c r="D982" t="inlineStr">
        <is>
          <t>VÄSTMANLANDS LÄN</t>
        </is>
      </c>
      <c r="E982" t="inlineStr">
        <is>
          <t>SALA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26844-2024</t>
        </is>
      </c>
      <c r="B983" s="1" t="n">
        <v>45470</v>
      </c>
      <c r="C983" s="1" t="n">
        <v>45657</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27097-2024</t>
        </is>
      </c>
      <c r="B984" s="1" t="n">
        <v>45471</v>
      </c>
      <c r="C984" s="1" t="n">
        <v>45657</v>
      </c>
      <c r="D984" t="inlineStr">
        <is>
          <t>VÄSTMANLANDS LÄN</t>
        </is>
      </c>
      <c r="E984" t="inlineStr">
        <is>
          <t>SALA</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27262-2024</t>
        </is>
      </c>
      <c r="B985" s="1" t="n">
        <v>45471</v>
      </c>
      <c r="C985" s="1" t="n">
        <v>45657</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27261-2024</t>
        </is>
      </c>
      <c r="B986" s="1" t="n">
        <v>45471</v>
      </c>
      <c r="C986" s="1" t="n">
        <v>45657</v>
      </c>
      <c r="D986" t="inlineStr">
        <is>
          <t>VÄSTMANLANDS LÄN</t>
        </is>
      </c>
      <c r="E986" t="inlineStr">
        <is>
          <t>SALA</t>
        </is>
      </c>
      <c r="G986" t="n">
        <v>6.1</v>
      </c>
      <c r="H986" t="n">
        <v>0</v>
      </c>
      <c r="I986" t="n">
        <v>0</v>
      </c>
      <c r="J986" t="n">
        <v>0</v>
      </c>
      <c r="K986" t="n">
        <v>0</v>
      </c>
      <c r="L986" t="n">
        <v>0</v>
      </c>
      <c r="M986" t="n">
        <v>0</v>
      </c>
      <c r="N986" t="n">
        <v>0</v>
      </c>
      <c r="O986" t="n">
        <v>0</v>
      </c>
      <c r="P986" t="n">
        <v>0</v>
      </c>
      <c r="Q986" t="n">
        <v>0</v>
      </c>
      <c r="R986" s="2" t="inlineStr"/>
    </row>
    <row r="987" ht="15" customHeight="1">
      <c r="A987" t="inlineStr">
        <is>
          <t>A 28082-2024</t>
        </is>
      </c>
      <c r="B987" s="1" t="n">
        <v>45476</v>
      </c>
      <c r="C987" s="1" t="n">
        <v>45657</v>
      </c>
      <c r="D987" t="inlineStr">
        <is>
          <t>VÄSTMANLANDS LÄN</t>
        </is>
      </c>
      <c r="E987" t="inlineStr">
        <is>
          <t>SALA</t>
        </is>
      </c>
      <c r="G987" t="n">
        <v>4.7</v>
      </c>
      <c r="H987" t="n">
        <v>0</v>
      </c>
      <c r="I987" t="n">
        <v>0</v>
      </c>
      <c r="J987" t="n">
        <v>0</v>
      </c>
      <c r="K987" t="n">
        <v>0</v>
      </c>
      <c r="L987" t="n">
        <v>0</v>
      </c>
      <c r="M987" t="n">
        <v>0</v>
      </c>
      <c r="N987" t="n">
        <v>0</v>
      </c>
      <c r="O987" t="n">
        <v>0</v>
      </c>
      <c r="P987" t="n">
        <v>0</v>
      </c>
      <c r="Q987" t="n">
        <v>0</v>
      </c>
      <c r="R987" s="2" t="inlineStr"/>
    </row>
    <row r="988" ht="15" customHeight="1">
      <c r="A988" t="inlineStr">
        <is>
          <t>A 28093-2024</t>
        </is>
      </c>
      <c r="B988" s="1" t="n">
        <v>45476</v>
      </c>
      <c r="C988" s="1" t="n">
        <v>45657</v>
      </c>
      <c r="D988" t="inlineStr">
        <is>
          <t>VÄSTMANLANDS LÄN</t>
        </is>
      </c>
      <c r="E988" t="inlineStr">
        <is>
          <t>SALA</t>
        </is>
      </c>
      <c r="G988" t="n">
        <v>4.2</v>
      </c>
      <c r="H988" t="n">
        <v>0</v>
      </c>
      <c r="I988" t="n">
        <v>0</v>
      </c>
      <c r="J988" t="n">
        <v>0</v>
      </c>
      <c r="K988" t="n">
        <v>0</v>
      </c>
      <c r="L988" t="n">
        <v>0</v>
      </c>
      <c r="M988" t="n">
        <v>0</v>
      </c>
      <c r="N988" t="n">
        <v>0</v>
      </c>
      <c r="O988" t="n">
        <v>0</v>
      </c>
      <c r="P988" t="n">
        <v>0</v>
      </c>
      <c r="Q988" t="n">
        <v>0</v>
      </c>
      <c r="R988" s="2" t="inlineStr"/>
    </row>
    <row r="989" ht="15" customHeight="1">
      <c r="A989" t="inlineStr">
        <is>
          <t>A 28439-2024</t>
        </is>
      </c>
      <c r="B989" s="1" t="n">
        <v>45477</v>
      </c>
      <c r="C989" s="1" t="n">
        <v>45657</v>
      </c>
      <c r="D989" t="inlineStr">
        <is>
          <t>VÄSTMANLANDS LÄN</t>
        </is>
      </c>
      <c r="E989" t="inlineStr">
        <is>
          <t>SALA</t>
        </is>
      </c>
      <c r="G989" t="n">
        <v>9.5</v>
      </c>
      <c r="H989" t="n">
        <v>0</v>
      </c>
      <c r="I989" t="n">
        <v>0</v>
      </c>
      <c r="J989" t="n">
        <v>0</v>
      </c>
      <c r="K989" t="n">
        <v>0</v>
      </c>
      <c r="L989" t="n">
        <v>0</v>
      </c>
      <c r="M989" t="n">
        <v>0</v>
      </c>
      <c r="N989" t="n">
        <v>0</v>
      </c>
      <c r="O989" t="n">
        <v>0</v>
      </c>
      <c r="P989" t="n">
        <v>0</v>
      </c>
      <c r="Q989" t="n">
        <v>0</v>
      </c>
      <c r="R989" s="2" t="inlineStr"/>
    </row>
    <row r="990" ht="15" customHeight="1">
      <c r="A990" t="inlineStr">
        <is>
          <t>A 28614-2024</t>
        </is>
      </c>
      <c r="B990" s="1" t="n">
        <v>45478</v>
      </c>
      <c r="C990" s="1" t="n">
        <v>45657</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28661-2024</t>
        </is>
      </c>
      <c r="B991" s="1" t="n">
        <v>45478</v>
      </c>
      <c r="C991" s="1" t="n">
        <v>45657</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29019-2024</t>
        </is>
      </c>
      <c r="B992" s="1" t="n">
        <v>45481</v>
      </c>
      <c r="C992" s="1" t="n">
        <v>45657</v>
      </c>
      <c r="D992" t="inlineStr">
        <is>
          <t>VÄSTMANLANDS LÄN</t>
        </is>
      </c>
      <c r="E992" t="inlineStr">
        <is>
          <t>SALA</t>
        </is>
      </c>
      <c r="G992" t="n">
        <v>7.4</v>
      </c>
      <c r="H992" t="n">
        <v>0</v>
      </c>
      <c r="I992" t="n">
        <v>0</v>
      </c>
      <c r="J992" t="n">
        <v>0</v>
      </c>
      <c r="K992" t="n">
        <v>0</v>
      </c>
      <c r="L992" t="n">
        <v>0</v>
      </c>
      <c r="M992" t="n">
        <v>0</v>
      </c>
      <c r="N992" t="n">
        <v>0</v>
      </c>
      <c r="O992" t="n">
        <v>0</v>
      </c>
      <c r="P992" t="n">
        <v>0</v>
      </c>
      <c r="Q992" t="n">
        <v>0</v>
      </c>
      <c r="R992" s="2" t="inlineStr"/>
    </row>
    <row r="993" ht="15" customHeight="1">
      <c r="A993" t="inlineStr">
        <is>
          <t>A 30028-2024</t>
        </is>
      </c>
      <c r="B993" s="1" t="n">
        <v>45485</v>
      </c>
      <c r="C993" s="1" t="n">
        <v>45657</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29929-2024</t>
        </is>
      </c>
      <c r="B994" s="1" t="n">
        <v>45488</v>
      </c>
      <c r="C994" s="1" t="n">
        <v>45657</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30613-2024</t>
        </is>
      </c>
      <c r="B995" s="1" t="n">
        <v>45495</v>
      </c>
      <c r="C995" s="1" t="n">
        <v>45657</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31235-2024</t>
        </is>
      </c>
      <c r="B996" s="1" t="n">
        <v>45503</v>
      </c>
      <c r="C996" s="1" t="n">
        <v>45657</v>
      </c>
      <c r="D996" t="inlineStr">
        <is>
          <t>VÄSTMANLANDS LÄN</t>
        </is>
      </c>
      <c r="E996" t="inlineStr">
        <is>
          <t>SALA</t>
        </is>
      </c>
      <c r="G996" t="n">
        <v>5.3</v>
      </c>
      <c r="H996" t="n">
        <v>0</v>
      </c>
      <c r="I996" t="n">
        <v>0</v>
      </c>
      <c r="J996" t="n">
        <v>0</v>
      </c>
      <c r="K996" t="n">
        <v>0</v>
      </c>
      <c r="L996" t="n">
        <v>0</v>
      </c>
      <c r="M996" t="n">
        <v>0</v>
      </c>
      <c r="N996" t="n">
        <v>0</v>
      </c>
      <c r="O996" t="n">
        <v>0</v>
      </c>
      <c r="P996" t="n">
        <v>0</v>
      </c>
      <c r="Q996" t="n">
        <v>0</v>
      </c>
      <c r="R996" s="2" t="inlineStr"/>
    </row>
    <row r="997" ht="15" customHeight="1">
      <c r="A997" t="inlineStr">
        <is>
          <t>A 31405-2024</t>
        </is>
      </c>
      <c r="B997" s="1" t="n">
        <v>45505</v>
      </c>
      <c r="C997" s="1" t="n">
        <v>45657</v>
      </c>
      <c r="D997" t="inlineStr">
        <is>
          <t>VÄSTMANLANDS LÄN</t>
        </is>
      </c>
      <c r="E997" t="inlineStr">
        <is>
          <t>SALA</t>
        </is>
      </c>
      <c r="G997" t="n">
        <v>5.2</v>
      </c>
      <c r="H997" t="n">
        <v>0</v>
      </c>
      <c r="I997" t="n">
        <v>0</v>
      </c>
      <c r="J997" t="n">
        <v>0</v>
      </c>
      <c r="K997" t="n">
        <v>0</v>
      </c>
      <c r="L997" t="n">
        <v>0</v>
      </c>
      <c r="M997" t="n">
        <v>0</v>
      </c>
      <c r="N997" t="n">
        <v>0</v>
      </c>
      <c r="O997" t="n">
        <v>0</v>
      </c>
      <c r="P997" t="n">
        <v>0</v>
      </c>
      <c r="Q997" t="n">
        <v>0</v>
      </c>
      <c r="R997" s="2" t="inlineStr"/>
    </row>
    <row r="998" ht="15" customHeight="1">
      <c r="A998" t="inlineStr">
        <is>
          <t>A 31599-2024</t>
        </is>
      </c>
      <c r="B998" s="1" t="n">
        <v>45506</v>
      </c>
      <c r="C998" s="1" t="n">
        <v>45657</v>
      </c>
      <c r="D998" t="inlineStr">
        <is>
          <t>VÄSTMANLANDS LÄN</t>
        </is>
      </c>
      <c r="E998" t="inlineStr">
        <is>
          <t>SALA</t>
        </is>
      </c>
      <c r="G998" t="n">
        <v>0.9</v>
      </c>
      <c r="H998" t="n">
        <v>0</v>
      </c>
      <c r="I998" t="n">
        <v>0</v>
      </c>
      <c r="J998" t="n">
        <v>0</v>
      </c>
      <c r="K998" t="n">
        <v>0</v>
      </c>
      <c r="L998" t="n">
        <v>0</v>
      </c>
      <c r="M998" t="n">
        <v>0</v>
      </c>
      <c r="N998" t="n">
        <v>0</v>
      </c>
      <c r="O998" t="n">
        <v>0</v>
      </c>
      <c r="P998" t="n">
        <v>0</v>
      </c>
      <c r="Q998" t="n">
        <v>0</v>
      </c>
      <c r="R998" s="2" t="inlineStr"/>
    </row>
    <row r="999" ht="15" customHeight="1">
      <c r="A999" t="inlineStr">
        <is>
          <t>A 31608-2024</t>
        </is>
      </c>
      <c r="B999" s="1" t="n">
        <v>45506</v>
      </c>
      <c r="C999" s="1" t="n">
        <v>45657</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31601-2024</t>
        </is>
      </c>
      <c r="B1000" s="1" t="n">
        <v>45506</v>
      </c>
      <c r="C1000" s="1" t="n">
        <v>45657</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31609-2024</t>
        </is>
      </c>
      <c r="B1001" s="1" t="n">
        <v>45506</v>
      </c>
      <c r="C1001" s="1" t="n">
        <v>45657</v>
      </c>
      <c r="D1001" t="inlineStr">
        <is>
          <t>VÄSTMANLANDS LÄN</t>
        </is>
      </c>
      <c r="E1001" t="inlineStr">
        <is>
          <t>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31597-2024</t>
        </is>
      </c>
      <c r="B1002" s="1" t="n">
        <v>45506</v>
      </c>
      <c r="C1002" s="1" t="n">
        <v>45657</v>
      </c>
      <c r="D1002" t="inlineStr">
        <is>
          <t>VÄSTMANLANDS LÄN</t>
        </is>
      </c>
      <c r="E1002" t="inlineStr">
        <is>
          <t>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31655-2024</t>
        </is>
      </c>
      <c r="B1003" s="1" t="n">
        <v>45506</v>
      </c>
      <c r="C1003" s="1" t="n">
        <v>45657</v>
      </c>
      <c r="D1003" t="inlineStr">
        <is>
          <t>VÄSTMANLANDS LÄN</t>
        </is>
      </c>
      <c r="E1003" t="inlineStr">
        <is>
          <t>SALA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31612-2024</t>
        </is>
      </c>
      <c r="B1004" s="1" t="n">
        <v>45506</v>
      </c>
      <c r="C1004" s="1" t="n">
        <v>45657</v>
      </c>
      <c r="D1004" t="inlineStr">
        <is>
          <t>VÄSTMANLANDS LÄN</t>
        </is>
      </c>
      <c r="E1004" t="inlineStr">
        <is>
          <t>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31941-2024</t>
        </is>
      </c>
      <c r="B1005" s="1" t="n">
        <v>45510</v>
      </c>
      <c r="C1005" s="1" t="n">
        <v>45657</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32372-2024</t>
        </is>
      </c>
      <c r="B1006" s="1" t="n">
        <v>45512</v>
      </c>
      <c r="C1006" s="1" t="n">
        <v>45657</v>
      </c>
      <c r="D1006" t="inlineStr">
        <is>
          <t>VÄSTMANLANDS LÄN</t>
        </is>
      </c>
      <c r="E1006" t="inlineStr">
        <is>
          <t>SALA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32303-2024</t>
        </is>
      </c>
      <c r="B1007" s="1" t="n">
        <v>45512</v>
      </c>
      <c r="C1007" s="1" t="n">
        <v>45657</v>
      </c>
      <c r="D1007" t="inlineStr">
        <is>
          <t>VÄSTMANLANDS LÄN</t>
        </is>
      </c>
      <c r="E1007" t="inlineStr">
        <is>
          <t>SALA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32484-2024</t>
        </is>
      </c>
      <c r="B1008" s="1" t="n">
        <v>45513</v>
      </c>
      <c r="C1008" s="1" t="n">
        <v>45657</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34419-2024</t>
        </is>
      </c>
      <c r="B1009" s="1" t="n">
        <v>45525</v>
      </c>
      <c r="C1009" s="1" t="n">
        <v>45657</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34412-2024</t>
        </is>
      </c>
      <c r="B1010" s="1" t="n">
        <v>45525</v>
      </c>
      <c r="C1010" s="1" t="n">
        <v>45657</v>
      </c>
      <c r="D1010" t="inlineStr">
        <is>
          <t>VÄSTMANLANDS LÄN</t>
        </is>
      </c>
      <c r="E1010" t="inlineStr">
        <is>
          <t>SALA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34416-2024</t>
        </is>
      </c>
      <c r="B1011" s="1" t="n">
        <v>45525</v>
      </c>
      <c r="C1011" s="1" t="n">
        <v>45657</v>
      </c>
      <c r="D1011" t="inlineStr">
        <is>
          <t>VÄSTMANLANDS LÄN</t>
        </is>
      </c>
      <c r="E1011" t="inlineStr">
        <is>
          <t>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35003-2024</t>
        </is>
      </c>
      <c r="B1012" s="1" t="n">
        <v>45527</v>
      </c>
      <c r="C1012" s="1" t="n">
        <v>45657</v>
      </c>
      <c r="D1012" t="inlineStr">
        <is>
          <t>VÄSTMANLANDS LÄN</t>
        </is>
      </c>
      <c r="E1012" t="inlineStr">
        <is>
          <t>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35016-2024</t>
        </is>
      </c>
      <c r="B1013" s="1" t="n">
        <v>45527</v>
      </c>
      <c r="C1013" s="1" t="n">
        <v>45657</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35010-2024</t>
        </is>
      </c>
      <c r="B1014" s="1" t="n">
        <v>45527</v>
      </c>
      <c r="C1014" s="1" t="n">
        <v>45657</v>
      </c>
      <c r="D1014" t="inlineStr">
        <is>
          <t>VÄSTMANLANDS LÄN</t>
        </is>
      </c>
      <c r="E1014" t="inlineStr">
        <is>
          <t>SALA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35462-2024</t>
        </is>
      </c>
      <c r="B1015" s="1" t="n">
        <v>45531</v>
      </c>
      <c r="C1015" s="1" t="n">
        <v>45657</v>
      </c>
      <c r="D1015" t="inlineStr">
        <is>
          <t>VÄSTMANLANDS LÄN</t>
        </is>
      </c>
      <c r="E1015" t="inlineStr">
        <is>
          <t>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35499-2024</t>
        </is>
      </c>
      <c r="B1016" s="1" t="n">
        <v>45531</v>
      </c>
      <c r="C1016" s="1" t="n">
        <v>45657</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35529-2024</t>
        </is>
      </c>
      <c r="B1017" s="1" t="n">
        <v>45531</v>
      </c>
      <c r="C1017" s="1" t="n">
        <v>45657</v>
      </c>
      <c r="D1017" t="inlineStr">
        <is>
          <t>VÄSTMANLANDS LÄN</t>
        </is>
      </c>
      <c r="E1017" t="inlineStr">
        <is>
          <t>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35558-2024</t>
        </is>
      </c>
      <c r="B1018" s="1" t="n">
        <v>45531</v>
      </c>
      <c r="C1018" s="1" t="n">
        <v>45657</v>
      </c>
      <c r="D1018" t="inlineStr">
        <is>
          <t>VÄSTMANLANDS LÄN</t>
        </is>
      </c>
      <c r="E1018" t="inlineStr">
        <is>
          <t>SALA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35519-2024</t>
        </is>
      </c>
      <c r="B1019" s="1" t="n">
        <v>45531</v>
      </c>
      <c r="C1019" s="1" t="n">
        <v>45657</v>
      </c>
      <c r="D1019" t="inlineStr">
        <is>
          <t>VÄSTMANLANDS LÄN</t>
        </is>
      </c>
      <c r="E1019" t="inlineStr">
        <is>
          <t>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35528-2024</t>
        </is>
      </c>
      <c r="B1020" s="1" t="n">
        <v>45531</v>
      </c>
      <c r="C1020" s="1" t="n">
        <v>45657</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35573-2024</t>
        </is>
      </c>
      <c r="B1021" s="1" t="n">
        <v>45531</v>
      </c>
      <c r="C1021" s="1" t="n">
        <v>45657</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36075-2024</t>
        </is>
      </c>
      <c r="B1022" s="1" t="n">
        <v>45533</v>
      </c>
      <c r="C1022" s="1" t="n">
        <v>45657</v>
      </c>
      <c r="D1022" t="inlineStr">
        <is>
          <t>VÄSTMANLANDS LÄN</t>
        </is>
      </c>
      <c r="E1022" t="inlineStr">
        <is>
          <t>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35976-2024</t>
        </is>
      </c>
      <c r="B1023" s="1" t="n">
        <v>45533</v>
      </c>
      <c r="C1023" s="1" t="n">
        <v>45657</v>
      </c>
      <c r="D1023" t="inlineStr">
        <is>
          <t>VÄSTMANLANDS LÄN</t>
        </is>
      </c>
      <c r="E1023" t="inlineStr">
        <is>
          <t>SALA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36073-2024</t>
        </is>
      </c>
      <c r="B1024" s="1" t="n">
        <v>45533</v>
      </c>
      <c r="C1024" s="1" t="n">
        <v>45657</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37137-2024</t>
        </is>
      </c>
      <c r="B1025" s="1" t="n">
        <v>45539</v>
      </c>
      <c r="C1025" s="1" t="n">
        <v>45657</v>
      </c>
      <c r="D1025" t="inlineStr">
        <is>
          <t>VÄSTMANLANDS LÄN</t>
        </is>
      </c>
      <c r="E1025" t="inlineStr">
        <is>
          <t>SALA</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37183-2024</t>
        </is>
      </c>
      <c r="B1026" s="1" t="n">
        <v>45539</v>
      </c>
      <c r="C1026" s="1" t="n">
        <v>45657</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37185-2024</t>
        </is>
      </c>
      <c r="B1027" s="1" t="n">
        <v>45539</v>
      </c>
      <c r="C1027" s="1" t="n">
        <v>45657</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37224-2024</t>
        </is>
      </c>
      <c r="B1028" s="1" t="n">
        <v>45539</v>
      </c>
      <c r="C1028" s="1" t="n">
        <v>45657</v>
      </c>
      <c r="D1028" t="inlineStr">
        <is>
          <t>VÄSTMANLANDS LÄN</t>
        </is>
      </c>
      <c r="E1028" t="inlineStr">
        <is>
          <t>SALA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37190-2024</t>
        </is>
      </c>
      <c r="B1029" s="1" t="n">
        <v>45539</v>
      </c>
      <c r="C1029" s="1" t="n">
        <v>45657</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37251-2024</t>
        </is>
      </c>
      <c r="B1030" s="1" t="n">
        <v>45540</v>
      </c>
      <c r="C1030" s="1" t="n">
        <v>45657</v>
      </c>
      <c r="D1030" t="inlineStr">
        <is>
          <t>VÄSTMANLANDS LÄN</t>
        </is>
      </c>
      <c r="E1030" t="inlineStr">
        <is>
          <t>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37332-2024</t>
        </is>
      </c>
      <c r="B1031" s="1" t="n">
        <v>45540</v>
      </c>
      <c r="C1031" s="1" t="n">
        <v>45657</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37337-2024</t>
        </is>
      </c>
      <c r="B1032" s="1" t="n">
        <v>45540</v>
      </c>
      <c r="C1032" s="1" t="n">
        <v>45657</v>
      </c>
      <c r="D1032" t="inlineStr">
        <is>
          <t>VÄSTMANLANDS LÄN</t>
        </is>
      </c>
      <c r="E1032" t="inlineStr">
        <is>
          <t>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37602-2024</t>
        </is>
      </c>
      <c r="B1033" s="1" t="n">
        <v>45541</v>
      </c>
      <c r="C1033" s="1" t="n">
        <v>45657</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37587-2024</t>
        </is>
      </c>
      <c r="B1034" s="1" t="n">
        <v>45541</v>
      </c>
      <c r="C1034" s="1" t="n">
        <v>45657</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45657</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37624-2024</t>
        </is>
      </c>
      <c r="B1036" s="1" t="n">
        <v>45541</v>
      </c>
      <c r="C1036" s="1" t="n">
        <v>45657</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37615-2024</t>
        </is>
      </c>
      <c r="B1037" s="1" t="n">
        <v>45541</v>
      </c>
      <c r="C1037" s="1" t="n">
        <v>45657</v>
      </c>
      <c r="D1037" t="inlineStr">
        <is>
          <t>VÄSTMANLANDS LÄN</t>
        </is>
      </c>
      <c r="E1037" t="inlineStr">
        <is>
          <t>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37958-2024</t>
        </is>
      </c>
      <c r="B1038" s="1" t="n">
        <v>45544</v>
      </c>
      <c r="C1038" s="1" t="n">
        <v>45657</v>
      </c>
      <c r="D1038" t="inlineStr">
        <is>
          <t>VÄSTMANLANDS LÄN</t>
        </is>
      </c>
      <c r="E1038" t="inlineStr">
        <is>
          <t>SALA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38434-2024</t>
        </is>
      </c>
      <c r="B1039" s="1" t="n">
        <v>45546</v>
      </c>
      <c r="C1039" s="1" t="n">
        <v>45657</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39364-2024</t>
        </is>
      </c>
      <c r="B1040" s="1" t="n">
        <v>45551</v>
      </c>
      <c r="C1040" s="1" t="n">
        <v>45657</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40272-2024</t>
        </is>
      </c>
      <c r="B1041" s="1" t="n">
        <v>45554</v>
      </c>
      <c r="C1041" s="1" t="n">
        <v>45657</v>
      </c>
      <c r="D1041" t="inlineStr">
        <is>
          <t>VÄSTMANLANDS LÄN</t>
        </is>
      </c>
      <c r="E1041" t="inlineStr">
        <is>
          <t>SALA</t>
        </is>
      </c>
      <c r="F1041" t="inlineStr">
        <is>
          <t>Kommuner</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40085-2024</t>
        </is>
      </c>
      <c r="B1042" s="1" t="n">
        <v>45554</v>
      </c>
      <c r="C1042" s="1" t="n">
        <v>45657</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40757-2024</t>
        </is>
      </c>
      <c r="B1043" s="1" t="n">
        <v>45558</v>
      </c>
      <c r="C1043" s="1" t="n">
        <v>45657</v>
      </c>
      <c r="D1043" t="inlineStr">
        <is>
          <t>VÄSTMANLANDS LÄN</t>
        </is>
      </c>
      <c r="E1043" t="inlineStr">
        <is>
          <t>SALA</t>
        </is>
      </c>
      <c r="F1043" t="inlineStr">
        <is>
          <t>Kommuner</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41247-2024</t>
        </is>
      </c>
      <c r="B1044" s="1" t="n">
        <v>45559</v>
      </c>
      <c r="C1044" s="1" t="n">
        <v>45657</v>
      </c>
      <c r="D1044" t="inlineStr">
        <is>
          <t>VÄSTMANLANDS LÄN</t>
        </is>
      </c>
      <c r="E1044" t="inlineStr">
        <is>
          <t>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41748-2024</t>
        </is>
      </c>
      <c r="B1045" s="1" t="n">
        <v>45561</v>
      </c>
      <c r="C1045" s="1" t="n">
        <v>45657</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42617-2024</t>
        </is>
      </c>
      <c r="B1046" s="1" t="n">
        <v>45565</v>
      </c>
      <c r="C1046" s="1" t="n">
        <v>45657</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42684-2024</t>
        </is>
      </c>
      <c r="B1047" s="1" t="n">
        <v>45565</v>
      </c>
      <c r="C1047" s="1" t="n">
        <v>45657</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43196-2024</t>
        </is>
      </c>
      <c r="B1048" s="1" t="n">
        <v>45567</v>
      </c>
      <c r="C1048" s="1" t="n">
        <v>45657</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43108-2024</t>
        </is>
      </c>
      <c r="B1049" s="1" t="n">
        <v>45567</v>
      </c>
      <c r="C1049" s="1" t="n">
        <v>45657</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43359-2024</t>
        </is>
      </c>
      <c r="B1050" s="1" t="n">
        <v>45568</v>
      </c>
      <c r="C1050" s="1" t="n">
        <v>45657</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43600-2024</t>
        </is>
      </c>
      <c r="B1051" s="1" t="n">
        <v>45569</v>
      </c>
      <c r="C1051" s="1" t="n">
        <v>45657</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43596-2024</t>
        </is>
      </c>
      <c r="B1052" s="1" t="n">
        <v>45569</v>
      </c>
      <c r="C1052" s="1" t="n">
        <v>45657</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44544-2024</t>
        </is>
      </c>
      <c r="B1053" s="1" t="n">
        <v>45574</v>
      </c>
      <c r="C1053" s="1" t="n">
        <v>45657</v>
      </c>
      <c r="D1053" t="inlineStr">
        <is>
          <t>VÄSTMANLANDS LÄN</t>
        </is>
      </c>
      <c r="E1053" t="inlineStr">
        <is>
          <t>SALA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44746-2024</t>
        </is>
      </c>
      <c r="B1054" s="1" t="n">
        <v>45574</v>
      </c>
      <c r="C1054" s="1" t="n">
        <v>45657</v>
      </c>
      <c r="D1054" t="inlineStr">
        <is>
          <t>VÄSTMANLANDS LÄN</t>
        </is>
      </c>
      <c r="E1054" t="inlineStr">
        <is>
          <t>SALA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45185-2024</t>
        </is>
      </c>
      <c r="B1055" s="1" t="n">
        <v>45575</v>
      </c>
      <c r="C1055" s="1" t="n">
        <v>45657</v>
      </c>
      <c r="D1055" t="inlineStr">
        <is>
          <t>VÄSTMANLANDS LÄN</t>
        </is>
      </c>
      <c r="E1055" t="inlineStr">
        <is>
          <t>SALA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45187-2024</t>
        </is>
      </c>
      <c r="B1056" s="1" t="n">
        <v>45575</v>
      </c>
      <c r="C1056" s="1" t="n">
        <v>45657</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45313-2024</t>
        </is>
      </c>
      <c r="B1057" s="1" t="n">
        <v>45576</v>
      </c>
      <c r="C1057" s="1" t="n">
        <v>45657</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45737-2024</t>
        </is>
      </c>
      <c r="B1058" s="1" t="n">
        <v>45579</v>
      </c>
      <c r="C1058" s="1" t="n">
        <v>45657</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45738-2024</t>
        </is>
      </c>
      <c r="B1059" s="1" t="n">
        <v>45579</v>
      </c>
      <c r="C1059" s="1" t="n">
        <v>45657</v>
      </c>
      <c r="D1059" t="inlineStr">
        <is>
          <t>VÄSTMANLANDS LÄN</t>
        </is>
      </c>
      <c r="E1059" t="inlineStr">
        <is>
          <t>SALA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45765-2024</t>
        </is>
      </c>
      <c r="B1060" s="1" t="n">
        <v>45579</v>
      </c>
      <c r="C1060" s="1" t="n">
        <v>45657</v>
      </c>
      <c r="D1060" t="inlineStr">
        <is>
          <t>VÄSTMANLANDS LÄN</t>
        </is>
      </c>
      <c r="E1060" t="inlineStr">
        <is>
          <t>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45761-2024</t>
        </is>
      </c>
      <c r="B1061" s="1" t="n">
        <v>45579</v>
      </c>
      <c r="C1061" s="1" t="n">
        <v>45657</v>
      </c>
      <c r="D1061" t="inlineStr">
        <is>
          <t>VÄSTMANLANDS LÄN</t>
        </is>
      </c>
      <c r="E1061" t="inlineStr">
        <is>
          <t>SALA</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45931-2024</t>
        </is>
      </c>
      <c r="B1062" s="1" t="n">
        <v>45580</v>
      </c>
      <c r="C1062" s="1" t="n">
        <v>45657</v>
      </c>
      <c r="D1062" t="inlineStr">
        <is>
          <t>VÄSTMANLANDS LÄN</t>
        </is>
      </c>
      <c r="E1062" t="inlineStr">
        <is>
          <t>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46861-2024</t>
        </is>
      </c>
      <c r="B1063" s="1" t="n">
        <v>45583</v>
      </c>
      <c r="C1063" s="1" t="n">
        <v>45657</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46682-2024</t>
        </is>
      </c>
      <c r="B1064" s="1" t="n">
        <v>45583</v>
      </c>
      <c r="C1064" s="1" t="n">
        <v>45657</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47061-2024</t>
        </is>
      </c>
      <c r="B1065" s="1" t="n">
        <v>45586</v>
      </c>
      <c r="C1065" s="1" t="n">
        <v>45657</v>
      </c>
      <c r="D1065" t="inlineStr">
        <is>
          <t>VÄSTMANLANDS LÄN</t>
        </is>
      </c>
      <c r="E1065" t="inlineStr">
        <is>
          <t>SALA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47038-2024</t>
        </is>
      </c>
      <c r="B1066" s="1" t="n">
        <v>45586</v>
      </c>
      <c r="C1066" s="1" t="n">
        <v>45657</v>
      </c>
      <c r="D1066" t="inlineStr">
        <is>
          <t>VÄSTMANLANDS LÄN</t>
        </is>
      </c>
      <c r="E1066" t="inlineStr">
        <is>
          <t>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47479-2024</t>
        </is>
      </c>
      <c r="B1067" s="1" t="n">
        <v>45587</v>
      </c>
      <c r="C1067" s="1" t="n">
        <v>45657</v>
      </c>
      <c r="D1067" t="inlineStr">
        <is>
          <t>VÄSTMANLANDS LÄN</t>
        </is>
      </c>
      <c r="E1067" t="inlineStr">
        <is>
          <t>SALA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47474-2024</t>
        </is>
      </c>
      <c r="B1068" s="1" t="n">
        <v>45587</v>
      </c>
      <c r="C1068" s="1" t="n">
        <v>45657</v>
      </c>
      <c r="D1068" t="inlineStr">
        <is>
          <t>VÄSTMANLANDS LÄN</t>
        </is>
      </c>
      <c r="E1068" t="inlineStr">
        <is>
          <t>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47294-2024</t>
        </is>
      </c>
      <c r="B1069" s="1" t="n">
        <v>45587</v>
      </c>
      <c r="C1069" s="1" t="n">
        <v>45657</v>
      </c>
      <c r="D1069" t="inlineStr">
        <is>
          <t>VÄSTMANLANDS LÄN</t>
        </is>
      </c>
      <c r="E1069" t="inlineStr">
        <is>
          <t>SALA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47468-2024</t>
        </is>
      </c>
      <c r="B1070" s="1" t="n">
        <v>45587</v>
      </c>
      <c r="C1070" s="1" t="n">
        <v>45657</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47351-2024</t>
        </is>
      </c>
      <c r="B1071" s="1" t="n">
        <v>45587</v>
      </c>
      <c r="C1071" s="1" t="n">
        <v>45657</v>
      </c>
      <c r="D1071" t="inlineStr">
        <is>
          <t>VÄSTMANLANDS LÄN</t>
        </is>
      </c>
      <c r="E1071" t="inlineStr">
        <is>
          <t>SALA</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48114-2024</t>
        </is>
      </c>
      <c r="B1072" s="1" t="n">
        <v>45589</v>
      </c>
      <c r="C1072" s="1" t="n">
        <v>45657</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48117-2024</t>
        </is>
      </c>
      <c r="B1073" s="1" t="n">
        <v>45589</v>
      </c>
      <c r="C1073" s="1" t="n">
        <v>45657</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48104-2024</t>
        </is>
      </c>
      <c r="B1074" s="1" t="n">
        <v>45589</v>
      </c>
      <c r="C1074" s="1" t="n">
        <v>45657</v>
      </c>
      <c r="D1074" t="inlineStr">
        <is>
          <t>VÄSTMANLANDS LÄN</t>
        </is>
      </c>
      <c r="E1074" t="inlineStr">
        <is>
          <t>SALA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48124-2024</t>
        </is>
      </c>
      <c r="B1075" s="1" t="n">
        <v>45589</v>
      </c>
      <c r="C1075" s="1" t="n">
        <v>45657</v>
      </c>
      <c r="D1075" t="inlineStr">
        <is>
          <t>VÄSTMANLANDS LÄN</t>
        </is>
      </c>
      <c r="E1075" t="inlineStr">
        <is>
          <t>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48569-2024</t>
        </is>
      </c>
      <c r="B1076" s="1" t="n">
        <v>45591</v>
      </c>
      <c r="C1076" s="1" t="n">
        <v>45657</v>
      </c>
      <c r="D1076" t="inlineStr">
        <is>
          <t>VÄSTMANLANDS LÄN</t>
        </is>
      </c>
      <c r="E1076" t="inlineStr">
        <is>
          <t>SALA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48570-2024</t>
        </is>
      </c>
      <c r="B1077" s="1" t="n">
        <v>45591</v>
      </c>
      <c r="C1077" s="1" t="n">
        <v>45657</v>
      </c>
      <c r="D1077" t="inlineStr">
        <is>
          <t>VÄSTMANLANDS LÄN</t>
        </is>
      </c>
      <c r="E1077" t="inlineStr">
        <is>
          <t>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49512-2024</t>
        </is>
      </c>
      <c r="B1078" s="1" t="n">
        <v>45591</v>
      </c>
      <c r="C1078" s="1" t="n">
        <v>45657</v>
      </c>
      <c r="D1078" t="inlineStr">
        <is>
          <t>VÄSTMANLANDS LÄN</t>
        </is>
      </c>
      <c r="E1078" t="inlineStr">
        <is>
          <t>SALA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48571-2024</t>
        </is>
      </c>
      <c r="B1079" s="1" t="n">
        <v>45591</v>
      </c>
      <c r="C1079" s="1" t="n">
        <v>45657</v>
      </c>
      <c r="D1079" t="inlineStr">
        <is>
          <t>VÄSTMANLANDS LÄN</t>
        </is>
      </c>
      <c r="E1079" t="inlineStr">
        <is>
          <t>SALA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48688-2024</t>
        </is>
      </c>
      <c r="B1080" s="1" t="n">
        <v>45593</v>
      </c>
      <c r="C1080" s="1" t="n">
        <v>45657</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48810-2024</t>
        </is>
      </c>
      <c r="B1081" s="1" t="n">
        <v>45593</v>
      </c>
      <c r="C1081" s="1" t="n">
        <v>45657</v>
      </c>
      <c r="D1081" t="inlineStr">
        <is>
          <t>VÄSTMANLANDS LÄN</t>
        </is>
      </c>
      <c r="E1081" t="inlineStr">
        <is>
          <t>SALA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48710-2024</t>
        </is>
      </c>
      <c r="B1082" s="1" t="n">
        <v>45593</v>
      </c>
      <c r="C1082" s="1" t="n">
        <v>45657</v>
      </c>
      <c r="D1082" t="inlineStr">
        <is>
          <t>VÄSTMANLANDS LÄN</t>
        </is>
      </c>
      <c r="E1082" t="inlineStr">
        <is>
          <t>SALA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48789-2024</t>
        </is>
      </c>
      <c r="B1083" s="1" t="n">
        <v>45593</v>
      </c>
      <c r="C1083" s="1" t="n">
        <v>45657</v>
      </c>
      <c r="D1083" t="inlineStr">
        <is>
          <t>VÄSTMANLANDS LÄN</t>
        </is>
      </c>
      <c r="E1083" t="inlineStr">
        <is>
          <t>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49661-2024</t>
        </is>
      </c>
      <c r="B1084" s="1" t="n">
        <v>45596</v>
      </c>
      <c r="C1084" s="1" t="n">
        <v>45657</v>
      </c>
      <c r="D1084" t="inlineStr">
        <is>
          <t>VÄSTMANLANDS LÄN</t>
        </is>
      </c>
      <c r="E1084" t="inlineStr">
        <is>
          <t>SALA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49619-2024</t>
        </is>
      </c>
      <c r="B1085" s="1" t="n">
        <v>45596</v>
      </c>
      <c r="C1085" s="1" t="n">
        <v>45657</v>
      </c>
      <c r="D1085" t="inlineStr">
        <is>
          <t>VÄSTMANLANDS LÄN</t>
        </is>
      </c>
      <c r="E1085" t="inlineStr">
        <is>
          <t>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49745-2024</t>
        </is>
      </c>
      <c r="B1086" s="1" t="n">
        <v>45596</v>
      </c>
      <c r="C1086" s="1" t="n">
        <v>45657</v>
      </c>
      <c r="D1086" t="inlineStr">
        <is>
          <t>VÄSTMANLANDS LÄN</t>
        </is>
      </c>
      <c r="E1086" t="inlineStr">
        <is>
          <t>SALA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49744-2024</t>
        </is>
      </c>
      <c r="B1087" s="1" t="n">
        <v>45596</v>
      </c>
      <c r="C1087" s="1" t="n">
        <v>45657</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49555-2024</t>
        </is>
      </c>
      <c r="B1088" s="1" t="n">
        <v>45596</v>
      </c>
      <c r="C1088" s="1" t="n">
        <v>45657</v>
      </c>
      <c r="D1088" t="inlineStr">
        <is>
          <t>VÄSTMANLANDS LÄN</t>
        </is>
      </c>
      <c r="E1088" t="inlineStr">
        <is>
          <t>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50652-2024</t>
        </is>
      </c>
      <c r="B1089" s="1" t="n">
        <v>45601</v>
      </c>
      <c r="C1089" s="1" t="n">
        <v>45657</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51464-2024</t>
        </is>
      </c>
      <c r="B1090" s="1" t="n">
        <v>45604</v>
      </c>
      <c r="C1090" s="1" t="n">
        <v>45657</v>
      </c>
      <c r="D1090" t="inlineStr">
        <is>
          <t>VÄSTMANLANDS LÄN</t>
        </is>
      </c>
      <c r="E1090" t="inlineStr">
        <is>
          <t>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51775-2024</t>
        </is>
      </c>
      <c r="B1091" s="1" t="n">
        <v>45607</v>
      </c>
      <c r="C1091" s="1" t="n">
        <v>45657</v>
      </c>
      <c r="D1091" t="inlineStr">
        <is>
          <t>VÄSTMANLANDS LÄN</t>
        </is>
      </c>
      <c r="E1091" t="inlineStr">
        <is>
          <t>SALA</t>
        </is>
      </c>
      <c r="F1091" t="inlineStr">
        <is>
          <t>Övriga Aktiebolag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52177-2024</t>
        </is>
      </c>
      <c r="B1092" s="1" t="n">
        <v>45608</v>
      </c>
      <c r="C1092" s="1" t="n">
        <v>45657</v>
      </c>
      <c r="D1092" t="inlineStr">
        <is>
          <t>VÄSTMANLANDS LÄN</t>
        </is>
      </c>
      <c r="E1092" t="inlineStr">
        <is>
          <t>SALA</t>
        </is>
      </c>
      <c r="F1092" t="inlineStr">
        <is>
          <t>Naturvårdsverket</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52184-2024</t>
        </is>
      </c>
      <c r="B1093" s="1" t="n">
        <v>45608</v>
      </c>
      <c r="C1093" s="1" t="n">
        <v>45657</v>
      </c>
      <c r="D1093" t="inlineStr">
        <is>
          <t>VÄSTMANLANDS LÄN</t>
        </is>
      </c>
      <c r="E1093" t="inlineStr">
        <is>
          <t>SALA</t>
        </is>
      </c>
      <c r="F1093" t="inlineStr">
        <is>
          <t>Naturvårdsverket</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52500-2024</t>
        </is>
      </c>
      <c r="B1094" s="1" t="n">
        <v>45609</v>
      </c>
      <c r="C1094" s="1" t="n">
        <v>45657</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52503-2024</t>
        </is>
      </c>
      <c r="B1095" s="1" t="n">
        <v>45609</v>
      </c>
      <c r="C1095" s="1" t="n">
        <v>45657</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52821-2024</t>
        </is>
      </c>
      <c r="B1096" s="1" t="n">
        <v>45610</v>
      </c>
      <c r="C1096" s="1" t="n">
        <v>45657</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52799-2024</t>
        </is>
      </c>
      <c r="B1097" s="1" t="n">
        <v>45610</v>
      </c>
      <c r="C1097" s="1" t="n">
        <v>45657</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52827-2024</t>
        </is>
      </c>
      <c r="B1098" s="1" t="n">
        <v>45610</v>
      </c>
      <c r="C1098" s="1" t="n">
        <v>45657</v>
      </c>
      <c r="D1098" t="inlineStr">
        <is>
          <t>VÄSTMANLANDS LÄN</t>
        </is>
      </c>
      <c r="E1098" t="inlineStr">
        <is>
          <t>SALA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53164-2024</t>
        </is>
      </c>
      <c r="B1099" s="1" t="n">
        <v>45611</v>
      </c>
      <c r="C1099" s="1" t="n">
        <v>45657</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53166-2024</t>
        </is>
      </c>
      <c r="B1100" s="1" t="n">
        <v>45611</v>
      </c>
      <c r="C1100" s="1" t="n">
        <v>45657</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54043-2024</t>
        </is>
      </c>
      <c r="B1101" s="1" t="n">
        <v>45616</v>
      </c>
      <c r="C1101" s="1" t="n">
        <v>45657</v>
      </c>
      <c r="D1101" t="inlineStr">
        <is>
          <t>VÄSTMANLANDS LÄN</t>
        </is>
      </c>
      <c r="E1101" t="inlineStr">
        <is>
          <t>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54199-2024</t>
        </is>
      </c>
      <c r="B1102" s="1" t="n">
        <v>45616</v>
      </c>
      <c r="C1102" s="1" t="n">
        <v>45657</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54329-2024</t>
        </is>
      </c>
      <c r="B1103" s="1" t="n">
        <v>45617</v>
      </c>
      <c r="C1103" s="1" t="n">
        <v>45657</v>
      </c>
      <c r="D1103" t="inlineStr">
        <is>
          <t>VÄSTMANLANDS LÄN</t>
        </is>
      </c>
      <c r="E1103" t="inlineStr">
        <is>
          <t>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54603-2024</t>
        </is>
      </c>
      <c r="B1104" s="1" t="n">
        <v>45617</v>
      </c>
      <c r="C1104" s="1" t="n">
        <v>45657</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54347-2024</t>
        </is>
      </c>
      <c r="B1105" s="1" t="n">
        <v>45617</v>
      </c>
      <c r="C1105" s="1" t="n">
        <v>45657</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54774-2024</t>
        </is>
      </c>
      <c r="B1106" s="1" t="n">
        <v>45618</v>
      </c>
      <c r="C1106" s="1" t="n">
        <v>45657</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54782-2024</t>
        </is>
      </c>
      <c r="B1107" s="1" t="n">
        <v>45618</v>
      </c>
      <c r="C1107" s="1" t="n">
        <v>45657</v>
      </c>
      <c r="D1107" t="inlineStr">
        <is>
          <t>VÄSTMANLANDS LÄN</t>
        </is>
      </c>
      <c r="E1107" t="inlineStr">
        <is>
          <t>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54835-2024</t>
        </is>
      </c>
      <c r="B1108" s="1" t="n">
        <v>45618</v>
      </c>
      <c r="C1108" s="1" t="n">
        <v>45657</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55065-2024</t>
        </is>
      </c>
      <c r="B1109" s="1" t="n">
        <v>45618</v>
      </c>
      <c r="C1109" s="1" t="n">
        <v>45657</v>
      </c>
      <c r="D1109" t="inlineStr">
        <is>
          <t>VÄSTMANLANDS LÄN</t>
        </is>
      </c>
      <c r="E1109" t="inlineStr">
        <is>
          <t>SALA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54836-2024</t>
        </is>
      </c>
      <c r="B1110" s="1" t="n">
        <v>45618</v>
      </c>
      <c r="C1110" s="1" t="n">
        <v>45657</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45657</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54771-2024</t>
        </is>
      </c>
      <c r="B1112" s="1" t="n">
        <v>45618</v>
      </c>
      <c r="C1112" s="1" t="n">
        <v>45657</v>
      </c>
      <c r="D1112" t="inlineStr">
        <is>
          <t>VÄSTMANLANDS LÄN</t>
        </is>
      </c>
      <c r="E1112" t="inlineStr">
        <is>
          <t>SALA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55107-2024</t>
        </is>
      </c>
      <c r="B1113" s="1" t="n">
        <v>45618</v>
      </c>
      <c r="C1113" s="1" t="n">
        <v>45657</v>
      </c>
      <c r="D1113" t="inlineStr">
        <is>
          <t>VÄSTMANLANDS LÄN</t>
        </is>
      </c>
      <c r="E1113" t="inlineStr">
        <is>
          <t>SALA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54768-2024</t>
        </is>
      </c>
      <c r="B1114" s="1" t="n">
        <v>45618</v>
      </c>
      <c r="C1114" s="1" t="n">
        <v>45657</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54959-2024</t>
        </is>
      </c>
      <c r="B1115" s="1" t="n">
        <v>45619</v>
      </c>
      <c r="C1115" s="1" t="n">
        <v>45657</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54960-2024</t>
        </is>
      </c>
      <c r="B1116" s="1" t="n">
        <v>45619</v>
      </c>
      <c r="C1116" s="1" t="n">
        <v>45657</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55784-2024</t>
        </is>
      </c>
      <c r="B1117" s="1" t="n">
        <v>45623</v>
      </c>
      <c r="C1117" s="1" t="n">
        <v>45657</v>
      </c>
      <c r="D1117" t="inlineStr">
        <is>
          <t>VÄSTMANLANDS LÄN</t>
        </is>
      </c>
      <c r="E1117" t="inlineStr">
        <is>
          <t>SALA</t>
        </is>
      </c>
      <c r="F1117" t="inlineStr">
        <is>
          <t>Bergvik skog öst AB</t>
        </is>
      </c>
      <c r="G1117" t="n">
        <v>28.4</v>
      </c>
      <c r="H1117" t="n">
        <v>0</v>
      </c>
      <c r="I1117" t="n">
        <v>0</v>
      </c>
      <c r="J1117" t="n">
        <v>0</v>
      </c>
      <c r="K1117" t="n">
        <v>0</v>
      </c>
      <c r="L1117" t="n">
        <v>0</v>
      </c>
      <c r="M1117" t="n">
        <v>0</v>
      </c>
      <c r="N1117" t="n">
        <v>0</v>
      </c>
      <c r="O1117" t="n">
        <v>0</v>
      </c>
      <c r="P1117" t="n">
        <v>0</v>
      </c>
      <c r="Q1117" t="n">
        <v>0</v>
      </c>
      <c r="R1117" s="2" t="inlineStr"/>
    </row>
    <row r="1118" ht="15" customHeight="1">
      <c r="A1118" t="inlineStr">
        <is>
          <t>A 56150-2024</t>
        </is>
      </c>
      <c r="B1118" s="1" t="n">
        <v>45624</v>
      </c>
      <c r="C1118" s="1" t="n">
        <v>45657</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56540-2024</t>
        </is>
      </c>
      <c r="B1119" s="1" t="n">
        <v>45625</v>
      </c>
      <c r="C1119" s="1" t="n">
        <v>45657</v>
      </c>
      <c r="D1119" t="inlineStr">
        <is>
          <t>VÄSTMANLANDS LÄN</t>
        </is>
      </c>
      <c r="E1119" t="inlineStr">
        <is>
          <t>SALA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56548-2024</t>
        </is>
      </c>
      <c r="B1120" s="1" t="n">
        <v>45625</v>
      </c>
      <c r="C1120" s="1" t="n">
        <v>45657</v>
      </c>
      <c r="D1120" t="inlineStr">
        <is>
          <t>VÄSTMANLANDS LÄN</t>
        </is>
      </c>
      <c r="E1120" t="inlineStr">
        <is>
          <t>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56543-2024</t>
        </is>
      </c>
      <c r="B1121" s="1" t="n">
        <v>45625</v>
      </c>
      <c r="C1121" s="1" t="n">
        <v>45657</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56688-2024</t>
        </is>
      </c>
      <c r="B1122" s="1" t="n">
        <v>45627</v>
      </c>
      <c r="C1122" s="1" t="n">
        <v>45657</v>
      </c>
      <c r="D1122" t="inlineStr">
        <is>
          <t>VÄSTMANLANDS LÄN</t>
        </is>
      </c>
      <c r="E1122" t="inlineStr">
        <is>
          <t>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56687-2024</t>
        </is>
      </c>
      <c r="B1123" s="1" t="n">
        <v>45627</v>
      </c>
      <c r="C1123" s="1" t="n">
        <v>45657</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56689-2024</t>
        </is>
      </c>
      <c r="B1124" s="1" t="n">
        <v>45627</v>
      </c>
      <c r="C1124" s="1" t="n">
        <v>45657</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56814-2024</t>
        </is>
      </c>
      <c r="B1125" s="1" t="n">
        <v>45628</v>
      </c>
      <c r="C1125" s="1" t="n">
        <v>45657</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57404-2024</t>
        </is>
      </c>
      <c r="B1126" s="1" t="n">
        <v>45629</v>
      </c>
      <c r="C1126" s="1" t="n">
        <v>45657</v>
      </c>
      <c r="D1126" t="inlineStr">
        <is>
          <t>VÄSTMANLANDS LÄN</t>
        </is>
      </c>
      <c r="E1126" t="inlineStr">
        <is>
          <t>SALA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57650-2024</t>
        </is>
      </c>
      <c r="B1127" s="1" t="n">
        <v>45630</v>
      </c>
      <c r="C1127" s="1" t="n">
        <v>45657</v>
      </c>
      <c r="D1127" t="inlineStr">
        <is>
          <t>VÄSTMANLANDS LÄN</t>
        </is>
      </c>
      <c r="E1127" t="inlineStr">
        <is>
          <t>SALA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57883-2024</t>
        </is>
      </c>
      <c r="B1128" s="1" t="n">
        <v>45630</v>
      </c>
      <c r="C1128" s="1" t="n">
        <v>45657</v>
      </c>
      <c r="D1128" t="inlineStr">
        <is>
          <t>VÄSTMANLANDS LÄN</t>
        </is>
      </c>
      <c r="E1128" t="inlineStr">
        <is>
          <t>SALA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57895-2024</t>
        </is>
      </c>
      <c r="B1129" s="1" t="n">
        <v>45631</v>
      </c>
      <c r="C1129" s="1" t="n">
        <v>45657</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57948-2024</t>
        </is>
      </c>
      <c r="B1130" s="1" t="n">
        <v>45631</v>
      </c>
      <c r="C1130" s="1" t="n">
        <v>45657</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58126-2024</t>
        </is>
      </c>
      <c r="B1131" s="1" t="n">
        <v>45632</v>
      </c>
      <c r="C1131" s="1" t="n">
        <v>45657</v>
      </c>
      <c r="D1131" t="inlineStr">
        <is>
          <t>VÄSTMANLANDS LÄN</t>
        </is>
      </c>
      <c r="E1131" t="inlineStr">
        <is>
          <t>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58651-2024</t>
        </is>
      </c>
      <c r="B1132" s="1" t="n">
        <v>45635</v>
      </c>
      <c r="C1132" s="1" t="n">
        <v>45657</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58655-2024</t>
        </is>
      </c>
      <c r="B1133" s="1" t="n">
        <v>45635</v>
      </c>
      <c r="C1133" s="1" t="n">
        <v>45657</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59860-2024</t>
        </is>
      </c>
      <c r="B1134" s="1" t="n">
        <v>45638</v>
      </c>
      <c r="C1134" s="1" t="n">
        <v>45657</v>
      </c>
      <c r="D1134" t="inlineStr">
        <is>
          <t>VÄSTMANLANDS LÄN</t>
        </is>
      </c>
      <c r="E1134" t="inlineStr">
        <is>
          <t>SALA</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59909-2024</t>
        </is>
      </c>
      <c r="B1135" s="1" t="n">
        <v>45641</v>
      </c>
      <c r="C1135" s="1" t="n">
        <v>45657</v>
      </c>
      <c r="D1135" t="inlineStr">
        <is>
          <t>VÄSTMANLANDS LÄN</t>
        </is>
      </c>
      <c r="E1135" t="inlineStr">
        <is>
          <t>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60034-2024</t>
        </is>
      </c>
      <c r="B1136" s="1" t="n">
        <v>45642</v>
      </c>
      <c r="C1136" s="1" t="n">
        <v>45657</v>
      </c>
      <c r="D1136" t="inlineStr">
        <is>
          <t>VÄSTMANLANDS LÄN</t>
        </is>
      </c>
      <c r="E1136" t="inlineStr">
        <is>
          <t>SALA</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45657</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60328-2024</t>
        </is>
      </c>
      <c r="B1138" s="1" t="n">
        <v>45643</v>
      </c>
      <c r="C1138" s="1" t="n">
        <v>45657</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60541-2024</t>
        </is>
      </c>
      <c r="B1139" s="1" t="n">
        <v>45643</v>
      </c>
      <c r="C1139" s="1" t="n">
        <v>45657</v>
      </c>
      <c r="D1139" t="inlineStr">
        <is>
          <t>VÄSTMANLANDS LÄN</t>
        </is>
      </c>
      <c r="E1139" t="inlineStr">
        <is>
          <t>SALA</t>
        </is>
      </c>
      <c r="G1139" t="n">
        <v>10.6</v>
      </c>
      <c r="H1139" t="n">
        <v>0</v>
      </c>
      <c r="I1139" t="n">
        <v>0</v>
      </c>
      <c r="J1139" t="n">
        <v>0</v>
      </c>
      <c r="K1139" t="n">
        <v>0</v>
      </c>
      <c r="L1139" t="n">
        <v>0</v>
      </c>
      <c r="M1139" t="n">
        <v>0</v>
      </c>
      <c r="N1139" t="n">
        <v>0</v>
      </c>
      <c r="O1139" t="n">
        <v>0</v>
      </c>
      <c r="P1139" t="n">
        <v>0</v>
      </c>
      <c r="Q1139" t="n">
        <v>0</v>
      </c>
      <c r="R1139" s="2" t="inlineStr"/>
    </row>
    <row r="1140" ht="15" customHeight="1">
      <c r="A1140" t="inlineStr">
        <is>
          <t>A 60545-2024</t>
        </is>
      </c>
      <c r="B1140" s="1" t="n">
        <v>45643</v>
      </c>
      <c r="C1140" s="1" t="n">
        <v>45657</v>
      </c>
      <c r="D1140" t="inlineStr">
        <is>
          <t>VÄSTMANLANDS LÄN</t>
        </is>
      </c>
      <c r="E1140" t="inlineStr">
        <is>
          <t>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60547-2024</t>
        </is>
      </c>
      <c r="B1141" s="1" t="n">
        <v>45643</v>
      </c>
      <c r="C1141" s="1" t="n">
        <v>45657</v>
      </c>
      <c r="D1141" t="inlineStr">
        <is>
          <t>VÄSTMANLANDS LÄN</t>
        </is>
      </c>
      <c r="E1141" t="inlineStr">
        <is>
          <t>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45657</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45657</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60818-2024</t>
        </is>
      </c>
      <c r="B1144" s="1" t="n">
        <v>45644</v>
      </c>
      <c r="C1144" s="1" t="n">
        <v>45657</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60852-2024</t>
        </is>
      </c>
      <c r="B1145" s="1" t="n">
        <v>45644</v>
      </c>
      <c r="C1145" s="1" t="n">
        <v>45657</v>
      </c>
      <c r="D1145" t="inlineStr">
        <is>
          <t>VÄSTMANLANDS LÄN</t>
        </is>
      </c>
      <c r="E1145" t="inlineStr">
        <is>
          <t>SALA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45657</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61517-2024</t>
        </is>
      </c>
      <c r="B1147" s="1" t="n">
        <v>45645</v>
      </c>
      <c r="C1147" s="1" t="n">
        <v>45657</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61444-2024</t>
        </is>
      </c>
      <c r="B1148" s="1" t="n">
        <v>45646</v>
      </c>
      <c r="C1148" s="1" t="n">
        <v>45657</v>
      </c>
      <c r="D1148" t="inlineStr">
        <is>
          <t>VÄSTMANLANDS LÄN</t>
        </is>
      </c>
      <c r="E1148" t="inlineStr">
        <is>
          <t>SALA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61681-2024</t>
        </is>
      </c>
      <c r="B1149" s="1" t="n">
        <v>45647</v>
      </c>
      <c r="C1149" s="1" t="n">
        <v>45657</v>
      </c>
      <c r="D1149" t="inlineStr">
        <is>
          <t>VÄSTMANLANDS LÄN</t>
        </is>
      </c>
      <c r="E1149" t="inlineStr">
        <is>
          <t>SALA</t>
        </is>
      </c>
      <c r="F1149" t="inlineStr">
        <is>
          <t>Kommuner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61683-2024</t>
        </is>
      </c>
      <c r="B1150" s="1" t="n">
        <v>45647</v>
      </c>
      <c r="C1150" s="1" t="n">
        <v>45657</v>
      </c>
      <c r="D1150" t="inlineStr">
        <is>
          <t>VÄSTMANLANDS LÄN</t>
        </is>
      </c>
      <c r="E1150" t="inlineStr">
        <is>
          <t>SALA</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61717-2024</t>
        </is>
      </c>
      <c r="B1151" s="1" t="n">
        <v>45648</v>
      </c>
      <c r="C1151" s="1" t="n">
        <v>45657</v>
      </c>
      <c r="D1151" t="inlineStr">
        <is>
          <t>VÄSTMANLANDS LÄN</t>
        </is>
      </c>
      <c r="E1151" t="inlineStr">
        <is>
          <t>SALA</t>
        </is>
      </c>
      <c r="G1151" t="n">
        <v>3.7</v>
      </c>
      <c r="H1151" t="n">
        <v>0</v>
      </c>
      <c r="I1151" t="n">
        <v>0</v>
      </c>
      <c r="J1151" t="n">
        <v>0</v>
      </c>
      <c r="K1151" t="n">
        <v>0</v>
      </c>
      <c r="L1151" t="n">
        <v>0</v>
      </c>
      <c r="M1151" t="n">
        <v>0</v>
      </c>
      <c r="N1151" t="n">
        <v>0</v>
      </c>
      <c r="O1151" t="n">
        <v>0</v>
      </c>
      <c r="P1151" t="n">
        <v>0</v>
      </c>
      <c r="Q1151" t="n">
        <v>0</v>
      </c>
      <c r="R1151" s="2" t="inlineStr"/>
    </row>
    <row r="1152">
      <c r="A1152" t="inlineStr">
        <is>
          <t>A 61715-2024</t>
        </is>
      </c>
      <c r="B1152" s="1" t="n">
        <v>45648</v>
      </c>
      <c r="C1152" s="1" t="n">
        <v>45657</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2024-12-31T15:47:39Z</dcterms:created>
  <dcterms:modified xmlns:dcterms="http://purl.org/dc/terms/" xmlns:xsi="http://www.w3.org/2001/XMLSchema-instance" xsi:type="dcterms:W3CDTF">2024-12-31T15:47:40Z</dcterms:modified>
</cp:coreProperties>
</file>