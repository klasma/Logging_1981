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46050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46050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46050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46050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46050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46050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46050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46050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46050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46050</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46050</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46050</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46050</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46050</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46050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40493-2024</t>
        </is>
      </c>
      <c r="B17" s="1" t="n">
        <v>45555</v>
      </c>
      <c r="C17" s="1" t="n">
        <v>46050</v>
      </c>
      <c r="D17" t="inlineStr">
        <is>
          <t>VÄSTMANLANDS LÄN</t>
        </is>
      </c>
      <c r="E17" t="inlineStr">
        <is>
          <t>SALA</t>
        </is>
      </c>
      <c r="G17" t="n">
        <v>3.8</v>
      </c>
      <c r="H17" t="n">
        <v>0</v>
      </c>
      <c r="I17" t="n">
        <v>1</v>
      </c>
      <c r="J17" t="n">
        <v>2</v>
      </c>
      <c r="K17" t="n">
        <v>0</v>
      </c>
      <c r="L17" t="n">
        <v>0</v>
      </c>
      <c r="M17" t="n">
        <v>0</v>
      </c>
      <c r="N17" t="n">
        <v>0</v>
      </c>
      <c r="O17" t="n">
        <v>2</v>
      </c>
      <c r="P17" t="n">
        <v>0</v>
      </c>
      <c r="Q17" t="n">
        <v>3</v>
      </c>
      <c r="R17" s="2" t="inlineStr">
        <is>
          <t>Vedskivlav
Äggvaxskivling
Dropptaggsvamp</t>
        </is>
      </c>
      <c r="S17">
        <f>HYPERLINK("https://klasma.github.io/Logging_1981/artfynd/A 40493-2024 artfynd.xlsx", "A 40493-2024")</f>
        <v/>
      </c>
      <c r="T17">
        <f>HYPERLINK("https://klasma.github.io/Logging_1981/kartor/A 40493-2024 karta.png", "A 40493-2024")</f>
        <v/>
      </c>
      <c r="U17">
        <f>HYPERLINK("https://klasma.github.io/Logging_1981/knärot/A 40493-2024 karta knärot.png", "A 40493-2024")</f>
        <v/>
      </c>
      <c r="V17">
        <f>HYPERLINK("https://klasma.github.io/Logging_1981/klagomål/A 40493-2024 FSC-klagomål.docx", "A 40493-2024")</f>
        <v/>
      </c>
      <c r="W17">
        <f>HYPERLINK("https://klasma.github.io/Logging_1981/klagomålsmail/A 40493-2024 FSC-klagomål mail.docx", "A 40493-2024")</f>
        <v/>
      </c>
      <c r="X17">
        <f>HYPERLINK("https://klasma.github.io/Logging_1981/tillsyn/A 40493-2024 tillsynsbegäran.docx", "A 40493-2024")</f>
        <v/>
      </c>
      <c r="Y17">
        <f>HYPERLINK("https://klasma.github.io/Logging_1981/tillsynsmail/A 40493-2024 tillsynsbegäran mail.docx", "A 40493-2024")</f>
        <v/>
      </c>
    </row>
    <row r="18" ht="15" customHeight="1">
      <c r="A18" t="inlineStr">
        <is>
          <t>A 40895-2025</t>
        </is>
      </c>
      <c r="B18" s="1" t="n">
        <v>45897.61241898148</v>
      </c>
      <c r="C18" s="1" t="n">
        <v>46050</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46050</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46050</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46050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46050</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3930-2026</t>
        </is>
      </c>
      <c r="B23" s="1" t="n">
        <v>46043</v>
      </c>
      <c r="C23" s="1" t="n">
        <v>46050</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4264-2024</t>
        </is>
      </c>
      <c r="B24" s="1" t="n">
        <v>45324</v>
      </c>
      <c r="C24" s="1" t="n">
        <v>46050</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46050</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62768-2021</t>
        </is>
      </c>
      <c r="B26" s="1" t="n">
        <v>44504</v>
      </c>
      <c r="C26" s="1" t="n">
        <v>46050</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52909-2022</t>
        </is>
      </c>
      <c r="B27" s="1" t="n">
        <v>44875</v>
      </c>
      <c r="C27" s="1" t="n">
        <v>46050</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46050</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24872-2025</t>
        </is>
      </c>
      <c r="B29" s="1" t="n">
        <v>45799.49038194444</v>
      </c>
      <c r="C29" s="1" t="n">
        <v>46050</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46050</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46050</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46050</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46050</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63584-2025</t>
        </is>
      </c>
      <c r="B34" s="1" t="n">
        <v>46013.77002314815</v>
      </c>
      <c r="C34" s="1" t="n">
        <v>46050</v>
      </c>
      <c r="D34" t="inlineStr">
        <is>
          <t>VÄSTMANLANDS LÄN</t>
        </is>
      </c>
      <c r="E34" t="inlineStr">
        <is>
          <t>SALA</t>
        </is>
      </c>
      <c r="G34" t="n">
        <v>7.3</v>
      </c>
      <c r="H34" t="n">
        <v>1</v>
      </c>
      <c r="I34" t="n">
        <v>0</v>
      </c>
      <c r="J34" t="n">
        <v>1</v>
      </c>
      <c r="K34" t="n">
        <v>1</v>
      </c>
      <c r="L34" t="n">
        <v>0</v>
      </c>
      <c r="M34" t="n">
        <v>0</v>
      </c>
      <c r="N34" t="n">
        <v>0</v>
      </c>
      <c r="O34" t="n">
        <v>2</v>
      </c>
      <c r="P34" t="n">
        <v>1</v>
      </c>
      <c r="Q34" t="n">
        <v>2</v>
      </c>
      <c r="R34" s="2" t="inlineStr">
        <is>
          <t>Knärot
Vedtrappmossa</t>
        </is>
      </c>
      <c r="S34">
        <f>HYPERLINK("https://klasma.github.io/Logging_1981/artfynd/A 63584-2025 artfynd.xlsx", "A 63584-2025")</f>
        <v/>
      </c>
      <c r="T34">
        <f>HYPERLINK("https://klasma.github.io/Logging_1981/kartor/A 63584-2025 karta.png", "A 63584-2025")</f>
        <v/>
      </c>
      <c r="U34">
        <f>HYPERLINK("https://klasma.github.io/Logging_1981/knärot/A 63584-2025 karta knärot.png", "A 63584-2025")</f>
        <v/>
      </c>
      <c r="V34">
        <f>HYPERLINK("https://klasma.github.io/Logging_1981/klagomål/A 63584-2025 FSC-klagomål.docx", "A 63584-2025")</f>
        <v/>
      </c>
      <c r="W34">
        <f>HYPERLINK("https://klasma.github.io/Logging_1981/klagomålsmail/A 63584-2025 FSC-klagomål mail.docx", "A 63584-2025")</f>
        <v/>
      </c>
      <c r="X34">
        <f>HYPERLINK("https://klasma.github.io/Logging_1981/tillsyn/A 63584-2025 tillsynsbegäran.docx", "A 63584-2025")</f>
        <v/>
      </c>
      <c r="Y34">
        <f>HYPERLINK("https://klasma.github.io/Logging_1981/tillsynsmail/A 63584-2025 tillsynsbegäran mail.docx", "A 63584-2025")</f>
        <v/>
      </c>
    </row>
    <row r="35" ht="15" customHeight="1">
      <c r="A35" t="inlineStr">
        <is>
          <t>A 59826-2025</t>
        </is>
      </c>
      <c r="B35" s="1" t="n">
        <v>45992.65416666667</v>
      </c>
      <c r="C35" s="1" t="n">
        <v>46050</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11846-2024</t>
        </is>
      </c>
      <c r="B36" s="1" t="n">
        <v>45376.4047337963</v>
      </c>
      <c r="C36" s="1" t="n">
        <v>46050</v>
      </c>
      <c r="D36" t="inlineStr">
        <is>
          <t>VÄSTMANLANDS LÄN</t>
        </is>
      </c>
      <c r="E36" t="inlineStr">
        <is>
          <t>SALA</t>
        </is>
      </c>
      <c r="G36" t="n">
        <v>8</v>
      </c>
      <c r="H36" t="n">
        <v>0</v>
      </c>
      <c r="I36" t="n">
        <v>2</v>
      </c>
      <c r="J36" t="n">
        <v>0</v>
      </c>
      <c r="K36" t="n">
        <v>0</v>
      </c>
      <c r="L36" t="n">
        <v>0</v>
      </c>
      <c r="M36" t="n">
        <v>0</v>
      </c>
      <c r="N36" t="n">
        <v>0</v>
      </c>
      <c r="O36" t="n">
        <v>0</v>
      </c>
      <c r="P36" t="n">
        <v>0</v>
      </c>
      <c r="Q36" t="n">
        <v>2</v>
      </c>
      <c r="R36" s="2" t="inlineStr">
        <is>
          <t>Bronshjon
Vågbandad barkbock</t>
        </is>
      </c>
      <c r="S36">
        <f>HYPERLINK("https://klasma.github.io/Logging_1981/artfynd/A 11846-2024 artfynd.xlsx", "A 11846-2024")</f>
        <v/>
      </c>
      <c r="T36">
        <f>HYPERLINK("https://klasma.github.io/Logging_1981/kartor/A 11846-2024 karta.png", "A 11846-2024")</f>
        <v/>
      </c>
      <c r="V36">
        <f>HYPERLINK("https://klasma.github.io/Logging_1981/klagomål/A 11846-2024 FSC-klagomål.docx", "A 11846-2024")</f>
        <v/>
      </c>
      <c r="W36">
        <f>HYPERLINK("https://klasma.github.io/Logging_1981/klagomålsmail/A 11846-2024 FSC-klagomål mail.docx", "A 11846-2024")</f>
        <v/>
      </c>
      <c r="X36">
        <f>HYPERLINK("https://klasma.github.io/Logging_1981/tillsyn/A 11846-2024 tillsynsbegäran.docx", "A 11846-2024")</f>
        <v/>
      </c>
      <c r="Y36">
        <f>HYPERLINK("https://klasma.github.io/Logging_1981/tillsynsmail/A 11846-2024 tillsynsbegäran mail.docx", "A 11846-2024")</f>
        <v/>
      </c>
    </row>
    <row r="37" ht="15" customHeight="1">
      <c r="A37" t="inlineStr">
        <is>
          <t>A 12444-2024</t>
        </is>
      </c>
      <c r="B37" s="1" t="n">
        <v>45379.46285879629</v>
      </c>
      <c r="C37" s="1" t="n">
        <v>46050</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44970-2021</t>
        </is>
      </c>
      <c r="B38" s="1" t="n">
        <v>44438.74399305556</v>
      </c>
      <c r="C38" s="1" t="n">
        <v>46050</v>
      </c>
      <c r="D38" t="inlineStr">
        <is>
          <t>VÄSTMANLANDS LÄN</t>
        </is>
      </c>
      <c r="E38" t="inlineStr">
        <is>
          <t>SALA</t>
        </is>
      </c>
      <c r="G38" t="n">
        <v>1.2</v>
      </c>
      <c r="H38" t="n">
        <v>1</v>
      </c>
      <c r="I38" t="n">
        <v>0</v>
      </c>
      <c r="J38" t="n">
        <v>0</v>
      </c>
      <c r="K38" t="n">
        <v>0</v>
      </c>
      <c r="L38" t="n">
        <v>0</v>
      </c>
      <c r="M38" t="n">
        <v>0</v>
      </c>
      <c r="N38" t="n">
        <v>0</v>
      </c>
      <c r="O38" t="n">
        <v>0</v>
      </c>
      <c r="P38" t="n">
        <v>0</v>
      </c>
      <c r="Q38" t="n">
        <v>1</v>
      </c>
      <c r="R38" s="2" t="inlineStr">
        <is>
          <t>Revlummer</t>
        </is>
      </c>
      <c r="S38">
        <f>HYPERLINK("https://klasma.github.io/Logging_1981/artfynd/A 44970-2021 artfynd.xlsx", "A 44970-2021")</f>
        <v/>
      </c>
      <c r="T38">
        <f>HYPERLINK("https://klasma.github.io/Logging_1981/kartor/A 44970-2021 karta.png", "A 44970-2021")</f>
        <v/>
      </c>
      <c r="V38">
        <f>HYPERLINK("https://klasma.github.io/Logging_1981/klagomål/A 44970-2021 FSC-klagomål.docx", "A 44970-2021")</f>
        <v/>
      </c>
      <c r="W38">
        <f>HYPERLINK("https://klasma.github.io/Logging_1981/klagomålsmail/A 44970-2021 FSC-klagomål mail.docx", "A 44970-2021")</f>
        <v/>
      </c>
      <c r="X38">
        <f>HYPERLINK("https://klasma.github.io/Logging_1981/tillsyn/A 44970-2021 tillsynsbegäran.docx", "A 44970-2021")</f>
        <v/>
      </c>
      <c r="Y38">
        <f>HYPERLINK("https://klasma.github.io/Logging_1981/tillsynsmail/A 44970-2021 tillsynsbegäran mail.docx", "A 44970-2021")</f>
        <v/>
      </c>
    </row>
    <row r="39" ht="15" customHeight="1">
      <c r="A39" t="inlineStr">
        <is>
          <t>A 43705-2022</t>
        </is>
      </c>
      <c r="B39" s="1" t="n">
        <v>44837</v>
      </c>
      <c r="C39" s="1" t="n">
        <v>46050</v>
      </c>
      <c r="D39" t="inlineStr">
        <is>
          <t>VÄSTMANLANDS LÄN</t>
        </is>
      </c>
      <c r="E39" t="inlineStr">
        <is>
          <t>SALA</t>
        </is>
      </c>
      <c r="G39" t="n">
        <v>2.9</v>
      </c>
      <c r="H39" t="n">
        <v>1</v>
      </c>
      <c r="I39" t="n">
        <v>0</v>
      </c>
      <c r="J39" t="n">
        <v>0</v>
      </c>
      <c r="K39" t="n">
        <v>1</v>
      </c>
      <c r="L39" t="n">
        <v>0</v>
      </c>
      <c r="M39" t="n">
        <v>0</v>
      </c>
      <c r="N39" t="n">
        <v>0</v>
      </c>
      <c r="O39" t="n">
        <v>1</v>
      </c>
      <c r="P39" t="n">
        <v>1</v>
      </c>
      <c r="Q39" t="n">
        <v>1</v>
      </c>
      <c r="R39" s="2" t="inlineStr">
        <is>
          <t>Knärot</t>
        </is>
      </c>
      <c r="S39">
        <f>HYPERLINK("https://klasma.github.io/Logging_1981/artfynd/A 43705-2022 artfynd.xlsx", "A 43705-2022")</f>
        <v/>
      </c>
      <c r="T39">
        <f>HYPERLINK("https://klasma.github.io/Logging_1981/kartor/A 43705-2022 karta.png", "A 43705-2022")</f>
        <v/>
      </c>
      <c r="U39">
        <f>HYPERLINK("https://klasma.github.io/Logging_1981/knärot/A 43705-2022 karta knärot.png", "A 43705-2022")</f>
        <v/>
      </c>
      <c r="V39">
        <f>HYPERLINK("https://klasma.github.io/Logging_1981/klagomål/A 43705-2022 FSC-klagomål.docx", "A 43705-2022")</f>
        <v/>
      </c>
      <c r="W39">
        <f>HYPERLINK("https://klasma.github.io/Logging_1981/klagomålsmail/A 43705-2022 FSC-klagomål mail.docx", "A 43705-2022")</f>
        <v/>
      </c>
      <c r="X39">
        <f>HYPERLINK("https://klasma.github.io/Logging_1981/tillsyn/A 43705-2022 tillsynsbegäran.docx", "A 43705-2022")</f>
        <v/>
      </c>
      <c r="Y39">
        <f>HYPERLINK("https://klasma.github.io/Logging_1981/tillsynsmail/A 43705-2022 tillsynsbegäran mail.docx", "A 43705-2022")</f>
        <v/>
      </c>
    </row>
    <row r="40" ht="15" customHeight="1">
      <c r="A40" t="inlineStr">
        <is>
          <t>A 13973-2021</t>
        </is>
      </c>
      <c r="B40" s="1" t="n">
        <v>44277</v>
      </c>
      <c r="C40" s="1" t="n">
        <v>46050</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37166-2024</t>
        </is>
      </c>
      <c r="B41" s="1" t="n">
        <v>45539</v>
      </c>
      <c r="C41" s="1" t="n">
        <v>46050</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46050</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32594-2025</t>
        </is>
      </c>
      <c r="B43" s="1" t="n">
        <v>45838</v>
      </c>
      <c r="C43" s="1" t="n">
        <v>46050</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14775-2023</t>
        </is>
      </c>
      <c r="B44" s="1" t="n">
        <v>45014</v>
      </c>
      <c r="C44" s="1" t="n">
        <v>46050</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14775-2023 artfynd.xlsx", "A 14775-2023")</f>
        <v/>
      </c>
      <c r="T44">
        <f>HYPERLINK("https://klasma.github.io/Logging_1981/kartor/A 14775-2023 karta.png", "A 14775-2023")</f>
        <v/>
      </c>
      <c r="U44">
        <f>HYPERLINK("https://klasma.github.io/Logging_1981/knärot/A 14775-2023 karta knärot.png", "A 14775-2023")</f>
        <v/>
      </c>
      <c r="V44">
        <f>HYPERLINK("https://klasma.github.io/Logging_1981/klagomål/A 14775-2023 FSC-klagomål.docx", "A 14775-2023")</f>
        <v/>
      </c>
      <c r="W44">
        <f>HYPERLINK("https://klasma.github.io/Logging_1981/klagomålsmail/A 14775-2023 FSC-klagomål mail.docx", "A 14775-2023")</f>
        <v/>
      </c>
      <c r="X44">
        <f>HYPERLINK("https://klasma.github.io/Logging_1981/tillsyn/A 14775-2023 tillsynsbegäran.docx", "A 14775-2023")</f>
        <v/>
      </c>
      <c r="Y44">
        <f>HYPERLINK("https://klasma.github.io/Logging_1981/tillsynsmail/A 14775-2023 tillsynsbegäran mail.docx", "A 14775-2023")</f>
        <v/>
      </c>
    </row>
    <row r="45" ht="15" customHeight="1">
      <c r="A45" t="inlineStr">
        <is>
          <t>A 12509-2023</t>
        </is>
      </c>
      <c r="B45" s="1" t="n">
        <v>44999.95988425926</v>
      </c>
      <c r="C45" s="1" t="n">
        <v>46050</v>
      </c>
      <c r="D45" t="inlineStr">
        <is>
          <t>VÄSTMANLANDS LÄN</t>
        </is>
      </c>
      <c r="E45" t="inlineStr">
        <is>
          <t>SALA</t>
        </is>
      </c>
      <c r="G45" t="n">
        <v>13.9</v>
      </c>
      <c r="H45" t="n">
        <v>1</v>
      </c>
      <c r="I45" t="n">
        <v>0</v>
      </c>
      <c r="J45" t="n">
        <v>0</v>
      </c>
      <c r="K45" t="n">
        <v>0</v>
      </c>
      <c r="L45" t="n">
        <v>0</v>
      </c>
      <c r="M45" t="n">
        <v>0</v>
      </c>
      <c r="N45" t="n">
        <v>0</v>
      </c>
      <c r="O45" t="n">
        <v>0</v>
      </c>
      <c r="P45" t="n">
        <v>0</v>
      </c>
      <c r="Q45" t="n">
        <v>1</v>
      </c>
      <c r="R45" s="2" t="inlineStr">
        <is>
          <t>Grönvit nattviol</t>
        </is>
      </c>
      <c r="S45">
        <f>HYPERLINK("https://klasma.github.io/Logging_1981/artfynd/A 12509-2023 artfynd.xlsx", "A 12509-2023")</f>
        <v/>
      </c>
      <c r="T45">
        <f>HYPERLINK("https://klasma.github.io/Logging_1981/kartor/A 12509-2023 karta.png", "A 12509-2023")</f>
        <v/>
      </c>
      <c r="V45">
        <f>HYPERLINK("https://klasma.github.io/Logging_1981/klagomål/A 12509-2023 FSC-klagomål.docx", "A 12509-2023")</f>
        <v/>
      </c>
      <c r="W45">
        <f>HYPERLINK("https://klasma.github.io/Logging_1981/klagomålsmail/A 12509-2023 FSC-klagomål mail.docx", "A 12509-2023")</f>
        <v/>
      </c>
      <c r="X45">
        <f>HYPERLINK("https://klasma.github.io/Logging_1981/tillsyn/A 12509-2023 tillsynsbegäran.docx", "A 12509-2023")</f>
        <v/>
      </c>
      <c r="Y45">
        <f>HYPERLINK("https://klasma.github.io/Logging_1981/tillsynsmail/A 12509-2023 tillsynsbegäran mail.docx", "A 12509-2023")</f>
        <v/>
      </c>
    </row>
    <row r="46" ht="15" customHeight="1">
      <c r="A46" t="inlineStr">
        <is>
          <t>A 22350-2024</t>
        </is>
      </c>
      <c r="B46" s="1" t="n">
        <v>45446</v>
      </c>
      <c r="C46" s="1" t="n">
        <v>46050</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48705-2025</t>
        </is>
      </c>
      <c r="B47" s="1" t="n">
        <v>45936.62290509259</v>
      </c>
      <c r="C47" s="1" t="n">
        <v>46050</v>
      </c>
      <c r="D47" t="inlineStr">
        <is>
          <t>VÄSTMANLANDS LÄN</t>
        </is>
      </c>
      <c r="E47" t="inlineStr">
        <is>
          <t>SALA</t>
        </is>
      </c>
      <c r="G47" t="n">
        <v>4.4</v>
      </c>
      <c r="H47" t="n">
        <v>1</v>
      </c>
      <c r="I47" t="n">
        <v>1</v>
      </c>
      <c r="J47" t="n">
        <v>0</v>
      </c>
      <c r="K47" t="n">
        <v>0</v>
      </c>
      <c r="L47" t="n">
        <v>0</v>
      </c>
      <c r="M47" t="n">
        <v>0</v>
      </c>
      <c r="N47" t="n">
        <v>0</v>
      </c>
      <c r="O47" t="n">
        <v>0</v>
      </c>
      <c r="P47" t="n">
        <v>0</v>
      </c>
      <c r="Q47" t="n">
        <v>1</v>
      </c>
      <c r="R47" s="2" t="inlineStr">
        <is>
          <t>Plattlummer</t>
        </is>
      </c>
      <c r="S47">
        <f>HYPERLINK("https://klasma.github.io/Logging_1981/artfynd/A 48705-2025 artfynd.xlsx", "A 48705-2025")</f>
        <v/>
      </c>
      <c r="T47">
        <f>HYPERLINK("https://klasma.github.io/Logging_1981/kartor/A 48705-2025 karta.png", "A 48705-2025")</f>
        <v/>
      </c>
      <c r="V47">
        <f>HYPERLINK("https://klasma.github.io/Logging_1981/klagomål/A 48705-2025 FSC-klagomål.docx", "A 48705-2025")</f>
        <v/>
      </c>
      <c r="W47">
        <f>HYPERLINK("https://klasma.github.io/Logging_1981/klagomålsmail/A 48705-2025 FSC-klagomål mail.docx", "A 48705-2025")</f>
        <v/>
      </c>
      <c r="X47">
        <f>HYPERLINK("https://klasma.github.io/Logging_1981/tillsyn/A 48705-2025 tillsynsbegäran.docx", "A 48705-2025")</f>
        <v/>
      </c>
      <c r="Y47">
        <f>HYPERLINK("https://klasma.github.io/Logging_1981/tillsynsmail/A 48705-2025 tillsynsbegäran mail.docx", "A 48705-2025")</f>
        <v/>
      </c>
    </row>
    <row r="48" ht="15" customHeight="1">
      <c r="A48" t="inlineStr">
        <is>
          <t>A 50268-2025</t>
        </is>
      </c>
      <c r="B48" s="1" t="n">
        <v>45944.35162037037</v>
      </c>
      <c r="C48" s="1" t="n">
        <v>46050</v>
      </c>
      <c r="D48" t="inlineStr">
        <is>
          <t>VÄSTMANLANDS LÄN</t>
        </is>
      </c>
      <c r="E48" t="inlineStr">
        <is>
          <t>SALA</t>
        </is>
      </c>
      <c r="G48" t="n">
        <v>0.7</v>
      </c>
      <c r="H48" t="n">
        <v>1</v>
      </c>
      <c r="I48" t="n">
        <v>0</v>
      </c>
      <c r="J48" t="n">
        <v>0</v>
      </c>
      <c r="K48" t="n">
        <v>0</v>
      </c>
      <c r="L48" t="n">
        <v>0</v>
      </c>
      <c r="M48" t="n">
        <v>0</v>
      </c>
      <c r="N48" t="n">
        <v>0</v>
      </c>
      <c r="O48" t="n">
        <v>0</v>
      </c>
      <c r="P48" t="n">
        <v>0</v>
      </c>
      <c r="Q48" t="n">
        <v>1</v>
      </c>
      <c r="R48" s="2" t="inlineStr">
        <is>
          <t>Fläcknycklar</t>
        </is>
      </c>
      <c r="S48">
        <f>HYPERLINK("https://klasma.github.io/Logging_1981/artfynd/A 50268-2025 artfynd.xlsx", "A 50268-2025")</f>
        <v/>
      </c>
      <c r="T48">
        <f>HYPERLINK("https://klasma.github.io/Logging_1981/kartor/A 50268-2025 karta.png", "A 50268-2025")</f>
        <v/>
      </c>
      <c r="V48">
        <f>HYPERLINK("https://klasma.github.io/Logging_1981/klagomål/A 50268-2025 FSC-klagomål.docx", "A 50268-2025")</f>
        <v/>
      </c>
      <c r="W48">
        <f>HYPERLINK("https://klasma.github.io/Logging_1981/klagomålsmail/A 50268-2025 FSC-klagomål mail.docx", "A 50268-2025")</f>
        <v/>
      </c>
      <c r="X48">
        <f>HYPERLINK("https://klasma.github.io/Logging_1981/tillsyn/A 50268-2025 tillsynsbegäran.docx", "A 50268-2025")</f>
        <v/>
      </c>
      <c r="Y48">
        <f>HYPERLINK("https://klasma.github.io/Logging_1981/tillsynsmail/A 50268-2025 tillsynsbegäran mail.docx", "A 50268-2025")</f>
        <v/>
      </c>
    </row>
    <row r="49" ht="15" customHeight="1">
      <c r="A49" t="inlineStr">
        <is>
          <t>A 38255-2025</t>
        </is>
      </c>
      <c r="B49" s="1" t="n">
        <v>45883.38020833334</v>
      </c>
      <c r="C49" s="1" t="n">
        <v>46050</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60852-2024</t>
        </is>
      </c>
      <c r="B50" s="1" t="n">
        <v>45644</v>
      </c>
      <c r="C50" s="1" t="n">
        <v>46050</v>
      </c>
      <c r="D50" t="inlineStr">
        <is>
          <t>VÄSTMANLANDS LÄN</t>
        </is>
      </c>
      <c r="E50" t="inlineStr">
        <is>
          <t>SALA</t>
        </is>
      </c>
      <c r="G50" t="n">
        <v>7.6</v>
      </c>
      <c r="H50" t="n">
        <v>1</v>
      </c>
      <c r="I50" t="n">
        <v>0</v>
      </c>
      <c r="J50" t="n">
        <v>0</v>
      </c>
      <c r="K50" t="n">
        <v>0</v>
      </c>
      <c r="L50" t="n">
        <v>0</v>
      </c>
      <c r="M50" t="n">
        <v>0</v>
      </c>
      <c r="N50" t="n">
        <v>0</v>
      </c>
      <c r="O50" t="n">
        <v>0</v>
      </c>
      <c r="P50" t="n">
        <v>0</v>
      </c>
      <c r="Q50" t="n">
        <v>1</v>
      </c>
      <c r="R50" s="2" t="inlineStr">
        <is>
          <t>Blåsippa</t>
        </is>
      </c>
      <c r="S50">
        <f>HYPERLINK("https://klasma.github.io/Logging_1981/artfynd/A 60852-2024 artfynd.xlsx", "A 60852-2024")</f>
        <v/>
      </c>
      <c r="T50">
        <f>HYPERLINK("https://klasma.github.io/Logging_1981/kartor/A 60852-2024 karta.png", "A 60852-2024")</f>
        <v/>
      </c>
      <c r="V50">
        <f>HYPERLINK("https://klasma.github.io/Logging_1981/klagomål/A 60852-2024 FSC-klagomål.docx", "A 60852-2024")</f>
        <v/>
      </c>
      <c r="W50">
        <f>HYPERLINK("https://klasma.github.io/Logging_1981/klagomålsmail/A 60852-2024 FSC-klagomål mail.docx", "A 60852-2024")</f>
        <v/>
      </c>
      <c r="X50">
        <f>HYPERLINK("https://klasma.github.io/Logging_1981/tillsyn/A 60852-2024 tillsynsbegäran.docx", "A 60852-2024")</f>
        <v/>
      </c>
      <c r="Y50">
        <f>HYPERLINK("https://klasma.github.io/Logging_1981/tillsynsmail/A 60852-2024 tillsynsbegäran mail.docx", "A 60852-2024")</f>
        <v/>
      </c>
    </row>
    <row r="51" ht="15" customHeight="1">
      <c r="A51" t="inlineStr">
        <is>
          <t>A 19361-2025</t>
        </is>
      </c>
      <c r="B51" s="1" t="n">
        <v>45769.63357638889</v>
      </c>
      <c r="C51" s="1" t="n">
        <v>46050</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46050</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53052-2025</t>
        </is>
      </c>
      <c r="B53" s="1" t="n">
        <v>45958.36266203703</v>
      </c>
      <c r="C53" s="1" t="n">
        <v>46050</v>
      </c>
      <c r="D53" t="inlineStr">
        <is>
          <t>VÄSTMANLANDS LÄN</t>
        </is>
      </c>
      <c r="E53" t="inlineStr">
        <is>
          <t>SALA</t>
        </is>
      </c>
      <c r="F53" t="inlineStr">
        <is>
          <t>Sveaskog</t>
        </is>
      </c>
      <c r="G53" t="n">
        <v>1.1</v>
      </c>
      <c r="H53" t="n">
        <v>0</v>
      </c>
      <c r="I53" t="n">
        <v>0</v>
      </c>
      <c r="J53" t="n">
        <v>1</v>
      </c>
      <c r="K53" t="n">
        <v>0</v>
      </c>
      <c r="L53" t="n">
        <v>0</v>
      </c>
      <c r="M53" t="n">
        <v>0</v>
      </c>
      <c r="N53" t="n">
        <v>0</v>
      </c>
      <c r="O53" t="n">
        <v>1</v>
      </c>
      <c r="P53" t="n">
        <v>0</v>
      </c>
      <c r="Q53" t="n">
        <v>1</v>
      </c>
      <c r="R53" s="2" t="inlineStr">
        <is>
          <t>Motaggsvamp</t>
        </is>
      </c>
      <c r="S53">
        <f>HYPERLINK("https://klasma.github.io/Logging_1981/artfynd/A 53052-2025 artfynd.xlsx", "A 53052-2025")</f>
        <v/>
      </c>
      <c r="T53">
        <f>HYPERLINK("https://klasma.github.io/Logging_1981/kartor/A 53052-2025 karta.png", "A 53052-2025")</f>
        <v/>
      </c>
      <c r="V53">
        <f>HYPERLINK("https://klasma.github.io/Logging_1981/klagomål/A 53052-2025 FSC-klagomål.docx", "A 53052-2025")</f>
        <v/>
      </c>
      <c r="W53">
        <f>HYPERLINK("https://klasma.github.io/Logging_1981/klagomålsmail/A 53052-2025 FSC-klagomål mail.docx", "A 53052-2025")</f>
        <v/>
      </c>
      <c r="X53">
        <f>HYPERLINK("https://klasma.github.io/Logging_1981/tillsyn/A 53052-2025 tillsynsbegäran.docx", "A 53052-2025")</f>
        <v/>
      </c>
      <c r="Y53">
        <f>HYPERLINK("https://klasma.github.io/Logging_1981/tillsynsmail/A 53052-2025 tillsynsbegäran mail.docx", "A 53052-2025")</f>
        <v/>
      </c>
    </row>
    <row r="54" ht="15" customHeight="1">
      <c r="A54" t="inlineStr">
        <is>
          <t>A 43175-2023</t>
        </is>
      </c>
      <c r="B54" s="1" t="n">
        <v>45183</v>
      </c>
      <c r="C54" s="1" t="n">
        <v>46050</v>
      </c>
      <c r="D54" t="inlineStr">
        <is>
          <t>VÄSTMANLANDS LÄN</t>
        </is>
      </c>
      <c r="E54" t="inlineStr">
        <is>
          <t>SALA</t>
        </is>
      </c>
      <c r="G54" t="n">
        <v>5.6</v>
      </c>
      <c r="H54" t="n">
        <v>0</v>
      </c>
      <c r="I54" t="n">
        <v>1</v>
      </c>
      <c r="J54" t="n">
        <v>0</v>
      </c>
      <c r="K54" t="n">
        <v>0</v>
      </c>
      <c r="L54" t="n">
        <v>0</v>
      </c>
      <c r="M54" t="n">
        <v>0</v>
      </c>
      <c r="N54" t="n">
        <v>0</v>
      </c>
      <c r="O54" t="n">
        <v>0</v>
      </c>
      <c r="P54" t="n">
        <v>0</v>
      </c>
      <c r="Q54" t="n">
        <v>1</v>
      </c>
      <c r="R54" s="2" t="inlineStr">
        <is>
          <t>Grönpyrola</t>
        </is>
      </c>
      <c r="S54">
        <f>HYPERLINK("https://klasma.github.io/Logging_1981/artfynd/A 43175-2023 artfynd.xlsx", "A 43175-2023")</f>
        <v/>
      </c>
      <c r="T54">
        <f>HYPERLINK("https://klasma.github.io/Logging_1981/kartor/A 43175-2023 karta.png", "A 43175-2023")</f>
        <v/>
      </c>
      <c r="V54">
        <f>HYPERLINK("https://klasma.github.io/Logging_1981/klagomål/A 43175-2023 FSC-klagomål.docx", "A 43175-2023")</f>
        <v/>
      </c>
      <c r="W54">
        <f>HYPERLINK("https://klasma.github.io/Logging_1981/klagomålsmail/A 43175-2023 FSC-klagomål mail.docx", "A 43175-2023")</f>
        <v/>
      </c>
      <c r="X54">
        <f>HYPERLINK("https://klasma.github.io/Logging_1981/tillsyn/A 43175-2023 tillsynsbegäran.docx", "A 43175-2023")</f>
        <v/>
      </c>
      <c r="Y54">
        <f>HYPERLINK("https://klasma.github.io/Logging_1981/tillsynsmail/A 43175-2023 tillsynsbegäran mail.docx", "A 43175-2023")</f>
        <v/>
      </c>
    </row>
    <row r="55" ht="15" customHeight="1">
      <c r="A55" t="inlineStr">
        <is>
          <t>A 55995-2025</t>
        </is>
      </c>
      <c r="B55" s="1" t="n">
        <v>45973.56733796297</v>
      </c>
      <c r="C55" s="1" t="n">
        <v>46050</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55550-2023</t>
        </is>
      </c>
      <c r="B56" s="1" t="n">
        <v>45232</v>
      </c>
      <c r="C56" s="1" t="n">
        <v>46050</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46050</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46050</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46050</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46050</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46050</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46050</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46050</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22950-2025</t>
        </is>
      </c>
      <c r="B64" s="1" t="n">
        <v>45790.50728009259</v>
      </c>
      <c r="C64" s="1" t="n">
        <v>46050</v>
      </c>
      <c r="D64" t="inlineStr">
        <is>
          <t>VÄSTMANLANDS LÄN</t>
        </is>
      </c>
      <c r="E64" t="inlineStr">
        <is>
          <t>SALA</t>
        </is>
      </c>
      <c r="G64" t="n">
        <v>6.2</v>
      </c>
      <c r="H64" t="n">
        <v>1</v>
      </c>
      <c r="I64" t="n">
        <v>0</v>
      </c>
      <c r="J64" t="n">
        <v>1</v>
      </c>
      <c r="K64" t="n">
        <v>0</v>
      </c>
      <c r="L64" t="n">
        <v>0</v>
      </c>
      <c r="M64" t="n">
        <v>0</v>
      </c>
      <c r="N64" t="n">
        <v>0</v>
      </c>
      <c r="O64" t="n">
        <v>1</v>
      </c>
      <c r="P64" t="n">
        <v>0</v>
      </c>
      <c r="Q64" t="n">
        <v>1</v>
      </c>
      <c r="R64" s="2" t="inlineStr">
        <is>
          <t>Svartvit flugsnappare</t>
        </is>
      </c>
      <c r="S64">
        <f>HYPERLINK("https://klasma.github.io/Logging_1981/artfynd/A 22950-2025 artfynd.xlsx", "A 22950-2025")</f>
        <v/>
      </c>
      <c r="T64">
        <f>HYPERLINK("https://klasma.github.io/Logging_1981/kartor/A 22950-2025 karta.png", "A 22950-2025")</f>
        <v/>
      </c>
      <c r="V64">
        <f>HYPERLINK("https://klasma.github.io/Logging_1981/klagomål/A 22950-2025 FSC-klagomål.docx", "A 22950-2025")</f>
        <v/>
      </c>
      <c r="W64">
        <f>HYPERLINK("https://klasma.github.io/Logging_1981/klagomålsmail/A 22950-2025 FSC-klagomål mail.docx", "A 22950-2025")</f>
        <v/>
      </c>
      <c r="X64">
        <f>HYPERLINK("https://klasma.github.io/Logging_1981/tillsyn/A 22950-2025 tillsynsbegäran.docx", "A 22950-2025")</f>
        <v/>
      </c>
      <c r="Y64">
        <f>HYPERLINK("https://klasma.github.io/Logging_1981/tillsynsmail/A 22950-2025 tillsynsbegäran mail.docx", "A 22950-2025")</f>
        <v/>
      </c>
      <c r="Z64">
        <f>HYPERLINK("https://klasma.github.io/Logging_1981/fåglar/A 22950-2025 prioriterade fågelarter.docx", "A 22950-2025")</f>
        <v/>
      </c>
    </row>
    <row r="65" ht="15" customHeight="1">
      <c r="A65" t="inlineStr">
        <is>
          <t>A 66561-2021</t>
        </is>
      </c>
      <c r="B65" s="1" t="n">
        <v>44519.41648148148</v>
      </c>
      <c r="C65" s="1" t="n">
        <v>46050</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46050</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46050</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46050</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46050</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46050</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46050</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46050</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46050</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46050</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46050</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46050</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46050</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46050</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46050</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46050</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46050</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46050</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46050</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46050</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46050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46050</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46050</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73683-2021</t>
        </is>
      </c>
      <c r="B88" s="1" t="n">
        <v>44552.47971064815</v>
      </c>
      <c r="C88" s="1" t="n">
        <v>46050</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46050</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46050</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46050</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46050</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46050</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46050</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46050</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46050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46050</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46050</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46050</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46050</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46050</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46050</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46050</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46050</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46050</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46050</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46050</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46050</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46050</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46050</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46050</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46050</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46050</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46050</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46050</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46050</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46050</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46050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46050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46050</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46050</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46050</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46050</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46050</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46050</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46050</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46050</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46050</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46050</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46050</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46050</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46050</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46050</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46050</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46050</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46050</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46050</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46050</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46050</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46050</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46050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46050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46050</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46050</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46050</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46050</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46050</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46050</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46050</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46050</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46050</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46050</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46050</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46050</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46050</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46050</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46050</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46050</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46050</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46050</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46050</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46050</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46050</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46050</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46050</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46050</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46050</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46050</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46050</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46050</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46050</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46050</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46050</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46050</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46050</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46050</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46050</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46050</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46050</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46050</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46050</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62449-2023</t>
        </is>
      </c>
      <c r="B182" s="1" t="n">
        <v>45268.49008101852</v>
      </c>
      <c r="C182" s="1" t="n">
        <v>46050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14024-2025</t>
        </is>
      </c>
      <c r="B183" s="1" t="n">
        <v>45740.34650462963</v>
      </c>
      <c r="C183" s="1" t="n">
        <v>46050</v>
      </c>
      <c r="D183" t="inlineStr">
        <is>
          <t>VÄSTMANLANDS LÄN</t>
        </is>
      </c>
      <c r="E183" t="inlineStr">
        <is>
          <t>SALA</t>
        </is>
      </c>
      <c r="G183" t="n">
        <v>1.1</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46050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58107-2021</t>
        </is>
      </c>
      <c r="B185" s="1" t="n">
        <v>44487</v>
      </c>
      <c r="C185" s="1" t="n">
        <v>46050</v>
      </c>
      <c r="D185" t="inlineStr">
        <is>
          <t>VÄSTMANLANDS LÄN</t>
        </is>
      </c>
      <c r="E185" t="inlineStr">
        <is>
          <t>SALA</t>
        </is>
      </c>
      <c r="F185" t="inlineStr">
        <is>
          <t>Sveaskog</t>
        </is>
      </c>
      <c r="G185" t="n">
        <v>2.8</v>
      </c>
      <c r="H185" t="n">
        <v>0</v>
      </c>
      <c r="I185" t="n">
        <v>0</v>
      </c>
      <c r="J185" t="n">
        <v>0</v>
      </c>
      <c r="K185" t="n">
        <v>0</v>
      </c>
      <c r="L185" t="n">
        <v>0</v>
      </c>
      <c r="M185" t="n">
        <v>0</v>
      </c>
      <c r="N185" t="n">
        <v>0</v>
      </c>
      <c r="O185" t="n">
        <v>0</v>
      </c>
      <c r="P185" t="n">
        <v>0</v>
      </c>
      <c r="Q185" t="n">
        <v>0</v>
      </c>
      <c r="R185" s="2" t="inlineStr"/>
    </row>
    <row r="186" ht="15" customHeight="1">
      <c r="A186" t="inlineStr">
        <is>
          <t>A 26692-2023</t>
        </is>
      </c>
      <c r="B186" s="1" t="n">
        <v>45093.360625</v>
      </c>
      <c r="C186" s="1" t="n">
        <v>46050</v>
      </c>
      <c r="D186" t="inlineStr">
        <is>
          <t>VÄSTMANLANDS LÄN</t>
        </is>
      </c>
      <c r="E186" t="inlineStr">
        <is>
          <t>SALA</t>
        </is>
      </c>
      <c r="G186" t="n">
        <v>1.8</v>
      </c>
      <c r="H186" t="n">
        <v>0</v>
      </c>
      <c r="I186" t="n">
        <v>0</v>
      </c>
      <c r="J186" t="n">
        <v>0</v>
      </c>
      <c r="K186" t="n">
        <v>0</v>
      </c>
      <c r="L186" t="n">
        <v>0</v>
      </c>
      <c r="M186" t="n">
        <v>0</v>
      </c>
      <c r="N186" t="n">
        <v>0</v>
      </c>
      <c r="O186" t="n">
        <v>0</v>
      </c>
      <c r="P186" t="n">
        <v>0</v>
      </c>
      <c r="Q186" t="n">
        <v>0</v>
      </c>
      <c r="R186" s="2" t="inlineStr"/>
    </row>
    <row r="187" ht="15" customHeight="1">
      <c r="A187" t="inlineStr">
        <is>
          <t>A 56543-2024</t>
        </is>
      </c>
      <c r="B187" s="1" t="n">
        <v>45625</v>
      </c>
      <c r="C187" s="1" t="n">
        <v>46050</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31950-2023</t>
        </is>
      </c>
      <c r="B188" s="1" t="n">
        <v>45107</v>
      </c>
      <c r="C188" s="1" t="n">
        <v>46050</v>
      </c>
      <c r="D188" t="inlineStr">
        <is>
          <t>VÄSTMANLANDS LÄN</t>
        </is>
      </c>
      <c r="E188" t="inlineStr">
        <is>
          <t>SALA</t>
        </is>
      </c>
      <c r="G188" t="n">
        <v>1.9</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46050</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16767-2024</t>
        </is>
      </c>
      <c r="B190" s="1" t="n">
        <v>45411.38171296296</v>
      </c>
      <c r="C190" s="1" t="n">
        <v>46050</v>
      </c>
      <c r="D190" t="inlineStr">
        <is>
          <t>VÄSTMANLANDS LÄN</t>
        </is>
      </c>
      <c r="E190" t="inlineStr">
        <is>
          <t>SALA</t>
        </is>
      </c>
      <c r="G190" t="n">
        <v>2.5</v>
      </c>
      <c r="H190" t="n">
        <v>0</v>
      </c>
      <c r="I190" t="n">
        <v>0</v>
      </c>
      <c r="J190" t="n">
        <v>0</v>
      </c>
      <c r="K190" t="n">
        <v>0</v>
      </c>
      <c r="L190" t="n">
        <v>0</v>
      </c>
      <c r="M190" t="n">
        <v>0</v>
      </c>
      <c r="N190" t="n">
        <v>0</v>
      </c>
      <c r="O190" t="n">
        <v>0</v>
      </c>
      <c r="P190" t="n">
        <v>0</v>
      </c>
      <c r="Q190" t="n">
        <v>0</v>
      </c>
      <c r="R190" s="2" t="inlineStr"/>
    </row>
    <row r="191" ht="15" customHeight="1">
      <c r="A191" t="inlineStr">
        <is>
          <t>A 13022-2023</t>
        </is>
      </c>
      <c r="B191" s="1" t="n">
        <v>45002.33291666667</v>
      </c>
      <c r="C191" s="1" t="n">
        <v>46050</v>
      </c>
      <c r="D191" t="inlineStr">
        <is>
          <t>VÄSTMANLANDS LÄN</t>
        </is>
      </c>
      <c r="E191" t="inlineStr">
        <is>
          <t>SALA</t>
        </is>
      </c>
      <c r="G191" t="n">
        <v>1.5</v>
      </c>
      <c r="H191" t="n">
        <v>0</v>
      </c>
      <c r="I191" t="n">
        <v>0</v>
      </c>
      <c r="J191" t="n">
        <v>0</v>
      </c>
      <c r="K191" t="n">
        <v>0</v>
      </c>
      <c r="L191" t="n">
        <v>0</v>
      </c>
      <c r="M191" t="n">
        <v>0</v>
      </c>
      <c r="N191" t="n">
        <v>0</v>
      </c>
      <c r="O191" t="n">
        <v>0</v>
      </c>
      <c r="P191" t="n">
        <v>0</v>
      </c>
      <c r="Q191" t="n">
        <v>0</v>
      </c>
      <c r="R191" s="2" t="inlineStr"/>
    </row>
    <row r="192" ht="15" customHeight="1">
      <c r="A192" t="inlineStr">
        <is>
          <t>A 4853-2023</t>
        </is>
      </c>
      <c r="B192" s="1" t="n">
        <v>44957.73234953704</v>
      </c>
      <c r="C192" s="1" t="n">
        <v>46050</v>
      </c>
      <c r="D192" t="inlineStr">
        <is>
          <t>VÄSTMANLANDS LÄN</t>
        </is>
      </c>
      <c r="E192" t="inlineStr">
        <is>
          <t>SALA</t>
        </is>
      </c>
      <c r="G192" t="n">
        <v>2.7</v>
      </c>
      <c r="H192" t="n">
        <v>0</v>
      </c>
      <c r="I192" t="n">
        <v>0</v>
      </c>
      <c r="J192" t="n">
        <v>0</v>
      </c>
      <c r="K192" t="n">
        <v>0</v>
      </c>
      <c r="L192" t="n">
        <v>0</v>
      </c>
      <c r="M192" t="n">
        <v>0</v>
      </c>
      <c r="N192" t="n">
        <v>0</v>
      </c>
      <c r="O192" t="n">
        <v>0</v>
      </c>
      <c r="P192" t="n">
        <v>0</v>
      </c>
      <c r="Q192" t="n">
        <v>0</v>
      </c>
      <c r="R192" s="2" t="inlineStr"/>
    </row>
    <row r="193" ht="15" customHeight="1">
      <c r="A193" t="inlineStr">
        <is>
          <t>A 12246-2023</t>
        </is>
      </c>
      <c r="B193" s="1" t="n">
        <v>44995</v>
      </c>
      <c r="C193" s="1" t="n">
        <v>46050</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33732-2023</t>
        </is>
      </c>
      <c r="B194" s="1" t="n">
        <v>45133.32409722222</v>
      </c>
      <c r="C194" s="1" t="n">
        <v>46050</v>
      </c>
      <c r="D194" t="inlineStr">
        <is>
          <t>VÄSTMANLANDS LÄN</t>
        </is>
      </c>
      <c r="E194" t="inlineStr">
        <is>
          <t>SALA</t>
        </is>
      </c>
      <c r="G194" t="n">
        <v>2</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46050</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46050</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51464-2024</t>
        </is>
      </c>
      <c r="B197" s="1" t="n">
        <v>45604.49768518518</v>
      </c>
      <c r="C197" s="1" t="n">
        <v>46050</v>
      </c>
      <c r="D197" t="inlineStr">
        <is>
          <t>VÄSTMANLANDS LÄN</t>
        </is>
      </c>
      <c r="E197" t="inlineStr">
        <is>
          <t>SALA</t>
        </is>
      </c>
      <c r="G197" t="n">
        <v>3.9</v>
      </c>
      <c r="H197" t="n">
        <v>0</v>
      </c>
      <c r="I197" t="n">
        <v>0</v>
      </c>
      <c r="J197" t="n">
        <v>0</v>
      </c>
      <c r="K197" t="n">
        <v>0</v>
      </c>
      <c r="L197" t="n">
        <v>0</v>
      </c>
      <c r="M197" t="n">
        <v>0</v>
      </c>
      <c r="N197" t="n">
        <v>0</v>
      </c>
      <c r="O197" t="n">
        <v>0</v>
      </c>
      <c r="P197" t="n">
        <v>0</v>
      </c>
      <c r="Q197" t="n">
        <v>0</v>
      </c>
      <c r="R197" s="2" t="inlineStr"/>
    </row>
    <row r="198" ht="15" customHeight="1">
      <c r="A198" t="inlineStr">
        <is>
          <t>A 41292-2021</t>
        </is>
      </c>
      <c r="B198" s="1" t="n">
        <v>44424</v>
      </c>
      <c r="C198" s="1" t="n">
        <v>46050</v>
      </c>
      <c r="D198" t="inlineStr">
        <is>
          <t>VÄSTMANLANDS LÄN</t>
        </is>
      </c>
      <c r="E198" t="inlineStr">
        <is>
          <t>SALA</t>
        </is>
      </c>
      <c r="G198" t="n">
        <v>0.3</v>
      </c>
      <c r="H198" t="n">
        <v>0</v>
      </c>
      <c r="I198" t="n">
        <v>0</v>
      </c>
      <c r="J198" t="n">
        <v>0</v>
      </c>
      <c r="K198" t="n">
        <v>0</v>
      </c>
      <c r="L198" t="n">
        <v>0</v>
      </c>
      <c r="M198" t="n">
        <v>0</v>
      </c>
      <c r="N198" t="n">
        <v>0</v>
      </c>
      <c r="O198" t="n">
        <v>0</v>
      </c>
      <c r="P198" t="n">
        <v>0</v>
      </c>
      <c r="Q198" t="n">
        <v>0</v>
      </c>
      <c r="R198" s="2" t="inlineStr"/>
    </row>
    <row r="199" ht="15" customHeight="1">
      <c r="A199" t="inlineStr">
        <is>
          <t>A 54603-2024</t>
        </is>
      </c>
      <c r="B199" s="1" t="n">
        <v>45617.68224537037</v>
      </c>
      <c r="C199" s="1" t="n">
        <v>46050</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69232-2021</t>
        </is>
      </c>
      <c r="B200" s="1" t="n">
        <v>44531.39696759259</v>
      </c>
      <c r="C200" s="1" t="n">
        <v>46050</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1638-2023</t>
        </is>
      </c>
      <c r="B201" s="1" t="n">
        <v>44937</v>
      </c>
      <c r="C201" s="1" t="n">
        <v>46050</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15972-2024</t>
        </is>
      </c>
      <c r="B202" s="1" t="n">
        <v>45405.56498842593</v>
      </c>
      <c r="C202" s="1" t="n">
        <v>46050</v>
      </c>
      <c r="D202" t="inlineStr">
        <is>
          <t>VÄSTMANLANDS LÄN</t>
        </is>
      </c>
      <c r="E202" t="inlineStr">
        <is>
          <t>SALA</t>
        </is>
      </c>
      <c r="G202" t="n">
        <v>1.8</v>
      </c>
      <c r="H202" t="n">
        <v>0</v>
      </c>
      <c r="I202" t="n">
        <v>0</v>
      </c>
      <c r="J202" t="n">
        <v>0</v>
      </c>
      <c r="K202" t="n">
        <v>0</v>
      </c>
      <c r="L202" t="n">
        <v>0</v>
      </c>
      <c r="M202" t="n">
        <v>0</v>
      </c>
      <c r="N202" t="n">
        <v>0</v>
      </c>
      <c r="O202" t="n">
        <v>0</v>
      </c>
      <c r="P202" t="n">
        <v>0</v>
      </c>
      <c r="Q202" t="n">
        <v>0</v>
      </c>
      <c r="R202" s="2" t="inlineStr"/>
    </row>
    <row r="203" ht="15" customHeight="1">
      <c r="A203" t="inlineStr">
        <is>
          <t>A 19398-2025</t>
        </is>
      </c>
      <c r="B203" s="1" t="n">
        <v>45769</v>
      </c>
      <c r="C203" s="1" t="n">
        <v>46050</v>
      </c>
      <c r="D203" t="inlineStr">
        <is>
          <t>VÄSTMANLANDS LÄN</t>
        </is>
      </c>
      <c r="E203" t="inlineStr">
        <is>
          <t>SALA</t>
        </is>
      </c>
      <c r="G203" t="n">
        <v>0.4</v>
      </c>
      <c r="H203" t="n">
        <v>0</v>
      </c>
      <c r="I203" t="n">
        <v>0</v>
      </c>
      <c r="J203" t="n">
        <v>0</v>
      </c>
      <c r="K203" t="n">
        <v>0</v>
      </c>
      <c r="L203" t="n">
        <v>0</v>
      </c>
      <c r="M203" t="n">
        <v>0</v>
      </c>
      <c r="N203" t="n">
        <v>0</v>
      </c>
      <c r="O203" t="n">
        <v>0</v>
      </c>
      <c r="P203" t="n">
        <v>0</v>
      </c>
      <c r="Q203" t="n">
        <v>0</v>
      </c>
      <c r="R203" s="2" t="inlineStr"/>
    </row>
    <row r="204" ht="15" customHeight="1">
      <c r="A204" t="inlineStr">
        <is>
          <t>A 37958-2024</t>
        </is>
      </c>
      <c r="B204" s="1" t="n">
        <v>45544</v>
      </c>
      <c r="C204" s="1" t="n">
        <v>46050</v>
      </c>
      <c r="D204" t="inlineStr">
        <is>
          <t>VÄSTMANLANDS LÄN</t>
        </is>
      </c>
      <c r="E204" t="inlineStr">
        <is>
          <t>SALA</t>
        </is>
      </c>
      <c r="G204" t="n">
        <v>5.6</v>
      </c>
      <c r="H204" t="n">
        <v>0</v>
      </c>
      <c r="I204" t="n">
        <v>0</v>
      </c>
      <c r="J204" t="n">
        <v>0</v>
      </c>
      <c r="K204" t="n">
        <v>0</v>
      </c>
      <c r="L204" t="n">
        <v>0</v>
      </c>
      <c r="M204" t="n">
        <v>0</v>
      </c>
      <c r="N204" t="n">
        <v>0</v>
      </c>
      <c r="O204" t="n">
        <v>0</v>
      </c>
      <c r="P204" t="n">
        <v>0</v>
      </c>
      <c r="Q204" t="n">
        <v>0</v>
      </c>
      <c r="R204" s="2" t="inlineStr"/>
    </row>
    <row r="205" ht="15" customHeight="1">
      <c r="A205" t="inlineStr">
        <is>
          <t>A 1555-2024</t>
        </is>
      </c>
      <c r="B205" s="1" t="n">
        <v>45306</v>
      </c>
      <c r="C205" s="1" t="n">
        <v>46050</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4797-2023</t>
        </is>
      </c>
      <c r="B206" s="1" t="n">
        <v>44957</v>
      </c>
      <c r="C206" s="1" t="n">
        <v>46050</v>
      </c>
      <c r="D206" t="inlineStr">
        <is>
          <t>VÄSTMANLANDS LÄN</t>
        </is>
      </c>
      <c r="E206" t="inlineStr">
        <is>
          <t>SALA</t>
        </is>
      </c>
      <c r="G206" t="n">
        <v>5.7</v>
      </c>
      <c r="H206" t="n">
        <v>0</v>
      </c>
      <c r="I206" t="n">
        <v>0</v>
      </c>
      <c r="J206" t="n">
        <v>0</v>
      </c>
      <c r="K206" t="n">
        <v>0</v>
      </c>
      <c r="L206" t="n">
        <v>0</v>
      </c>
      <c r="M206" t="n">
        <v>0</v>
      </c>
      <c r="N206" t="n">
        <v>0</v>
      </c>
      <c r="O206" t="n">
        <v>0</v>
      </c>
      <c r="P206" t="n">
        <v>0</v>
      </c>
      <c r="Q206" t="n">
        <v>0</v>
      </c>
      <c r="R206" s="2" t="inlineStr"/>
    </row>
    <row r="207" ht="15" customHeight="1">
      <c r="A207" t="inlineStr">
        <is>
          <t>A 15756-2025</t>
        </is>
      </c>
      <c r="B207" s="1" t="n">
        <v>45748.56810185185</v>
      </c>
      <c r="C207" s="1" t="n">
        <v>46050</v>
      </c>
      <c r="D207" t="inlineStr">
        <is>
          <t>VÄSTMANLANDS LÄN</t>
        </is>
      </c>
      <c r="E207" t="inlineStr">
        <is>
          <t>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27229-2022</t>
        </is>
      </c>
      <c r="B208" s="1" t="n">
        <v>44741</v>
      </c>
      <c r="C208" s="1" t="n">
        <v>46050</v>
      </c>
      <c r="D208" t="inlineStr">
        <is>
          <t>VÄSTMANLANDS LÄN</t>
        </is>
      </c>
      <c r="E208" t="inlineStr">
        <is>
          <t>SALA</t>
        </is>
      </c>
      <c r="F208" t="inlineStr">
        <is>
          <t>Kommuner</t>
        </is>
      </c>
      <c r="G208" t="n">
        <v>1.4</v>
      </c>
      <c r="H208" t="n">
        <v>0</v>
      </c>
      <c r="I208" t="n">
        <v>0</v>
      </c>
      <c r="J208" t="n">
        <v>0</v>
      </c>
      <c r="K208" t="n">
        <v>0</v>
      </c>
      <c r="L208" t="n">
        <v>0</v>
      </c>
      <c r="M208" t="n">
        <v>0</v>
      </c>
      <c r="N208" t="n">
        <v>0</v>
      </c>
      <c r="O208" t="n">
        <v>0</v>
      </c>
      <c r="P208" t="n">
        <v>0</v>
      </c>
      <c r="Q208" t="n">
        <v>0</v>
      </c>
      <c r="R208" s="2" t="inlineStr"/>
    </row>
    <row r="209" ht="15" customHeight="1">
      <c r="A209" t="inlineStr">
        <is>
          <t>A 1793-2023</t>
        </is>
      </c>
      <c r="B209" s="1" t="n">
        <v>44937</v>
      </c>
      <c r="C209" s="1" t="n">
        <v>46050</v>
      </c>
      <c r="D209" t="inlineStr">
        <is>
          <t>VÄSTMANLANDS LÄN</t>
        </is>
      </c>
      <c r="E209" t="inlineStr">
        <is>
          <t>SALA</t>
        </is>
      </c>
      <c r="G209" t="n">
        <v>2.6</v>
      </c>
      <c r="H209" t="n">
        <v>0</v>
      </c>
      <c r="I209" t="n">
        <v>0</v>
      </c>
      <c r="J209" t="n">
        <v>0</v>
      </c>
      <c r="K209" t="n">
        <v>0</v>
      </c>
      <c r="L209" t="n">
        <v>0</v>
      </c>
      <c r="M209" t="n">
        <v>0</v>
      </c>
      <c r="N209" t="n">
        <v>0</v>
      </c>
      <c r="O209" t="n">
        <v>0</v>
      </c>
      <c r="P209" t="n">
        <v>0</v>
      </c>
      <c r="Q209" t="n">
        <v>0</v>
      </c>
      <c r="R209" s="2" t="inlineStr"/>
    </row>
    <row r="210" ht="15" customHeight="1">
      <c r="A210" t="inlineStr">
        <is>
          <t>A 31000-2022</t>
        </is>
      </c>
      <c r="B210" s="1" t="n">
        <v>44768</v>
      </c>
      <c r="C210" s="1" t="n">
        <v>46050</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29248-2022</t>
        </is>
      </c>
      <c r="B211" s="1" t="n">
        <v>44750</v>
      </c>
      <c r="C211" s="1" t="n">
        <v>46050</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22397-2022</t>
        </is>
      </c>
      <c r="B212" s="1" t="n">
        <v>44713</v>
      </c>
      <c r="C212" s="1" t="n">
        <v>46050</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37183-2024</t>
        </is>
      </c>
      <c r="B213" s="1" t="n">
        <v>45539</v>
      </c>
      <c r="C213" s="1" t="n">
        <v>46050</v>
      </c>
      <c r="D213" t="inlineStr">
        <is>
          <t>VÄSTMANLANDS LÄN</t>
        </is>
      </c>
      <c r="E213" t="inlineStr">
        <is>
          <t>SALA</t>
        </is>
      </c>
      <c r="G213" t="n">
        <v>1.2</v>
      </c>
      <c r="H213" t="n">
        <v>0</v>
      </c>
      <c r="I213" t="n">
        <v>0</v>
      </c>
      <c r="J213" t="n">
        <v>0</v>
      </c>
      <c r="K213" t="n">
        <v>0</v>
      </c>
      <c r="L213" t="n">
        <v>0</v>
      </c>
      <c r="M213" t="n">
        <v>0</v>
      </c>
      <c r="N213" t="n">
        <v>0</v>
      </c>
      <c r="O213" t="n">
        <v>0</v>
      </c>
      <c r="P213" t="n">
        <v>0</v>
      </c>
      <c r="Q213" t="n">
        <v>0</v>
      </c>
      <c r="R213" s="2" t="inlineStr"/>
    </row>
    <row r="214" ht="15" customHeight="1">
      <c r="A214" t="inlineStr">
        <is>
          <t>A 28863-2022</t>
        </is>
      </c>
      <c r="B214" s="1" t="n">
        <v>44749.50649305555</v>
      </c>
      <c r="C214" s="1" t="n">
        <v>46050</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7681-2021</t>
        </is>
      </c>
      <c r="B215" s="1" t="n">
        <v>44242</v>
      </c>
      <c r="C215" s="1" t="n">
        <v>46050</v>
      </c>
      <c r="D215" t="inlineStr">
        <is>
          <t>VÄSTMANLANDS LÄN</t>
        </is>
      </c>
      <c r="E215" t="inlineStr">
        <is>
          <t>SALA</t>
        </is>
      </c>
      <c r="F215" t="inlineStr">
        <is>
          <t>Sveaskog</t>
        </is>
      </c>
      <c r="G215" t="n">
        <v>16.1</v>
      </c>
      <c r="H215" t="n">
        <v>0</v>
      </c>
      <c r="I215" t="n">
        <v>0</v>
      </c>
      <c r="J215" t="n">
        <v>0</v>
      </c>
      <c r="K215" t="n">
        <v>0</v>
      </c>
      <c r="L215" t="n">
        <v>0</v>
      </c>
      <c r="M215" t="n">
        <v>0</v>
      </c>
      <c r="N215" t="n">
        <v>0</v>
      </c>
      <c r="O215" t="n">
        <v>0</v>
      </c>
      <c r="P215" t="n">
        <v>0</v>
      </c>
      <c r="Q215" t="n">
        <v>0</v>
      </c>
      <c r="R215" s="2" t="inlineStr"/>
    </row>
    <row r="216" ht="15" customHeight="1">
      <c r="A216" t="inlineStr">
        <is>
          <t>A 14919-2025</t>
        </is>
      </c>
      <c r="B216" s="1" t="n">
        <v>45743.54256944444</v>
      </c>
      <c r="C216" s="1" t="n">
        <v>46050</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14920-2025</t>
        </is>
      </c>
      <c r="B217" s="1" t="n">
        <v>45743</v>
      </c>
      <c r="C217" s="1" t="n">
        <v>46050</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40398-2021</t>
        </is>
      </c>
      <c r="B218" s="1" t="n">
        <v>44419</v>
      </c>
      <c r="C218" s="1" t="n">
        <v>46050</v>
      </c>
      <c r="D218" t="inlineStr">
        <is>
          <t>VÄSTMANLANDS LÄN</t>
        </is>
      </c>
      <c r="E218" t="inlineStr">
        <is>
          <t>SALA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46050</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6030-2024</t>
        </is>
      </c>
      <c r="B220" s="1" t="n">
        <v>45336.62782407407</v>
      </c>
      <c r="C220" s="1" t="n">
        <v>46050</v>
      </c>
      <c r="D220" t="inlineStr">
        <is>
          <t>VÄSTMANLANDS LÄN</t>
        </is>
      </c>
      <c r="E220" t="inlineStr">
        <is>
          <t>SALA</t>
        </is>
      </c>
      <c r="G220" t="n">
        <v>3.9</v>
      </c>
      <c r="H220" t="n">
        <v>0</v>
      </c>
      <c r="I220" t="n">
        <v>0</v>
      </c>
      <c r="J220" t="n">
        <v>0</v>
      </c>
      <c r="K220" t="n">
        <v>0</v>
      </c>
      <c r="L220" t="n">
        <v>0</v>
      </c>
      <c r="M220" t="n">
        <v>0</v>
      </c>
      <c r="N220" t="n">
        <v>0</v>
      </c>
      <c r="O220" t="n">
        <v>0</v>
      </c>
      <c r="P220" t="n">
        <v>0</v>
      </c>
      <c r="Q220" t="n">
        <v>0</v>
      </c>
      <c r="R220" s="2" t="inlineStr"/>
    </row>
    <row r="221" ht="15" customHeight="1">
      <c r="A221" t="inlineStr">
        <is>
          <t>A 52630-2022</t>
        </is>
      </c>
      <c r="B221" s="1" t="n">
        <v>44874</v>
      </c>
      <c r="C221" s="1" t="n">
        <v>46050</v>
      </c>
      <c r="D221" t="inlineStr">
        <is>
          <t>VÄSTMANLANDS LÄN</t>
        </is>
      </c>
      <c r="E221" t="inlineStr">
        <is>
          <t>SALA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43362-2023</t>
        </is>
      </c>
      <c r="B222" s="1" t="n">
        <v>45183</v>
      </c>
      <c r="C222" s="1" t="n">
        <v>46050</v>
      </c>
      <c r="D222" t="inlineStr">
        <is>
          <t>VÄSTMANLANDS LÄN</t>
        </is>
      </c>
      <c r="E222" t="inlineStr">
        <is>
          <t>SALA</t>
        </is>
      </c>
      <c r="G222" t="n">
        <v>2</v>
      </c>
      <c r="H222" t="n">
        <v>0</v>
      </c>
      <c r="I222" t="n">
        <v>0</v>
      </c>
      <c r="J222" t="n">
        <v>0</v>
      </c>
      <c r="K222" t="n">
        <v>0</v>
      </c>
      <c r="L222" t="n">
        <v>0</v>
      </c>
      <c r="M222" t="n">
        <v>0</v>
      </c>
      <c r="N222" t="n">
        <v>0</v>
      </c>
      <c r="O222" t="n">
        <v>0</v>
      </c>
      <c r="P222" t="n">
        <v>0</v>
      </c>
      <c r="Q222" t="n">
        <v>0</v>
      </c>
      <c r="R222" s="2" t="inlineStr"/>
    </row>
    <row r="223" ht="15" customHeight="1">
      <c r="A223" t="inlineStr">
        <is>
          <t>A 61517-2024</t>
        </is>
      </c>
      <c r="B223" s="1" t="n">
        <v>45645</v>
      </c>
      <c r="C223" s="1" t="n">
        <v>46050</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14690-2025</t>
        </is>
      </c>
      <c r="B224" s="1" t="n">
        <v>45742.58212962963</v>
      </c>
      <c r="C224" s="1" t="n">
        <v>46050</v>
      </c>
      <c r="D224" t="inlineStr">
        <is>
          <t>VÄSTMANLANDS LÄN</t>
        </is>
      </c>
      <c r="E224" t="inlineStr">
        <is>
          <t>SALA</t>
        </is>
      </c>
      <c r="G224" t="n">
        <v>3.4</v>
      </c>
      <c r="H224" t="n">
        <v>0</v>
      </c>
      <c r="I224" t="n">
        <v>0</v>
      </c>
      <c r="J224" t="n">
        <v>0</v>
      </c>
      <c r="K224" t="n">
        <v>0</v>
      </c>
      <c r="L224" t="n">
        <v>0</v>
      </c>
      <c r="M224" t="n">
        <v>0</v>
      </c>
      <c r="N224" t="n">
        <v>0</v>
      </c>
      <c r="O224" t="n">
        <v>0</v>
      </c>
      <c r="P224" t="n">
        <v>0</v>
      </c>
      <c r="Q224" t="n">
        <v>0</v>
      </c>
      <c r="R224" s="2" t="inlineStr"/>
    </row>
    <row r="225" ht="15" customHeight="1">
      <c r="A225" t="inlineStr">
        <is>
          <t>A 2521-2025</t>
        </is>
      </c>
      <c r="B225" s="1" t="n">
        <v>45674</v>
      </c>
      <c r="C225" s="1" t="n">
        <v>46050</v>
      </c>
      <c r="D225" t="inlineStr">
        <is>
          <t>VÄSTMANLANDS LÄN</t>
        </is>
      </c>
      <c r="E225" t="inlineStr">
        <is>
          <t>SALA</t>
        </is>
      </c>
      <c r="G225" t="n">
        <v>3.5</v>
      </c>
      <c r="H225" t="n">
        <v>0</v>
      </c>
      <c r="I225" t="n">
        <v>0</v>
      </c>
      <c r="J225" t="n">
        <v>0</v>
      </c>
      <c r="K225" t="n">
        <v>0</v>
      </c>
      <c r="L225" t="n">
        <v>0</v>
      </c>
      <c r="M225" t="n">
        <v>0</v>
      </c>
      <c r="N225" t="n">
        <v>0</v>
      </c>
      <c r="O225" t="n">
        <v>0</v>
      </c>
      <c r="P225" t="n">
        <v>0</v>
      </c>
      <c r="Q225" t="n">
        <v>0</v>
      </c>
      <c r="R225" s="2" t="inlineStr"/>
    </row>
    <row r="226" ht="15" customHeight="1">
      <c r="A226" t="inlineStr">
        <is>
          <t>A 24460-2025</t>
        </is>
      </c>
      <c r="B226" s="1" t="n">
        <v>45798</v>
      </c>
      <c r="C226" s="1" t="n">
        <v>46050</v>
      </c>
      <c r="D226" t="inlineStr">
        <is>
          <t>VÄSTMANLANDS LÄN</t>
        </is>
      </c>
      <c r="E226" t="inlineStr">
        <is>
          <t>SALA</t>
        </is>
      </c>
      <c r="F226" t="inlineStr">
        <is>
          <t>Bergvik skog öst AB</t>
        </is>
      </c>
      <c r="G226" t="n">
        <v>2.6</v>
      </c>
      <c r="H226" t="n">
        <v>0</v>
      </c>
      <c r="I226" t="n">
        <v>0</v>
      </c>
      <c r="J226" t="n">
        <v>0</v>
      </c>
      <c r="K226" t="n">
        <v>0</v>
      </c>
      <c r="L226" t="n">
        <v>0</v>
      </c>
      <c r="M226" t="n">
        <v>0</v>
      </c>
      <c r="N226" t="n">
        <v>0</v>
      </c>
      <c r="O226" t="n">
        <v>0</v>
      </c>
      <c r="P226" t="n">
        <v>0</v>
      </c>
      <c r="Q226" t="n">
        <v>0</v>
      </c>
      <c r="R226" s="2" t="inlineStr"/>
    </row>
    <row r="227" ht="15" customHeight="1">
      <c r="A227" t="inlineStr">
        <is>
          <t>A 4736-2021</t>
        </is>
      </c>
      <c r="B227" s="1" t="n">
        <v>44225</v>
      </c>
      <c r="C227" s="1" t="n">
        <v>46050</v>
      </c>
      <c r="D227" t="inlineStr">
        <is>
          <t>VÄSTMANLANDS LÄN</t>
        </is>
      </c>
      <c r="E227" t="inlineStr">
        <is>
          <t>SALA</t>
        </is>
      </c>
      <c r="G227" t="n">
        <v>4.2</v>
      </c>
      <c r="H227" t="n">
        <v>0</v>
      </c>
      <c r="I227" t="n">
        <v>0</v>
      </c>
      <c r="J227" t="n">
        <v>0</v>
      </c>
      <c r="K227" t="n">
        <v>0</v>
      </c>
      <c r="L227" t="n">
        <v>0</v>
      </c>
      <c r="M227" t="n">
        <v>0</v>
      </c>
      <c r="N227" t="n">
        <v>0</v>
      </c>
      <c r="O227" t="n">
        <v>0</v>
      </c>
      <c r="P227" t="n">
        <v>0</v>
      </c>
      <c r="Q227" t="n">
        <v>0</v>
      </c>
      <c r="R227" s="2" t="inlineStr"/>
    </row>
    <row r="228" ht="15" customHeight="1">
      <c r="A228" t="inlineStr">
        <is>
          <t>A 60548-2024</t>
        </is>
      </c>
      <c r="B228" s="1" t="n">
        <v>45643.80978009259</v>
      </c>
      <c r="C228" s="1" t="n">
        <v>46050</v>
      </c>
      <c r="D228" t="inlineStr">
        <is>
          <t>VÄSTMANLANDS LÄN</t>
        </is>
      </c>
      <c r="E228" t="inlineStr">
        <is>
          <t>SALA</t>
        </is>
      </c>
      <c r="G228" t="n">
        <v>1.6</v>
      </c>
      <c r="H228" t="n">
        <v>0</v>
      </c>
      <c r="I228" t="n">
        <v>0</v>
      </c>
      <c r="J228" t="n">
        <v>0</v>
      </c>
      <c r="K228" t="n">
        <v>0</v>
      </c>
      <c r="L228" t="n">
        <v>0</v>
      </c>
      <c r="M228" t="n">
        <v>0</v>
      </c>
      <c r="N228" t="n">
        <v>0</v>
      </c>
      <c r="O228" t="n">
        <v>0</v>
      </c>
      <c r="P228" t="n">
        <v>0</v>
      </c>
      <c r="Q228" t="n">
        <v>0</v>
      </c>
      <c r="R228" s="2" t="inlineStr"/>
    </row>
    <row r="229" ht="15" customHeight="1">
      <c r="A229" t="inlineStr">
        <is>
          <t>A 24463-2025</t>
        </is>
      </c>
      <c r="B229" s="1" t="n">
        <v>45798</v>
      </c>
      <c r="C229" s="1" t="n">
        <v>46050</v>
      </c>
      <c r="D229" t="inlineStr">
        <is>
          <t>VÄSTMANLANDS LÄN</t>
        </is>
      </c>
      <c r="E229" t="inlineStr">
        <is>
          <t>SALA</t>
        </is>
      </c>
      <c r="F229" t="inlineStr">
        <is>
          <t>Bergvik skog öst AB</t>
        </is>
      </c>
      <c r="G229" t="n">
        <v>1.5</v>
      </c>
      <c r="H229" t="n">
        <v>0</v>
      </c>
      <c r="I229" t="n">
        <v>0</v>
      </c>
      <c r="J229" t="n">
        <v>0</v>
      </c>
      <c r="K229" t="n">
        <v>0</v>
      </c>
      <c r="L229" t="n">
        <v>0</v>
      </c>
      <c r="M229" t="n">
        <v>0</v>
      </c>
      <c r="N229" t="n">
        <v>0</v>
      </c>
      <c r="O229" t="n">
        <v>0</v>
      </c>
      <c r="P229" t="n">
        <v>0</v>
      </c>
      <c r="Q229" t="n">
        <v>0</v>
      </c>
      <c r="R229" s="2" t="inlineStr"/>
    </row>
    <row r="230" ht="15" customHeight="1">
      <c r="A230" t="inlineStr">
        <is>
          <t>A 38574-2025</t>
        </is>
      </c>
      <c r="B230" s="1" t="n">
        <v>45884.46390046296</v>
      </c>
      <c r="C230" s="1" t="n">
        <v>46050</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26761-2023</t>
        </is>
      </c>
      <c r="B231" s="1" t="n">
        <v>45093</v>
      </c>
      <c r="C231" s="1" t="n">
        <v>46050</v>
      </c>
      <c r="D231" t="inlineStr">
        <is>
          <t>VÄSTMANLANDS LÄN</t>
        </is>
      </c>
      <c r="E231" t="inlineStr">
        <is>
          <t>SALA</t>
        </is>
      </c>
      <c r="G231" t="n">
        <v>4.3</v>
      </c>
      <c r="H231" t="n">
        <v>0</v>
      </c>
      <c r="I231" t="n">
        <v>0</v>
      </c>
      <c r="J231" t="n">
        <v>0</v>
      </c>
      <c r="K231" t="n">
        <v>0</v>
      </c>
      <c r="L231" t="n">
        <v>0</v>
      </c>
      <c r="M231" t="n">
        <v>0</v>
      </c>
      <c r="N231" t="n">
        <v>0</v>
      </c>
      <c r="O231" t="n">
        <v>0</v>
      </c>
      <c r="P231" t="n">
        <v>0</v>
      </c>
      <c r="Q231" t="n">
        <v>0</v>
      </c>
      <c r="R231" s="2" t="inlineStr"/>
    </row>
    <row r="232" ht="15" customHeight="1">
      <c r="A232" t="inlineStr">
        <is>
          <t>A 55065-2024</t>
        </is>
      </c>
      <c r="B232" s="1" t="n">
        <v>45618</v>
      </c>
      <c r="C232" s="1" t="n">
        <v>46050</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55035-2023</t>
        </is>
      </c>
      <c r="B233" s="1" t="n">
        <v>45229</v>
      </c>
      <c r="C233" s="1" t="n">
        <v>46050</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24907-2025</t>
        </is>
      </c>
      <c r="B234" s="1" t="n">
        <v>45799</v>
      </c>
      <c r="C234" s="1" t="n">
        <v>46050</v>
      </c>
      <c r="D234" t="inlineStr">
        <is>
          <t>VÄSTMANLANDS LÄN</t>
        </is>
      </c>
      <c r="E234" t="inlineStr">
        <is>
          <t>SALA</t>
        </is>
      </c>
      <c r="G234" t="n">
        <v>3.5</v>
      </c>
      <c r="H234" t="n">
        <v>0</v>
      </c>
      <c r="I234" t="n">
        <v>0</v>
      </c>
      <c r="J234" t="n">
        <v>0</v>
      </c>
      <c r="K234" t="n">
        <v>0</v>
      </c>
      <c r="L234" t="n">
        <v>0</v>
      </c>
      <c r="M234" t="n">
        <v>0</v>
      </c>
      <c r="N234" t="n">
        <v>0</v>
      </c>
      <c r="O234" t="n">
        <v>0</v>
      </c>
      <c r="P234" t="n">
        <v>0</v>
      </c>
      <c r="Q234" t="n">
        <v>0</v>
      </c>
      <c r="R234" s="2" t="inlineStr"/>
    </row>
    <row r="235" ht="15" customHeight="1">
      <c r="A235" t="inlineStr">
        <is>
          <t>A 24910-2025</t>
        </is>
      </c>
      <c r="B235" s="1" t="n">
        <v>45799.53775462963</v>
      </c>
      <c r="C235" s="1" t="n">
        <v>46050</v>
      </c>
      <c r="D235" t="inlineStr">
        <is>
          <t>VÄSTMANLANDS LÄN</t>
        </is>
      </c>
      <c r="E235" t="inlineStr">
        <is>
          <t>SALA</t>
        </is>
      </c>
      <c r="G235" t="n">
        <v>3.5</v>
      </c>
      <c r="H235" t="n">
        <v>0</v>
      </c>
      <c r="I235" t="n">
        <v>0</v>
      </c>
      <c r="J235" t="n">
        <v>0</v>
      </c>
      <c r="K235" t="n">
        <v>0</v>
      </c>
      <c r="L235" t="n">
        <v>0</v>
      </c>
      <c r="M235" t="n">
        <v>0</v>
      </c>
      <c r="N235" t="n">
        <v>0</v>
      </c>
      <c r="O235" t="n">
        <v>0</v>
      </c>
      <c r="P235" t="n">
        <v>0</v>
      </c>
      <c r="Q235" t="n">
        <v>0</v>
      </c>
      <c r="R235" s="2" t="inlineStr"/>
    </row>
    <row r="236" ht="15" customHeight="1">
      <c r="A236" t="inlineStr">
        <is>
          <t>A 60249-2023</t>
        </is>
      </c>
      <c r="B236" s="1" t="n">
        <v>45258</v>
      </c>
      <c r="C236" s="1" t="n">
        <v>46050</v>
      </c>
      <c r="D236" t="inlineStr">
        <is>
          <t>VÄSTMANLANDS LÄN</t>
        </is>
      </c>
      <c r="E236" t="inlineStr">
        <is>
          <t>SALA</t>
        </is>
      </c>
      <c r="G236" t="n">
        <v>2</v>
      </c>
      <c r="H236" t="n">
        <v>0</v>
      </c>
      <c r="I236" t="n">
        <v>0</v>
      </c>
      <c r="J236" t="n">
        <v>0</v>
      </c>
      <c r="K236" t="n">
        <v>0</v>
      </c>
      <c r="L236" t="n">
        <v>0</v>
      </c>
      <c r="M236" t="n">
        <v>0</v>
      </c>
      <c r="N236" t="n">
        <v>0</v>
      </c>
      <c r="O236" t="n">
        <v>0</v>
      </c>
      <c r="P236" t="n">
        <v>0</v>
      </c>
      <c r="Q236" t="n">
        <v>0</v>
      </c>
      <c r="R236" s="2" t="inlineStr"/>
    </row>
    <row r="237" ht="15" customHeight="1">
      <c r="A237" t="inlineStr">
        <is>
          <t>A 31864-2025</t>
        </is>
      </c>
      <c r="B237" s="1" t="n">
        <v>45834.63819444444</v>
      </c>
      <c r="C237" s="1" t="n">
        <v>46050</v>
      </c>
      <c r="D237" t="inlineStr">
        <is>
          <t>VÄSTMANLANDS LÄN</t>
        </is>
      </c>
      <c r="E237" t="inlineStr">
        <is>
          <t>SALA</t>
        </is>
      </c>
      <c r="G237" t="n">
        <v>6.3</v>
      </c>
      <c r="H237" t="n">
        <v>0</v>
      </c>
      <c r="I237" t="n">
        <v>0</v>
      </c>
      <c r="J237" t="n">
        <v>0</v>
      </c>
      <c r="K237" t="n">
        <v>0</v>
      </c>
      <c r="L237" t="n">
        <v>0</v>
      </c>
      <c r="M237" t="n">
        <v>0</v>
      </c>
      <c r="N237" t="n">
        <v>0</v>
      </c>
      <c r="O237" t="n">
        <v>0</v>
      </c>
      <c r="P237" t="n">
        <v>0</v>
      </c>
      <c r="Q237" t="n">
        <v>0</v>
      </c>
      <c r="R237" s="2" t="inlineStr"/>
    </row>
    <row r="238" ht="15" customHeight="1">
      <c r="A238" t="inlineStr">
        <is>
          <t>A 16651-2021</t>
        </is>
      </c>
      <c r="B238" s="1" t="n">
        <v>44294.50096064815</v>
      </c>
      <c r="C238" s="1" t="n">
        <v>46050</v>
      </c>
      <c r="D238" t="inlineStr">
        <is>
          <t>VÄSTMANLANDS LÄN</t>
        </is>
      </c>
      <c r="E238" t="inlineStr">
        <is>
          <t>SALA</t>
        </is>
      </c>
      <c r="G238" t="n">
        <v>7.7</v>
      </c>
      <c r="H238" t="n">
        <v>0</v>
      </c>
      <c r="I238" t="n">
        <v>0</v>
      </c>
      <c r="J238" t="n">
        <v>0</v>
      </c>
      <c r="K238" t="n">
        <v>0</v>
      </c>
      <c r="L238" t="n">
        <v>0</v>
      </c>
      <c r="M238" t="n">
        <v>0</v>
      </c>
      <c r="N238" t="n">
        <v>0</v>
      </c>
      <c r="O238" t="n">
        <v>0</v>
      </c>
      <c r="P238" t="n">
        <v>0</v>
      </c>
      <c r="Q238" t="n">
        <v>0</v>
      </c>
      <c r="R238" s="2" t="inlineStr"/>
    </row>
    <row r="239" ht="15" customHeight="1">
      <c r="A239" t="inlineStr">
        <is>
          <t>A 31597-2024</t>
        </is>
      </c>
      <c r="B239" s="1" t="n">
        <v>45506</v>
      </c>
      <c r="C239" s="1" t="n">
        <v>46050</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31599-2024</t>
        </is>
      </c>
      <c r="B240" s="1" t="n">
        <v>45506</v>
      </c>
      <c r="C240" s="1" t="n">
        <v>46050</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31601-2024</t>
        </is>
      </c>
      <c r="B241" s="1" t="n">
        <v>45506</v>
      </c>
      <c r="C241" s="1" t="n">
        <v>46050</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31608-2024</t>
        </is>
      </c>
      <c r="B242" s="1" t="n">
        <v>45506</v>
      </c>
      <c r="C242" s="1" t="n">
        <v>46050</v>
      </c>
      <c r="D242" t="inlineStr">
        <is>
          <t>VÄSTMANLANDS LÄN</t>
        </is>
      </c>
      <c r="E242" t="inlineStr">
        <is>
          <t>SALA</t>
        </is>
      </c>
      <c r="G242" t="n">
        <v>1.7</v>
      </c>
      <c r="H242" t="n">
        <v>0</v>
      </c>
      <c r="I242" t="n">
        <v>0</v>
      </c>
      <c r="J242" t="n">
        <v>0</v>
      </c>
      <c r="K242" t="n">
        <v>0</v>
      </c>
      <c r="L242" t="n">
        <v>0</v>
      </c>
      <c r="M242" t="n">
        <v>0</v>
      </c>
      <c r="N242" t="n">
        <v>0</v>
      </c>
      <c r="O242" t="n">
        <v>0</v>
      </c>
      <c r="P242" t="n">
        <v>0</v>
      </c>
      <c r="Q242" t="n">
        <v>0</v>
      </c>
      <c r="R242" s="2" t="inlineStr"/>
    </row>
    <row r="243" ht="15" customHeight="1">
      <c r="A243" t="inlineStr">
        <is>
          <t>A 31612-2024</t>
        </is>
      </c>
      <c r="B243" s="1" t="n">
        <v>45506</v>
      </c>
      <c r="C243" s="1" t="n">
        <v>46050</v>
      </c>
      <c r="D243" t="inlineStr">
        <is>
          <t>VÄSTMANLANDS LÄN</t>
        </is>
      </c>
      <c r="E243" t="inlineStr">
        <is>
          <t>SALA</t>
        </is>
      </c>
      <c r="G243" t="n">
        <v>3.2</v>
      </c>
      <c r="H243" t="n">
        <v>0</v>
      </c>
      <c r="I243" t="n">
        <v>0</v>
      </c>
      <c r="J243" t="n">
        <v>0</v>
      </c>
      <c r="K243" t="n">
        <v>0</v>
      </c>
      <c r="L243" t="n">
        <v>0</v>
      </c>
      <c r="M243" t="n">
        <v>0</v>
      </c>
      <c r="N243" t="n">
        <v>0</v>
      </c>
      <c r="O243" t="n">
        <v>0</v>
      </c>
      <c r="P243" t="n">
        <v>0</v>
      </c>
      <c r="Q243" t="n">
        <v>0</v>
      </c>
      <c r="R243" s="2" t="inlineStr"/>
    </row>
    <row r="244" ht="15" customHeight="1">
      <c r="A244" t="inlineStr">
        <is>
          <t>A 52500-2024</t>
        </is>
      </c>
      <c r="B244" s="1" t="n">
        <v>45609</v>
      </c>
      <c r="C244" s="1" t="n">
        <v>46050</v>
      </c>
      <c r="D244" t="inlineStr">
        <is>
          <t>VÄSTMANLANDS LÄN</t>
        </is>
      </c>
      <c r="E244" t="inlineStr">
        <is>
          <t>SALA</t>
        </is>
      </c>
      <c r="G244" t="n">
        <v>1.3</v>
      </c>
      <c r="H244" t="n">
        <v>0</v>
      </c>
      <c r="I244" t="n">
        <v>0</v>
      </c>
      <c r="J244" t="n">
        <v>0</v>
      </c>
      <c r="K244" t="n">
        <v>0</v>
      </c>
      <c r="L244" t="n">
        <v>0</v>
      </c>
      <c r="M244" t="n">
        <v>0</v>
      </c>
      <c r="N244" t="n">
        <v>0</v>
      </c>
      <c r="O244" t="n">
        <v>0</v>
      </c>
      <c r="P244" t="n">
        <v>0</v>
      </c>
      <c r="Q244" t="n">
        <v>0</v>
      </c>
      <c r="R244" s="2" t="inlineStr"/>
    </row>
    <row r="245" ht="15" customHeight="1">
      <c r="A245" t="inlineStr">
        <is>
          <t>A 10909-2024</t>
        </is>
      </c>
      <c r="B245" s="1" t="n">
        <v>45370</v>
      </c>
      <c r="C245" s="1" t="n">
        <v>46050</v>
      </c>
      <c r="D245" t="inlineStr">
        <is>
          <t>VÄSTMANLANDS LÄN</t>
        </is>
      </c>
      <c r="E245" t="inlineStr">
        <is>
          <t>SALA</t>
        </is>
      </c>
      <c r="G245" t="n">
        <v>3.3</v>
      </c>
      <c r="H245" t="n">
        <v>0</v>
      </c>
      <c r="I245" t="n">
        <v>0</v>
      </c>
      <c r="J245" t="n">
        <v>0</v>
      </c>
      <c r="K245" t="n">
        <v>0</v>
      </c>
      <c r="L245" t="n">
        <v>0</v>
      </c>
      <c r="M245" t="n">
        <v>0</v>
      </c>
      <c r="N245" t="n">
        <v>0</v>
      </c>
      <c r="O245" t="n">
        <v>0</v>
      </c>
      <c r="P245" t="n">
        <v>0</v>
      </c>
      <c r="Q245" t="n">
        <v>0</v>
      </c>
      <c r="R245" s="2" t="inlineStr"/>
    </row>
    <row r="246" ht="15" customHeight="1">
      <c r="A246" t="inlineStr">
        <is>
          <t>A 39167-2025</t>
        </is>
      </c>
      <c r="B246" s="1" t="n">
        <v>45888</v>
      </c>
      <c r="C246" s="1" t="n">
        <v>46050</v>
      </c>
      <c r="D246" t="inlineStr">
        <is>
          <t>VÄSTMANLANDS LÄN</t>
        </is>
      </c>
      <c r="E246" t="inlineStr">
        <is>
          <t>SALA</t>
        </is>
      </c>
      <c r="G246" t="n">
        <v>5.5</v>
      </c>
      <c r="H246" t="n">
        <v>0</v>
      </c>
      <c r="I246" t="n">
        <v>0</v>
      </c>
      <c r="J246" t="n">
        <v>0</v>
      </c>
      <c r="K246" t="n">
        <v>0</v>
      </c>
      <c r="L246" t="n">
        <v>0</v>
      </c>
      <c r="M246" t="n">
        <v>0</v>
      </c>
      <c r="N246" t="n">
        <v>0</v>
      </c>
      <c r="O246" t="n">
        <v>0</v>
      </c>
      <c r="P246" t="n">
        <v>0</v>
      </c>
      <c r="Q246" t="n">
        <v>0</v>
      </c>
      <c r="R246" s="2" t="inlineStr"/>
    </row>
    <row r="247" ht="15" customHeight="1">
      <c r="A247" t="inlineStr">
        <is>
          <t>A 39182-2025</t>
        </is>
      </c>
      <c r="B247" s="1" t="n">
        <v>45888.66204861111</v>
      </c>
      <c r="C247" s="1" t="n">
        <v>46050</v>
      </c>
      <c r="D247" t="inlineStr">
        <is>
          <t>VÄSTMANLANDS LÄN</t>
        </is>
      </c>
      <c r="E247" t="inlineStr">
        <is>
          <t>SALA</t>
        </is>
      </c>
      <c r="F247" t="inlineStr">
        <is>
          <t>Bergvik skog öst AB</t>
        </is>
      </c>
      <c r="G247" t="n">
        <v>1.3</v>
      </c>
      <c r="H247" t="n">
        <v>0</v>
      </c>
      <c r="I247" t="n">
        <v>0</v>
      </c>
      <c r="J247" t="n">
        <v>0</v>
      </c>
      <c r="K247" t="n">
        <v>0</v>
      </c>
      <c r="L247" t="n">
        <v>0</v>
      </c>
      <c r="M247" t="n">
        <v>0</v>
      </c>
      <c r="N247" t="n">
        <v>0</v>
      </c>
      <c r="O247" t="n">
        <v>0</v>
      </c>
      <c r="P247" t="n">
        <v>0</v>
      </c>
      <c r="Q247" t="n">
        <v>0</v>
      </c>
      <c r="R247" s="2" t="inlineStr"/>
    </row>
    <row r="248" ht="15" customHeight="1">
      <c r="A248" t="inlineStr">
        <is>
          <t>A 56949-2023</t>
        </is>
      </c>
      <c r="B248" s="1" t="n">
        <v>45244.61589120371</v>
      </c>
      <c r="C248" s="1" t="n">
        <v>46050</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96-2024</t>
        </is>
      </c>
      <c r="B249" s="1" t="n">
        <v>45293.85872685185</v>
      </c>
      <c r="C249" s="1" t="n">
        <v>46050</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54118-2023</t>
        </is>
      </c>
      <c r="B250" s="1" t="n">
        <v>45232</v>
      </c>
      <c r="C250" s="1" t="n">
        <v>46050</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52498-2022</t>
        </is>
      </c>
      <c r="B251" s="1" t="n">
        <v>44874.50152777778</v>
      </c>
      <c r="C251" s="1" t="n">
        <v>46050</v>
      </c>
      <c r="D251" t="inlineStr">
        <is>
          <t>VÄSTMANLANDS LÄN</t>
        </is>
      </c>
      <c r="E251" t="inlineStr">
        <is>
          <t>SALA</t>
        </is>
      </c>
      <c r="G251" t="n">
        <v>2.1</v>
      </c>
      <c r="H251" t="n">
        <v>0</v>
      </c>
      <c r="I251" t="n">
        <v>0</v>
      </c>
      <c r="J251" t="n">
        <v>0</v>
      </c>
      <c r="K251" t="n">
        <v>0</v>
      </c>
      <c r="L251" t="n">
        <v>0</v>
      </c>
      <c r="M251" t="n">
        <v>0</v>
      </c>
      <c r="N251" t="n">
        <v>0</v>
      </c>
      <c r="O251" t="n">
        <v>0</v>
      </c>
      <c r="P251" t="n">
        <v>0</v>
      </c>
      <c r="Q251" t="n">
        <v>0</v>
      </c>
      <c r="R251" s="2" t="inlineStr"/>
    </row>
    <row r="252" ht="15" customHeight="1">
      <c r="A252" t="inlineStr">
        <is>
          <t>A 26661-2025</t>
        </is>
      </c>
      <c r="B252" s="1" t="n">
        <v>45810</v>
      </c>
      <c r="C252" s="1" t="n">
        <v>46050</v>
      </c>
      <c r="D252" t="inlineStr">
        <is>
          <t>VÄSTMANLANDS LÄN</t>
        </is>
      </c>
      <c r="E252" t="inlineStr">
        <is>
          <t>SALA</t>
        </is>
      </c>
      <c r="G252" t="n">
        <v>3.5</v>
      </c>
      <c r="H252" t="n">
        <v>0</v>
      </c>
      <c r="I252" t="n">
        <v>0</v>
      </c>
      <c r="J252" t="n">
        <v>0</v>
      </c>
      <c r="K252" t="n">
        <v>0</v>
      </c>
      <c r="L252" t="n">
        <v>0</v>
      </c>
      <c r="M252" t="n">
        <v>0</v>
      </c>
      <c r="N252" t="n">
        <v>0</v>
      </c>
      <c r="O252" t="n">
        <v>0</v>
      </c>
      <c r="P252" t="n">
        <v>0</v>
      </c>
      <c r="Q252" t="n">
        <v>0</v>
      </c>
      <c r="R252" s="2" t="inlineStr"/>
    </row>
    <row r="253" ht="15" customHeight="1">
      <c r="A253" t="inlineStr">
        <is>
          <t>A 34814-2021</t>
        </is>
      </c>
      <c r="B253" s="1" t="n">
        <v>44383</v>
      </c>
      <c r="C253" s="1" t="n">
        <v>46050</v>
      </c>
      <c r="D253" t="inlineStr">
        <is>
          <t>VÄSTMANLANDS LÄN</t>
        </is>
      </c>
      <c r="E253" t="inlineStr">
        <is>
          <t>SALA</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25748-2022</t>
        </is>
      </c>
      <c r="B254" s="1" t="n">
        <v>44732</v>
      </c>
      <c r="C254" s="1" t="n">
        <v>46050</v>
      </c>
      <c r="D254" t="inlineStr">
        <is>
          <t>VÄSTMANLANDS LÄN</t>
        </is>
      </c>
      <c r="E254" t="inlineStr">
        <is>
          <t>SALA</t>
        </is>
      </c>
      <c r="G254" t="n">
        <v>7.7</v>
      </c>
      <c r="H254" t="n">
        <v>0</v>
      </c>
      <c r="I254" t="n">
        <v>0</v>
      </c>
      <c r="J254" t="n">
        <v>0</v>
      </c>
      <c r="K254" t="n">
        <v>0</v>
      </c>
      <c r="L254" t="n">
        <v>0</v>
      </c>
      <c r="M254" t="n">
        <v>0</v>
      </c>
      <c r="N254" t="n">
        <v>0</v>
      </c>
      <c r="O254" t="n">
        <v>0</v>
      </c>
      <c r="P254" t="n">
        <v>0</v>
      </c>
      <c r="Q254" t="n">
        <v>0</v>
      </c>
      <c r="R254" s="2" t="inlineStr"/>
    </row>
    <row r="255" ht="15" customHeight="1">
      <c r="A255" t="inlineStr">
        <is>
          <t>A 3733-2023</t>
        </is>
      </c>
      <c r="B255" s="1" t="n">
        <v>44951.42501157407</v>
      </c>
      <c r="C255" s="1" t="n">
        <v>46050</v>
      </c>
      <c r="D255" t="inlineStr">
        <is>
          <t>VÄSTMANLANDS LÄN</t>
        </is>
      </c>
      <c r="E255" t="inlineStr">
        <is>
          <t>SALA</t>
        </is>
      </c>
      <c r="G255" t="n">
        <v>3.1</v>
      </c>
      <c r="H255" t="n">
        <v>0</v>
      </c>
      <c r="I255" t="n">
        <v>0</v>
      </c>
      <c r="J255" t="n">
        <v>0</v>
      </c>
      <c r="K255" t="n">
        <v>0</v>
      </c>
      <c r="L255" t="n">
        <v>0</v>
      </c>
      <c r="M255" t="n">
        <v>0</v>
      </c>
      <c r="N255" t="n">
        <v>0</v>
      </c>
      <c r="O255" t="n">
        <v>0</v>
      </c>
      <c r="P255" t="n">
        <v>0</v>
      </c>
      <c r="Q255" t="n">
        <v>0</v>
      </c>
      <c r="R255" s="2" t="inlineStr"/>
    </row>
    <row r="256" ht="15" customHeight="1">
      <c r="A256" t="inlineStr">
        <is>
          <t>A 6136-2025</t>
        </is>
      </c>
      <c r="B256" s="1" t="n">
        <v>45698.37601851852</v>
      </c>
      <c r="C256" s="1" t="n">
        <v>46050</v>
      </c>
      <c r="D256" t="inlineStr">
        <is>
          <t>VÄSTMANLANDS LÄN</t>
        </is>
      </c>
      <c r="E256" t="inlineStr">
        <is>
          <t>SALA</t>
        </is>
      </c>
      <c r="F256" t="inlineStr">
        <is>
          <t>Bergvik skog öst AB</t>
        </is>
      </c>
      <c r="G256" t="n">
        <v>2.2</v>
      </c>
      <c r="H256" t="n">
        <v>0</v>
      </c>
      <c r="I256" t="n">
        <v>0</v>
      </c>
      <c r="J256" t="n">
        <v>0</v>
      </c>
      <c r="K256" t="n">
        <v>0</v>
      </c>
      <c r="L256" t="n">
        <v>0</v>
      </c>
      <c r="M256" t="n">
        <v>0</v>
      </c>
      <c r="N256" t="n">
        <v>0</v>
      </c>
      <c r="O256" t="n">
        <v>0</v>
      </c>
      <c r="P256" t="n">
        <v>0</v>
      </c>
      <c r="Q256" t="n">
        <v>0</v>
      </c>
      <c r="R256" s="2" t="inlineStr"/>
    </row>
    <row r="257" ht="15" customHeight="1">
      <c r="A257" t="inlineStr">
        <is>
          <t>A 6190-2025</t>
        </is>
      </c>
      <c r="B257" s="1" t="n">
        <v>45698</v>
      </c>
      <c r="C257" s="1" t="n">
        <v>46050</v>
      </c>
      <c r="D257" t="inlineStr">
        <is>
          <t>VÄSTMANLANDS LÄN</t>
        </is>
      </c>
      <c r="E257" t="inlineStr">
        <is>
          <t>SALA</t>
        </is>
      </c>
      <c r="F257" t="inlineStr">
        <is>
          <t>Bergvik skog öst AB</t>
        </is>
      </c>
      <c r="G257" t="n">
        <v>4.6</v>
      </c>
      <c r="H257" t="n">
        <v>0</v>
      </c>
      <c r="I257" t="n">
        <v>0</v>
      </c>
      <c r="J257" t="n">
        <v>0</v>
      </c>
      <c r="K257" t="n">
        <v>0</v>
      </c>
      <c r="L257" t="n">
        <v>0</v>
      </c>
      <c r="M257" t="n">
        <v>0</v>
      </c>
      <c r="N257" t="n">
        <v>0</v>
      </c>
      <c r="O257" t="n">
        <v>0</v>
      </c>
      <c r="P257" t="n">
        <v>0</v>
      </c>
      <c r="Q257" t="n">
        <v>0</v>
      </c>
      <c r="R257" s="2" t="inlineStr"/>
    </row>
    <row r="258" ht="15" customHeight="1">
      <c r="A258" t="inlineStr">
        <is>
          <t>A 16760-2024</t>
        </is>
      </c>
      <c r="B258" s="1" t="n">
        <v>45411</v>
      </c>
      <c r="C258" s="1" t="n">
        <v>46050</v>
      </c>
      <c r="D258" t="inlineStr">
        <is>
          <t>VÄSTMANLANDS LÄN</t>
        </is>
      </c>
      <c r="E258" t="inlineStr">
        <is>
          <t>SALA</t>
        </is>
      </c>
      <c r="G258" t="n">
        <v>2.6</v>
      </c>
      <c r="H258" t="n">
        <v>0</v>
      </c>
      <c r="I258" t="n">
        <v>0</v>
      </c>
      <c r="J258" t="n">
        <v>0</v>
      </c>
      <c r="K258" t="n">
        <v>0</v>
      </c>
      <c r="L258" t="n">
        <v>0</v>
      </c>
      <c r="M258" t="n">
        <v>0</v>
      </c>
      <c r="N258" t="n">
        <v>0</v>
      </c>
      <c r="O258" t="n">
        <v>0</v>
      </c>
      <c r="P258" t="n">
        <v>0</v>
      </c>
      <c r="Q258" t="n">
        <v>0</v>
      </c>
      <c r="R258" s="2" t="inlineStr"/>
    </row>
    <row r="259" ht="15" customHeight="1">
      <c r="A259" t="inlineStr">
        <is>
          <t>A 40559-2025</t>
        </is>
      </c>
      <c r="B259" s="1" t="n">
        <v>45896.45037037037</v>
      </c>
      <c r="C259" s="1" t="n">
        <v>46050</v>
      </c>
      <c r="D259" t="inlineStr">
        <is>
          <t>VÄSTMANLANDS LÄN</t>
        </is>
      </c>
      <c r="E259" t="inlineStr">
        <is>
          <t>SALA</t>
        </is>
      </c>
      <c r="G259" t="n">
        <v>0.9</v>
      </c>
      <c r="H259" t="n">
        <v>0</v>
      </c>
      <c r="I259" t="n">
        <v>0</v>
      </c>
      <c r="J259" t="n">
        <v>0</v>
      </c>
      <c r="K259" t="n">
        <v>0</v>
      </c>
      <c r="L259" t="n">
        <v>0</v>
      </c>
      <c r="M259" t="n">
        <v>0</v>
      </c>
      <c r="N259" t="n">
        <v>0</v>
      </c>
      <c r="O259" t="n">
        <v>0</v>
      </c>
      <c r="P259" t="n">
        <v>0</v>
      </c>
      <c r="Q259" t="n">
        <v>0</v>
      </c>
      <c r="R259" s="2" t="inlineStr"/>
    </row>
    <row r="260" ht="15" customHeight="1">
      <c r="A260" t="inlineStr">
        <is>
          <t>A 40556-2025</t>
        </is>
      </c>
      <c r="B260" s="1" t="n">
        <v>45896.44944444444</v>
      </c>
      <c r="C260" s="1" t="n">
        <v>46050</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40620-2025</t>
        </is>
      </c>
      <c r="B261" s="1" t="n">
        <v>45896.58609953704</v>
      </c>
      <c r="C261" s="1" t="n">
        <v>46050</v>
      </c>
      <c r="D261" t="inlineStr">
        <is>
          <t>VÄSTMANLANDS LÄN</t>
        </is>
      </c>
      <c r="E261" t="inlineStr">
        <is>
          <t>SALA</t>
        </is>
      </c>
      <c r="G261" t="n">
        <v>6.7</v>
      </c>
      <c r="H261" t="n">
        <v>0</v>
      </c>
      <c r="I261" t="n">
        <v>0</v>
      </c>
      <c r="J261" t="n">
        <v>0</v>
      </c>
      <c r="K261" t="n">
        <v>0</v>
      </c>
      <c r="L261" t="n">
        <v>0</v>
      </c>
      <c r="M261" t="n">
        <v>0</v>
      </c>
      <c r="N261" t="n">
        <v>0</v>
      </c>
      <c r="O261" t="n">
        <v>0</v>
      </c>
      <c r="P261" t="n">
        <v>0</v>
      </c>
      <c r="Q261" t="n">
        <v>0</v>
      </c>
      <c r="R261" s="2" t="inlineStr"/>
    </row>
    <row r="262" ht="15" customHeight="1">
      <c r="A262" t="inlineStr">
        <is>
          <t>A 6127-2025</t>
        </is>
      </c>
      <c r="B262" s="1" t="n">
        <v>45698</v>
      </c>
      <c r="C262" s="1" t="n">
        <v>46050</v>
      </c>
      <c r="D262" t="inlineStr">
        <is>
          <t>VÄSTMANLANDS LÄN</t>
        </is>
      </c>
      <c r="E262" t="inlineStr">
        <is>
          <t>SALA</t>
        </is>
      </c>
      <c r="F262" t="inlineStr">
        <is>
          <t>Bergvik skog öst AB</t>
        </is>
      </c>
      <c r="G262" t="n">
        <v>4.3</v>
      </c>
      <c r="H262" t="n">
        <v>0</v>
      </c>
      <c r="I262" t="n">
        <v>0</v>
      </c>
      <c r="J262" t="n">
        <v>0</v>
      </c>
      <c r="K262" t="n">
        <v>0</v>
      </c>
      <c r="L262" t="n">
        <v>0</v>
      </c>
      <c r="M262" t="n">
        <v>0</v>
      </c>
      <c r="N262" t="n">
        <v>0</v>
      </c>
      <c r="O262" t="n">
        <v>0</v>
      </c>
      <c r="P262" t="n">
        <v>0</v>
      </c>
      <c r="Q262" t="n">
        <v>0</v>
      </c>
      <c r="R262" s="2" t="inlineStr"/>
    </row>
    <row r="263" ht="15" customHeight="1">
      <c r="A263" t="inlineStr">
        <is>
          <t>A 27989-2025</t>
        </is>
      </c>
      <c r="B263" s="1" t="n">
        <v>45817.58716435185</v>
      </c>
      <c r="C263" s="1" t="n">
        <v>46050</v>
      </c>
      <c r="D263" t="inlineStr">
        <is>
          <t>VÄSTMANLANDS LÄN</t>
        </is>
      </c>
      <c r="E263" t="inlineStr">
        <is>
          <t>SALA</t>
        </is>
      </c>
      <c r="G263" t="n">
        <v>1.9</v>
      </c>
      <c r="H263" t="n">
        <v>0</v>
      </c>
      <c r="I263" t="n">
        <v>0</v>
      </c>
      <c r="J263" t="n">
        <v>0</v>
      </c>
      <c r="K263" t="n">
        <v>0</v>
      </c>
      <c r="L263" t="n">
        <v>0</v>
      </c>
      <c r="M263" t="n">
        <v>0</v>
      </c>
      <c r="N263" t="n">
        <v>0</v>
      </c>
      <c r="O263" t="n">
        <v>0</v>
      </c>
      <c r="P263" t="n">
        <v>0</v>
      </c>
      <c r="Q263" t="n">
        <v>0</v>
      </c>
      <c r="R263" s="2" t="inlineStr"/>
    </row>
    <row r="264" ht="15" customHeight="1">
      <c r="A264" t="inlineStr">
        <is>
          <t>A 988-2025</t>
        </is>
      </c>
      <c r="B264" s="1" t="n">
        <v>45666.44038194444</v>
      </c>
      <c r="C264" s="1" t="n">
        <v>46050</v>
      </c>
      <c r="D264" t="inlineStr">
        <is>
          <t>VÄSTMANLANDS LÄN</t>
        </is>
      </c>
      <c r="E264" t="inlineStr">
        <is>
          <t>SALA</t>
        </is>
      </c>
      <c r="G264" t="n">
        <v>1.3</v>
      </c>
      <c r="H264" t="n">
        <v>0</v>
      </c>
      <c r="I264" t="n">
        <v>0</v>
      </c>
      <c r="J264" t="n">
        <v>0</v>
      </c>
      <c r="K264" t="n">
        <v>0</v>
      </c>
      <c r="L264" t="n">
        <v>0</v>
      </c>
      <c r="M264" t="n">
        <v>0</v>
      </c>
      <c r="N264" t="n">
        <v>0</v>
      </c>
      <c r="O264" t="n">
        <v>0</v>
      </c>
      <c r="P264" t="n">
        <v>0</v>
      </c>
      <c r="Q264" t="n">
        <v>0</v>
      </c>
      <c r="R264" s="2" t="inlineStr"/>
    </row>
    <row r="265" ht="15" customHeight="1">
      <c r="A265" t="inlineStr">
        <is>
          <t>A 27981-2025</t>
        </is>
      </c>
      <c r="B265" s="1" t="n">
        <v>45817.57471064815</v>
      </c>
      <c r="C265" s="1" t="n">
        <v>46050</v>
      </c>
      <c r="D265" t="inlineStr">
        <is>
          <t>VÄSTMANLANDS LÄN</t>
        </is>
      </c>
      <c r="E265" t="inlineStr">
        <is>
          <t>SALA</t>
        </is>
      </c>
      <c r="G265" t="n">
        <v>1.7</v>
      </c>
      <c r="H265" t="n">
        <v>0</v>
      </c>
      <c r="I265" t="n">
        <v>0</v>
      </c>
      <c r="J265" t="n">
        <v>0</v>
      </c>
      <c r="K265" t="n">
        <v>0</v>
      </c>
      <c r="L265" t="n">
        <v>0</v>
      </c>
      <c r="M265" t="n">
        <v>0</v>
      </c>
      <c r="N265" t="n">
        <v>0</v>
      </c>
      <c r="O265" t="n">
        <v>0</v>
      </c>
      <c r="P265" t="n">
        <v>0</v>
      </c>
      <c r="Q265" t="n">
        <v>0</v>
      </c>
      <c r="R265" s="2" t="inlineStr"/>
    </row>
    <row r="266" ht="15" customHeight="1">
      <c r="A266" t="inlineStr">
        <is>
          <t>A 60328-2024</t>
        </is>
      </c>
      <c r="B266" s="1" t="n">
        <v>45643.38416666666</v>
      </c>
      <c r="C266" s="1" t="n">
        <v>46050</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28193-2025</t>
        </is>
      </c>
      <c r="B267" s="1" t="n">
        <v>45818.425625</v>
      </c>
      <c r="C267" s="1" t="n">
        <v>46050</v>
      </c>
      <c r="D267" t="inlineStr">
        <is>
          <t>VÄSTMANLANDS LÄN</t>
        </is>
      </c>
      <c r="E267" t="inlineStr">
        <is>
          <t>SALA</t>
        </is>
      </c>
      <c r="G267" t="n">
        <v>1.8</v>
      </c>
      <c r="H267" t="n">
        <v>0</v>
      </c>
      <c r="I267" t="n">
        <v>0</v>
      </c>
      <c r="J267" t="n">
        <v>0</v>
      </c>
      <c r="K267" t="n">
        <v>0</v>
      </c>
      <c r="L267" t="n">
        <v>0</v>
      </c>
      <c r="M267" t="n">
        <v>0</v>
      </c>
      <c r="N267" t="n">
        <v>0</v>
      </c>
      <c r="O267" t="n">
        <v>0</v>
      </c>
      <c r="P267" t="n">
        <v>0</v>
      </c>
      <c r="Q267" t="n">
        <v>0</v>
      </c>
      <c r="R267" s="2" t="inlineStr"/>
    </row>
    <row r="268" ht="15" customHeight="1">
      <c r="A268" t="inlineStr">
        <is>
          <t>A 28284-2025</t>
        </is>
      </c>
      <c r="B268" s="1" t="n">
        <v>45818.58893518519</v>
      </c>
      <c r="C268" s="1" t="n">
        <v>46050</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35016-2024</t>
        </is>
      </c>
      <c r="B269" s="1" t="n">
        <v>45527.59115740741</v>
      </c>
      <c r="C269" s="1" t="n">
        <v>46050</v>
      </c>
      <c r="D269" t="inlineStr">
        <is>
          <t>VÄSTMANLANDS LÄN</t>
        </is>
      </c>
      <c r="E269" t="inlineStr">
        <is>
          <t>SALA</t>
        </is>
      </c>
      <c r="G269" t="n">
        <v>0.4</v>
      </c>
      <c r="H269" t="n">
        <v>0</v>
      </c>
      <c r="I269" t="n">
        <v>0</v>
      </c>
      <c r="J269" t="n">
        <v>0</v>
      </c>
      <c r="K269" t="n">
        <v>0</v>
      </c>
      <c r="L269" t="n">
        <v>0</v>
      </c>
      <c r="M269" t="n">
        <v>0</v>
      </c>
      <c r="N269" t="n">
        <v>0</v>
      </c>
      <c r="O269" t="n">
        <v>0</v>
      </c>
      <c r="P269" t="n">
        <v>0</v>
      </c>
      <c r="Q269" t="n">
        <v>0</v>
      </c>
      <c r="R269" s="2" t="inlineStr"/>
    </row>
    <row r="270" ht="15" customHeight="1">
      <c r="A270" t="inlineStr">
        <is>
          <t>A 41230-2025</t>
        </is>
      </c>
      <c r="B270" s="1" t="n">
        <v>45898</v>
      </c>
      <c r="C270" s="1" t="n">
        <v>46050</v>
      </c>
      <c r="D270" t="inlineStr">
        <is>
          <t>VÄSTMANLANDS LÄN</t>
        </is>
      </c>
      <c r="E270" t="inlineStr">
        <is>
          <t>SALA</t>
        </is>
      </c>
      <c r="G270" t="n">
        <v>2.3</v>
      </c>
      <c r="H270" t="n">
        <v>0</v>
      </c>
      <c r="I270" t="n">
        <v>0</v>
      </c>
      <c r="J270" t="n">
        <v>0</v>
      </c>
      <c r="K270" t="n">
        <v>0</v>
      </c>
      <c r="L270" t="n">
        <v>0</v>
      </c>
      <c r="M270" t="n">
        <v>0</v>
      </c>
      <c r="N270" t="n">
        <v>0</v>
      </c>
      <c r="O270" t="n">
        <v>0</v>
      </c>
      <c r="P270" t="n">
        <v>0</v>
      </c>
      <c r="Q270" t="n">
        <v>0</v>
      </c>
      <c r="R270" s="2" t="inlineStr"/>
    </row>
    <row r="271" ht="15" customHeight="1">
      <c r="A271" t="inlineStr">
        <is>
          <t>A 28278-2025</t>
        </is>
      </c>
      <c r="B271" s="1" t="n">
        <v>45818.58454861111</v>
      </c>
      <c r="C271" s="1" t="n">
        <v>46050</v>
      </c>
      <c r="D271" t="inlineStr">
        <is>
          <t>VÄSTMANLANDS LÄN</t>
        </is>
      </c>
      <c r="E271" t="inlineStr">
        <is>
          <t>SALA</t>
        </is>
      </c>
      <c r="G271" t="n">
        <v>7.6</v>
      </c>
      <c r="H271" t="n">
        <v>0</v>
      </c>
      <c r="I271" t="n">
        <v>0</v>
      </c>
      <c r="J271" t="n">
        <v>0</v>
      </c>
      <c r="K271" t="n">
        <v>0</v>
      </c>
      <c r="L271" t="n">
        <v>0</v>
      </c>
      <c r="M271" t="n">
        <v>0</v>
      </c>
      <c r="N271" t="n">
        <v>0</v>
      </c>
      <c r="O271" t="n">
        <v>0</v>
      </c>
      <c r="P271" t="n">
        <v>0</v>
      </c>
      <c r="Q271" t="n">
        <v>0</v>
      </c>
      <c r="R271" s="2" t="inlineStr"/>
    </row>
    <row r="272" ht="15" customHeight="1">
      <c r="A272" t="inlineStr">
        <is>
          <t>A 25897-2024</t>
        </is>
      </c>
      <c r="B272" s="1" t="n">
        <v>45467.54435185185</v>
      </c>
      <c r="C272" s="1" t="n">
        <v>46050</v>
      </c>
      <c r="D272" t="inlineStr">
        <is>
          <t>VÄSTMANLANDS LÄN</t>
        </is>
      </c>
      <c r="E272" t="inlineStr">
        <is>
          <t>SALA</t>
        </is>
      </c>
      <c r="G272" t="n">
        <v>9.9</v>
      </c>
      <c r="H272" t="n">
        <v>0</v>
      </c>
      <c r="I272" t="n">
        <v>0</v>
      </c>
      <c r="J272" t="n">
        <v>0</v>
      </c>
      <c r="K272" t="n">
        <v>0</v>
      </c>
      <c r="L272" t="n">
        <v>0</v>
      </c>
      <c r="M272" t="n">
        <v>0</v>
      </c>
      <c r="N272" t="n">
        <v>0</v>
      </c>
      <c r="O272" t="n">
        <v>0</v>
      </c>
      <c r="P272" t="n">
        <v>0</v>
      </c>
      <c r="Q272" t="n">
        <v>0</v>
      </c>
      <c r="R272" s="2" t="inlineStr"/>
    </row>
    <row r="273" ht="15" customHeight="1">
      <c r="A273" t="inlineStr">
        <is>
          <t>A 31072-2021</t>
        </is>
      </c>
      <c r="B273" s="1" t="n">
        <v>44368</v>
      </c>
      <c r="C273" s="1" t="n">
        <v>46050</v>
      </c>
      <c r="D273" t="inlineStr">
        <is>
          <t>VÄSTMANLANDS LÄN</t>
        </is>
      </c>
      <c r="E273" t="inlineStr">
        <is>
          <t>SALA</t>
        </is>
      </c>
      <c r="G273" t="n">
        <v>1.1</v>
      </c>
      <c r="H273" t="n">
        <v>0</v>
      </c>
      <c r="I273" t="n">
        <v>0</v>
      </c>
      <c r="J273" t="n">
        <v>0</v>
      </c>
      <c r="K273" t="n">
        <v>0</v>
      </c>
      <c r="L273" t="n">
        <v>0</v>
      </c>
      <c r="M273" t="n">
        <v>0</v>
      </c>
      <c r="N273" t="n">
        <v>0</v>
      </c>
      <c r="O273" t="n">
        <v>0</v>
      </c>
      <c r="P273" t="n">
        <v>0</v>
      </c>
      <c r="Q273" t="n">
        <v>0</v>
      </c>
      <c r="R273" s="2" t="inlineStr"/>
    </row>
    <row r="274" ht="15" customHeight="1">
      <c r="A274" t="inlineStr">
        <is>
          <t>A 28628-2025</t>
        </is>
      </c>
      <c r="B274" s="1" t="n">
        <v>45819.62158564815</v>
      </c>
      <c r="C274" s="1" t="n">
        <v>46050</v>
      </c>
      <c r="D274" t="inlineStr">
        <is>
          <t>VÄSTMANLANDS LÄN</t>
        </is>
      </c>
      <c r="E274" t="inlineStr">
        <is>
          <t>SALA</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28632-2025</t>
        </is>
      </c>
      <c r="B275" s="1" t="n">
        <v>45819.62344907408</v>
      </c>
      <c r="C275" s="1" t="n">
        <v>46050</v>
      </c>
      <c r="D275" t="inlineStr">
        <is>
          <t>VÄSTMANLANDS LÄN</t>
        </is>
      </c>
      <c r="E275" t="inlineStr">
        <is>
          <t>SALA</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28630-2025</t>
        </is>
      </c>
      <c r="B276" s="1" t="n">
        <v>45819.62274305556</v>
      </c>
      <c r="C276" s="1" t="n">
        <v>46050</v>
      </c>
      <c r="D276" t="inlineStr">
        <is>
          <t>VÄSTMANLANDS LÄN</t>
        </is>
      </c>
      <c r="E276" t="inlineStr">
        <is>
          <t>SALA</t>
        </is>
      </c>
      <c r="F276" t="inlineStr">
        <is>
          <t>Sveaskog</t>
        </is>
      </c>
      <c r="G276" t="n">
        <v>9</v>
      </c>
      <c r="H276" t="n">
        <v>0</v>
      </c>
      <c r="I276" t="n">
        <v>0</v>
      </c>
      <c r="J276" t="n">
        <v>0</v>
      </c>
      <c r="K276" t="n">
        <v>0</v>
      </c>
      <c r="L276" t="n">
        <v>0</v>
      </c>
      <c r="M276" t="n">
        <v>0</v>
      </c>
      <c r="N276" t="n">
        <v>0</v>
      </c>
      <c r="O276" t="n">
        <v>0</v>
      </c>
      <c r="P276" t="n">
        <v>0</v>
      </c>
      <c r="Q276" t="n">
        <v>0</v>
      </c>
      <c r="R276" s="2" t="inlineStr"/>
    </row>
    <row r="277" ht="15" customHeight="1">
      <c r="A277" t="inlineStr">
        <is>
          <t>A 41414-2025</t>
        </is>
      </c>
      <c r="B277" s="1" t="n">
        <v>45901.360625</v>
      </c>
      <c r="C277" s="1" t="n">
        <v>46050</v>
      </c>
      <c r="D277" t="inlineStr">
        <is>
          <t>VÄSTMANLANDS LÄN</t>
        </is>
      </c>
      <c r="E277" t="inlineStr">
        <is>
          <t>SALA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57371-2022</t>
        </is>
      </c>
      <c r="B278" s="1" t="n">
        <v>44896.43832175926</v>
      </c>
      <c r="C278" s="1" t="n">
        <v>46050</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46050</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22019-2021</t>
        </is>
      </c>
      <c r="B280" s="1" t="n">
        <v>44323</v>
      </c>
      <c r="C280" s="1" t="n">
        <v>46050</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53164-2024</t>
        </is>
      </c>
      <c r="B281" s="1" t="n">
        <v>45611.64887731482</v>
      </c>
      <c r="C281" s="1" t="n">
        <v>46050</v>
      </c>
      <c r="D281" t="inlineStr">
        <is>
          <t>VÄSTMANLANDS LÄN</t>
        </is>
      </c>
      <c r="E281" t="inlineStr">
        <is>
          <t>SALA</t>
        </is>
      </c>
      <c r="G281" t="n">
        <v>2.6</v>
      </c>
      <c r="H281" t="n">
        <v>0</v>
      </c>
      <c r="I281" t="n">
        <v>0</v>
      </c>
      <c r="J281" t="n">
        <v>0</v>
      </c>
      <c r="K281" t="n">
        <v>0</v>
      </c>
      <c r="L281" t="n">
        <v>0</v>
      </c>
      <c r="M281" t="n">
        <v>0</v>
      </c>
      <c r="N281" t="n">
        <v>0</v>
      </c>
      <c r="O281" t="n">
        <v>0</v>
      </c>
      <c r="P281" t="n">
        <v>0</v>
      </c>
      <c r="Q281" t="n">
        <v>0</v>
      </c>
      <c r="R281" s="2" t="inlineStr"/>
    </row>
    <row r="282" ht="15" customHeight="1">
      <c r="A282" t="inlineStr">
        <is>
          <t>A 41431-2025</t>
        </is>
      </c>
      <c r="B282" s="1" t="n">
        <v>45901.39347222223</v>
      </c>
      <c r="C282" s="1" t="n">
        <v>46050</v>
      </c>
      <c r="D282" t="inlineStr">
        <is>
          <t>VÄSTMANLANDS LÄN</t>
        </is>
      </c>
      <c r="E282" t="inlineStr">
        <is>
          <t>SALA</t>
        </is>
      </c>
      <c r="G282" t="n">
        <v>0.8</v>
      </c>
      <c r="H282" t="n">
        <v>0</v>
      </c>
      <c r="I282" t="n">
        <v>0</v>
      </c>
      <c r="J282" t="n">
        <v>0</v>
      </c>
      <c r="K282" t="n">
        <v>0</v>
      </c>
      <c r="L282" t="n">
        <v>0</v>
      </c>
      <c r="M282" t="n">
        <v>0</v>
      </c>
      <c r="N282" t="n">
        <v>0</v>
      </c>
      <c r="O282" t="n">
        <v>0</v>
      </c>
      <c r="P282" t="n">
        <v>0</v>
      </c>
      <c r="Q282" t="n">
        <v>0</v>
      </c>
      <c r="R282" s="2" t="inlineStr"/>
    </row>
    <row r="283" ht="15" customHeight="1">
      <c r="A283" t="inlineStr">
        <is>
          <t>A 28837-2025</t>
        </is>
      </c>
      <c r="B283" s="1" t="n">
        <v>45820.56243055555</v>
      </c>
      <c r="C283" s="1" t="n">
        <v>46050</v>
      </c>
      <c r="D283" t="inlineStr">
        <is>
          <t>VÄSTMANLANDS LÄN</t>
        </is>
      </c>
      <c r="E283" t="inlineStr">
        <is>
          <t>SALA</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28849-2025</t>
        </is>
      </c>
      <c r="B284" s="1" t="n">
        <v>45820</v>
      </c>
      <c r="C284" s="1" t="n">
        <v>46050</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55784-2024</t>
        </is>
      </c>
      <c r="B285" s="1" t="n">
        <v>45623</v>
      </c>
      <c r="C285" s="1" t="n">
        <v>46050</v>
      </c>
      <c r="D285" t="inlineStr">
        <is>
          <t>VÄSTMANLANDS LÄN</t>
        </is>
      </c>
      <c r="E285" t="inlineStr">
        <is>
          <t>SALA</t>
        </is>
      </c>
      <c r="F285" t="inlineStr">
        <is>
          <t>Bergvik skog öst AB</t>
        </is>
      </c>
      <c r="G285" t="n">
        <v>28.4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44294.50096064815</v>
      </c>
      <c r="C286" s="1" t="n">
        <v>46050</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29085-2025</t>
        </is>
      </c>
      <c r="B287" s="1" t="n">
        <v>45821</v>
      </c>
      <c r="C287" s="1" t="n">
        <v>46050</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29691-2025</t>
        </is>
      </c>
      <c r="B288" s="1" t="n">
        <v>45825.53645833334</v>
      </c>
      <c r="C288" s="1" t="n">
        <v>46050</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19803-2024</t>
        </is>
      </c>
      <c r="B289" s="1" t="n">
        <v>45432</v>
      </c>
      <c r="C289" s="1" t="n">
        <v>46050</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60541-2024</t>
        </is>
      </c>
      <c r="B290" s="1" t="n">
        <v>45643</v>
      </c>
      <c r="C290" s="1" t="n">
        <v>46050</v>
      </c>
      <c r="D290" t="inlineStr">
        <is>
          <t>VÄSTMANLANDS LÄN</t>
        </is>
      </c>
      <c r="E290" t="inlineStr">
        <is>
          <t>SALA</t>
        </is>
      </c>
      <c r="G290" t="n">
        <v>10.6</v>
      </c>
      <c r="H290" t="n">
        <v>0</v>
      </c>
      <c r="I290" t="n">
        <v>0</v>
      </c>
      <c r="J290" t="n">
        <v>0</v>
      </c>
      <c r="K290" t="n">
        <v>0</v>
      </c>
      <c r="L290" t="n">
        <v>0</v>
      </c>
      <c r="M290" t="n">
        <v>0</v>
      </c>
      <c r="N290" t="n">
        <v>0</v>
      </c>
      <c r="O290" t="n">
        <v>0</v>
      </c>
      <c r="P290" t="n">
        <v>0</v>
      </c>
      <c r="Q290" t="n">
        <v>0</v>
      </c>
      <c r="R290" s="2" t="inlineStr"/>
    </row>
    <row r="291" ht="15" customHeight="1">
      <c r="A291" t="inlineStr">
        <is>
          <t>A 21968-2024</t>
        </is>
      </c>
      <c r="B291" s="1" t="n">
        <v>45443</v>
      </c>
      <c r="C291" s="1" t="n">
        <v>46050</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7196-2025</t>
        </is>
      </c>
      <c r="B292" s="1" t="n">
        <v>45702</v>
      </c>
      <c r="C292" s="1" t="n">
        <v>46050</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42421-2025</t>
        </is>
      </c>
      <c r="B293" s="1" t="n">
        <v>45905.40067129629</v>
      </c>
      <c r="C293" s="1" t="n">
        <v>46050</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40597-2022</t>
        </is>
      </c>
      <c r="B294" s="1" t="n">
        <v>44823.84862268518</v>
      </c>
      <c r="C294" s="1" t="n">
        <v>46050</v>
      </c>
      <c r="D294" t="inlineStr">
        <is>
          <t>VÄSTMANLANDS LÄN</t>
        </is>
      </c>
      <c r="E294" t="inlineStr">
        <is>
          <t>SALA</t>
        </is>
      </c>
      <c r="G294" t="n">
        <v>3.5</v>
      </c>
      <c r="H294" t="n">
        <v>0</v>
      </c>
      <c r="I294" t="n">
        <v>0</v>
      </c>
      <c r="J294" t="n">
        <v>0</v>
      </c>
      <c r="K294" t="n">
        <v>0</v>
      </c>
      <c r="L294" t="n">
        <v>0</v>
      </c>
      <c r="M294" t="n">
        <v>0</v>
      </c>
      <c r="N294" t="n">
        <v>0</v>
      </c>
      <c r="O294" t="n">
        <v>0</v>
      </c>
      <c r="P294" t="n">
        <v>0</v>
      </c>
      <c r="Q294" t="n">
        <v>0</v>
      </c>
      <c r="R294" s="2" t="inlineStr"/>
    </row>
    <row r="295" ht="15" customHeight="1">
      <c r="A295" t="inlineStr">
        <is>
          <t>A 29826-2025</t>
        </is>
      </c>
      <c r="B295" s="1" t="n">
        <v>45825.85761574074</v>
      </c>
      <c r="C295" s="1" t="n">
        <v>46050</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17495-2024</t>
        </is>
      </c>
      <c r="B296" s="1" t="n">
        <v>45415</v>
      </c>
      <c r="C296" s="1" t="n">
        <v>46050</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37263-2025</t>
        </is>
      </c>
      <c r="B297" s="1" t="n">
        <v>45876.4584837963</v>
      </c>
      <c r="C297" s="1" t="n">
        <v>46050</v>
      </c>
      <c r="D297" t="inlineStr">
        <is>
          <t>VÄSTMANLANDS LÄN</t>
        </is>
      </c>
      <c r="E297" t="inlineStr">
        <is>
          <t>SALA</t>
        </is>
      </c>
      <c r="G297" t="n">
        <v>2.3</v>
      </c>
      <c r="H297" t="n">
        <v>0</v>
      </c>
      <c r="I297" t="n">
        <v>0</v>
      </c>
      <c r="J297" t="n">
        <v>0</v>
      </c>
      <c r="K297" t="n">
        <v>0</v>
      </c>
      <c r="L297" t="n">
        <v>0</v>
      </c>
      <c r="M297" t="n">
        <v>0</v>
      </c>
      <c r="N297" t="n">
        <v>0</v>
      </c>
      <c r="O297" t="n">
        <v>0</v>
      </c>
      <c r="P297" t="n">
        <v>0</v>
      </c>
      <c r="Q297" t="n">
        <v>0</v>
      </c>
      <c r="R297" s="2" t="inlineStr"/>
    </row>
    <row r="298" ht="15" customHeight="1">
      <c r="A298" t="inlineStr">
        <is>
          <t>A 43127-2025</t>
        </is>
      </c>
      <c r="B298" s="1" t="n">
        <v>45909</v>
      </c>
      <c r="C298" s="1" t="n">
        <v>46050</v>
      </c>
      <c r="D298" t="inlineStr">
        <is>
          <t>VÄSTMANLANDS LÄN</t>
        </is>
      </c>
      <c r="E298" t="inlineStr">
        <is>
          <t>SALA</t>
        </is>
      </c>
      <c r="G298" t="n">
        <v>0.7</v>
      </c>
      <c r="H298" t="n">
        <v>0</v>
      </c>
      <c r="I298" t="n">
        <v>0</v>
      </c>
      <c r="J298" t="n">
        <v>0</v>
      </c>
      <c r="K298" t="n">
        <v>0</v>
      </c>
      <c r="L298" t="n">
        <v>0</v>
      </c>
      <c r="M298" t="n">
        <v>0</v>
      </c>
      <c r="N298" t="n">
        <v>0</v>
      </c>
      <c r="O298" t="n">
        <v>0</v>
      </c>
      <c r="P298" t="n">
        <v>0</v>
      </c>
      <c r="Q298" t="n">
        <v>0</v>
      </c>
      <c r="R298" s="2" t="inlineStr"/>
    </row>
    <row r="299" ht="15" customHeight="1">
      <c r="A299" t="inlineStr">
        <is>
          <t>A 64925-2023</t>
        </is>
      </c>
      <c r="B299" s="1" t="n">
        <v>45282</v>
      </c>
      <c r="C299" s="1" t="n">
        <v>46050</v>
      </c>
      <c r="D299" t="inlineStr">
        <is>
          <t>VÄSTMANLANDS LÄN</t>
        </is>
      </c>
      <c r="E299" t="inlineStr">
        <is>
          <t>SALA</t>
        </is>
      </c>
      <c r="G299" t="n">
        <v>2.5</v>
      </c>
      <c r="H299" t="n">
        <v>0</v>
      </c>
      <c r="I299" t="n">
        <v>0</v>
      </c>
      <c r="J299" t="n">
        <v>0</v>
      </c>
      <c r="K299" t="n">
        <v>0</v>
      </c>
      <c r="L299" t="n">
        <v>0</v>
      </c>
      <c r="M299" t="n">
        <v>0</v>
      </c>
      <c r="N299" t="n">
        <v>0</v>
      </c>
      <c r="O299" t="n">
        <v>0</v>
      </c>
      <c r="P299" t="n">
        <v>0</v>
      </c>
      <c r="Q299" t="n">
        <v>0</v>
      </c>
      <c r="R299" s="2" t="inlineStr"/>
    </row>
    <row r="300" ht="15" customHeight="1">
      <c r="A300" t="inlineStr">
        <is>
          <t>A 43128-2025</t>
        </is>
      </c>
      <c r="B300" s="1" t="n">
        <v>45909</v>
      </c>
      <c r="C300" s="1" t="n">
        <v>46050</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40554-2025</t>
        </is>
      </c>
      <c r="B301" s="1" t="n">
        <v>45896.44506944445</v>
      </c>
      <c r="C301" s="1" t="n">
        <v>46050</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43129-2025</t>
        </is>
      </c>
      <c r="B302" s="1" t="n">
        <v>45909</v>
      </c>
      <c r="C302" s="1" t="n">
        <v>46050</v>
      </c>
      <c r="D302" t="inlineStr">
        <is>
          <t>VÄSTMANLANDS LÄN</t>
        </is>
      </c>
      <c r="E302" t="inlineStr">
        <is>
          <t>SALA</t>
        </is>
      </c>
      <c r="G302" t="n">
        <v>2.4</v>
      </c>
      <c r="H302" t="n">
        <v>0</v>
      </c>
      <c r="I302" t="n">
        <v>0</v>
      </c>
      <c r="J302" t="n">
        <v>0</v>
      </c>
      <c r="K302" t="n">
        <v>0</v>
      </c>
      <c r="L302" t="n">
        <v>0</v>
      </c>
      <c r="M302" t="n">
        <v>0</v>
      </c>
      <c r="N302" t="n">
        <v>0</v>
      </c>
      <c r="O302" t="n">
        <v>0</v>
      </c>
      <c r="P302" t="n">
        <v>0</v>
      </c>
      <c r="Q302" t="n">
        <v>0</v>
      </c>
      <c r="R302" s="2" t="inlineStr"/>
    </row>
    <row r="303" ht="15" customHeight="1">
      <c r="A303" t="inlineStr">
        <is>
          <t>A 43130-2025</t>
        </is>
      </c>
      <c r="B303" s="1" t="n">
        <v>45909</v>
      </c>
      <c r="C303" s="1" t="n">
        <v>46050</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43028-2025</t>
        </is>
      </c>
      <c r="B304" s="1" t="n">
        <v>45909.53472222222</v>
      </c>
      <c r="C304" s="1" t="n">
        <v>46050</v>
      </c>
      <c r="D304" t="inlineStr">
        <is>
          <t>VÄSTMANLANDS LÄN</t>
        </is>
      </c>
      <c r="E304" t="inlineStr">
        <is>
          <t>SALA</t>
        </is>
      </c>
      <c r="G304" t="n">
        <v>3.8</v>
      </c>
      <c r="H304" t="n">
        <v>0</v>
      </c>
      <c r="I304" t="n">
        <v>0</v>
      </c>
      <c r="J304" t="n">
        <v>0</v>
      </c>
      <c r="K304" t="n">
        <v>0</v>
      </c>
      <c r="L304" t="n">
        <v>0</v>
      </c>
      <c r="M304" t="n">
        <v>0</v>
      </c>
      <c r="N304" t="n">
        <v>0</v>
      </c>
      <c r="O304" t="n">
        <v>0</v>
      </c>
      <c r="P304" t="n">
        <v>0</v>
      </c>
      <c r="Q304" t="n">
        <v>0</v>
      </c>
      <c r="R304" s="2" t="inlineStr"/>
    </row>
    <row r="305" ht="15" customHeight="1">
      <c r="A305" t="inlineStr">
        <is>
          <t>A 43031-2025</t>
        </is>
      </c>
      <c r="B305" s="1" t="n">
        <v>45909.53856481481</v>
      </c>
      <c r="C305" s="1" t="n">
        <v>46050</v>
      </c>
      <c r="D305" t="inlineStr">
        <is>
          <t>VÄSTMANLANDS LÄN</t>
        </is>
      </c>
      <c r="E305" t="inlineStr">
        <is>
          <t>SALA</t>
        </is>
      </c>
      <c r="G305" t="n">
        <v>0.2</v>
      </c>
      <c r="H305" t="n">
        <v>0</v>
      </c>
      <c r="I305" t="n">
        <v>0</v>
      </c>
      <c r="J305" t="n">
        <v>0</v>
      </c>
      <c r="K305" t="n">
        <v>0</v>
      </c>
      <c r="L305" t="n">
        <v>0</v>
      </c>
      <c r="M305" t="n">
        <v>0</v>
      </c>
      <c r="N305" t="n">
        <v>0</v>
      </c>
      <c r="O305" t="n">
        <v>0</v>
      </c>
      <c r="P305" t="n">
        <v>0</v>
      </c>
      <c r="Q305" t="n">
        <v>0</v>
      </c>
      <c r="R305" s="2" t="inlineStr"/>
    </row>
    <row r="306" ht="15" customHeight="1">
      <c r="A306" t="inlineStr">
        <is>
          <t>A 23406-2024</t>
        </is>
      </c>
      <c r="B306" s="1" t="n">
        <v>45453.58296296297</v>
      </c>
      <c r="C306" s="1" t="n">
        <v>46050</v>
      </c>
      <c r="D306" t="inlineStr">
        <is>
          <t>VÄSTMANLANDS LÄN</t>
        </is>
      </c>
      <c r="E306" t="inlineStr">
        <is>
          <t>SALA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31608-2025</t>
        </is>
      </c>
      <c r="B307" s="1" t="n">
        <v>45833</v>
      </c>
      <c r="C307" s="1" t="n">
        <v>46050</v>
      </c>
      <c r="D307" t="inlineStr">
        <is>
          <t>VÄSTMANLANDS LÄN</t>
        </is>
      </c>
      <c r="E307" t="inlineStr">
        <is>
          <t>SALA</t>
        </is>
      </c>
      <c r="G307" t="n">
        <v>6.1</v>
      </c>
      <c r="H307" t="n">
        <v>0</v>
      </c>
      <c r="I307" t="n">
        <v>0</v>
      </c>
      <c r="J307" t="n">
        <v>0</v>
      </c>
      <c r="K307" t="n">
        <v>0</v>
      </c>
      <c r="L307" t="n">
        <v>0</v>
      </c>
      <c r="M307" t="n">
        <v>0</v>
      </c>
      <c r="N307" t="n">
        <v>0</v>
      </c>
      <c r="O307" t="n">
        <v>0</v>
      </c>
      <c r="P307" t="n">
        <v>0</v>
      </c>
      <c r="Q307" t="n">
        <v>0</v>
      </c>
      <c r="R307" s="2" t="inlineStr"/>
    </row>
    <row r="308" ht="15" customHeight="1">
      <c r="A308" t="inlineStr">
        <is>
          <t>A 30866-2025</t>
        </is>
      </c>
      <c r="B308" s="1" t="n">
        <v>45832.3246875</v>
      </c>
      <c r="C308" s="1" t="n">
        <v>46050</v>
      </c>
      <c r="D308" t="inlineStr">
        <is>
          <t>VÄSTMANLANDS LÄN</t>
        </is>
      </c>
      <c r="E308" t="inlineStr">
        <is>
          <t>SALA</t>
        </is>
      </c>
      <c r="G308" t="n">
        <v>14.3</v>
      </c>
      <c r="H308" t="n">
        <v>0</v>
      </c>
      <c r="I308" t="n">
        <v>0</v>
      </c>
      <c r="J308" t="n">
        <v>0</v>
      </c>
      <c r="K308" t="n">
        <v>0</v>
      </c>
      <c r="L308" t="n">
        <v>0</v>
      </c>
      <c r="M308" t="n">
        <v>0</v>
      </c>
      <c r="N308" t="n">
        <v>0</v>
      </c>
      <c r="O308" t="n">
        <v>0</v>
      </c>
      <c r="P308" t="n">
        <v>0</v>
      </c>
      <c r="Q308" t="n">
        <v>0</v>
      </c>
      <c r="R308" s="2" t="inlineStr"/>
    </row>
    <row r="309" ht="15" customHeight="1">
      <c r="A309" t="inlineStr">
        <is>
          <t>A 30874-2025</t>
        </is>
      </c>
      <c r="B309" s="1" t="n">
        <v>45832.34430555555</v>
      </c>
      <c r="C309" s="1" t="n">
        <v>46050</v>
      </c>
      <c r="D309" t="inlineStr">
        <is>
          <t>VÄSTMANLANDS LÄN</t>
        </is>
      </c>
      <c r="E309" t="inlineStr">
        <is>
          <t>SALA</t>
        </is>
      </c>
      <c r="G309" t="n">
        <v>8.4</v>
      </c>
      <c r="H309" t="n">
        <v>0</v>
      </c>
      <c r="I309" t="n">
        <v>0</v>
      </c>
      <c r="J309" t="n">
        <v>0</v>
      </c>
      <c r="K309" t="n">
        <v>0</v>
      </c>
      <c r="L309" t="n">
        <v>0</v>
      </c>
      <c r="M309" t="n">
        <v>0</v>
      </c>
      <c r="N309" t="n">
        <v>0</v>
      </c>
      <c r="O309" t="n">
        <v>0</v>
      </c>
      <c r="P309" t="n">
        <v>0</v>
      </c>
      <c r="Q309" t="n">
        <v>0</v>
      </c>
      <c r="R309" s="2" t="inlineStr"/>
    </row>
    <row r="310" ht="15" customHeight="1">
      <c r="A310" t="inlineStr">
        <is>
          <t>A 16133-2025</t>
        </is>
      </c>
      <c r="B310" s="1" t="n">
        <v>45750</v>
      </c>
      <c r="C310" s="1" t="n">
        <v>46050</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31573-2025</t>
        </is>
      </c>
      <c r="B311" s="1" t="n">
        <v>45833</v>
      </c>
      <c r="C311" s="1" t="n">
        <v>46050</v>
      </c>
      <c r="D311" t="inlineStr">
        <is>
          <t>VÄSTMANLANDS LÄN</t>
        </is>
      </c>
      <c r="E311" t="inlineStr">
        <is>
          <t>SALA</t>
        </is>
      </c>
      <c r="G311" t="n">
        <v>0.6</v>
      </c>
      <c r="H311" t="n">
        <v>0</v>
      </c>
      <c r="I311" t="n">
        <v>0</v>
      </c>
      <c r="J311" t="n">
        <v>0</v>
      </c>
      <c r="K311" t="n">
        <v>0</v>
      </c>
      <c r="L311" t="n">
        <v>0</v>
      </c>
      <c r="M311" t="n">
        <v>0</v>
      </c>
      <c r="N311" t="n">
        <v>0</v>
      </c>
      <c r="O311" t="n">
        <v>0</v>
      </c>
      <c r="P311" t="n">
        <v>0</v>
      </c>
      <c r="Q311" t="n">
        <v>0</v>
      </c>
      <c r="R311" s="2" t="inlineStr"/>
    </row>
    <row r="312" ht="15" customHeight="1">
      <c r="A312" t="inlineStr">
        <is>
          <t>A 31288-2025</t>
        </is>
      </c>
      <c r="B312" s="1" t="n">
        <v>45833</v>
      </c>
      <c r="C312" s="1" t="n">
        <v>46050</v>
      </c>
      <c r="D312" t="inlineStr">
        <is>
          <t>VÄSTMANLANDS LÄN</t>
        </is>
      </c>
      <c r="E312" t="inlineStr">
        <is>
          <t>SALA</t>
        </is>
      </c>
      <c r="G312" t="n">
        <v>3.1</v>
      </c>
      <c r="H312" t="n">
        <v>0</v>
      </c>
      <c r="I312" t="n">
        <v>0</v>
      </c>
      <c r="J312" t="n">
        <v>0</v>
      </c>
      <c r="K312" t="n">
        <v>0</v>
      </c>
      <c r="L312" t="n">
        <v>0</v>
      </c>
      <c r="M312" t="n">
        <v>0</v>
      </c>
      <c r="N312" t="n">
        <v>0</v>
      </c>
      <c r="O312" t="n">
        <v>0</v>
      </c>
      <c r="P312" t="n">
        <v>0</v>
      </c>
      <c r="Q312" t="n">
        <v>0</v>
      </c>
      <c r="R312" s="2" t="inlineStr"/>
    </row>
    <row r="313" ht="15" customHeight="1">
      <c r="A313" t="inlineStr">
        <is>
          <t>A 31554-2025</t>
        </is>
      </c>
      <c r="B313" s="1" t="n">
        <v>45833</v>
      </c>
      <c r="C313" s="1" t="n">
        <v>46050</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15099-2025</t>
        </is>
      </c>
      <c r="B314" s="1" t="n">
        <v>45744.3434837963</v>
      </c>
      <c r="C314" s="1" t="n">
        <v>46050</v>
      </c>
      <c r="D314" t="inlineStr">
        <is>
          <t>VÄSTMANLANDS LÄN</t>
        </is>
      </c>
      <c r="E314" t="inlineStr">
        <is>
          <t>SALA</t>
        </is>
      </c>
      <c r="F314" t="inlineStr">
        <is>
          <t>Sveaskog</t>
        </is>
      </c>
      <c r="G314" t="n">
        <v>14.4</v>
      </c>
      <c r="H314" t="n">
        <v>0</v>
      </c>
      <c r="I314" t="n">
        <v>0</v>
      </c>
      <c r="J314" t="n">
        <v>0</v>
      </c>
      <c r="K314" t="n">
        <v>0</v>
      </c>
      <c r="L314" t="n">
        <v>0</v>
      </c>
      <c r="M314" t="n">
        <v>0</v>
      </c>
      <c r="N314" t="n">
        <v>0</v>
      </c>
      <c r="O314" t="n">
        <v>0</v>
      </c>
      <c r="P314" t="n">
        <v>0</v>
      </c>
      <c r="Q314" t="n">
        <v>0</v>
      </c>
      <c r="R314" s="2" t="inlineStr"/>
    </row>
    <row r="315" ht="15" customHeight="1">
      <c r="A315" t="inlineStr">
        <is>
          <t>A 43328-2025</t>
        </is>
      </c>
      <c r="B315" s="1" t="n">
        <v>45910</v>
      </c>
      <c r="C315" s="1" t="n">
        <v>46050</v>
      </c>
      <c r="D315" t="inlineStr">
        <is>
          <t>VÄSTMANLANDS LÄN</t>
        </is>
      </c>
      <c r="E315" t="inlineStr">
        <is>
          <t>SALA</t>
        </is>
      </c>
      <c r="G315" t="n">
        <v>0.8</v>
      </c>
      <c r="H315" t="n">
        <v>0</v>
      </c>
      <c r="I315" t="n">
        <v>0</v>
      </c>
      <c r="J315" t="n">
        <v>0</v>
      </c>
      <c r="K315" t="n">
        <v>0</v>
      </c>
      <c r="L315" t="n">
        <v>0</v>
      </c>
      <c r="M315" t="n">
        <v>0</v>
      </c>
      <c r="N315" t="n">
        <v>0</v>
      </c>
      <c r="O315" t="n">
        <v>0</v>
      </c>
      <c r="P315" t="n">
        <v>0</v>
      </c>
      <c r="Q315" t="n">
        <v>0</v>
      </c>
      <c r="R315" s="2" t="inlineStr"/>
    </row>
    <row r="316" ht="15" customHeight="1">
      <c r="A316" t="inlineStr">
        <is>
          <t>A 30899-2025</t>
        </is>
      </c>
      <c r="B316" s="1" t="n">
        <v>45832.35767361111</v>
      </c>
      <c r="C316" s="1" t="n">
        <v>46050</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31065-2025</t>
        </is>
      </c>
      <c r="B317" s="1" t="n">
        <v>45832.57571759259</v>
      </c>
      <c r="C317" s="1" t="n">
        <v>46050</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60036-2024</t>
        </is>
      </c>
      <c r="B318" s="1" t="n">
        <v>45642.46434027778</v>
      </c>
      <c r="C318" s="1" t="n">
        <v>46050</v>
      </c>
      <c r="D318" t="inlineStr">
        <is>
          <t>VÄSTMANLANDS LÄN</t>
        </is>
      </c>
      <c r="E318" t="inlineStr">
        <is>
          <t>SALA</t>
        </is>
      </c>
      <c r="G318" t="n">
        <v>2.5</v>
      </c>
      <c r="H318" t="n">
        <v>0</v>
      </c>
      <c r="I318" t="n">
        <v>0</v>
      </c>
      <c r="J318" t="n">
        <v>0</v>
      </c>
      <c r="K318" t="n">
        <v>0</v>
      </c>
      <c r="L318" t="n">
        <v>0</v>
      </c>
      <c r="M318" t="n">
        <v>0</v>
      </c>
      <c r="N318" t="n">
        <v>0</v>
      </c>
      <c r="O318" t="n">
        <v>0</v>
      </c>
      <c r="P318" t="n">
        <v>0</v>
      </c>
      <c r="Q318" t="n">
        <v>0</v>
      </c>
      <c r="R318" s="2" t="inlineStr"/>
    </row>
    <row r="319" ht="15" customHeight="1">
      <c r="A319" t="inlineStr">
        <is>
          <t>A 52827-2024</t>
        </is>
      </c>
      <c r="B319" s="1" t="n">
        <v>45610</v>
      </c>
      <c r="C319" s="1" t="n">
        <v>46050</v>
      </c>
      <c r="D319" t="inlineStr">
        <is>
          <t>VÄSTMANLANDS LÄN</t>
        </is>
      </c>
      <c r="E319" t="inlineStr">
        <is>
          <t>SALA</t>
        </is>
      </c>
      <c r="G319" t="n">
        <v>0.2</v>
      </c>
      <c r="H319" t="n">
        <v>0</v>
      </c>
      <c r="I319" t="n">
        <v>0</v>
      </c>
      <c r="J319" t="n">
        <v>0</v>
      </c>
      <c r="K319" t="n">
        <v>0</v>
      </c>
      <c r="L319" t="n">
        <v>0</v>
      </c>
      <c r="M319" t="n">
        <v>0</v>
      </c>
      <c r="N319" t="n">
        <v>0</v>
      </c>
      <c r="O319" t="n">
        <v>0</v>
      </c>
      <c r="P319" t="n">
        <v>0</v>
      </c>
      <c r="Q319" t="n">
        <v>0</v>
      </c>
      <c r="R319" s="2" t="inlineStr"/>
    </row>
    <row r="320" ht="15" customHeight="1">
      <c r="A320" t="inlineStr">
        <is>
          <t>A 31296-2025</t>
        </is>
      </c>
      <c r="B320" s="1" t="n">
        <v>45833.36765046296</v>
      </c>
      <c r="C320" s="1" t="n">
        <v>46050</v>
      </c>
      <c r="D320" t="inlineStr">
        <is>
          <t>VÄSTMANLANDS LÄN</t>
        </is>
      </c>
      <c r="E320" t="inlineStr">
        <is>
          <t>SALA</t>
        </is>
      </c>
      <c r="G320" t="n">
        <v>3.7</v>
      </c>
      <c r="H320" t="n">
        <v>0</v>
      </c>
      <c r="I320" t="n">
        <v>0</v>
      </c>
      <c r="J320" t="n">
        <v>0</v>
      </c>
      <c r="K320" t="n">
        <v>0</v>
      </c>
      <c r="L320" t="n">
        <v>0</v>
      </c>
      <c r="M320" t="n">
        <v>0</v>
      </c>
      <c r="N320" t="n">
        <v>0</v>
      </c>
      <c r="O320" t="n">
        <v>0</v>
      </c>
      <c r="P320" t="n">
        <v>0</v>
      </c>
      <c r="Q320" t="n">
        <v>0</v>
      </c>
      <c r="R320" s="2" t="inlineStr"/>
    </row>
    <row r="321" ht="15" customHeight="1">
      <c r="A321" t="inlineStr">
        <is>
          <t>A 31748-2025</t>
        </is>
      </c>
      <c r="B321" s="1" t="n">
        <v>45834</v>
      </c>
      <c r="C321" s="1" t="n">
        <v>46050</v>
      </c>
      <c r="D321" t="inlineStr">
        <is>
          <t>VÄSTMANLANDS LÄN</t>
        </is>
      </c>
      <c r="E321" t="inlineStr">
        <is>
          <t>SALA</t>
        </is>
      </c>
      <c r="G321" t="n">
        <v>2</v>
      </c>
      <c r="H321" t="n">
        <v>0</v>
      </c>
      <c r="I321" t="n">
        <v>0</v>
      </c>
      <c r="J321" t="n">
        <v>0</v>
      </c>
      <c r="K321" t="n">
        <v>0</v>
      </c>
      <c r="L321" t="n">
        <v>0</v>
      </c>
      <c r="M321" t="n">
        <v>0</v>
      </c>
      <c r="N321" t="n">
        <v>0</v>
      </c>
      <c r="O321" t="n">
        <v>0</v>
      </c>
      <c r="P321" t="n">
        <v>0</v>
      </c>
      <c r="Q321" t="n">
        <v>0</v>
      </c>
      <c r="R321" s="2" t="inlineStr"/>
    </row>
    <row r="322" ht="15" customHeight="1">
      <c r="A322" t="inlineStr">
        <is>
          <t>A 32210-2025</t>
        </is>
      </c>
      <c r="B322" s="1" t="n">
        <v>45835</v>
      </c>
      <c r="C322" s="1" t="n">
        <v>46050</v>
      </c>
      <c r="D322" t="inlineStr">
        <is>
          <t>VÄSTMANLANDS LÄN</t>
        </is>
      </c>
      <c r="E322" t="inlineStr">
        <is>
          <t>SALA</t>
        </is>
      </c>
      <c r="F322" t="inlineStr">
        <is>
          <t>Bergvik skog öst AB</t>
        </is>
      </c>
      <c r="G322" t="n">
        <v>1.5</v>
      </c>
      <c r="H322" t="n">
        <v>0</v>
      </c>
      <c r="I322" t="n">
        <v>0</v>
      </c>
      <c r="J322" t="n">
        <v>0</v>
      </c>
      <c r="K322" t="n">
        <v>0</v>
      </c>
      <c r="L322" t="n">
        <v>0</v>
      </c>
      <c r="M322" t="n">
        <v>0</v>
      </c>
      <c r="N322" t="n">
        <v>0</v>
      </c>
      <c r="O322" t="n">
        <v>0</v>
      </c>
      <c r="P322" t="n">
        <v>0</v>
      </c>
      <c r="Q322" t="n">
        <v>0</v>
      </c>
      <c r="R322" s="2" t="inlineStr"/>
    </row>
    <row r="323" ht="15" customHeight="1">
      <c r="A323" t="inlineStr">
        <is>
          <t>A 44100-2025</t>
        </is>
      </c>
      <c r="B323" s="1" t="n">
        <v>45915.56707175926</v>
      </c>
      <c r="C323" s="1" t="n">
        <v>46050</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16328-2025</t>
        </is>
      </c>
      <c r="B324" s="1" t="n">
        <v>45751</v>
      </c>
      <c r="C324" s="1" t="n">
        <v>46050</v>
      </c>
      <c r="D324" t="inlineStr">
        <is>
          <t>VÄSTMANLANDS LÄN</t>
        </is>
      </c>
      <c r="E324" t="inlineStr">
        <is>
          <t>SALA</t>
        </is>
      </c>
      <c r="G324" t="n">
        <v>2.9</v>
      </c>
      <c r="H324" t="n">
        <v>0</v>
      </c>
      <c r="I324" t="n">
        <v>0</v>
      </c>
      <c r="J324" t="n">
        <v>0</v>
      </c>
      <c r="K324" t="n">
        <v>0</v>
      </c>
      <c r="L324" t="n">
        <v>0</v>
      </c>
      <c r="M324" t="n">
        <v>0</v>
      </c>
      <c r="N324" t="n">
        <v>0</v>
      </c>
      <c r="O324" t="n">
        <v>0</v>
      </c>
      <c r="P324" t="n">
        <v>0</v>
      </c>
      <c r="Q324" t="n">
        <v>0</v>
      </c>
      <c r="R324" s="2" t="inlineStr"/>
    </row>
    <row r="325" ht="15" customHeight="1">
      <c r="A325" t="inlineStr">
        <is>
          <t>A 31610-2025</t>
        </is>
      </c>
      <c r="B325" s="1" t="n">
        <v>45833.78650462963</v>
      </c>
      <c r="C325" s="1" t="n">
        <v>46050</v>
      </c>
      <c r="D325" t="inlineStr">
        <is>
          <t>VÄSTMANLANDS LÄN</t>
        </is>
      </c>
      <c r="E325" t="inlineStr">
        <is>
          <t>SALA</t>
        </is>
      </c>
      <c r="G325" t="n">
        <v>8</v>
      </c>
      <c r="H325" t="n">
        <v>0</v>
      </c>
      <c r="I325" t="n">
        <v>0</v>
      </c>
      <c r="J325" t="n">
        <v>0</v>
      </c>
      <c r="K325" t="n">
        <v>0</v>
      </c>
      <c r="L325" t="n">
        <v>0</v>
      </c>
      <c r="M325" t="n">
        <v>0</v>
      </c>
      <c r="N325" t="n">
        <v>0</v>
      </c>
      <c r="O325" t="n">
        <v>0</v>
      </c>
      <c r="P325" t="n">
        <v>0</v>
      </c>
      <c r="Q325" t="n">
        <v>0</v>
      </c>
      <c r="R325" s="2" t="inlineStr"/>
    </row>
    <row r="326" ht="15" customHeight="1">
      <c r="A326" t="inlineStr">
        <is>
          <t>A 32201-2025</t>
        </is>
      </c>
      <c r="B326" s="1" t="n">
        <v>45835</v>
      </c>
      <c r="C326" s="1" t="n">
        <v>46050</v>
      </c>
      <c r="D326" t="inlineStr">
        <is>
          <t>VÄSTMANLANDS LÄN</t>
        </is>
      </c>
      <c r="E326" t="inlineStr">
        <is>
          <t>SALA</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31612-2025</t>
        </is>
      </c>
      <c r="B327" s="1" t="n">
        <v>45833.80056712963</v>
      </c>
      <c r="C327" s="1" t="n">
        <v>46050</v>
      </c>
      <c r="D327" t="inlineStr">
        <is>
          <t>VÄSTMANLANDS LÄN</t>
        </is>
      </c>
      <c r="E327" t="inlineStr">
        <is>
          <t>SALA</t>
        </is>
      </c>
      <c r="G327" t="n">
        <v>6.3</v>
      </c>
      <c r="H327" t="n">
        <v>0</v>
      </c>
      <c r="I327" t="n">
        <v>0</v>
      </c>
      <c r="J327" t="n">
        <v>0</v>
      </c>
      <c r="K327" t="n">
        <v>0</v>
      </c>
      <c r="L327" t="n">
        <v>0</v>
      </c>
      <c r="M327" t="n">
        <v>0</v>
      </c>
      <c r="N327" t="n">
        <v>0</v>
      </c>
      <c r="O327" t="n">
        <v>0</v>
      </c>
      <c r="P327" t="n">
        <v>0</v>
      </c>
      <c r="Q327" t="n">
        <v>0</v>
      </c>
      <c r="R327" s="2" t="inlineStr"/>
    </row>
    <row r="328" ht="15" customHeight="1">
      <c r="A328" t="inlineStr">
        <is>
          <t>A 32207-2025</t>
        </is>
      </c>
      <c r="B328" s="1" t="n">
        <v>45835</v>
      </c>
      <c r="C328" s="1" t="n">
        <v>46050</v>
      </c>
      <c r="D328" t="inlineStr">
        <is>
          <t>VÄSTMANLANDS LÄN</t>
        </is>
      </c>
      <c r="E328" t="inlineStr">
        <is>
          <t>SALA</t>
        </is>
      </c>
      <c r="F328" t="inlineStr">
        <is>
          <t>Bergvik skog öst AB</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31762-2025</t>
        </is>
      </c>
      <c r="B329" s="1" t="n">
        <v>45834.49288194445</v>
      </c>
      <c r="C329" s="1" t="n">
        <v>46050</v>
      </c>
      <c r="D329" t="inlineStr">
        <is>
          <t>VÄSTMANLANDS LÄN</t>
        </is>
      </c>
      <c r="E329" t="inlineStr">
        <is>
          <t>SALA</t>
        </is>
      </c>
      <c r="G329" t="n">
        <v>5.9</v>
      </c>
      <c r="H329" t="n">
        <v>0</v>
      </c>
      <c r="I329" t="n">
        <v>0</v>
      </c>
      <c r="J329" t="n">
        <v>0</v>
      </c>
      <c r="K329" t="n">
        <v>0</v>
      </c>
      <c r="L329" t="n">
        <v>0</v>
      </c>
      <c r="M329" t="n">
        <v>0</v>
      </c>
      <c r="N329" t="n">
        <v>0</v>
      </c>
      <c r="O329" t="n">
        <v>0</v>
      </c>
      <c r="P329" t="n">
        <v>0</v>
      </c>
      <c r="Q329" t="n">
        <v>0</v>
      </c>
      <c r="R329" s="2" t="inlineStr"/>
    </row>
    <row r="330" ht="15" customHeight="1">
      <c r="A330" t="inlineStr">
        <is>
          <t>A 31771-2025</t>
        </is>
      </c>
      <c r="B330" s="1" t="n">
        <v>45834.50910879629</v>
      </c>
      <c r="C330" s="1" t="n">
        <v>46050</v>
      </c>
      <c r="D330" t="inlineStr">
        <is>
          <t>VÄSTMANLANDS LÄN</t>
        </is>
      </c>
      <c r="E330" t="inlineStr">
        <is>
          <t>SALA</t>
        </is>
      </c>
      <c r="G330" t="n">
        <v>5.1</v>
      </c>
      <c r="H330" t="n">
        <v>0</v>
      </c>
      <c r="I330" t="n">
        <v>0</v>
      </c>
      <c r="J330" t="n">
        <v>0</v>
      </c>
      <c r="K330" t="n">
        <v>0</v>
      </c>
      <c r="L330" t="n">
        <v>0</v>
      </c>
      <c r="M330" t="n">
        <v>0</v>
      </c>
      <c r="N330" t="n">
        <v>0</v>
      </c>
      <c r="O330" t="n">
        <v>0</v>
      </c>
      <c r="P330" t="n">
        <v>0</v>
      </c>
      <c r="Q330" t="n">
        <v>0</v>
      </c>
      <c r="R330" s="2" t="inlineStr"/>
    </row>
    <row r="331" ht="15" customHeight="1">
      <c r="A331" t="inlineStr">
        <is>
          <t>A 32205-2025</t>
        </is>
      </c>
      <c r="B331" s="1" t="n">
        <v>45835</v>
      </c>
      <c r="C331" s="1" t="n">
        <v>46050</v>
      </c>
      <c r="D331" t="inlineStr">
        <is>
          <t>VÄSTMANLANDS LÄN</t>
        </is>
      </c>
      <c r="E331" t="inlineStr">
        <is>
          <t>SALA</t>
        </is>
      </c>
      <c r="F331" t="inlineStr">
        <is>
          <t>Bergvik skog öst AB</t>
        </is>
      </c>
      <c r="G331" t="n">
        <v>1.1</v>
      </c>
      <c r="H331" t="n">
        <v>0</v>
      </c>
      <c r="I331" t="n">
        <v>0</v>
      </c>
      <c r="J331" t="n">
        <v>0</v>
      </c>
      <c r="K331" t="n">
        <v>0</v>
      </c>
      <c r="L331" t="n">
        <v>0</v>
      </c>
      <c r="M331" t="n">
        <v>0</v>
      </c>
      <c r="N331" t="n">
        <v>0</v>
      </c>
      <c r="O331" t="n">
        <v>0</v>
      </c>
      <c r="P331" t="n">
        <v>0</v>
      </c>
      <c r="Q331" t="n">
        <v>0</v>
      </c>
      <c r="R331" s="2" t="inlineStr"/>
    </row>
    <row r="332" ht="15" customHeight="1">
      <c r="A332" t="inlineStr">
        <is>
          <t>A 32286-2025</t>
        </is>
      </c>
      <c r="B332" s="1" t="n">
        <v>45835</v>
      </c>
      <c r="C332" s="1" t="n">
        <v>46050</v>
      </c>
      <c r="D332" t="inlineStr">
        <is>
          <t>VÄSTMANLANDS LÄN</t>
        </is>
      </c>
      <c r="E332" t="inlineStr">
        <is>
          <t>SALA</t>
        </is>
      </c>
      <c r="G332" t="n">
        <v>6.4</v>
      </c>
      <c r="H332" t="n">
        <v>0</v>
      </c>
      <c r="I332" t="n">
        <v>0</v>
      </c>
      <c r="J332" t="n">
        <v>0</v>
      </c>
      <c r="K332" t="n">
        <v>0</v>
      </c>
      <c r="L332" t="n">
        <v>0</v>
      </c>
      <c r="M332" t="n">
        <v>0</v>
      </c>
      <c r="N332" t="n">
        <v>0</v>
      </c>
      <c r="O332" t="n">
        <v>0</v>
      </c>
      <c r="P332" t="n">
        <v>0</v>
      </c>
      <c r="Q332" t="n">
        <v>0</v>
      </c>
      <c r="R332" s="2" t="inlineStr"/>
    </row>
    <row r="333" ht="15" customHeight="1">
      <c r="A333" t="inlineStr">
        <is>
          <t>A 66908-2021</t>
        </is>
      </c>
      <c r="B333" s="1" t="n">
        <v>44522</v>
      </c>
      <c r="C333" s="1" t="n">
        <v>46050</v>
      </c>
      <c r="D333" t="inlineStr">
        <is>
          <t>VÄSTMANLANDS LÄN</t>
        </is>
      </c>
      <c r="E333" t="inlineStr">
        <is>
          <t>SALA</t>
        </is>
      </c>
      <c r="G333" t="n">
        <v>2.6</v>
      </c>
      <c r="H333" t="n">
        <v>0</v>
      </c>
      <c r="I333" t="n">
        <v>0</v>
      </c>
      <c r="J333" t="n">
        <v>0</v>
      </c>
      <c r="K333" t="n">
        <v>0</v>
      </c>
      <c r="L333" t="n">
        <v>0</v>
      </c>
      <c r="M333" t="n">
        <v>0</v>
      </c>
      <c r="N333" t="n">
        <v>0</v>
      </c>
      <c r="O333" t="n">
        <v>0</v>
      </c>
      <c r="P333" t="n">
        <v>0</v>
      </c>
      <c r="Q333" t="n">
        <v>0</v>
      </c>
      <c r="R333" s="2" t="inlineStr"/>
    </row>
    <row r="334" ht="15" customHeight="1">
      <c r="A334" t="inlineStr">
        <is>
          <t>A 44524-2025</t>
        </is>
      </c>
      <c r="B334" s="1" t="n">
        <v>45916.72920138889</v>
      </c>
      <c r="C334" s="1" t="n">
        <v>46050</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32902-2025</t>
        </is>
      </c>
      <c r="B335" s="1" t="n">
        <v>45839</v>
      </c>
      <c r="C335" s="1" t="n">
        <v>46050</v>
      </c>
      <c r="D335" t="inlineStr">
        <is>
          <t>VÄSTMANLANDS LÄN</t>
        </is>
      </c>
      <c r="E335" t="inlineStr">
        <is>
          <t>SALA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73835-2021</t>
        </is>
      </c>
      <c r="B336" s="1" t="n">
        <v>44552.92112268518</v>
      </c>
      <c r="C336" s="1" t="n">
        <v>46050</v>
      </c>
      <c r="D336" t="inlineStr">
        <is>
          <t>VÄSTMANLANDS LÄN</t>
        </is>
      </c>
      <c r="E336" t="inlineStr">
        <is>
          <t>SALA</t>
        </is>
      </c>
      <c r="G336" t="n">
        <v>2</v>
      </c>
      <c r="H336" t="n">
        <v>0</v>
      </c>
      <c r="I336" t="n">
        <v>0</v>
      </c>
      <c r="J336" t="n">
        <v>0</v>
      </c>
      <c r="K336" t="n">
        <v>0</v>
      </c>
      <c r="L336" t="n">
        <v>0</v>
      </c>
      <c r="M336" t="n">
        <v>0</v>
      </c>
      <c r="N336" t="n">
        <v>0</v>
      </c>
      <c r="O336" t="n">
        <v>0</v>
      </c>
      <c r="P336" t="n">
        <v>0</v>
      </c>
      <c r="Q336" t="n">
        <v>0</v>
      </c>
      <c r="R336" s="2" t="inlineStr"/>
    </row>
    <row r="337" ht="15" customHeight="1">
      <c r="A337" t="inlineStr">
        <is>
          <t>A 44486-2025</t>
        </is>
      </c>
      <c r="B337" s="1" t="n">
        <v>45916.65517361111</v>
      </c>
      <c r="C337" s="1" t="n">
        <v>46050</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3810-2023</t>
        </is>
      </c>
      <c r="B338" s="1" t="n">
        <v>44951.60454861111</v>
      </c>
      <c r="C338" s="1" t="n">
        <v>46050</v>
      </c>
      <c r="D338" t="inlineStr">
        <is>
          <t>VÄSTMANLANDS LÄN</t>
        </is>
      </c>
      <c r="E338" t="inlineStr">
        <is>
          <t>SALA</t>
        </is>
      </c>
      <c r="G338" t="n">
        <v>4.2</v>
      </c>
      <c r="H338" t="n">
        <v>0</v>
      </c>
      <c r="I338" t="n">
        <v>0</v>
      </c>
      <c r="J338" t="n">
        <v>0</v>
      </c>
      <c r="K338" t="n">
        <v>0</v>
      </c>
      <c r="L338" t="n">
        <v>0</v>
      </c>
      <c r="M338" t="n">
        <v>0</v>
      </c>
      <c r="N338" t="n">
        <v>0</v>
      </c>
      <c r="O338" t="n">
        <v>0</v>
      </c>
      <c r="P338" t="n">
        <v>0</v>
      </c>
      <c r="Q338" t="n">
        <v>0</v>
      </c>
      <c r="R338" s="2" t="inlineStr"/>
    </row>
    <row r="339" ht="15" customHeight="1">
      <c r="A339" t="inlineStr">
        <is>
          <t>A 45177-2025</t>
        </is>
      </c>
      <c r="B339" s="1" t="n">
        <v>45919.52444444445</v>
      </c>
      <c r="C339" s="1" t="n">
        <v>46050</v>
      </c>
      <c r="D339" t="inlineStr">
        <is>
          <t>VÄSTMANLANDS LÄN</t>
        </is>
      </c>
      <c r="E339" t="inlineStr">
        <is>
          <t>SALA</t>
        </is>
      </c>
      <c r="G339" t="n">
        <v>2.4</v>
      </c>
      <c r="H339" t="n">
        <v>0</v>
      </c>
      <c r="I339" t="n">
        <v>0</v>
      </c>
      <c r="J339" t="n">
        <v>0</v>
      </c>
      <c r="K339" t="n">
        <v>0</v>
      </c>
      <c r="L339" t="n">
        <v>0</v>
      </c>
      <c r="M339" t="n">
        <v>0</v>
      </c>
      <c r="N339" t="n">
        <v>0</v>
      </c>
      <c r="O339" t="n">
        <v>0</v>
      </c>
      <c r="P339" t="n">
        <v>0</v>
      </c>
      <c r="Q339" t="n">
        <v>0</v>
      </c>
      <c r="R339" s="2" t="inlineStr"/>
    </row>
    <row r="340" ht="15" customHeight="1">
      <c r="A340" t="inlineStr">
        <is>
          <t>A 43122-2025</t>
        </is>
      </c>
      <c r="B340" s="1" t="n">
        <v>45909</v>
      </c>
      <c r="C340" s="1" t="n">
        <v>46050</v>
      </c>
      <c r="D340" t="inlineStr">
        <is>
          <t>VÄSTMANLANDS LÄN</t>
        </is>
      </c>
      <c r="E340" t="inlineStr">
        <is>
          <t>SALA</t>
        </is>
      </c>
      <c r="G340" t="n">
        <v>3.2</v>
      </c>
      <c r="H340" t="n">
        <v>0</v>
      </c>
      <c r="I340" t="n">
        <v>0</v>
      </c>
      <c r="J340" t="n">
        <v>0</v>
      </c>
      <c r="K340" t="n">
        <v>0</v>
      </c>
      <c r="L340" t="n">
        <v>0</v>
      </c>
      <c r="M340" t="n">
        <v>0</v>
      </c>
      <c r="N340" t="n">
        <v>0</v>
      </c>
      <c r="O340" t="n">
        <v>0</v>
      </c>
      <c r="P340" t="n">
        <v>0</v>
      </c>
      <c r="Q340" t="n">
        <v>0</v>
      </c>
      <c r="R340" s="2" t="inlineStr"/>
    </row>
    <row r="341" ht="15" customHeight="1">
      <c r="A341" t="inlineStr">
        <is>
          <t>A 12252-2023</t>
        </is>
      </c>
      <c r="B341" s="1" t="n">
        <v>44995</v>
      </c>
      <c r="C341" s="1" t="n">
        <v>46050</v>
      </c>
      <c r="D341" t="inlineStr">
        <is>
          <t>VÄSTMANLANDS LÄN</t>
        </is>
      </c>
      <c r="E341" t="inlineStr">
        <is>
          <t>SALA</t>
        </is>
      </c>
      <c r="G341" t="n">
        <v>2.6</v>
      </c>
      <c r="H341" t="n">
        <v>0</v>
      </c>
      <c r="I341" t="n">
        <v>0</v>
      </c>
      <c r="J341" t="n">
        <v>0</v>
      </c>
      <c r="K341" t="n">
        <v>0</v>
      </c>
      <c r="L341" t="n">
        <v>0</v>
      </c>
      <c r="M341" t="n">
        <v>0</v>
      </c>
      <c r="N341" t="n">
        <v>0</v>
      </c>
      <c r="O341" t="n">
        <v>0</v>
      </c>
      <c r="P341" t="n">
        <v>0</v>
      </c>
      <c r="Q341" t="n">
        <v>0</v>
      </c>
      <c r="R341" s="2" t="inlineStr"/>
    </row>
    <row r="342" ht="15" customHeight="1">
      <c r="A342" t="inlineStr">
        <is>
          <t>A 45371-2025</t>
        </is>
      </c>
      <c r="B342" s="1" t="n">
        <v>45922.39001157408</v>
      </c>
      <c r="C342" s="1" t="n">
        <v>46050</v>
      </c>
      <c r="D342" t="inlineStr">
        <is>
          <t>VÄSTMANLANDS LÄN</t>
        </is>
      </c>
      <c r="E342" t="inlineStr">
        <is>
          <t>SALA</t>
        </is>
      </c>
      <c r="G342" t="n">
        <v>2.1</v>
      </c>
      <c r="H342" t="n">
        <v>0</v>
      </c>
      <c r="I342" t="n">
        <v>0</v>
      </c>
      <c r="J342" t="n">
        <v>0</v>
      </c>
      <c r="K342" t="n">
        <v>0</v>
      </c>
      <c r="L342" t="n">
        <v>0</v>
      </c>
      <c r="M342" t="n">
        <v>0</v>
      </c>
      <c r="N342" t="n">
        <v>0</v>
      </c>
      <c r="O342" t="n">
        <v>0</v>
      </c>
      <c r="P342" t="n">
        <v>0</v>
      </c>
      <c r="Q342" t="n">
        <v>0</v>
      </c>
      <c r="R342" s="2" t="inlineStr"/>
    </row>
    <row r="343" ht="15" customHeight="1">
      <c r="A343" t="inlineStr">
        <is>
          <t>A 25260-2023</t>
        </is>
      </c>
      <c r="B343" s="1" t="n">
        <v>45086</v>
      </c>
      <c r="C343" s="1" t="n">
        <v>46050</v>
      </c>
      <c r="D343" t="inlineStr">
        <is>
          <t>VÄSTMANLANDS LÄN</t>
        </is>
      </c>
      <c r="E343" t="inlineStr">
        <is>
          <t>SALA</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45914-2025</t>
        </is>
      </c>
      <c r="B344" s="1" t="n">
        <v>45923.82582175926</v>
      </c>
      <c r="C344" s="1" t="n">
        <v>46050</v>
      </c>
      <c r="D344" t="inlineStr">
        <is>
          <t>VÄSTMANLANDS LÄN</t>
        </is>
      </c>
      <c r="E344" t="inlineStr">
        <is>
          <t>SALA</t>
        </is>
      </c>
      <c r="F344" t="inlineStr">
        <is>
          <t>Kommuner</t>
        </is>
      </c>
      <c r="G344" t="n">
        <v>18.2</v>
      </c>
      <c r="H344" t="n">
        <v>0</v>
      </c>
      <c r="I344" t="n">
        <v>0</v>
      </c>
      <c r="J344" t="n">
        <v>0</v>
      </c>
      <c r="K344" t="n">
        <v>0</v>
      </c>
      <c r="L344" t="n">
        <v>0</v>
      </c>
      <c r="M344" t="n">
        <v>0</v>
      </c>
      <c r="N344" t="n">
        <v>0</v>
      </c>
      <c r="O344" t="n">
        <v>0</v>
      </c>
      <c r="P344" t="n">
        <v>0</v>
      </c>
      <c r="Q344" t="n">
        <v>0</v>
      </c>
      <c r="R344" s="2" t="inlineStr"/>
    </row>
    <row r="345" ht="15" customHeight="1">
      <c r="A345" t="inlineStr">
        <is>
          <t>A 57404-2024</t>
        </is>
      </c>
      <c r="B345" s="1" t="n">
        <v>45629.71967592592</v>
      </c>
      <c r="C345" s="1" t="n">
        <v>46050</v>
      </c>
      <c r="D345" t="inlineStr">
        <is>
          <t>VÄSTMANLANDS LÄN</t>
        </is>
      </c>
      <c r="E345" t="inlineStr">
        <is>
          <t>SALA</t>
        </is>
      </c>
      <c r="G345" t="n">
        <v>0.3</v>
      </c>
      <c r="H345" t="n">
        <v>0</v>
      </c>
      <c r="I345" t="n">
        <v>0</v>
      </c>
      <c r="J345" t="n">
        <v>0</v>
      </c>
      <c r="K345" t="n">
        <v>0</v>
      </c>
      <c r="L345" t="n">
        <v>0</v>
      </c>
      <c r="M345" t="n">
        <v>0</v>
      </c>
      <c r="N345" t="n">
        <v>0</v>
      </c>
      <c r="O345" t="n">
        <v>0</v>
      </c>
      <c r="P345" t="n">
        <v>0</v>
      </c>
      <c r="Q345" t="n">
        <v>0</v>
      </c>
      <c r="R345" s="2" t="inlineStr"/>
    </row>
    <row r="346" ht="15" customHeight="1">
      <c r="A346" t="inlineStr">
        <is>
          <t>A 34069-2025</t>
        </is>
      </c>
      <c r="B346" s="1" t="n">
        <v>45845.43560185185</v>
      </c>
      <c r="C346" s="1" t="n">
        <v>46050</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c r="U346">
        <f>HYPERLINK("https://klasma.github.io/Logging_1981/knärot/A 34069-2025 karta knärot.png", "A 34069-2025")</f>
        <v/>
      </c>
      <c r="V346">
        <f>HYPERLINK("https://klasma.github.io/Logging_1981/klagomål/A 34069-2025 FSC-klagomål.docx", "A 34069-2025")</f>
        <v/>
      </c>
      <c r="W346">
        <f>HYPERLINK("https://klasma.github.io/Logging_1981/klagomålsmail/A 34069-2025 FSC-klagomål mail.docx", "A 34069-2025")</f>
        <v/>
      </c>
      <c r="X346">
        <f>HYPERLINK("https://klasma.github.io/Logging_1981/tillsyn/A 34069-2025 tillsynsbegäran.docx", "A 34069-2025")</f>
        <v/>
      </c>
      <c r="Y346">
        <f>HYPERLINK("https://klasma.github.io/Logging_1981/tillsynsmail/A 34069-2025 tillsynsbegäran mail.docx", "A 34069-2025")</f>
        <v/>
      </c>
    </row>
    <row r="347" ht="15" customHeight="1">
      <c r="A347" t="inlineStr">
        <is>
          <t>A 45909-2025</t>
        </is>
      </c>
      <c r="B347" s="1" t="n">
        <v>45923.75078703704</v>
      </c>
      <c r="C347" s="1" t="n">
        <v>46050</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13128-2023</t>
        </is>
      </c>
      <c r="B348" s="1" t="n">
        <v>45002</v>
      </c>
      <c r="C348" s="1" t="n">
        <v>46050</v>
      </c>
      <c r="D348" t="inlineStr">
        <is>
          <t>VÄSTMANLANDS LÄN</t>
        </is>
      </c>
      <c r="E348" t="inlineStr">
        <is>
          <t>SALA</t>
        </is>
      </c>
      <c r="G348" t="n">
        <v>7.9</v>
      </c>
      <c r="H348" t="n">
        <v>0</v>
      </c>
      <c r="I348" t="n">
        <v>0</v>
      </c>
      <c r="J348" t="n">
        <v>0</v>
      </c>
      <c r="K348" t="n">
        <v>0</v>
      </c>
      <c r="L348" t="n">
        <v>0</v>
      </c>
      <c r="M348" t="n">
        <v>0</v>
      </c>
      <c r="N348" t="n">
        <v>0</v>
      </c>
      <c r="O348" t="n">
        <v>0</v>
      </c>
      <c r="P348" t="n">
        <v>0</v>
      </c>
      <c r="Q348" t="n">
        <v>0</v>
      </c>
      <c r="R348" s="2" t="inlineStr"/>
    </row>
    <row r="349" ht="15" customHeight="1">
      <c r="A349" t="inlineStr">
        <is>
          <t>A 15744-2025</t>
        </is>
      </c>
      <c r="B349" s="1" t="n">
        <v>45748</v>
      </c>
      <c r="C349" s="1" t="n">
        <v>46050</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46915-2025</t>
        </is>
      </c>
      <c r="B350" s="1" t="n">
        <v>45929.42114583333</v>
      </c>
      <c r="C350" s="1" t="n">
        <v>46050</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46597-2025</t>
        </is>
      </c>
      <c r="B351" s="1" t="n">
        <v>45926.40113425926</v>
      </c>
      <c r="C351" s="1" t="n">
        <v>46050</v>
      </c>
      <c r="D351" t="inlineStr">
        <is>
          <t>VÄSTMANLANDS LÄN</t>
        </is>
      </c>
      <c r="E351" t="inlineStr">
        <is>
          <t>SALA</t>
        </is>
      </c>
      <c r="G351" t="n">
        <v>3.4</v>
      </c>
      <c r="H351" t="n">
        <v>0</v>
      </c>
      <c r="I351" t="n">
        <v>0</v>
      </c>
      <c r="J351" t="n">
        <v>0</v>
      </c>
      <c r="K351" t="n">
        <v>0</v>
      </c>
      <c r="L351" t="n">
        <v>0</v>
      </c>
      <c r="M351" t="n">
        <v>0</v>
      </c>
      <c r="N351" t="n">
        <v>0</v>
      </c>
      <c r="O351" t="n">
        <v>0</v>
      </c>
      <c r="P351" t="n">
        <v>0</v>
      </c>
      <c r="Q351" t="n">
        <v>0</v>
      </c>
      <c r="R351" s="2" t="inlineStr"/>
    </row>
    <row r="352" ht="15" customHeight="1">
      <c r="A352" t="inlineStr">
        <is>
          <t>A 24864-2024</t>
        </is>
      </c>
      <c r="B352" s="1" t="n">
        <v>45461.48888888889</v>
      </c>
      <c r="C352" s="1" t="n">
        <v>46050</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47577-2025</t>
        </is>
      </c>
      <c r="B353" s="1" t="n">
        <v>45931.4047337963</v>
      </c>
      <c r="C353" s="1" t="n">
        <v>46050</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24755-2021</t>
        </is>
      </c>
      <c r="B354" s="1" t="n">
        <v>44340</v>
      </c>
      <c r="C354" s="1" t="n">
        <v>46050</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46661-2025</t>
        </is>
      </c>
      <c r="B355" s="1" t="n">
        <v>45926</v>
      </c>
      <c r="C355" s="1" t="n">
        <v>46050</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35775-2025</t>
        </is>
      </c>
      <c r="B356" s="1" t="n">
        <v>45860</v>
      </c>
      <c r="C356" s="1" t="n">
        <v>46050</v>
      </c>
      <c r="D356" t="inlineStr">
        <is>
          <t>VÄSTMANLANDS LÄN</t>
        </is>
      </c>
      <c r="E356" t="inlineStr">
        <is>
          <t>SALA</t>
        </is>
      </c>
      <c r="G356" t="n">
        <v>2.6</v>
      </c>
      <c r="H356" t="n">
        <v>0</v>
      </c>
      <c r="I356" t="n">
        <v>0</v>
      </c>
      <c r="J356" t="n">
        <v>0</v>
      </c>
      <c r="K356" t="n">
        <v>0</v>
      </c>
      <c r="L356" t="n">
        <v>0</v>
      </c>
      <c r="M356" t="n">
        <v>0</v>
      </c>
      <c r="N356" t="n">
        <v>0</v>
      </c>
      <c r="O356" t="n">
        <v>0</v>
      </c>
      <c r="P356" t="n">
        <v>0</v>
      </c>
      <c r="Q356" t="n">
        <v>0</v>
      </c>
      <c r="R356" s="2" t="inlineStr"/>
    </row>
    <row r="357" ht="15" customHeight="1">
      <c r="A357" t="inlineStr">
        <is>
          <t>A 35779-2025</t>
        </is>
      </c>
      <c r="B357" s="1" t="n">
        <v>45860.69495370371</v>
      </c>
      <c r="C357" s="1" t="n">
        <v>46050</v>
      </c>
      <c r="D357" t="inlineStr">
        <is>
          <t>VÄSTMANLANDS LÄN</t>
        </is>
      </c>
      <c r="E357" t="inlineStr">
        <is>
          <t>SALA</t>
        </is>
      </c>
      <c r="G357" t="n">
        <v>2.4</v>
      </c>
      <c r="H357" t="n">
        <v>0</v>
      </c>
      <c r="I357" t="n">
        <v>0</v>
      </c>
      <c r="J357" t="n">
        <v>0</v>
      </c>
      <c r="K357" t="n">
        <v>0</v>
      </c>
      <c r="L357" t="n">
        <v>0</v>
      </c>
      <c r="M357" t="n">
        <v>0</v>
      </c>
      <c r="N357" t="n">
        <v>0</v>
      </c>
      <c r="O357" t="n">
        <v>0</v>
      </c>
      <c r="P357" t="n">
        <v>0</v>
      </c>
      <c r="Q357" t="n">
        <v>0</v>
      </c>
      <c r="R357" s="2" t="inlineStr"/>
    </row>
    <row r="358" ht="15" customHeight="1">
      <c r="A358" t="inlineStr">
        <is>
          <t>A 35776-2025</t>
        </is>
      </c>
      <c r="B358" s="1" t="n">
        <v>45860.69211805556</v>
      </c>
      <c r="C358" s="1" t="n">
        <v>46050</v>
      </c>
      <c r="D358" t="inlineStr">
        <is>
          <t>VÄSTMANLANDS LÄN</t>
        </is>
      </c>
      <c r="E358" t="inlineStr">
        <is>
          <t>SALA</t>
        </is>
      </c>
      <c r="G358" t="n">
        <v>14.2</v>
      </c>
      <c r="H358" t="n">
        <v>0</v>
      </c>
      <c r="I358" t="n">
        <v>0</v>
      </c>
      <c r="J358" t="n">
        <v>0</v>
      </c>
      <c r="K358" t="n">
        <v>0</v>
      </c>
      <c r="L358" t="n">
        <v>0</v>
      </c>
      <c r="M358" t="n">
        <v>0</v>
      </c>
      <c r="N358" t="n">
        <v>0</v>
      </c>
      <c r="O358" t="n">
        <v>0</v>
      </c>
      <c r="P358" t="n">
        <v>0</v>
      </c>
      <c r="Q358" t="n">
        <v>0</v>
      </c>
      <c r="R358" s="2" t="inlineStr"/>
    </row>
    <row r="359" ht="15" customHeight="1">
      <c r="A359" t="inlineStr">
        <is>
          <t>A 35715-2025</t>
        </is>
      </c>
      <c r="B359" s="1" t="n">
        <v>45860.42148148148</v>
      </c>
      <c r="C359" s="1" t="n">
        <v>46050</v>
      </c>
      <c r="D359" t="inlineStr">
        <is>
          <t>VÄSTMANLANDS LÄN</t>
        </is>
      </c>
      <c r="E359" t="inlineStr">
        <is>
          <t>SALA</t>
        </is>
      </c>
      <c r="G359" t="n">
        <v>3.8</v>
      </c>
      <c r="H359" t="n">
        <v>0</v>
      </c>
      <c r="I359" t="n">
        <v>0</v>
      </c>
      <c r="J359" t="n">
        <v>0</v>
      </c>
      <c r="K359" t="n">
        <v>0</v>
      </c>
      <c r="L359" t="n">
        <v>0</v>
      </c>
      <c r="M359" t="n">
        <v>0</v>
      </c>
      <c r="N359" t="n">
        <v>0</v>
      </c>
      <c r="O359" t="n">
        <v>0</v>
      </c>
      <c r="P359" t="n">
        <v>0</v>
      </c>
      <c r="Q359" t="n">
        <v>0</v>
      </c>
      <c r="R359" s="2" t="inlineStr"/>
    </row>
    <row r="360" ht="15" customHeight="1">
      <c r="A360" t="inlineStr">
        <is>
          <t>A 35651-2025</t>
        </is>
      </c>
      <c r="B360" s="1" t="n">
        <v>45859.52435185185</v>
      </c>
      <c r="C360" s="1" t="n">
        <v>46050</v>
      </c>
      <c r="D360" t="inlineStr">
        <is>
          <t>VÄSTMANLANDS LÄN</t>
        </is>
      </c>
      <c r="E360" t="inlineStr">
        <is>
          <t>SALA</t>
        </is>
      </c>
      <c r="G360" t="n">
        <v>6.3</v>
      </c>
      <c r="H360" t="n">
        <v>0</v>
      </c>
      <c r="I360" t="n">
        <v>0</v>
      </c>
      <c r="J360" t="n">
        <v>0</v>
      </c>
      <c r="K360" t="n">
        <v>0</v>
      </c>
      <c r="L360" t="n">
        <v>0</v>
      </c>
      <c r="M360" t="n">
        <v>0</v>
      </c>
      <c r="N360" t="n">
        <v>0</v>
      </c>
      <c r="O360" t="n">
        <v>0</v>
      </c>
      <c r="P360" t="n">
        <v>0</v>
      </c>
      <c r="Q360" t="n">
        <v>0</v>
      </c>
      <c r="R360" s="2" t="inlineStr"/>
    </row>
    <row r="361" ht="15" customHeight="1">
      <c r="A361" t="inlineStr">
        <is>
          <t>A 35774-2025</t>
        </is>
      </c>
      <c r="B361" s="1" t="n">
        <v>45860.68780092592</v>
      </c>
      <c r="C361" s="1" t="n">
        <v>46050</v>
      </c>
      <c r="D361" t="inlineStr">
        <is>
          <t>VÄSTMANLANDS LÄN</t>
        </is>
      </c>
      <c r="E361" t="inlineStr">
        <is>
          <t>SALA</t>
        </is>
      </c>
      <c r="G361" t="n">
        <v>6.5</v>
      </c>
      <c r="H361" t="n">
        <v>0</v>
      </c>
      <c r="I361" t="n">
        <v>0</v>
      </c>
      <c r="J361" t="n">
        <v>0</v>
      </c>
      <c r="K361" t="n">
        <v>0</v>
      </c>
      <c r="L361" t="n">
        <v>0</v>
      </c>
      <c r="M361" t="n">
        <v>0</v>
      </c>
      <c r="N361" t="n">
        <v>0</v>
      </c>
      <c r="O361" t="n">
        <v>0</v>
      </c>
      <c r="P361" t="n">
        <v>0</v>
      </c>
      <c r="Q361" t="n">
        <v>0</v>
      </c>
      <c r="R361" s="2" t="inlineStr"/>
    </row>
    <row r="362" ht="15" customHeight="1">
      <c r="A362" t="inlineStr">
        <is>
          <t>A 36060-2025</t>
        </is>
      </c>
      <c r="B362" s="1" t="n">
        <v>45866.39469907407</v>
      </c>
      <c r="C362" s="1" t="n">
        <v>46050</v>
      </c>
      <c r="D362" t="inlineStr">
        <is>
          <t>VÄSTMANLANDS LÄN</t>
        </is>
      </c>
      <c r="E362" t="inlineStr">
        <is>
          <t>SALA</t>
        </is>
      </c>
      <c r="F362" t="inlineStr">
        <is>
          <t>Kommuner</t>
        </is>
      </c>
      <c r="G362" t="n">
        <v>4.3</v>
      </c>
      <c r="H362" t="n">
        <v>0</v>
      </c>
      <c r="I362" t="n">
        <v>0</v>
      </c>
      <c r="J362" t="n">
        <v>0</v>
      </c>
      <c r="K362" t="n">
        <v>0</v>
      </c>
      <c r="L362" t="n">
        <v>0</v>
      </c>
      <c r="M362" t="n">
        <v>0</v>
      </c>
      <c r="N362" t="n">
        <v>0</v>
      </c>
      <c r="O362" t="n">
        <v>0</v>
      </c>
      <c r="P362" t="n">
        <v>0</v>
      </c>
      <c r="Q362" t="n">
        <v>0</v>
      </c>
      <c r="R362" s="2" t="inlineStr"/>
    </row>
    <row r="363" ht="15" customHeight="1">
      <c r="A363" t="inlineStr">
        <is>
          <t>A 48057-2025</t>
        </is>
      </c>
      <c r="B363" s="1" t="n">
        <v>45932.67947916667</v>
      </c>
      <c r="C363" s="1" t="n">
        <v>46050</v>
      </c>
      <c r="D363" t="inlineStr">
        <is>
          <t>VÄSTMANLANDS LÄN</t>
        </is>
      </c>
      <c r="E363" t="inlineStr">
        <is>
          <t>SALA</t>
        </is>
      </c>
      <c r="G363" t="n">
        <v>4.3</v>
      </c>
      <c r="H363" t="n">
        <v>0</v>
      </c>
      <c r="I363" t="n">
        <v>0</v>
      </c>
      <c r="J363" t="n">
        <v>0</v>
      </c>
      <c r="K363" t="n">
        <v>0</v>
      </c>
      <c r="L363" t="n">
        <v>0</v>
      </c>
      <c r="M363" t="n">
        <v>0</v>
      </c>
      <c r="N363" t="n">
        <v>0</v>
      </c>
      <c r="O363" t="n">
        <v>0</v>
      </c>
      <c r="P363" t="n">
        <v>0</v>
      </c>
      <c r="Q363" t="n">
        <v>0</v>
      </c>
      <c r="R363" s="2" t="inlineStr"/>
    </row>
    <row r="364" ht="15" customHeight="1">
      <c r="A364" t="inlineStr">
        <is>
          <t>A 36031-2025</t>
        </is>
      </c>
      <c r="B364" s="1" t="n">
        <v>45865.46111111111</v>
      </c>
      <c r="C364" s="1" t="n">
        <v>46050</v>
      </c>
      <c r="D364" t="inlineStr">
        <is>
          <t>VÄSTMANLANDS LÄN</t>
        </is>
      </c>
      <c r="E364" t="inlineStr">
        <is>
          <t>SALA</t>
        </is>
      </c>
      <c r="G364" t="n">
        <v>7.2</v>
      </c>
      <c r="H364" t="n">
        <v>0</v>
      </c>
      <c r="I364" t="n">
        <v>0</v>
      </c>
      <c r="J364" t="n">
        <v>0</v>
      </c>
      <c r="K364" t="n">
        <v>0</v>
      </c>
      <c r="L364" t="n">
        <v>0</v>
      </c>
      <c r="M364" t="n">
        <v>0</v>
      </c>
      <c r="N364" t="n">
        <v>0</v>
      </c>
      <c r="O364" t="n">
        <v>0</v>
      </c>
      <c r="P364" t="n">
        <v>0</v>
      </c>
      <c r="Q364" t="n">
        <v>0</v>
      </c>
      <c r="R364" s="2" t="inlineStr"/>
    </row>
    <row r="365" ht="15" customHeight="1">
      <c r="A365" t="inlineStr">
        <is>
          <t>A 36043-2025</t>
        </is>
      </c>
      <c r="B365" s="1" t="n">
        <v>45866.35333333333</v>
      </c>
      <c r="C365" s="1" t="n">
        <v>46050</v>
      </c>
      <c r="D365" t="inlineStr">
        <is>
          <t>VÄSTMANLANDS LÄN</t>
        </is>
      </c>
      <c r="E365" t="inlineStr">
        <is>
          <t>SALA</t>
        </is>
      </c>
      <c r="F365" t="inlineStr">
        <is>
          <t>Kommuner</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36032-2025</t>
        </is>
      </c>
      <c r="B366" s="1" t="n">
        <v>45865.48740740741</v>
      </c>
      <c r="C366" s="1" t="n">
        <v>46050</v>
      </c>
      <c r="D366" t="inlineStr">
        <is>
          <t>VÄSTMANLANDS LÄN</t>
        </is>
      </c>
      <c r="E366" t="inlineStr">
        <is>
          <t>SALA</t>
        </is>
      </c>
      <c r="G366" t="n">
        <v>0.7</v>
      </c>
      <c r="H366" t="n">
        <v>0</v>
      </c>
      <c r="I366" t="n">
        <v>0</v>
      </c>
      <c r="J366" t="n">
        <v>0</v>
      </c>
      <c r="K366" t="n">
        <v>0</v>
      </c>
      <c r="L366" t="n">
        <v>0</v>
      </c>
      <c r="M366" t="n">
        <v>0</v>
      </c>
      <c r="N366" t="n">
        <v>0</v>
      </c>
      <c r="O366" t="n">
        <v>0</v>
      </c>
      <c r="P366" t="n">
        <v>0</v>
      </c>
      <c r="Q366" t="n">
        <v>0</v>
      </c>
      <c r="R366" s="2" t="inlineStr"/>
    </row>
    <row r="367" ht="15" customHeight="1">
      <c r="A367" t="inlineStr">
        <is>
          <t>A 36049-2025</t>
        </is>
      </c>
      <c r="B367" s="1" t="n">
        <v>45866.37065972222</v>
      </c>
      <c r="C367" s="1" t="n">
        <v>46050</v>
      </c>
      <c r="D367" t="inlineStr">
        <is>
          <t>VÄSTMANLANDS LÄN</t>
        </is>
      </c>
      <c r="E367" t="inlineStr">
        <is>
          <t>SALA</t>
        </is>
      </c>
      <c r="F367" t="inlineStr">
        <is>
          <t>Kommuner</t>
        </is>
      </c>
      <c r="G367" t="n">
        <v>1.9</v>
      </c>
      <c r="H367" t="n">
        <v>0</v>
      </c>
      <c r="I367" t="n">
        <v>0</v>
      </c>
      <c r="J367" t="n">
        <v>0</v>
      </c>
      <c r="K367" t="n">
        <v>0</v>
      </c>
      <c r="L367" t="n">
        <v>0</v>
      </c>
      <c r="M367" t="n">
        <v>0</v>
      </c>
      <c r="N367" t="n">
        <v>0</v>
      </c>
      <c r="O367" t="n">
        <v>0</v>
      </c>
      <c r="P367" t="n">
        <v>0</v>
      </c>
      <c r="Q367" t="n">
        <v>0</v>
      </c>
      <c r="R367" s="2" t="inlineStr"/>
    </row>
    <row r="368" ht="15" customHeight="1">
      <c r="A368" t="inlineStr">
        <is>
          <t>A 36045-2025</t>
        </is>
      </c>
      <c r="B368" s="1" t="n">
        <v>45866.36200231482</v>
      </c>
      <c r="C368" s="1" t="n">
        <v>46050</v>
      </c>
      <c r="D368" t="inlineStr">
        <is>
          <t>VÄSTMANLANDS LÄN</t>
        </is>
      </c>
      <c r="E368" t="inlineStr">
        <is>
          <t>SALA</t>
        </is>
      </c>
      <c r="F368" t="inlineStr">
        <is>
          <t>Kommuner</t>
        </is>
      </c>
      <c r="G368" t="n">
        <v>1.7</v>
      </c>
      <c r="H368" t="n">
        <v>0</v>
      </c>
      <c r="I368" t="n">
        <v>0</v>
      </c>
      <c r="J368" t="n">
        <v>0</v>
      </c>
      <c r="K368" t="n">
        <v>0</v>
      </c>
      <c r="L368" t="n">
        <v>0</v>
      </c>
      <c r="M368" t="n">
        <v>0</v>
      </c>
      <c r="N368" t="n">
        <v>0</v>
      </c>
      <c r="O368" t="n">
        <v>0</v>
      </c>
      <c r="P368" t="n">
        <v>0</v>
      </c>
      <c r="Q368" t="n">
        <v>0</v>
      </c>
      <c r="R368" s="2" t="inlineStr"/>
    </row>
    <row r="369" ht="15" customHeight="1">
      <c r="A369" t="inlineStr">
        <is>
          <t>A 28696-2023</t>
        </is>
      </c>
      <c r="B369" s="1" t="n">
        <v>45103.71759259259</v>
      </c>
      <c r="C369" s="1" t="n">
        <v>46050</v>
      </c>
      <c r="D369" t="inlineStr">
        <is>
          <t>VÄSTMANLANDS LÄN</t>
        </is>
      </c>
      <c r="E369" t="inlineStr">
        <is>
          <t>SALA</t>
        </is>
      </c>
      <c r="F369" t="inlineStr">
        <is>
          <t>Kommuner</t>
        </is>
      </c>
      <c r="G369" t="n">
        <v>5.9</v>
      </c>
      <c r="H369" t="n">
        <v>0</v>
      </c>
      <c r="I369" t="n">
        <v>0</v>
      </c>
      <c r="J369" t="n">
        <v>0</v>
      </c>
      <c r="K369" t="n">
        <v>0</v>
      </c>
      <c r="L369" t="n">
        <v>0</v>
      </c>
      <c r="M369" t="n">
        <v>0</v>
      </c>
      <c r="N369" t="n">
        <v>0</v>
      </c>
      <c r="O369" t="n">
        <v>0</v>
      </c>
      <c r="P369" t="n">
        <v>0</v>
      </c>
      <c r="Q369" t="n">
        <v>0</v>
      </c>
      <c r="R369" s="2" t="inlineStr"/>
    </row>
    <row r="370" ht="15" customHeight="1">
      <c r="A370" t="inlineStr">
        <is>
          <t>A 48710-2025</t>
        </is>
      </c>
      <c r="B370" s="1" t="n">
        <v>45936.63184027778</v>
      </c>
      <c r="C370" s="1" t="n">
        <v>46050</v>
      </c>
      <c r="D370" t="inlineStr">
        <is>
          <t>VÄSTMANLANDS LÄN</t>
        </is>
      </c>
      <c r="E370" t="inlineStr">
        <is>
          <t>SALA</t>
        </is>
      </c>
      <c r="G370" t="n">
        <v>2.7</v>
      </c>
      <c r="H370" t="n">
        <v>0</v>
      </c>
      <c r="I370" t="n">
        <v>0</v>
      </c>
      <c r="J370" t="n">
        <v>0</v>
      </c>
      <c r="K370" t="n">
        <v>0</v>
      </c>
      <c r="L370" t="n">
        <v>0</v>
      </c>
      <c r="M370" t="n">
        <v>0</v>
      </c>
      <c r="N370" t="n">
        <v>0</v>
      </c>
      <c r="O370" t="n">
        <v>0</v>
      </c>
      <c r="P370" t="n">
        <v>0</v>
      </c>
      <c r="Q370" t="n">
        <v>0</v>
      </c>
      <c r="R370" s="2" t="inlineStr"/>
    </row>
    <row r="371" ht="15" customHeight="1">
      <c r="A371" t="inlineStr">
        <is>
          <t>A 6691-2025</t>
        </is>
      </c>
      <c r="B371" s="1" t="n">
        <v>45700.50625</v>
      </c>
      <c r="C371" s="1" t="n">
        <v>46050</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1934-2023</t>
        </is>
      </c>
      <c r="B372" s="1" t="n">
        <v>44939.43024305555</v>
      </c>
      <c r="C372" s="1" t="n">
        <v>46050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35519-2024</t>
        </is>
      </c>
      <c r="B373" s="1" t="n">
        <v>45531</v>
      </c>
      <c r="C373" s="1" t="n">
        <v>46050</v>
      </c>
      <c r="D373" t="inlineStr">
        <is>
          <t>VÄSTMANLANDS LÄN</t>
        </is>
      </c>
      <c r="E373" t="inlineStr">
        <is>
          <t>SALA</t>
        </is>
      </c>
      <c r="G373" t="n">
        <v>1.8</v>
      </c>
      <c r="H373" t="n">
        <v>0</v>
      </c>
      <c r="I373" t="n">
        <v>0</v>
      </c>
      <c r="J373" t="n">
        <v>0</v>
      </c>
      <c r="K373" t="n">
        <v>0</v>
      </c>
      <c r="L373" t="n">
        <v>0</v>
      </c>
      <c r="M373" t="n">
        <v>0</v>
      </c>
      <c r="N373" t="n">
        <v>0</v>
      </c>
      <c r="O373" t="n">
        <v>0</v>
      </c>
      <c r="P373" t="n">
        <v>0</v>
      </c>
      <c r="Q373" t="n">
        <v>0</v>
      </c>
      <c r="R373" s="2" t="inlineStr"/>
    </row>
    <row r="374" ht="15" customHeight="1">
      <c r="A374" t="inlineStr">
        <is>
          <t>A 17766-2025</t>
        </is>
      </c>
      <c r="B374" s="1" t="n">
        <v>45758</v>
      </c>
      <c r="C374" s="1" t="n">
        <v>46050</v>
      </c>
      <c r="D374" t="inlineStr">
        <is>
          <t>VÄSTMANLANDS LÄN</t>
        </is>
      </c>
      <c r="E374" t="inlineStr">
        <is>
          <t>SALA</t>
        </is>
      </c>
      <c r="G374" t="n">
        <v>16.5</v>
      </c>
      <c r="H374" t="n">
        <v>0</v>
      </c>
      <c r="I374" t="n">
        <v>0</v>
      </c>
      <c r="J374" t="n">
        <v>0</v>
      </c>
      <c r="K374" t="n">
        <v>0</v>
      </c>
      <c r="L374" t="n">
        <v>0</v>
      </c>
      <c r="M374" t="n">
        <v>0</v>
      </c>
      <c r="N374" t="n">
        <v>0</v>
      </c>
      <c r="O374" t="n">
        <v>0</v>
      </c>
      <c r="P374" t="n">
        <v>0</v>
      </c>
      <c r="Q374" t="n">
        <v>0</v>
      </c>
      <c r="R374" s="2" t="inlineStr"/>
    </row>
    <row r="375" ht="15" customHeight="1">
      <c r="A375" t="inlineStr">
        <is>
          <t>A 31863-2025</t>
        </is>
      </c>
      <c r="B375" s="1" t="n">
        <v>45834.63303240741</v>
      </c>
      <c r="C375" s="1" t="n">
        <v>46050</v>
      </c>
      <c r="D375" t="inlineStr">
        <is>
          <t>VÄSTMANLANDS LÄN</t>
        </is>
      </c>
      <c r="E375" t="inlineStr">
        <is>
          <t>SALA</t>
        </is>
      </c>
      <c r="G375" t="n">
        <v>2.5</v>
      </c>
      <c r="H375" t="n">
        <v>0</v>
      </c>
      <c r="I375" t="n">
        <v>0</v>
      </c>
      <c r="J375" t="n">
        <v>0</v>
      </c>
      <c r="K375" t="n">
        <v>0</v>
      </c>
      <c r="L375" t="n">
        <v>0</v>
      </c>
      <c r="M375" t="n">
        <v>0</v>
      </c>
      <c r="N375" t="n">
        <v>0</v>
      </c>
      <c r="O375" t="n">
        <v>0</v>
      </c>
      <c r="P375" t="n">
        <v>0</v>
      </c>
      <c r="Q375" t="n">
        <v>0</v>
      </c>
      <c r="R375" s="2" t="inlineStr"/>
    </row>
    <row r="376" ht="15" customHeight="1">
      <c r="A376" t="inlineStr">
        <is>
          <t>A 48910-2025</t>
        </is>
      </c>
      <c r="B376" s="1" t="n">
        <v>45937.48649305556</v>
      </c>
      <c r="C376" s="1" t="n">
        <v>46050</v>
      </c>
      <c r="D376" t="inlineStr">
        <is>
          <t>VÄSTMANLANDS LÄN</t>
        </is>
      </c>
      <c r="E376" t="inlineStr">
        <is>
          <t>SALA</t>
        </is>
      </c>
      <c r="G376" t="n">
        <v>7.8</v>
      </c>
      <c r="H376" t="n">
        <v>0</v>
      </c>
      <c r="I376" t="n">
        <v>0</v>
      </c>
      <c r="J376" t="n">
        <v>0</v>
      </c>
      <c r="K376" t="n">
        <v>0</v>
      </c>
      <c r="L376" t="n">
        <v>0</v>
      </c>
      <c r="M376" t="n">
        <v>0</v>
      </c>
      <c r="N376" t="n">
        <v>0</v>
      </c>
      <c r="O376" t="n">
        <v>0</v>
      </c>
      <c r="P376" t="n">
        <v>0</v>
      </c>
      <c r="Q376" t="n">
        <v>0</v>
      </c>
      <c r="R376" s="2" t="inlineStr"/>
    </row>
    <row r="377" ht="15" customHeight="1">
      <c r="A377" t="inlineStr">
        <is>
          <t>A 49585-2025</t>
        </is>
      </c>
      <c r="B377" s="1" t="n">
        <v>45939.5043287037</v>
      </c>
      <c r="C377" s="1" t="n">
        <v>46050</v>
      </c>
      <c r="D377" t="inlineStr">
        <is>
          <t>VÄSTMANLANDS LÄN</t>
        </is>
      </c>
      <c r="E377" t="inlineStr">
        <is>
          <t>SALA</t>
        </is>
      </c>
      <c r="G377" t="n">
        <v>2.2</v>
      </c>
      <c r="H377" t="n">
        <v>0</v>
      </c>
      <c r="I377" t="n">
        <v>0</v>
      </c>
      <c r="J377" t="n">
        <v>0</v>
      </c>
      <c r="K377" t="n">
        <v>0</v>
      </c>
      <c r="L377" t="n">
        <v>0</v>
      </c>
      <c r="M377" t="n">
        <v>0</v>
      </c>
      <c r="N377" t="n">
        <v>0</v>
      </c>
      <c r="O377" t="n">
        <v>0</v>
      </c>
      <c r="P377" t="n">
        <v>0</v>
      </c>
      <c r="Q377" t="n">
        <v>0</v>
      </c>
      <c r="R377" s="2" t="inlineStr"/>
    </row>
    <row r="378" ht="15" customHeight="1">
      <c r="A378" t="inlineStr">
        <is>
          <t>A 3546-2025</t>
        </is>
      </c>
      <c r="B378" s="1" t="n">
        <v>45680</v>
      </c>
      <c r="C378" s="1" t="n">
        <v>46050</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50241-2023</t>
        </is>
      </c>
      <c r="B379" s="1" t="n">
        <v>45216</v>
      </c>
      <c r="C379" s="1" t="n">
        <v>46050</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31869-2025</t>
        </is>
      </c>
      <c r="B380" s="1" t="n">
        <v>45834.64555555556</v>
      </c>
      <c r="C380" s="1" t="n">
        <v>46050</v>
      </c>
      <c r="D380" t="inlineStr">
        <is>
          <t>VÄSTMANLANDS LÄN</t>
        </is>
      </c>
      <c r="E380" t="inlineStr">
        <is>
          <t>SALA</t>
        </is>
      </c>
      <c r="G380" t="n">
        <v>17.5</v>
      </c>
      <c r="H380" t="n">
        <v>0</v>
      </c>
      <c r="I380" t="n">
        <v>0</v>
      </c>
      <c r="J380" t="n">
        <v>0</v>
      </c>
      <c r="K380" t="n">
        <v>0</v>
      </c>
      <c r="L380" t="n">
        <v>0</v>
      </c>
      <c r="M380" t="n">
        <v>0</v>
      </c>
      <c r="N380" t="n">
        <v>0</v>
      </c>
      <c r="O380" t="n">
        <v>0</v>
      </c>
      <c r="P380" t="n">
        <v>0</v>
      </c>
      <c r="Q380" t="n">
        <v>0</v>
      </c>
      <c r="R380" s="2" t="inlineStr"/>
    </row>
    <row r="381" ht="15" customHeight="1">
      <c r="A381" t="inlineStr">
        <is>
          <t>A 30971-2022</t>
        </is>
      </c>
      <c r="B381" s="1" t="n">
        <v>44768.46725694444</v>
      </c>
      <c r="C381" s="1" t="n">
        <v>46050</v>
      </c>
      <c r="D381" t="inlineStr">
        <is>
          <t>VÄSTMANLANDS LÄN</t>
        </is>
      </c>
      <c r="E381" t="inlineStr">
        <is>
          <t>SALA</t>
        </is>
      </c>
      <c r="G381" t="n">
        <v>2.4</v>
      </c>
      <c r="H381" t="n">
        <v>0</v>
      </c>
      <c r="I381" t="n">
        <v>0</v>
      </c>
      <c r="J381" t="n">
        <v>0</v>
      </c>
      <c r="K381" t="n">
        <v>0</v>
      </c>
      <c r="L381" t="n">
        <v>0</v>
      </c>
      <c r="M381" t="n">
        <v>0</v>
      </c>
      <c r="N381" t="n">
        <v>0</v>
      </c>
      <c r="O381" t="n">
        <v>0</v>
      </c>
      <c r="P381" t="n">
        <v>0</v>
      </c>
      <c r="Q381" t="n">
        <v>0</v>
      </c>
      <c r="R381" s="2" t="inlineStr"/>
    </row>
    <row r="382" ht="15" customHeight="1">
      <c r="A382" t="inlineStr">
        <is>
          <t>A 7664-2023</t>
        </is>
      </c>
      <c r="B382" s="1" t="n">
        <v>44972</v>
      </c>
      <c r="C382" s="1" t="n">
        <v>46050</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35637-2022</t>
        </is>
      </c>
      <c r="B383" s="1" t="n">
        <v>44799.55194444444</v>
      </c>
      <c r="C383" s="1" t="n">
        <v>46050</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19304-2025</t>
        </is>
      </c>
      <c r="B384" s="1" t="n">
        <v>45769</v>
      </c>
      <c r="C384" s="1" t="n">
        <v>46050</v>
      </c>
      <c r="D384" t="inlineStr">
        <is>
          <t>VÄSTMANLANDS LÄN</t>
        </is>
      </c>
      <c r="E384" t="inlineStr">
        <is>
          <t>SALA</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27038-2023</t>
        </is>
      </c>
      <c r="B385" s="1" t="n">
        <v>45095</v>
      </c>
      <c r="C385" s="1" t="n">
        <v>46050</v>
      </c>
      <c r="D385" t="inlineStr">
        <is>
          <t>VÄSTMANLANDS LÄN</t>
        </is>
      </c>
      <c r="E385" t="inlineStr">
        <is>
          <t>SALA</t>
        </is>
      </c>
      <c r="G385" t="n">
        <v>0.8</v>
      </c>
      <c r="H385" t="n">
        <v>0</v>
      </c>
      <c r="I385" t="n">
        <v>0</v>
      </c>
      <c r="J385" t="n">
        <v>0</v>
      </c>
      <c r="K385" t="n">
        <v>0</v>
      </c>
      <c r="L385" t="n">
        <v>0</v>
      </c>
      <c r="M385" t="n">
        <v>0</v>
      </c>
      <c r="N385" t="n">
        <v>0</v>
      </c>
      <c r="O385" t="n">
        <v>0</v>
      </c>
      <c r="P385" t="n">
        <v>0</v>
      </c>
      <c r="Q385" t="n">
        <v>0</v>
      </c>
      <c r="R385" s="2" t="inlineStr"/>
    </row>
    <row r="386" ht="15" customHeight="1">
      <c r="A386" t="inlineStr">
        <is>
          <t>A 17985-2025</t>
        </is>
      </c>
      <c r="B386" s="1" t="n">
        <v>45761</v>
      </c>
      <c r="C386" s="1" t="n">
        <v>46050</v>
      </c>
      <c r="D386" t="inlineStr">
        <is>
          <t>VÄSTMANLANDS LÄN</t>
        </is>
      </c>
      <c r="E386" t="inlineStr">
        <is>
          <t>SALA</t>
        </is>
      </c>
      <c r="G386" t="n">
        <v>12.5</v>
      </c>
      <c r="H386" t="n">
        <v>0</v>
      </c>
      <c r="I386" t="n">
        <v>0</v>
      </c>
      <c r="J386" t="n">
        <v>0</v>
      </c>
      <c r="K386" t="n">
        <v>0</v>
      </c>
      <c r="L386" t="n">
        <v>0</v>
      </c>
      <c r="M386" t="n">
        <v>0</v>
      </c>
      <c r="N386" t="n">
        <v>0</v>
      </c>
      <c r="O386" t="n">
        <v>0</v>
      </c>
      <c r="P386" t="n">
        <v>0</v>
      </c>
      <c r="Q386" t="n">
        <v>0</v>
      </c>
      <c r="R386" s="2" t="inlineStr"/>
    </row>
    <row r="387" ht="15" customHeight="1">
      <c r="A387" t="inlineStr">
        <is>
          <t>A 23182-2022</t>
        </is>
      </c>
      <c r="B387" s="1" t="n">
        <v>44719.79707175926</v>
      </c>
      <c r="C387" s="1" t="n">
        <v>46050</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37103-2025</t>
        </is>
      </c>
      <c r="B388" s="1" t="n">
        <v>45875.47743055555</v>
      </c>
      <c r="C388" s="1" t="n">
        <v>46050</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49640-2025</t>
        </is>
      </c>
      <c r="B389" s="1" t="n">
        <v>45939.61459490741</v>
      </c>
      <c r="C389" s="1" t="n">
        <v>46050</v>
      </c>
      <c r="D389" t="inlineStr">
        <is>
          <t>VÄSTMANLANDS LÄN</t>
        </is>
      </c>
      <c r="E389" t="inlineStr">
        <is>
          <t>SALA</t>
        </is>
      </c>
      <c r="F389" t="inlineStr">
        <is>
          <t>Kommuner</t>
        </is>
      </c>
      <c r="G389" t="n">
        <v>18.8</v>
      </c>
      <c r="H389" t="n">
        <v>0</v>
      </c>
      <c r="I389" t="n">
        <v>0</v>
      </c>
      <c r="J389" t="n">
        <v>0</v>
      </c>
      <c r="K389" t="n">
        <v>0</v>
      </c>
      <c r="L389" t="n">
        <v>0</v>
      </c>
      <c r="M389" t="n">
        <v>0</v>
      </c>
      <c r="N389" t="n">
        <v>0</v>
      </c>
      <c r="O389" t="n">
        <v>0</v>
      </c>
      <c r="P389" t="n">
        <v>0</v>
      </c>
      <c r="Q389" t="n">
        <v>0</v>
      </c>
      <c r="R389" s="2" t="inlineStr"/>
    </row>
    <row r="390" ht="15" customHeight="1">
      <c r="A390" t="inlineStr">
        <is>
          <t>A 37017-2025</t>
        </is>
      </c>
      <c r="B390" s="1" t="n">
        <v>45874</v>
      </c>
      <c r="C390" s="1" t="n">
        <v>46050</v>
      </c>
      <c r="D390" t="inlineStr">
        <is>
          <t>VÄSTMANLANDS LÄN</t>
        </is>
      </c>
      <c r="E390" t="inlineStr">
        <is>
          <t>SALA</t>
        </is>
      </c>
      <c r="G390" t="n">
        <v>11.1</v>
      </c>
      <c r="H390" t="n">
        <v>0</v>
      </c>
      <c r="I390" t="n">
        <v>0</v>
      </c>
      <c r="J390" t="n">
        <v>0</v>
      </c>
      <c r="K390" t="n">
        <v>0</v>
      </c>
      <c r="L390" t="n">
        <v>0</v>
      </c>
      <c r="M390" t="n">
        <v>0</v>
      </c>
      <c r="N390" t="n">
        <v>0</v>
      </c>
      <c r="O390" t="n">
        <v>0</v>
      </c>
      <c r="P390" t="n">
        <v>0</v>
      </c>
      <c r="Q390" t="n">
        <v>0</v>
      </c>
      <c r="R390" s="2" t="inlineStr"/>
    </row>
    <row r="391" ht="15" customHeight="1">
      <c r="A391" t="inlineStr">
        <is>
          <t>A 37246-2025</t>
        </is>
      </c>
      <c r="B391" s="1" t="n">
        <v>45876.39435185185</v>
      </c>
      <c r="C391" s="1" t="n">
        <v>46050</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31859-2023</t>
        </is>
      </c>
      <c r="B392" s="1" t="n">
        <v>45118</v>
      </c>
      <c r="C392" s="1" t="n">
        <v>46050</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c r="U392">
        <f>HYPERLINK("https://klasma.github.io/Logging_1981/knärot/A 31859-2023 karta knärot.png", "A 31859-2023")</f>
        <v/>
      </c>
      <c r="V392">
        <f>HYPERLINK("https://klasma.github.io/Logging_1981/klagomål/A 31859-2023 FSC-klagomål.docx", "A 31859-2023")</f>
        <v/>
      </c>
      <c r="W392">
        <f>HYPERLINK("https://klasma.github.io/Logging_1981/klagomålsmail/A 31859-2023 FSC-klagomål mail.docx", "A 31859-2023")</f>
        <v/>
      </c>
      <c r="X392">
        <f>HYPERLINK("https://klasma.github.io/Logging_1981/tillsyn/A 31859-2023 tillsynsbegäran.docx", "A 31859-2023")</f>
        <v/>
      </c>
      <c r="Y392">
        <f>HYPERLINK("https://klasma.github.io/Logging_1981/tillsynsmail/A 31859-2023 tillsynsbegäran mail.docx", "A 31859-2023")</f>
        <v/>
      </c>
    </row>
    <row r="393" ht="15" customHeight="1">
      <c r="A393" t="inlineStr">
        <is>
          <t>A 7469-2025</t>
        </is>
      </c>
      <c r="B393" s="1" t="n">
        <v>45705</v>
      </c>
      <c r="C393" s="1" t="n">
        <v>46050</v>
      </c>
      <c r="D393" t="inlineStr">
        <is>
          <t>VÄSTMANLANDS LÄN</t>
        </is>
      </c>
      <c r="E393" t="inlineStr">
        <is>
          <t>SALA</t>
        </is>
      </c>
      <c r="G393" t="n">
        <v>2.1</v>
      </c>
      <c r="H393" t="n">
        <v>0</v>
      </c>
      <c r="I393" t="n">
        <v>0</v>
      </c>
      <c r="J393" t="n">
        <v>0</v>
      </c>
      <c r="K393" t="n">
        <v>0</v>
      </c>
      <c r="L393" t="n">
        <v>0</v>
      </c>
      <c r="M393" t="n">
        <v>0</v>
      </c>
      <c r="N393" t="n">
        <v>0</v>
      </c>
      <c r="O393" t="n">
        <v>0</v>
      </c>
      <c r="P393" t="n">
        <v>0</v>
      </c>
      <c r="Q393" t="n">
        <v>0</v>
      </c>
      <c r="R393" s="2" t="inlineStr"/>
    </row>
    <row r="394" ht="15" customHeight="1">
      <c r="A394" t="inlineStr">
        <is>
          <t>A 60034-2024</t>
        </is>
      </c>
      <c r="B394" s="1" t="n">
        <v>45642.46261574074</v>
      </c>
      <c r="C394" s="1" t="n">
        <v>46050</v>
      </c>
      <c r="D394" t="inlineStr">
        <is>
          <t>VÄSTMANLANDS LÄN</t>
        </is>
      </c>
      <c r="E394" t="inlineStr">
        <is>
          <t>SALA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50128-2025</t>
        </is>
      </c>
      <c r="B395" s="1" t="n">
        <v>45943.55318287037</v>
      </c>
      <c r="C395" s="1" t="n">
        <v>46050</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37590-2025</t>
        </is>
      </c>
      <c r="B396" s="1" t="n">
        <v>45880.41138888889</v>
      </c>
      <c r="C396" s="1" t="n">
        <v>46050</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37593-2025</t>
        </is>
      </c>
      <c r="B397" s="1" t="n">
        <v>45880.41325231481</v>
      </c>
      <c r="C397" s="1" t="n">
        <v>46050</v>
      </c>
      <c r="D397" t="inlineStr">
        <is>
          <t>VÄSTMANLANDS LÄN</t>
        </is>
      </c>
      <c r="E397" t="inlineStr">
        <is>
          <t>SALA</t>
        </is>
      </c>
      <c r="G397" t="n">
        <v>1.4</v>
      </c>
      <c r="H397" t="n">
        <v>0</v>
      </c>
      <c r="I397" t="n">
        <v>0</v>
      </c>
      <c r="J397" t="n">
        <v>0</v>
      </c>
      <c r="K397" t="n">
        <v>0</v>
      </c>
      <c r="L397" t="n">
        <v>0</v>
      </c>
      <c r="M397" t="n">
        <v>0</v>
      </c>
      <c r="N397" t="n">
        <v>0</v>
      </c>
      <c r="O397" t="n">
        <v>0</v>
      </c>
      <c r="P397" t="n">
        <v>0</v>
      </c>
      <c r="Q397" t="n">
        <v>0</v>
      </c>
      <c r="R397" s="2" t="inlineStr"/>
    </row>
    <row r="398" ht="15" customHeight="1">
      <c r="A398" t="inlineStr">
        <is>
          <t>A 50119-2025</t>
        </is>
      </c>
      <c r="B398" s="1" t="n">
        <v>45943.54883101852</v>
      </c>
      <c r="C398" s="1" t="n">
        <v>46050</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50059-2025</t>
        </is>
      </c>
      <c r="B399" s="1" t="n">
        <v>45943.44125</v>
      </c>
      <c r="C399" s="1" t="n">
        <v>46050</v>
      </c>
      <c r="D399" t="inlineStr">
        <is>
          <t>VÄSTMANLANDS LÄN</t>
        </is>
      </c>
      <c r="E399" t="inlineStr">
        <is>
          <t>SALA</t>
        </is>
      </c>
      <c r="G399" t="n">
        <v>4.4</v>
      </c>
      <c r="H399" t="n">
        <v>0</v>
      </c>
      <c r="I399" t="n">
        <v>0</v>
      </c>
      <c r="J399" t="n">
        <v>0</v>
      </c>
      <c r="K399" t="n">
        <v>0</v>
      </c>
      <c r="L399" t="n">
        <v>0</v>
      </c>
      <c r="M399" t="n">
        <v>0</v>
      </c>
      <c r="N399" t="n">
        <v>0</v>
      </c>
      <c r="O399" t="n">
        <v>0</v>
      </c>
      <c r="P399" t="n">
        <v>0</v>
      </c>
      <c r="Q399" t="n">
        <v>0</v>
      </c>
      <c r="R399" s="2" t="inlineStr"/>
    </row>
    <row r="400" ht="15" customHeight="1">
      <c r="A400" t="inlineStr">
        <is>
          <t>A 17722-2025</t>
        </is>
      </c>
      <c r="B400" s="1" t="n">
        <v>45758</v>
      </c>
      <c r="C400" s="1" t="n">
        <v>46050</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50249-2025</t>
        </is>
      </c>
      <c r="B401" s="1" t="n">
        <v>45944.31508101852</v>
      </c>
      <c r="C401" s="1" t="n">
        <v>46050</v>
      </c>
      <c r="D401" t="inlineStr">
        <is>
          <t>VÄSTMANLANDS LÄN</t>
        </is>
      </c>
      <c r="E401" t="inlineStr">
        <is>
          <t>SALA</t>
        </is>
      </c>
      <c r="G401" t="n">
        <v>2.3</v>
      </c>
      <c r="H401" t="n">
        <v>0</v>
      </c>
      <c r="I401" t="n">
        <v>0</v>
      </c>
      <c r="J401" t="n">
        <v>0</v>
      </c>
      <c r="K401" t="n">
        <v>0</v>
      </c>
      <c r="L401" t="n">
        <v>0</v>
      </c>
      <c r="M401" t="n">
        <v>0</v>
      </c>
      <c r="N401" t="n">
        <v>0</v>
      </c>
      <c r="O401" t="n">
        <v>0</v>
      </c>
      <c r="P401" t="n">
        <v>0</v>
      </c>
      <c r="Q401" t="n">
        <v>0</v>
      </c>
      <c r="R401" s="2" t="inlineStr"/>
    </row>
    <row r="402" ht="15" customHeight="1">
      <c r="A402" t="inlineStr">
        <is>
          <t>A 34867-2023</t>
        </is>
      </c>
      <c r="B402" s="1" t="n">
        <v>45142.33481481481</v>
      </c>
      <c r="C402" s="1" t="n">
        <v>46050</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11631-2023</t>
        </is>
      </c>
      <c r="B403" s="1" t="n">
        <v>44994.44001157407</v>
      </c>
      <c r="C403" s="1" t="n">
        <v>46050</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38294-2025</t>
        </is>
      </c>
      <c r="B404" s="1" t="n">
        <v>45883.44854166666</v>
      </c>
      <c r="C404" s="1" t="n">
        <v>46050</v>
      </c>
      <c r="D404" t="inlineStr">
        <is>
          <t>VÄSTMANLANDS LÄN</t>
        </is>
      </c>
      <c r="E404" t="inlineStr">
        <is>
          <t>SALA</t>
        </is>
      </c>
      <c r="G404" t="n">
        <v>1.5</v>
      </c>
      <c r="H404" t="n">
        <v>0</v>
      </c>
      <c r="I404" t="n">
        <v>0</v>
      </c>
      <c r="J404" t="n">
        <v>0</v>
      </c>
      <c r="K404" t="n">
        <v>0</v>
      </c>
      <c r="L404" t="n">
        <v>0</v>
      </c>
      <c r="M404" t="n">
        <v>0</v>
      </c>
      <c r="N404" t="n">
        <v>0</v>
      </c>
      <c r="O404" t="n">
        <v>0</v>
      </c>
      <c r="P404" t="n">
        <v>0</v>
      </c>
      <c r="Q404" t="n">
        <v>0</v>
      </c>
      <c r="R404" s="2" t="inlineStr"/>
    </row>
    <row r="405" ht="15" customHeight="1">
      <c r="A405" t="inlineStr">
        <is>
          <t>A 43359-2024</t>
        </is>
      </c>
      <c r="B405" s="1" t="n">
        <v>45568.57724537037</v>
      </c>
      <c r="C405" s="1" t="n">
        <v>46050</v>
      </c>
      <c r="D405" t="inlineStr">
        <is>
          <t>VÄSTMANLANDS LÄN</t>
        </is>
      </c>
      <c r="E405" t="inlineStr">
        <is>
          <t>SALA</t>
        </is>
      </c>
      <c r="G405" t="n">
        <v>1.6</v>
      </c>
      <c r="H405" t="n">
        <v>0</v>
      </c>
      <c r="I405" t="n">
        <v>0</v>
      </c>
      <c r="J405" t="n">
        <v>0</v>
      </c>
      <c r="K405" t="n">
        <v>0</v>
      </c>
      <c r="L405" t="n">
        <v>0</v>
      </c>
      <c r="M405" t="n">
        <v>0</v>
      </c>
      <c r="N405" t="n">
        <v>0</v>
      </c>
      <c r="O405" t="n">
        <v>0</v>
      </c>
      <c r="P405" t="n">
        <v>0</v>
      </c>
      <c r="Q405" t="n">
        <v>0</v>
      </c>
      <c r="R405" s="2" t="inlineStr"/>
    </row>
    <row r="406" ht="15" customHeight="1">
      <c r="A406" t="inlineStr">
        <is>
          <t>A 29972-2025</t>
        </is>
      </c>
      <c r="B406" s="1" t="n">
        <v>45826</v>
      </c>
      <c r="C406" s="1" t="n">
        <v>46050</v>
      </c>
      <c r="D406" t="inlineStr">
        <is>
          <t>VÄSTMANLANDS LÄN</t>
        </is>
      </c>
      <c r="E406" t="inlineStr">
        <is>
          <t>SALA</t>
        </is>
      </c>
      <c r="G406" t="n">
        <v>2.7</v>
      </c>
      <c r="H406" t="n">
        <v>0</v>
      </c>
      <c r="I406" t="n">
        <v>0</v>
      </c>
      <c r="J406" t="n">
        <v>0</v>
      </c>
      <c r="K406" t="n">
        <v>0</v>
      </c>
      <c r="L406" t="n">
        <v>0</v>
      </c>
      <c r="M406" t="n">
        <v>0</v>
      </c>
      <c r="N406" t="n">
        <v>0</v>
      </c>
      <c r="O406" t="n">
        <v>0</v>
      </c>
      <c r="P406" t="n">
        <v>0</v>
      </c>
      <c r="Q406" t="n">
        <v>0</v>
      </c>
      <c r="R406" s="2" t="inlineStr"/>
    </row>
    <row r="407" ht="15" customHeight="1">
      <c r="A407" t="inlineStr">
        <is>
          <t>A 46279-2021</t>
        </is>
      </c>
      <c r="B407" s="1" t="n">
        <v>44442.57797453704</v>
      </c>
      <c r="C407" s="1" t="n">
        <v>46050</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8775-2024</t>
        </is>
      </c>
      <c r="B408" s="1" t="n">
        <v>45356</v>
      </c>
      <c r="C408" s="1" t="n">
        <v>46050</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48710-2024</t>
        </is>
      </c>
      <c r="B409" s="1" t="n">
        <v>45593.53636574074</v>
      </c>
      <c r="C409" s="1" t="n">
        <v>46050</v>
      </c>
      <c r="D409" t="inlineStr">
        <is>
          <t>VÄSTMANLANDS LÄN</t>
        </is>
      </c>
      <c r="E409" t="inlineStr">
        <is>
          <t>SALA</t>
        </is>
      </c>
      <c r="G409" t="n">
        <v>6.5</v>
      </c>
      <c r="H409" t="n">
        <v>0</v>
      </c>
      <c r="I409" t="n">
        <v>0</v>
      </c>
      <c r="J409" t="n">
        <v>0</v>
      </c>
      <c r="K409" t="n">
        <v>0</v>
      </c>
      <c r="L409" t="n">
        <v>0</v>
      </c>
      <c r="M409" t="n">
        <v>0</v>
      </c>
      <c r="N409" t="n">
        <v>0</v>
      </c>
      <c r="O409" t="n">
        <v>0</v>
      </c>
      <c r="P409" t="n">
        <v>0</v>
      </c>
      <c r="Q409" t="n">
        <v>0</v>
      </c>
      <c r="R409" s="2" t="inlineStr"/>
    </row>
    <row r="410" ht="15" customHeight="1">
      <c r="A410" t="inlineStr">
        <is>
          <t>A 16404-2022</t>
        </is>
      </c>
      <c r="B410" s="1" t="n">
        <v>44671</v>
      </c>
      <c r="C410" s="1" t="n">
        <v>46050</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24248-2023</t>
        </is>
      </c>
      <c r="B411" s="1" t="n">
        <v>45079</v>
      </c>
      <c r="C411" s="1" t="n">
        <v>46050</v>
      </c>
      <c r="D411" t="inlineStr">
        <is>
          <t>VÄSTMANLANDS LÄN</t>
        </is>
      </c>
      <c r="E411" t="inlineStr">
        <is>
          <t>SALA</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51764-2025</t>
        </is>
      </c>
      <c r="B412" s="1" t="n">
        <v>45951.63636574074</v>
      </c>
      <c r="C412" s="1" t="n">
        <v>46050</v>
      </c>
      <c r="D412" t="inlineStr">
        <is>
          <t>VÄSTMANLANDS LÄN</t>
        </is>
      </c>
      <c r="E412" t="inlineStr">
        <is>
          <t>SALA</t>
        </is>
      </c>
      <c r="G412" t="n">
        <v>1.5</v>
      </c>
      <c r="H412" t="n">
        <v>0</v>
      </c>
      <c r="I412" t="n">
        <v>0</v>
      </c>
      <c r="J412" t="n">
        <v>0</v>
      </c>
      <c r="K412" t="n">
        <v>0</v>
      </c>
      <c r="L412" t="n">
        <v>0</v>
      </c>
      <c r="M412" t="n">
        <v>0</v>
      </c>
      <c r="N412" t="n">
        <v>0</v>
      </c>
      <c r="O412" t="n">
        <v>0</v>
      </c>
      <c r="P412" t="n">
        <v>0</v>
      </c>
      <c r="Q412" t="n">
        <v>0</v>
      </c>
      <c r="R412" s="2" t="inlineStr"/>
    </row>
    <row r="413" ht="15" customHeight="1">
      <c r="A413" t="inlineStr">
        <is>
          <t>A 51626-2025</t>
        </is>
      </c>
      <c r="B413" s="1" t="n">
        <v>45951.41769675926</v>
      </c>
      <c r="C413" s="1" t="n">
        <v>46050</v>
      </c>
      <c r="D413" t="inlineStr">
        <is>
          <t>VÄSTMANLANDS LÄN</t>
        </is>
      </c>
      <c r="E413" t="inlineStr">
        <is>
          <t>SALA</t>
        </is>
      </c>
      <c r="G413" t="n">
        <v>2.6</v>
      </c>
      <c r="H413" t="n">
        <v>0</v>
      </c>
      <c r="I413" t="n">
        <v>0</v>
      </c>
      <c r="J413" t="n">
        <v>0</v>
      </c>
      <c r="K413" t="n">
        <v>0</v>
      </c>
      <c r="L413" t="n">
        <v>0</v>
      </c>
      <c r="M413" t="n">
        <v>0</v>
      </c>
      <c r="N413" t="n">
        <v>0</v>
      </c>
      <c r="O413" t="n">
        <v>0</v>
      </c>
      <c r="P413" t="n">
        <v>0</v>
      </c>
      <c r="Q413" t="n">
        <v>0</v>
      </c>
      <c r="R413" s="2" t="inlineStr"/>
    </row>
    <row r="414" ht="15" customHeight="1">
      <c r="A414" t="inlineStr">
        <is>
          <t>A 51690-2025</t>
        </is>
      </c>
      <c r="B414" s="1" t="n">
        <v>45951.53462962963</v>
      </c>
      <c r="C414" s="1" t="n">
        <v>46050</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44552.46501157407</v>
      </c>
      <c r="C415" s="1" t="n">
        <v>46050</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10559-2024</t>
        </is>
      </c>
      <c r="B416" s="1" t="n">
        <v>45366</v>
      </c>
      <c r="C416" s="1" t="n">
        <v>46050</v>
      </c>
      <c r="D416" t="inlineStr">
        <is>
          <t>VÄSTMANLANDS LÄN</t>
        </is>
      </c>
      <c r="E416" t="inlineStr">
        <is>
          <t>SALA</t>
        </is>
      </c>
      <c r="G416" t="n">
        <v>0.3</v>
      </c>
      <c r="H416" t="n">
        <v>0</v>
      </c>
      <c r="I416" t="n">
        <v>0</v>
      </c>
      <c r="J416" t="n">
        <v>0</v>
      </c>
      <c r="K416" t="n">
        <v>0</v>
      </c>
      <c r="L416" t="n">
        <v>0</v>
      </c>
      <c r="M416" t="n">
        <v>0</v>
      </c>
      <c r="N416" t="n">
        <v>0</v>
      </c>
      <c r="O416" t="n">
        <v>0</v>
      </c>
      <c r="P416" t="n">
        <v>0</v>
      </c>
      <c r="Q416" t="n">
        <v>0</v>
      </c>
      <c r="R416" s="2" t="inlineStr"/>
    </row>
    <row r="417" ht="15" customHeight="1">
      <c r="A417" t="inlineStr">
        <is>
          <t>A 40214-2023</t>
        </is>
      </c>
      <c r="B417" s="1" t="n">
        <v>45169.45173611111</v>
      </c>
      <c r="C417" s="1" t="n">
        <v>46050</v>
      </c>
      <c r="D417" t="inlineStr">
        <is>
          <t>VÄSTMANLANDS LÄN</t>
        </is>
      </c>
      <c r="E417" t="inlineStr">
        <is>
          <t>SALA</t>
        </is>
      </c>
      <c r="G417" t="n">
        <v>5.5</v>
      </c>
      <c r="H417" t="n">
        <v>0</v>
      </c>
      <c r="I417" t="n">
        <v>0</v>
      </c>
      <c r="J417" t="n">
        <v>0</v>
      </c>
      <c r="K417" t="n">
        <v>0</v>
      </c>
      <c r="L417" t="n">
        <v>0</v>
      </c>
      <c r="M417" t="n">
        <v>0</v>
      </c>
      <c r="N417" t="n">
        <v>0</v>
      </c>
      <c r="O417" t="n">
        <v>0</v>
      </c>
      <c r="P417" t="n">
        <v>0</v>
      </c>
      <c r="Q417" t="n">
        <v>0</v>
      </c>
      <c r="R417" s="2" t="inlineStr"/>
    </row>
    <row r="418" ht="15" customHeight="1">
      <c r="A418" t="inlineStr">
        <is>
          <t>A 9856-2022</t>
        </is>
      </c>
      <c r="B418" s="1" t="n">
        <v>44620</v>
      </c>
      <c r="C418" s="1" t="n">
        <v>46050</v>
      </c>
      <c r="D418" t="inlineStr">
        <is>
          <t>VÄSTMANLANDS LÄN</t>
        </is>
      </c>
      <c r="E418" t="inlineStr">
        <is>
          <t>SALA</t>
        </is>
      </c>
      <c r="G418" t="n">
        <v>2.4</v>
      </c>
      <c r="H418" t="n">
        <v>0</v>
      </c>
      <c r="I418" t="n">
        <v>0</v>
      </c>
      <c r="J418" t="n">
        <v>0</v>
      </c>
      <c r="K418" t="n">
        <v>0</v>
      </c>
      <c r="L418" t="n">
        <v>0</v>
      </c>
      <c r="M418" t="n">
        <v>0</v>
      </c>
      <c r="N418" t="n">
        <v>0</v>
      </c>
      <c r="O418" t="n">
        <v>0</v>
      </c>
      <c r="P418" t="n">
        <v>0</v>
      </c>
      <c r="Q418" t="n">
        <v>0</v>
      </c>
      <c r="R418" s="2" t="inlineStr"/>
    </row>
    <row r="419" ht="15" customHeight="1">
      <c r="A419" t="inlineStr">
        <is>
          <t>A 51804-2025</t>
        </is>
      </c>
      <c r="B419" s="1" t="n">
        <v>45951.77697916667</v>
      </c>
      <c r="C419" s="1" t="n">
        <v>46050</v>
      </c>
      <c r="D419" t="inlineStr">
        <is>
          <t>VÄSTMANLANDS LÄN</t>
        </is>
      </c>
      <c r="E419" t="inlineStr">
        <is>
          <t>SALA</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51808-2025</t>
        </is>
      </c>
      <c r="B420" s="1" t="n">
        <v>45951.79302083333</v>
      </c>
      <c r="C420" s="1" t="n">
        <v>46050</v>
      </c>
      <c r="D420" t="inlineStr">
        <is>
          <t>VÄSTMANLANDS LÄN</t>
        </is>
      </c>
      <c r="E420" t="inlineStr">
        <is>
          <t>SALA</t>
        </is>
      </c>
      <c r="F420" t="inlineStr">
        <is>
          <t>Kommuner</t>
        </is>
      </c>
      <c r="G420" t="n">
        <v>3</v>
      </c>
      <c r="H420" t="n">
        <v>0</v>
      </c>
      <c r="I420" t="n">
        <v>0</v>
      </c>
      <c r="J420" t="n">
        <v>0</v>
      </c>
      <c r="K420" t="n">
        <v>0</v>
      </c>
      <c r="L420" t="n">
        <v>0</v>
      </c>
      <c r="M420" t="n">
        <v>0</v>
      </c>
      <c r="N420" t="n">
        <v>0</v>
      </c>
      <c r="O420" t="n">
        <v>0</v>
      </c>
      <c r="P420" t="n">
        <v>0</v>
      </c>
      <c r="Q420" t="n">
        <v>0</v>
      </c>
      <c r="R420" s="2" t="inlineStr"/>
    </row>
    <row r="421" ht="15" customHeight="1">
      <c r="A421" t="inlineStr">
        <is>
          <t>A 18100-2023</t>
        </is>
      </c>
      <c r="B421" s="1" t="n">
        <v>45040</v>
      </c>
      <c r="C421" s="1" t="n">
        <v>46050</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51803-2025</t>
        </is>
      </c>
      <c r="B422" s="1" t="n">
        <v>45951.76818287037</v>
      </c>
      <c r="C422" s="1" t="n">
        <v>46050</v>
      </c>
      <c r="D422" t="inlineStr">
        <is>
          <t>VÄSTMANLANDS LÄN</t>
        </is>
      </c>
      <c r="E422" t="inlineStr">
        <is>
          <t>SALA</t>
        </is>
      </c>
      <c r="F422" t="inlineStr">
        <is>
          <t>Kommuner</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51805-2025</t>
        </is>
      </c>
      <c r="B423" s="1" t="n">
        <v>45951.78359953704</v>
      </c>
      <c r="C423" s="1" t="n">
        <v>46050</v>
      </c>
      <c r="D423" t="inlineStr">
        <is>
          <t>VÄSTMANLANDS LÄN</t>
        </is>
      </c>
      <c r="E423" t="inlineStr">
        <is>
          <t>SALA</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51809-2025</t>
        </is>
      </c>
      <c r="B424" s="1" t="n">
        <v>45951.80116898148</v>
      </c>
      <c r="C424" s="1" t="n">
        <v>46050</v>
      </c>
      <c r="D424" t="inlineStr">
        <is>
          <t>VÄSTMANLANDS LÄN</t>
        </is>
      </c>
      <c r="E424" t="inlineStr">
        <is>
          <t>SALA</t>
        </is>
      </c>
      <c r="F424" t="inlineStr">
        <is>
          <t>Kommuner</t>
        </is>
      </c>
      <c r="G424" t="n">
        <v>3.5</v>
      </c>
      <c r="H424" t="n">
        <v>0</v>
      </c>
      <c r="I424" t="n">
        <v>0</v>
      </c>
      <c r="J424" t="n">
        <v>0</v>
      </c>
      <c r="K424" t="n">
        <v>0</v>
      </c>
      <c r="L424" t="n">
        <v>0</v>
      </c>
      <c r="M424" t="n">
        <v>0</v>
      </c>
      <c r="N424" t="n">
        <v>0</v>
      </c>
      <c r="O424" t="n">
        <v>0</v>
      </c>
      <c r="P424" t="n">
        <v>0</v>
      </c>
      <c r="Q424" t="n">
        <v>0</v>
      </c>
      <c r="R424" s="2" t="inlineStr"/>
    </row>
    <row r="425" ht="15" customHeight="1">
      <c r="A425" t="inlineStr">
        <is>
          <t>A 23374-2023</t>
        </is>
      </c>
      <c r="B425" s="1" t="n">
        <v>45076.4399537037</v>
      </c>
      <c r="C425" s="1" t="n">
        <v>46050</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6134-2024</t>
        </is>
      </c>
      <c r="B426" s="1" t="n">
        <v>45337</v>
      </c>
      <c r="C426" s="1" t="n">
        <v>46050</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48117-2024</t>
        </is>
      </c>
      <c r="B427" s="1" t="n">
        <v>45589</v>
      </c>
      <c r="C427" s="1" t="n">
        <v>46050</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31082-2021</t>
        </is>
      </c>
      <c r="B428" s="1" t="n">
        <v>44368</v>
      </c>
      <c r="C428" s="1" t="n">
        <v>46050</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31470-2021</t>
        </is>
      </c>
      <c r="B429" s="1" t="n">
        <v>44369</v>
      </c>
      <c r="C429" s="1" t="n">
        <v>46050</v>
      </c>
      <c r="D429" t="inlineStr">
        <is>
          <t>VÄSTMANLANDS LÄN</t>
        </is>
      </c>
      <c r="E429" t="inlineStr">
        <is>
          <t>SALA</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24175-2024</t>
        </is>
      </c>
      <c r="B430" s="1" t="n">
        <v>45456</v>
      </c>
      <c r="C430" s="1" t="n">
        <v>46050</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28328-2023</t>
        </is>
      </c>
      <c r="B431" s="1" t="n">
        <v>45099.71063657408</v>
      </c>
      <c r="C431" s="1" t="n">
        <v>46050</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61715-2024</t>
        </is>
      </c>
      <c r="B432" s="1" t="n">
        <v>45648.89519675926</v>
      </c>
      <c r="C432" s="1" t="n">
        <v>46050</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38195-2021</t>
        </is>
      </c>
      <c r="B433" s="1" t="n">
        <v>44405</v>
      </c>
      <c r="C433" s="1" t="n">
        <v>46050</v>
      </c>
      <c r="D433" t="inlineStr">
        <is>
          <t>VÄSTMANLANDS LÄN</t>
        </is>
      </c>
      <c r="E433" t="inlineStr">
        <is>
          <t>SALA</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53725-2025</t>
        </is>
      </c>
      <c r="B434" s="1" t="n">
        <v>45960.63394675926</v>
      </c>
      <c r="C434" s="1" t="n">
        <v>46050</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6132-2025</t>
        </is>
      </c>
      <c r="B435" s="1" t="n">
        <v>45698</v>
      </c>
      <c r="C435" s="1" t="n">
        <v>46050</v>
      </c>
      <c r="D435" t="inlineStr">
        <is>
          <t>VÄSTMANLANDS LÄN</t>
        </is>
      </c>
      <c r="E435" t="inlineStr">
        <is>
          <t>SALA</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38636-2024</t>
        </is>
      </c>
      <c r="B436" s="1" t="n">
        <v>45546</v>
      </c>
      <c r="C436" s="1" t="n">
        <v>46050</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21777-2022</t>
        </is>
      </c>
      <c r="B437" s="1" t="n">
        <v>44708.48194444444</v>
      </c>
      <c r="C437" s="1" t="n">
        <v>46050</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53744-2025</t>
        </is>
      </c>
      <c r="B438" s="1" t="n">
        <v>45960.64863425926</v>
      </c>
      <c r="C438" s="1" t="n">
        <v>46050</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11389-2024</t>
        </is>
      </c>
      <c r="B439" s="1" t="n">
        <v>45372.45016203704</v>
      </c>
      <c r="C439" s="1" t="n">
        <v>46050</v>
      </c>
      <c r="D439" t="inlineStr">
        <is>
          <t>VÄSTMANLANDS LÄN</t>
        </is>
      </c>
      <c r="E439" t="inlineStr">
        <is>
          <t>SALA</t>
        </is>
      </c>
      <c r="G439" t="n">
        <v>0.5</v>
      </c>
      <c r="H439" t="n">
        <v>0</v>
      </c>
      <c r="I439" t="n">
        <v>0</v>
      </c>
      <c r="J439" t="n">
        <v>0</v>
      </c>
      <c r="K439" t="n">
        <v>0</v>
      </c>
      <c r="L439" t="n">
        <v>0</v>
      </c>
      <c r="M439" t="n">
        <v>0</v>
      </c>
      <c r="N439" t="n">
        <v>0</v>
      </c>
      <c r="O439" t="n">
        <v>0</v>
      </c>
      <c r="P439" t="n">
        <v>0</v>
      </c>
      <c r="Q439" t="n">
        <v>0</v>
      </c>
      <c r="R439" s="2" t="inlineStr"/>
    </row>
    <row r="440" ht="15" customHeight="1">
      <c r="A440" t="inlineStr">
        <is>
          <t>A 53724-2025</t>
        </is>
      </c>
      <c r="B440" s="1" t="n">
        <v>45960.63174768518</v>
      </c>
      <c r="C440" s="1" t="n">
        <v>46050</v>
      </c>
      <c r="D440" t="inlineStr">
        <is>
          <t>VÄSTMANLANDS LÄN</t>
        </is>
      </c>
      <c r="E440" t="inlineStr">
        <is>
          <t>SALA</t>
        </is>
      </c>
      <c r="G440" t="n">
        <v>2.8</v>
      </c>
      <c r="H440" t="n">
        <v>0</v>
      </c>
      <c r="I440" t="n">
        <v>0</v>
      </c>
      <c r="J440" t="n">
        <v>0</v>
      </c>
      <c r="K440" t="n">
        <v>0</v>
      </c>
      <c r="L440" t="n">
        <v>0</v>
      </c>
      <c r="M440" t="n">
        <v>0</v>
      </c>
      <c r="N440" t="n">
        <v>0</v>
      </c>
      <c r="O440" t="n">
        <v>0</v>
      </c>
      <c r="P440" t="n">
        <v>0</v>
      </c>
      <c r="Q440" t="n">
        <v>0</v>
      </c>
      <c r="R440" s="2" t="inlineStr"/>
    </row>
    <row r="441" ht="15" customHeight="1">
      <c r="A441" t="inlineStr">
        <is>
          <t>A 54344-2025</t>
        </is>
      </c>
      <c r="B441" s="1" t="n">
        <v>45965.36462962963</v>
      </c>
      <c r="C441" s="1" t="n">
        <v>46050</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54590-2025</t>
        </is>
      </c>
      <c r="B442" s="1" t="n">
        <v>45965.74199074074</v>
      </c>
      <c r="C442" s="1" t="n">
        <v>46050</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2925-2024</t>
        </is>
      </c>
      <c r="B443" s="1" t="n">
        <v>45315.58909722222</v>
      </c>
      <c r="C443" s="1" t="n">
        <v>46050</v>
      </c>
      <c r="D443" t="inlineStr">
        <is>
          <t>VÄSTMANLANDS LÄN</t>
        </is>
      </c>
      <c r="E443" t="inlineStr">
        <is>
          <t>SALA</t>
        </is>
      </c>
      <c r="G443" t="n">
        <v>1.3</v>
      </c>
      <c r="H443" t="n">
        <v>0</v>
      </c>
      <c r="I443" t="n">
        <v>0</v>
      </c>
      <c r="J443" t="n">
        <v>0</v>
      </c>
      <c r="K443" t="n">
        <v>0</v>
      </c>
      <c r="L443" t="n">
        <v>0</v>
      </c>
      <c r="M443" t="n">
        <v>0</v>
      </c>
      <c r="N443" t="n">
        <v>0</v>
      </c>
      <c r="O443" t="n">
        <v>0</v>
      </c>
      <c r="P443" t="n">
        <v>0</v>
      </c>
      <c r="Q443" t="n">
        <v>0</v>
      </c>
      <c r="R443" s="2" t="inlineStr"/>
    </row>
    <row r="444" ht="15" customHeight="1">
      <c r="A444" t="inlineStr">
        <is>
          <t>A 54201-2025</t>
        </is>
      </c>
      <c r="B444" s="1" t="n">
        <v>45964.58055555556</v>
      </c>
      <c r="C444" s="1" t="n">
        <v>46050</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63055-2025</t>
        </is>
      </c>
      <c r="B445" s="1" t="n">
        <v>46009.63619212963</v>
      </c>
      <c r="C445" s="1" t="n">
        <v>46050</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63046-2025</t>
        </is>
      </c>
      <c r="B446" s="1" t="n">
        <v>46009.62373842593</v>
      </c>
      <c r="C446" s="1" t="n">
        <v>46050</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39439-2021</t>
        </is>
      </c>
      <c r="B447" s="1" t="n">
        <v>44414</v>
      </c>
      <c r="C447" s="1" t="n">
        <v>46050</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54893-2025</t>
        </is>
      </c>
      <c r="B448" s="1" t="n">
        <v>45967.36383101852</v>
      </c>
      <c r="C448" s="1" t="n">
        <v>46050</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63051-2025</t>
        </is>
      </c>
      <c r="B449" s="1" t="n">
        <v>46009.63134259259</v>
      </c>
      <c r="C449" s="1" t="n">
        <v>46050</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3332-2024</t>
        </is>
      </c>
      <c r="B450" s="1" t="n">
        <v>45317</v>
      </c>
      <c r="C450" s="1" t="n">
        <v>46050</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44579.86452546297</v>
      </c>
      <c r="C451" s="1" t="n">
        <v>46050</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13471-2025</t>
        </is>
      </c>
      <c r="B452" s="1" t="n">
        <v>45736.40579861111</v>
      </c>
      <c r="C452" s="1" t="n">
        <v>46050</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15681-2025</t>
        </is>
      </c>
      <c r="B453" s="1" t="n">
        <v>45748.45454861111</v>
      </c>
      <c r="C453" s="1" t="n">
        <v>46050</v>
      </c>
      <c r="D453" t="inlineStr">
        <is>
          <t>VÄSTMANLANDS LÄN</t>
        </is>
      </c>
      <c r="E453" t="inlineStr">
        <is>
          <t>SALA</t>
        </is>
      </c>
      <c r="F453" t="inlineStr">
        <is>
          <t>Bergvik skog öst AB</t>
        </is>
      </c>
      <c r="G453" t="n">
        <v>4.3</v>
      </c>
      <c r="H453" t="n">
        <v>0</v>
      </c>
      <c r="I453" t="n">
        <v>0</v>
      </c>
      <c r="J453" t="n">
        <v>0</v>
      </c>
      <c r="K453" t="n">
        <v>0</v>
      </c>
      <c r="L453" t="n">
        <v>0</v>
      </c>
      <c r="M453" t="n">
        <v>0</v>
      </c>
      <c r="N453" t="n">
        <v>0</v>
      </c>
      <c r="O453" t="n">
        <v>0</v>
      </c>
      <c r="P453" t="n">
        <v>0</v>
      </c>
      <c r="Q453" t="n">
        <v>0</v>
      </c>
      <c r="R453" s="2" t="inlineStr"/>
    </row>
    <row r="454" ht="15" customHeight="1">
      <c r="A454" t="inlineStr">
        <is>
          <t>A 18431-2023</t>
        </is>
      </c>
      <c r="B454" s="1" t="n">
        <v>45042</v>
      </c>
      <c r="C454" s="1" t="n">
        <v>46050</v>
      </c>
      <c r="D454" t="inlineStr">
        <is>
          <t>VÄSTMANLANDS LÄN</t>
        </is>
      </c>
      <c r="E454" t="inlineStr">
        <is>
          <t>SALA</t>
        </is>
      </c>
      <c r="G454" t="n">
        <v>1.9</v>
      </c>
      <c r="H454" t="n">
        <v>0</v>
      </c>
      <c r="I454" t="n">
        <v>0</v>
      </c>
      <c r="J454" t="n">
        <v>0</v>
      </c>
      <c r="K454" t="n">
        <v>0</v>
      </c>
      <c r="L454" t="n">
        <v>0</v>
      </c>
      <c r="M454" t="n">
        <v>0</v>
      </c>
      <c r="N454" t="n">
        <v>0</v>
      </c>
      <c r="O454" t="n">
        <v>0</v>
      </c>
      <c r="P454" t="n">
        <v>0</v>
      </c>
      <c r="Q454" t="n">
        <v>0</v>
      </c>
      <c r="R454" s="2" t="inlineStr"/>
    </row>
    <row r="455" ht="15" customHeight="1">
      <c r="A455" t="inlineStr">
        <is>
          <t>A 19033-2025</t>
        </is>
      </c>
      <c r="B455" s="1" t="n">
        <v>45764.65796296296</v>
      </c>
      <c r="C455" s="1" t="n">
        <v>46050</v>
      </c>
      <c r="D455" t="inlineStr">
        <is>
          <t>VÄSTMANLANDS LÄN</t>
        </is>
      </c>
      <c r="E455" t="inlineStr">
        <is>
          <t>SALA</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27424-2023</t>
        </is>
      </c>
      <c r="B456" s="1" t="n">
        <v>45097.37690972222</v>
      </c>
      <c r="C456" s="1" t="n">
        <v>46050</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58701-2021</t>
        </is>
      </c>
      <c r="B457" s="1" t="n">
        <v>44489.46454861111</v>
      </c>
      <c r="C457" s="1" t="n">
        <v>46050</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11244-2024</t>
        </is>
      </c>
      <c r="B458" s="1" t="n">
        <v>45371</v>
      </c>
      <c r="C458" s="1" t="n">
        <v>46050</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12225-2023</t>
        </is>
      </c>
      <c r="B459" s="1" t="n">
        <v>44995</v>
      </c>
      <c r="C459" s="1" t="n">
        <v>46050</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63353-2025</t>
        </is>
      </c>
      <c r="B460" s="1" t="n">
        <v>46010.66670138889</v>
      </c>
      <c r="C460" s="1" t="n">
        <v>46050</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61874-2021</t>
        </is>
      </c>
      <c r="B461" s="1" t="n">
        <v>44502</v>
      </c>
      <c r="C461" s="1" t="n">
        <v>46050</v>
      </c>
      <c r="D461" t="inlineStr">
        <is>
          <t>VÄSTMANLANDS LÄN</t>
        </is>
      </c>
      <c r="E461" t="inlineStr">
        <is>
          <t>SALA</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55997-2025</t>
        </is>
      </c>
      <c r="B462" s="1" t="n">
        <v>45973.56833333334</v>
      </c>
      <c r="C462" s="1" t="n">
        <v>46050</v>
      </c>
      <c r="D462" t="inlineStr">
        <is>
          <t>VÄSTMANLANDS LÄN</t>
        </is>
      </c>
      <c r="E462" t="inlineStr">
        <is>
          <t>SALA</t>
        </is>
      </c>
      <c r="F462" t="inlineStr">
        <is>
          <t>Sveaskog</t>
        </is>
      </c>
      <c r="G462" t="n">
        <v>2.1</v>
      </c>
      <c r="H462" t="n">
        <v>0</v>
      </c>
      <c r="I462" t="n">
        <v>0</v>
      </c>
      <c r="J462" t="n">
        <v>0</v>
      </c>
      <c r="K462" t="n">
        <v>0</v>
      </c>
      <c r="L462" t="n">
        <v>0</v>
      </c>
      <c r="M462" t="n">
        <v>0</v>
      </c>
      <c r="N462" t="n">
        <v>0</v>
      </c>
      <c r="O462" t="n">
        <v>0</v>
      </c>
      <c r="P462" t="n">
        <v>0</v>
      </c>
      <c r="Q462" t="n">
        <v>0</v>
      </c>
      <c r="R462" s="2" t="inlineStr"/>
    </row>
    <row r="463" ht="15" customHeight="1">
      <c r="A463" t="inlineStr">
        <is>
          <t>A 62651-2022</t>
        </is>
      </c>
      <c r="B463" s="1" t="n">
        <v>44917</v>
      </c>
      <c r="C463" s="1" t="n">
        <v>46050</v>
      </c>
      <c r="D463" t="inlineStr">
        <is>
          <t>VÄSTMANLANDS LÄN</t>
        </is>
      </c>
      <c r="E463" t="inlineStr">
        <is>
          <t>SALA</t>
        </is>
      </c>
      <c r="G463" t="n">
        <v>0.4</v>
      </c>
      <c r="H463" t="n">
        <v>0</v>
      </c>
      <c r="I463" t="n">
        <v>0</v>
      </c>
      <c r="J463" t="n">
        <v>0</v>
      </c>
      <c r="K463" t="n">
        <v>0</v>
      </c>
      <c r="L463" t="n">
        <v>0</v>
      </c>
      <c r="M463" t="n">
        <v>0</v>
      </c>
      <c r="N463" t="n">
        <v>0</v>
      </c>
      <c r="O463" t="n">
        <v>0</v>
      </c>
      <c r="P463" t="n">
        <v>0</v>
      </c>
      <c r="Q463" t="n">
        <v>0</v>
      </c>
      <c r="R463" s="2" t="inlineStr"/>
    </row>
    <row r="464" ht="15" customHeight="1">
      <c r="A464" t="inlineStr">
        <is>
          <t>A 55714-2025</t>
        </is>
      </c>
      <c r="B464" s="1" t="n">
        <v>45972.49131944445</v>
      </c>
      <c r="C464" s="1" t="n">
        <v>46050</v>
      </c>
      <c r="D464" t="inlineStr">
        <is>
          <t>VÄSTMANLANDS LÄN</t>
        </is>
      </c>
      <c r="E464" t="inlineStr">
        <is>
          <t>SALA</t>
        </is>
      </c>
      <c r="G464" t="n">
        <v>6.6</v>
      </c>
      <c r="H464" t="n">
        <v>0</v>
      </c>
      <c r="I464" t="n">
        <v>0</v>
      </c>
      <c r="J464" t="n">
        <v>0</v>
      </c>
      <c r="K464" t="n">
        <v>0</v>
      </c>
      <c r="L464" t="n">
        <v>0</v>
      </c>
      <c r="M464" t="n">
        <v>0</v>
      </c>
      <c r="N464" t="n">
        <v>0</v>
      </c>
      <c r="O464" t="n">
        <v>0</v>
      </c>
      <c r="P464" t="n">
        <v>0</v>
      </c>
      <c r="Q464" t="n">
        <v>0</v>
      </c>
      <c r="R464" s="2" t="inlineStr"/>
    </row>
    <row r="465" ht="15" customHeight="1">
      <c r="A465" t="inlineStr">
        <is>
          <t>A 15968-2024</t>
        </is>
      </c>
      <c r="B465" s="1" t="n">
        <v>45405.56021990741</v>
      </c>
      <c r="C465" s="1" t="n">
        <v>46050</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63749-2025</t>
        </is>
      </c>
      <c r="B466" s="1" t="n">
        <v>46017.75243055556</v>
      </c>
      <c r="C466" s="1" t="n">
        <v>46050</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56593-2025</t>
        </is>
      </c>
      <c r="B467" s="1" t="n">
        <v>45975</v>
      </c>
      <c r="C467" s="1" t="n">
        <v>46050</v>
      </c>
      <c r="D467" t="inlineStr">
        <is>
          <t>VÄSTMANLANDS LÄN</t>
        </is>
      </c>
      <c r="E467" t="inlineStr">
        <is>
          <t>SALA</t>
        </is>
      </c>
      <c r="F467" t="inlineStr">
        <is>
          <t>Kyrkan</t>
        </is>
      </c>
      <c r="G467" t="n">
        <v>0.1</v>
      </c>
      <c r="H467" t="n">
        <v>0</v>
      </c>
      <c r="I467" t="n">
        <v>0</v>
      </c>
      <c r="J467" t="n">
        <v>0</v>
      </c>
      <c r="K467" t="n">
        <v>0</v>
      </c>
      <c r="L467" t="n">
        <v>0</v>
      </c>
      <c r="M467" t="n">
        <v>0</v>
      </c>
      <c r="N467" t="n">
        <v>0</v>
      </c>
      <c r="O467" t="n">
        <v>0</v>
      </c>
      <c r="P467" t="n">
        <v>0</v>
      </c>
      <c r="Q467" t="n">
        <v>0</v>
      </c>
      <c r="R467" s="2" t="inlineStr"/>
    </row>
    <row r="468" ht="15" customHeight="1">
      <c r="A468" t="inlineStr">
        <is>
          <t>A 60730-2023</t>
        </is>
      </c>
      <c r="B468" s="1" t="n">
        <v>45260</v>
      </c>
      <c r="C468" s="1" t="n">
        <v>46050</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60731-2023</t>
        </is>
      </c>
      <c r="B469" s="1" t="n">
        <v>45260</v>
      </c>
      <c r="C469" s="1" t="n">
        <v>46050</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63748-2025</t>
        </is>
      </c>
      <c r="B470" s="1" t="n">
        <v>46017.71640046296</v>
      </c>
      <c r="C470" s="1" t="n">
        <v>46050</v>
      </c>
      <c r="D470" t="inlineStr">
        <is>
          <t>VÄSTMANLANDS LÄN</t>
        </is>
      </c>
      <c r="E470" t="inlineStr">
        <is>
          <t>SALA</t>
        </is>
      </c>
      <c r="G470" t="n">
        <v>1.6</v>
      </c>
      <c r="H470" t="n">
        <v>0</v>
      </c>
      <c r="I470" t="n">
        <v>0</v>
      </c>
      <c r="J470" t="n">
        <v>0</v>
      </c>
      <c r="K470" t="n">
        <v>0</v>
      </c>
      <c r="L470" t="n">
        <v>0</v>
      </c>
      <c r="M470" t="n">
        <v>0</v>
      </c>
      <c r="N470" t="n">
        <v>0</v>
      </c>
      <c r="O470" t="n">
        <v>0</v>
      </c>
      <c r="P470" t="n">
        <v>0</v>
      </c>
      <c r="Q470" t="n">
        <v>0</v>
      </c>
      <c r="R470" s="2" t="inlineStr"/>
    </row>
    <row r="471" ht="15" customHeight="1">
      <c r="A471" t="inlineStr">
        <is>
          <t>A 56645-2025</t>
        </is>
      </c>
      <c r="B471" s="1" t="n">
        <v>45975.63063657407</v>
      </c>
      <c r="C471" s="1" t="n">
        <v>46050</v>
      </c>
      <c r="D471" t="inlineStr">
        <is>
          <t>VÄSTMANLANDS LÄN</t>
        </is>
      </c>
      <c r="E471" t="inlineStr">
        <is>
          <t>SALA</t>
        </is>
      </c>
      <c r="F471" t="inlineStr">
        <is>
          <t>Bergvik skog öst AB</t>
        </is>
      </c>
      <c r="G471" t="n">
        <v>5.3</v>
      </c>
      <c r="H471" t="n">
        <v>0</v>
      </c>
      <c r="I471" t="n">
        <v>0</v>
      </c>
      <c r="J471" t="n">
        <v>0</v>
      </c>
      <c r="K471" t="n">
        <v>0</v>
      </c>
      <c r="L471" t="n">
        <v>0</v>
      </c>
      <c r="M471" t="n">
        <v>0</v>
      </c>
      <c r="N471" t="n">
        <v>0</v>
      </c>
      <c r="O471" t="n">
        <v>0</v>
      </c>
      <c r="P471" t="n">
        <v>0</v>
      </c>
      <c r="Q471" t="n">
        <v>0</v>
      </c>
      <c r="R471" s="2" t="inlineStr"/>
    </row>
    <row r="472" ht="15" customHeight="1">
      <c r="A472" t="inlineStr">
        <is>
          <t>A 56502-2025</t>
        </is>
      </c>
      <c r="B472" s="1" t="n">
        <v>45975</v>
      </c>
      <c r="C472" s="1" t="n">
        <v>46050</v>
      </c>
      <c r="D472" t="inlineStr">
        <is>
          <t>VÄSTMANLANDS LÄN</t>
        </is>
      </c>
      <c r="E472" t="inlineStr">
        <is>
          <t>SALA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56614-2025</t>
        </is>
      </c>
      <c r="B473" s="1" t="n">
        <v>45975.59288194445</v>
      </c>
      <c r="C473" s="1" t="n">
        <v>46050</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18461-2024</t>
        </is>
      </c>
      <c r="B474" s="1" t="n">
        <v>45425.47435185185</v>
      </c>
      <c r="C474" s="1" t="n">
        <v>46050</v>
      </c>
      <c r="D474" t="inlineStr">
        <is>
          <t>VÄSTMANLANDS LÄN</t>
        </is>
      </c>
      <c r="E474" t="inlineStr">
        <is>
          <t>SALA</t>
        </is>
      </c>
      <c r="G474" t="n">
        <v>1.7</v>
      </c>
      <c r="H474" t="n">
        <v>0</v>
      </c>
      <c r="I474" t="n">
        <v>0</v>
      </c>
      <c r="J474" t="n">
        <v>0</v>
      </c>
      <c r="K474" t="n">
        <v>0</v>
      </c>
      <c r="L474" t="n">
        <v>0</v>
      </c>
      <c r="M474" t="n">
        <v>0</v>
      </c>
      <c r="N474" t="n">
        <v>0</v>
      </c>
      <c r="O474" t="n">
        <v>0</v>
      </c>
      <c r="P474" t="n">
        <v>0</v>
      </c>
      <c r="Q474" t="n">
        <v>0</v>
      </c>
      <c r="R474" s="2" t="inlineStr"/>
    </row>
    <row r="475" ht="15" customHeight="1">
      <c r="A475" t="inlineStr">
        <is>
          <t>A 4663-2022</t>
        </is>
      </c>
      <c r="B475" s="1" t="n">
        <v>44592.45429398148</v>
      </c>
      <c r="C475" s="1" t="n">
        <v>46050</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56611-2025</t>
        </is>
      </c>
      <c r="B476" s="1" t="n">
        <v>45975</v>
      </c>
      <c r="C476" s="1" t="n">
        <v>46050</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6032-2025</t>
        </is>
      </c>
      <c r="B477" s="1" t="n">
        <v>45695.6371875</v>
      </c>
      <c r="C477" s="1" t="n">
        <v>46050</v>
      </c>
      <c r="D477" t="inlineStr">
        <is>
          <t>VÄSTMANLANDS LÄN</t>
        </is>
      </c>
      <c r="E477" t="inlineStr">
        <is>
          <t>SALA</t>
        </is>
      </c>
      <c r="F477" t="inlineStr">
        <is>
          <t>Bergvik skog öst AB</t>
        </is>
      </c>
      <c r="G477" t="n">
        <v>8.1</v>
      </c>
      <c r="H477" t="n">
        <v>0</v>
      </c>
      <c r="I477" t="n">
        <v>0</v>
      </c>
      <c r="J477" t="n">
        <v>0</v>
      </c>
      <c r="K477" t="n">
        <v>0</v>
      </c>
      <c r="L477" t="n">
        <v>0</v>
      </c>
      <c r="M477" t="n">
        <v>0</v>
      </c>
      <c r="N477" t="n">
        <v>0</v>
      </c>
      <c r="O477" t="n">
        <v>0</v>
      </c>
      <c r="P477" t="n">
        <v>0</v>
      </c>
      <c r="Q477" t="n">
        <v>0</v>
      </c>
      <c r="R477" s="2" t="inlineStr"/>
    </row>
    <row r="478" ht="15" customHeight="1">
      <c r="A478" t="inlineStr">
        <is>
          <t>A 57014-2025</t>
        </is>
      </c>
      <c r="B478" s="1" t="n">
        <v>45978</v>
      </c>
      <c r="C478" s="1" t="n">
        <v>46050</v>
      </c>
      <c r="D478" t="inlineStr">
        <is>
          <t>VÄSTMANLANDS LÄN</t>
        </is>
      </c>
      <c r="E478" t="inlineStr">
        <is>
          <t>SALA</t>
        </is>
      </c>
      <c r="G478" t="n">
        <v>2.2</v>
      </c>
      <c r="H478" t="n">
        <v>0</v>
      </c>
      <c r="I478" t="n">
        <v>0</v>
      </c>
      <c r="J478" t="n">
        <v>0</v>
      </c>
      <c r="K478" t="n">
        <v>0</v>
      </c>
      <c r="L478" t="n">
        <v>0</v>
      </c>
      <c r="M478" t="n">
        <v>0</v>
      </c>
      <c r="N478" t="n">
        <v>0</v>
      </c>
      <c r="O478" t="n">
        <v>0</v>
      </c>
      <c r="P478" t="n">
        <v>0</v>
      </c>
      <c r="Q478" t="n">
        <v>0</v>
      </c>
      <c r="R478" s="2" t="inlineStr"/>
    </row>
    <row r="479" ht="15" customHeight="1">
      <c r="A479" t="inlineStr">
        <is>
          <t>A 2766-2024</t>
        </is>
      </c>
      <c r="B479" s="1" t="n">
        <v>45314.60950231482</v>
      </c>
      <c r="C479" s="1" t="n">
        <v>46050</v>
      </c>
      <c r="D479" t="inlineStr">
        <is>
          <t>VÄSTMANLANDS LÄN</t>
        </is>
      </c>
      <c r="E479" t="inlineStr">
        <is>
          <t>SALA</t>
        </is>
      </c>
      <c r="G479" t="n">
        <v>2.8</v>
      </c>
      <c r="H479" t="n">
        <v>0</v>
      </c>
      <c r="I479" t="n">
        <v>0</v>
      </c>
      <c r="J479" t="n">
        <v>0</v>
      </c>
      <c r="K479" t="n">
        <v>0</v>
      </c>
      <c r="L479" t="n">
        <v>0</v>
      </c>
      <c r="M479" t="n">
        <v>0</v>
      </c>
      <c r="N479" t="n">
        <v>0</v>
      </c>
      <c r="O479" t="n">
        <v>0</v>
      </c>
      <c r="P479" t="n">
        <v>0</v>
      </c>
      <c r="Q479" t="n">
        <v>0</v>
      </c>
      <c r="R479" s="2" t="inlineStr"/>
    </row>
    <row r="480" ht="15" customHeight="1">
      <c r="A480" t="inlineStr">
        <is>
          <t>A 6351-2023</t>
        </is>
      </c>
      <c r="B480" s="1" t="n">
        <v>44965</v>
      </c>
      <c r="C480" s="1" t="n">
        <v>46050</v>
      </c>
      <c r="D480" t="inlineStr">
        <is>
          <t>VÄSTMANLANDS LÄN</t>
        </is>
      </c>
      <c r="E480" t="inlineStr">
        <is>
          <t>SALA</t>
        </is>
      </c>
      <c r="F480" t="inlineStr">
        <is>
          <t>Kommuner</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45187-2024</t>
        </is>
      </c>
      <c r="B481" s="1" t="n">
        <v>45575</v>
      </c>
      <c r="C481" s="1" t="n">
        <v>46050</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57414-2025</t>
        </is>
      </c>
      <c r="B482" s="1" t="n">
        <v>45980.45003472222</v>
      </c>
      <c r="C482" s="1" t="n">
        <v>46050</v>
      </c>
      <c r="D482" t="inlineStr">
        <is>
          <t>VÄSTMANLANDS LÄN</t>
        </is>
      </c>
      <c r="E482" t="inlineStr">
        <is>
          <t>SALA</t>
        </is>
      </c>
      <c r="F482" t="inlineStr">
        <is>
          <t>Bergvik skog öst AB</t>
        </is>
      </c>
      <c r="G482" t="n">
        <v>2</v>
      </c>
      <c r="H482" t="n">
        <v>0</v>
      </c>
      <c r="I482" t="n">
        <v>0</v>
      </c>
      <c r="J482" t="n">
        <v>0</v>
      </c>
      <c r="K482" t="n">
        <v>0</v>
      </c>
      <c r="L482" t="n">
        <v>0</v>
      </c>
      <c r="M482" t="n">
        <v>0</v>
      </c>
      <c r="N482" t="n">
        <v>0</v>
      </c>
      <c r="O482" t="n">
        <v>0</v>
      </c>
      <c r="P482" t="n">
        <v>0</v>
      </c>
      <c r="Q482" t="n">
        <v>0</v>
      </c>
      <c r="R482" s="2" t="inlineStr"/>
    </row>
    <row r="483" ht="15" customHeight="1">
      <c r="A483" t="inlineStr">
        <is>
          <t>A 57415-2025</t>
        </is>
      </c>
      <c r="B483" s="1" t="n">
        <v>45980.45099537037</v>
      </c>
      <c r="C483" s="1" t="n">
        <v>46050</v>
      </c>
      <c r="D483" t="inlineStr">
        <is>
          <t>VÄSTMANLANDS LÄN</t>
        </is>
      </c>
      <c r="E483" t="inlineStr">
        <is>
          <t>SALA</t>
        </is>
      </c>
      <c r="F483" t="inlineStr">
        <is>
          <t>Bergvik skog öst AB</t>
        </is>
      </c>
      <c r="G483" t="n">
        <v>1.4</v>
      </c>
      <c r="H483" t="n">
        <v>0</v>
      </c>
      <c r="I483" t="n">
        <v>0</v>
      </c>
      <c r="J483" t="n">
        <v>0</v>
      </c>
      <c r="K483" t="n">
        <v>0</v>
      </c>
      <c r="L483" t="n">
        <v>0</v>
      </c>
      <c r="M483" t="n">
        <v>0</v>
      </c>
      <c r="N483" t="n">
        <v>0</v>
      </c>
      <c r="O483" t="n">
        <v>0</v>
      </c>
      <c r="P483" t="n">
        <v>0</v>
      </c>
      <c r="Q483" t="n">
        <v>0</v>
      </c>
      <c r="R483" s="2" t="inlineStr"/>
    </row>
    <row r="484" ht="15" customHeight="1">
      <c r="A484" t="inlineStr">
        <is>
          <t>A 57412-2025</t>
        </is>
      </c>
      <c r="B484" s="1" t="n">
        <v>45980.44883101852</v>
      </c>
      <c r="C484" s="1" t="n">
        <v>46050</v>
      </c>
      <c r="D484" t="inlineStr">
        <is>
          <t>VÄSTMANLANDS LÄN</t>
        </is>
      </c>
      <c r="E484" t="inlineStr">
        <is>
          <t>SALA</t>
        </is>
      </c>
      <c r="F484" t="inlineStr">
        <is>
          <t>Bergvik skog öst AB</t>
        </is>
      </c>
      <c r="G484" t="n">
        <v>4.5</v>
      </c>
      <c r="H484" t="n">
        <v>0</v>
      </c>
      <c r="I484" t="n">
        <v>0</v>
      </c>
      <c r="J484" t="n">
        <v>0</v>
      </c>
      <c r="K484" t="n">
        <v>0</v>
      </c>
      <c r="L484" t="n">
        <v>0</v>
      </c>
      <c r="M484" t="n">
        <v>0</v>
      </c>
      <c r="N484" t="n">
        <v>0</v>
      </c>
      <c r="O484" t="n">
        <v>0</v>
      </c>
      <c r="P484" t="n">
        <v>0</v>
      </c>
      <c r="Q484" t="n">
        <v>0</v>
      </c>
      <c r="R484" s="2" t="inlineStr"/>
    </row>
    <row r="485" ht="15" customHeight="1">
      <c r="A485" t="inlineStr">
        <is>
          <t>A 63269-2025</t>
        </is>
      </c>
      <c r="B485" s="1" t="n">
        <v>46010</v>
      </c>
      <c r="C485" s="1" t="n">
        <v>46050</v>
      </c>
      <c r="D485" t="inlineStr">
        <is>
          <t>VÄSTMANLANDS LÄN</t>
        </is>
      </c>
      <c r="E485" t="inlineStr">
        <is>
          <t>SALA</t>
        </is>
      </c>
      <c r="G485" t="n">
        <v>6.4</v>
      </c>
      <c r="H485" t="n">
        <v>0</v>
      </c>
      <c r="I485" t="n">
        <v>0</v>
      </c>
      <c r="J485" t="n">
        <v>0</v>
      </c>
      <c r="K485" t="n">
        <v>0</v>
      </c>
      <c r="L485" t="n">
        <v>0</v>
      </c>
      <c r="M485" t="n">
        <v>0</v>
      </c>
      <c r="N485" t="n">
        <v>0</v>
      </c>
      <c r="O485" t="n">
        <v>0</v>
      </c>
      <c r="P485" t="n">
        <v>0</v>
      </c>
      <c r="Q485" t="n">
        <v>0</v>
      </c>
      <c r="R485" s="2" t="inlineStr"/>
    </row>
    <row r="486" ht="15" customHeight="1">
      <c r="A486" t="inlineStr">
        <is>
          <t>A 33527-2023</t>
        </is>
      </c>
      <c r="B486" s="1" t="n">
        <v>45131</v>
      </c>
      <c r="C486" s="1" t="n">
        <v>46050</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7377-2023</t>
        </is>
      </c>
      <c r="B487" s="1" t="n">
        <v>44971</v>
      </c>
      <c r="C487" s="1" t="n">
        <v>46050</v>
      </c>
      <c r="D487" t="inlineStr">
        <is>
          <t>VÄSTMANLANDS LÄN</t>
        </is>
      </c>
      <c r="E487" t="inlineStr">
        <is>
          <t>SALA</t>
        </is>
      </c>
      <c r="G487" t="n">
        <v>0.9</v>
      </c>
      <c r="H487" t="n">
        <v>0</v>
      </c>
      <c r="I487" t="n">
        <v>0</v>
      </c>
      <c r="J487" t="n">
        <v>0</v>
      </c>
      <c r="K487" t="n">
        <v>0</v>
      </c>
      <c r="L487" t="n">
        <v>0</v>
      </c>
      <c r="M487" t="n">
        <v>0</v>
      </c>
      <c r="N487" t="n">
        <v>0</v>
      </c>
      <c r="O487" t="n">
        <v>0</v>
      </c>
      <c r="P487" t="n">
        <v>0</v>
      </c>
      <c r="Q487" t="n">
        <v>0</v>
      </c>
      <c r="R487" s="2" t="inlineStr"/>
    </row>
    <row r="488" ht="15" customHeight="1">
      <c r="A488" t="inlineStr">
        <is>
          <t>A 6308-2021</t>
        </is>
      </c>
      <c r="B488" s="1" t="n">
        <v>44235</v>
      </c>
      <c r="C488" s="1" t="n">
        <v>46050</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58359-2025</t>
        </is>
      </c>
      <c r="B489" s="1" t="n">
        <v>45985.51594907408</v>
      </c>
      <c r="C489" s="1" t="n">
        <v>46050</v>
      </c>
      <c r="D489" t="inlineStr">
        <is>
          <t>VÄSTMANLANDS LÄN</t>
        </is>
      </c>
      <c r="E489" t="inlineStr">
        <is>
          <t>SALA</t>
        </is>
      </c>
      <c r="G489" t="n">
        <v>3.7</v>
      </c>
      <c r="H489" t="n">
        <v>0</v>
      </c>
      <c r="I489" t="n">
        <v>0</v>
      </c>
      <c r="J489" t="n">
        <v>0</v>
      </c>
      <c r="K489" t="n">
        <v>0</v>
      </c>
      <c r="L489" t="n">
        <v>0</v>
      </c>
      <c r="M489" t="n">
        <v>0</v>
      </c>
      <c r="N489" t="n">
        <v>0</v>
      </c>
      <c r="O489" t="n">
        <v>0</v>
      </c>
      <c r="P489" t="n">
        <v>0</v>
      </c>
      <c r="Q489" t="n">
        <v>0</v>
      </c>
      <c r="R489" s="2" t="inlineStr"/>
    </row>
    <row r="490" ht="15" customHeight="1">
      <c r="A490" t="inlineStr">
        <is>
          <t>A 58364-2025</t>
        </is>
      </c>
      <c r="B490" s="1" t="n">
        <v>45985.5228125</v>
      </c>
      <c r="C490" s="1" t="n">
        <v>46050</v>
      </c>
      <c r="D490" t="inlineStr">
        <is>
          <t>VÄSTMANLANDS LÄN</t>
        </is>
      </c>
      <c r="E490" t="inlineStr">
        <is>
          <t>SALA</t>
        </is>
      </c>
      <c r="G490" t="n">
        <v>2.1</v>
      </c>
      <c r="H490" t="n">
        <v>0</v>
      </c>
      <c r="I490" t="n">
        <v>0</v>
      </c>
      <c r="J490" t="n">
        <v>0</v>
      </c>
      <c r="K490" t="n">
        <v>0</v>
      </c>
      <c r="L490" t="n">
        <v>0</v>
      </c>
      <c r="M490" t="n">
        <v>0</v>
      </c>
      <c r="N490" t="n">
        <v>0</v>
      </c>
      <c r="O490" t="n">
        <v>0</v>
      </c>
      <c r="P490" t="n">
        <v>0</v>
      </c>
      <c r="Q490" t="n">
        <v>0</v>
      </c>
      <c r="R490" s="2" t="inlineStr"/>
    </row>
    <row r="491" ht="15" customHeight="1">
      <c r="A491" t="inlineStr">
        <is>
          <t>A 21159-2022</t>
        </is>
      </c>
      <c r="B491" s="1" t="n">
        <v>44704</v>
      </c>
      <c r="C491" s="1" t="n">
        <v>46050</v>
      </c>
      <c r="D491" t="inlineStr">
        <is>
          <t>VÄSTMANLANDS LÄN</t>
        </is>
      </c>
      <c r="E491" t="inlineStr">
        <is>
          <t>SALA</t>
        </is>
      </c>
      <c r="G491" t="n">
        <v>1.4</v>
      </c>
      <c r="H491" t="n">
        <v>0</v>
      </c>
      <c r="I491" t="n">
        <v>0</v>
      </c>
      <c r="J491" t="n">
        <v>0</v>
      </c>
      <c r="K491" t="n">
        <v>0</v>
      </c>
      <c r="L491" t="n">
        <v>0</v>
      </c>
      <c r="M491" t="n">
        <v>0</v>
      </c>
      <c r="N491" t="n">
        <v>0</v>
      </c>
      <c r="O491" t="n">
        <v>0</v>
      </c>
      <c r="P491" t="n">
        <v>0</v>
      </c>
      <c r="Q491" t="n">
        <v>0</v>
      </c>
      <c r="R491" s="2" t="inlineStr"/>
    </row>
    <row r="492" ht="15" customHeight="1">
      <c r="A492" t="inlineStr">
        <is>
          <t>A 58282-2025</t>
        </is>
      </c>
      <c r="B492" s="1" t="n">
        <v>45985.44309027777</v>
      </c>
      <c r="C492" s="1" t="n">
        <v>46050</v>
      </c>
      <c r="D492" t="inlineStr">
        <is>
          <t>VÄSTMANLANDS LÄN</t>
        </is>
      </c>
      <c r="E492" t="inlineStr">
        <is>
          <t>SALA</t>
        </is>
      </c>
      <c r="G492" t="n">
        <v>8.9</v>
      </c>
      <c r="H492" t="n">
        <v>0</v>
      </c>
      <c r="I492" t="n">
        <v>0</v>
      </c>
      <c r="J492" t="n">
        <v>0</v>
      </c>
      <c r="K492" t="n">
        <v>0</v>
      </c>
      <c r="L492" t="n">
        <v>0</v>
      </c>
      <c r="M492" t="n">
        <v>0</v>
      </c>
      <c r="N492" t="n">
        <v>0</v>
      </c>
      <c r="O492" t="n">
        <v>0</v>
      </c>
      <c r="P492" t="n">
        <v>0</v>
      </c>
      <c r="Q492" t="n">
        <v>0</v>
      </c>
      <c r="R492" s="2" t="inlineStr"/>
    </row>
    <row r="493" ht="15" customHeight="1">
      <c r="A493" t="inlineStr">
        <is>
          <t>A 55760-2025</t>
        </is>
      </c>
      <c r="B493" s="1" t="n">
        <v>45972</v>
      </c>
      <c r="C493" s="1" t="n">
        <v>46050</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58357-2025</t>
        </is>
      </c>
      <c r="B494" s="1" t="n">
        <v>45985.51518518518</v>
      </c>
      <c r="C494" s="1" t="n">
        <v>46050</v>
      </c>
      <c r="D494" t="inlineStr">
        <is>
          <t>VÄSTMANLANDS LÄN</t>
        </is>
      </c>
      <c r="E494" t="inlineStr">
        <is>
          <t>SALA</t>
        </is>
      </c>
      <c r="G494" t="n">
        <v>3</v>
      </c>
      <c r="H494" t="n">
        <v>0</v>
      </c>
      <c r="I494" t="n">
        <v>0</v>
      </c>
      <c r="J494" t="n">
        <v>0</v>
      </c>
      <c r="K494" t="n">
        <v>0</v>
      </c>
      <c r="L494" t="n">
        <v>0</v>
      </c>
      <c r="M494" t="n">
        <v>0</v>
      </c>
      <c r="N494" t="n">
        <v>0</v>
      </c>
      <c r="O494" t="n">
        <v>0</v>
      </c>
      <c r="P494" t="n">
        <v>0</v>
      </c>
      <c r="Q494" t="n">
        <v>0</v>
      </c>
      <c r="R494" s="2" t="inlineStr"/>
    </row>
    <row r="495" ht="15" customHeight="1">
      <c r="A495" t="inlineStr">
        <is>
          <t>A 58365-2025</t>
        </is>
      </c>
      <c r="B495" s="1" t="n">
        <v>45985.52288194445</v>
      </c>
      <c r="C495" s="1" t="n">
        <v>46050</v>
      </c>
      <c r="D495" t="inlineStr">
        <is>
          <t>VÄSTMANLANDS LÄN</t>
        </is>
      </c>
      <c r="E495" t="inlineStr">
        <is>
          <t>SALA</t>
        </is>
      </c>
      <c r="G495" t="n">
        <v>3.9</v>
      </c>
      <c r="H495" t="n">
        <v>0</v>
      </c>
      <c r="I495" t="n">
        <v>0</v>
      </c>
      <c r="J495" t="n">
        <v>0</v>
      </c>
      <c r="K495" t="n">
        <v>0</v>
      </c>
      <c r="L495" t="n">
        <v>0</v>
      </c>
      <c r="M495" t="n">
        <v>0</v>
      </c>
      <c r="N495" t="n">
        <v>0</v>
      </c>
      <c r="O495" t="n">
        <v>0</v>
      </c>
      <c r="P495" t="n">
        <v>0</v>
      </c>
      <c r="Q495" t="n">
        <v>0</v>
      </c>
      <c r="R495" s="2" t="inlineStr"/>
    </row>
    <row r="496" ht="15" customHeight="1">
      <c r="A496" t="inlineStr">
        <is>
          <t>A 56688-2024</t>
        </is>
      </c>
      <c r="B496" s="1" t="n">
        <v>45627.66478009259</v>
      </c>
      <c r="C496" s="1" t="n">
        <v>46050</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16159-2024</t>
        </is>
      </c>
      <c r="B497" s="1" t="n">
        <v>45406</v>
      </c>
      <c r="C497" s="1" t="n">
        <v>46050</v>
      </c>
      <c r="D497" t="inlineStr">
        <is>
          <t>VÄSTMANLANDS LÄN</t>
        </is>
      </c>
      <c r="E497" t="inlineStr">
        <is>
          <t>SALA</t>
        </is>
      </c>
      <c r="G497" t="n">
        <v>0.4</v>
      </c>
      <c r="H497" t="n">
        <v>0</v>
      </c>
      <c r="I497" t="n">
        <v>0</v>
      </c>
      <c r="J497" t="n">
        <v>0</v>
      </c>
      <c r="K497" t="n">
        <v>0</v>
      </c>
      <c r="L497" t="n">
        <v>0</v>
      </c>
      <c r="M497" t="n">
        <v>0</v>
      </c>
      <c r="N497" t="n">
        <v>0</v>
      </c>
      <c r="O497" t="n">
        <v>0</v>
      </c>
      <c r="P497" t="n">
        <v>0</v>
      </c>
      <c r="Q497" t="n">
        <v>0</v>
      </c>
      <c r="R497" s="2" t="inlineStr"/>
    </row>
    <row r="498" ht="15" customHeight="1">
      <c r="A498" t="inlineStr">
        <is>
          <t>A 66307-2021</t>
        </is>
      </c>
      <c r="B498" s="1" t="n">
        <v>44518.48670138889</v>
      </c>
      <c r="C498" s="1" t="n">
        <v>46050</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27262-2024</t>
        </is>
      </c>
      <c r="B499" s="1" t="n">
        <v>45471</v>
      </c>
      <c r="C499" s="1" t="n">
        <v>46050</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10913-2025</t>
        </is>
      </c>
      <c r="B500" s="1" t="n">
        <v>45722.73423611111</v>
      </c>
      <c r="C500" s="1" t="n">
        <v>46050</v>
      </c>
      <c r="D500" t="inlineStr">
        <is>
          <t>VÄSTMANLANDS LÄN</t>
        </is>
      </c>
      <c r="E500" t="inlineStr">
        <is>
          <t>SALA</t>
        </is>
      </c>
      <c r="G500" t="n">
        <v>7.6</v>
      </c>
      <c r="H500" t="n">
        <v>0</v>
      </c>
      <c r="I500" t="n">
        <v>0</v>
      </c>
      <c r="J500" t="n">
        <v>0</v>
      </c>
      <c r="K500" t="n">
        <v>0</v>
      </c>
      <c r="L500" t="n">
        <v>0</v>
      </c>
      <c r="M500" t="n">
        <v>0</v>
      </c>
      <c r="N500" t="n">
        <v>0</v>
      </c>
      <c r="O500" t="n">
        <v>0</v>
      </c>
      <c r="P500" t="n">
        <v>0</v>
      </c>
      <c r="Q500" t="n">
        <v>0</v>
      </c>
      <c r="R500" s="2" t="inlineStr"/>
    </row>
    <row r="501" ht="15" customHeight="1">
      <c r="A501" t="inlineStr">
        <is>
          <t>A 948-2026</t>
        </is>
      </c>
      <c r="B501" s="1" t="n">
        <v>46030.53986111111</v>
      </c>
      <c r="C501" s="1" t="n">
        <v>46050</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59385-2025</t>
        </is>
      </c>
      <c r="B502" s="1" t="n">
        <v>45989.45746527778</v>
      </c>
      <c r="C502" s="1" t="n">
        <v>46050</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35410-2022</t>
        </is>
      </c>
      <c r="B503" s="1" t="n">
        <v>44798.62576388889</v>
      </c>
      <c r="C503" s="1" t="n">
        <v>46050</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59390-2025</t>
        </is>
      </c>
      <c r="B504" s="1" t="n">
        <v>45989.4640162037</v>
      </c>
      <c r="C504" s="1" t="n">
        <v>46050</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51247-2025</t>
        </is>
      </c>
      <c r="B505" s="1" t="n">
        <v>45947.86487268518</v>
      </c>
      <c r="C505" s="1" t="n">
        <v>46050</v>
      </c>
      <c r="D505" t="inlineStr">
        <is>
          <t>VÄSTMANLANDS LÄN</t>
        </is>
      </c>
      <c r="E505" t="inlineStr">
        <is>
          <t>SALA</t>
        </is>
      </c>
      <c r="G505" t="n">
        <v>10.4</v>
      </c>
      <c r="H505" t="n">
        <v>0</v>
      </c>
      <c r="I505" t="n">
        <v>0</v>
      </c>
      <c r="J505" t="n">
        <v>0</v>
      </c>
      <c r="K505" t="n">
        <v>0</v>
      </c>
      <c r="L505" t="n">
        <v>0</v>
      </c>
      <c r="M505" t="n">
        <v>0</v>
      </c>
      <c r="N505" t="n">
        <v>0</v>
      </c>
      <c r="O505" t="n">
        <v>0</v>
      </c>
      <c r="P505" t="n">
        <v>0</v>
      </c>
      <c r="Q505" t="n">
        <v>0</v>
      </c>
      <c r="R505" s="2" t="inlineStr"/>
    </row>
    <row r="506" ht="15" customHeight="1">
      <c r="A506" t="inlineStr">
        <is>
          <t>A 1118-2024</t>
        </is>
      </c>
      <c r="B506" s="1" t="n">
        <v>45302</v>
      </c>
      <c r="C506" s="1" t="n">
        <v>46050</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53864-2022</t>
        </is>
      </c>
      <c r="B507" s="1" t="n">
        <v>44880.64016203704</v>
      </c>
      <c r="C507" s="1" t="n">
        <v>46050</v>
      </c>
      <c r="D507" t="inlineStr">
        <is>
          <t>VÄSTMANLANDS LÄN</t>
        </is>
      </c>
      <c r="E507" t="inlineStr">
        <is>
          <t>SALA</t>
        </is>
      </c>
      <c r="G507" t="n">
        <v>5.9</v>
      </c>
      <c r="H507" t="n">
        <v>0</v>
      </c>
      <c r="I507" t="n">
        <v>0</v>
      </c>
      <c r="J507" t="n">
        <v>0</v>
      </c>
      <c r="K507" t="n">
        <v>0</v>
      </c>
      <c r="L507" t="n">
        <v>0</v>
      </c>
      <c r="M507" t="n">
        <v>0</v>
      </c>
      <c r="N507" t="n">
        <v>0</v>
      </c>
      <c r="O507" t="n">
        <v>0</v>
      </c>
      <c r="P507" t="n">
        <v>0</v>
      </c>
      <c r="Q507" t="n">
        <v>0</v>
      </c>
      <c r="R507" s="2" t="inlineStr"/>
    </row>
    <row r="508" ht="15" customHeight="1">
      <c r="A508" t="inlineStr">
        <is>
          <t>A 914-2026</t>
        </is>
      </c>
      <c r="B508" s="1" t="n">
        <v>46030.47952546296</v>
      </c>
      <c r="C508" s="1" t="n">
        <v>46050</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910-2026</t>
        </is>
      </c>
      <c r="B509" s="1" t="n">
        <v>46030.4771412037</v>
      </c>
      <c r="C509" s="1" t="n">
        <v>46050</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40085-2024</t>
        </is>
      </c>
      <c r="B510" s="1" t="n">
        <v>45554</v>
      </c>
      <c r="C510" s="1" t="n">
        <v>46050</v>
      </c>
      <c r="D510" t="inlineStr">
        <is>
          <t>VÄSTMANLANDS LÄN</t>
        </is>
      </c>
      <c r="E510" t="inlineStr">
        <is>
          <t>SALA</t>
        </is>
      </c>
      <c r="G510" t="n">
        <v>2.8</v>
      </c>
      <c r="H510" t="n">
        <v>0</v>
      </c>
      <c r="I510" t="n">
        <v>0</v>
      </c>
      <c r="J510" t="n">
        <v>0</v>
      </c>
      <c r="K510" t="n">
        <v>0</v>
      </c>
      <c r="L510" t="n">
        <v>0</v>
      </c>
      <c r="M510" t="n">
        <v>0</v>
      </c>
      <c r="N510" t="n">
        <v>0</v>
      </c>
      <c r="O510" t="n">
        <v>0</v>
      </c>
      <c r="P510" t="n">
        <v>0</v>
      </c>
      <c r="Q510" t="n">
        <v>0</v>
      </c>
      <c r="R510" s="2" t="inlineStr"/>
    </row>
    <row r="511" ht="15" customHeight="1">
      <c r="A511" t="inlineStr">
        <is>
          <t>A 3551-2024</t>
        </is>
      </c>
      <c r="B511" s="1" t="n">
        <v>45320.61099537037</v>
      </c>
      <c r="C511" s="1" t="n">
        <v>46050</v>
      </c>
      <c r="D511" t="inlineStr">
        <is>
          <t>VÄSTMANLANDS LÄN</t>
        </is>
      </c>
      <c r="E511" t="inlineStr">
        <is>
          <t>SALA</t>
        </is>
      </c>
      <c r="F511" t="inlineStr">
        <is>
          <t>Kommuner</t>
        </is>
      </c>
      <c r="G511" t="n">
        <v>6</v>
      </c>
      <c r="H511" t="n">
        <v>0</v>
      </c>
      <c r="I511" t="n">
        <v>0</v>
      </c>
      <c r="J511" t="n">
        <v>0</v>
      </c>
      <c r="K511" t="n">
        <v>0</v>
      </c>
      <c r="L511" t="n">
        <v>0</v>
      </c>
      <c r="M511" t="n">
        <v>0</v>
      </c>
      <c r="N511" t="n">
        <v>0</v>
      </c>
      <c r="O511" t="n">
        <v>0</v>
      </c>
      <c r="P511" t="n">
        <v>0</v>
      </c>
      <c r="Q511" t="n">
        <v>0</v>
      </c>
      <c r="R511" s="2" t="inlineStr"/>
    </row>
    <row r="512" ht="15" customHeight="1">
      <c r="A512" t="inlineStr">
        <is>
          <t>A 59817-2025</t>
        </is>
      </c>
      <c r="B512" s="1" t="n">
        <v>45992.63711805556</v>
      </c>
      <c r="C512" s="1" t="n">
        <v>46050</v>
      </c>
      <c r="D512" t="inlineStr">
        <is>
          <t>VÄSTMANLANDS LÄN</t>
        </is>
      </c>
      <c r="E512" t="inlineStr">
        <is>
          <t>SALA</t>
        </is>
      </c>
      <c r="G512" t="n">
        <v>6.9</v>
      </c>
      <c r="H512" t="n">
        <v>0</v>
      </c>
      <c r="I512" t="n">
        <v>0</v>
      </c>
      <c r="J512" t="n">
        <v>0</v>
      </c>
      <c r="K512" t="n">
        <v>0</v>
      </c>
      <c r="L512" t="n">
        <v>0</v>
      </c>
      <c r="M512" t="n">
        <v>0</v>
      </c>
      <c r="N512" t="n">
        <v>0</v>
      </c>
      <c r="O512" t="n">
        <v>0</v>
      </c>
      <c r="P512" t="n">
        <v>0</v>
      </c>
      <c r="Q512" t="n">
        <v>0</v>
      </c>
      <c r="R512" s="2" t="inlineStr"/>
    </row>
    <row r="513" ht="15" customHeight="1">
      <c r="A513" t="inlineStr">
        <is>
          <t>A 1705-2026</t>
        </is>
      </c>
      <c r="B513" s="1" t="n">
        <v>46034.59930555556</v>
      </c>
      <c r="C513" s="1" t="n">
        <v>46050</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59870-2025</t>
        </is>
      </c>
      <c r="B514" s="1" t="n">
        <v>45992.92226851852</v>
      </c>
      <c r="C514" s="1" t="n">
        <v>46050</v>
      </c>
      <c r="D514" t="inlineStr">
        <is>
          <t>VÄSTMANLANDS LÄN</t>
        </is>
      </c>
      <c r="E514" t="inlineStr">
        <is>
          <t>SALA</t>
        </is>
      </c>
      <c r="G514" t="n">
        <v>3.4</v>
      </c>
      <c r="H514" t="n">
        <v>0</v>
      </c>
      <c r="I514" t="n">
        <v>0</v>
      </c>
      <c r="J514" t="n">
        <v>0</v>
      </c>
      <c r="K514" t="n">
        <v>0</v>
      </c>
      <c r="L514" t="n">
        <v>0</v>
      </c>
      <c r="M514" t="n">
        <v>0</v>
      </c>
      <c r="N514" t="n">
        <v>0</v>
      </c>
      <c r="O514" t="n">
        <v>0</v>
      </c>
      <c r="P514" t="n">
        <v>0</v>
      </c>
      <c r="Q514" t="n">
        <v>0</v>
      </c>
      <c r="R514" s="2" t="inlineStr"/>
    </row>
    <row r="515" ht="15" customHeight="1">
      <c r="A515" t="inlineStr">
        <is>
          <t>A 59926-2025</t>
        </is>
      </c>
      <c r="B515" s="1" t="n">
        <v>45993.39221064815</v>
      </c>
      <c r="C515" s="1" t="n">
        <v>46050</v>
      </c>
      <c r="D515" t="inlineStr">
        <is>
          <t>VÄSTMANLANDS LÄN</t>
        </is>
      </c>
      <c r="E515" t="inlineStr">
        <is>
          <t>SALA</t>
        </is>
      </c>
      <c r="G515" t="n">
        <v>7.1</v>
      </c>
      <c r="H515" t="n">
        <v>0</v>
      </c>
      <c r="I515" t="n">
        <v>0</v>
      </c>
      <c r="J515" t="n">
        <v>0</v>
      </c>
      <c r="K515" t="n">
        <v>0</v>
      </c>
      <c r="L515" t="n">
        <v>0</v>
      </c>
      <c r="M515" t="n">
        <v>0</v>
      </c>
      <c r="N515" t="n">
        <v>0</v>
      </c>
      <c r="O515" t="n">
        <v>0</v>
      </c>
      <c r="P515" t="n">
        <v>0</v>
      </c>
      <c r="Q515" t="n">
        <v>0</v>
      </c>
      <c r="R515" s="2" t="inlineStr"/>
    </row>
    <row r="516" ht="15" customHeight="1">
      <c r="A516" t="inlineStr">
        <is>
          <t>A 22961-2023</t>
        </is>
      </c>
      <c r="B516" s="1" t="n">
        <v>45072</v>
      </c>
      <c r="C516" s="1" t="n">
        <v>46050</v>
      </c>
      <c r="D516" t="inlineStr">
        <is>
          <t>VÄSTMANLANDS LÄN</t>
        </is>
      </c>
      <c r="E516" t="inlineStr">
        <is>
          <t>SALA</t>
        </is>
      </c>
      <c r="G516" t="n">
        <v>2.7</v>
      </c>
      <c r="H516" t="n">
        <v>0</v>
      </c>
      <c r="I516" t="n">
        <v>0</v>
      </c>
      <c r="J516" t="n">
        <v>0</v>
      </c>
      <c r="K516" t="n">
        <v>0</v>
      </c>
      <c r="L516" t="n">
        <v>0</v>
      </c>
      <c r="M516" t="n">
        <v>0</v>
      </c>
      <c r="N516" t="n">
        <v>0</v>
      </c>
      <c r="O516" t="n">
        <v>0</v>
      </c>
      <c r="P516" t="n">
        <v>0</v>
      </c>
      <c r="Q516" t="n">
        <v>0</v>
      </c>
      <c r="R516" s="2" t="inlineStr"/>
    </row>
    <row r="517" ht="15" customHeight="1">
      <c r="A517" t="inlineStr">
        <is>
          <t>A 22963-2023</t>
        </is>
      </c>
      <c r="B517" s="1" t="n">
        <v>45072</v>
      </c>
      <c r="C517" s="1" t="n">
        <v>46050</v>
      </c>
      <c r="D517" t="inlineStr">
        <is>
          <t>VÄSTMANLANDS LÄN</t>
        </is>
      </c>
      <c r="E517" t="inlineStr">
        <is>
          <t>SALA</t>
        </is>
      </c>
      <c r="G517" t="n">
        <v>1.2</v>
      </c>
      <c r="H517" t="n">
        <v>0</v>
      </c>
      <c r="I517" t="n">
        <v>0</v>
      </c>
      <c r="J517" t="n">
        <v>0</v>
      </c>
      <c r="K517" t="n">
        <v>0</v>
      </c>
      <c r="L517" t="n">
        <v>0</v>
      </c>
      <c r="M517" t="n">
        <v>0</v>
      </c>
      <c r="N517" t="n">
        <v>0</v>
      </c>
      <c r="O517" t="n">
        <v>0</v>
      </c>
      <c r="P517" t="n">
        <v>0</v>
      </c>
      <c r="Q517" t="n">
        <v>0</v>
      </c>
      <c r="R517" s="2" t="inlineStr"/>
    </row>
    <row r="518" ht="15" customHeight="1">
      <c r="A518" t="inlineStr">
        <is>
          <t>A 60017-2025</t>
        </is>
      </c>
      <c r="B518" s="1" t="n">
        <v>45993.59998842593</v>
      </c>
      <c r="C518" s="1" t="n">
        <v>46050</v>
      </c>
      <c r="D518" t="inlineStr">
        <is>
          <t>VÄSTMANLANDS LÄN</t>
        </is>
      </c>
      <c r="E518" t="inlineStr">
        <is>
          <t>SALA</t>
        </is>
      </c>
      <c r="G518" t="n">
        <v>4.4</v>
      </c>
      <c r="H518" t="n">
        <v>0</v>
      </c>
      <c r="I518" t="n">
        <v>0</v>
      </c>
      <c r="J518" t="n">
        <v>0</v>
      </c>
      <c r="K518" t="n">
        <v>0</v>
      </c>
      <c r="L518" t="n">
        <v>0</v>
      </c>
      <c r="M518" t="n">
        <v>0</v>
      </c>
      <c r="N518" t="n">
        <v>0</v>
      </c>
      <c r="O518" t="n">
        <v>0</v>
      </c>
      <c r="P518" t="n">
        <v>0</v>
      </c>
      <c r="Q518" t="n">
        <v>0</v>
      </c>
      <c r="R518" s="2" t="inlineStr"/>
    </row>
    <row r="519" ht="15" customHeight="1">
      <c r="A519" t="inlineStr">
        <is>
          <t>A 54960-2024</t>
        </is>
      </c>
      <c r="B519" s="1" t="n">
        <v>45619.85208333333</v>
      </c>
      <c r="C519" s="1" t="n">
        <v>46050</v>
      </c>
      <c r="D519" t="inlineStr">
        <is>
          <t>VÄSTMANLANDS LÄN</t>
        </is>
      </c>
      <c r="E519" t="inlineStr">
        <is>
          <t>SALA</t>
        </is>
      </c>
      <c r="G519" t="n">
        <v>2.6</v>
      </c>
      <c r="H519" t="n">
        <v>0</v>
      </c>
      <c r="I519" t="n">
        <v>0</v>
      </c>
      <c r="J519" t="n">
        <v>0</v>
      </c>
      <c r="K519" t="n">
        <v>0</v>
      </c>
      <c r="L519" t="n">
        <v>0</v>
      </c>
      <c r="M519" t="n">
        <v>0</v>
      </c>
      <c r="N519" t="n">
        <v>0</v>
      </c>
      <c r="O519" t="n">
        <v>0</v>
      </c>
      <c r="P519" t="n">
        <v>0</v>
      </c>
      <c r="Q519" t="n">
        <v>0</v>
      </c>
      <c r="R519" s="2" t="inlineStr"/>
    </row>
    <row r="520" ht="15" customHeight="1">
      <c r="A520" t="inlineStr">
        <is>
          <t>A 27228-2023</t>
        </is>
      </c>
      <c r="B520" s="1" t="n">
        <v>45096.59189814814</v>
      </c>
      <c r="C520" s="1" t="n">
        <v>46050</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26507-2023</t>
        </is>
      </c>
      <c r="B521" s="1" t="n">
        <v>45092</v>
      </c>
      <c r="C521" s="1" t="n">
        <v>46050</v>
      </c>
      <c r="D521" t="inlineStr">
        <is>
          <t>VÄSTMANLANDS LÄN</t>
        </is>
      </c>
      <c r="E521" t="inlineStr">
        <is>
          <t>SALA</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60254-2025</t>
        </is>
      </c>
      <c r="B522" s="1" t="n">
        <v>45994.60146990741</v>
      </c>
      <c r="C522" s="1" t="n">
        <v>46050</v>
      </c>
      <c r="D522" t="inlineStr">
        <is>
          <t>VÄSTMANLANDS LÄN</t>
        </is>
      </c>
      <c r="E522" t="inlineStr">
        <is>
          <t>SALA</t>
        </is>
      </c>
      <c r="G522" t="n">
        <v>1.7</v>
      </c>
      <c r="H522" t="n">
        <v>0</v>
      </c>
      <c r="I522" t="n">
        <v>0</v>
      </c>
      <c r="J522" t="n">
        <v>0</v>
      </c>
      <c r="K522" t="n">
        <v>0</v>
      </c>
      <c r="L522" t="n">
        <v>0</v>
      </c>
      <c r="M522" t="n">
        <v>0</v>
      </c>
      <c r="N522" t="n">
        <v>0</v>
      </c>
      <c r="O522" t="n">
        <v>0</v>
      </c>
      <c r="P522" t="n">
        <v>0</v>
      </c>
      <c r="Q522" t="n">
        <v>0</v>
      </c>
      <c r="R522" s="2" t="inlineStr"/>
    </row>
    <row r="523" ht="15" customHeight="1">
      <c r="A523" t="inlineStr">
        <is>
          <t>A 60259-2025</t>
        </is>
      </c>
      <c r="B523" s="1" t="n">
        <v>45994.60913194445</v>
      </c>
      <c r="C523" s="1" t="n">
        <v>46050</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6183-2025</t>
        </is>
      </c>
      <c r="B524" s="1" t="n">
        <v>45698</v>
      </c>
      <c r="C524" s="1" t="n">
        <v>46050</v>
      </c>
      <c r="D524" t="inlineStr">
        <is>
          <t>VÄSTMANLANDS LÄN</t>
        </is>
      </c>
      <c r="E524" t="inlineStr">
        <is>
          <t>SALA</t>
        </is>
      </c>
      <c r="F524" t="inlineStr">
        <is>
          <t>Bergvik skog öst AB</t>
        </is>
      </c>
      <c r="G524" t="n">
        <v>2.3</v>
      </c>
      <c r="H524" t="n">
        <v>0</v>
      </c>
      <c r="I524" t="n">
        <v>0</v>
      </c>
      <c r="J524" t="n">
        <v>0</v>
      </c>
      <c r="K524" t="n">
        <v>0</v>
      </c>
      <c r="L524" t="n">
        <v>0</v>
      </c>
      <c r="M524" t="n">
        <v>0</v>
      </c>
      <c r="N524" t="n">
        <v>0</v>
      </c>
      <c r="O524" t="n">
        <v>0</v>
      </c>
      <c r="P524" t="n">
        <v>0</v>
      </c>
      <c r="Q524" t="n">
        <v>0</v>
      </c>
      <c r="R524" s="2" t="inlineStr"/>
    </row>
    <row r="525" ht="15" customHeight="1">
      <c r="A525" t="inlineStr">
        <is>
          <t>A 16543-2023</t>
        </is>
      </c>
      <c r="B525" s="1" t="n">
        <v>45029</v>
      </c>
      <c r="C525" s="1" t="n">
        <v>46050</v>
      </c>
      <c r="D525" t="inlineStr">
        <is>
          <t>VÄSTMANLANDS LÄN</t>
        </is>
      </c>
      <c r="E525" t="inlineStr">
        <is>
          <t>SALA</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60241-2025</t>
        </is>
      </c>
      <c r="B526" s="1" t="n">
        <v>45994.58454861111</v>
      </c>
      <c r="C526" s="1" t="n">
        <v>46050</v>
      </c>
      <c r="D526" t="inlineStr">
        <is>
          <t>VÄSTMANLANDS LÄN</t>
        </is>
      </c>
      <c r="E526" t="inlineStr">
        <is>
          <t>SALA</t>
        </is>
      </c>
      <c r="G526" t="n">
        <v>1.6</v>
      </c>
      <c r="H526" t="n">
        <v>0</v>
      </c>
      <c r="I526" t="n">
        <v>0</v>
      </c>
      <c r="J526" t="n">
        <v>0</v>
      </c>
      <c r="K526" t="n">
        <v>0</v>
      </c>
      <c r="L526" t="n">
        <v>0</v>
      </c>
      <c r="M526" t="n">
        <v>0</v>
      </c>
      <c r="N526" t="n">
        <v>0</v>
      </c>
      <c r="O526" t="n">
        <v>0</v>
      </c>
      <c r="P526" t="n">
        <v>0</v>
      </c>
      <c r="Q526" t="n">
        <v>0</v>
      </c>
      <c r="R526" s="2" t="inlineStr"/>
    </row>
    <row r="527" ht="15" customHeight="1">
      <c r="A527" t="inlineStr">
        <is>
          <t>A 43176-2023</t>
        </is>
      </c>
      <c r="B527" s="1" t="n">
        <v>45183</v>
      </c>
      <c r="C527" s="1" t="n">
        <v>46050</v>
      </c>
      <c r="D527" t="inlineStr">
        <is>
          <t>VÄSTMANLANDS LÄN</t>
        </is>
      </c>
      <c r="E527" t="inlineStr">
        <is>
          <t>SALA</t>
        </is>
      </c>
      <c r="G527" t="n">
        <v>1.2</v>
      </c>
      <c r="H527" t="n">
        <v>0</v>
      </c>
      <c r="I527" t="n">
        <v>0</v>
      </c>
      <c r="J527" t="n">
        <v>0</v>
      </c>
      <c r="K527" t="n">
        <v>0</v>
      </c>
      <c r="L527" t="n">
        <v>0</v>
      </c>
      <c r="M527" t="n">
        <v>0</v>
      </c>
      <c r="N527" t="n">
        <v>0</v>
      </c>
      <c r="O527" t="n">
        <v>0</v>
      </c>
      <c r="P527" t="n">
        <v>0</v>
      </c>
      <c r="Q527" t="n">
        <v>0</v>
      </c>
      <c r="R527" s="2" t="inlineStr"/>
    </row>
    <row r="528" ht="15" customHeight="1">
      <c r="A528" t="inlineStr">
        <is>
          <t>A 37624-2024</t>
        </is>
      </c>
      <c r="B528" s="1" t="n">
        <v>45541</v>
      </c>
      <c r="C528" s="1" t="n">
        <v>46050</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57895-2024</t>
        </is>
      </c>
      <c r="B529" s="1" t="n">
        <v>45631</v>
      </c>
      <c r="C529" s="1" t="n">
        <v>46050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47086-2022</t>
        </is>
      </c>
      <c r="B530" s="1" t="n">
        <v>44852</v>
      </c>
      <c r="C530" s="1" t="n">
        <v>46050</v>
      </c>
      <c r="D530" t="inlineStr">
        <is>
          <t>VÄSTMANLANDS LÄN</t>
        </is>
      </c>
      <c r="E530" t="inlineStr">
        <is>
          <t>SALA</t>
        </is>
      </c>
      <c r="G530" t="n">
        <v>12.5</v>
      </c>
      <c r="H530" t="n">
        <v>0</v>
      </c>
      <c r="I530" t="n">
        <v>0</v>
      </c>
      <c r="J530" t="n">
        <v>0</v>
      </c>
      <c r="K530" t="n">
        <v>0</v>
      </c>
      <c r="L530" t="n">
        <v>0</v>
      </c>
      <c r="M530" t="n">
        <v>0</v>
      </c>
      <c r="N530" t="n">
        <v>0</v>
      </c>
      <c r="O530" t="n">
        <v>0</v>
      </c>
      <c r="P530" t="n">
        <v>0</v>
      </c>
      <c r="Q530" t="n">
        <v>0</v>
      </c>
      <c r="R530" s="2" t="inlineStr"/>
    </row>
    <row r="531" ht="15" customHeight="1">
      <c r="A531" t="inlineStr">
        <is>
          <t>A 14010-2021</t>
        </is>
      </c>
      <c r="B531" s="1" t="n">
        <v>44277.63396990741</v>
      </c>
      <c r="C531" s="1" t="n">
        <v>46050</v>
      </c>
      <c r="D531" t="inlineStr">
        <is>
          <t>VÄSTMANLANDS LÄN</t>
        </is>
      </c>
      <c r="E531" t="inlineStr">
        <is>
          <t>SALA</t>
        </is>
      </c>
      <c r="G531" t="n">
        <v>3.5</v>
      </c>
      <c r="H531" t="n">
        <v>0</v>
      </c>
      <c r="I531" t="n">
        <v>0</v>
      </c>
      <c r="J531" t="n">
        <v>0</v>
      </c>
      <c r="K531" t="n">
        <v>0</v>
      </c>
      <c r="L531" t="n">
        <v>0</v>
      </c>
      <c r="M531" t="n">
        <v>0</v>
      </c>
      <c r="N531" t="n">
        <v>0</v>
      </c>
      <c r="O531" t="n">
        <v>0</v>
      </c>
      <c r="P531" t="n">
        <v>0</v>
      </c>
      <c r="Q531" t="n">
        <v>0</v>
      </c>
      <c r="R531" s="2" t="inlineStr"/>
    </row>
    <row r="532" ht="15" customHeight="1">
      <c r="A532" t="inlineStr">
        <is>
          <t>A 56687-2024</t>
        </is>
      </c>
      <c r="B532" s="1" t="n">
        <v>45627.63271990741</v>
      </c>
      <c r="C532" s="1" t="n">
        <v>46050</v>
      </c>
      <c r="D532" t="inlineStr">
        <is>
          <t>VÄSTMANLANDS LÄN</t>
        </is>
      </c>
      <c r="E532" t="inlineStr">
        <is>
          <t>SALA</t>
        </is>
      </c>
      <c r="G532" t="n">
        <v>1.2</v>
      </c>
      <c r="H532" t="n">
        <v>0</v>
      </c>
      <c r="I532" t="n">
        <v>0</v>
      </c>
      <c r="J532" t="n">
        <v>0</v>
      </c>
      <c r="K532" t="n">
        <v>0</v>
      </c>
      <c r="L532" t="n">
        <v>0</v>
      </c>
      <c r="M532" t="n">
        <v>0</v>
      </c>
      <c r="N532" t="n">
        <v>0</v>
      </c>
      <c r="O532" t="n">
        <v>0</v>
      </c>
      <c r="P532" t="n">
        <v>0</v>
      </c>
      <c r="Q532" t="n">
        <v>0</v>
      </c>
      <c r="R532" s="2" t="inlineStr"/>
    </row>
    <row r="533" ht="15" customHeight="1">
      <c r="A533" t="inlineStr">
        <is>
          <t>A 54347-2024</t>
        </is>
      </c>
      <c r="B533" s="1" t="n">
        <v>45617.39325231482</v>
      </c>
      <c r="C533" s="1" t="n">
        <v>46050</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64693-2023</t>
        </is>
      </c>
      <c r="B534" s="1" t="n">
        <v>45281.63850694444</v>
      </c>
      <c r="C534" s="1" t="n">
        <v>46050</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64695-2023</t>
        </is>
      </c>
      <c r="B535" s="1" t="n">
        <v>45281.64099537037</v>
      </c>
      <c r="C535" s="1" t="n">
        <v>46050</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27486-2022</t>
        </is>
      </c>
      <c r="B536" s="1" t="n">
        <v>44742.60846064815</v>
      </c>
      <c r="C536" s="1" t="n">
        <v>46050</v>
      </c>
      <c r="D536" t="inlineStr">
        <is>
          <t>VÄSTMANLANDS LÄN</t>
        </is>
      </c>
      <c r="E536" t="inlineStr">
        <is>
          <t>SALA</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60258-2025</t>
        </is>
      </c>
      <c r="B537" s="1" t="n">
        <v>45994.6064699074</v>
      </c>
      <c r="C537" s="1" t="n">
        <v>46050</v>
      </c>
      <c r="D537" t="inlineStr">
        <is>
          <t>VÄSTMANLANDS LÄN</t>
        </is>
      </c>
      <c r="E537" t="inlineStr">
        <is>
          <t>SALA</t>
        </is>
      </c>
      <c r="G537" t="n">
        <v>2.2</v>
      </c>
      <c r="H537" t="n">
        <v>0</v>
      </c>
      <c r="I537" t="n">
        <v>0</v>
      </c>
      <c r="J537" t="n">
        <v>0</v>
      </c>
      <c r="K537" t="n">
        <v>0</v>
      </c>
      <c r="L537" t="n">
        <v>0</v>
      </c>
      <c r="M537" t="n">
        <v>0</v>
      </c>
      <c r="N537" t="n">
        <v>0</v>
      </c>
      <c r="O537" t="n">
        <v>0</v>
      </c>
      <c r="P537" t="n">
        <v>0</v>
      </c>
      <c r="Q537" t="n">
        <v>0</v>
      </c>
      <c r="R537" s="2" t="inlineStr"/>
    </row>
    <row r="538" ht="15" customHeight="1">
      <c r="A538" t="inlineStr">
        <is>
          <t>A 35003-2024</t>
        </is>
      </c>
      <c r="B538" s="1" t="n">
        <v>45527.56790509259</v>
      </c>
      <c r="C538" s="1" t="n">
        <v>46050</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60246-2025</t>
        </is>
      </c>
      <c r="B539" s="1" t="n">
        <v>45994.58931712963</v>
      </c>
      <c r="C539" s="1" t="n">
        <v>46050</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60629-2025</t>
        </is>
      </c>
      <c r="B540" s="1" t="n">
        <v>45996.41972222222</v>
      </c>
      <c r="C540" s="1" t="n">
        <v>46050</v>
      </c>
      <c r="D540" t="inlineStr">
        <is>
          <t>VÄSTMANLANDS LÄN</t>
        </is>
      </c>
      <c r="E540" t="inlineStr">
        <is>
          <t>SALA</t>
        </is>
      </c>
      <c r="G540" t="n">
        <v>4.3</v>
      </c>
      <c r="H540" t="n">
        <v>0</v>
      </c>
      <c r="I540" t="n">
        <v>0</v>
      </c>
      <c r="J540" t="n">
        <v>0</v>
      </c>
      <c r="K540" t="n">
        <v>0</v>
      </c>
      <c r="L540" t="n">
        <v>0</v>
      </c>
      <c r="M540" t="n">
        <v>0</v>
      </c>
      <c r="N540" t="n">
        <v>0</v>
      </c>
      <c r="O540" t="n">
        <v>0</v>
      </c>
      <c r="P540" t="n">
        <v>0</v>
      </c>
      <c r="Q540" t="n">
        <v>0</v>
      </c>
      <c r="R540" s="2" t="inlineStr"/>
    </row>
    <row r="541" ht="15" customHeight="1">
      <c r="A541" t="inlineStr">
        <is>
          <t>A 48688-2024</t>
        </is>
      </c>
      <c r="B541" s="1" t="n">
        <v>45593.50541666667</v>
      </c>
      <c r="C541" s="1" t="n">
        <v>46050</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15354-2021</t>
        </is>
      </c>
      <c r="B542" s="1" t="n">
        <v>44284</v>
      </c>
      <c r="C542" s="1" t="n">
        <v>46050</v>
      </c>
      <c r="D542" t="inlineStr">
        <is>
          <t>VÄSTMANLANDS LÄN</t>
        </is>
      </c>
      <c r="E542" t="inlineStr">
        <is>
          <t>SALA</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63933-2023</t>
        </is>
      </c>
      <c r="B543" s="1" t="n">
        <v>45278</v>
      </c>
      <c r="C543" s="1" t="n">
        <v>46050</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44746-2024</t>
        </is>
      </c>
      <c r="B544" s="1" t="n">
        <v>45574.59813657407</v>
      </c>
      <c r="C544" s="1" t="n">
        <v>46050</v>
      </c>
      <c r="D544" t="inlineStr">
        <is>
          <t>VÄSTMANLANDS LÄN</t>
        </is>
      </c>
      <c r="E544" t="inlineStr">
        <is>
          <t>SALA</t>
        </is>
      </c>
      <c r="G544" t="n">
        <v>6.7</v>
      </c>
      <c r="H544" t="n">
        <v>0</v>
      </c>
      <c r="I544" t="n">
        <v>0</v>
      </c>
      <c r="J544" t="n">
        <v>0</v>
      </c>
      <c r="K544" t="n">
        <v>0</v>
      </c>
      <c r="L544" t="n">
        <v>0</v>
      </c>
      <c r="M544" t="n">
        <v>0</v>
      </c>
      <c r="N544" t="n">
        <v>0</v>
      </c>
      <c r="O544" t="n">
        <v>0</v>
      </c>
      <c r="P544" t="n">
        <v>0</v>
      </c>
      <c r="Q544" t="n">
        <v>0</v>
      </c>
      <c r="R544" s="2" t="inlineStr"/>
    </row>
    <row r="545" ht="15" customHeight="1">
      <c r="A545" t="inlineStr">
        <is>
          <t>A 33273-2023</t>
        </is>
      </c>
      <c r="B545" s="1" t="n">
        <v>45127</v>
      </c>
      <c r="C545" s="1" t="n">
        <v>46050</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11696-2025</t>
        </is>
      </c>
      <c r="B546" s="1" t="n">
        <v>45727</v>
      </c>
      <c r="C546" s="1" t="n">
        <v>46050</v>
      </c>
      <c r="D546" t="inlineStr">
        <is>
          <t>VÄSTMANLANDS LÄN</t>
        </is>
      </c>
      <c r="E546" t="inlineStr">
        <is>
          <t>SALA</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60545-2024</t>
        </is>
      </c>
      <c r="B547" s="1" t="n">
        <v>45643</v>
      </c>
      <c r="C547" s="1" t="n">
        <v>46050</v>
      </c>
      <c r="D547" t="inlineStr">
        <is>
          <t>VÄSTMANLANDS LÄN</t>
        </is>
      </c>
      <c r="E547" t="inlineStr">
        <is>
          <t>SALA</t>
        </is>
      </c>
      <c r="G547" t="n">
        <v>3.3</v>
      </c>
      <c r="H547" t="n">
        <v>0</v>
      </c>
      <c r="I547" t="n">
        <v>0</v>
      </c>
      <c r="J547" t="n">
        <v>0</v>
      </c>
      <c r="K547" t="n">
        <v>0</v>
      </c>
      <c r="L547" t="n">
        <v>0</v>
      </c>
      <c r="M547" t="n">
        <v>0</v>
      </c>
      <c r="N547" t="n">
        <v>0</v>
      </c>
      <c r="O547" t="n">
        <v>0</v>
      </c>
      <c r="P547" t="n">
        <v>0</v>
      </c>
      <c r="Q547" t="n">
        <v>0</v>
      </c>
      <c r="R547" s="2" t="inlineStr"/>
    </row>
    <row r="548" ht="15" customHeight="1">
      <c r="A548" t="inlineStr">
        <is>
          <t>A 60547-2024</t>
        </is>
      </c>
      <c r="B548" s="1" t="n">
        <v>45643</v>
      </c>
      <c r="C548" s="1" t="n">
        <v>46050</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1985-2022</t>
        </is>
      </c>
      <c r="B549" s="1" t="n">
        <v>44575</v>
      </c>
      <c r="C549" s="1" t="n">
        <v>46050</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27261-2024</t>
        </is>
      </c>
      <c r="B550" s="1" t="n">
        <v>45471</v>
      </c>
      <c r="C550" s="1" t="n">
        <v>46050</v>
      </c>
      <c r="D550" t="inlineStr">
        <is>
          <t>VÄSTMANLANDS LÄN</t>
        </is>
      </c>
      <c r="E550" t="inlineStr">
        <is>
          <t>SALA</t>
        </is>
      </c>
      <c r="G550" t="n">
        <v>6.1</v>
      </c>
      <c r="H550" t="n">
        <v>0</v>
      </c>
      <c r="I550" t="n">
        <v>0</v>
      </c>
      <c r="J550" t="n">
        <v>0</v>
      </c>
      <c r="K550" t="n">
        <v>0</v>
      </c>
      <c r="L550" t="n">
        <v>0</v>
      </c>
      <c r="M550" t="n">
        <v>0</v>
      </c>
      <c r="N550" t="n">
        <v>0</v>
      </c>
      <c r="O550" t="n">
        <v>0</v>
      </c>
      <c r="P550" t="n">
        <v>0</v>
      </c>
      <c r="Q550" t="n">
        <v>0</v>
      </c>
      <c r="R550" s="2" t="inlineStr"/>
    </row>
    <row r="551" ht="15" customHeight="1">
      <c r="A551" t="inlineStr">
        <is>
          <t>A 35976-2024</t>
        </is>
      </c>
      <c r="B551" s="1" t="n">
        <v>45533.49555555556</v>
      </c>
      <c r="C551" s="1" t="n">
        <v>46050</v>
      </c>
      <c r="D551" t="inlineStr">
        <is>
          <t>VÄSTMANLANDS LÄN</t>
        </is>
      </c>
      <c r="E551" t="inlineStr">
        <is>
          <t>SALA</t>
        </is>
      </c>
      <c r="G551" t="n">
        <v>2.3</v>
      </c>
      <c r="H551" t="n">
        <v>0</v>
      </c>
      <c r="I551" t="n">
        <v>0</v>
      </c>
      <c r="J551" t="n">
        <v>0</v>
      </c>
      <c r="K551" t="n">
        <v>0</v>
      </c>
      <c r="L551" t="n">
        <v>0</v>
      </c>
      <c r="M551" t="n">
        <v>0</v>
      </c>
      <c r="N551" t="n">
        <v>0</v>
      </c>
      <c r="O551" t="n">
        <v>0</v>
      </c>
      <c r="P551" t="n">
        <v>0</v>
      </c>
      <c r="Q551" t="n">
        <v>0</v>
      </c>
      <c r="R551" s="2" t="inlineStr"/>
    </row>
    <row r="552" ht="15" customHeight="1">
      <c r="A552" t="inlineStr">
        <is>
          <t>A 55556-2023</t>
        </is>
      </c>
      <c r="B552" s="1" t="n">
        <v>45232</v>
      </c>
      <c r="C552" s="1" t="n">
        <v>46050</v>
      </c>
      <c r="D552" t="inlineStr">
        <is>
          <t>VÄSTMANLANDS LÄN</t>
        </is>
      </c>
      <c r="E552" t="inlineStr">
        <is>
          <t>SALA</t>
        </is>
      </c>
      <c r="G552" t="n">
        <v>1.3</v>
      </c>
      <c r="H552" t="n">
        <v>0</v>
      </c>
      <c r="I552" t="n">
        <v>0</v>
      </c>
      <c r="J552" t="n">
        <v>0</v>
      </c>
      <c r="K552" t="n">
        <v>0</v>
      </c>
      <c r="L552" t="n">
        <v>0</v>
      </c>
      <c r="M552" t="n">
        <v>0</v>
      </c>
      <c r="N552" t="n">
        <v>0</v>
      </c>
      <c r="O552" t="n">
        <v>0</v>
      </c>
      <c r="P552" t="n">
        <v>0</v>
      </c>
      <c r="Q552" t="n">
        <v>0</v>
      </c>
      <c r="R552" s="2" t="inlineStr"/>
    </row>
    <row r="553" ht="15" customHeight="1">
      <c r="A553" t="inlineStr">
        <is>
          <t>A 57650-2024</t>
        </is>
      </c>
      <c r="B553" s="1" t="n">
        <v>45630</v>
      </c>
      <c r="C553" s="1" t="n">
        <v>46050</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46050</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45790-2023</t>
        </is>
      </c>
      <c r="B555" s="1" t="n">
        <v>45195.45958333334</v>
      </c>
      <c r="C555" s="1" t="n">
        <v>46050</v>
      </c>
      <c r="D555" t="inlineStr">
        <is>
          <t>VÄSTMANLANDS LÄN</t>
        </is>
      </c>
      <c r="E555" t="inlineStr">
        <is>
          <t>SALA</t>
        </is>
      </c>
      <c r="G555" t="n">
        <v>5.7</v>
      </c>
      <c r="H555" t="n">
        <v>0</v>
      </c>
      <c r="I555" t="n">
        <v>0</v>
      </c>
      <c r="J555" t="n">
        <v>0</v>
      </c>
      <c r="K555" t="n">
        <v>0</v>
      </c>
      <c r="L555" t="n">
        <v>0</v>
      </c>
      <c r="M555" t="n">
        <v>0</v>
      </c>
      <c r="N555" t="n">
        <v>0</v>
      </c>
      <c r="O555" t="n">
        <v>0</v>
      </c>
      <c r="P555" t="n">
        <v>0</v>
      </c>
      <c r="Q555" t="n">
        <v>0</v>
      </c>
      <c r="R555" s="2" t="inlineStr"/>
    </row>
    <row r="556" ht="15" customHeight="1">
      <c r="A556" t="inlineStr">
        <is>
          <t>A 61522-2025</t>
        </is>
      </c>
      <c r="B556" s="1" t="n">
        <v>46001.68684027778</v>
      </c>
      <c r="C556" s="1" t="n">
        <v>46050</v>
      </c>
      <c r="D556" t="inlineStr">
        <is>
          <t>VÄSTMANLANDS LÄN</t>
        </is>
      </c>
      <c r="E556" t="inlineStr">
        <is>
          <t>SALA</t>
        </is>
      </c>
      <c r="G556" t="n">
        <v>5.7</v>
      </c>
      <c r="H556" t="n">
        <v>0</v>
      </c>
      <c r="I556" t="n">
        <v>0</v>
      </c>
      <c r="J556" t="n">
        <v>0</v>
      </c>
      <c r="K556" t="n">
        <v>0</v>
      </c>
      <c r="L556" t="n">
        <v>0</v>
      </c>
      <c r="M556" t="n">
        <v>0</v>
      </c>
      <c r="N556" t="n">
        <v>0</v>
      </c>
      <c r="O556" t="n">
        <v>0</v>
      </c>
      <c r="P556" t="n">
        <v>0</v>
      </c>
      <c r="Q556" t="n">
        <v>0</v>
      </c>
      <c r="R556" s="2" t="inlineStr"/>
    </row>
    <row r="557" ht="15" customHeight="1">
      <c r="A557" t="inlineStr">
        <is>
          <t>A 4214-2026</t>
        </is>
      </c>
      <c r="B557" s="1" t="n">
        <v>46044.76459490741</v>
      </c>
      <c r="C557" s="1" t="n">
        <v>46050</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2928-2024</t>
        </is>
      </c>
      <c r="B558" s="1" t="n">
        <v>45315.59041666667</v>
      </c>
      <c r="C558" s="1" t="n">
        <v>46050</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73673-2021</t>
        </is>
      </c>
      <c r="B559" s="1" t="n">
        <v>44552.46501157407</v>
      </c>
      <c r="C559" s="1" t="n">
        <v>46050</v>
      </c>
      <c r="D559" t="inlineStr">
        <is>
          <t>VÄSTMANLANDS LÄN</t>
        </is>
      </c>
      <c r="E559" t="inlineStr">
        <is>
          <t>SALA</t>
        </is>
      </c>
      <c r="G559" t="n">
        <v>11.4</v>
      </c>
      <c r="H559" t="n">
        <v>0</v>
      </c>
      <c r="I559" t="n">
        <v>0</v>
      </c>
      <c r="J559" t="n">
        <v>0</v>
      </c>
      <c r="K559" t="n">
        <v>0</v>
      </c>
      <c r="L559" t="n">
        <v>0</v>
      </c>
      <c r="M559" t="n">
        <v>0</v>
      </c>
      <c r="N559" t="n">
        <v>0</v>
      </c>
      <c r="O559" t="n">
        <v>0</v>
      </c>
      <c r="P559" t="n">
        <v>0</v>
      </c>
      <c r="Q559" t="n">
        <v>0</v>
      </c>
      <c r="R559" s="2" t="inlineStr"/>
    </row>
    <row r="560" ht="15" customHeight="1">
      <c r="A560" t="inlineStr">
        <is>
          <t>A 40871-2021</t>
        </is>
      </c>
      <c r="B560" s="1" t="n">
        <v>44421</v>
      </c>
      <c r="C560" s="1" t="n">
        <v>46050</v>
      </c>
      <c r="D560" t="inlineStr">
        <is>
          <t>VÄSTMANLANDS LÄN</t>
        </is>
      </c>
      <c r="E560" t="inlineStr">
        <is>
          <t>SALA</t>
        </is>
      </c>
      <c r="G560" t="n">
        <v>1.4</v>
      </c>
      <c r="H560" t="n">
        <v>0</v>
      </c>
      <c r="I560" t="n">
        <v>0</v>
      </c>
      <c r="J560" t="n">
        <v>0</v>
      </c>
      <c r="K560" t="n">
        <v>0</v>
      </c>
      <c r="L560" t="n">
        <v>0</v>
      </c>
      <c r="M560" t="n">
        <v>0</v>
      </c>
      <c r="N560" t="n">
        <v>0</v>
      </c>
      <c r="O560" t="n">
        <v>0</v>
      </c>
      <c r="P560" t="n">
        <v>0</v>
      </c>
      <c r="Q560" t="n">
        <v>0</v>
      </c>
      <c r="R560" s="2" t="inlineStr"/>
    </row>
    <row r="561" ht="15" customHeight="1">
      <c r="A561" t="inlineStr">
        <is>
          <t>A 14271-2025</t>
        </is>
      </c>
      <c r="B561" s="1" t="n">
        <v>45740.64129629629</v>
      </c>
      <c r="C561" s="1" t="n">
        <v>46050</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54199-2024</t>
        </is>
      </c>
      <c r="B562" s="1" t="n">
        <v>45616.64703703704</v>
      </c>
      <c r="C562" s="1" t="n">
        <v>46050</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6312-2025</t>
        </is>
      </c>
      <c r="B563" s="1" t="n">
        <v>45698</v>
      </c>
      <c r="C563" s="1" t="n">
        <v>46050</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4712-2026</t>
        </is>
      </c>
      <c r="B564" s="1" t="n">
        <v>46048.46082175926</v>
      </c>
      <c r="C564" s="1" t="n">
        <v>46050</v>
      </c>
      <c r="D564" t="inlineStr">
        <is>
          <t>VÄSTMANLANDS LÄN</t>
        </is>
      </c>
      <c r="E564" t="inlineStr">
        <is>
          <t>SALA</t>
        </is>
      </c>
      <c r="G564" t="n">
        <v>4.1</v>
      </c>
      <c r="H564" t="n">
        <v>0</v>
      </c>
      <c r="I564" t="n">
        <v>0</v>
      </c>
      <c r="J564" t="n">
        <v>0</v>
      </c>
      <c r="K564" t="n">
        <v>0</v>
      </c>
      <c r="L564" t="n">
        <v>0</v>
      </c>
      <c r="M564" t="n">
        <v>0</v>
      </c>
      <c r="N564" t="n">
        <v>0</v>
      </c>
      <c r="O564" t="n">
        <v>0</v>
      </c>
      <c r="P564" t="n">
        <v>0</v>
      </c>
      <c r="Q564" t="n">
        <v>0</v>
      </c>
      <c r="R564" s="2" t="inlineStr"/>
    </row>
    <row r="565" ht="15" customHeight="1">
      <c r="A565" t="inlineStr">
        <is>
          <t>A 44857-2023</t>
        </is>
      </c>
      <c r="B565" s="1" t="n">
        <v>45190.58479166667</v>
      </c>
      <c r="C565" s="1" t="n">
        <v>46050</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62654-2022</t>
        </is>
      </c>
      <c r="B566" s="1" t="n">
        <v>44917</v>
      </c>
      <c r="C566" s="1" t="n">
        <v>46050</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4681-2026</t>
        </is>
      </c>
      <c r="B567" s="1" t="n">
        <v>46048.43016203704</v>
      </c>
      <c r="C567" s="1" t="n">
        <v>46050</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4683-2026</t>
        </is>
      </c>
      <c r="B568" s="1" t="n">
        <v>46048.43489583334</v>
      </c>
      <c r="C568" s="1" t="n">
        <v>46050</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43188-2023</t>
        </is>
      </c>
      <c r="B569" s="1" t="n">
        <v>45183</v>
      </c>
      <c r="C569" s="1" t="n">
        <v>46050</v>
      </c>
      <c r="D569" t="inlineStr">
        <is>
          <t>VÄSTMANLANDS LÄN</t>
        </is>
      </c>
      <c r="E569" t="inlineStr">
        <is>
          <t>SALA</t>
        </is>
      </c>
      <c r="G569" t="n">
        <v>1.2</v>
      </c>
      <c r="H569" t="n">
        <v>0</v>
      </c>
      <c r="I569" t="n">
        <v>0</v>
      </c>
      <c r="J569" t="n">
        <v>0</v>
      </c>
      <c r="K569" t="n">
        <v>0</v>
      </c>
      <c r="L569" t="n">
        <v>0</v>
      </c>
      <c r="M569" t="n">
        <v>0</v>
      </c>
      <c r="N569" t="n">
        <v>0</v>
      </c>
      <c r="O569" t="n">
        <v>0</v>
      </c>
      <c r="P569" t="n">
        <v>0</v>
      </c>
      <c r="Q569" t="n">
        <v>0</v>
      </c>
      <c r="R569" s="2" t="inlineStr"/>
    </row>
    <row r="570" ht="15" customHeight="1">
      <c r="A570" t="inlineStr">
        <is>
          <t>A 43205-2023</t>
        </is>
      </c>
      <c r="B570" s="1" t="n">
        <v>45183</v>
      </c>
      <c r="C570" s="1" t="n">
        <v>46050</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61892-2021</t>
        </is>
      </c>
      <c r="B571" s="1" t="n">
        <v>44502</v>
      </c>
      <c r="C571" s="1" t="n">
        <v>46050</v>
      </c>
      <c r="D571" t="inlineStr">
        <is>
          <t>VÄSTMANLANDS LÄN</t>
        </is>
      </c>
      <c r="E571" t="inlineStr">
        <is>
          <t>SALA</t>
        </is>
      </c>
      <c r="G571" t="n">
        <v>1.4</v>
      </c>
      <c r="H571" t="n">
        <v>0</v>
      </c>
      <c r="I571" t="n">
        <v>0</v>
      </c>
      <c r="J571" t="n">
        <v>0</v>
      </c>
      <c r="K571" t="n">
        <v>0</v>
      </c>
      <c r="L571" t="n">
        <v>0</v>
      </c>
      <c r="M571" t="n">
        <v>0</v>
      </c>
      <c r="N571" t="n">
        <v>0</v>
      </c>
      <c r="O571" t="n">
        <v>0</v>
      </c>
      <c r="P571" t="n">
        <v>0</v>
      </c>
      <c r="Q571" t="n">
        <v>0</v>
      </c>
      <c r="R571" s="2" t="inlineStr"/>
    </row>
    <row r="572" ht="15" customHeight="1">
      <c r="A572" t="inlineStr">
        <is>
          <t>A 4664-2026</t>
        </is>
      </c>
      <c r="B572" s="1" t="n">
        <v>46048.41061342593</v>
      </c>
      <c r="C572" s="1" t="n">
        <v>46050</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29213-2022</t>
        </is>
      </c>
      <c r="B573" s="1" t="n">
        <v>44750.57474537037</v>
      </c>
      <c r="C573" s="1" t="n">
        <v>46050</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5219-2026</t>
        </is>
      </c>
      <c r="B574" s="1" t="n">
        <v>46049.76225694444</v>
      </c>
      <c r="C574" s="1" t="n">
        <v>46050</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59483-2022</t>
        </is>
      </c>
      <c r="B575" s="1" t="n">
        <v>44907.45679398148</v>
      </c>
      <c r="C575" s="1" t="n">
        <v>46050</v>
      </c>
      <c r="D575" t="inlineStr">
        <is>
          <t>VÄSTMANLANDS LÄN</t>
        </is>
      </c>
      <c r="E575" t="inlineStr">
        <is>
          <t>SALA</t>
        </is>
      </c>
      <c r="G575" t="n">
        <v>5.2</v>
      </c>
      <c r="H575" t="n">
        <v>0</v>
      </c>
      <c r="I575" t="n">
        <v>0</v>
      </c>
      <c r="J575" t="n">
        <v>0</v>
      </c>
      <c r="K575" t="n">
        <v>0</v>
      </c>
      <c r="L575" t="n">
        <v>0</v>
      </c>
      <c r="M575" t="n">
        <v>0</v>
      </c>
      <c r="N575" t="n">
        <v>0</v>
      </c>
      <c r="O575" t="n">
        <v>0</v>
      </c>
      <c r="P575" t="n">
        <v>0</v>
      </c>
      <c r="Q575" t="n">
        <v>0</v>
      </c>
      <c r="R575" s="2" t="inlineStr"/>
    </row>
    <row r="576" ht="15" customHeight="1">
      <c r="A576" t="inlineStr">
        <is>
          <t>A 16160-2024</t>
        </is>
      </c>
      <c r="B576" s="1" t="n">
        <v>45406</v>
      </c>
      <c r="C576" s="1" t="n">
        <v>46050</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62523-2025</t>
        </is>
      </c>
      <c r="B577" s="1" t="n">
        <v>46007.61512731481</v>
      </c>
      <c r="C577" s="1" t="n">
        <v>46050</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4624-2026</t>
        </is>
      </c>
      <c r="B578" s="1" t="n">
        <v>46048.38107638889</v>
      </c>
      <c r="C578" s="1" t="n">
        <v>46050</v>
      </c>
      <c r="D578" t="inlineStr">
        <is>
          <t>VÄSTMANLANDS LÄN</t>
        </is>
      </c>
      <c r="E578" t="inlineStr">
        <is>
          <t>SALA</t>
        </is>
      </c>
      <c r="G578" t="n">
        <v>12.3</v>
      </c>
      <c r="H578" t="n">
        <v>0</v>
      </c>
      <c r="I578" t="n">
        <v>0</v>
      </c>
      <c r="J578" t="n">
        <v>0</v>
      </c>
      <c r="K578" t="n">
        <v>0</v>
      </c>
      <c r="L578" t="n">
        <v>0</v>
      </c>
      <c r="M578" t="n">
        <v>0</v>
      </c>
      <c r="N578" t="n">
        <v>0</v>
      </c>
      <c r="O578" t="n">
        <v>0</v>
      </c>
      <c r="P578" t="n">
        <v>0</v>
      </c>
      <c r="Q578" t="n">
        <v>0</v>
      </c>
      <c r="R578" s="2" t="inlineStr"/>
    </row>
    <row r="579" ht="15" customHeight="1">
      <c r="A579" t="inlineStr">
        <is>
          <t>A 39597-2022</t>
        </is>
      </c>
      <c r="B579" s="1" t="n">
        <v>44818</v>
      </c>
      <c r="C579" s="1" t="n">
        <v>46050</v>
      </c>
      <c r="D579" t="inlineStr">
        <is>
          <t>VÄSTMANLANDS LÄN</t>
        </is>
      </c>
      <c r="E579" t="inlineStr">
        <is>
          <t>SALA</t>
        </is>
      </c>
      <c r="G579" t="n">
        <v>2.3</v>
      </c>
      <c r="H579" t="n">
        <v>0</v>
      </c>
      <c r="I579" t="n">
        <v>0</v>
      </c>
      <c r="J579" t="n">
        <v>0</v>
      </c>
      <c r="K579" t="n">
        <v>0</v>
      </c>
      <c r="L579" t="n">
        <v>0</v>
      </c>
      <c r="M579" t="n">
        <v>0</v>
      </c>
      <c r="N579" t="n">
        <v>0</v>
      </c>
      <c r="O579" t="n">
        <v>0</v>
      </c>
      <c r="P579" t="n">
        <v>0</v>
      </c>
      <c r="Q579" t="n">
        <v>0</v>
      </c>
      <c r="R579" s="2" t="inlineStr"/>
    </row>
    <row r="580" ht="15" customHeight="1">
      <c r="A580" t="inlineStr">
        <is>
          <t>A 22921-2023</t>
        </is>
      </c>
      <c r="B580" s="1" t="n">
        <v>45070</v>
      </c>
      <c r="C580" s="1" t="n">
        <v>46050</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36858-2023</t>
        </is>
      </c>
      <c r="B581" s="1" t="n">
        <v>45154.55184027777</v>
      </c>
      <c r="C581" s="1" t="n">
        <v>46050</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55024-2023</t>
        </is>
      </c>
      <c r="B582" s="1" t="n">
        <v>45229</v>
      </c>
      <c r="C582" s="1" t="n">
        <v>46050</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55032-2023</t>
        </is>
      </c>
      <c r="B583" s="1" t="n">
        <v>45229</v>
      </c>
      <c r="C583" s="1" t="n">
        <v>46050</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20352-2022</t>
        </is>
      </c>
      <c r="B584" s="1" t="n">
        <v>44699.37318287037</v>
      </c>
      <c r="C584" s="1" t="n">
        <v>46050</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5032-2025</t>
        </is>
      </c>
      <c r="B585" s="1" t="n">
        <v>45691</v>
      </c>
      <c r="C585" s="1" t="n">
        <v>46050</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17117-2023</t>
        </is>
      </c>
      <c r="B586" s="1" t="n">
        <v>45034</v>
      </c>
      <c r="C586" s="1" t="n">
        <v>46050</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19243-2025</t>
        </is>
      </c>
      <c r="B587" s="1" t="n">
        <v>45769</v>
      </c>
      <c r="C587" s="1" t="n">
        <v>46050</v>
      </c>
      <c r="D587" t="inlineStr">
        <is>
          <t>VÄSTMANLANDS LÄN</t>
        </is>
      </c>
      <c r="E587" t="inlineStr">
        <is>
          <t>SALA</t>
        </is>
      </c>
      <c r="F587" t="inlineStr">
        <is>
          <t>Bergvik skog öst AB</t>
        </is>
      </c>
      <c r="G587" t="n">
        <v>1.5</v>
      </c>
      <c r="H587" t="n">
        <v>0</v>
      </c>
      <c r="I587" t="n">
        <v>0</v>
      </c>
      <c r="J587" t="n">
        <v>0</v>
      </c>
      <c r="K587" t="n">
        <v>0</v>
      </c>
      <c r="L587" t="n">
        <v>0</v>
      </c>
      <c r="M587" t="n">
        <v>0</v>
      </c>
      <c r="N587" t="n">
        <v>0</v>
      </c>
      <c r="O587" t="n">
        <v>0</v>
      </c>
      <c r="P587" t="n">
        <v>0</v>
      </c>
      <c r="Q587" t="n">
        <v>0</v>
      </c>
      <c r="R587" s="2" t="inlineStr"/>
    </row>
    <row r="588" ht="15" customHeight="1">
      <c r="A588" t="inlineStr">
        <is>
          <t>A 7166-2025</t>
        </is>
      </c>
      <c r="B588" s="1" t="n">
        <v>45702</v>
      </c>
      <c r="C588" s="1" t="n">
        <v>46050</v>
      </c>
      <c r="D588" t="inlineStr">
        <is>
          <t>VÄSTMANLANDS LÄN</t>
        </is>
      </c>
      <c r="E588" t="inlineStr">
        <is>
          <t>SALA</t>
        </is>
      </c>
      <c r="G588" t="n">
        <v>6.1</v>
      </c>
      <c r="H588" t="n">
        <v>0</v>
      </c>
      <c r="I588" t="n">
        <v>0</v>
      </c>
      <c r="J588" t="n">
        <v>0</v>
      </c>
      <c r="K588" t="n">
        <v>0</v>
      </c>
      <c r="L588" t="n">
        <v>0</v>
      </c>
      <c r="M588" t="n">
        <v>0</v>
      </c>
      <c r="N588" t="n">
        <v>0</v>
      </c>
      <c r="O588" t="n">
        <v>0</v>
      </c>
      <c r="P588" t="n">
        <v>0</v>
      </c>
      <c r="Q588" t="n">
        <v>0</v>
      </c>
      <c r="R588" s="2" t="inlineStr"/>
    </row>
    <row r="589" ht="15" customHeight="1">
      <c r="A589" t="inlineStr">
        <is>
          <t>A 36393-2023</t>
        </is>
      </c>
      <c r="B589" s="1" t="n">
        <v>45152</v>
      </c>
      <c r="C589" s="1" t="n">
        <v>46050</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26416-2023</t>
        </is>
      </c>
      <c r="B590" s="1" t="n">
        <v>45092.38087962963</v>
      </c>
      <c r="C590" s="1" t="n">
        <v>46050</v>
      </c>
      <c r="D590" t="inlineStr">
        <is>
          <t>VÄSTMANLANDS LÄN</t>
        </is>
      </c>
      <c r="E590" t="inlineStr">
        <is>
          <t>SALA</t>
        </is>
      </c>
      <c r="G590" t="n">
        <v>2.9</v>
      </c>
      <c r="H590" t="n">
        <v>0</v>
      </c>
      <c r="I590" t="n">
        <v>0</v>
      </c>
      <c r="J590" t="n">
        <v>0</v>
      </c>
      <c r="K590" t="n">
        <v>0</v>
      </c>
      <c r="L590" t="n">
        <v>0</v>
      </c>
      <c r="M590" t="n">
        <v>0</v>
      </c>
      <c r="N590" t="n">
        <v>0</v>
      </c>
      <c r="O590" t="n">
        <v>0</v>
      </c>
      <c r="P590" t="n">
        <v>0</v>
      </c>
      <c r="Q590" t="n">
        <v>0</v>
      </c>
      <c r="R590" s="2" t="inlineStr"/>
    </row>
    <row r="591" ht="15" customHeight="1">
      <c r="A591" t="inlineStr">
        <is>
          <t>A 28661-2024</t>
        </is>
      </c>
      <c r="B591" s="1" t="n">
        <v>45478</v>
      </c>
      <c r="C591" s="1" t="n">
        <v>46050</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27255-2023</t>
        </is>
      </c>
      <c r="B592" s="1" t="n">
        <v>45096</v>
      </c>
      <c r="C592" s="1" t="n">
        <v>46050</v>
      </c>
      <c r="D592" t="inlineStr">
        <is>
          <t>VÄSTMANLANDS LÄN</t>
        </is>
      </c>
      <c r="E592" t="inlineStr">
        <is>
          <t>SALA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7197-2025</t>
        </is>
      </c>
      <c r="B593" s="1" t="n">
        <v>45702</v>
      </c>
      <c r="C593" s="1" t="n">
        <v>46050</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13752-2025</t>
        </is>
      </c>
      <c r="B594" s="1" t="n">
        <v>45737.41416666667</v>
      </c>
      <c r="C594" s="1" t="n">
        <v>46050</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2927-2024</t>
        </is>
      </c>
      <c r="B595" s="1" t="n">
        <v>45315.58989583333</v>
      </c>
      <c r="C595" s="1" t="n">
        <v>46050</v>
      </c>
      <c r="D595" t="inlineStr">
        <is>
          <t>VÄSTMANLANDS LÄN</t>
        </is>
      </c>
      <c r="E595" t="inlineStr">
        <is>
          <t>SALA</t>
        </is>
      </c>
      <c r="G595" t="n">
        <v>2.5</v>
      </c>
      <c r="H595" t="n">
        <v>0</v>
      </c>
      <c r="I595" t="n">
        <v>0</v>
      </c>
      <c r="J595" t="n">
        <v>0</v>
      </c>
      <c r="K595" t="n">
        <v>0</v>
      </c>
      <c r="L595" t="n">
        <v>0</v>
      </c>
      <c r="M595" t="n">
        <v>0</v>
      </c>
      <c r="N595" t="n">
        <v>0</v>
      </c>
      <c r="O595" t="n">
        <v>0</v>
      </c>
      <c r="P595" t="n">
        <v>0</v>
      </c>
      <c r="Q595" t="n">
        <v>0</v>
      </c>
      <c r="R595" s="2" t="inlineStr"/>
    </row>
    <row r="596" ht="15" customHeight="1">
      <c r="A596" t="inlineStr">
        <is>
          <t>A 26854-2024</t>
        </is>
      </c>
      <c r="B596" s="1" t="n">
        <v>45470</v>
      </c>
      <c r="C596" s="1" t="n">
        <v>46050</v>
      </c>
      <c r="D596" t="inlineStr">
        <is>
          <t>VÄSTMANLANDS LÄN</t>
        </is>
      </c>
      <c r="E596" t="inlineStr">
        <is>
          <t>SALA</t>
        </is>
      </c>
      <c r="G596" t="n">
        <v>1.4</v>
      </c>
      <c r="H596" t="n">
        <v>0</v>
      </c>
      <c r="I596" t="n">
        <v>0</v>
      </c>
      <c r="J596" t="n">
        <v>0</v>
      </c>
      <c r="K596" t="n">
        <v>0</v>
      </c>
      <c r="L596" t="n">
        <v>0</v>
      </c>
      <c r="M596" t="n">
        <v>0</v>
      </c>
      <c r="N596" t="n">
        <v>0</v>
      </c>
      <c r="O596" t="n">
        <v>0</v>
      </c>
      <c r="P596" t="n">
        <v>0</v>
      </c>
      <c r="Q596" t="n">
        <v>0</v>
      </c>
      <c r="R596" s="2" t="inlineStr"/>
    </row>
    <row r="597" ht="15" customHeight="1">
      <c r="A597" t="inlineStr">
        <is>
          <t>A 48570-2024</t>
        </is>
      </c>
      <c r="B597" s="1" t="n">
        <v>45591</v>
      </c>
      <c r="C597" s="1" t="n">
        <v>46050</v>
      </c>
      <c r="D597" t="inlineStr">
        <is>
          <t>VÄSTMANLANDS LÄN</t>
        </is>
      </c>
      <c r="E597" t="inlineStr">
        <is>
          <t>SALA</t>
        </is>
      </c>
      <c r="G597" t="n">
        <v>3</v>
      </c>
      <c r="H597" t="n">
        <v>0</v>
      </c>
      <c r="I597" t="n">
        <v>0</v>
      </c>
      <c r="J597" t="n">
        <v>0</v>
      </c>
      <c r="K597" t="n">
        <v>0</v>
      </c>
      <c r="L597" t="n">
        <v>0</v>
      </c>
      <c r="M597" t="n">
        <v>0</v>
      </c>
      <c r="N597" t="n">
        <v>0</v>
      </c>
      <c r="O597" t="n">
        <v>0</v>
      </c>
      <c r="P597" t="n">
        <v>0</v>
      </c>
      <c r="Q597" t="n">
        <v>0</v>
      </c>
      <c r="R597" s="2" t="inlineStr"/>
    </row>
    <row r="598" ht="15" customHeight="1">
      <c r="A598" t="inlineStr">
        <is>
          <t>A 10812-2021</t>
        </is>
      </c>
      <c r="B598" s="1" t="n">
        <v>44259</v>
      </c>
      <c r="C598" s="1" t="n">
        <v>46050</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57883-2024</t>
        </is>
      </c>
      <c r="B599" s="1" t="n">
        <v>45630</v>
      </c>
      <c r="C599" s="1" t="n">
        <v>46050</v>
      </c>
      <c r="D599" t="inlineStr">
        <is>
          <t>VÄSTMANLANDS LÄN</t>
        </is>
      </c>
      <c r="E599" t="inlineStr">
        <is>
          <t>SALA</t>
        </is>
      </c>
      <c r="G599" t="n">
        <v>5.4</v>
      </c>
      <c r="H599" t="n">
        <v>0</v>
      </c>
      <c r="I599" t="n">
        <v>0</v>
      </c>
      <c r="J599" t="n">
        <v>0</v>
      </c>
      <c r="K599" t="n">
        <v>0</v>
      </c>
      <c r="L599" t="n">
        <v>0</v>
      </c>
      <c r="M599" t="n">
        <v>0</v>
      </c>
      <c r="N599" t="n">
        <v>0</v>
      </c>
      <c r="O599" t="n">
        <v>0</v>
      </c>
      <c r="P599" t="n">
        <v>0</v>
      </c>
      <c r="Q599" t="n">
        <v>0</v>
      </c>
      <c r="R599" s="2" t="inlineStr"/>
    </row>
    <row r="600" ht="15" customHeight="1">
      <c r="A600" t="inlineStr">
        <is>
          <t>A 16769-2024</t>
        </is>
      </c>
      <c r="B600" s="1" t="n">
        <v>45411.38738425926</v>
      </c>
      <c r="C600" s="1" t="n">
        <v>46050</v>
      </c>
      <c r="D600" t="inlineStr">
        <is>
          <t>VÄSTMANLANDS LÄN</t>
        </is>
      </c>
      <c r="E600" t="inlineStr">
        <is>
          <t>SALA</t>
        </is>
      </c>
      <c r="G600" t="n">
        <v>12</v>
      </c>
      <c r="H600" t="n">
        <v>0</v>
      </c>
      <c r="I600" t="n">
        <v>0</v>
      </c>
      <c r="J600" t="n">
        <v>0</v>
      </c>
      <c r="K600" t="n">
        <v>0</v>
      </c>
      <c r="L600" t="n">
        <v>0</v>
      </c>
      <c r="M600" t="n">
        <v>0</v>
      </c>
      <c r="N600" t="n">
        <v>0</v>
      </c>
      <c r="O600" t="n">
        <v>0</v>
      </c>
      <c r="P600" t="n">
        <v>0</v>
      </c>
      <c r="Q600" t="n">
        <v>0</v>
      </c>
      <c r="R600" s="2" t="inlineStr"/>
    </row>
    <row r="601" ht="15" customHeight="1">
      <c r="A601" t="inlineStr">
        <is>
          <t>A 18877-2023</t>
        </is>
      </c>
      <c r="B601" s="1" t="n">
        <v>45044</v>
      </c>
      <c r="C601" s="1" t="n">
        <v>46050</v>
      </c>
      <c r="D601" t="inlineStr">
        <is>
          <t>VÄSTMANLANDS LÄN</t>
        </is>
      </c>
      <c r="E601" t="inlineStr">
        <is>
          <t>SALA</t>
        </is>
      </c>
      <c r="F601" t="inlineStr">
        <is>
          <t>Kommuner</t>
        </is>
      </c>
      <c r="G601" t="n">
        <v>4.4</v>
      </c>
      <c r="H601" t="n">
        <v>0</v>
      </c>
      <c r="I601" t="n">
        <v>0</v>
      </c>
      <c r="J601" t="n">
        <v>0</v>
      </c>
      <c r="K601" t="n">
        <v>0</v>
      </c>
      <c r="L601" t="n">
        <v>0</v>
      </c>
      <c r="M601" t="n">
        <v>0</v>
      </c>
      <c r="N601" t="n">
        <v>0</v>
      </c>
      <c r="O601" t="n">
        <v>0</v>
      </c>
      <c r="P601" t="n">
        <v>0</v>
      </c>
      <c r="Q601" t="n">
        <v>0</v>
      </c>
      <c r="R601" s="2" t="inlineStr"/>
    </row>
    <row r="602" ht="15" customHeight="1">
      <c r="A602" t="inlineStr">
        <is>
          <t>A 44544-2024</t>
        </is>
      </c>
      <c r="B602" s="1" t="n">
        <v>45574.46119212963</v>
      </c>
      <c r="C602" s="1" t="n">
        <v>46050</v>
      </c>
      <c r="D602" t="inlineStr">
        <is>
          <t>VÄSTMANLANDS LÄN</t>
        </is>
      </c>
      <c r="E602" t="inlineStr">
        <is>
          <t>SALA</t>
        </is>
      </c>
      <c r="G602" t="n">
        <v>3.3</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46050</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56547-2022</t>
        </is>
      </c>
      <c r="B604" s="1" t="n">
        <v>44893.48284722222</v>
      </c>
      <c r="C604" s="1" t="n">
        <v>46050</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29542-2023</t>
        </is>
      </c>
      <c r="B605" s="1" t="n">
        <v>45098</v>
      </c>
      <c r="C605" s="1" t="n">
        <v>46050</v>
      </c>
      <c r="D605" t="inlineStr">
        <is>
          <t>VÄSTMANLANDS LÄN</t>
        </is>
      </c>
      <c r="E605" t="inlineStr">
        <is>
          <t>SALA</t>
        </is>
      </c>
      <c r="G605" t="n">
        <v>4.8</v>
      </c>
      <c r="H605" t="n">
        <v>0</v>
      </c>
      <c r="I605" t="n">
        <v>0</v>
      </c>
      <c r="J605" t="n">
        <v>0</v>
      </c>
      <c r="K605" t="n">
        <v>0</v>
      </c>
      <c r="L605" t="n">
        <v>0</v>
      </c>
      <c r="M605" t="n">
        <v>0</v>
      </c>
      <c r="N605" t="n">
        <v>0</v>
      </c>
      <c r="O605" t="n">
        <v>0</v>
      </c>
      <c r="P605" t="n">
        <v>0</v>
      </c>
      <c r="Q605" t="n">
        <v>0</v>
      </c>
      <c r="R605" s="2" t="inlineStr"/>
    </row>
    <row r="606" ht="15" customHeight="1">
      <c r="A606" t="inlineStr">
        <is>
          <t>A 16638-2023</t>
        </is>
      </c>
      <c r="B606" s="1" t="n">
        <v>45027</v>
      </c>
      <c r="C606" s="1" t="n">
        <v>46050</v>
      </c>
      <c r="D606" t="inlineStr">
        <is>
          <t>VÄSTMANLANDS LÄN</t>
        </is>
      </c>
      <c r="E606" t="inlineStr">
        <is>
          <t>SALA</t>
        </is>
      </c>
      <c r="G606" t="n">
        <v>14.8</v>
      </c>
      <c r="H606" t="n">
        <v>0</v>
      </c>
      <c r="I606" t="n">
        <v>0</v>
      </c>
      <c r="J606" t="n">
        <v>0</v>
      </c>
      <c r="K606" t="n">
        <v>0</v>
      </c>
      <c r="L606" t="n">
        <v>0</v>
      </c>
      <c r="M606" t="n">
        <v>0</v>
      </c>
      <c r="N606" t="n">
        <v>0</v>
      </c>
      <c r="O606" t="n">
        <v>0</v>
      </c>
      <c r="P606" t="n">
        <v>0</v>
      </c>
      <c r="Q606" t="n">
        <v>0</v>
      </c>
      <c r="R606" s="2" t="inlineStr"/>
    </row>
    <row r="607" ht="15" customHeight="1">
      <c r="A607" t="inlineStr">
        <is>
          <t>A 37190-2024</t>
        </is>
      </c>
      <c r="B607" s="1" t="n">
        <v>45539</v>
      </c>
      <c r="C607" s="1" t="n">
        <v>46050</v>
      </c>
      <c r="D607" t="inlineStr">
        <is>
          <t>VÄSTMANLANDS LÄN</t>
        </is>
      </c>
      <c r="E607" t="inlineStr">
        <is>
          <t>SALA</t>
        </is>
      </c>
      <c r="G607" t="n">
        <v>0.9</v>
      </c>
      <c r="H607" t="n">
        <v>0</v>
      </c>
      <c r="I607" t="n">
        <v>0</v>
      </c>
      <c r="J607" t="n">
        <v>0</v>
      </c>
      <c r="K607" t="n">
        <v>0</v>
      </c>
      <c r="L607" t="n">
        <v>0</v>
      </c>
      <c r="M607" t="n">
        <v>0</v>
      </c>
      <c r="N607" t="n">
        <v>0</v>
      </c>
      <c r="O607" t="n">
        <v>0</v>
      </c>
      <c r="P607" t="n">
        <v>0</v>
      </c>
      <c r="Q607" t="n">
        <v>0</v>
      </c>
      <c r="R607" s="2" t="inlineStr"/>
    </row>
    <row r="608" ht="15" customHeight="1">
      <c r="A608" t="inlineStr">
        <is>
          <t>A 23222-2023</t>
        </is>
      </c>
      <c r="B608" s="1" t="n">
        <v>45075</v>
      </c>
      <c r="C608" s="1" t="n">
        <v>46050</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23224-2023</t>
        </is>
      </c>
      <c r="B609" s="1" t="n">
        <v>45075.65040509259</v>
      </c>
      <c r="C609" s="1" t="n">
        <v>46050</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22026-2021</t>
        </is>
      </c>
      <c r="B610" s="1" t="n">
        <v>44323</v>
      </c>
      <c r="C610" s="1" t="n">
        <v>46050</v>
      </c>
      <c r="D610" t="inlineStr">
        <is>
          <t>VÄSTMANLANDS LÄN</t>
        </is>
      </c>
      <c r="E610" t="inlineStr">
        <is>
          <t>SALA</t>
        </is>
      </c>
      <c r="G610" t="n">
        <v>2.9</v>
      </c>
      <c r="H610" t="n">
        <v>0</v>
      </c>
      <c r="I610" t="n">
        <v>0</v>
      </c>
      <c r="J610" t="n">
        <v>0</v>
      </c>
      <c r="K610" t="n">
        <v>0</v>
      </c>
      <c r="L610" t="n">
        <v>0</v>
      </c>
      <c r="M610" t="n">
        <v>0</v>
      </c>
      <c r="N610" t="n">
        <v>0</v>
      </c>
      <c r="O610" t="n">
        <v>0</v>
      </c>
      <c r="P610" t="n">
        <v>0</v>
      </c>
      <c r="Q610" t="n">
        <v>0</v>
      </c>
      <c r="R610" s="2" t="inlineStr"/>
    </row>
    <row r="611" ht="15" customHeight="1">
      <c r="A611" t="inlineStr">
        <is>
          <t>A 68864-2021</t>
        </is>
      </c>
      <c r="B611" s="1" t="n">
        <v>44530</v>
      </c>
      <c r="C611" s="1" t="n">
        <v>46050</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19065-2022</t>
        </is>
      </c>
      <c r="B612" s="1" t="n">
        <v>44691.44309027777</v>
      </c>
      <c r="C612" s="1" t="n">
        <v>46050</v>
      </c>
      <c r="D612" t="inlineStr">
        <is>
          <t>VÄSTMANLANDS LÄN</t>
        </is>
      </c>
      <c r="E612" t="inlineStr">
        <is>
          <t>SALA</t>
        </is>
      </c>
      <c r="G612" t="n">
        <v>3.4</v>
      </c>
      <c r="H612" t="n">
        <v>0</v>
      </c>
      <c r="I612" t="n">
        <v>0</v>
      </c>
      <c r="J612" t="n">
        <v>0</v>
      </c>
      <c r="K612" t="n">
        <v>0</v>
      </c>
      <c r="L612" t="n">
        <v>0</v>
      </c>
      <c r="M612" t="n">
        <v>0</v>
      </c>
      <c r="N612" t="n">
        <v>0</v>
      </c>
      <c r="O612" t="n">
        <v>0</v>
      </c>
      <c r="P612" t="n">
        <v>0</v>
      </c>
      <c r="Q612" t="n">
        <v>0</v>
      </c>
      <c r="R612" s="2" t="inlineStr"/>
    </row>
    <row r="613" ht="15" customHeight="1">
      <c r="A613" t="inlineStr">
        <is>
          <t>A 37612-2024</t>
        </is>
      </c>
      <c r="B613" s="1" t="n">
        <v>45541</v>
      </c>
      <c r="C613" s="1" t="n">
        <v>46050</v>
      </c>
      <c r="D613" t="inlineStr">
        <is>
          <t>VÄSTMANLANDS LÄN</t>
        </is>
      </c>
      <c r="E613" t="inlineStr">
        <is>
          <t>SALA</t>
        </is>
      </c>
      <c r="G613" t="n">
        <v>2.2</v>
      </c>
      <c r="H613" t="n">
        <v>0</v>
      </c>
      <c r="I613" t="n">
        <v>0</v>
      </c>
      <c r="J613" t="n">
        <v>0</v>
      </c>
      <c r="K613" t="n">
        <v>0</v>
      </c>
      <c r="L613" t="n">
        <v>0</v>
      </c>
      <c r="M613" t="n">
        <v>0</v>
      </c>
      <c r="N613" t="n">
        <v>0</v>
      </c>
      <c r="O613" t="n">
        <v>0</v>
      </c>
      <c r="P613" t="n">
        <v>0</v>
      </c>
      <c r="Q613" t="n">
        <v>0</v>
      </c>
      <c r="R613" s="2" t="inlineStr"/>
    </row>
    <row r="614" ht="15" customHeight="1">
      <c r="A614" t="inlineStr">
        <is>
          <t>A 37615-2024</t>
        </is>
      </c>
      <c r="B614" s="1" t="n">
        <v>45541.50673611111</v>
      </c>
      <c r="C614" s="1" t="n">
        <v>46050</v>
      </c>
      <c r="D614" t="inlineStr">
        <is>
          <t>VÄSTMANLANDS LÄN</t>
        </is>
      </c>
      <c r="E614" t="inlineStr">
        <is>
          <t>SALA</t>
        </is>
      </c>
      <c r="G614" t="n">
        <v>1.1</v>
      </c>
      <c r="H614" t="n">
        <v>0</v>
      </c>
      <c r="I614" t="n">
        <v>0</v>
      </c>
      <c r="J614" t="n">
        <v>0</v>
      </c>
      <c r="K614" t="n">
        <v>0</v>
      </c>
      <c r="L614" t="n">
        <v>0</v>
      </c>
      <c r="M614" t="n">
        <v>0</v>
      </c>
      <c r="N614" t="n">
        <v>0</v>
      </c>
      <c r="O614" t="n">
        <v>0</v>
      </c>
      <c r="P614" t="n">
        <v>0</v>
      </c>
      <c r="Q614" t="n">
        <v>0</v>
      </c>
      <c r="R614" s="2" t="inlineStr"/>
    </row>
    <row r="615" ht="15" customHeight="1">
      <c r="A615" t="inlineStr">
        <is>
          <t>A 18158-2025</t>
        </is>
      </c>
      <c r="B615" s="1" t="n">
        <v>45761</v>
      </c>
      <c r="C615" s="1" t="n">
        <v>46050</v>
      </c>
      <c r="D615" t="inlineStr">
        <is>
          <t>VÄSTMANLANDS LÄN</t>
        </is>
      </c>
      <c r="E615" t="inlineStr">
        <is>
          <t>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9962-2025</t>
        </is>
      </c>
      <c r="B616" s="1" t="n">
        <v>45719.37072916667</v>
      </c>
      <c r="C616" s="1" t="n">
        <v>46050</v>
      </c>
      <c r="D616" t="inlineStr">
        <is>
          <t>VÄSTMANLANDS LÄN</t>
        </is>
      </c>
      <c r="E616" t="inlineStr">
        <is>
          <t>SALA</t>
        </is>
      </c>
      <c r="G616" t="n">
        <v>4.5</v>
      </c>
      <c r="H616" t="n">
        <v>0</v>
      </c>
      <c r="I616" t="n">
        <v>0</v>
      </c>
      <c r="J616" t="n">
        <v>0</v>
      </c>
      <c r="K616" t="n">
        <v>0</v>
      </c>
      <c r="L616" t="n">
        <v>0</v>
      </c>
      <c r="M616" t="n">
        <v>0</v>
      </c>
      <c r="N616" t="n">
        <v>0</v>
      </c>
      <c r="O616" t="n">
        <v>0</v>
      </c>
      <c r="P616" t="n">
        <v>0</v>
      </c>
      <c r="Q616" t="n">
        <v>0</v>
      </c>
      <c r="R616" s="2" t="inlineStr"/>
    </row>
    <row r="617" ht="15" customHeight="1">
      <c r="A617" t="inlineStr">
        <is>
          <t>A 37602-2024</t>
        </is>
      </c>
      <c r="B617" s="1" t="n">
        <v>45541</v>
      </c>
      <c r="C617" s="1" t="n">
        <v>46050</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18762-2024</t>
        </is>
      </c>
      <c r="B618" s="1" t="n">
        <v>45426.55240740741</v>
      </c>
      <c r="C618" s="1" t="n">
        <v>46050</v>
      </c>
      <c r="D618" t="inlineStr">
        <is>
          <t>VÄSTMANLANDS LÄN</t>
        </is>
      </c>
      <c r="E618" t="inlineStr">
        <is>
          <t>SALA</t>
        </is>
      </c>
      <c r="G618" t="n">
        <v>6.2</v>
      </c>
      <c r="H618" t="n">
        <v>0</v>
      </c>
      <c r="I618" t="n">
        <v>0</v>
      </c>
      <c r="J618" t="n">
        <v>0</v>
      </c>
      <c r="K618" t="n">
        <v>0</v>
      </c>
      <c r="L618" t="n">
        <v>0</v>
      </c>
      <c r="M618" t="n">
        <v>0</v>
      </c>
      <c r="N618" t="n">
        <v>0</v>
      </c>
      <c r="O618" t="n">
        <v>0</v>
      </c>
      <c r="P618" t="n">
        <v>0</v>
      </c>
      <c r="Q618" t="n">
        <v>0</v>
      </c>
      <c r="R618" s="2" t="inlineStr"/>
    </row>
    <row r="619" ht="15" customHeight="1">
      <c r="A619" t="inlineStr">
        <is>
          <t>A 39011-2023</t>
        </is>
      </c>
      <c r="B619" s="1" t="n">
        <v>45162</v>
      </c>
      <c r="C619" s="1" t="n">
        <v>46050</v>
      </c>
      <c r="D619" t="inlineStr">
        <is>
          <t>VÄSTMANLANDS LÄN</t>
        </is>
      </c>
      <c r="E619" t="inlineStr">
        <is>
          <t>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46352-2023</t>
        </is>
      </c>
      <c r="B620" s="1" t="n">
        <v>45192</v>
      </c>
      <c r="C620" s="1" t="n">
        <v>46050</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43751-2021</t>
        </is>
      </c>
      <c r="B621" s="1" t="n">
        <v>44433</v>
      </c>
      <c r="C621" s="1" t="n">
        <v>46050</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1128-2025</t>
        </is>
      </c>
      <c r="B622" s="1" t="n">
        <v>45666.68469907407</v>
      </c>
      <c r="C622" s="1" t="n">
        <v>46050</v>
      </c>
      <c r="D622" t="inlineStr">
        <is>
          <t>VÄSTMANLANDS LÄN</t>
        </is>
      </c>
      <c r="E622" t="inlineStr">
        <is>
          <t>SALA</t>
        </is>
      </c>
      <c r="G622" t="n">
        <v>2.5</v>
      </c>
      <c r="H622" t="n">
        <v>0</v>
      </c>
      <c r="I622" t="n">
        <v>0</v>
      </c>
      <c r="J622" t="n">
        <v>0</v>
      </c>
      <c r="K622" t="n">
        <v>0</v>
      </c>
      <c r="L622" t="n">
        <v>0</v>
      </c>
      <c r="M622" t="n">
        <v>0</v>
      </c>
      <c r="N622" t="n">
        <v>0</v>
      </c>
      <c r="O622" t="n">
        <v>0</v>
      </c>
      <c r="P622" t="n">
        <v>0</v>
      </c>
      <c r="Q622" t="n">
        <v>0</v>
      </c>
      <c r="R622" s="2" t="inlineStr"/>
    </row>
    <row r="623" ht="15" customHeight="1">
      <c r="A623" t="inlineStr">
        <is>
          <t>A 31950-2023</t>
        </is>
      </c>
      <c r="B623" s="1" t="n">
        <v>45107</v>
      </c>
      <c r="C623" s="1" t="n">
        <v>46050</v>
      </c>
      <c r="D623" t="inlineStr">
        <is>
          <t>VÄSTMANLANDS LÄN</t>
        </is>
      </c>
      <c r="E623" t="inlineStr">
        <is>
          <t>SALA</t>
        </is>
      </c>
      <c r="G623" t="n">
        <v>0.1</v>
      </c>
      <c r="H623" t="n">
        <v>0</v>
      </c>
      <c r="I623" t="n">
        <v>0</v>
      </c>
      <c r="J623" t="n">
        <v>0</v>
      </c>
      <c r="K623" t="n">
        <v>0</v>
      </c>
      <c r="L623" t="n">
        <v>0</v>
      </c>
      <c r="M623" t="n">
        <v>0</v>
      </c>
      <c r="N623" t="n">
        <v>0</v>
      </c>
      <c r="O623" t="n">
        <v>0</v>
      </c>
      <c r="P623" t="n">
        <v>0</v>
      </c>
      <c r="Q623" t="n">
        <v>0</v>
      </c>
      <c r="R623" s="2" t="inlineStr"/>
    </row>
    <row r="624" ht="15" customHeight="1">
      <c r="A624" t="inlineStr">
        <is>
          <t>A 56540-2024</t>
        </is>
      </c>
      <c r="B624" s="1" t="n">
        <v>45625</v>
      </c>
      <c r="C624" s="1" t="n">
        <v>46050</v>
      </c>
      <c r="D624" t="inlineStr">
        <is>
          <t>VÄSTMANLANDS LÄN</t>
        </is>
      </c>
      <c r="E624" t="inlineStr">
        <is>
          <t>SALA</t>
        </is>
      </c>
      <c r="G624" t="n">
        <v>1.8</v>
      </c>
      <c r="H624" t="n">
        <v>0</v>
      </c>
      <c r="I624" t="n">
        <v>0</v>
      </c>
      <c r="J624" t="n">
        <v>0</v>
      </c>
      <c r="K624" t="n">
        <v>0</v>
      </c>
      <c r="L624" t="n">
        <v>0</v>
      </c>
      <c r="M624" t="n">
        <v>0</v>
      </c>
      <c r="N624" t="n">
        <v>0</v>
      </c>
      <c r="O624" t="n">
        <v>0</v>
      </c>
      <c r="P624" t="n">
        <v>0</v>
      </c>
      <c r="Q624" t="n">
        <v>0</v>
      </c>
      <c r="R624" s="2" t="inlineStr"/>
    </row>
    <row r="625" ht="15" customHeight="1">
      <c r="A625" t="inlineStr">
        <is>
          <t>A 6116-2023</t>
        </is>
      </c>
      <c r="B625" s="1" t="n">
        <v>44964</v>
      </c>
      <c r="C625" s="1" t="n">
        <v>46050</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25860-2024</t>
        </is>
      </c>
      <c r="B626" s="1" t="n">
        <v>45467.46278935186</v>
      </c>
      <c r="C626" s="1" t="n">
        <v>46050</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10154-2021</t>
        </is>
      </c>
      <c r="B627" s="1" t="n">
        <v>44256</v>
      </c>
      <c r="C627" s="1" t="n">
        <v>46050</v>
      </c>
      <c r="D627" t="inlineStr">
        <is>
          <t>VÄSTMANLANDS LÄN</t>
        </is>
      </c>
      <c r="E627" t="inlineStr">
        <is>
          <t>SALA</t>
        </is>
      </c>
      <c r="G627" t="n">
        <v>0.8</v>
      </c>
      <c r="H627" t="n">
        <v>0</v>
      </c>
      <c r="I627" t="n">
        <v>0</v>
      </c>
      <c r="J627" t="n">
        <v>0</v>
      </c>
      <c r="K627" t="n">
        <v>0</v>
      </c>
      <c r="L627" t="n">
        <v>0</v>
      </c>
      <c r="M627" t="n">
        <v>0</v>
      </c>
      <c r="N627" t="n">
        <v>0</v>
      </c>
      <c r="O627" t="n">
        <v>0</v>
      </c>
      <c r="P627" t="n">
        <v>0</v>
      </c>
      <c r="Q627" t="n">
        <v>0</v>
      </c>
      <c r="R627" s="2" t="inlineStr"/>
    </row>
    <row r="628" ht="15" customHeight="1">
      <c r="A628" t="inlineStr">
        <is>
          <t>A 56916-2022</t>
        </is>
      </c>
      <c r="B628" s="1" t="n">
        <v>44888</v>
      </c>
      <c r="C628" s="1" t="n">
        <v>46050</v>
      </c>
      <c r="D628" t="inlineStr">
        <is>
          <t>VÄSTMANLANDS LÄN</t>
        </is>
      </c>
      <c r="E628" t="inlineStr">
        <is>
          <t>SALA</t>
        </is>
      </c>
      <c r="G628" t="n">
        <v>1.7</v>
      </c>
      <c r="H628" t="n">
        <v>0</v>
      </c>
      <c r="I628" t="n">
        <v>0</v>
      </c>
      <c r="J628" t="n">
        <v>0</v>
      </c>
      <c r="K628" t="n">
        <v>0</v>
      </c>
      <c r="L628" t="n">
        <v>0</v>
      </c>
      <c r="M628" t="n">
        <v>0</v>
      </c>
      <c r="N628" t="n">
        <v>0</v>
      </c>
      <c r="O628" t="n">
        <v>0</v>
      </c>
      <c r="P628" t="n">
        <v>0</v>
      </c>
      <c r="Q628" t="n">
        <v>0</v>
      </c>
      <c r="R628" s="2" t="inlineStr"/>
    </row>
    <row r="629" ht="15" customHeight="1">
      <c r="A629" t="inlineStr">
        <is>
          <t>A 71471-2021</t>
        </is>
      </c>
      <c r="B629" s="1" t="n">
        <v>44540.53421296296</v>
      </c>
      <c r="C629" s="1" t="n">
        <v>46050</v>
      </c>
      <c r="D629" t="inlineStr">
        <is>
          <t>VÄSTMANLANDS LÄN</t>
        </is>
      </c>
      <c r="E629" t="inlineStr">
        <is>
          <t>SALA</t>
        </is>
      </c>
      <c r="G629" t="n">
        <v>13</v>
      </c>
      <c r="H629" t="n">
        <v>0</v>
      </c>
      <c r="I629" t="n">
        <v>0</v>
      </c>
      <c r="J629" t="n">
        <v>0</v>
      </c>
      <c r="K629" t="n">
        <v>0</v>
      </c>
      <c r="L629" t="n">
        <v>0</v>
      </c>
      <c r="M629" t="n">
        <v>0</v>
      </c>
      <c r="N629" t="n">
        <v>0</v>
      </c>
      <c r="O629" t="n">
        <v>0</v>
      </c>
      <c r="P629" t="n">
        <v>0</v>
      </c>
      <c r="Q629" t="n">
        <v>0</v>
      </c>
      <c r="R629" s="2" t="inlineStr"/>
    </row>
    <row r="630" ht="15" customHeight="1">
      <c r="A630" t="inlineStr">
        <is>
          <t>A 13987-2023</t>
        </is>
      </c>
      <c r="B630" s="1" t="n">
        <v>45007</v>
      </c>
      <c r="C630" s="1" t="n">
        <v>46050</v>
      </c>
      <c r="D630" t="inlineStr">
        <is>
          <t>VÄSTMANLANDS LÄN</t>
        </is>
      </c>
      <c r="E630" t="inlineStr">
        <is>
          <t>SALA</t>
        </is>
      </c>
      <c r="G630" t="n">
        <v>3.2</v>
      </c>
      <c r="H630" t="n">
        <v>0</v>
      </c>
      <c r="I630" t="n">
        <v>0</v>
      </c>
      <c r="J630" t="n">
        <v>0</v>
      </c>
      <c r="K630" t="n">
        <v>0</v>
      </c>
      <c r="L630" t="n">
        <v>0</v>
      </c>
      <c r="M630" t="n">
        <v>0</v>
      </c>
      <c r="N630" t="n">
        <v>0</v>
      </c>
      <c r="O630" t="n">
        <v>0</v>
      </c>
      <c r="P630" t="n">
        <v>0</v>
      </c>
      <c r="Q630" t="n">
        <v>0</v>
      </c>
      <c r="R630" s="2" t="inlineStr"/>
    </row>
    <row r="631" ht="15" customHeight="1">
      <c r="A631" t="inlineStr">
        <is>
          <t>A 13990-2023</t>
        </is>
      </c>
      <c r="B631" s="1" t="n">
        <v>45007</v>
      </c>
      <c r="C631" s="1" t="n">
        <v>46050</v>
      </c>
      <c r="D631" t="inlineStr">
        <is>
          <t>VÄSTMANLANDS LÄN</t>
        </is>
      </c>
      <c r="E631" t="inlineStr">
        <is>
          <t>SALA</t>
        </is>
      </c>
      <c r="G631" t="n">
        <v>2.6</v>
      </c>
      <c r="H631" t="n">
        <v>0</v>
      </c>
      <c r="I631" t="n">
        <v>0</v>
      </c>
      <c r="J631" t="n">
        <v>0</v>
      </c>
      <c r="K631" t="n">
        <v>0</v>
      </c>
      <c r="L631" t="n">
        <v>0</v>
      </c>
      <c r="M631" t="n">
        <v>0</v>
      </c>
      <c r="N631" t="n">
        <v>0</v>
      </c>
      <c r="O631" t="n">
        <v>0</v>
      </c>
      <c r="P631" t="n">
        <v>0</v>
      </c>
      <c r="Q631" t="n">
        <v>0</v>
      </c>
      <c r="R631" s="2" t="inlineStr"/>
    </row>
    <row r="632" ht="15" customHeight="1">
      <c r="A632" t="inlineStr">
        <is>
          <t>A 1993-2022</t>
        </is>
      </c>
      <c r="B632" s="1" t="n">
        <v>44575</v>
      </c>
      <c r="C632" s="1" t="n">
        <v>46050</v>
      </c>
      <c r="D632" t="inlineStr">
        <is>
          <t>VÄSTMANLANDS LÄN</t>
        </is>
      </c>
      <c r="E632" t="inlineStr">
        <is>
          <t>SALA</t>
        </is>
      </c>
      <c r="G632" t="n">
        <v>1.6</v>
      </c>
      <c r="H632" t="n">
        <v>0</v>
      </c>
      <c r="I632" t="n">
        <v>0</v>
      </c>
      <c r="J632" t="n">
        <v>0</v>
      </c>
      <c r="K632" t="n">
        <v>0</v>
      </c>
      <c r="L632" t="n">
        <v>0</v>
      </c>
      <c r="M632" t="n">
        <v>0</v>
      </c>
      <c r="N632" t="n">
        <v>0</v>
      </c>
      <c r="O632" t="n">
        <v>0</v>
      </c>
      <c r="P632" t="n">
        <v>0</v>
      </c>
      <c r="Q632" t="n">
        <v>0</v>
      </c>
      <c r="R632" s="2" t="inlineStr"/>
    </row>
    <row r="633" ht="15" customHeight="1">
      <c r="A633" t="inlineStr">
        <is>
          <t>A 17051-2025</t>
        </is>
      </c>
      <c r="B633" s="1" t="n">
        <v>45755</v>
      </c>
      <c r="C633" s="1" t="n">
        <v>46050</v>
      </c>
      <c r="D633" t="inlineStr">
        <is>
          <t>VÄSTMANLANDS LÄN</t>
        </is>
      </c>
      <c r="E633" t="inlineStr">
        <is>
          <t>SALA</t>
        </is>
      </c>
      <c r="G633" t="n">
        <v>2.9</v>
      </c>
      <c r="H633" t="n">
        <v>0</v>
      </c>
      <c r="I633" t="n">
        <v>0</v>
      </c>
      <c r="J633" t="n">
        <v>0</v>
      </c>
      <c r="K633" t="n">
        <v>0</v>
      </c>
      <c r="L633" t="n">
        <v>0</v>
      </c>
      <c r="M633" t="n">
        <v>0</v>
      </c>
      <c r="N633" t="n">
        <v>0</v>
      </c>
      <c r="O633" t="n">
        <v>0</v>
      </c>
      <c r="P633" t="n">
        <v>0</v>
      </c>
      <c r="Q633" t="n">
        <v>0</v>
      </c>
      <c r="R633" s="2" t="inlineStr"/>
    </row>
    <row r="634" ht="15" customHeight="1">
      <c r="A634" t="inlineStr">
        <is>
          <t>A 43509-2021</t>
        </is>
      </c>
      <c r="B634" s="1" t="n">
        <v>44433</v>
      </c>
      <c r="C634" s="1" t="n">
        <v>46050</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54959-2024</t>
        </is>
      </c>
      <c r="B635" s="1" t="n">
        <v>45619</v>
      </c>
      <c r="C635" s="1" t="n">
        <v>46050</v>
      </c>
      <c r="D635" t="inlineStr">
        <is>
          <t>VÄSTMANLANDS LÄN</t>
        </is>
      </c>
      <c r="E635" t="inlineStr">
        <is>
          <t>SALA</t>
        </is>
      </c>
      <c r="G635" t="n">
        <v>1.3</v>
      </c>
      <c r="H635" t="n">
        <v>0</v>
      </c>
      <c r="I635" t="n">
        <v>0</v>
      </c>
      <c r="J635" t="n">
        <v>0</v>
      </c>
      <c r="K635" t="n">
        <v>0</v>
      </c>
      <c r="L635" t="n">
        <v>0</v>
      </c>
      <c r="M635" t="n">
        <v>0</v>
      </c>
      <c r="N635" t="n">
        <v>0</v>
      </c>
      <c r="O635" t="n">
        <v>0</v>
      </c>
      <c r="P635" t="n">
        <v>0</v>
      </c>
      <c r="Q635" t="n">
        <v>0</v>
      </c>
      <c r="R635" s="2" t="inlineStr"/>
    </row>
    <row r="636" ht="15" customHeight="1">
      <c r="A636" t="inlineStr">
        <is>
          <t>A 56964-2023</t>
        </is>
      </c>
      <c r="B636" s="1" t="n">
        <v>45244.63140046296</v>
      </c>
      <c r="C636" s="1" t="n">
        <v>46050</v>
      </c>
      <c r="D636" t="inlineStr">
        <is>
          <t>VÄSTMANLANDS LÄN</t>
        </is>
      </c>
      <c r="E636" t="inlineStr">
        <is>
          <t>SALA</t>
        </is>
      </c>
      <c r="G636" t="n">
        <v>4.6</v>
      </c>
      <c r="H636" t="n">
        <v>0</v>
      </c>
      <c r="I636" t="n">
        <v>0</v>
      </c>
      <c r="J636" t="n">
        <v>0</v>
      </c>
      <c r="K636" t="n">
        <v>0</v>
      </c>
      <c r="L636" t="n">
        <v>0</v>
      </c>
      <c r="M636" t="n">
        <v>0</v>
      </c>
      <c r="N636" t="n">
        <v>0</v>
      </c>
      <c r="O636" t="n">
        <v>0</v>
      </c>
      <c r="P636" t="n">
        <v>0</v>
      </c>
      <c r="Q636" t="n">
        <v>0</v>
      </c>
      <c r="R636" s="2" t="inlineStr"/>
    </row>
    <row r="637" ht="15" customHeight="1">
      <c r="A637" t="inlineStr">
        <is>
          <t>A 37337-2024</t>
        </is>
      </c>
      <c r="B637" s="1" t="n">
        <v>45540</v>
      </c>
      <c r="C637" s="1" t="n">
        <v>46050</v>
      </c>
      <c r="D637" t="inlineStr">
        <is>
          <t>VÄSTMANLANDS LÄN</t>
        </is>
      </c>
      <c r="E637" t="inlineStr">
        <is>
          <t>SALA</t>
        </is>
      </c>
      <c r="G637" t="n">
        <v>6.5</v>
      </c>
      <c r="H637" t="n">
        <v>0</v>
      </c>
      <c r="I637" t="n">
        <v>0</v>
      </c>
      <c r="J637" t="n">
        <v>0</v>
      </c>
      <c r="K637" t="n">
        <v>0</v>
      </c>
      <c r="L637" t="n">
        <v>0</v>
      </c>
      <c r="M637" t="n">
        <v>0</v>
      </c>
      <c r="N637" t="n">
        <v>0</v>
      </c>
      <c r="O637" t="n">
        <v>0</v>
      </c>
      <c r="P637" t="n">
        <v>0</v>
      </c>
      <c r="Q637" t="n">
        <v>0</v>
      </c>
      <c r="R637" s="2" t="inlineStr"/>
    </row>
    <row r="638" ht="15" customHeight="1">
      <c r="A638" t="inlineStr">
        <is>
          <t>A 17120-2023</t>
        </is>
      </c>
      <c r="B638" s="1" t="n">
        <v>45034</v>
      </c>
      <c r="C638" s="1" t="n">
        <v>46050</v>
      </c>
      <c r="D638" t="inlineStr">
        <is>
          <t>VÄSTMANLANDS LÄN</t>
        </is>
      </c>
      <c r="E638" t="inlineStr">
        <is>
          <t>SALA</t>
        </is>
      </c>
      <c r="G638" t="n">
        <v>0.1</v>
      </c>
      <c r="H638" t="n">
        <v>0</v>
      </c>
      <c r="I638" t="n">
        <v>0</v>
      </c>
      <c r="J638" t="n">
        <v>0</v>
      </c>
      <c r="K638" t="n">
        <v>0</v>
      </c>
      <c r="L638" t="n">
        <v>0</v>
      </c>
      <c r="M638" t="n">
        <v>0</v>
      </c>
      <c r="N638" t="n">
        <v>0</v>
      </c>
      <c r="O638" t="n">
        <v>0</v>
      </c>
      <c r="P638" t="n">
        <v>0</v>
      </c>
      <c r="Q638" t="n">
        <v>0</v>
      </c>
      <c r="R638" s="2" t="inlineStr"/>
    </row>
    <row r="639" ht="15" customHeight="1">
      <c r="A639" t="inlineStr">
        <is>
          <t>A 34494-2023</t>
        </is>
      </c>
      <c r="B639" s="1" t="n">
        <v>45133</v>
      </c>
      <c r="C639" s="1" t="n">
        <v>46050</v>
      </c>
      <c r="D639" t="inlineStr">
        <is>
          <t>VÄSTMANLANDS LÄN</t>
        </is>
      </c>
      <c r="E639" t="inlineStr">
        <is>
          <t>SALA</t>
        </is>
      </c>
      <c r="G639" t="n">
        <v>0.8</v>
      </c>
      <c r="H639" t="n">
        <v>0</v>
      </c>
      <c r="I639" t="n">
        <v>0</v>
      </c>
      <c r="J639" t="n">
        <v>0</v>
      </c>
      <c r="K639" t="n">
        <v>0</v>
      </c>
      <c r="L639" t="n">
        <v>0</v>
      </c>
      <c r="M639" t="n">
        <v>0</v>
      </c>
      <c r="N639" t="n">
        <v>0</v>
      </c>
      <c r="O639" t="n">
        <v>0</v>
      </c>
      <c r="P639" t="n">
        <v>0</v>
      </c>
      <c r="Q639" t="n">
        <v>0</v>
      </c>
      <c r="R639" s="2" t="inlineStr"/>
    </row>
    <row r="640" ht="15" customHeight="1">
      <c r="A640" t="inlineStr">
        <is>
          <t>A 10579-2022</t>
        </is>
      </c>
      <c r="B640" s="1" t="n">
        <v>44624</v>
      </c>
      <c r="C640" s="1" t="n">
        <v>46050</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9335-2022</t>
        </is>
      </c>
      <c r="B641" s="1" t="n">
        <v>44616.56579861111</v>
      </c>
      <c r="C641" s="1" t="n">
        <v>46050</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45313-2024</t>
        </is>
      </c>
      <c r="B642" s="1" t="n">
        <v>45576</v>
      </c>
      <c r="C642" s="1" t="n">
        <v>46050</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23119-2022</t>
        </is>
      </c>
      <c r="B643" s="1" t="n">
        <v>44719.56697916667</v>
      </c>
      <c r="C643" s="1" t="n">
        <v>46050</v>
      </c>
      <c r="D643" t="inlineStr">
        <is>
          <t>VÄSTMANLANDS LÄN</t>
        </is>
      </c>
      <c r="E643" t="inlineStr">
        <is>
          <t>SALA</t>
        </is>
      </c>
      <c r="G643" t="n">
        <v>7</v>
      </c>
      <c r="H643" t="n">
        <v>0</v>
      </c>
      <c r="I643" t="n">
        <v>0</v>
      </c>
      <c r="J643" t="n">
        <v>0</v>
      </c>
      <c r="K643" t="n">
        <v>0</v>
      </c>
      <c r="L643" t="n">
        <v>0</v>
      </c>
      <c r="M643" t="n">
        <v>0</v>
      </c>
      <c r="N643" t="n">
        <v>0</v>
      </c>
      <c r="O643" t="n">
        <v>0</v>
      </c>
      <c r="P643" t="n">
        <v>0</v>
      </c>
      <c r="Q643" t="n">
        <v>0</v>
      </c>
      <c r="R643" s="2" t="inlineStr"/>
    </row>
    <row r="644" ht="15" customHeight="1">
      <c r="A644" t="inlineStr">
        <is>
          <t>A 1196-2023</t>
        </is>
      </c>
      <c r="B644" s="1" t="n">
        <v>44935.82290509259</v>
      </c>
      <c r="C644" s="1" t="n">
        <v>46050</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52503-2024</t>
        </is>
      </c>
      <c r="B645" s="1" t="n">
        <v>45609.58806712963</v>
      </c>
      <c r="C645" s="1" t="n">
        <v>46050</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7953-2024</t>
        </is>
      </c>
      <c r="B646" s="1" t="n">
        <v>45350</v>
      </c>
      <c r="C646" s="1" t="n">
        <v>46050</v>
      </c>
      <c r="D646" t="inlineStr">
        <is>
          <t>VÄSTMANLANDS LÄN</t>
        </is>
      </c>
      <c r="E646" t="inlineStr">
        <is>
          <t>SALA</t>
        </is>
      </c>
      <c r="G646" t="n">
        <v>2.6</v>
      </c>
      <c r="H646" t="n">
        <v>0</v>
      </c>
      <c r="I646" t="n">
        <v>0</v>
      </c>
      <c r="J646" t="n">
        <v>0</v>
      </c>
      <c r="K646" t="n">
        <v>0</v>
      </c>
      <c r="L646" t="n">
        <v>0</v>
      </c>
      <c r="M646" t="n">
        <v>0</v>
      </c>
      <c r="N646" t="n">
        <v>0</v>
      </c>
      <c r="O646" t="n">
        <v>0</v>
      </c>
      <c r="P646" t="n">
        <v>0</v>
      </c>
      <c r="Q646" t="n">
        <v>0</v>
      </c>
      <c r="R646" s="2" t="inlineStr"/>
    </row>
    <row r="647" ht="15" customHeight="1">
      <c r="A647" t="inlineStr">
        <is>
          <t>A 30028-2024</t>
        </is>
      </c>
      <c r="B647" s="1" t="n">
        <v>45485</v>
      </c>
      <c r="C647" s="1" t="n">
        <v>46050</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7950-2025</t>
        </is>
      </c>
      <c r="B648" s="1" t="n">
        <v>45707.41799768519</v>
      </c>
      <c r="C648" s="1" t="n">
        <v>46050</v>
      </c>
      <c r="D648" t="inlineStr">
        <is>
          <t>VÄSTMANLANDS LÄN</t>
        </is>
      </c>
      <c r="E648" t="inlineStr">
        <is>
          <t>SALA</t>
        </is>
      </c>
      <c r="G648" t="n">
        <v>3.2</v>
      </c>
      <c r="H648" t="n">
        <v>0</v>
      </c>
      <c r="I648" t="n">
        <v>0</v>
      </c>
      <c r="J648" t="n">
        <v>0</v>
      </c>
      <c r="K648" t="n">
        <v>0</v>
      </c>
      <c r="L648" t="n">
        <v>0</v>
      </c>
      <c r="M648" t="n">
        <v>0</v>
      </c>
      <c r="N648" t="n">
        <v>0</v>
      </c>
      <c r="O648" t="n">
        <v>0</v>
      </c>
      <c r="P648" t="n">
        <v>0</v>
      </c>
      <c r="Q648" t="n">
        <v>0</v>
      </c>
      <c r="R648" s="2" t="inlineStr"/>
    </row>
    <row r="649" ht="15" customHeight="1">
      <c r="A649" t="inlineStr">
        <is>
          <t>A 27657-2023</t>
        </is>
      </c>
      <c r="B649" s="1" t="n">
        <v>45097.76631944445</v>
      </c>
      <c r="C649" s="1" t="n">
        <v>46050</v>
      </c>
      <c r="D649" t="inlineStr">
        <is>
          <t>VÄSTMANLANDS LÄN</t>
        </is>
      </c>
      <c r="E649" t="inlineStr">
        <is>
          <t>SALA</t>
        </is>
      </c>
      <c r="G649" t="n">
        <v>0.1</v>
      </c>
      <c r="H649" t="n">
        <v>0</v>
      </c>
      <c r="I649" t="n">
        <v>0</v>
      </c>
      <c r="J649" t="n">
        <v>0</v>
      </c>
      <c r="K649" t="n">
        <v>0</v>
      </c>
      <c r="L649" t="n">
        <v>0</v>
      </c>
      <c r="M649" t="n">
        <v>0</v>
      </c>
      <c r="N649" t="n">
        <v>0</v>
      </c>
      <c r="O649" t="n">
        <v>0</v>
      </c>
      <c r="P649" t="n">
        <v>0</v>
      </c>
      <c r="Q649" t="n">
        <v>0</v>
      </c>
      <c r="R649" s="2" t="inlineStr"/>
    </row>
    <row r="650" ht="15" customHeight="1">
      <c r="A650" t="inlineStr">
        <is>
          <t>A 13855-2023</t>
        </is>
      </c>
      <c r="B650" s="1" t="n">
        <v>45007</v>
      </c>
      <c r="C650" s="1" t="n">
        <v>46050</v>
      </c>
      <c r="D650" t="inlineStr">
        <is>
          <t>VÄSTMANLANDS LÄN</t>
        </is>
      </c>
      <c r="E650" t="inlineStr">
        <is>
          <t>SALA</t>
        </is>
      </c>
      <c r="G650" t="n">
        <v>2.9</v>
      </c>
      <c r="H650" t="n">
        <v>0</v>
      </c>
      <c r="I650" t="n">
        <v>0</v>
      </c>
      <c r="J650" t="n">
        <v>0</v>
      </c>
      <c r="K650" t="n">
        <v>0</v>
      </c>
      <c r="L650" t="n">
        <v>0</v>
      </c>
      <c r="M650" t="n">
        <v>0</v>
      </c>
      <c r="N650" t="n">
        <v>0</v>
      </c>
      <c r="O650" t="n">
        <v>0</v>
      </c>
      <c r="P650" t="n">
        <v>0</v>
      </c>
      <c r="Q650" t="n">
        <v>0</v>
      </c>
      <c r="R650" s="2" t="inlineStr"/>
    </row>
    <row r="651" ht="15" customHeight="1">
      <c r="A651" t="inlineStr">
        <is>
          <t>A 33309-2022</t>
        </is>
      </c>
      <c r="B651" s="1" t="n">
        <v>44788.40986111111</v>
      </c>
      <c r="C651" s="1" t="n">
        <v>46050</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47909-2022</t>
        </is>
      </c>
      <c r="B652" s="1" t="n">
        <v>44855</v>
      </c>
      <c r="C652" s="1" t="n">
        <v>46050</v>
      </c>
      <c r="D652" t="inlineStr">
        <is>
          <t>VÄSTMANLANDS LÄN</t>
        </is>
      </c>
      <c r="E652" t="inlineStr">
        <is>
          <t>SALA</t>
        </is>
      </c>
      <c r="F652" t="inlineStr">
        <is>
          <t>Bergvik skog öst AB</t>
        </is>
      </c>
      <c r="G652" t="n">
        <v>2</v>
      </c>
      <c r="H652" t="n">
        <v>0</v>
      </c>
      <c r="I652" t="n">
        <v>0</v>
      </c>
      <c r="J652" t="n">
        <v>0</v>
      </c>
      <c r="K652" t="n">
        <v>0</v>
      </c>
      <c r="L652" t="n">
        <v>0</v>
      </c>
      <c r="M652" t="n">
        <v>0</v>
      </c>
      <c r="N652" t="n">
        <v>0</v>
      </c>
      <c r="O652" t="n">
        <v>0</v>
      </c>
      <c r="P652" t="n">
        <v>0</v>
      </c>
      <c r="Q652" t="n">
        <v>0</v>
      </c>
      <c r="R652" s="2" t="inlineStr"/>
    </row>
    <row r="653" ht="15" customHeight="1">
      <c r="A653" t="inlineStr">
        <is>
          <t>A 15272-2025</t>
        </is>
      </c>
      <c r="B653" s="1" t="n">
        <v>45744</v>
      </c>
      <c r="C653" s="1" t="n">
        <v>46050</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11183-2023</t>
        </is>
      </c>
      <c r="B654" s="1" t="n">
        <v>44992.57782407408</v>
      </c>
      <c r="C654" s="1" t="n">
        <v>46050</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11190-2023</t>
        </is>
      </c>
      <c r="B655" s="1" t="n">
        <v>44992</v>
      </c>
      <c r="C655" s="1" t="n">
        <v>46050</v>
      </c>
      <c r="D655" t="inlineStr">
        <is>
          <t>VÄSTMANLANDS LÄN</t>
        </is>
      </c>
      <c r="E655" t="inlineStr">
        <is>
          <t>SALA</t>
        </is>
      </c>
      <c r="G655" t="n">
        <v>1</v>
      </c>
      <c r="H655" t="n">
        <v>0</v>
      </c>
      <c r="I655" t="n">
        <v>0</v>
      </c>
      <c r="J655" t="n">
        <v>0</v>
      </c>
      <c r="K655" t="n">
        <v>0</v>
      </c>
      <c r="L655" t="n">
        <v>0</v>
      </c>
      <c r="M655" t="n">
        <v>0</v>
      </c>
      <c r="N655" t="n">
        <v>0</v>
      </c>
      <c r="O655" t="n">
        <v>0</v>
      </c>
      <c r="P655" t="n">
        <v>0</v>
      </c>
      <c r="Q655" t="n">
        <v>0</v>
      </c>
      <c r="R655" s="2" t="inlineStr"/>
    </row>
    <row r="656" ht="15" customHeight="1">
      <c r="A656" t="inlineStr">
        <is>
          <t>A 53838-2022</t>
        </is>
      </c>
      <c r="B656" s="1" t="n">
        <v>44880.59363425926</v>
      </c>
      <c r="C656" s="1" t="n">
        <v>46050</v>
      </c>
      <c r="D656" t="inlineStr">
        <is>
          <t>VÄSTMANLANDS LÄN</t>
        </is>
      </c>
      <c r="E656" t="inlineStr">
        <is>
          <t>SALA</t>
        </is>
      </c>
      <c r="G656" t="n">
        <v>3.9</v>
      </c>
      <c r="H656" t="n">
        <v>0</v>
      </c>
      <c r="I656" t="n">
        <v>0</v>
      </c>
      <c r="J656" t="n">
        <v>0</v>
      </c>
      <c r="K656" t="n">
        <v>0</v>
      </c>
      <c r="L656" t="n">
        <v>0</v>
      </c>
      <c r="M656" t="n">
        <v>0</v>
      </c>
      <c r="N656" t="n">
        <v>0</v>
      </c>
      <c r="O656" t="n">
        <v>0</v>
      </c>
      <c r="P656" t="n">
        <v>0</v>
      </c>
      <c r="Q656" t="n">
        <v>0</v>
      </c>
      <c r="R656" s="2" t="inlineStr"/>
    </row>
    <row r="657" ht="15" customHeight="1">
      <c r="A657" t="inlineStr">
        <is>
          <t>A 6088-2021</t>
        </is>
      </c>
      <c r="B657" s="1" t="n">
        <v>44232</v>
      </c>
      <c r="C657" s="1" t="n">
        <v>46050</v>
      </c>
      <c r="D657" t="inlineStr">
        <is>
          <t>VÄSTMANLANDS LÄN</t>
        </is>
      </c>
      <c r="E657" t="inlineStr">
        <is>
          <t>SALA</t>
        </is>
      </c>
      <c r="G657" t="n">
        <v>0.2</v>
      </c>
      <c r="H657" t="n">
        <v>0</v>
      </c>
      <c r="I657" t="n">
        <v>0</v>
      </c>
      <c r="J657" t="n">
        <v>0</v>
      </c>
      <c r="K657" t="n">
        <v>0</v>
      </c>
      <c r="L657" t="n">
        <v>0</v>
      </c>
      <c r="M657" t="n">
        <v>0</v>
      </c>
      <c r="N657" t="n">
        <v>0</v>
      </c>
      <c r="O657" t="n">
        <v>0</v>
      </c>
      <c r="P657" t="n">
        <v>0</v>
      </c>
      <c r="Q657" t="n">
        <v>0</v>
      </c>
      <c r="R657" s="2" t="inlineStr"/>
    </row>
    <row r="658" ht="15" customHeight="1">
      <c r="A658" t="inlineStr">
        <is>
          <t>A 53166-2024</t>
        </is>
      </c>
      <c r="B658" s="1" t="n">
        <v>45611</v>
      </c>
      <c r="C658" s="1" t="n">
        <v>46050</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28827-2022</t>
        </is>
      </c>
      <c r="B659" s="1" t="n">
        <v>44749.45561342593</v>
      </c>
      <c r="C659" s="1" t="n">
        <v>46050</v>
      </c>
      <c r="D659" t="inlineStr">
        <is>
          <t>VÄSTMANLANDS LÄN</t>
        </is>
      </c>
      <c r="E659" t="inlineStr">
        <is>
          <t>SALA</t>
        </is>
      </c>
      <c r="F659" t="inlineStr">
        <is>
          <t>Kommuner</t>
        </is>
      </c>
      <c r="G659" t="n">
        <v>11.9</v>
      </c>
      <c r="H659" t="n">
        <v>0</v>
      </c>
      <c r="I659" t="n">
        <v>0</v>
      </c>
      <c r="J659" t="n">
        <v>0</v>
      </c>
      <c r="K659" t="n">
        <v>0</v>
      </c>
      <c r="L659" t="n">
        <v>0</v>
      </c>
      <c r="M659" t="n">
        <v>0</v>
      </c>
      <c r="N659" t="n">
        <v>0</v>
      </c>
      <c r="O659" t="n">
        <v>0</v>
      </c>
      <c r="P659" t="n">
        <v>0</v>
      </c>
      <c r="Q659" t="n">
        <v>0</v>
      </c>
      <c r="R659" s="2" t="inlineStr"/>
    </row>
    <row r="660" ht="15" customHeight="1">
      <c r="A660" t="inlineStr">
        <is>
          <t>A 17866-2025</t>
        </is>
      </c>
      <c r="B660" s="1" t="n">
        <v>45758</v>
      </c>
      <c r="C660" s="1" t="n">
        <v>46050</v>
      </c>
      <c r="D660" t="inlineStr">
        <is>
          <t>VÄSTMANLANDS LÄN</t>
        </is>
      </c>
      <c r="E660" t="inlineStr">
        <is>
          <t>SALA</t>
        </is>
      </c>
      <c r="F660" t="inlineStr">
        <is>
          <t>Bergvik skog öst AB</t>
        </is>
      </c>
      <c r="G660" t="n">
        <v>2.1</v>
      </c>
      <c r="H660" t="n">
        <v>0</v>
      </c>
      <c r="I660" t="n">
        <v>0</v>
      </c>
      <c r="J660" t="n">
        <v>0</v>
      </c>
      <c r="K660" t="n">
        <v>0</v>
      </c>
      <c r="L660" t="n">
        <v>0</v>
      </c>
      <c r="M660" t="n">
        <v>0</v>
      </c>
      <c r="N660" t="n">
        <v>0</v>
      </c>
      <c r="O660" t="n">
        <v>0</v>
      </c>
      <c r="P660" t="n">
        <v>0</v>
      </c>
      <c r="Q660" t="n">
        <v>0</v>
      </c>
      <c r="R660" s="2" t="inlineStr"/>
    </row>
    <row r="661" ht="15" customHeight="1">
      <c r="A661" t="inlineStr">
        <is>
          <t>A 54836-2024</t>
        </is>
      </c>
      <c r="B661" s="1" t="n">
        <v>45618</v>
      </c>
      <c r="C661" s="1" t="n">
        <v>46050</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64729-2023</t>
        </is>
      </c>
      <c r="B662" s="1" t="n">
        <v>45281</v>
      </c>
      <c r="C662" s="1" t="n">
        <v>46050</v>
      </c>
      <c r="D662" t="inlineStr">
        <is>
          <t>VÄSTMANLANDS LÄN</t>
        </is>
      </c>
      <c r="E662" t="inlineStr">
        <is>
          <t>SALA</t>
        </is>
      </c>
      <c r="G662" t="n">
        <v>1.8</v>
      </c>
      <c r="H662" t="n">
        <v>0</v>
      </c>
      <c r="I662" t="n">
        <v>0</v>
      </c>
      <c r="J662" t="n">
        <v>0</v>
      </c>
      <c r="K662" t="n">
        <v>0</v>
      </c>
      <c r="L662" t="n">
        <v>0</v>
      </c>
      <c r="M662" t="n">
        <v>0</v>
      </c>
      <c r="N662" t="n">
        <v>0</v>
      </c>
      <c r="O662" t="n">
        <v>0</v>
      </c>
      <c r="P662" t="n">
        <v>0</v>
      </c>
      <c r="Q662" t="n">
        <v>0</v>
      </c>
      <c r="R662" s="2" t="inlineStr"/>
    </row>
    <row r="663" ht="15" customHeight="1">
      <c r="A663" t="inlineStr">
        <is>
          <t>A 10585-2022</t>
        </is>
      </c>
      <c r="B663" s="1" t="n">
        <v>44624</v>
      </c>
      <c r="C663" s="1" t="n">
        <v>46050</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22523-2023</t>
        </is>
      </c>
      <c r="B664" s="1" t="n">
        <v>45069</v>
      </c>
      <c r="C664" s="1" t="n">
        <v>46050</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31609-2024</t>
        </is>
      </c>
      <c r="B665" s="1" t="n">
        <v>45506</v>
      </c>
      <c r="C665" s="1" t="n">
        <v>46050</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56057-2023</t>
        </is>
      </c>
      <c r="B666" s="1" t="n">
        <v>45233</v>
      </c>
      <c r="C666" s="1" t="n">
        <v>46050</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62635-2022</t>
        </is>
      </c>
      <c r="B667" s="1" t="n">
        <v>44917</v>
      </c>
      <c r="C667" s="1" t="n">
        <v>46050</v>
      </c>
      <c r="D667" t="inlineStr">
        <is>
          <t>VÄSTMANLANDS LÄN</t>
        </is>
      </c>
      <c r="E667" t="inlineStr">
        <is>
          <t>SALA</t>
        </is>
      </c>
      <c r="G667" t="n">
        <v>0.4</v>
      </c>
      <c r="H667" t="n">
        <v>0</v>
      </c>
      <c r="I667" t="n">
        <v>0</v>
      </c>
      <c r="J667" t="n">
        <v>0</v>
      </c>
      <c r="K667" t="n">
        <v>0</v>
      </c>
      <c r="L667" t="n">
        <v>0</v>
      </c>
      <c r="M667" t="n">
        <v>0</v>
      </c>
      <c r="N667" t="n">
        <v>0</v>
      </c>
      <c r="O667" t="n">
        <v>0</v>
      </c>
      <c r="P667" t="n">
        <v>0</v>
      </c>
      <c r="Q667" t="n">
        <v>0</v>
      </c>
      <c r="R667" s="2" t="inlineStr"/>
    </row>
    <row r="668" ht="15" customHeight="1">
      <c r="A668" t="inlineStr">
        <is>
          <t>A 4852-2023</t>
        </is>
      </c>
      <c r="B668" s="1" t="n">
        <v>44957.72496527778</v>
      </c>
      <c r="C668" s="1" t="n">
        <v>46050</v>
      </c>
      <c r="D668" t="inlineStr">
        <is>
          <t>VÄSTMANLANDS LÄN</t>
        </is>
      </c>
      <c r="E668" t="inlineStr">
        <is>
          <t>SALA</t>
        </is>
      </c>
      <c r="G668" t="n">
        <v>2</v>
      </c>
      <c r="H668" t="n">
        <v>0</v>
      </c>
      <c r="I668" t="n">
        <v>0</v>
      </c>
      <c r="J668" t="n">
        <v>0</v>
      </c>
      <c r="K668" t="n">
        <v>0</v>
      </c>
      <c r="L668" t="n">
        <v>0</v>
      </c>
      <c r="M668" t="n">
        <v>0</v>
      </c>
      <c r="N668" t="n">
        <v>0</v>
      </c>
      <c r="O668" t="n">
        <v>0</v>
      </c>
      <c r="P668" t="n">
        <v>0</v>
      </c>
      <c r="Q668" t="n">
        <v>0</v>
      </c>
      <c r="R668" s="2" t="inlineStr"/>
    </row>
    <row r="669" ht="15" customHeight="1">
      <c r="A669" t="inlineStr">
        <is>
          <t>A 39714-2023</t>
        </is>
      </c>
      <c r="B669" s="1" t="n">
        <v>45167.62133101852</v>
      </c>
      <c r="C669" s="1" t="n">
        <v>46050</v>
      </c>
      <c r="D669" t="inlineStr">
        <is>
          <t>VÄSTMANLANDS LÄN</t>
        </is>
      </c>
      <c r="E669" t="inlineStr">
        <is>
          <t>SALA</t>
        </is>
      </c>
      <c r="G669" t="n">
        <v>1.3</v>
      </c>
      <c r="H669" t="n">
        <v>0</v>
      </c>
      <c r="I669" t="n">
        <v>0</v>
      </c>
      <c r="J669" t="n">
        <v>0</v>
      </c>
      <c r="K669" t="n">
        <v>0</v>
      </c>
      <c r="L669" t="n">
        <v>0</v>
      </c>
      <c r="M669" t="n">
        <v>0</v>
      </c>
      <c r="N669" t="n">
        <v>0</v>
      </c>
      <c r="O669" t="n">
        <v>0</v>
      </c>
      <c r="P669" t="n">
        <v>0</v>
      </c>
      <c r="Q669" t="n">
        <v>0</v>
      </c>
      <c r="R669" s="2" t="inlineStr"/>
    </row>
    <row r="670" ht="15" customHeight="1">
      <c r="A670" t="inlineStr">
        <is>
          <t>A 42984-2023</t>
        </is>
      </c>
      <c r="B670" s="1" t="n">
        <v>45179</v>
      </c>
      <c r="C670" s="1" t="n">
        <v>46050</v>
      </c>
      <c r="D670" t="inlineStr">
        <is>
          <t>VÄSTMANLANDS LÄN</t>
        </is>
      </c>
      <c r="E670" t="inlineStr">
        <is>
          <t>SALA</t>
        </is>
      </c>
      <c r="G670" t="n">
        <v>1.1</v>
      </c>
      <c r="H670" t="n">
        <v>0</v>
      </c>
      <c r="I670" t="n">
        <v>0</v>
      </c>
      <c r="J670" t="n">
        <v>0</v>
      </c>
      <c r="K670" t="n">
        <v>0</v>
      </c>
      <c r="L670" t="n">
        <v>0</v>
      </c>
      <c r="M670" t="n">
        <v>0</v>
      </c>
      <c r="N670" t="n">
        <v>0</v>
      </c>
      <c r="O670" t="n">
        <v>0</v>
      </c>
      <c r="P670" t="n">
        <v>0</v>
      </c>
      <c r="Q670" t="n">
        <v>0</v>
      </c>
      <c r="R670" s="2" t="inlineStr"/>
    </row>
    <row r="671" ht="15" customHeight="1">
      <c r="A671" t="inlineStr">
        <is>
          <t>A 56535-2022</t>
        </is>
      </c>
      <c r="B671" s="1" t="n">
        <v>44893.47173611111</v>
      </c>
      <c r="C671" s="1" t="n">
        <v>46050</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60550-2024</t>
        </is>
      </c>
      <c r="B672" s="1" t="n">
        <v>45643</v>
      </c>
      <c r="C672" s="1" t="n">
        <v>46050</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13746-2025</t>
        </is>
      </c>
      <c r="B673" s="1" t="n">
        <v>45737.40944444444</v>
      </c>
      <c r="C673" s="1" t="n">
        <v>46050</v>
      </c>
      <c r="D673" t="inlineStr">
        <is>
          <t>VÄSTMANLANDS LÄN</t>
        </is>
      </c>
      <c r="E673" t="inlineStr">
        <is>
          <t>SALA</t>
        </is>
      </c>
      <c r="G673" t="n">
        <v>2.1</v>
      </c>
      <c r="H673" t="n">
        <v>0</v>
      </c>
      <c r="I673" t="n">
        <v>0</v>
      </c>
      <c r="J673" t="n">
        <v>0</v>
      </c>
      <c r="K673" t="n">
        <v>0</v>
      </c>
      <c r="L673" t="n">
        <v>0</v>
      </c>
      <c r="M673" t="n">
        <v>0</v>
      </c>
      <c r="N673" t="n">
        <v>0</v>
      </c>
      <c r="O673" t="n">
        <v>0</v>
      </c>
      <c r="P673" t="n">
        <v>0</v>
      </c>
      <c r="Q673" t="n">
        <v>0</v>
      </c>
      <c r="R673" s="2" t="inlineStr"/>
    </row>
    <row r="674" ht="15" customHeight="1">
      <c r="A674" t="inlineStr">
        <is>
          <t>A 29230-2022</t>
        </is>
      </c>
      <c r="B674" s="1" t="n">
        <v>44750</v>
      </c>
      <c r="C674" s="1" t="n">
        <v>46050</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59175-2022</t>
        </is>
      </c>
      <c r="B675" s="1" t="n">
        <v>44904.48502314815</v>
      </c>
      <c r="C675" s="1" t="n">
        <v>46050</v>
      </c>
      <c r="D675" t="inlineStr">
        <is>
          <t>VÄSTMANLANDS LÄN</t>
        </is>
      </c>
      <c r="E675" t="inlineStr">
        <is>
          <t>SALA</t>
        </is>
      </c>
      <c r="G675" t="n">
        <v>2.1</v>
      </c>
      <c r="H675" t="n">
        <v>0</v>
      </c>
      <c r="I675" t="n">
        <v>0</v>
      </c>
      <c r="J675" t="n">
        <v>0</v>
      </c>
      <c r="K675" t="n">
        <v>0</v>
      </c>
      <c r="L675" t="n">
        <v>0</v>
      </c>
      <c r="M675" t="n">
        <v>0</v>
      </c>
      <c r="N675" t="n">
        <v>0</v>
      </c>
      <c r="O675" t="n">
        <v>0</v>
      </c>
      <c r="P675" t="n">
        <v>0</v>
      </c>
      <c r="Q675" t="n">
        <v>0</v>
      </c>
      <c r="R675" s="2" t="inlineStr"/>
    </row>
    <row r="676" ht="15" customHeight="1">
      <c r="A676" t="inlineStr">
        <is>
          <t>A 19381-2025</t>
        </is>
      </c>
      <c r="B676" s="1" t="n">
        <v>45769</v>
      </c>
      <c r="C676" s="1" t="n">
        <v>46050</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42938-2023</t>
        </is>
      </c>
      <c r="B677" s="1" t="n">
        <v>45179</v>
      </c>
      <c r="C677" s="1" t="n">
        <v>46050</v>
      </c>
      <c r="D677" t="inlineStr">
        <is>
          <t>VÄSTMANLANDS LÄN</t>
        </is>
      </c>
      <c r="E677" t="inlineStr">
        <is>
          <t>SALA</t>
        </is>
      </c>
      <c r="G677" t="n">
        <v>10.9</v>
      </c>
      <c r="H677" t="n">
        <v>0</v>
      </c>
      <c r="I677" t="n">
        <v>0</v>
      </c>
      <c r="J677" t="n">
        <v>0</v>
      </c>
      <c r="K677" t="n">
        <v>0</v>
      </c>
      <c r="L677" t="n">
        <v>0</v>
      </c>
      <c r="M677" t="n">
        <v>0</v>
      </c>
      <c r="N677" t="n">
        <v>0</v>
      </c>
      <c r="O677" t="n">
        <v>0</v>
      </c>
      <c r="P677" t="n">
        <v>0</v>
      </c>
      <c r="Q677" t="n">
        <v>0</v>
      </c>
      <c r="R677" s="2" t="inlineStr"/>
    </row>
    <row r="678" ht="15" customHeight="1">
      <c r="A678" t="inlineStr">
        <is>
          <t>A 19222-2025</t>
        </is>
      </c>
      <c r="B678" s="1" t="n">
        <v>45769</v>
      </c>
      <c r="C678" s="1" t="n">
        <v>46050</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ht="15" customHeight="1">
      <c r="A679" t="inlineStr">
        <is>
          <t>A 19241-2025</t>
        </is>
      </c>
      <c r="B679" s="1" t="n">
        <v>45769</v>
      </c>
      <c r="C679" s="1" t="n">
        <v>46050</v>
      </c>
      <c r="D679" t="inlineStr">
        <is>
          <t>VÄSTMANLANDS LÄN</t>
        </is>
      </c>
      <c r="E679" t="inlineStr">
        <is>
          <t>SALA</t>
        </is>
      </c>
      <c r="G679" t="n">
        <v>3.6</v>
      </c>
      <c r="H679" t="n">
        <v>0</v>
      </c>
      <c r="I679" t="n">
        <v>0</v>
      </c>
      <c r="J679" t="n">
        <v>0</v>
      </c>
      <c r="K679" t="n">
        <v>0</v>
      </c>
      <c r="L679" t="n">
        <v>0</v>
      </c>
      <c r="M679" t="n">
        <v>0</v>
      </c>
      <c r="N679" t="n">
        <v>0</v>
      </c>
      <c r="O679" t="n">
        <v>0</v>
      </c>
      <c r="P679" t="n">
        <v>0</v>
      </c>
      <c r="Q679" t="n">
        <v>0</v>
      </c>
      <c r="R679" s="2" t="inlineStr"/>
    </row>
    <row r="680" ht="15" customHeight="1">
      <c r="A680" t="inlineStr">
        <is>
          <t>A 60823-2024</t>
        </is>
      </c>
      <c r="B680" s="1" t="n">
        <v>45644</v>
      </c>
      <c r="C680" s="1" t="n">
        <v>46050</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61681-2024</t>
        </is>
      </c>
      <c r="B681" s="1" t="n">
        <v>45647</v>
      </c>
      <c r="C681" s="1" t="n">
        <v>46050</v>
      </c>
      <c r="D681" t="inlineStr">
        <is>
          <t>VÄSTMANLANDS LÄN</t>
        </is>
      </c>
      <c r="E681" t="inlineStr">
        <is>
          <t>SALA</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49661-2024</t>
        </is>
      </c>
      <c r="B682" s="1" t="n">
        <v>45596</v>
      </c>
      <c r="C682" s="1" t="n">
        <v>46050</v>
      </c>
      <c r="D682" t="inlineStr">
        <is>
          <t>VÄSTMANLANDS LÄN</t>
        </is>
      </c>
      <c r="E682" t="inlineStr">
        <is>
          <t>SALA</t>
        </is>
      </c>
      <c r="G682" t="n">
        <v>6.7</v>
      </c>
      <c r="H682" t="n">
        <v>0</v>
      </c>
      <c r="I682" t="n">
        <v>0</v>
      </c>
      <c r="J682" t="n">
        <v>0</v>
      </c>
      <c r="K682" t="n">
        <v>0</v>
      </c>
      <c r="L682" t="n">
        <v>0</v>
      </c>
      <c r="M682" t="n">
        <v>0</v>
      </c>
      <c r="N682" t="n">
        <v>0</v>
      </c>
      <c r="O682" t="n">
        <v>0</v>
      </c>
      <c r="P682" t="n">
        <v>0</v>
      </c>
      <c r="Q682" t="n">
        <v>0</v>
      </c>
      <c r="R682" s="2" t="inlineStr"/>
    </row>
    <row r="683" ht="15" customHeight="1">
      <c r="A683" t="inlineStr">
        <is>
          <t>A 59297-2023</t>
        </is>
      </c>
      <c r="B683" s="1" t="n">
        <v>45253</v>
      </c>
      <c r="C683" s="1" t="n">
        <v>46050</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15965-2024</t>
        </is>
      </c>
      <c r="B684" s="1" t="n">
        <v>45405.55740740741</v>
      </c>
      <c r="C684" s="1" t="n">
        <v>46050</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23180-2022</t>
        </is>
      </c>
      <c r="B685" s="1" t="n">
        <v>44719.79344907407</v>
      </c>
      <c r="C685" s="1" t="n">
        <v>46050</v>
      </c>
      <c r="D685" t="inlineStr">
        <is>
          <t>VÄSTMANLANDS LÄN</t>
        </is>
      </c>
      <c r="E685" t="inlineStr">
        <is>
          <t>SALA</t>
        </is>
      </c>
      <c r="G685" t="n">
        <v>1.2</v>
      </c>
      <c r="H685" t="n">
        <v>0</v>
      </c>
      <c r="I685" t="n">
        <v>0</v>
      </c>
      <c r="J685" t="n">
        <v>0</v>
      </c>
      <c r="K685" t="n">
        <v>0</v>
      </c>
      <c r="L685" t="n">
        <v>0</v>
      </c>
      <c r="M685" t="n">
        <v>0</v>
      </c>
      <c r="N685" t="n">
        <v>0</v>
      </c>
      <c r="O685" t="n">
        <v>0</v>
      </c>
      <c r="P685" t="n">
        <v>0</v>
      </c>
      <c r="Q685" t="n">
        <v>0</v>
      </c>
      <c r="R685" s="2" t="inlineStr"/>
    </row>
    <row r="686" ht="15" customHeight="1">
      <c r="A686" t="inlineStr">
        <is>
          <t>A 21455-2023</t>
        </is>
      </c>
      <c r="B686" s="1" t="n">
        <v>45058</v>
      </c>
      <c r="C686" s="1" t="n">
        <v>46050</v>
      </c>
      <c r="D686" t="inlineStr">
        <is>
          <t>VÄSTMANLANDS LÄN</t>
        </is>
      </c>
      <c r="E686" t="inlineStr">
        <is>
          <t>SALA</t>
        </is>
      </c>
      <c r="G686" t="n">
        <v>6.4</v>
      </c>
      <c r="H686" t="n">
        <v>0</v>
      </c>
      <c r="I686" t="n">
        <v>0</v>
      </c>
      <c r="J686" t="n">
        <v>0</v>
      </c>
      <c r="K686" t="n">
        <v>0</v>
      </c>
      <c r="L686" t="n">
        <v>0</v>
      </c>
      <c r="M686" t="n">
        <v>0</v>
      </c>
      <c r="N686" t="n">
        <v>0</v>
      </c>
      <c r="O686" t="n">
        <v>0</v>
      </c>
      <c r="P686" t="n">
        <v>0</v>
      </c>
      <c r="Q686" t="n">
        <v>0</v>
      </c>
      <c r="R686" s="2" t="inlineStr"/>
    </row>
    <row r="687" ht="15" customHeight="1">
      <c r="A687" t="inlineStr">
        <is>
          <t>A 21053-2022</t>
        </is>
      </c>
      <c r="B687" s="1" t="n">
        <v>44704</v>
      </c>
      <c r="C687" s="1" t="n">
        <v>46050</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11927-2025</t>
        </is>
      </c>
      <c r="B688" s="1" t="n">
        <v>45728.5137962963</v>
      </c>
      <c r="C688" s="1" t="n">
        <v>46050</v>
      </c>
      <c r="D688" t="inlineStr">
        <is>
          <t>VÄSTMANLANDS LÄN</t>
        </is>
      </c>
      <c r="E688" t="inlineStr">
        <is>
          <t>SALA</t>
        </is>
      </c>
      <c r="G688" t="n">
        <v>0.7</v>
      </c>
      <c r="H688" t="n">
        <v>0</v>
      </c>
      <c r="I688" t="n">
        <v>0</v>
      </c>
      <c r="J688" t="n">
        <v>0</v>
      </c>
      <c r="K688" t="n">
        <v>0</v>
      </c>
      <c r="L688" t="n">
        <v>0</v>
      </c>
      <c r="M688" t="n">
        <v>0</v>
      </c>
      <c r="N688" t="n">
        <v>0</v>
      </c>
      <c r="O688" t="n">
        <v>0</v>
      </c>
      <c r="P688" t="n">
        <v>0</v>
      </c>
      <c r="Q688" t="n">
        <v>0</v>
      </c>
      <c r="R688" s="2" t="inlineStr"/>
    </row>
    <row r="689" ht="15" customHeight="1">
      <c r="A689" t="inlineStr">
        <is>
          <t>A 50876-2023</t>
        </is>
      </c>
      <c r="B689" s="1" t="n">
        <v>45211</v>
      </c>
      <c r="C689" s="1" t="n">
        <v>46050</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10255-2024</t>
        </is>
      </c>
      <c r="B690" s="1" t="n">
        <v>45365</v>
      </c>
      <c r="C690" s="1" t="n">
        <v>46050</v>
      </c>
      <c r="D690" t="inlineStr">
        <is>
          <t>VÄSTMANLANDS LÄN</t>
        </is>
      </c>
      <c r="E690" t="inlineStr">
        <is>
          <t>SALA</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62648-2022</t>
        </is>
      </c>
      <c r="B691" s="1" t="n">
        <v>44917</v>
      </c>
      <c r="C691" s="1" t="n">
        <v>46050</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56548-2024</t>
        </is>
      </c>
      <c r="B692" s="1" t="n">
        <v>45625</v>
      </c>
      <c r="C692" s="1" t="n">
        <v>46050</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5477-2024</t>
        </is>
      </c>
      <c r="B693" s="1" t="n">
        <v>45333.67833333334</v>
      </c>
      <c r="C693" s="1" t="n">
        <v>46050</v>
      </c>
      <c r="D693" t="inlineStr">
        <is>
          <t>VÄSTMANLANDS LÄN</t>
        </is>
      </c>
      <c r="E693" t="inlineStr">
        <is>
          <t>SALA</t>
        </is>
      </c>
      <c r="G693" t="n">
        <v>2.3</v>
      </c>
      <c r="H693" t="n">
        <v>0</v>
      </c>
      <c r="I693" t="n">
        <v>0</v>
      </c>
      <c r="J693" t="n">
        <v>0</v>
      </c>
      <c r="K693" t="n">
        <v>0</v>
      </c>
      <c r="L693" t="n">
        <v>0</v>
      </c>
      <c r="M693" t="n">
        <v>0</v>
      </c>
      <c r="N693" t="n">
        <v>0</v>
      </c>
      <c r="O693" t="n">
        <v>0</v>
      </c>
      <c r="P693" t="n">
        <v>0</v>
      </c>
      <c r="Q693" t="n">
        <v>0</v>
      </c>
      <c r="R693" s="2" t="inlineStr"/>
    </row>
    <row r="694" ht="15" customHeight="1">
      <c r="A694" t="inlineStr">
        <is>
          <t>A 39451-2022</t>
        </is>
      </c>
      <c r="B694" s="1" t="n">
        <v>44818.36606481481</v>
      </c>
      <c r="C694" s="1" t="n">
        <v>46050</v>
      </c>
      <c r="D694" t="inlineStr">
        <is>
          <t>VÄSTMANLANDS LÄN</t>
        </is>
      </c>
      <c r="E694" t="inlineStr">
        <is>
          <t>SALA</t>
        </is>
      </c>
      <c r="G694" t="n">
        <v>9.4</v>
      </c>
      <c r="H694" t="n">
        <v>0</v>
      </c>
      <c r="I694" t="n">
        <v>0</v>
      </c>
      <c r="J694" t="n">
        <v>0</v>
      </c>
      <c r="K694" t="n">
        <v>0</v>
      </c>
      <c r="L694" t="n">
        <v>0</v>
      </c>
      <c r="M694" t="n">
        <v>0</v>
      </c>
      <c r="N694" t="n">
        <v>0</v>
      </c>
      <c r="O694" t="n">
        <v>0</v>
      </c>
      <c r="P694" t="n">
        <v>0</v>
      </c>
      <c r="Q694" t="n">
        <v>0</v>
      </c>
      <c r="R694" s="2" t="inlineStr"/>
    </row>
    <row r="695" ht="15" customHeight="1">
      <c r="A695" t="inlineStr">
        <is>
          <t>A 7772-2023</t>
        </is>
      </c>
      <c r="B695" s="1" t="n">
        <v>44973.40076388889</v>
      </c>
      <c r="C695" s="1" t="n">
        <v>46050</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19751-2022</t>
        </is>
      </c>
      <c r="B696" s="1" t="n">
        <v>44694</v>
      </c>
      <c r="C696" s="1" t="n">
        <v>46050</v>
      </c>
      <c r="D696" t="inlineStr">
        <is>
          <t>VÄSTMANLANDS LÄN</t>
        </is>
      </c>
      <c r="E696" t="inlineStr">
        <is>
          <t>SALA</t>
        </is>
      </c>
      <c r="G696" t="n">
        <v>2.7</v>
      </c>
      <c r="H696" t="n">
        <v>0</v>
      </c>
      <c r="I696" t="n">
        <v>0</v>
      </c>
      <c r="J696" t="n">
        <v>0</v>
      </c>
      <c r="K696" t="n">
        <v>0</v>
      </c>
      <c r="L696" t="n">
        <v>0</v>
      </c>
      <c r="M696" t="n">
        <v>0</v>
      </c>
      <c r="N696" t="n">
        <v>0</v>
      </c>
      <c r="O696" t="n">
        <v>0</v>
      </c>
      <c r="P696" t="n">
        <v>0</v>
      </c>
      <c r="Q696" t="n">
        <v>0</v>
      </c>
      <c r="R696" s="2" t="inlineStr"/>
    </row>
    <row r="697" ht="15" customHeight="1">
      <c r="A697" t="inlineStr">
        <is>
          <t>A 44713-2023</t>
        </is>
      </c>
      <c r="B697" s="1" t="n">
        <v>45184</v>
      </c>
      <c r="C697" s="1" t="n">
        <v>46050</v>
      </c>
      <c r="D697" t="inlineStr">
        <is>
          <t>VÄSTMANLANDS LÄN</t>
        </is>
      </c>
      <c r="E697" t="inlineStr">
        <is>
          <t>SALA</t>
        </is>
      </c>
      <c r="F697" t="inlineStr">
        <is>
          <t>Kyrkan</t>
        </is>
      </c>
      <c r="G697" t="n">
        <v>7.6</v>
      </c>
      <c r="H697" t="n">
        <v>0</v>
      </c>
      <c r="I697" t="n">
        <v>0</v>
      </c>
      <c r="J697" t="n">
        <v>0</v>
      </c>
      <c r="K697" t="n">
        <v>0</v>
      </c>
      <c r="L697" t="n">
        <v>0</v>
      </c>
      <c r="M697" t="n">
        <v>0</v>
      </c>
      <c r="N697" t="n">
        <v>0</v>
      </c>
      <c r="O697" t="n">
        <v>0</v>
      </c>
      <c r="P697" t="n">
        <v>0</v>
      </c>
      <c r="Q697" t="n">
        <v>0</v>
      </c>
      <c r="R697" s="2" t="inlineStr"/>
    </row>
    <row r="698" ht="15" customHeight="1">
      <c r="A698" t="inlineStr">
        <is>
          <t>A 18713-2025</t>
        </is>
      </c>
      <c r="B698" s="1" t="n">
        <v>45763</v>
      </c>
      <c r="C698" s="1" t="n">
        <v>46050</v>
      </c>
      <c r="D698" t="inlineStr">
        <is>
          <t>VÄSTMANLANDS LÄN</t>
        </is>
      </c>
      <c r="E698" t="inlineStr">
        <is>
          <t>SALA</t>
        </is>
      </c>
      <c r="F698" t="inlineStr">
        <is>
          <t>Bergvik skog öst AB</t>
        </is>
      </c>
      <c r="G698" t="n">
        <v>11.6</v>
      </c>
      <c r="H698" t="n">
        <v>0</v>
      </c>
      <c r="I698" t="n">
        <v>0</v>
      </c>
      <c r="J698" t="n">
        <v>0</v>
      </c>
      <c r="K698" t="n">
        <v>0</v>
      </c>
      <c r="L698" t="n">
        <v>0</v>
      </c>
      <c r="M698" t="n">
        <v>0</v>
      </c>
      <c r="N698" t="n">
        <v>0</v>
      </c>
      <c r="O698" t="n">
        <v>0</v>
      </c>
      <c r="P698" t="n">
        <v>0</v>
      </c>
      <c r="Q698" t="n">
        <v>0</v>
      </c>
      <c r="R698" s="2" t="inlineStr"/>
    </row>
    <row r="699" ht="15" customHeight="1">
      <c r="A699" t="inlineStr">
        <is>
          <t>A 47479-2024</t>
        </is>
      </c>
      <c r="B699" s="1" t="n">
        <v>45587</v>
      </c>
      <c r="C699" s="1" t="n">
        <v>46050</v>
      </c>
      <c r="D699" t="inlineStr">
        <is>
          <t>VÄSTMANLANDS LÄN</t>
        </is>
      </c>
      <c r="E699" t="inlineStr">
        <is>
          <t>SALA</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69236-2021</t>
        </is>
      </c>
      <c r="B700" s="1" t="n">
        <v>44531.4047337963</v>
      </c>
      <c r="C700" s="1" t="n">
        <v>46050</v>
      </c>
      <c r="D700" t="inlineStr">
        <is>
          <t>VÄSTMANLANDS LÄN</t>
        </is>
      </c>
      <c r="E700" t="inlineStr">
        <is>
          <t>SALA</t>
        </is>
      </c>
      <c r="G700" t="n">
        <v>2.8</v>
      </c>
      <c r="H700" t="n">
        <v>0</v>
      </c>
      <c r="I700" t="n">
        <v>0</v>
      </c>
      <c r="J700" t="n">
        <v>0</v>
      </c>
      <c r="K700" t="n">
        <v>0</v>
      </c>
      <c r="L700" t="n">
        <v>0</v>
      </c>
      <c r="M700" t="n">
        <v>0</v>
      </c>
      <c r="N700" t="n">
        <v>0</v>
      </c>
      <c r="O700" t="n">
        <v>0</v>
      </c>
      <c r="P700" t="n">
        <v>0</v>
      </c>
      <c r="Q700" t="n">
        <v>0</v>
      </c>
      <c r="R700" s="2" t="inlineStr"/>
    </row>
    <row r="701" ht="15" customHeight="1">
      <c r="A701" t="inlineStr">
        <is>
          <t>A 25541-2024</t>
        </is>
      </c>
      <c r="B701" s="1" t="n">
        <v>45463.56337962963</v>
      </c>
      <c r="C701" s="1" t="n">
        <v>46050</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5728-2022</t>
        </is>
      </c>
      <c r="B702" s="1" t="n">
        <v>44596.42082175926</v>
      </c>
      <c r="C702" s="1" t="n">
        <v>46050</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10250-2025</t>
        </is>
      </c>
      <c r="B703" s="1" t="n">
        <v>45720.36165509259</v>
      </c>
      <c r="C703" s="1" t="n">
        <v>46050</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49512-2024</t>
        </is>
      </c>
      <c r="B704" s="1" t="n">
        <v>45591</v>
      </c>
      <c r="C704" s="1" t="n">
        <v>46050</v>
      </c>
      <c r="D704" t="inlineStr">
        <is>
          <t>VÄSTMANLANDS LÄN</t>
        </is>
      </c>
      <c r="E704" t="inlineStr">
        <is>
          <t>SALA</t>
        </is>
      </c>
      <c r="G704" t="n">
        <v>8.1</v>
      </c>
      <c r="H704" t="n">
        <v>0</v>
      </c>
      <c r="I704" t="n">
        <v>0</v>
      </c>
      <c r="J704" t="n">
        <v>0</v>
      </c>
      <c r="K704" t="n">
        <v>0</v>
      </c>
      <c r="L704" t="n">
        <v>0</v>
      </c>
      <c r="M704" t="n">
        <v>0</v>
      </c>
      <c r="N704" t="n">
        <v>0</v>
      </c>
      <c r="O704" t="n">
        <v>0</v>
      </c>
      <c r="P704" t="n">
        <v>0</v>
      </c>
      <c r="Q704" t="n">
        <v>0</v>
      </c>
      <c r="R704" s="2" t="inlineStr"/>
    </row>
    <row r="705" ht="15" customHeight="1">
      <c r="A705" t="inlineStr">
        <is>
          <t>A 42416-2022</t>
        </is>
      </c>
      <c r="B705" s="1" t="n">
        <v>44831</v>
      </c>
      <c r="C705" s="1" t="n">
        <v>46050</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6135-2023</t>
        </is>
      </c>
      <c r="B706" s="1" t="n">
        <v>44964.62628472222</v>
      </c>
      <c r="C706" s="1" t="n">
        <v>46050</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16693-2023</t>
        </is>
      </c>
      <c r="B707" s="1" t="n">
        <v>45028</v>
      </c>
      <c r="C707" s="1" t="n">
        <v>46050</v>
      </c>
      <c r="D707" t="inlineStr">
        <is>
          <t>VÄSTMANLANDS LÄN</t>
        </is>
      </c>
      <c r="E707" t="inlineStr">
        <is>
          <t>SALA</t>
        </is>
      </c>
      <c r="G707" t="n">
        <v>1.5</v>
      </c>
      <c r="H707" t="n">
        <v>0</v>
      </c>
      <c r="I707" t="n">
        <v>0</v>
      </c>
      <c r="J707" t="n">
        <v>0</v>
      </c>
      <c r="K707" t="n">
        <v>0</v>
      </c>
      <c r="L707" t="n">
        <v>0</v>
      </c>
      <c r="M707" t="n">
        <v>0</v>
      </c>
      <c r="N707" t="n">
        <v>0</v>
      </c>
      <c r="O707" t="n">
        <v>0</v>
      </c>
      <c r="P707" t="n">
        <v>0</v>
      </c>
      <c r="Q707" t="n">
        <v>0</v>
      </c>
      <c r="R707" s="2" t="inlineStr"/>
    </row>
    <row r="708" ht="15" customHeight="1">
      <c r="A708" t="inlineStr">
        <is>
          <t>A 8285-2025</t>
        </is>
      </c>
      <c r="B708" s="1" t="n">
        <v>45708</v>
      </c>
      <c r="C708" s="1" t="n">
        <v>46050</v>
      </c>
      <c r="D708" t="inlineStr">
        <is>
          <t>VÄSTMANLANDS LÄN</t>
        </is>
      </c>
      <c r="E708" t="inlineStr">
        <is>
          <t>SALA</t>
        </is>
      </c>
      <c r="G708" t="n">
        <v>5.7</v>
      </c>
      <c r="H708" t="n">
        <v>0</v>
      </c>
      <c r="I708" t="n">
        <v>0</v>
      </c>
      <c r="J708" t="n">
        <v>0</v>
      </c>
      <c r="K708" t="n">
        <v>0</v>
      </c>
      <c r="L708" t="n">
        <v>0</v>
      </c>
      <c r="M708" t="n">
        <v>0</v>
      </c>
      <c r="N708" t="n">
        <v>0</v>
      </c>
      <c r="O708" t="n">
        <v>0</v>
      </c>
      <c r="P708" t="n">
        <v>0</v>
      </c>
      <c r="Q708" t="n">
        <v>0</v>
      </c>
      <c r="R708" s="2" t="inlineStr"/>
    </row>
    <row r="709" ht="15" customHeight="1">
      <c r="A709" t="inlineStr">
        <is>
          <t>A 15584-2021</t>
        </is>
      </c>
      <c r="B709" s="1" t="n">
        <v>44285</v>
      </c>
      <c r="C709" s="1" t="n">
        <v>46050</v>
      </c>
      <c r="D709" t="inlineStr">
        <is>
          <t>VÄSTMANLANDS LÄN</t>
        </is>
      </c>
      <c r="E709" t="inlineStr">
        <is>
          <t>SALA</t>
        </is>
      </c>
      <c r="G709" t="n">
        <v>3.4</v>
      </c>
      <c r="H709" t="n">
        <v>0</v>
      </c>
      <c r="I709" t="n">
        <v>0</v>
      </c>
      <c r="J709" t="n">
        <v>0</v>
      </c>
      <c r="K709" t="n">
        <v>0</v>
      </c>
      <c r="L709" t="n">
        <v>0</v>
      </c>
      <c r="M709" t="n">
        <v>0</v>
      </c>
      <c r="N709" t="n">
        <v>0</v>
      </c>
      <c r="O709" t="n">
        <v>0</v>
      </c>
      <c r="P709" t="n">
        <v>0</v>
      </c>
      <c r="Q709" t="n">
        <v>0</v>
      </c>
      <c r="R709" s="2" t="inlineStr"/>
    </row>
    <row r="710" ht="15" customHeight="1">
      <c r="A710" t="inlineStr">
        <is>
          <t>A 18340-2025</t>
        </is>
      </c>
      <c r="B710" s="1" t="n">
        <v>45762</v>
      </c>
      <c r="C710" s="1" t="n">
        <v>46050</v>
      </c>
      <c r="D710" t="inlineStr">
        <is>
          <t>VÄSTMANLANDS LÄN</t>
        </is>
      </c>
      <c r="E710" t="inlineStr">
        <is>
          <t>SALA</t>
        </is>
      </c>
      <c r="G710" t="n">
        <v>2.1</v>
      </c>
      <c r="H710" t="n">
        <v>0</v>
      </c>
      <c r="I710" t="n">
        <v>0</v>
      </c>
      <c r="J710" t="n">
        <v>0</v>
      </c>
      <c r="K710" t="n">
        <v>0</v>
      </c>
      <c r="L710" t="n">
        <v>0</v>
      </c>
      <c r="M710" t="n">
        <v>0</v>
      </c>
      <c r="N710" t="n">
        <v>0</v>
      </c>
      <c r="O710" t="n">
        <v>0</v>
      </c>
      <c r="P710" t="n">
        <v>0</v>
      </c>
      <c r="Q710" t="n">
        <v>0</v>
      </c>
      <c r="R710" s="2" t="inlineStr"/>
    </row>
    <row r="711" ht="15" customHeight="1">
      <c r="A711" t="inlineStr">
        <is>
          <t>A 56706-2022</t>
        </is>
      </c>
      <c r="B711" s="1" t="n">
        <v>44893.78893518518</v>
      </c>
      <c r="C711" s="1" t="n">
        <v>46050</v>
      </c>
      <c r="D711" t="inlineStr">
        <is>
          <t>VÄSTMANLANDS LÄN</t>
        </is>
      </c>
      <c r="E711" t="inlineStr">
        <is>
          <t>SALA</t>
        </is>
      </c>
      <c r="G711" t="n">
        <v>4.5</v>
      </c>
      <c r="H711" t="n">
        <v>0</v>
      </c>
      <c r="I711" t="n">
        <v>0</v>
      </c>
      <c r="J711" t="n">
        <v>0</v>
      </c>
      <c r="K711" t="n">
        <v>0</v>
      </c>
      <c r="L711" t="n">
        <v>0</v>
      </c>
      <c r="M711" t="n">
        <v>0</v>
      </c>
      <c r="N711" t="n">
        <v>0</v>
      </c>
      <c r="O711" t="n">
        <v>0</v>
      </c>
      <c r="P711" t="n">
        <v>0</v>
      </c>
      <c r="Q711" t="n">
        <v>0</v>
      </c>
      <c r="R711" s="2" t="inlineStr"/>
    </row>
    <row r="712" ht="15" customHeight="1">
      <c r="A712" t="inlineStr">
        <is>
          <t>A 56707-2022</t>
        </is>
      </c>
      <c r="B712" s="1" t="n">
        <v>44893.79412037037</v>
      </c>
      <c r="C712" s="1" t="n">
        <v>46050</v>
      </c>
      <c r="D712" t="inlineStr">
        <is>
          <t>VÄSTMANLANDS LÄN</t>
        </is>
      </c>
      <c r="E712" t="inlineStr">
        <is>
          <t>SALA</t>
        </is>
      </c>
      <c r="G712" t="n">
        <v>1</v>
      </c>
      <c r="H712" t="n">
        <v>0</v>
      </c>
      <c r="I712" t="n">
        <v>0</v>
      </c>
      <c r="J712" t="n">
        <v>0</v>
      </c>
      <c r="K712" t="n">
        <v>0</v>
      </c>
      <c r="L712" t="n">
        <v>0</v>
      </c>
      <c r="M712" t="n">
        <v>0</v>
      </c>
      <c r="N712" t="n">
        <v>0</v>
      </c>
      <c r="O712" t="n">
        <v>0</v>
      </c>
      <c r="P712" t="n">
        <v>0</v>
      </c>
      <c r="Q712" t="n">
        <v>0</v>
      </c>
      <c r="R712" s="2" t="inlineStr"/>
    </row>
    <row r="713" ht="15" customHeight="1">
      <c r="A713" t="inlineStr">
        <is>
          <t>A 48571-2024</t>
        </is>
      </c>
      <c r="B713" s="1" t="n">
        <v>45591</v>
      </c>
      <c r="C713" s="1" t="n">
        <v>46050</v>
      </c>
      <c r="D713" t="inlineStr">
        <is>
          <t>VÄSTMANLANDS LÄN</t>
        </is>
      </c>
      <c r="E713" t="inlineStr">
        <is>
          <t>SALA</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13188-2025</t>
        </is>
      </c>
      <c r="B714" s="1" t="n">
        <v>45735.39246527778</v>
      </c>
      <c r="C714" s="1" t="n">
        <v>46050</v>
      </c>
      <c r="D714" t="inlineStr">
        <is>
          <t>VÄSTMANLANDS LÄN</t>
        </is>
      </c>
      <c r="E714" t="inlineStr">
        <is>
          <t>SALA</t>
        </is>
      </c>
      <c r="F714" t="inlineStr">
        <is>
          <t>Naturvårdsverket</t>
        </is>
      </c>
      <c r="G714" t="n">
        <v>18.4</v>
      </c>
      <c r="H714" t="n">
        <v>0</v>
      </c>
      <c r="I714" t="n">
        <v>0</v>
      </c>
      <c r="J714" t="n">
        <v>0</v>
      </c>
      <c r="K714" t="n">
        <v>0</v>
      </c>
      <c r="L714" t="n">
        <v>0</v>
      </c>
      <c r="M714" t="n">
        <v>0</v>
      </c>
      <c r="N714" t="n">
        <v>0</v>
      </c>
      <c r="O714" t="n">
        <v>0</v>
      </c>
      <c r="P714" t="n">
        <v>0</v>
      </c>
      <c r="Q714" t="n">
        <v>0</v>
      </c>
      <c r="R714" s="2" t="inlineStr"/>
    </row>
    <row r="715" ht="15" customHeight="1">
      <c r="A715" t="inlineStr">
        <is>
          <t>A 23431-2024</t>
        </is>
      </c>
      <c r="B715" s="1" t="n">
        <v>45453</v>
      </c>
      <c r="C715" s="1" t="n">
        <v>46050</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21168-2025</t>
        </is>
      </c>
      <c r="B716" s="1" t="n">
        <v>45777</v>
      </c>
      <c r="C716" s="1" t="n">
        <v>46050</v>
      </c>
      <c r="D716" t="inlineStr">
        <is>
          <t>VÄSTMANLANDS LÄN</t>
        </is>
      </c>
      <c r="E716" t="inlineStr">
        <is>
          <t>SALA</t>
        </is>
      </c>
      <c r="G716" t="n">
        <v>4.5</v>
      </c>
      <c r="H716" t="n">
        <v>0</v>
      </c>
      <c r="I716" t="n">
        <v>0</v>
      </c>
      <c r="J716" t="n">
        <v>0</v>
      </c>
      <c r="K716" t="n">
        <v>0</v>
      </c>
      <c r="L716" t="n">
        <v>0</v>
      </c>
      <c r="M716" t="n">
        <v>0</v>
      </c>
      <c r="N716" t="n">
        <v>0</v>
      </c>
      <c r="O716" t="n">
        <v>0</v>
      </c>
      <c r="P716" t="n">
        <v>0</v>
      </c>
      <c r="Q716" t="n">
        <v>0</v>
      </c>
      <c r="R716" s="2" t="inlineStr"/>
    </row>
    <row r="717" ht="15" customHeight="1">
      <c r="A717" t="inlineStr">
        <is>
          <t>A 21754-2025</t>
        </is>
      </c>
      <c r="B717" s="1" t="n">
        <v>45783.61837962963</v>
      </c>
      <c r="C717" s="1" t="n">
        <v>46050</v>
      </c>
      <c r="D717" t="inlineStr">
        <is>
          <t>VÄSTMANLANDS LÄN</t>
        </is>
      </c>
      <c r="E717" t="inlineStr">
        <is>
          <t>SALA</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21751-2025</t>
        </is>
      </c>
      <c r="B718" s="1" t="n">
        <v>45783.61372685185</v>
      </c>
      <c r="C718" s="1" t="n">
        <v>46050</v>
      </c>
      <c r="D718" t="inlineStr">
        <is>
          <t>VÄSTMANLANDS LÄN</t>
        </is>
      </c>
      <c r="E718" t="inlineStr">
        <is>
          <t>SALA</t>
        </is>
      </c>
      <c r="G718" t="n">
        <v>1</v>
      </c>
      <c r="H718" t="n">
        <v>0</v>
      </c>
      <c r="I718" t="n">
        <v>0</v>
      </c>
      <c r="J718" t="n">
        <v>0</v>
      </c>
      <c r="K718" t="n">
        <v>0</v>
      </c>
      <c r="L718" t="n">
        <v>0</v>
      </c>
      <c r="M718" t="n">
        <v>0</v>
      </c>
      <c r="N718" t="n">
        <v>0</v>
      </c>
      <c r="O718" t="n">
        <v>0</v>
      </c>
      <c r="P718" t="n">
        <v>0</v>
      </c>
      <c r="Q718" t="n">
        <v>0</v>
      </c>
      <c r="R718" s="2" t="inlineStr"/>
    </row>
    <row r="719" ht="15" customHeight="1">
      <c r="A719" t="inlineStr">
        <is>
          <t>A 37587-2024</t>
        </is>
      </c>
      <c r="B719" s="1" t="n">
        <v>45541</v>
      </c>
      <c r="C719" s="1" t="n">
        <v>46050</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64724-2023</t>
        </is>
      </c>
      <c r="B720" s="1" t="n">
        <v>45281.7602662037</v>
      </c>
      <c r="C720" s="1" t="n">
        <v>46050</v>
      </c>
      <c r="D720" t="inlineStr">
        <is>
          <t>VÄSTMANLANDS LÄN</t>
        </is>
      </c>
      <c r="E720" t="inlineStr">
        <is>
          <t>SALA</t>
        </is>
      </c>
      <c r="G720" t="n">
        <v>2.3</v>
      </c>
      <c r="H720" t="n">
        <v>0</v>
      </c>
      <c r="I720" t="n">
        <v>0</v>
      </c>
      <c r="J720" t="n">
        <v>0</v>
      </c>
      <c r="K720" t="n">
        <v>0</v>
      </c>
      <c r="L720" t="n">
        <v>0</v>
      </c>
      <c r="M720" t="n">
        <v>0</v>
      </c>
      <c r="N720" t="n">
        <v>0</v>
      </c>
      <c r="O720" t="n">
        <v>0</v>
      </c>
      <c r="P720" t="n">
        <v>0</v>
      </c>
      <c r="Q720" t="n">
        <v>0</v>
      </c>
      <c r="R720" s="2" t="inlineStr"/>
    </row>
    <row r="721" ht="15" customHeight="1">
      <c r="A721" t="inlineStr">
        <is>
          <t>A 7176-2023</t>
        </is>
      </c>
      <c r="B721" s="1" t="n">
        <v>44970</v>
      </c>
      <c r="C721" s="1" t="n">
        <v>46050</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43600-2024</t>
        </is>
      </c>
      <c r="B722" s="1" t="n">
        <v>45569</v>
      </c>
      <c r="C722" s="1" t="n">
        <v>46050</v>
      </c>
      <c r="D722" t="inlineStr">
        <is>
          <t>VÄSTMANLANDS LÄN</t>
        </is>
      </c>
      <c r="E722" t="inlineStr">
        <is>
          <t>SALA</t>
        </is>
      </c>
      <c r="G722" t="n">
        <v>0.9</v>
      </c>
      <c r="H722" t="n">
        <v>0</v>
      </c>
      <c r="I722" t="n">
        <v>0</v>
      </c>
      <c r="J722" t="n">
        <v>0</v>
      </c>
      <c r="K722" t="n">
        <v>0</v>
      </c>
      <c r="L722" t="n">
        <v>0</v>
      </c>
      <c r="M722" t="n">
        <v>0</v>
      </c>
      <c r="N722" t="n">
        <v>0</v>
      </c>
      <c r="O722" t="n">
        <v>0</v>
      </c>
      <c r="P722" t="n">
        <v>0</v>
      </c>
      <c r="Q722" t="n">
        <v>0</v>
      </c>
      <c r="R722" s="2" t="inlineStr"/>
    </row>
    <row r="723" ht="15" customHeight="1">
      <c r="A723" t="inlineStr">
        <is>
          <t>A 31405-2024</t>
        </is>
      </c>
      <c r="B723" s="1" t="n">
        <v>45505.5490625</v>
      </c>
      <c r="C723" s="1" t="n">
        <v>46050</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22616-2025</t>
        </is>
      </c>
      <c r="B724" s="1" t="n">
        <v>45789.42752314815</v>
      </c>
      <c r="C724" s="1" t="n">
        <v>46050</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22353-2025</t>
        </is>
      </c>
      <c r="B725" s="1" t="n">
        <v>45786</v>
      </c>
      <c r="C725" s="1" t="n">
        <v>46050</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22383-2025</t>
        </is>
      </c>
      <c r="B726" s="1" t="n">
        <v>45786</v>
      </c>
      <c r="C726" s="1" t="n">
        <v>46050</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22624-2025</t>
        </is>
      </c>
      <c r="B727" s="1" t="n">
        <v>45789.43327546296</v>
      </c>
      <c r="C727" s="1" t="n">
        <v>46050</v>
      </c>
      <c r="D727" t="inlineStr">
        <is>
          <t>VÄSTMANLANDS LÄN</t>
        </is>
      </c>
      <c r="E727" t="inlineStr">
        <is>
          <t>SALA</t>
        </is>
      </c>
      <c r="G727" t="n">
        <v>1.5</v>
      </c>
      <c r="H727" t="n">
        <v>0</v>
      </c>
      <c r="I727" t="n">
        <v>0</v>
      </c>
      <c r="J727" t="n">
        <v>0</v>
      </c>
      <c r="K727" t="n">
        <v>0</v>
      </c>
      <c r="L727" t="n">
        <v>0</v>
      </c>
      <c r="M727" t="n">
        <v>0</v>
      </c>
      <c r="N727" t="n">
        <v>0</v>
      </c>
      <c r="O727" t="n">
        <v>0</v>
      </c>
      <c r="P727" t="n">
        <v>0</v>
      </c>
      <c r="Q727" t="n">
        <v>0</v>
      </c>
      <c r="R727" s="2" t="inlineStr"/>
    </row>
    <row r="728" ht="15" customHeight="1">
      <c r="A728" t="inlineStr">
        <is>
          <t>A 22370-2025</t>
        </is>
      </c>
      <c r="B728" s="1" t="n">
        <v>45786</v>
      </c>
      <c r="C728" s="1" t="n">
        <v>46050</v>
      </c>
      <c r="D728" t="inlineStr">
        <is>
          <t>VÄSTMANLANDS LÄN</t>
        </is>
      </c>
      <c r="E728" t="inlineStr">
        <is>
          <t>SALA</t>
        </is>
      </c>
      <c r="G728" t="n">
        <v>3.2</v>
      </c>
      <c r="H728" t="n">
        <v>0</v>
      </c>
      <c r="I728" t="n">
        <v>0</v>
      </c>
      <c r="J728" t="n">
        <v>0</v>
      </c>
      <c r="K728" t="n">
        <v>0</v>
      </c>
      <c r="L728" t="n">
        <v>0</v>
      </c>
      <c r="M728" t="n">
        <v>0</v>
      </c>
      <c r="N728" t="n">
        <v>0</v>
      </c>
      <c r="O728" t="n">
        <v>0</v>
      </c>
      <c r="P728" t="n">
        <v>0</v>
      </c>
      <c r="Q728" t="n">
        <v>0</v>
      </c>
      <c r="R728" s="2" t="inlineStr"/>
    </row>
    <row r="729" ht="15" customHeight="1">
      <c r="A729" t="inlineStr">
        <is>
          <t>A 13130-2025</t>
        </is>
      </c>
      <c r="B729" s="1" t="n">
        <v>45734</v>
      </c>
      <c r="C729" s="1" t="n">
        <v>46050</v>
      </c>
      <c r="D729" t="inlineStr">
        <is>
          <t>VÄSTMANLANDS LÄN</t>
        </is>
      </c>
      <c r="E729" t="inlineStr">
        <is>
          <t>SALA</t>
        </is>
      </c>
      <c r="G729" t="n">
        <v>1.5</v>
      </c>
      <c r="H729" t="n">
        <v>0</v>
      </c>
      <c r="I729" t="n">
        <v>0</v>
      </c>
      <c r="J729" t="n">
        <v>0</v>
      </c>
      <c r="K729" t="n">
        <v>0</v>
      </c>
      <c r="L729" t="n">
        <v>0</v>
      </c>
      <c r="M729" t="n">
        <v>0</v>
      </c>
      <c r="N729" t="n">
        <v>0</v>
      </c>
      <c r="O729" t="n">
        <v>0</v>
      </c>
      <c r="P729" t="n">
        <v>0</v>
      </c>
      <c r="Q729" t="n">
        <v>0</v>
      </c>
      <c r="R729" s="2" t="inlineStr"/>
    </row>
    <row r="730" ht="15" customHeight="1">
      <c r="A730" t="inlineStr">
        <is>
          <t>A 23804-2025</t>
        </is>
      </c>
      <c r="B730" s="1" t="n">
        <v>45793.55995370371</v>
      </c>
      <c r="C730" s="1" t="n">
        <v>46050</v>
      </c>
      <c r="D730" t="inlineStr">
        <is>
          <t>VÄSTMANLANDS LÄN</t>
        </is>
      </c>
      <c r="E730" t="inlineStr">
        <is>
          <t>SALA</t>
        </is>
      </c>
      <c r="G730" t="n">
        <v>1.9</v>
      </c>
      <c r="H730" t="n">
        <v>0</v>
      </c>
      <c r="I730" t="n">
        <v>0</v>
      </c>
      <c r="J730" t="n">
        <v>0</v>
      </c>
      <c r="K730" t="n">
        <v>0</v>
      </c>
      <c r="L730" t="n">
        <v>0</v>
      </c>
      <c r="M730" t="n">
        <v>0</v>
      </c>
      <c r="N730" t="n">
        <v>0</v>
      </c>
      <c r="O730" t="n">
        <v>0</v>
      </c>
      <c r="P730" t="n">
        <v>0</v>
      </c>
      <c r="Q730" t="n">
        <v>0</v>
      </c>
      <c r="R730" s="2" t="inlineStr"/>
    </row>
    <row r="731" ht="15" customHeight="1">
      <c r="A731" t="inlineStr">
        <is>
          <t>A 22126-2025</t>
        </is>
      </c>
      <c r="B731" s="1" t="n">
        <v>45785</v>
      </c>
      <c r="C731" s="1" t="n">
        <v>46050</v>
      </c>
      <c r="D731" t="inlineStr">
        <is>
          <t>VÄSTMANLANDS LÄN</t>
        </is>
      </c>
      <c r="E731" t="inlineStr">
        <is>
          <t>SALA</t>
        </is>
      </c>
      <c r="G731" t="n">
        <v>10.6</v>
      </c>
      <c r="H731" t="n">
        <v>0</v>
      </c>
      <c r="I731" t="n">
        <v>0</v>
      </c>
      <c r="J731" t="n">
        <v>0</v>
      </c>
      <c r="K731" t="n">
        <v>0</v>
      </c>
      <c r="L731" t="n">
        <v>0</v>
      </c>
      <c r="M731" t="n">
        <v>0</v>
      </c>
      <c r="N731" t="n">
        <v>0</v>
      </c>
      <c r="O731" t="n">
        <v>0</v>
      </c>
      <c r="P731" t="n">
        <v>0</v>
      </c>
      <c r="Q731" t="n">
        <v>0</v>
      </c>
      <c r="R731" s="2" t="inlineStr"/>
    </row>
    <row r="732" ht="15" customHeight="1">
      <c r="A732" t="inlineStr">
        <is>
          <t>A 19297-2025</t>
        </is>
      </c>
      <c r="B732" s="1" t="n">
        <v>45769.56261574074</v>
      </c>
      <c r="C732" s="1" t="n">
        <v>46050</v>
      </c>
      <c r="D732" t="inlineStr">
        <is>
          <t>VÄSTMANLANDS LÄN</t>
        </is>
      </c>
      <c r="E732" t="inlineStr">
        <is>
          <t>SALA</t>
        </is>
      </c>
      <c r="G732" t="n">
        <v>0.8</v>
      </c>
      <c r="H732" t="n">
        <v>0</v>
      </c>
      <c r="I732" t="n">
        <v>0</v>
      </c>
      <c r="J732" t="n">
        <v>0</v>
      </c>
      <c r="K732" t="n">
        <v>0</v>
      </c>
      <c r="L732" t="n">
        <v>0</v>
      </c>
      <c r="M732" t="n">
        <v>0</v>
      </c>
      <c r="N732" t="n">
        <v>0</v>
      </c>
      <c r="O732" t="n">
        <v>0</v>
      </c>
      <c r="P732" t="n">
        <v>0</v>
      </c>
      <c r="Q732" t="n">
        <v>0</v>
      </c>
      <c r="R732" s="2" t="inlineStr"/>
    </row>
    <row r="733" ht="15" customHeight="1">
      <c r="A733" t="inlineStr">
        <is>
          <t>A 23810-2025</t>
        </is>
      </c>
      <c r="B733" s="1" t="n">
        <v>45793.56989583333</v>
      </c>
      <c r="C733" s="1" t="n">
        <v>46050</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24169-2025</t>
        </is>
      </c>
      <c r="B734" s="1" t="n">
        <v>45796</v>
      </c>
      <c r="C734" s="1" t="n">
        <v>46050</v>
      </c>
      <c r="D734" t="inlineStr">
        <is>
          <t>VÄSTMANLANDS LÄN</t>
        </is>
      </c>
      <c r="E734" t="inlineStr">
        <is>
          <t>SALA</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11210-2025</t>
        </is>
      </c>
      <c r="B735" s="1" t="n">
        <v>45726</v>
      </c>
      <c r="C735" s="1" t="n">
        <v>46050</v>
      </c>
      <c r="D735" t="inlineStr">
        <is>
          <t>VÄSTMANLANDS LÄN</t>
        </is>
      </c>
      <c r="E735" t="inlineStr">
        <is>
          <t>SALA</t>
        </is>
      </c>
      <c r="G735" t="n">
        <v>4.1</v>
      </c>
      <c r="H735" t="n">
        <v>0</v>
      </c>
      <c r="I735" t="n">
        <v>0</v>
      </c>
      <c r="J735" t="n">
        <v>0</v>
      </c>
      <c r="K735" t="n">
        <v>0</v>
      </c>
      <c r="L735" t="n">
        <v>0</v>
      </c>
      <c r="M735" t="n">
        <v>0</v>
      </c>
      <c r="N735" t="n">
        <v>0</v>
      </c>
      <c r="O735" t="n">
        <v>0</v>
      </c>
      <c r="P735" t="n">
        <v>0</v>
      </c>
      <c r="Q735" t="n">
        <v>0</v>
      </c>
      <c r="R735" s="2" t="inlineStr"/>
    </row>
    <row r="736">
      <c r="A736" t="inlineStr">
        <is>
          <t>A 24944-2023</t>
        </is>
      </c>
      <c r="B736" s="1" t="n">
        <v>45085</v>
      </c>
      <c r="C736" s="1" t="n">
        <v>46050</v>
      </c>
      <c r="D736" t="inlineStr">
        <is>
          <t>VÄSTMANLANDS LÄN</t>
        </is>
      </c>
      <c r="E736" t="inlineStr">
        <is>
          <t>SALA</t>
        </is>
      </c>
      <c r="G736" t="n">
        <v>3.8</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2026-01-28T11:01:18Z</dcterms:created>
  <dcterms:modified xmlns:dcterms="http://purl.org/dc/terms/" xmlns:xsi="http://www.w3.org/2001/XMLSchema-instance" xsi:type="dcterms:W3CDTF">2026-01-28T11:01:19Z</dcterms:modified>
</cp:coreProperties>
</file>