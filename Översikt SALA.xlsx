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45985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45985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45985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45985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45985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45985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45985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45985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45985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53627-2025</t>
        </is>
      </c>
      <c r="B11" s="1" t="n">
        <v>45960.49180555555</v>
      </c>
      <c r="C11" s="1" t="n">
        <v>45985</v>
      </c>
      <c r="D11" t="inlineStr">
        <is>
          <t>VÄSTMANLANDS LÄN</t>
        </is>
      </c>
      <c r="E11" t="inlineStr">
        <is>
          <t>SALA</t>
        </is>
      </c>
      <c r="G11" t="n">
        <v>10.5</v>
      </c>
      <c r="H11" t="n">
        <v>3</v>
      </c>
      <c r="I11" t="n">
        <v>0</v>
      </c>
      <c r="J11" t="n">
        <v>1</v>
      </c>
      <c r="K11" t="n">
        <v>1</v>
      </c>
      <c r="L11" t="n">
        <v>0</v>
      </c>
      <c r="M11" t="n">
        <v>0</v>
      </c>
      <c r="N11" t="n">
        <v>0</v>
      </c>
      <c r="O11" t="n">
        <v>2</v>
      </c>
      <c r="P11" t="n">
        <v>1</v>
      </c>
      <c r="Q11" t="n">
        <v>4</v>
      </c>
      <c r="R11" s="2" t="inlineStr">
        <is>
          <t>Knärot
Brunklöver
Mattlummer
Revlummer</t>
        </is>
      </c>
      <c r="S11">
        <f>HYPERLINK("https://klasma.github.io/Logging_1981/artfynd/A 53627-2025 artfynd.xlsx", "A 53627-2025")</f>
        <v/>
      </c>
      <c r="T11">
        <f>HYPERLINK("https://klasma.github.io/Logging_1981/kartor/A 53627-2025 karta.png", "A 53627-2025")</f>
        <v/>
      </c>
      <c r="U11">
        <f>HYPERLINK("https://klasma.github.io/Logging_1981/knärot/A 53627-2025 karta knärot.png", "A 53627-2025")</f>
        <v/>
      </c>
      <c r="V11">
        <f>HYPERLINK("https://klasma.github.io/Logging_1981/klagomål/A 53627-2025 FSC-klagomål.docx", "A 53627-2025")</f>
        <v/>
      </c>
      <c r="W11">
        <f>HYPERLINK("https://klasma.github.io/Logging_1981/klagomålsmail/A 53627-2025 FSC-klagomål mail.docx", "A 53627-2025")</f>
        <v/>
      </c>
      <c r="X11">
        <f>HYPERLINK("https://klasma.github.io/Logging_1981/tillsyn/A 53627-2025 tillsynsbegäran.docx", "A 53627-2025")</f>
        <v/>
      </c>
      <c r="Y11">
        <f>HYPERLINK("https://klasma.github.io/Logging_1981/tillsynsmail/A 53627-2025 tillsynsbegäran mail.docx", "A 53627-2025")</f>
        <v/>
      </c>
    </row>
    <row r="12" ht="15" customHeight="1">
      <c r="A12" t="inlineStr">
        <is>
          <t>A 10344-2025</t>
        </is>
      </c>
      <c r="B12" s="1" t="n">
        <v>45720</v>
      </c>
      <c r="C12" s="1" t="n">
        <v>45985</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45985</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45985</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45985</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45985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45985</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45985</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45985</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45985</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45985</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45985</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45985</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45985</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45985</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45985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45985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45985</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45985</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45985</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53048-2025</t>
        </is>
      </c>
      <c r="B31" s="1" t="n">
        <v>45958.36018518519</v>
      </c>
      <c r="C31" s="1" t="n">
        <v>45985</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13029-2023</t>
        </is>
      </c>
      <c r="B32" s="1" t="n">
        <v>45001</v>
      </c>
      <c r="C32" s="1" t="n">
        <v>45985</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1500-2022</t>
        </is>
      </c>
      <c r="B33" s="1" t="n">
        <v>44573.54357638889</v>
      </c>
      <c r="C33" s="1" t="n">
        <v>45985</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15102-2025</t>
        </is>
      </c>
      <c r="B34" s="1" t="n">
        <v>45744.34585648148</v>
      </c>
      <c r="C34" s="1" t="n">
        <v>45985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45985</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45985</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13973-2021</t>
        </is>
      </c>
      <c r="B37" s="1" t="n">
        <v>44277</v>
      </c>
      <c r="C37" s="1" t="n">
        <v>45985</v>
      </c>
      <c r="D37" t="inlineStr">
        <is>
          <t>VÄSTMANLANDS LÄN</t>
        </is>
      </c>
      <c r="E37" t="inlineStr">
        <is>
          <t>SALA</t>
        </is>
      </c>
      <c r="G37" t="n">
        <v>2</v>
      </c>
      <c r="H37" t="n">
        <v>1</v>
      </c>
      <c r="I37" t="n">
        <v>0</v>
      </c>
      <c r="J37" t="n">
        <v>0</v>
      </c>
      <c r="K37" t="n">
        <v>0</v>
      </c>
      <c r="L37" t="n">
        <v>0</v>
      </c>
      <c r="M37" t="n">
        <v>0</v>
      </c>
      <c r="N37" t="n">
        <v>0</v>
      </c>
      <c r="O37" t="n">
        <v>0</v>
      </c>
      <c r="P37" t="n">
        <v>0</v>
      </c>
      <c r="Q37" t="n">
        <v>1</v>
      </c>
      <c r="R37" s="2" t="inlineStr">
        <is>
          <t>Blåsippa</t>
        </is>
      </c>
      <c r="S37">
        <f>HYPERLINK("https://klasma.github.io/Logging_1981/artfynd/A 13973-2021 artfynd.xlsx", "A 13973-2021")</f>
        <v/>
      </c>
      <c r="T37">
        <f>HYPERLINK("https://klasma.github.io/Logging_1981/kartor/A 13973-2021 karta.png", "A 13973-2021")</f>
        <v/>
      </c>
      <c r="V37">
        <f>HYPERLINK("https://klasma.github.io/Logging_1981/klagomål/A 13973-2021 FSC-klagomål.docx", "A 13973-2021")</f>
        <v/>
      </c>
      <c r="W37">
        <f>HYPERLINK("https://klasma.github.io/Logging_1981/klagomålsmail/A 13973-2021 FSC-klagomål mail.docx", "A 13973-2021")</f>
        <v/>
      </c>
      <c r="X37">
        <f>HYPERLINK("https://klasma.github.io/Logging_1981/tillsyn/A 13973-2021 tillsynsbegäran.docx", "A 13973-2021")</f>
        <v/>
      </c>
      <c r="Y37">
        <f>HYPERLINK("https://klasma.github.io/Logging_1981/tillsynsmail/A 13973-2021 tillsynsbegäran mail.docx", "A 13973-2021")</f>
        <v/>
      </c>
    </row>
    <row r="38" ht="15" customHeight="1">
      <c r="A38" t="inlineStr">
        <is>
          <t>A 69362-2020</t>
        </is>
      </c>
      <c r="B38" s="1" t="n">
        <v>44193</v>
      </c>
      <c r="C38" s="1" t="n">
        <v>45985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38255-2025</t>
        </is>
      </c>
      <c r="B39" s="1" t="n">
        <v>45883.38020833334</v>
      </c>
      <c r="C39" s="1" t="n">
        <v>45985</v>
      </c>
      <c r="D39" t="inlineStr">
        <is>
          <t>VÄSTMANLANDS LÄN</t>
        </is>
      </c>
      <c r="E39" t="inlineStr">
        <is>
          <t>SALA</t>
        </is>
      </c>
      <c r="G39" t="n">
        <v>0.9</v>
      </c>
      <c r="H39" t="n">
        <v>1</v>
      </c>
      <c r="I39" t="n">
        <v>0</v>
      </c>
      <c r="J39" t="n">
        <v>0</v>
      </c>
      <c r="K39" t="n">
        <v>1</v>
      </c>
      <c r="L39" t="n">
        <v>0</v>
      </c>
      <c r="M39" t="n">
        <v>0</v>
      </c>
      <c r="N39" t="n">
        <v>0</v>
      </c>
      <c r="O39" t="n">
        <v>1</v>
      </c>
      <c r="P39" t="n">
        <v>1</v>
      </c>
      <c r="Q39" t="n">
        <v>1</v>
      </c>
      <c r="R39" s="2" t="inlineStr">
        <is>
          <t>Knärot</t>
        </is>
      </c>
      <c r="S39">
        <f>HYPERLINK("https://klasma.github.io/Logging_1981/artfynd/A 38255-2025 artfynd.xlsx", "A 38255-2025")</f>
        <v/>
      </c>
      <c r="T39">
        <f>HYPERLINK("https://klasma.github.io/Logging_1981/kartor/A 38255-2025 karta.png", "A 38255-2025")</f>
        <v/>
      </c>
      <c r="U39">
        <f>HYPERLINK("https://klasma.github.io/Logging_1981/knärot/A 38255-2025 karta knärot.png", "A 38255-2025")</f>
        <v/>
      </c>
      <c r="V39">
        <f>HYPERLINK("https://klasma.github.io/Logging_1981/klagomål/A 38255-2025 FSC-klagomål.docx", "A 38255-2025")</f>
        <v/>
      </c>
      <c r="W39">
        <f>HYPERLINK("https://klasma.github.io/Logging_1981/klagomålsmail/A 38255-2025 FSC-klagomål mail.docx", "A 38255-2025")</f>
        <v/>
      </c>
      <c r="X39">
        <f>HYPERLINK("https://klasma.github.io/Logging_1981/tillsyn/A 38255-2025 tillsynsbegäran.docx", "A 38255-2025")</f>
        <v/>
      </c>
      <c r="Y39">
        <f>HYPERLINK("https://klasma.github.io/Logging_1981/tillsynsmail/A 38255-2025 tillsynsbegäran mail.docx", "A 38255-2025")</f>
        <v/>
      </c>
    </row>
    <row r="40" ht="15" customHeight="1">
      <c r="A40" t="inlineStr">
        <is>
          <t>A 22950-2025</t>
        </is>
      </c>
      <c r="B40" s="1" t="n">
        <v>45790.50728009259</v>
      </c>
      <c r="C40" s="1" t="n">
        <v>45985</v>
      </c>
      <c r="D40" t="inlineStr">
        <is>
          <t>VÄSTMANLANDS LÄN</t>
        </is>
      </c>
      <c r="E40" t="inlineStr">
        <is>
          <t>SALA</t>
        </is>
      </c>
      <c r="G40" t="n">
        <v>6.2</v>
      </c>
      <c r="H40" t="n">
        <v>1</v>
      </c>
      <c r="I40" t="n">
        <v>0</v>
      </c>
      <c r="J40" t="n">
        <v>1</v>
      </c>
      <c r="K40" t="n">
        <v>0</v>
      </c>
      <c r="L40" t="n">
        <v>0</v>
      </c>
      <c r="M40" t="n">
        <v>0</v>
      </c>
      <c r="N40" t="n">
        <v>0</v>
      </c>
      <c r="O40" t="n">
        <v>1</v>
      </c>
      <c r="P40" t="n">
        <v>0</v>
      </c>
      <c r="Q40" t="n">
        <v>1</v>
      </c>
      <c r="R40" s="2" t="inlineStr">
        <is>
          <t>Svartvit flugsnappare</t>
        </is>
      </c>
      <c r="S40">
        <f>HYPERLINK("https://klasma.github.io/Logging_1981/artfynd/A 22950-2025 artfynd.xlsx", "A 22950-2025")</f>
        <v/>
      </c>
      <c r="T40">
        <f>HYPERLINK("https://klasma.github.io/Logging_1981/kartor/A 22950-2025 karta.png", "A 22950-2025")</f>
        <v/>
      </c>
      <c r="V40">
        <f>HYPERLINK("https://klasma.github.io/Logging_1981/klagomål/A 22950-2025 FSC-klagomål.docx", "A 22950-2025")</f>
        <v/>
      </c>
      <c r="W40">
        <f>HYPERLINK("https://klasma.github.io/Logging_1981/klagomålsmail/A 22950-2025 FSC-klagomål mail.docx", "A 22950-2025")</f>
        <v/>
      </c>
      <c r="X40">
        <f>HYPERLINK("https://klasma.github.io/Logging_1981/tillsyn/A 22950-2025 tillsynsbegäran.docx", "A 22950-2025")</f>
        <v/>
      </c>
      <c r="Y40">
        <f>HYPERLINK("https://klasma.github.io/Logging_1981/tillsynsmail/A 22950-2025 tillsynsbegäran mail.docx", "A 22950-2025")</f>
        <v/>
      </c>
      <c r="Z40">
        <f>HYPERLINK("https://klasma.github.io/Logging_1981/fåglar/A 22950-2025 prioriterade fågelarter.docx", "A 22950-2025")</f>
        <v/>
      </c>
    </row>
    <row r="41" ht="15" customHeight="1">
      <c r="A41" t="inlineStr">
        <is>
          <t>A 56704-2022</t>
        </is>
      </c>
      <c r="B41" s="1" t="n">
        <v>44893.78075231481</v>
      </c>
      <c r="C41" s="1" t="n">
        <v>45985</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60852-2024</t>
        </is>
      </c>
      <c r="B42" s="1" t="n">
        <v>45644</v>
      </c>
      <c r="C42" s="1" t="n">
        <v>45985</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50268-2025</t>
        </is>
      </c>
      <c r="B43" s="1" t="n">
        <v>45944.35162037037</v>
      </c>
      <c r="C43" s="1" t="n">
        <v>45985</v>
      </c>
      <c r="D43" t="inlineStr">
        <is>
          <t>VÄSTMANLANDS LÄN</t>
        </is>
      </c>
      <c r="E43" t="inlineStr">
        <is>
          <t>SALA</t>
        </is>
      </c>
      <c r="G43" t="n">
        <v>0.7</v>
      </c>
      <c r="H43" t="n">
        <v>1</v>
      </c>
      <c r="I43" t="n">
        <v>0</v>
      </c>
      <c r="J43" t="n">
        <v>0</v>
      </c>
      <c r="K43" t="n">
        <v>0</v>
      </c>
      <c r="L43" t="n">
        <v>0</v>
      </c>
      <c r="M43" t="n">
        <v>0</v>
      </c>
      <c r="N43" t="n">
        <v>0</v>
      </c>
      <c r="O43" t="n">
        <v>0</v>
      </c>
      <c r="P43" t="n">
        <v>0</v>
      </c>
      <c r="Q43" t="n">
        <v>1</v>
      </c>
      <c r="R43" s="2" t="inlineStr">
        <is>
          <t>Fläcknycklar</t>
        </is>
      </c>
      <c r="S43">
        <f>HYPERLINK("https://klasma.github.io/Logging_1981/artfynd/A 50268-2025 artfynd.xlsx", "A 50268-2025")</f>
        <v/>
      </c>
      <c r="T43">
        <f>HYPERLINK("https://klasma.github.io/Logging_1981/kartor/A 50268-2025 karta.png", "A 50268-2025")</f>
        <v/>
      </c>
      <c r="V43">
        <f>HYPERLINK("https://klasma.github.io/Logging_1981/klagomål/A 50268-2025 FSC-klagomål.docx", "A 50268-2025")</f>
        <v/>
      </c>
      <c r="W43">
        <f>HYPERLINK("https://klasma.github.io/Logging_1981/klagomålsmail/A 50268-2025 FSC-klagomål mail.docx", "A 50268-2025")</f>
        <v/>
      </c>
      <c r="X43">
        <f>HYPERLINK("https://klasma.github.io/Logging_1981/tillsyn/A 50268-2025 tillsynsbegäran.docx", "A 50268-2025")</f>
        <v/>
      </c>
      <c r="Y43">
        <f>HYPERLINK("https://klasma.github.io/Logging_1981/tillsynsmail/A 50268-2025 tillsynsbegäran mail.docx", "A 50268-2025")</f>
        <v/>
      </c>
    </row>
    <row r="44" ht="15" customHeight="1">
      <c r="A44" t="inlineStr">
        <is>
          <t>A 43175-2023</t>
        </is>
      </c>
      <c r="B44" s="1" t="n">
        <v>45183</v>
      </c>
      <c r="C44" s="1" t="n">
        <v>45985</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53052-2025</t>
        </is>
      </c>
      <c r="B45" s="1" t="n">
        <v>45958.36266203703</v>
      </c>
      <c r="C45" s="1" t="n">
        <v>45985</v>
      </c>
      <c r="D45" t="inlineStr">
        <is>
          <t>VÄSTMANLANDS LÄN</t>
        </is>
      </c>
      <c r="E45" t="inlineStr">
        <is>
          <t>SALA</t>
        </is>
      </c>
      <c r="F45" t="inlineStr">
        <is>
          <t>Sveaskog</t>
        </is>
      </c>
      <c r="G45" t="n">
        <v>1.1</v>
      </c>
      <c r="H45" t="n">
        <v>0</v>
      </c>
      <c r="I45" t="n">
        <v>0</v>
      </c>
      <c r="J45" t="n">
        <v>1</v>
      </c>
      <c r="K45" t="n">
        <v>0</v>
      </c>
      <c r="L45" t="n">
        <v>0</v>
      </c>
      <c r="M45" t="n">
        <v>0</v>
      </c>
      <c r="N45" t="n">
        <v>0</v>
      </c>
      <c r="O45" t="n">
        <v>1</v>
      </c>
      <c r="P45" t="n">
        <v>0</v>
      </c>
      <c r="Q45" t="n">
        <v>1</v>
      </c>
      <c r="R45" s="2" t="inlineStr">
        <is>
          <t>Motaggsvamp</t>
        </is>
      </c>
      <c r="S45">
        <f>HYPERLINK("https://klasma.github.io/Logging_1981/artfynd/A 53052-2025 artfynd.xlsx", "A 53052-2025")</f>
        <v/>
      </c>
      <c r="T45">
        <f>HYPERLINK("https://klasma.github.io/Logging_1981/kartor/A 53052-2025 karta.png", "A 53052-2025")</f>
        <v/>
      </c>
      <c r="V45">
        <f>HYPERLINK("https://klasma.github.io/Logging_1981/klagomål/A 53052-2025 FSC-klagomål.docx", "A 53052-2025")</f>
        <v/>
      </c>
      <c r="W45">
        <f>HYPERLINK("https://klasma.github.io/Logging_1981/klagomålsmail/A 53052-2025 FSC-klagomål mail.docx", "A 53052-2025")</f>
        <v/>
      </c>
      <c r="X45">
        <f>HYPERLINK("https://klasma.github.io/Logging_1981/tillsyn/A 53052-2025 tillsynsbegäran.docx", "A 53052-2025")</f>
        <v/>
      </c>
      <c r="Y45">
        <f>HYPERLINK("https://klasma.github.io/Logging_1981/tillsynsmail/A 53052-2025 tillsynsbegäran mail.docx", "A 53052-2025")</f>
        <v/>
      </c>
    </row>
    <row r="46" ht="15" customHeight="1">
      <c r="A46" t="inlineStr">
        <is>
          <t>A 41270-2024</t>
        </is>
      </c>
      <c r="B46" s="1" t="n">
        <v>45559</v>
      </c>
      <c r="C46" s="1" t="n">
        <v>45985</v>
      </c>
      <c r="D46" t="inlineStr">
        <is>
          <t>VÄSTMANLANDS LÄN</t>
        </is>
      </c>
      <c r="E46" t="inlineStr">
        <is>
          <t>SALA</t>
        </is>
      </c>
      <c r="G46" t="n">
        <v>15.2</v>
      </c>
      <c r="H46" t="n">
        <v>1</v>
      </c>
      <c r="I46" t="n">
        <v>0</v>
      </c>
      <c r="J46" t="n">
        <v>1</v>
      </c>
      <c r="K46" t="n">
        <v>0</v>
      </c>
      <c r="L46" t="n">
        <v>0</v>
      </c>
      <c r="M46" t="n">
        <v>0</v>
      </c>
      <c r="N46" t="n">
        <v>0</v>
      </c>
      <c r="O46" t="n">
        <v>1</v>
      </c>
      <c r="P46" t="n">
        <v>0</v>
      </c>
      <c r="Q46" t="n">
        <v>1</v>
      </c>
      <c r="R46" s="2" t="inlineStr">
        <is>
          <t>Havsörn</t>
        </is>
      </c>
      <c r="S46">
        <f>HYPERLINK("https://klasma.github.io/Logging_1981/artfynd/A 41270-2024 artfynd.xlsx", "A 41270-2024")</f>
        <v/>
      </c>
      <c r="T46">
        <f>HYPERLINK("https://klasma.github.io/Logging_1981/kartor/A 41270-2024 karta.png", "A 41270-2024")</f>
        <v/>
      </c>
      <c r="V46">
        <f>HYPERLINK("https://klasma.github.io/Logging_1981/klagomål/A 41270-2024 FSC-klagomål.docx", "A 41270-2024")</f>
        <v/>
      </c>
      <c r="W46">
        <f>HYPERLINK("https://klasma.github.io/Logging_1981/klagomålsmail/A 41270-2024 FSC-klagomål mail.docx", "A 41270-2024")</f>
        <v/>
      </c>
      <c r="X46">
        <f>HYPERLINK("https://klasma.github.io/Logging_1981/tillsyn/A 41270-2024 tillsynsbegäran.docx", "A 41270-2024")</f>
        <v/>
      </c>
      <c r="Y46">
        <f>HYPERLINK("https://klasma.github.io/Logging_1981/tillsynsmail/A 41270-2024 tillsynsbegäran mail.docx", "A 41270-2024")</f>
        <v/>
      </c>
      <c r="Z46">
        <f>HYPERLINK("https://klasma.github.io/Logging_1981/fåglar/A 41270-2024 prioriterade fågelarter.docx", "A 41270-2024")</f>
        <v/>
      </c>
    </row>
    <row r="47" ht="15" customHeight="1">
      <c r="A47" t="inlineStr">
        <is>
          <t>A 32594-2025</t>
        </is>
      </c>
      <c r="B47" s="1" t="n">
        <v>45838</v>
      </c>
      <c r="C47" s="1" t="n">
        <v>45985</v>
      </c>
      <c r="D47" t="inlineStr">
        <is>
          <t>VÄSTMANLANDS LÄN</t>
        </is>
      </c>
      <c r="E47" t="inlineStr">
        <is>
          <t>SALA</t>
        </is>
      </c>
      <c r="F47" t="inlineStr">
        <is>
          <t>Bergvik skog öst AB</t>
        </is>
      </c>
      <c r="G47" t="n">
        <v>0.9</v>
      </c>
      <c r="H47" t="n">
        <v>1</v>
      </c>
      <c r="I47" t="n">
        <v>0</v>
      </c>
      <c r="J47" t="n">
        <v>0</v>
      </c>
      <c r="K47" t="n">
        <v>0</v>
      </c>
      <c r="L47" t="n">
        <v>0</v>
      </c>
      <c r="M47" t="n">
        <v>0</v>
      </c>
      <c r="N47" t="n">
        <v>0</v>
      </c>
      <c r="O47" t="n">
        <v>0</v>
      </c>
      <c r="P47" t="n">
        <v>0</v>
      </c>
      <c r="Q47" t="n">
        <v>1</v>
      </c>
      <c r="R47" s="2" t="inlineStr">
        <is>
          <t>Blåsippa</t>
        </is>
      </c>
      <c r="S47">
        <f>HYPERLINK("https://klasma.github.io/Logging_1981/artfynd/A 32594-2025 artfynd.xlsx", "A 32594-2025")</f>
        <v/>
      </c>
      <c r="T47">
        <f>HYPERLINK("https://klasma.github.io/Logging_1981/kartor/A 32594-2025 karta.png", "A 32594-2025")</f>
        <v/>
      </c>
      <c r="V47">
        <f>HYPERLINK("https://klasma.github.io/Logging_1981/klagomål/A 32594-2025 FSC-klagomål.docx", "A 32594-2025")</f>
        <v/>
      </c>
      <c r="W47">
        <f>HYPERLINK("https://klasma.github.io/Logging_1981/klagomålsmail/A 32594-2025 FSC-klagomål mail.docx", "A 32594-2025")</f>
        <v/>
      </c>
      <c r="X47">
        <f>HYPERLINK("https://klasma.github.io/Logging_1981/tillsyn/A 32594-2025 tillsynsbegäran.docx", "A 32594-2025")</f>
        <v/>
      </c>
      <c r="Y47">
        <f>HYPERLINK("https://klasma.github.io/Logging_1981/tillsynsmail/A 32594-2025 tillsynsbegäran mail.docx", "A 32594-2025")</f>
        <v/>
      </c>
    </row>
    <row r="48" ht="15" customHeight="1">
      <c r="A48" t="inlineStr">
        <is>
          <t>A 22350-2024</t>
        </is>
      </c>
      <c r="B48" s="1" t="n">
        <v>45446</v>
      </c>
      <c r="C48" s="1" t="n">
        <v>45985</v>
      </c>
      <c r="D48" t="inlineStr">
        <is>
          <t>VÄSTMANLANDS LÄN</t>
        </is>
      </c>
      <c r="E48" t="inlineStr">
        <is>
          <t>SALA</t>
        </is>
      </c>
      <c r="G48" t="n">
        <v>1.2</v>
      </c>
      <c r="H48" t="n">
        <v>1</v>
      </c>
      <c r="I48" t="n">
        <v>0</v>
      </c>
      <c r="J48" t="n">
        <v>0</v>
      </c>
      <c r="K48" t="n">
        <v>0</v>
      </c>
      <c r="L48" t="n">
        <v>0</v>
      </c>
      <c r="M48" t="n">
        <v>0</v>
      </c>
      <c r="N48" t="n">
        <v>0</v>
      </c>
      <c r="O48" t="n">
        <v>0</v>
      </c>
      <c r="P48" t="n">
        <v>0</v>
      </c>
      <c r="Q48" t="n">
        <v>1</v>
      </c>
      <c r="R48" s="2" t="inlineStr">
        <is>
          <t>Blåsippa</t>
        </is>
      </c>
      <c r="S48">
        <f>HYPERLINK("https://klasma.github.io/Logging_1981/artfynd/A 22350-2024 artfynd.xlsx", "A 22350-2024")</f>
        <v/>
      </c>
      <c r="T48">
        <f>HYPERLINK("https://klasma.github.io/Logging_1981/kartor/A 22350-2024 karta.png", "A 22350-2024")</f>
        <v/>
      </c>
      <c r="V48">
        <f>HYPERLINK("https://klasma.github.io/Logging_1981/klagomål/A 22350-2024 FSC-klagomål.docx", "A 22350-2024")</f>
        <v/>
      </c>
      <c r="W48">
        <f>HYPERLINK("https://klasma.github.io/Logging_1981/klagomålsmail/A 22350-2024 FSC-klagomål mail.docx", "A 22350-2024")</f>
        <v/>
      </c>
      <c r="X48">
        <f>HYPERLINK("https://klasma.github.io/Logging_1981/tillsyn/A 22350-2024 tillsynsbegäran.docx", "A 22350-2024")</f>
        <v/>
      </c>
      <c r="Y48">
        <f>HYPERLINK("https://klasma.github.io/Logging_1981/tillsynsmail/A 22350-2024 tillsynsbegäran mail.docx", "A 22350-2024")</f>
        <v/>
      </c>
    </row>
    <row r="49" ht="15" customHeight="1">
      <c r="A49" t="inlineStr">
        <is>
          <t>A 43068-2024</t>
        </is>
      </c>
      <c r="B49" s="1" t="n">
        <v>45567</v>
      </c>
      <c r="C49" s="1" t="n">
        <v>45985</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45985</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55995-2025</t>
        </is>
      </c>
      <c r="B51" s="1" t="n">
        <v>45973.56733796297</v>
      </c>
      <c r="C51" s="1" t="n">
        <v>45985</v>
      </c>
      <c r="D51" t="inlineStr">
        <is>
          <t>VÄSTMANLANDS LÄN</t>
        </is>
      </c>
      <c r="E51" t="inlineStr">
        <is>
          <t>SALA</t>
        </is>
      </c>
      <c r="F51" t="inlineStr">
        <is>
          <t>Sveaskog</t>
        </is>
      </c>
      <c r="G51" t="n">
        <v>4.5</v>
      </c>
      <c r="H51" t="n">
        <v>1</v>
      </c>
      <c r="I51" t="n">
        <v>0</v>
      </c>
      <c r="J51" t="n">
        <v>0</v>
      </c>
      <c r="K51" t="n">
        <v>0</v>
      </c>
      <c r="L51" t="n">
        <v>0</v>
      </c>
      <c r="M51" t="n">
        <v>0</v>
      </c>
      <c r="N51" t="n">
        <v>0</v>
      </c>
      <c r="O51" t="n">
        <v>0</v>
      </c>
      <c r="P51" t="n">
        <v>0</v>
      </c>
      <c r="Q51" t="n">
        <v>1</v>
      </c>
      <c r="R51" s="2" t="inlineStr">
        <is>
          <t>Fläcknycklar</t>
        </is>
      </c>
      <c r="S51">
        <f>HYPERLINK("https://klasma.github.io/Logging_1981/artfynd/A 55995-2025 artfynd.xlsx", "A 55995-2025")</f>
        <v/>
      </c>
      <c r="T51">
        <f>HYPERLINK("https://klasma.github.io/Logging_1981/kartor/A 55995-2025 karta.png", "A 55995-2025")</f>
        <v/>
      </c>
      <c r="V51">
        <f>HYPERLINK("https://klasma.github.io/Logging_1981/klagomål/A 55995-2025 FSC-klagomål.docx", "A 55995-2025")</f>
        <v/>
      </c>
      <c r="W51">
        <f>HYPERLINK("https://klasma.github.io/Logging_1981/klagomålsmail/A 55995-2025 FSC-klagomål mail.docx", "A 55995-2025")</f>
        <v/>
      </c>
      <c r="X51">
        <f>HYPERLINK("https://klasma.github.io/Logging_1981/tillsyn/A 55995-2025 tillsynsbegäran.docx", "A 55995-2025")</f>
        <v/>
      </c>
      <c r="Y51">
        <f>HYPERLINK("https://klasma.github.io/Logging_1981/tillsynsmail/A 55995-2025 tillsynsbegäran mail.docx", "A 55995-2025")</f>
        <v/>
      </c>
    </row>
    <row r="52" ht="15" customHeight="1">
      <c r="A52" t="inlineStr">
        <is>
          <t>A 48705-2025</t>
        </is>
      </c>
      <c r="B52" s="1" t="n">
        <v>45936.62290509259</v>
      </c>
      <c r="C52" s="1" t="n">
        <v>45985</v>
      </c>
      <c r="D52" t="inlineStr">
        <is>
          <t>VÄSTMANLANDS LÄN</t>
        </is>
      </c>
      <c r="E52" t="inlineStr">
        <is>
          <t>SALA</t>
        </is>
      </c>
      <c r="G52" t="n">
        <v>4.4</v>
      </c>
      <c r="H52" t="n">
        <v>1</v>
      </c>
      <c r="I52" t="n">
        <v>1</v>
      </c>
      <c r="J52" t="n">
        <v>0</v>
      </c>
      <c r="K52" t="n">
        <v>0</v>
      </c>
      <c r="L52" t="n">
        <v>0</v>
      </c>
      <c r="M52" t="n">
        <v>0</v>
      </c>
      <c r="N52" t="n">
        <v>0</v>
      </c>
      <c r="O52" t="n">
        <v>0</v>
      </c>
      <c r="P52" t="n">
        <v>0</v>
      </c>
      <c r="Q52" t="n">
        <v>1</v>
      </c>
      <c r="R52" s="2" t="inlineStr">
        <is>
          <t>Plattlummer</t>
        </is>
      </c>
      <c r="S52">
        <f>HYPERLINK("https://klasma.github.io/Logging_1981/artfynd/A 48705-2025 artfynd.xlsx", "A 48705-2025")</f>
        <v/>
      </c>
      <c r="T52">
        <f>HYPERLINK("https://klasma.github.io/Logging_1981/kartor/A 48705-2025 karta.png", "A 48705-2025")</f>
        <v/>
      </c>
      <c r="V52">
        <f>HYPERLINK("https://klasma.github.io/Logging_1981/klagomål/A 48705-2025 FSC-klagomål.docx", "A 48705-2025")</f>
        <v/>
      </c>
      <c r="W52">
        <f>HYPERLINK("https://klasma.github.io/Logging_1981/klagomålsmail/A 48705-2025 FSC-klagomål mail.docx", "A 48705-2025")</f>
        <v/>
      </c>
      <c r="X52">
        <f>HYPERLINK("https://klasma.github.io/Logging_1981/tillsyn/A 48705-2025 tillsynsbegäran.docx", "A 48705-2025")</f>
        <v/>
      </c>
      <c r="Y52">
        <f>HYPERLINK("https://klasma.github.io/Logging_1981/tillsynsmail/A 48705-2025 tillsynsbegäran mail.docx", "A 48705-2025")</f>
        <v/>
      </c>
    </row>
    <row r="53" ht="15" customHeight="1">
      <c r="A53" t="inlineStr">
        <is>
          <t>A 12509-2023</t>
        </is>
      </c>
      <c r="B53" s="1" t="n">
        <v>44999.95988425926</v>
      </c>
      <c r="C53" s="1" t="n">
        <v>45985</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14775-2023</t>
        </is>
      </c>
      <c r="B54" s="1" t="n">
        <v>45014</v>
      </c>
      <c r="C54" s="1" t="n">
        <v>45985</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19361-2025</t>
        </is>
      </c>
      <c r="B55" s="1" t="n">
        <v>45769.63357638889</v>
      </c>
      <c r="C55" s="1" t="n">
        <v>45985</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45985</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45985</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45985</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45985</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45985</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45985</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45985</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69194-2020</t>
        </is>
      </c>
      <c r="B63" s="1" t="n">
        <v>44191</v>
      </c>
      <c r="C63" s="1" t="n">
        <v>45985</v>
      </c>
      <c r="D63" t="inlineStr">
        <is>
          <t>VÄSTMANLANDS LÄN</t>
        </is>
      </c>
      <c r="E63" t="inlineStr">
        <is>
          <t>SALA</t>
        </is>
      </c>
      <c r="G63" t="n">
        <v>0.4</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45985</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45985</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45985</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45985</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45985</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45985</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45985</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62680-2020</t>
        </is>
      </c>
      <c r="B71" s="1" t="n">
        <v>44161</v>
      </c>
      <c r="C71" s="1" t="n">
        <v>45985</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45985</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45985</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45985</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45985</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45985</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45985</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45985</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45985</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45985</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45985</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45985</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45985</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45985</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45985</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45985</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45985</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45985</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45985</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45985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45985</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45985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45985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45985</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45985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45985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45985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45985</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45985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40153-2021</t>
        </is>
      </c>
      <c r="B100" s="1" t="n">
        <v>44418</v>
      </c>
      <c r="C100" s="1" t="n">
        <v>45985</v>
      </c>
      <c r="D100" t="inlineStr">
        <is>
          <t>VÄSTMANLANDS LÄN</t>
        </is>
      </c>
      <c r="E100" t="inlineStr">
        <is>
          <t>SALA</t>
        </is>
      </c>
      <c r="G100" t="n">
        <v>2.8</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45985</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45985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45985</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45985</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45985</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45985</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45985</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45985</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45985</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45985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45985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45985</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45985</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18189-2021</t>
        </is>
      </c>
      <c r="B114" s="1" t="n">
        <v>44302.67659722222</v>
      </c>
      <c r="C114" s="1" t="n">
        <v>45985</v>
      </c>
      <c r="D114" t="inlineStr">
        <is>
          <t>VÄSTMANLANDS LÄN</t>
        </is>
      </c>
      <c r="E114" t="inlineStr">
        <is>
          <t>SALA</t>
        </is>
      </c>
      <c r="G114" t="n">
        <v>0.7</v>
      </c>
      <c r="H114" t="n">
        <v>0</v>
      </c>
      <c r="I114" t="n">
        <v>0</v>
      </c>
      <c r="J114" t="n">
        <v>0</v>
      </c>
      <c r="K114" t="n">
        <v>0</v>
      </c>
      <c r="L114" t="n">
        <v>0</v>
      </c>
      <c r="M114" t="n">
        <v>0</v>
      </c>
      <c r="N114" t="n">
        <v>0</v>
      </c>
      <c r="O114" t="n">
        <v>0</v>
      </c>
      <c r="P114" t="n">
        <v>0</v>
      </c>
      <c r="Q114" t="n">
        <v>0</v>
      </c>
      <c r="R114" s="2" t="inlineStr"/>
    </row>
    <row r="115" ht="15" customHeight="1">
      <c r="A115" t="inlineStr">
        <is>
          <t>A 18951-2021</t>
        </is>
      </c>
      <c r="B115" s="1" t="n">
        <v>44308</v>
      </c>
      <c r="C115" s="1" t="n">
        <v>45985</v>
      </c>
      <c r="D115" t="inlineStr">
        <is>
          <t>VÄSTMANLANDS LÄN</t>
        </is>
      </c>
      <c r="E115" t="inlineStr">
        <is>
          <t>SALA</t>
        </is>
      </c>
      <c r="G115" t="n">
        <v>0.3</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45985</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45985</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45985</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45985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45985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45985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45985</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45985</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45985</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45985</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45985</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45985</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45985</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45985</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45985</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45985</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22811-2022</t>
        </is>
      </c>
      <c r="B132" s="1" t="n">
        <v>44715</v>
      </c>
      <c r="C132" s="1" t="n">
        <v>45985</v>
      </c>
      <c r="D132" t="inlineStr">
        <is>
          <t>VÄSTMANLANDS LÄN</t>
        </is>
      </c>
      <c r="E132" t="inlineStr">
        <is>
          <t>SALA</t>
        </is>
      </c>
      <c r="G132" t="n">
        <v>5</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45985</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45985</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45985</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45985</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45985</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45985</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45985</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45985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45985</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45985</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45985</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45985</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45985</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45985</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45985</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45985</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45985</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69192-2020</t>
        </is>
      </c>
      <c r="B150" s="1" t="n">
        <v>44191</v>
      </c>
      <c r="C150" s="1" t="n">
        <v>45985</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53735-2022</t>
        </is>
      </c>
      <c r="B151" s="1" t="n">
        <v>44880.42752314815</v>
      </c>
      <c r="C151" s="1" t="n">
        <v>45985</v>
      </c>
      <c r="D151" t="inlineStr">
        <is>
          <t>VÄSTMANLANDS LÄN</t>
        </is>
      </c>
      <c r="E151" t="inlineStr">
        <is>
          <t>SALA</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65856-2021</t>
        </is>
      </c>
      <c r="B152" s="1" t="n">
        <v>44517</v>
      </c>
      <c r="C152" s="1" t="n">
        <v>45985</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44224-2022</t>
        </is>
      </c>
      <c r="B153" s="1" t="n">
        <v>44839.506875</v>
      </c>
      <c r="C153" s="1" t="n">
        <v>45985</v>
      </c>
      <c r="D153" t="inlineStr">
        <is>
          <t>VÄSTMANLANDS LÄN</t>
        </is>
      </c>
      <c r="E153" t="inlineStr">
        <is>
          <t>SALA</t>
        </is>
      </c>
      <c r="G153" t="n">
        <v>2.1</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45985</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53628-2022</t>
        </is>
      </c>
      <c r="B155" s="1" t="n">
        <v>44879.87171296297</v>
      </c>
      <c r="C155" s="1" t="n">
        <v>45985</v>
      </c>
      <c r="D155" t="inlineStr">
        <is>
          <t>VÄSTMANLANDS LÄN</t>
        </is>
      </c>
      <c r="E155" t="inlineStr">
        <is>
          <t>SALA</t>
        </is>
      </c>
      <c r="G155" t="n">
        <v>2.7</v>
      </c>
      <c r="H155" t="n">
        <v>0</v>
      </c>
      <c r="I155" t="n">
        <v>0</v>
      </c>
      <c r="J155" t="n">
        <v>0</v>
      </c>
      <c r="K155" t="n">
        <v>0</v>
      </c>
      <c r="L155" t="n">
        <v>0</v>
      </c>
      <c r="M155" t="n">
        <v>0</v>
      </c>
      <c r="N155" t="n">
        <v>0</v>
      </c>
      <c r="O155" t="n">
        <v>0</v>
      </c>
      <c r="P155" t="n">
        <v>0</v>
      </c>
      <c r="Q155" t="n">
        <v>0</v>
      </c>
      <c r="R155" s="2" t="inlineStr"/>
    </row>
    <row r="156" ht="15" customHeight="1">
      <c r="A156" t="inlineStr">
        <is>
          <t>A 23847-2022</t>
        </is>
      </c>
      <c r="B156" s="1" t="n">
        <v>44722</v>
      </c>
      <c r="C156" s="1" t="n">
        <v>45985</v>
      </c>
      <c r="D156" t="inlineStr">
        <is>
          <t>VÄSTMANLANDS LÄN</t>
        </is>
      </c>
      <c r="E156" t="inlineStr">
        <is>
          <t>SALA</t>
        </is>
      </c>
      <c r="G156" t="n">
        <v>1</v>
      </c>
      <c r="H156" t="n">
        <v>0</v>
      </c>
      <c r="I156" t="n">
        <v>0</v>
      </c>
      <c r="J156" t="n">
        <v>0</v>
      </c>
      <c r="K156" t="n">
        <v>0</v>
      </c>
      <c r="L156" t="n">
        <v>0</v>
      </c>
      <c r="M156" t="n">
        <v>0</v>
      </c>
      <c r="N156" t="n">
        <v>0</v>
      </c>
      <c r="O156" t="n">
        <v>0</v>
      </c>
      <c r="P156" t="n">
        <v>0</v>
      </c>
      <c r="Q156" t="n">
        <v>0</v>
      </c>
      <c r="R156" s="2" t="inlineStr"/>
    </row>
    <row r="157" ht="15" customHeight="1">
      <c r="A157" t="inlineStr">
        <is>
          <t>A 22562-2022</t>
        </is>
      </c>
      <c r="B157" s="1" t="n">
        <v>44713</v>
      </c>
      <c r="C157" s="1" t="n">
        <v>45985</v>
      </c>
      <c r="D157" t="inlineStr">
        <is>
          <t>VÄSTMANLANDS LÄN</t>
        </is>
      </c>
      <c r="E157" t="inlineStr">
        <is>
          <t>SALA</t>
        </is>
      </c>
      <c r="G157" t="n">
        <v>0.8</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45985</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30915-2021</t>
        </is>
      </c>
      <c r="B159" s="1" t="n">
        <v>44365</v>
      </c>
      <c r="C159" s="1" t="n">
        <v>45985</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30918-2021</t>
        </is>
      </c>
      <c r="B160" s="1" t="n">
        <v>44365.60569444444</v>
      </c>
      <c r="C160" s="1" t="n">
        <v>45985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65353-2021</t>
        </is>
      </c>
      <c r="B161" s="1" t="n">
        <v>44515</v>
      </c>
      <c r="C161" s="1" t="n">
        <v>45985</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22575-2022</t>
        </is>
      </c>
      <c r="B162" s="1" t="n">
        <v>44713</v>
      </c>
      <c r="C162" s="1" t="n">
        <v>45985</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40094-2022</t>
        </is>
      </c>
      <c r="B163" s="1" t="n">
        <v>44819</v>
      </c>
      <c r="C163" s="1" t="n">
        <v>45985</v>
      </c>
      <c r="D163" t="inlineStr">
        <is>
          <t>VÄSTMANLANDS LÄN</t>
        </is>
      </c>
      <c r="E163" t="inlineStr">
        <is>
          <t>SALA</t>
        </is>
      </c>
      <c r="G163" t="n">
        <v>1.7</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45985</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53630-2022</t>
        </is>
      </c>
      <c r="B165" s="1" t="n">
        <v>44879.87533564815</v>
      </c>
      <c r="C165" s="1" t="n">
        <v>45985</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45985</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45985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73519-2021</t>
        </is>
      </c>
      <c r="B168" s="1" t="n">
        <v>44551</v>
      </c>
      <c r="C168" s="1" t="n">
        <v>45985</v>
      </c>
      <c r="D168" t="inlineStr">
        <is>
          <t>VÄSTMANLANDS LÄN</t>
        </is>
      </c>
      <c r="E168" t="inlineStr">
        <is>
          <t>SALA</t>
        </is>
      </c>
      <c r="G168" t="n">
        <v>0.3</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45985</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72805-2021</t>
        </is>
      </c>
      <c r="B170" s="1" t="n">
        <v>44546</v>
      </c>
      <c r="C170" s="1" t="n">
        <v>45985</v>
      </c>
      <c r="D170" t="inlineStr">
        <is>
          <t>VÄSTMANLANDS LÄN</t>
        </is>
      </c>
      <c r="E170" t="inlineStr">
        <is>
          <t>SALA</t>
        </is>
      </c>
      <c r="G170" t="n">
        <v>7.8</v>
      </c>
      <c r="H170" t="n">
        <v>0</v>
      </c>
      <c r="I170" t="n">
        <v>0</v>
      </c>
      <c r="J170" t="n">
        <v>0</v>
      </c>
      <c r="K170" t="n">
        <v>0</v>
      </c>
      <c r="L170" t="n">
        <v>0</v>
      </c>
      <c r="M170" t="n">
        <v>0</v>
      </c>
      <c r="N170" t="n">
        <v>0</v>
      </c>
      <c r="O170" t="n">
        <v>0</v>
      </c>
      <c r="P170" t="n">
        <v>0</v>
      </c>
      <c r="Q170" t="n">
        <v>0</v>
      </c>
      <c r="R170" s="2" t="inlineStr"/>
    </row>
    <row r="171" ht="15" customHeight="1">
      <c r="A171" t="inlineStr">
        <is>
          <t>A 72808-2021</t>
        </is>
      </c>
      <c r="B171" s="1" t="n">
        <v>44546</v>
      </c>
      <c r="C171" s="1" t="n">
        <v>45985</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40113-2022</t>
        </is>
      </c>
      <c r="B172" s="1" t="n">
        <v>44819</v>
      </c>
      <c r="C172" s="1" t="n">
        <v>45985</v>
      </c>
      <c r="D172" t="inlineStr">
        <is>
          <t>VÄSTMANLANDS LÄN</t>
        </is>
      </c>
      <c r="E172" t="inlineStr">
        <is>
          <t>SALA</t>
        </is>
      </c>
      <c r="G172" t="n">
        <v>0.9</v>
      </c>
      <c r="H172" t="n">
        <v>0</v>
      </c>
      <c r="I172" t="n">
        <v>0</v>
      </c>
      <c r="J172" t="n">
        <v>0</v>
      </c>
      <c r="K172" t="n">
        <v>0</v>
      </c>
      <c r="L172" t="n">
        <v>0</v>
      </c>
      <c r="M172" t="n">
        <v>0</v>
      </c>
      <c r="N172" t="n">
        <v>0</v>
      </c>
      <c r="O172" t="n">
        <v>0</v>
      </c>
      <c r="P172" t="n">
        <v>0</v>
      </c>
      <c r="Q172" t="n">
        <v>0</v>
      </c>
      <c r="R172" s="2" t="inlineStr"/>
    </row>
    <row r="173" ht="15" customHeight="1">
      <c r="A173" t="inlineStr">
        <is>
          <t>A 29233-2022</t>
        </is>
      </c>
      <c r="B173" s="1" t="n">
        <v>44750</v>
      </c>
      <c r="C173" s="1" t="n">
        <v>45985</v>
      </c>
      <c r="D173" t="inlineStr">
        <is>
          <t>VÄSTMANLANDS LÄN</t>
        </is>
      </c>
      <c r="E173" t="inlineStr">
        <is>
          <t>SALA</t>
        </is>
      </c>
      <c r="G173" t="n">
        <v>2.4</v>
      </c>
      <c r="H173" t="n">
        <v>0</v>
      </c>
      <c r="I173" t="n">
        <v>0</v>
      </c>
      <c r="J173" t="n">
        <v>0</v>
      </c>
      <c r="K173" t="n">
        <v>0</v>
      </c>
      <c r="L173" t="n">
        <v>0</v>
      </c>
      <c r="M173" t="n">
        <v>0</v>
      </c>
      <c r="N173" t="n">
        <v>0</v>
      </c>
      <c r="O173" t="n">
        <v>0</v>
      </c>
      <c r="P173" t="n">
        <v>0</v>
      </c>
      <c r="Q173" t="n">
        <v>0</v>
      </c>
      <c r="R173" s="2" t="inlineStr"/>
    </row>
    <row r="174" ht="15" customHeight="1">
      <c r="A174" t="inlineStr">
        <is>
          <t>A 41876-2022</t>
        </is>
      </c>
      <c r="B174" s="1" t="n">
        <v>44829.97008101852</v>
      </c>
      <c r="C174" s="1" t="n">
        <v>45985</v>
      </c>
      <c r="D174" t="inlineStr">
        <is>
          <t>VÄSTMANLANDS LÄN</t>
        </is>
      </c>
      <c r="E174" t="inlineStr">
        <is>
          <t>SALA</t>
        </is>
      </c>
      <c r="G174" t="n">
        <v>3.6</v>
      </c>
      <c r="H174" t="n">
        <v>0</v>
      </c>
      <c r="I174" t="n">
        <v>0</v>
      </c>
      <c r="J174" t="n">
        <v>0</v>
      </c>
      <c r="K174" t="n">
        <v>0</v>
      </c>
      <c r="L174" t="n">
        <v>0</v>
      </c>
      <c r="M174" t="n">
        <v>0</v>
      </c>
      <c r="N174" t="n">
        <v>0</v>
      </c>
      <c r="O174" t="n">
        <v>0</v>
      </c>
      <c r="P174" t="n">
        <v>0</v>
      </c>
      <c r="Q174" t="n">
        <v>0</v>
      </c>
      <c r="R174" s="2" t="inlineStr"/>
    </row>
    <row r="175" ht="15" customHeight="1">
      <c r="A175" t="inlineStr">
        <is>
          <t>A 67958-2021</t>
        </is>
      </c>
      <c r="B175" s="1" t="n">
        <v>44525</v>
      </c>
      <c r="C175" s="1" t="n">
        <v>45985</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67965-2021</t>
        </is>
      </c>
      <c r="B176" s="1" t="n">
        <v>44525</v>
      </c>
      <c r="C176" s="1" t="n">
        <v>45985</v>
      </c>
      <c r="D176" t="inlineStr">
        <is>
          <t>VÄSTMANLANDS LÄN</t>
        </is>
      </c>
      <c r="E176" t="inlineStr">
        <is>
          <t>SALA</t>
        </is>
      </c>
      <c r="G176" t="n">
        <v>0.6</v>
      </c>
      <c r="H176" t="n">
        <v>0</v>
      </c>
      <c r="I176" t="n">
        <v>0</v>
      </c>
      <c r="J176" t="n">
        <v>0</v>
      </c>
      <c r="K176" t="n">
        <v>0</v>
      </c>
      <c r="L176" t="n">
        <v>0</v>
      </c>
      <c r="M176" t="n">
        <v>0</v>
      </c>
      <c r="N176" t="n">
        <v>0</v>
      </c>
      <c r="O176" t="n">
        <v>0</v>
      </c>
      <c r="P176" t="n">
        <v>0</v>
      </c>
      <c r="Q176" t="n">
        <v>0</v>
      </c>
      <c r="R176" s="2" t="inlineStr"/>
    </row>
    <row r="177" ht="15" customHeight="1">
      <c r="A177" t="inlineStr">
        <is>
          <t>A 45015-2022</t>
        </is>
      </c>
      <c r="B177" s="1" t="n">
        <v>44841.63766203704</v>
      </c>
      <c r="C177" s="1" t="n">
        <v>45985</v>
      </c>
      <c r="D177" t="inlineStr">
        <is>
          <t>VÄSTMANLANDS LÄN</t>
        </is>
      </c>
      <c r="E177" t="inlineStr">
        <is>
          <t>SALA</t>
        </is>
      </c>
      <c r="G177" t="n">
        <v>0.7</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44622.37693287037</v>
      </c>
      <c r="C178" s="1" t="n">
        <v>45985</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57000-2021</t>
        </is>
      </c>
      <c r="B179" s="1" t="n">
        <v>44482.46760416667</v>
      </c>
      <c r="C179" s="1" t="n">
        <v>45985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26579-2021</t>
        </is>
      </c>
      <c r="B180" s="1" t="n">
        <v>44348</v>
      </c>
      <c r="C180" s="1" t="n">
        <v>45985</v>
      </c>
      <c r="D180" t="inlineStr">
        <is>
          <t>VÄSTMANLANDS LÄN</t>
        </is>
      </c>
      <c r="E180" t="inlineStr">
        <is>
          <t>SALA</t>
        </is>
      </c>
      <c r="G180" t="n">
        <v>1.6</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45985</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56688-2024</t>
        </is>
      </c>
      <c r="B182" s="1" t="n">
        <v>45627.66478009259</v>
      </c>
      <c r="C182" s="1" t="n">
        <v>45985</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15354-2021</t>
        </is>
      </c>
      <c r="B183" s="1" t="n">
        <v>44284</v>
      </c>
      <c r="C183" s="1" t="n">
        <v>45985</v>
      </c>
      <c r="D183" t="inlineStr">
        <is>
          <t>VÄSTMANLANDS LÄN</t>
        </is>
      </c>
      <c r="E183" t="inlineStr">
        <is>
          <t>SALA</t>
        </is>
      </c>
      <c r="F183" t="inlineStr">
        <is>
          <t>Kyrkan</t>
        </is>
      </c>
      <c r="G183" t="n">
        <v>8.5</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45985</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45985</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45985</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27486-2022</t>
        </is>
      </c>
      <c r="B187" s="1" t="n">
        <v>44742.60846064815</v>
      </c>
      <c r="C187" s="1" t="n">
        <v>45985</v>
      </c>
      <c r="D187" t="inlineStr">
        <is>
          <t>VÄSTMANLANDS LÄN</t>
        </is>
      </c>
      <c r="E187" t="inlineStr">
        <is>
          <t>SALA</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16651-2021</t>
        </is>
      </c>
      <c r="B188" s="1" t="n">
        <v>44294.50096064815</v>
      </c>
      <c r="C188" s="1" t="n">
        <v>45985</v>
      </c>
      <c r="D188" t="inlineStr">
        <is>
          <t>VÄSTMANLANDS LÄN</t>
        </is>
      </c>
      <c r="E188" t="inlineStr">
        <is>
          <t>SALA</t>
        </is>
      </c>
      <c r="G188" t="n">
        <v>7.7</v>
      </c>
      <c r="H188" t="n">
        <v>0</v>
      </c>
      <c r="I188" t="n">
        <v>0</v>
      </c>
      <c r="J188" t="n">
        <v>0</v>
      </c>
      <c r="K188" t="n">
        <v>0</v>
      </c>
      <c r="L188" t="n">
        <v>0</v>
      </c>
      <c r="M188" t="n">
        <v>0</v>
      </c>
      <c r="N188" t="n">
        <v>0</v>
      </c>
      <c r="O188" t="n">
        <v>0</v>
      </c>
      <c r="P188" t="n">
        <v>0</v>
      </c>
      <c r="Q188" t="n">
        <v>0</v>
      </c>
      <c r="R188" s="2" t="inlineStr"/>
    </row>
    <row r="189" ht="15" customHeight="1">
      <c r="A189" t="inlineStr">
        <is>
          <t>A 54959-2024</t>
        </is>
      </c>
      <c r="B189" s="1" t="n">
        <v>45619</v>
      </c>
      <c r="C189" s="1" t="n">
        <v>45985</v>
      </c>
      <c r="D189" t="inlineStr">
        <is>
          <t>VÄSTMANLANDS LÄN</t>
        </is>
      </c>
      <c r="E189" t="inlineStr">
        <is>
          <t>SALA</t>
        </is>
      </c>
      <c r="G189" t="n">
        <v>1.3</v>
      </c>
      <c r="H189" t="n">
        <v>0</v>
      </c>
      <c r="I189" t="n">
        <v>0</v>
      </c>
      <c r="J189" t="n">
        <v>0</v>
      </c>
      <c r="K189" t="n">
        <v>0</v>
      </c>
      <c r="L189" t="n">
        <v>0</v>
      </c>
      <c r="M189" t="n">
        <v>0</v>
      </c>
      <c r="N189" t="n">
        <v>0</v>
      </c>
      <c r="O189" t="n">
        <v>0</v>
      </c>
      <c r="P189" t="n">
        <v>0</v>
      </c>
      <c r="Q189" t="n">
        <v>0</v>
      </c>
      <c r="R189" s="2" t="inlineStr"/>
    </row>
    <row r="190" ht="15" customHeight="1">
      <c r="A190" t="inlineStr">
        <is>
          <t>A 22026-2021</t>
        </is>
      </c>
      <c r="B190" s="1" t="n">
        <v>44323</v>
      </c>
      <c r="C190" s="1" t="n">
        <v>45985</v>
      </c>
      <c r="D190" t="inlineStr">
        <is>
          <t>VÄSTMANLANDS LÄN</t>
        </is>
      </c>
      <c r="E190" t="inlineStr">
        <is>
          <t>SALA</t>
        </is>
      </c>
      <c r="G190" t="n">
        <v>2.9</v>
      </c>
      <c r="H190" t="n">
        <v>0</v>
      </c>
      <c r="I190" t="n">
        <v>0</v>
      </c>
      <c r="J190" t="n">
        <v>0</v>
      </c>
      <c r="K190" t="n">
        <v>0</v>
      </c>
      <c r="L190" t="n">
        <v>0</v>
      </c>
      <c r="M190" t="n">
        <v>0</v>
      </c>
      <c r="N190" t="n">
        <v>0</v>
      </c>
      <c r="O190" t="n">
        <v>0</v>
      </c>
      <c r="P190" t="n">
        <v>0</v>
      </c>
      <c r="Q190" t="n">
        <v>0</v>
      </c>
      <c r="R190" s="2" t="inlineStr"/>
    </row>
    <row r="191" ht="15" customHeight="1">
      <c r="A191" t="inlineStr">
        <is>
          <t>A 25860-2024</t>
        </is>
      </c>
      <c r="B191" s="1" t="n">
        <v>45467.46278935186</v>
      </c>
      <c r="C191" s="1" t="n">
        <v>45985</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45985</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16160-2024</t>
        </is>
      </c>
      <c r="B193" s="1" t="n">
        <v>45406</v>
      </c>
      <c r="C193" s="1" t="n">
        <v>45985</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45985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19803-2024</t>
        </is>
      </c>
      <c r="B195" s="1" t="n">
        <v>45432</v>
      </c>
      <c r="C195" s="1" t="n">
        <v>45985</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6134-2024</t>
        </is>
      </c>
      <c r="B196" s="1" t="n">
        <v>45337</v>
      </c>
      <c r="C196" s="1" t="n">
        <v>45985</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6183-2025</t>
        </is>
      </c>
      <c r="B197" s="1" t="n">
        <v>45698</v>
      </c>
      <c r="C197" s="1" t="n">
        <v>45985</v>
      </c>
      <c r="D197" t="inlineStr">
        <is>
          <t>VÄSTMANLANDS LÄN</t>
        </is>
      </c>
      <c r="E197" t="inlineStr">
        <is>
          <t>SALA</t>
        </is>
      </c>
      <c r="F197" t="inlineStr">
        <is>
          <t>Bergvik skog öst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40871-2021</t>
        </is>
      </c>
      <c r="B198" s="1" t="n">
        <v>44421</v>
      </c>
      <c r="C198" s="1" t="n">
        <v>45985</v>
      </c>
      <c r="D198" t="inlineStr">
        <is>
          <t>VÄSTMANLANDS LÄN</t>
        </is>
      </c>
      <c r="E198" t="inlineStr">
        <is>
          <t>SALA</t>
        </is>
      </c>
      <c r="G198" t="n">
        <v>1.4</v>
      </c>
      <c r="H198" t="n">
        <v>0</v>
      </c>
      <c r="I198" t="n">
        <v>0</v>
      </c>
      <c r="J198" t="n">
        <v>0</v>
      </c>
      <c r="K198" t="n">
        <v>0</v>
      </c>
      <c r="L198" t="n">
        <v>0</v>
      </c>
      <c r="M198" t="n">
        <v>0</v>
      </c>
      <c r="N198" t="n">
        <v>0</v>
      </c>
      <c r="O198" t="n">
        <v>0</v>
      </c>
      <c r="P198" t="n">
        <v>0</v>
      </c>
      <c r="Q198" t="n">
        <v>0</v>
      </c>
      <c r="R198" s="2" t="inlineStr"/>
    </row>
    <row r="199" ht="15" customHeight="1">
      <c r="A199" t="inlineStr">
        <is>
          <t>A 22353-2025</t>
        </is>
      </c>
      <c r="B199" s="1" t="n">
        <v>45786</v>
      </c>
      <c r="C199" s="1" t="n">
        <v>45985</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64724-2023</t>
        </is>
      </c>
      <c r="B200" s="1" t="n">
        <v>45281.7602662037</v>
      </c>
      <c r="C200" s="1" t="n">
        <v>45985</v>
      </c>
      <c r="D200" t="inlineStr">
        <is>
          <t>VÄSTMANLANDS LÄN</t>
        </is>
      </c>
      <c r="E200" t="inlineStr">
        <is>
          <t>SALA</t>
        </is>
      </c>
      <c r="G200" t="n">
        <v>2.3</v>
      </c>
      <c r="H200" t="n">
        <v>0</v>
      </c>
      <c r="I200" t="n">
        <v>0</v>
      </c>
      <c r="J200" t="n">
        <v>0</v>
      </c>
      <c r="K200" t="n">
        <v>0</v>
      </c>
      <c r="L200" t="n">
        <v>0</v>
      </c>
      <c r="M200" t="n">
        <v>0</v>
      </c>
      <c r="N200" t="n">
        <v>0</v>
      </c>
      <c r="O200" t="n">
        <v>0</v>
      </c>
      <c r="P200" t="n">
        <v>0</v>
      </c>
      <c r="Q200" t="n">
        <v>0</v>
      </c>
      <c r="R200" s="2" t="inlineStr"/>
    </row>
    <row r="201" ht="15" customHeight="1">
      <c r="A201" t="inlineStr">
        <is>
          <t>A 22370-2025</t>
        </is>
      </c>
      <c r="B201" s="1" t="n">
        <v>45786</v>
      </c>
      <c r="C201" s="1" t="n">
        <v>45985</v>
      </c>
      <c r="D201" t="inlineStr">
        <is>
          <t>VÄSTMANLANDS LÄN</t>
        </is>
      </c>
      <c r="E201" t="inlineStr">
        <is>
          <t>SALA</t>
        </is>
      </c>
      <c r="G201" t="n">
        <v>3.2</v>
      </c>
      <c r="H201" t="n">
        <v>0</v>
      </c>
      <c r="I201" t="n">
        <v>0</v>
      </c>
      <c r="J201" t="n">
        <v>0</v>
      </c>
      <c r="K201" t="n">
        <v>0</v>
      </c>
      <c r="L201" t="n">
        <v>0</v>
      </c>
      <c r="M201" t="n">
        <v>0</v>
      </c>
      <c r="N201" t="n">
        <v>0</v>
      </c>
      <c r="O201" t="n">
        <v>0</v>
      </c>
      <c r="P201" t="n">
        <v>0</v>
      </c>
      <c r="Q201" t="n">
        <v>0</v>
      </c>
      <c r="R201" s="2" t="inlineStr"/>
    </row>
    <row r="202" ht="15" customHeight="1">
      <c r="A202" t="inlineStr">
        <is>
          <t>A 22383-2025</t>
        </is>
      </c>
      <c r="B202" s="1" t="n">
        <v>45786</v>
      </c>
      <c r="C202" s="1" t="n">
        <v>45985</v>
      </c>
      <c r="D202" t="inlineStr">
        <is>
          <t>VÄSTMANLANDS LÄN</t>
        </is>
      </c>
      <c r="E202" t="inlineStr">
        <is>
          <t>SALA</t>
        </is>
      </c>
      <c r="G202" t="n">
        <v>2.2</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45985</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24864-2024</t>
        </is>
      </c>
      <c r="B204" s="1" t="n">
        <v>45461.48888888889</v>
      </c>
      <c r="C204" s="1" t="n">
        <v>45985</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45985</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45985</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1118-2024</t>
        </is>
      </c>
      <c r="B207" s="1" t="n">
        <v>45302</v>
      </c>
      <c r="C207" s="1" t="n">
        <v>45985</v>
      </c>
      <c r="D207" t="inlineStr">
        <is>
          <t>VÄSTMANLANDS LÄN</t>
        </is>
      </c>
      <c r="E207" t="inlineStr">
        <is>
          <t>SALA</t>
        </is>
      </c>
      <c r="G207" t="n">
        <v>1.9</v>
      </c>
      <c r="H207" t="n">
        <v>0</v>
      </c>
      <c r="I207" t="n">
        <v>0</v>
      </c>
      <c r="J207" t="n">
        <v>0</v>
      </c>
      <c r="K207" t="n">
        <v>0</v>
      </c>
      <c r="L207" t="n">
        <v>0</v>
      </c>
      <c r="M207" t="n">
        <v>0</v>
      </c>
      <c r="N207" t="n">
        <v>0</v>
      </c>
      <c r="O207" t="n">
        <v>0</v>
      </c>
      <c r="P207" t="n">
        <v>0</v>
      </c>
      <c r="Q207" t="n">
        <v>0</v>
      </c>
      <c r="R207" s="2" t="inlineStr"/>
    </row>
    <row r="208" ht="15" customHeight="1">
      <c r="A208" t="inlineStr">
        <is>
          <t>A 38294-2025</t>
        </is>
      </c>
      <c r="B208" s="1" t="n">
        <v>45883.44854166666</v>
      </c>
      <c r="C208" s="1" t="n">
        <v>45985</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63933-2023</t>
        </is>
      </c>
      <c r="B209" s="1" t="n">
        <v>45278</v>
      </c>
      <c r="C209" s="1" t="n">
        <v>45985</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7176-2023</t>
        </is>
      </c>
      <c r="B210" s="1" t="n">
        <v>44970</v>
      </c>
      <c r="C210" s="1" t="n">
        <v>45985</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22624-2025</t>
        </is>
      </c>
      <c r="B211" s="1" t="n">
        <v>45789.43327546296</v>
      </c>
      <c r="C211" s="1" t="n">
        <v>45985</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37190-2024</t>
        </is>
      </c>
      <c r="B212" s="1" t="n">
        <v>45539</v>
      </c>
      <c r="C212" s="1" t="n">
        <v>45985</v>
      </c>
      <c r="D212" t="inlineStr">
        <is>
          <t>VÄSTMANLANDS LÄN</t>
        </is>
      </c>
      <c r="E212" t="inlineStr">
        <is>
          <t>SALA</t>
        </is>
      </c>
      <c r="G212" t="n">
        <v>0.9</v>
      </c>
      <c r="H212" t="n">
        <v>0</v>
      </c>
      <c r="I212" t="n">
        <v>0</v>
      </c>
      <c r="J212" t="n">
        <v>0</v>
      </c>
      <c r="K212" t="n">
        <v>0</v>
      </c>
      <c r="L212" t="n">
        <v>0</v>
      </c>
      <c r="M212" t="n">
        <v>0</v>
      </c>
      <c r="N212" t="n">
        <v>0</v>
      </c>
      <c r="O212" t="n">
        <v>0</v>
      </c>
      <c r="P212" t="n">
        <v>0</v>
      </c>
      <c r="Q212" t="n">
        <v>0</v>
      </c>
      <c r="R212" s="2" t="inlineStr"/>
    </row>
    <row r="213" ht="15" customHeight="1">
      <c r="A213" t="inlineStr">
        <is>
          <t>A 31405-2024</t>
        </is>
      </c>
      <c r="B213" s="1" t="n">
        <v>45505.5490625</v>
      </c>
      <c r="C213" s="1" t="n">
        <v>45985</v>
      </c>
      <c r="D213" t="inlineStr">
        <is>
          <t>VÄSTMANLANDS LÄN</t>
        </is>
      </c>
      <c r="E213" t="inlineStr">
        <is>
          <t>SALA</t>
        </is>
      </c>
      <c r="G213" t="n">
        <v>5.2</v>
      </c>
      <c r="H213" t="n">
        <v>0</v>
      </c>
      <c r="I213" t="n">
        <v>0</v>
      </c>
      <c r="J213" t="n">
        <v>0</v>
      </c>
      <c r="K213" t="n">
        <v>0</v>
      </c>
      <c r="L213" t="n">
        <v>0</v>
      </c>
      <c r="M213" t="n">
        <v>0</v>
      </c>
      <c r="N213" t="n">
        <v>0</v>
      </c>
      <c r="O213" t="n">
        <v>0</v>
      </c>
      <c r="P213" t="n">
        <v>0</v>
      </c>
      <c r="Q213" t="n">
        <v>0</v>
      </c>
      <c r="R213" s="2" t="inlineStr"/>
    </row>
    <row r="214" ht="15" customHeight="1">
      <c r="A214" t="inlineStr">
        <is>
          <t>A 39439-2021</t>
        </is>
      </c>
      <c r="B214" s="1" t="n">
        <v>44414</v>
      </c>
      <c r="C214" s="1" t="n">
        <v>45985</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22616-2025</t>
        </is>
      </c>
      <c r="B215" s="1" t="n">
        <v>45789.42752314815</v>
      </c>
      <c r="C215" s="1" t="n">
        <v>45985</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43600-2024</t>
        </is>
      </c>
      <c r="B216" s="1" t="n">
        <v>45569</v>
      </c>
      <c r="C216" s="1" t="n">
        <v>45985</v>
      </c>
      <c r="D216" t="inlineStr">
        <is>
          <t>VÄSTMANLANDS LÄN</t>
        </is>
      </c>
      <c r="E216" t="inlineStr">
        <is>
          <t>SALA</t>
        </is>
      </c>
      <c r="G216" t="n">
        <v>0.9</v>
      </c>
      <c r="H216" t="n">
        <v>0</v>
      </c>
      <c r="I216" t="n">
        <v>0</v>
      </c>
      <c r="J216" t="n">
        <v>0</v>
      </c>
      <c r="K216" t="n">
        <v>0</v>
      </c>
      <c r="L216" t="n">
        <v>0</v>
      </c>
      <c r="M216" t="n">
        <v>0</v>
      </c>
      <c r="N216" t="n">
        <v>0</v>
      </c>
      <c r="O216" t="n">
        <v>0</v>
      </c>
      <c r="P216" t="n">
        <v>0</v>
      </c>
      <c r="Q216" t="n">
        <v>0</v>
      </c>
      <c r="R216" s="2" t="inlineStr"/>
    </row>
    <row r="217" ht="15" customHeight="1">
      <c r="A217" t="inlineStr">
        <is>
          <t>A 13130-2025</t>
        </is>
      </c>
      <c r="B217" s="1" t="n">
        <v>45734</v>
      </c>
      <c r="C217" s="1" t="n">
        <v>45985</v>
      </c>
      <c r="D217" t="inlineStr">
        <is>
          <t>VÄSTMANLANDS LÄN</t>
        </is>
      </c>
      <c r="E217" t="inlineStr">
        <is>
          <t>SALA</t>
        </is>
      </c>
      <c r="G217" t="n">
        <v>1.5</v>
      </c>
      <c r="H217" t="n">
        <v>0</v>
      </c>
      <c r="I217" t="n">
        <v>0</v>
      </c>
      <c r="J217" t="n">
        <v>0</v>
      </c>
      <c r="K217" t="n">
        <v>0</v>
      </c>
      <c r="L217" t="n">
        <v>0</v>
      </c>
      <c r="M217" t="n">
        <v>0</v>
      </c>
      <c r="N217" t="n">
        <v>0</v>
      </c>
      <c r="O217" t="n">
        <v>0</v>
      </c>
      <c r="P217" t="n">
        <v>0</v>
      </c>
      <c r="Q217" t="n">
        <v>0</v>
      </c>
      <c r="R217" s="2" t="inlineStr"/>
    </row>
    <row r="218" ht="15" customHeight="1">
      <c r="A218" t="inlineStr">
        <is>
          <t>A 11389-2024</t>
        </is>
      </c>
      <c r="B218" s="1" t="n">
        <v>45372.45016203704</v>
      </c>
      <c r="C218" s="1" t="n">
        <v>45985</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56706-2022</t>
        </is>
      </c>
      <c r="B219" s="1" t="n">
        <v>44893.78893518518</v>
      </c>
      <c r="C219" s="1" t="n">
        <v>45985</v>
      </c>
      <c r="D219" t="inlineStr">
        <is>
          <t>VÄSTMANLANDS LÄN</t>
        </is>
      </c>
      <c r="E219" t="inlineStr">
        <is>
          <t>SALA</t>
        </is>
      </c>
      <c r="G219" t="n">
        <v>4.5</v>
      </c>
      <c r="H219" t="n">
        <v>0</v>
      </c>
      <c r="I219" t="n">
        <v>0</v>
      </c>
      <c r="J219" t="n">
        <v>0</v>
      </c>
      <c r="K219" t="n">
        <v>0</v>
      </c>
      <c r="L219" t="n">
        <v>0</v>
      </c>
      <c r="M219" t="n">
        <v>0</v>
      </c>
      <c r="N219" t="n">
        <v>0</v>
      </c>
      <c r="O219" t="n">
        <v>0</v>
      </c>
      <c r="P219" t="n">
        <v>0</v>
      </c>
      <c r="Q219" t="n">
        <v>0</v>
      </c>
      <c r="R219" s="2" t="inlineStr"/>
    </row>
    <row r="220" ht="15" customHeight="1">
      <c r="A220" t="inlineStr">
        <is>
          <t>A 56707-2022</t>
        </is>
      </c>
      <c r="B220" s="1" t="n">
        <v>44893.79412037037</v>
      </c>
      <c r="C220" s="1" t="n">
        <v>45985</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30971-2022</t>
        </is>
      </c>
      <c r="B221" s="1" t="n">
        <v>44768.46725694444</v>
      </c>
      <c r="C221" s="1" t="n">
        <v>45985</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39182-2025</t>
        </is>
      </c>
      <c r="B222" s="1" t="n">
        <v>45888.66204861111</v>
      </c>
      <c r="C222" s="1" t="n">
        <v>45985</v>
      </c>
      <c r="D222" t="inlineStr">
        <is>
          <t>VÄSTMANLANDS LÄN</t>
        </is>
      </c>
      <c r="E222" t="inlineStr">
        <is>
          <t>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46279-2021</t>
        </is>
      </c>
      <c r="B223" s="1" t="n">
        <v>44442.57797453704</v>
      </c>
      <c r="C223" s="1" t="n">
        <v>45985</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2900-2023</t>
        </is>
      </c>
      <c r="B224" s="1" t="n">
        <v>44943</v>
      </c>
      <c r="C224" s="1" t="n">
        <v>45985</v>
      </c>
      <c r="D224" t="inlineStr">
        <is>
          <t>VÄSTMANLANDS LÄN</t>
        </is>
      </c>
      <c r="E224" t="inlineStr">
        <is>
          <t>SALA</t>
        </is>
      </c>
      <c r="G224" t="n">
        <v>0.5</v>
      </c>
      <c r="H224" t="n">
        <v>0</v>
      </c>
      <c r="I224" t="n">
        <v>0</v>
      </c>
      <c r="J224" t="n">
        <v>0</v>
      </c>
      <c r="K224" t="n">
        <v>0</v>
      </c>
      <c r="L224" t="n">
        <v>0</v>
      </c>
      <c r="M224" t="n">
        <v>0</v>
      </c>
      <c r="N224" t="n">
        <v>0</v>
      </c>
      <c r="O224" t="n">
        <v>0</v>
      </c>
      <c r="P224" t="n">
        <v>0</v>
      </c>
      <c r="Q224" t="n">
        <v>0</v>
      </c>
      <c r="R224" s="2" t="inlineStr"/>
    </row>
    <row r="225" ht="15" customHeight="1">
      <c r="A225" t="inlineStr">
        <is>
          <t>A 31864-2025</t>
        </is>
      </c>
      <c r="B225" s="1" t="n">
        <v>45834.63819444444</v>
      </c>
      <c r="C225" s="1" t="n">
        <v>45985</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60730-2023</t>
        </is>
      </c>
      <c r="B226" s="1" t="n">
        <v>45260</v>
      </c>
      <c r="C226" s="1" t="n">
        <v>45985</v>
      </c>
      <c r="D226" t="inlineStr">
        <is>
          <t>VÄSTMANLANDS LÄN</t>
        </is>
      </c>
      <c r="E226" t="inlineStr">
        <is>
          <t>SALA</t>
        </is>
      </c>
      <c r="G226" t="n">
        <v>1.3</v>
      </c>
      <c r="H226" t="n">
        <v>0</v>
      </c>
      <c r="I226" t="n">
        <v>0</v>
      </c>
      <c r="J226" t="n">
        <v>0</v>
      </c>
      <c r="K226" t="n">
        <v>0</v>
      </c>
      <c r="L226" t="n">
        <v>0</v>
      </c>
      <c r="M226" t="n">
        <v>0</v>
      </c>
      <c r="N226" t="n">
        <v>0</v>
      </c>
      <c r="O226" t="n">
        <v>0</v>
      </c>
      <c r="P226" t="n">
        <v>0</v>
      </c>
      <c r="Q226" t="n">
        <v>0</v>
      </c>
      <c r="R226" s="2" t="inlineStr"/>
    </row>
    <row r="227" ht="15" customHeight="1">
      <c r="A227" t="inlineStr">
        <is>
          <t>A 60731-2023</t>
        </is>
      </c>
      <c r="B227" s="1" t="n">
        <v>45260</v>
      </c>
      <c r="C227" s="1" t="n">
        <v>45985</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39167-2025</t>
        </is>
      </c>
      <c r="B228" s="1" t="n">
        <v>45888</v>
      </c>
      <c r="C228" s="1" t="n">
        <v>45985</v>
      </c>
      <c r="D228" t="inlineStr">
        <is>
          <t>VÄSTMANLANDS LÄN</t>
        </is>
      </c>
      <c r="E228" t="inlineStr">
        <is>
          <t>SALA</t>
        </is>
      </c>
      <c r="G228" t="n">
        <v>5.5</v>
      </c>
      <c r="H228" t="n">
        <v>0</v>
      </c>
      <c r="I228" t="n">
        <v>0</v>
      </c>
      <c r="J228" t="n">
        <v>0</v>
      </c>
      <c r="K228" t="n">
        <v>0</v>
      </c>
      <c r="L228" t="n">
        <v>0</v>
      </c>
      <c r="M228" t="n">
        <v>0</v>
      </c>
      <c r="N228" t="n">
        <v>0</v>
      </c>
      <c r="O228" t="n">
        <v>0</v>
      </c>
      <c r="P228" t="n">
        <v>0</v>
      </c>
      <c r="Q228" t="n">
        <v>0</v>
      </c>
      <c r="R228" s="2" t="inlineStr"/>
    </row>
    <row r="229" ht="15" customHeight="1">
      <c r="A229" t="inlineStr">
        <is>
          <t>A 24169-2025</t>
        </is>
      </c>
      <c r="B229" s="1" t="n">
        <v>45796</v>
      </c>
      <c r="C229" s="1" t="n">
        <v>45985</v>
      </c>
      <c r="D229" t="inlineStr">
        <is>
          <t>VÄSTMANLANDS LÄN</t>
        </is>
      </c>
      <c r="E229" t="inlineStr">
        <is>
          <t>SALA</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22126-2025</t>
        </is>
      </c>
      <c r="B230" s="1" t="n">
        <v>45785</v>
      </c>
      <c r="C230" s="1" t="n">
        <v>45985</v>
      </c>
      <c r="D230" t="inlineStr">
        <is>
          <t>VÄSTMANLANDS LÄN</t>
        </is>
      </c>
      <c r="E230" t="inlineStr">
        <is>
          <t>SALA</t>
        </is>
      </c>
      <c r="G230" t="n">
        <v>10.6</v>
      </c>
      <c r="H230" t="n">
        <v>0</v>
      </c>
      <c r="I230" t="n">
        <v>0</v>
      </c>
      <c r="J230" t="n">
        <v>0</v>
      </c>
      <c r="K230" t="n">
        <v>0</v>
      </c>
      <c r="L230" t="n">
        <v>0</v>
      </c>
      <c r="M230" t="n">
        <v>0</v>
      </c>
      <c r="N230" t="n">
        <v>0</v>
      </c>
      <c r="O230" t="n">
        <v>0</v>
      </c>
      <c r="P230" t="n">
        <v>0</v>
      </c>
      <c r="Q230" t="n">
        <v>0</v>
      </c>
      <c r="R230" s="2" t="inlineStr"/>
    </row>
    <row r="231" ht="15" customHeight="1">
      <c r="A231" t="inlineStr">
        <is>
          <t>A 23810-2025</t>
        </is>
      </c>
      <c r="B231" s="1" t="n">
        <v>45793.56989583333</v>
      </c>
      <c r="C231" s="1" t="n">
        <v>45985</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24944-2023</t>
        </is>
      </c>
      <c r="B232" s="1" t="n">
        <v>45085</v>
      </c>
      <c r="C232" s="1" t="n">
        <v>45985</v>
      </c>
      <c r="D232" t="inlineStr">
        <is>
          <t>VÄSTMANLANDS LÄN</t>
        </is>
      </c>
      <c r="E232" t="inlineStr">
        <is>
          <t>SALA</t>
        </is>
      </c>
      <c r="G232" t="n">
        <v>3.8</v>
      </c>
      <c r="H232" t="n">
        <v>0</v>
      </c>
      <c r="I232" t="n">
        <v>0</v>
      </c>
      <c r="J232" t="n">
        <v>0</v>
      </c>
      <c r="K232" t="n">
        <v>0</v>
      </c>
      <c r="L232" t="n">
        <v>0</v>
      </c>
      <c r="M232" t="n">
        <v>0</v>
      </c>
      <c r="N232" t="n">
        <v>0</v>
      </c>
      <c r="O232" t="n">
        <v>0</v>
      </c>
      <c r="P232" t="n">
        <v>0</v>
      </c>
      <c r="Q232" t="n">
        <v>0</v>
      </c>
      <c r="R232" s="2" t="inlineStr"/>
    </row>
    <row r="233" ht="15" customHeight="1">
      <c r="A233" t="inlineStr">
        <is>
          <t>A 23804-2025</t>
        </is>
      </c>
      <c r="B233" s="1" t="n">
        <v>45793.55995370371</v>
      </c>
      <c r="C233" s="1" t="n">
        <v>45985</v>
      </c>
      <c r="D233" t="inlineStr">
        <is>
          <t>VÄSTMANLANDS LÄN</t>
        </is>
      </c>
      <c r="E233" t="inlineStr">
        <is>
          <t>SALA</t>
        </is>
      </c>
      <c r="G233" t="n">
        <v>1.9</v>
      </c>
      <c r="H233" t="n">
        <v>0</v>
      </c>
      <c r="I233" t="n">
        <v>0</v>
      </c>
      <c r="J233" t="n">
        <v>0</v>
      </c>
      <c r="K233" t="n">
        <v>0</v>
      </c>
      <c r="L233" t="n">
        <v>0</v>
      </c>
      <c r="M233" t="n">
        <v>0</v>
      </c>
      <c r="N233" t="n">
        <v>0</v>
      </c>
      <c r="O233" t="n">
        <v>0</v>
      </c>
      <c r="P233" t="n">
        <v>0</v>
      </c>
      <c r="Q233" t="n">
        <v>0</v>
      </c>
      <c r="R233" s="2" t="inlineStr"/>
    </row>
    <row r="234" ht="15" customHeight="1">
      <c r="A234" t="inlineStr">
        <is>
          <t>A 52498-2022</t>
        </is>
      </c>
      <c r="B234" s="1" t="n">
        <v>44874.50152777778</v>
      </c>
      <c r="C234" s="1" t="n">
        <v>45985</v>
      </c>
      <c r="D234" t="inlineStr">
        <is>
          <t>VÄSTMANLANDS LÄN</t>
        </is>
      </c>
      <c r="E234" t="inlineStr">
        <is>
          <t>SALA</t>
        </is>
      </c>
      <c r="G234" t="n">
        <v>2.1</v>
      </c>
      <c r="H234" t="n">
        <v>0</v>
      </c>
      <c r="I234" t="n">
        <v>0</v>
      </c>
      <c r="J234" t="n">
        <v>0</v>
      </c>
      <c r="K234" t="n">
        <v>0</v>
      </c>
      <c r="L234" t="n">
        <v>0</v>
      </c>
      <c r="M234" t="n">
        <v>0</v>
      </c>
      <c r="N234" t="n">
        <v>0</v>
      </c>
      <c r="O234" t="n">
        <v>0</v>
      </c>
      <c r="P234" t="n">
        <v>0</v>
      </c>
      <c r="Q234" t="n">
        <v>0</v>
      </c>
      <c r="R234" s="2" t="inlineStr"/>
    </row>
    <row r="235" ht="15" customHeight="1">
      <c r="A235" t="inlineStr">
        <is>
          <t>A 11210-2025</t>
        </is>
      </c>
      <c r="B235" s="1" t="n">
        <v>45726</v>
      </c>
      <c r="C235" s="1" t="n">
        <v>45985</v>
      </c>
      <c r="D235" t="inlineStr">
        <is>
          <t>VÄSTMANLANDS LÄN</t>
        </is>
      </c>
      <c r="E235" t="inlineStr">
        <is>
          <t>SALA</t>
        </is>
      </c>
      <c r="G235" t="n">
        <v>4.1</v>
      </c>
      <c r="H235" t="n">
        <v>0</v>
      </c>
      <c r="I235" t="n">
        <v>0</v>
      </c>
      <c r="J235" t="n">
        <v>0</v>
      </c>
      <c r="K235" t="n">
        <v>0</v>
      </c>
      <c r="L235" t="n">
        <v>0</v>
      </c>
      <c r="M235" t="n">
        <v>0</v>
      </c>
      <c r="N235" t="n">
        <v>0</v>
      </c>
      <c r="O235" t="n">
        <v>0</v>
      </c>
      <c r="P235" t="n">
        <v>0</v>
      </c>
      <c r="Q235" t="n">
        <v>0</v>
      </c>
      <c r="R235" s="2" t="inlineStr"/>
    </row>
    <row r="236" ht="15" customHeight="1">
      <c r="A236" t="inlineStr">
        <is>
          <t>A 19297-2025</t>
        </is>
      </c>
      <c r="B236" s="1" t="n">
        <v>45769.56261574074</v>
      </c>
      <c r="C236" s="1" t="n">
        <v>45985</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24460-2025</t>
        </is>
      </c>
      <c r="B237" s="1" t="n">
        <v>45798</v>
      </c>
      <c r="C237" s="1" t="n">
        <v>45985</v>
      </c>
      <c r="D237" t="inlineStr">
        <is>
          <t>VÄSTMANLANDS LÄN</t>
        </is>
      </c>
      <c r="E237" t="inlineStr">
        <is>
          <t>SALA</t>
        </is>
      </c>
      <c r="F237" t="inlineStr">
        <is>
          <t>Bergvik skog öst AB</t>
        </is>
      </c>
      <c r="G237" t="n">
        <v>2.6</v>
      </c>
      <c r="H237" t="n">
        <v>0</v>
      </c>
      <c r="I237" t="n">
        <v>0</v>
      </c>
      <c r="J237" t="n">
        <v>0</v>
      </c>
      <c r="K237" t="n">
        <v>0</v>
      </c>
      <c r="L237" t="n">
        <v>0</v>
      </c>
      <c r="M237" t="n">
        <v>0</v>
      </c>
      <c r="N237" t="n">
        <v>0</v>
      </c>
      <c r="O237" t="n">
        <v>0</v>
      </c>
      <c r="P237" t="n">
        <v>0</v>
      </c>
      <c r="Q237" t="n">
        <v>0</v>
      </c>
      <c r="R237" s="2" t="inlineStr"/>
    </row>
    <row r="238" ht="15" customHeight="1">
      <c r="A238" t="inlineStr">
        <is>
          <t>A 35976-2024</t>
        </is>
      </c>
      <c r="B238" s="1" t="n">
        <v>45533.49555555556</v>
      </c>
      <c r="C238" s="1" t="n">
        <v>45985</v>
      </c>
      <c r="D238" t="inlineStr">
        <is>
          <t>VÄSTMANLANDS LÄN</t>
        </is>
      </c>
      <c r="E238" t="inlineStr">
        <is>
          <t>SALA</t>
        </is>
      </c>
      <c r="G238" t="n">
        <v>2.3</v>
      </c>
      <c r="H238" t="n">
        <v>0</v>
      </c>
      <c r="I238" t="n">
        <v>0</v>
      </c>
      <c r="J238" t="n">
        <v>0</v>
      </c>
      <c r="K238" t="n">
        <v>0</v>
      </c>
      <c r="L238" t="n">
        <v>0</v>
      </c>
      <c r="M238" t="n">
        <v>0</v>
      </c>
      <c r="N238" t="n">
        <v>0</v>
      </c>
      <c r="O238" t="n">
        <v>0</v>
      </c>
      <c r="P238" t="n">
        <v>0</v>
      </c>
      <c r="Q238" t="n">
        <v>0</v>
      </c>
      <c r="R238" s="2" t="inlineStr"/>
    </row>
    <row r="239" ht="15" customHeight="1">
      <c r="A239" t="inlineStr">
        <is>
          <t>A 55065-2024</t>
        </is>
      </c>
      <c r="B239" s="1" t="n">
        <v>45618</v>
      </c>
      <c r="C239" s="1" t="n">
        <v>45985</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45985</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40556-2025</t>
        </is>
      </c>
      <c r="B241" s="1" t="n">
        <v>45896.44944444444</v>
      </c>
      <c r="C241" s="1" t="n">
        <v>45985</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40559-2025</t>
        </is>
      </c>
      <c r="B242" s="1" t="n">
        <v>45896.45037037037</v>
      </c>
      <c r="C242" s="1" t="n">
        <v>45985</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38636-2024</t>
        </is>
      </c>
      <c r="B243" s="1" t="n">
        <v>45546</v>
      </c>
      <c r="C243" s="1" t="n">
        <v>45985</v>
      </c>
      <c r="D243" t="inlineStr">
        <is>
          <t>VÄSTMANLANDS LÄN</t>
        </is>
      </c>
      <c r="E243" t="inlineStr">
        <is>
          <t>SALA</t>
        </is>
      </c>
      <c r="G243" t="n">
        <v>0.7</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45985</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71471-2021</t>
        </is>
      </c>
      <c r="B245" s="1" t="n">
        <v>44540.53421296296</v>
      </c>
      <c r="C245" s="1" t="n">
        <v>45985</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8775-2024</t>
        </is>
      </c>
      <c r="B246" s="1" t="n">
        <v>45356</v>
      </c>
      <c r="C246" s="1" t="n">
        <v>45985</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24907-2025</t>
        </is>
      </c>
      <c r="B247" s="1" t="n">
        <v>45799</v>
      </c>
      <c r="C247" s="1" t="n">
        <v>45985</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24910-2025</t>
        </is>
      </c>
      <c r="B248" s="1" t="n">
        <v>45799.53775462963</v>
      </c>
      <c r="C248" s="1" t="n">
        <v>45985</v>
      </c>
      <c r="D248" t="inlineStr">
        <is>
          <t>VÄSTMANLANDS LÄN</t>
        </is>
      </c>
      <c r="E248" t="inlineStr">
        <is>
          <t>SALA</t>
        </is>
      </c>
      <c r="G248" t="n">
        <v>3.5</v>
      </c>
      <c r="H248" t="n">
        <v>0</v>
      </c>
      <c r="I248" t="n">
        <v>0</v>
      </c>
      <c r="J248" t="n">
        <v>0</v>
      </c>
      <c r="K248" t="n">
        <v>0</v>
      </c>
      <c r="L248" t="n">
        <v>0</v>
      </c>
      <c r="M248" t="n">
        <v>0</v>
      </c>
      <c r="N248" t="n">
        <v>0</v>
      </c>
      <c r="O248" t="n">
        <v>0</v>
      </c>
      <c r="P248" t="n">
        <v>0</v>
      </c>
      <c r="Q248" t="n">
        <v>0</v>
      </c>
      <c r="R248" s="2" t="inlineStr"/>
    </row>
    <row r="249" ht="15" customHeight="1">
      <c r="A249" t="inlineStr">
        <is>
          <t>A 41230-2025</t>
        </is>
      </c>
      <c r="B249" s="1" t="n">
        <v>45898</v>
      </c>
      <c r="C249" s="1" t="n">
        <v>45985</v>
      </c>
      <c r="D249" t="inlineStr">
        <is>
          <t>VÄSTMANLANDS LÄN</t>
        </is>
      </c>
      <c r="E249" t="inlineStr">
        <is>
          <t>SALA</t>
        </is>
      </c>
      <c r="G249" t="n">
        <v>2.3</v>
      </c>
      <c r="H249" t="n">
        <v>0</v>
      </c>
      <c r="I249" t="n">
        <v>0</v>
      </c>
      <c r="J249" t="n">
        <v>0</v>
      </c>
      <c r="K249" t="n">
        <v>0</v>
      </c>
      <c r="L249" t="n">
        <v>0</v>
      </c>
      <c r="M249" t="n">
        <v>0</v>
      </c>
      <c r="N249" t="n">
        <v>0</v>
      </c>
      <c r="O249" t="n">
        <v>0</v>
      </c>
      <c r="P249" t="n">
        <v>0</v>
      </c>
      <c r="Q249" t="n">
        <v>0</v>
      </c>
      <c r="R249" s="2" t="inlineStr"/>
    </row>
    <row r="250" ht="15" customHeight="1">
      <c r="A250" t="inlineStr">
        <is>
          <t>A 39011-2023</t>
        </is>
      </c>
      <c r="B250" s="1" t="n">
        <v>45162</v>
      </c>
      <c r="C250" s="1" t="n">
        <v>45985</v>
      </c>
      <c r="D250" t="inlineStr">
        <is>
          <t>VÄSTMANLANDS LÄN</t>
        </is>
      </c>
      <c r="E250" t="inlineStr">
        <is>
          <t>SALA</t>
        </is>
      </c>
      <c r="G250" t="n">
        <v>1.6</v>
      </c>
      <c r="H250" t="n">
        <v>0</v>
      </c>
      <c r="I250" t="n">
        <v>0</v>
      </c>
      <c r="J250" t="n">
        <v>0</v>
      </c>
      <c r="K250" t="n">
        <v>0</v>
      </c>
      <c r="L250" t="n">
        <v>0</v>
      </c>
      <c r="M250" t="n">
        <v>0</v>
      </c>
      <c r="N250" t="n">
        <v>0</v>
      </c>
      <c r="O250" t="n">
        <v>0</v>
      </c>
      <c r="P250" t="n">
        <v>0</v>
      </c>
      <c r="Q250" t="n">
        <v>0</v>
      </c>
      <c r="R250" s="2" t="inlineStr"/>
    </row>
    <row r="251" ht="15" customHeight="1">
      <c r="A251" t="inlineStr">
        <is>
          <t>A 56547-2022</t>
        </is>
      </c>
      <c r="B251" s="1" t="n">
        <v>44893.48284722222</v>
      </c>
      <c r="C251" s="1" t="n">
        <v>45985</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10909-2024</t>
        </is>
      </c>
      <c r="B252" s="1" t="n">
        <v>45370</v>
      </c>
      <c r="C252" s="1" t="n">
        <v>45985</v>
      </c>
      <c r="D252" t="inlineStr">
        <is>
          <t>VÄSTMANLANDS LÄN</t>
        </is>
      </c>
      <c r="E252" t="inlineStr">
        <is>
          <t>SALA</t>
        </is>
      </c>
      <c r="G252" t="n">
        <v>3.3</v>
      </c>
      <c r="H252" t="n">
        <v>0</v>
      </c>
      <c r="I252" t="n">
        <v>0</v>
      </c>
      <c r="J252" t="n">
        <v>0</v>
      </c>
      <c r="K252" t="n">
        <v>0</v>
      </c>
      <c r="L252" t="n">
        <v>0</v>
      </c>
      <c r="M252" t="n">
        <v>0</v>
      </c>
      <c r="N252" t="n">
        <v>0</v>
      </c>
      <c r="O252" t="n">
        <v>0</v>
      </c>
      <c r="P252" t="n">
        <v>0</v>
      </c>
      <c r="Q252" t="n">
        <v>0</v>
      </c>
      <c r="R252" s="2" t="inlineStr"/>
    </row>
    <row r="253" ht="15" customHeight="1">
      <c r="A253" t="inlineStr">
        <is>
          <t>A 56916-2022</t>
        </is>
      </c>
      <c r="B253" s="1" t="n">
        <v>44888</v>
      </c>
      <c r="C253" s="1" t="n">
        <v>45985</v>
      </c>
      <c r="D253" t="inlineStr">
        <is>
          <t>VÄSTMANLANDS LÄN</t>
        </is>
      </c>
      <c r="E253" t="inlineStr">
        <is>
          <t>SALA</t>
        </is>
      </c>
      <c r="G253" t="n">
        <v>1.7</v>
      </c>
      <c r="H253" t="n">
        <v>0</v>
      </c>
      <c r="I253" t="n">
        <v>0</v>
      </c>
      <c r="J253" t="n">
        <v>0</v>
      </c>
      <c r="K253" t="n">
        <v>0</v>
      </c>
      <c r="L253" t="n">
        <v>0</v>
      </c>
      <c r="M253" t="n">
        <v>0</v>
      </c>
      <c r="N253" t="n">
        <v>0</v>
      </c>
      <c r="O253" t="n">
        <v>0</v>
      </c>
      <c r="P253" t="n">
        <v>0</v>
      </c>
      <c r="Q253" t="n">
        <v>0</v>
      </c>
      <c r="R253" s="2" t="inlineStr"/>
    </row>
    <row r="254" ht="15" customHeight="1">
      <c r="A254" t="inlineStr">
        <is>
          <t>A 50249-2025</t>
        </is>
      </c>
      <c r="B254" s="1" t="n">
        <v>45944.31508101852</v>
      </c>
      <c r="C254" s="1" t="n">
        <v>45985</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41431-2025</t>
        </is>
      </c>
      <c r="B255" s="1" t="n">
        <v>45901.39347222223</v>
      </c>
      <c r="C255" s="1" t="n">
        <v>45985</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41414-2025</t>
        </is>
      </c>
      <c r="B256" s="1" t="n">
        <v>45901.360625</v>
      </c>
      <c r="C256" s="1" t="n">
        <v>45985</v>
      </c>
      <c r="D256" t="inlineStr">
        <is>
          <t>VÄSTMANLANDS LÄN</t>
        </is>
      </c>
      <c r="E256" t="inlineStr">
        <is>
          <t>SALA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53164-2024</t>
        </is>
      </c>
      <c r="B257" s="1" t="n">
        <v>45611.64887731482</v>
      </c>
      <c r="C257" s="1" t="n">
        <v>45985</v>
      </c>
      <c r="D257" t="inlineStr">
        <is>
          <t>VÄSTMANLANDS LÄN</t>
        </is>
      </c>
      <c r="E257" t="inlineStr">
        <is>
          <t>SALA</t>
        </is>
      </c>
      <c r="G257" t="n">
        <v>2.6</v>
      </c>
      <c r="H257" t="n">
        <v>0</v>
      </c>
      <c r="I257" t="n">
        <v>0</v>
      </c>
      <c r="J257" t="n">
        <v>0</v>
      </c>
      <c r="K257" t="n">
        <v>0</v>
      </c>
      <c r="L257" t="n">
        <v>0</v>
      </c>
      <c r="M257" t="n">
        <v>0</v>
      </c>
      <c r="N257" t="n">
        <v>0</v>
      </c>
      <c r="O257" t="n">
        <v>0</v>
      </c>
      <c r="P257" t="n">
        <v>0</v>
      </c>
      <c r="Q257" t="n">
        <v>0</v>
      </c>
      <c r="R257" s="2" t="inlineStr"/>
    </row>
    <row r="258" ht="15" customHeight="1">
      <c r="A258" t="inlineStr">
        <is>
          <t>A 50119-2025</t>
        </is>
      </c>
      <c r="B258" s="1" t="n">
        <v>45943.54883101852</v>
      </c>
      <c r="C258" s="1" t="n">
        <v>45985</v>
      </c>
      <c r="D258" t="inlineStr">
        <is>
          <t>VÄSTMANLANDS LÄN</t>
        </is>
      </c>
      <c r="E258" t="inlineStr">
        <is>
          <t>SALA</t>
        </is>
      </c>
      <c r="G258" t="n">
        <v>3.3</v>
      </c>
      <c r="H258" t="n">
        <v>0</v>
      </c>
      <c r="I258" t="n">
        <v>0</v>
      </c>
      <c r="J258" t="n">
        <v>0</v>
      </c>
      <c r="K258" t="n">
        <v>0</v>
      </c>
      <c r="L258" t="n">
        <v>0</v>
      </c>
      <c r="M258" t="n">
        <v>0</v>
      </c>
      <c r="N258" t="n">
        <v>0</v>
      </c>
      <c r="O258" t="n">
        <v>0</v>
      </c>
      <c r="P258" t="n">
        <v>0</v>
      </c>
      <c r="Q258" t="n">
        <v>0</v>
      </c>
      <c r="R258" s="2" t="inlineStr"/>
    </row>
    <row r="259" ht="15" customHeight="1">
      <c r="A259" t="inlineStr">
        <is>
          <t>A 50128-2025</t>
        </is>
      </c>
      <c r="B259" s="1" t="n">
        <v>45943.55318287037</v>
      </c>
      <c r="C259" s="1" t="n">
        <v>45985</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45985</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50059-2025</t>
        </is>
      </c>
      <c r="B261" s="1" t="n">
        <v>45943.44125</v>
      </c>
      <c r="C261" s="1" t="n">
        <v>45985</v>
      </c>
      <c r="D261" t="inlineStr">
        <is>
          <t>VÄSTMANLANDS LÄN</t>
        </is>
      </c>
      <c r="E261" t="inlineStr">
        <is>
          <t>SALA</t>
        </is>
      </c>
      <c r="G261" t="n">
        <v>4.4</v>
      </c>
      <c r="H261" t="n">
        <v>0</v>
      </c>
      <c r="I261" t="n">
        <v>0</v>
      </c>
      <c r="J261" t="n">
        <v>0</v>
      </c>
      <c r="K261" t="n">
        <v>0</v>
      </c>
      <c r="L261" t="n">
        <v>0</v>
      </c>
      <c r="M261" t="n">
        <v>0</v>
      </c>
      <c r="N261" t="n">
        <v>0</v>
      </c>
      <c r="O261" t="n">
        <v>0</v>
      </c>
      <c r="P261" t="n">
        <v>0</v>
      </c>
      <c r="Q261" t="n">
        <v>0</v>
      </c>
      <c r="R261" s="2" t="inlineStr"/>
    </row>
    <row r="262" ht="15" customHeight="1">
      <c r="A262" t="inlineStr">
        <is>
          <t>A 45313-2024</t>
        </is>
      </c>
      <c r="B262" s="1" t="n">
        <v>45576</v>
      </c>
      <c r="C262" s="1" t="n">
        <v>45985</v>
      </c>
      <c r="D262" t="inlineStr">
        <is>
          <t>VÄSTMANLANDS LÄN</t>
        </is>
      </c>
      <c r="E262" t="inlineStr">
        <is>
          <t>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56535-2022</t>
        </is>
      </c>
      <c r="B263" s="1" t="n">
        <v>44893.47173611111</v>
      </c>
      <c r="C263" s="1" t="n">
        <v>45985</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47909-2022</t>
        </is>
      </c>
      <c r="B264" s="1" t="n">
        <v>44855</v>
      </c>
      <c r="C264" s="1" t="n">
        <v>45985</v>
      </c>
      <c r="D264" t="inlineStr">
        <is>
          <t>VÄSTMANLANDS LÄN</t>
        </is>
      </c>
      <c r="E264" t="inlineStr">
        <is>
          <t>SALA</t>
        </is>
      </c>
      <c r="F264" t="inlineStr">
        <is>
          <t>Bergvik skog öst AB</t>
        </is>
      </c>
      <c r="G264" t="n">
        <v>2</v>
      </c>
      <c r="H264" t="n">
        <v>0</v>
      </c>
      <c r="I264" t="n">
        <v>0</v>
      </c>
      <c r="J264" t="n">
        <v>0</v>
      </c>
      <c r="K264" t="n">
        <v>0</v>
      </c>
      <c r="L264" t="n">
        <v>0</v>
      </c>
      <c r="M264" t="n">
        <v>0</v>
      </c>
      <c r="N264" t="n">
        <v>0</v>
      </c>
      <c r="O264" t="n">
        <v>0</v>
      </c>
      <c r="P264" t="n">
        <v>0</v>
      </c>
      <c r="Q264" t="n">
        <v>0</v>
      </c>
      <c r="R264" s="2" t="inlineStr"/>
    </row>
    <row r="265" ht="15" customHeight="1">
      <c r="A265" t="inlineStr">
        <is>
          <t>A 52630-2022</t>
        </is>
      </c>
      <c r="B265" s="1" t="n">
        <v>44874</v>
      </c>
      <c r="C265" s="1" t="n">
        <v>45985</v>
      </c>
      <c r="D265" t="inlineStr">
        <is>
          <t>VÄSTMANLANDS LÄN</t>
        </is>
      </c>
      <c r="E265" t="inlineStr">
        <is>
          <t>SALA</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56687-2024</t>
        </is>
      </c>
      <c r="B266" s="1" t="n">
        <v>45627.63271990741</v>
      </c>
      <c r="C266" s="1" t="n">
        <v>45985</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61715-2024</t>
        </is>
      </c>
      <c r="B267" s="1" t="n">
        <v>45648.89519675926</v>
      </c>
      <c r="C267" s="1" t="n">
        <v>45985</v>
      </c>
      <c r="D267" t="inlineStr">
        <is>
          <t>VÄSTMANLANDS LÄN</t>
        </is>
      </c>
      <c r="E267" t="inlineStr">
        <is>
          <t>SALA</t>
        </is>
      </c>
      <c r="G267" t="n">
        <v>2.5</v>
      </c>
      <c r="H267" t="n">
        <v>0</v>
      </c>
      <c r="I267" t="n">
        <v>0</v>
      </c>
      <c r="J267" t="n">
        <v>0</v>
      </c>
      <c r="K267" t="n">
        <v>0</v>
      </c>
      <c r="L267" t="n">
        <v>0</v>
      </c>
      <c r="M267" t="n">
        <v>0</v>
      </c>
      <c r="N267" t="n">
        <v>0</v>
      </c>
      <c r="O267" t="n">
        <v>0</v>
      </c>
      <c r="P267" t="n">
        <v>0</v>
      </c>
      <c r="Q267" t="n">
        <v>0</v>
      </c>
      <c r="R267" s="2" t="inlineStr"/>
    </row>
    <row r="268" ht="15" customHeight="1">
      <c r="A268" t="inlineStr">
        <is>
          <t>A 26661-2025</t>
        </is>
      </c>
      <c r="B268" s="1" t="n">
        <v>45810</v>
      </c>
      <c r="C268" s="1" t="n">
        <v>45985</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16404-2022</t>
        </is>
      </c>
      <c r="B269" s="1" t="n">
        <v>44671</v>
      </c>
      <c r="C269" s="1" t="n">
        <v>45985</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6097-2022</t>
        </is>
      </c>
      <c r="B270" s="1" t="n">
        <v>44599</v>
      </c>
      <c r="C270" s="1" t="n">
        <v>45985</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51247-2025</t>
        </is>
      </c>
      <c r="B271" s="1" t="n">
        <v>45947.86487268518</v>
      </c>
      <c r="C271" s="1" t="n">
        <v>45985</v>
      </c>
      <c r="D271" t="inlineStr">
        <is>
          <t>VÄSTMANLANDS LÄN</t>
        </is>
      </c>
      <c r="E271" t="inlineStr">
        <is>
          <t>SALA</t>
        </is>
      </c>
      <c r="G271" t="n">
        <v>10.4</v>
      </c>
      <c r="H271" t="n">
        <v>0</v>
      </c>
      <c r="I271" t="n">
        <v>0</v>
      </c>
      <c r="J271" t="n">
        <v>0</v>
      </c>
      <c r="K271" t="n">
        <v>0</v>
      </c>
      <c r="L271" t="n">
        <v>0</v>
      </c>
      <c r="M271" t="n">
        <v>0</v>
      </c>
      <c r="N271" t="n">
        <v>0</v>
      </c>
      <c r="O271" t="n">
        <v>0</v>
      </c>
      <c r="P271" t="n">
        <v>0</v>
      </c>
      <c r="Q271" t="n">
        <v>0</v>
      </c>
      <c r="R271" s="2" t="inlineStr"/>
    </row>
    <row r="272" ht="15" customHeight="1">
      <c r="A272" t="inlineStr">
        <is>
          <t>A 21968-2024</t>
        </is>
      </c>
      <c r="B272" s="1" t="n">
        <v>45443</v>
      </c>
      <c r="C272" s="1" t="n">
        <v>45985</v>
      </c>
      <c r="D272" t="inlineStr">
        <is>
          <t>VÄSTMANLANDS LÄN</t>
        </is>
      </c>
      <c r="E272" t="inlineStr">
        <is>
          <t>SALA</t>
        </is>
      </c>
      <c r="G272" t="n">
        <v>1.9</v>
      </c>
      <c r="H272" t="n">
        <v>0</v>
      </c>
      <c r="I272" t="n">
        <v>0</v>
      </c>
      <c r="J272" t="n">
        <v>0</v>
      </c>
      <c r="K272" t="n">
        <v>0</v>
      </c>
      <c r="L272" t="n">
        <v>0</v>
      </c>
      <c r="M272" t="n">
        <v>0</v>
      </c>
      <c r="N272" t="n">
        <v>0</v>
      </c>
      <c r="O272" t="n">
        <v>0</v>
      </c>
      <c r="P272" t="n">
        <v>0</v>
      </c>
      <c r="Q272" t="n">
        <v>0</v>
      </c>
      <c r="R272" s="2" t="inlineStr"/>
    </row>
    <row r="273" ht="15" customHeight="1">
      <c r="A273" t="inlineStr">
        <is>
          <t>A 10559-2024</t>
        </is>
      </c>
      <c r="B273" s="1" t="n">
        <v>45366</v>
      </c>
      <c r="C273" s="1" t="n">
        <v>45985</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60545-2024</t>
        </is>
      </c>
      <c r="B274" s="1" t="n">
        <v>45643</v>
      </c>
      <c r="C274" s="1" t="n">
        <v>45985</v>
      </c>
      <c r="D274" t="inlineStr">
        <is>
          <t>VÄSTMANLANDS LÄN</t>
        </is>
      </c>
      <c r="E274" t="inlineStr">
        <is>
          <t>SALA</t>
        </is>
      </c>
      <c r="G274" t="n">
        <v>3.3</v>
      </c>
      <c r="H274" t="n">
        <v>0</v>
      </c>
      <c r="I274" t="n">
        <v>0</v>
      </c>
      <c r="J274" t="n">
        <v>0</v>
      </c>
      <c r="K274" t="n">
        <v>0</v>
      </c>
      <c r="L274" t="n">
        <v>0</v>
      </c>
      <c r="M274" t="n">
        <v>0</v>
      </c>
      <c r="N274" t="n">
        <v>0</v>
      </c>
      <c r="O274" t="n">
        <v>0</v>
      </c>
      <c r="P274" t="n">
        <v>0</v>
      </c>
      <c r="Q274" t="n">
        <v>0</v>
      </c>
      <c r="R274" s="2" t="inlineStr"/>
    </row>
    <row r="275" ht="15" customHeight="1">
      <c r="A275" t="inlineStr">
        <is>
          <t>A 60547-2024</t>
        </is>
      </c>
      <c r="B275" s="1" t="n">
        <v>45643</v>
      </c>
      <c r="C275" s="1" t="n">
        <v>45985</v>
      </c>
      <c r="D275" t="inlineStr">
        <is>
          <t>VÄSTMANLANDS LÄN</t>
        </is>
      </c>
      <c r="E275" t="inlineStr">
        <is>
          <t>SALA</t>
        </is>
      </c>
      <c r="G275" t="n">
        <v>0.6</v>
      </c>
      <c r="H275" t="n">
        <v>0</v>
      </c>
      <c r="I275" t="n">
        <v>0</v>
      </c>
      <c r="J275" t="n">
        <v>0</v>
      </c>
      <c r="K275" t="n">
        <v>0</v>
      </c>
      <c r="L275" t="n">
        <v>0</v>
      </c>
      <c r="M275" t="n">
        <v>0</v>
      </c>
      <c r="N275" t="n">
        <v>0</v>
      </c>
      <c r="O275" t="n">
        <v>0</v>
      </c>
      <c r="P275" t="n">
        <v>0</v>
      </c>
      <c r="Q275" t="n">
        <v>0</v>
      </c>
      <c r="R275" s="2" t="inlineStr"/>
    </row>
    <row r="276" ht="15" customHeight="1">
      <c r="A276" t="inlineStr">
        <is>
          <t>A 15965-2024</t>
        </is>
      </c>
      <c r="B276" s="1" t="n">
        <v>45405.55740740741</v>
      </c>
      <c r="C276" s="1" t="n">
        <v>45985</v>
      </c>
      <c r="D276" t="inlineStr">
        <is>
          <t>VÄSTMANLANDS LÄN</t>
        </is>
      </c>
      <c r="E276" t="inlineStr">
        <is>
          <t>SALA</t>
        </is>
      </c>
      <c r="G276" t="n">
        <v>0.5</v>
      </c>
      <c r="H276" t="n">
        <v>0</v>
      </c>
      <c r="I276" t="n">
        <v>0</v>
      </c>
      <c r="J276" t="n">
        <v>0</v>
      </c>
      <c r="K276" t="n">
        <v>0</v>
      </c>
      <c r="L276" t="n">
        <v>0</v>
      </c>
      <c r="M276" t="n">
        <v>0</v>
      </c>
      <c r="N276" t="n">
        <v>0</v>
      </c>
      <c r="O276" t="n">
        <v>0</v>
      </c>
      <c r="P276" t="n">
        <v>0</v>
      </c>
      <c r="Q276" t="n">
        <v>0</v>
      </c>
      <c r="R276" s="2" t="inlineStr"/>
    </row>
    <row r="277" ht="15" customHeight="1">
      <c r="A277" t="inlineStr">
        <is>
          <t>A 1196-2023</t>
        </is>
      </c>
      <c r="B277" s="1" t="n">
        <v>44935.82290509259</v>
      </c>
      <c r="C277" s="1" t="n">
        <v>45985</v>
      </c>
      <c r="D277" t="inlineStr">
        <is>
          <t>VÄSTMANLANDS LÄN</t>
        </is>
      </c>
      <c r="E277" t="inlineStr">
        <is>
          <t>SALA</t>
        </is>
      </c>
      <c r="G277" t="n">
        <v>4.1</v>
      </c>
      <c r="H277" t="n">
        <v>0</v>
      </c>
      <c r="I277" t="n">
        <v>0</v>
      </c>
      <c r="J277" t="n">
        <v>0</v>
      </c>
      <c r="K277" t="n">
        <v>0</v>
      </c>
      <c r="L277" t="n">
        <v>0</v>
      </c>
      <c r="M277" t="n">
        <v>0</v>
      </c>
      <c r="N277" t="n">
        <v>0</v>
      </c>
      <c r="O277" t="n">
        <v>0</v>
      </c>
      <c r="P277" t="n">
        <v>0</v>
      </c>
      <c r="Q277" t="n">
        <v>0</v>
      </c>
      <c r="R277" s="2" t="inlineStr"/>
    </row>
    <row r="278" ht="15" customHeight="1">
      <c r="A278" t="inlineStr">
        <is>
          <t>A 28193-2025</t>
        </is>
      </c>
      <c r="B278" s="1" t="n">
        <v>45818.425625</v>
      </c>
      <c r="C278" s="1" t="n">
        <v>45985</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27981-2025</t>
        </is>
      </c>
      <c r="B279" s="1" t="n">
        <v>45817.57471064815</v>
      </c>
      <c r="C279" s="1" t="n">
        <v>45985</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42421-2025</t>
        </is>
      </c>
      <c r="B280" s="1" t="n">
        <v>45905.40067129629</v>
      </c>
      <c r="C280" s="1" t="n">
        <v>45985</v>
      </c>
      <c r="D280" t="inlineStr">
        <is>
          <t>VÄSTMANLANDS LÄN</t>
        </is>
      </c>
      <c r="E280" t="inlineStr">
        <is>
          <t>SALA</t>
        </is>
      </c>
      <c r="G280" t="n">
        <v>1.3</v>
      </c>
      <c r="H280" t="n">
        <v>0</v>
      </c>
      <c r="I280" t="n">
        <v>0</v>
      </c>
      <c r="J280" t="n">
        <v>0</v>
      </c>
      <c r="K280" t="n">
        <v>0</v>
      </c>
      <c r="L280" t="n">
        <v>0</v>
      </c>
      <c r="M280" t="n">
        <v>0</v>
      </c>
      <c r="N280" t="n">
        <v>0</v>
      </c>
      <c r="O280" t="n">
        <v>0</v>
      </c>
      <c r="P280" t="n">
        <v>0</v>
      </c>
      <c r="Q280" t="n">
        <v>0</v>
      </c>
      <c r="R280" s="2" t="inlineStr"/>
    </row>
    <row r="281" ht="15" customHeight="1">
      <c r="A281" t="inlineStr">
        <is>
          <t>A 28278-2025</t>
        </is>
      </c>
      <c r="B281" s="1" t="n">
        <v>45818.58454861111</v>
      </c>
      <c r="C281" s="1" t="n">
        <v>45985</v>
      </c>
      <c r="D281" t="inlineStr">
        <is>
          <t>VÄSTMANLANDS LÄN</t>
        </is>
      </c>
      <c r="E281" t="inlineStr">
        <is>
          <t>SALA</t>
        </is>
      </c>
      <c r="G281" t="n">
        <v>7.6</v>
      </c>
      <c r="H281" t="n">
        <v>0</v>
      </c>
      <c r="I281" t="n">
        <v>0</v>
      </c>
      <c r="J281" t="n">
        <v>0</v>
      </c>
      <c r="K281" t="n">
        <v>0</v>
      </c>
      <c r="L281" t="n">
        <v>0</v>
      </c>
      <c r="M281" t="n">
        <v>0</v>
      </c>
      <c r="N281" t="n">
        <v>0</v>
      </c>
      <c r="O281" t="n">
        <v>0</v>
      </c>
      <c r="P281" t="n">
        <v>0</v>
      </c>
      <c r="Q281" t="n">
        <v>0</v>
      </c>
      <c r="R281" s="2" t="inlineStr"/>
    </row>
    <row r="282" ht="15" customHeight="1">
      <c r="A282" t="inlineStr">
        <is>
          <t>A 62651-2022</t>
        </is>
      </c>
      <c r="B282" s="1" t="n">
        <v>44917</v>
      </c>
      <c r="C282" s="1" t="n">
        <v>45985</v>
      </c>
      <c r="D282" t="inlineStr">
        <is>
          <t>VÄSTMANLANDS LÄN</t>
        </is>
      </c>
      <c r="E282" t="inlineStr">
        <is>
          <t>SALA</t>
        </is>
      </c>
      <c r="G282" t="n">
        <v>0.4</v>
      </c>
      <c r="H282" t="n">
        <v>0</v>
      </c>
      <c r="I282" t="n">
        <v>0</v>
      </c>
      <c r="J282" t="n">
        <v>0</v>
      </c>
      <c r="K282" t="n">
        <v>0</v>
      </c>
      <c r="L282" t="n">
        <v>0</v>
      </c>
      <c r="M282" t="n">
        <v>0</v>
      </c>
      <c r="N282" t="n">
        <v>0</v>
      </c>
      <c r="O282" t="n">
        <v>0</v>
      </c>
      <c r="P282" t="n">
        <v>0</v>
      </c>
      <c r="Q282" t="n">
        <v>0</v>
      </c>
      <c r="R282" s="2" t="inlineStr"/>
    </row>
    <row r="283" ht="15" customHeight="1">
      <c r="A283" t="inlineStr">
        <is>
          <t>A 54836-2024</t>
        </is>
      </c>
      <c r="B283" s="1" t="n">
        <v>45618</v>
      </c>
      <c r="C283" s="1" t="n">
        <v>45985</v>
      </c>
      <c r="D283" t="inlineStr">
        <is>
          <t>VÄSTMANLANDS LÄN</t>
        </is>
      </c>
      <c r="E283" t="inlineStr">
        <is>
          <t>SALA</t>
        </is>
      </c>
      <c r="G283" t="n">
        <v>0.6</v>
      </c>
      <c r="H283" t="n">
        <v>0</v>
      </c>
      <c r="I283" t="n">
        <v>0</v>
      </c>
      <c r="J283" t="n">
        <v>0</v>
      </c>
      <c r="K283" t="n">
        <v>0</v>
      </c>
      <c r="L283" t="n">
        <v>0</v>
      </c>
      <c r="M283" t="n">
        <v>0</v>
      </c>
      <c r="N283" t="n">
        <v>0</v>
      </c>
      <c r="O283" t="n">
        <v>0</v>
      </c>
      <c r="P283" t="n">
        <v>0</v>
      </c>
      <c r="Q283" t="n">
        <v>0</v>
      </c>
      <c r="R283" s="2" t="inlineStr"/>
    </row>
    <row r="284" ht="15" customHeight="1">
      <c r="A284" t="inlineStr">
        <is>
          <t>A 27989-2025</t>
        </is>
      </c>
      <c r="B284" s="1" t="n">
        <v>45817.58716435185</v>
      </c>
      <c r="C284" s="1" t="n">
        <v>45985</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13987-2023</t>
        </is>
      </c>
      <c r="B285" s="1" t="n">
        <v>45007</v>
      </c>
      <c r="C285" s="1" t="n">
        <v>45985</v>
      </c>
      <c r="D285" t="inlineStr">
        <is>
          <t>VÄSTMANLANDS LÄN</t>
        </is>
      </c>
      <c r="E285" t="inlineStr">
        <is>
          <t>SALA</t>
        </is>
      </c>
      <c r="G285" t="n">
        <v>3.2</v>
      </c>
      <c r="H285" t="n">
        <v>0</v>
      </c>
      <c r="I285" t="n">
        <v>0</v>
      </c>
      <c r="J285" t="n">
        <v>0</v>
      </c>
      <c r="K285" t="n">
        <v>0</v>
      </c>
      <c r="L285" t="n">
        <v>0</v>
      </c>
      <c r="M285" t="n">
        <v>0</v>
      </c>
      <c r="N285" t="n">
        <v>0</v>
      </c>
      <c r="O285" t="n">
        <v>0</v>
      </c>
      <c r="P285" t="n">
        <v>0</v>
      </c>
      <c r="Q285" t="n">
        <v>0</v>
      </c>
      <c r="R285" s="2" t="inlineStr"/>
    </row>
    <row r="286" ht="15" customHeight="1">
      <c r="A286" t="inlineStr">
        <is>
          <t>A 13990-2023</t>
        </is>
      </c>
      <c r="B286" s="1" t="n">
        <v>45007</v>
      </c>
      <c r="C286" s="1" t="n">
        <v>45985</v>
      </c>
      <c r="D286" t="inlineStr">
        <is>
          <t>VÄSTMANLANDS LÄN</t>
        </is>
      </c>
      <c r="E286" t="inlineStr">
        <is>
          <t>SALA</t>
        </is>
      </c>
      <c r="G286" t="n">
        <v>2.6</v>
      </c>
      <c r="H286" t="n">
        <v>0</v>
      </c>
      <c r="I286" t="n">
        <v>0</v>
      </c>
      <c r="J286" t="n">
        <v>0</v>
      </c>
      <c r="K286" t="n">
        <v>0</v>
      </c>
      <c r="L286" t="n">
        <v>0</v>
      </c>
      <c r="M286" t="n">
        <v>0</v>
      </c>
      <c r="N286" t="n">
        <v>0</v>
      </c>
      <c r="O286" t="n">
        <v>0</v>
      </c>
      <c r="P286" t="n">
        <v>0</v>
      </c>
      <c r="Q286" t="n">
        <v>0</v>
      </c>
      <c r="R286" s="2" t="inlineStr"/>
    </row>
    <row r="287" ht="15" customHeight="1">
      <c r="A287" t="inlineStr">
        <is>
          <t>A 28284-2025</t>
        </is>
      </c>
      <c r="B287" s="1" t="n">
        <v>45818.58893518519</v>
      </c>
      <c r="C287" s="1" t="n">
        <v>45985</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51464-2024</t>
        </is>
      </c>
      <c r="B288" s="1" t="n">
        <v>45604.49768518518</v>
      </c>
      <c r="C288" s="1" t="n">
        <v>45985</v>
      </c>
      <c r="D288" t="inlineStr">
        <is>
          <t>VÄSTMANLANDS LÄN</t>
        </is>
      </c>
      <c r="E288" t="inlineStr">
        <is>
          <t>SALA</t>
        </is>
      </c>
      <c r="G288" t="n">
        <v>3.9</v>
      </c>
      <c r="H288" t="n">
        <v>0</v>
      </c>
      <c r="I288" t="n">
        <v>0</v>
      </c>
      <c r="J288" t="n">
        <v>0</v>
      </c>
      <c r="K288" t="n">
        <v>0</v>
      </c>
      <c r="L288" t="n">
        <v>0</v>
      </c>
      <c r="M288" t="n">
        <v>0</v>
      </c>
      <c r="N288" t="n">
        <v>0</v>
      </c>
      <c r="O288" t="n">
        <v>0</v>
      </c>
      <c r="P288" t="n">
        <v>0</v>
      </c>
      <c r="Q288" t="n">
        <v>0</v>
      </c>
      <c r="R288" s="2" t="inlineStr"/>
    </row>
    <row r="289" ht="15" customHeight="1">
      <c r="A289" t="inlineStr">
        <is>
          <t>A 43028-2025</t>
        </is>
      </c>
      <c r="B289" s="1" t="n">
        <v>45909.53472222222</v>
      </c>
      <c r="C289" s="1" t="n">
        <v>45985</v>
      </c>
      <c r="D289" t="inlineStr">
        <is>
          <t>VÄSTMANLANDS LÄN</t>
        </is>
      </c>
      <c r="E289" t="inlineStr">
        <is>
          <t>SALA</t>
        </is>
      </c>
      <c r="G289" t="n">
        <v>3.8</v>
      </c>
      <c r="H289" t="n">
        <v>0</v>
      </c>
      <c r="I289" t="n">
        <v>0</v>
      </c>
      <c r="J289" t="n">
        <v>0</v>
      </c>
      <c r="K289" t="n">
        <v>0</v>
      </c>
      <c r="L289" t="n">
        <v>0</v>
      </c>
      <c r="M289" t="n">
        <v>0</v>
      </c>
      <c r="N289" t="n">
        <v>0</v>
      </c>
      <c r="O289" t="n">
        <v>0</v>
      </c>
      <c r="P289" t="n">
        <v>0</v>
      </c>
      <c r="Q289" t="n">
        <v>0</v>
      </c>
      <c r="R289" s="2" t="inlineStr"/>
    </row>
    <row r="290" ht="15" customHeight="1">
      <c r="A290" t="inlineStr">
        <is>
          <t>A 51626-2025</t>
        </is>
      </c>
      <c r="B290" s="1" t="n">
        <v>45951.41769675926</v>
      </c>
      <c r="C290" s="1" t="n">
        <v>45985</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1128-2025</t>
        </is>
      </c>
      <c r="B291" s="1" t="n">
        <v>45666.68469907407</v>
      </c>
      <c r="C291" s="1" t="n">
        <v>45985</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43176-2023</t>
        </is>
      </c>
      <c r="B292" s="1" t="n">
        <v>45183</v>
      </c>
      <c r="C292" s="1" t="n">
        <v>45985</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28632-2025</t>
        </is>
      </c>
      <c r="B293" s="1" t="n">
        <v>45819.62344907408</v>
      </c>
      <c r="C293" s="1" t="n">
        <v>45985</v>
      </c>
      <c r="D293" t="inlineStr">
        <is>
          <t>VÄSTMANLANDS LÄN</t>
        </is>
      </c>
      <c r="E293" t="inlineStr">
        <is>
          <t>SALA</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43328-2025</t>
        </is>
      </c>
      <c r="B294" s="1" t="n">
        <v>45910</v>
      </c>
      <c r="C294" s="1" t="n">
        <v>45985</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73835-2021</t>
        </is>
      </c>
      <c r="B295" s="1" t="n">
        <v>44552.92112268518</v>
      </c>
      <c r="C295" s="1" t="n">
        <v>45985</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60379-2022</t>
        </is>
      </c>
      <c r="B296" s="1" t="n">
        <v>44910</v>
      </c>
      <c r="C296" s="1" t="n">
        <v>45985</v>
      </c>
      <c r="D296" t="inlineStr">
        <is>
          <t>VÄSTMANLANDS LÄN</t>
        </is>
      </c>
      <c r="E296" t="inlineStr">
        <is>
          <t>SALA</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51690-2025</t>
        </is>
      </c>
      <c r="B297" s="1" t="n">
        <v>45951.53462962963</v>
      </c>
      <c r="C297" s="1" t="n">
        <v>45985</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28628-2025</t>
        </is>
      </c>
      <c r="B298" s="1" t="n">
        <v>45819.62158564815</v>
      </c>
      <c r="C298" s="1" t="n">
        <v>45985</v>
      </c>
      <c r="D298" t="inlineStr">
        <is>
          <t>VÄSTMANLANDS LÄN</t>
        </is>
      </c>
      <c r="E298" t="inlineStr">
        <is>
          <t>SALA</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1638-2023</t>
        </is>
      </c>
      <c r="B299" s="1" t="n">
        <v>44937</v>
      </c>
      <c r="C299" s="1" t="n">
        <v>45985</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28630-2025</t>
        </is>
      </c>
      <c r="B300" s="1" t="n">
        <v>45819.62274305556</v>
      </c>
      <c r="C300" s="1" t="n">
        <v>45985</v>
      </c>
      <c r="D300" t="inlineStr">
        <is>
          <t>VÄSTMANLANDS LÄN</t>
        </is>
      </c>
      <c r="E300" t="inlineStr">
        <is>
          <t>SALA</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51805-2025</t>
        </is>
      </c>
      <c r="B301" s="1" t="n">
        <v>45951.78359953704</v>
      </c>
      <c r="C301" s="1" t="n">
        <v>45985</v>
      </c>
      <c r="D301" t="inlineStr">
        <is>
          <t>VÄSTMANLANDS LÄN</t>
        </is>
      </c>
      <c r="E301" t="inlineStr">
        <is>
          <t>SALA</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7953-2024</t>
        </is>
      </c>
      <c r="B302" s="1" t="n">
        <v>45350</v>
      </c>
      <c r="C302" s="1" t="n">
        <v>45985</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28837-2025</t>
        </is>
      </c>
      <c r="B303" s="1" t="n">
        <v>45820.56243055555</v>
      </c>
      <c r="C303" s="1" t="n">
        <v>45985</v>
      </c>
      <c r="D303" t="inlineStr">
        <is>
          <t>VÄSTMANLANDS LÄN</t>
        </is>
      </c>
      <c r="E303" t="inlineStr">
        <is>
          <t>SALA</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28849-2025</t>
        </is>
      </c>
      <c r="B304" s="1" t="n">
        <v>45820</v>
      </c>
      <c r="C304" s="1" t="n">
        <v>45985</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51809-2025</t>
        </is>
      </c>
      <c r="B305" s="1" t="n">
        <v>45951.80116898148</v>
      </c>
      <c r="C305" s="1" t="n">
        <v>45985</v>
      </c>
      <c r="D305" t="inlineStr">
        <is>
          <t>VÄSTMANLANDS LÄN</t>
        </is>
      </c>
      <c r="E305" t="inlineStr">
        <is>
          <t>SALA</t>
        </is>
      </c>
      <c r="F305" t="inlineStr">
        <is>
          <t>Kommuner</t>
        </is>
      </c>
      <c r="G305" t="n">
        <v>3.5</v>
      </c>
      <c r="H305" t="n">
        <v>0</v>
      </c>
      <c r="I305" t="n">
        <v>0</v>
      </c>
      <c r="J305" t="n">
        <v>0</v>
      </c>
      <c r="K305" t="n">
        <v>0</v>
      </c>
      <c r="L305" t="n">
        <v>0</v>
      </c>
      <c r="M305" t="n">
        <v>0</v>
      </c>
      <c r="N305" t="n">
        <v>0</v>
      </c>
      <c r="O305" t="n">
        <v>0</v>
      </c>
      <c r="P305" t="n">
        <v>0</v>
      </c>
      <c r="Q305" t="n">
        <v>0</v>
      </c>
      <c r="R305" s="2" t="inlineStr"/>
    </row>
    <row r="306" ht="15" customHeight="1">
      <c r="A306" t="inlineStr">
        <is>
          <t>A 51803-2025</t>
        </is>
      </c>
      <c r="B306" s="1" t="n">
        <v>45951.76818287037</v>
      </c>
      <c r="C306" s="1" t="n">
        <v>45985</v>
      </c>
      <c r="D306" t="inlineStr">
        <is>
          <t>VÄSTMANLANDS LÄN</t>
        </is>
      </c>
      <c r="E306" t="inlineStr">
        <is>
          <t>SALA</t>
        </is>
      </c>
      <c r="F306" t="inlineStr">
        <is>
          <t>Kommuner</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51808-2025</t>
        </is>
      </c>
      <c r="B307" s="1" t="n">
        <v>45951.79302083333</v>
      </c>
      <c r="C307" s="1" t="n">
        <v>45985</v>
      </c>
      <c r="D307" t="inlineStr">
        <is>
          <t>VÄSTMANLANDS LÄN</t>
        </is>
      </c>
      <c r="E307" t="inlineStr">
        <is>
          <t>SALA</t>
        </is>
      </c>
      <c r="F307" t="inlineStr">
        <is>
          <t>Kommuner</t>
        </is>
      </c>
      <c r="G307" t="n">
        <v>3</v>
      </c>
      <c r="H307" t="n">
        <v>0</v>
      </c>
      <c r="I307" t="n">
        <v>0</v>
      </c>
      <c r="J307" t="n">
        <v>0</v>
      </c>
      <c r="K307" t="n">
        <v>0</v>
      </c>
      <c r="L307" t="n">
        <v>0</v>
      </c>
      <c r="M307" t="n">
        <v>0</v>
      </c>
      <c r="N307" t="n">
        <v>0</v>
      </c>
      <c r="O307" t="n">
        <v>0</v>
      </c>
      <c r="P307" t="n">
        <v>0</v>
      </c>
      <c r="Q307" t="n">
        <v>0</v>
      </c>
      <c r="R307" s="2" t="inlineStr"/>
    </row>
    <row r="308" ht="15" customHeight="1">
      <c r="A308" t="inlineStr">
        <is>
          <t>A 5477-2024</t>
        </is>
      </c>
      <c r="B308" s="1" t="n">
        <v>45333.67833333334</v>
      </c>
      <c r="C308" s="1" t="n">
        <v>45985</v>
      </c>
      <c r="D308" t="inlineStr">
        <is>
          <t>VÄSTMANLANDS LÄN</t>
        </is>
      </c>
      <c r="E308" t="inlineStr">
        <is>
          <t>SALA</t>
        </is>
      </c>
      <c r="G308" t="n">
        <v>2.3</v>
      </c>
      <c r="H308" t="n">
        <v>0</v>
      </c>
      <c r="I308" t="n">
        <v>0</v>
      </c>
      <c r="J308" t="n">
        <v>0</v>
      </c>
      <c r="K308" t="n">
        <v>0</v>
      </c>
      <c r="L308" t="n">
        <v>0</v>
      </c>
      <c r="M308" t="n">
        <v>0</v>
      </c>
      <c r="N308" t="n">
        <v>0</v>
      </c>
      <c r="O308" t="n">
        <v>0</v>
      </c>
      <c r="P308" t="n">
        <v>0</v>
      </c>
      <c r="Q308" t="n">
        <v>0</v>
      </c>
      <c r="R308" s="2" t="inlineStr"/>
    </row>
    <row r="309" ht="15" customHeight="1">
      <c r="A309" t="inlineStr">
        <is>
          <t>A 43031-2025</t>
        </is>
      </c>
      <c r="B309" s="1" t="n">
        <v>45909.53856481481</v>
      </c>
      <c r="C309" s="1" t="n">
        <v>45985</v>
      </c>
      <c r="D309" t="inlineStr">
        <is>
          <t>VÄSTMANLANDS LÄN</t>
        </is>
      </c>
      <c r="E309" t="inlineStr">
        <is>
          <t>SALA</t>
        </is>
      </c>
      <c r="G309" t="n">
        <v>0.2</v>
      </c>
      <c r="H309" t="n">
        <v>0</v>
      </c>
      <c r="I309" t="n">
        <v>0</v>
      </c>
      <c r="J309" t="n">
        <v>0</v>
      </c>
      <c r="K309" t="n">
        <v>0</v>
      </c>
      <c r="L309" t="n">
        <v>0</v>
      </c>
      <c r="M309" t="n">
        <v>0</v>
      </c>
      <c r="N309" t="n">
        <v>0</v>
      </c>
      <c r="O309" t="n">
        <v>0</v>
      </c>
      <c r="P309" t="n">
        <v>0</v>
      </c>
      <c r="Q309" t="n">
        <v>0</v>
      </c>
      <c r="R309" s="2" t="inlineStr"/>
    </row>
    <row r="310" ht="15" customHeight="1">
      <c r="A310" t="inlineStr">
        <is>
          <t>A 17495-2024</t>
        </is>
      </c>
      <c r="B310" s="1" t="n">
        <v>45415</v>
      </c>
      <c r="C310" s="1" t="n">
        <v>45985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37263-2025</t>
        </is>
      </c>
      <c r="B311" s="1" t="n">
        <v>45876.4584837963</v>
      </c>
      <c r="C311" s="1" t="n">
        <v>45985</v>
      </c>
      <c r="D311" t="inlineStr">
        <is>
          <t>VÄSTMANLANDS LÄN</t>
        </is>
      </c>
      <c r="E311" t="inlineStr">
        <is>
          <t>SALA</t>
        </is>
      </c>
      <c r="G311" t="n">
        <v>2.3</v>
      </c>
      <c r="H311" t="n">
        <v>0</v>
      </c>
      <c r="I311" t="n">
        <v>0</v>
      </c>
      <c r="J311" t="n">
        <v>0</v>
      </c>
      <c r="K311" t="n">
        <v>0</v>
      </c>
      <c r="L311" t="n">
        <v>0</v>
      </c>
      <c r="M311" t="n">
        <v>0</v>
      </c>
      <c r="N311" t="n">
        <v>0</v>
      </c>
      <c r="O311" t="n">
        <v>0</v>
      </c>
      <c r="P311" t="n">
        <v>0</v>
      </c>
      <c r="Q311" t="n">
        <v>0</v>
      </c>
      <c r="R311" s="2" t="inlineStr"/>
    </row>
    <row r="312" ht="15" customHeight="1">
      <c r="A312" t="inlineStr">
        <is>
          <t>A 40554-2025</t>
        </is>
      </c>
      <c r="B312" s="1" t="n">
        <v>45896.44506944445</v>
      </c>
      <c r="C312" s="1" t="n">
        <v>45985</v>
      </c>
      <c r="D312" t="inlineStr">
        <is>
          <t>VÄSTMANLANDS LÄN</t>
        </is>
      </c>
      <c r="E312" t="inlineStr">
        <is>
          <t>SALA</t>
        </is>
      </c>
      <c r="G312" t="n">
        <v>0.9</v>
      </c>
      <c r="H312" t="n">
        <v>0</v>
      </c>
      <c r="I312" t="n">
        <v>0</v>
      </c>
      <c r="J312" t="n">
        <v>0</v>
      </c>
      <c r="K312" t="n">
        <v>0</v>
      </c>
      <c r="L312" t="n">
        <v>0</v>
      </c>
      <c r="M312" t="n">
        <v>0</v>
      </c>
      <c r="N312" t="n">
        <v>0</v>
      </c>
      <c r="O312" t="n">
        <v>0</v>
      </c>
      <c r="P312" t="n">
        <v>0</v>
      </c>
      <c r="Q312" t="n">
        <v>0</v>
      </c>
      <c r="R312" s="2" t="inlineStr"/>
    </row>
    <row r="313" ht="15" customHeight="1">
      <c r="A313" t="inlineStr">
        <is>
          <t>A 29085-2025</t>
        </is>
      </c>
      <c r="B313" s="1" t="n">
        <v>45821</v>
      </c>
      <c r="C313" s="1" t="n">
        <v>45985</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26507-2023</t>
        </is>
      </c>
      <c r="B314" s="1" t="n">
        <v>45092</v>
      </c>
      <c r="C314" s="1" t="n">
        <v>45985</v>
      </c>
      <c r="D314" t="inlineStr">
        <is>
          <t>VÄSTMANLANDS LÄN</t>
        </is>
      </c>
      <c r="E314" t="inlineStr">
        <is>
          <t>SALA</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6032-2025</t>
        </is>
      </c>
      <c r="B315" s="1" t="n">
        <v>45695.6371875</v>
      </c>
      <c r="C315" s="1" t="n">
        <v>45985</v>
      </c>
      <c r="D315" t="inlineStr">
        <is>
          <t>VÄSTMANLANDS LÄN</t>
        </is>
      </c>
      <c r="E315" t="inlineStr">
        <is>
          <t>SALA</t>
        </is>
      </c>
      <c r="F315" t="inlineStr">
        <is>
          <t>Bergvik skog öst AB</t>
        </is>
      </c>
      <c r="G315" t="n">
        <v>8.1</v>
      </c>
      <c r="H315" t="n">
        <v>0</v>
      </c>
      <c r="I315" t="n">
        <v>0</v>
      </c>
      <c r="J315" t="n">
        <v>0</v>
      </c>
      <c r="K315" t="n">
        <v>0</v>
      </c>
      <c r="L315" t="n">
        <v>0</v>
      </c>
      <c r="M315" t="n">
        <v>0</v>
      </c>
      <c r="N315" t="n">
        <v>0</v>
      </c>
      <c r="O315" t="n">
        <v>0</v>
      </c>
      <c r="P315" t="n">
        <v>0</v>
      </c>
      <c r="Q315" t="n">
        <v>0</v>
      </c>
      <c r="R315" s="2" t="inlineStr"/>
    </row>
    <row r="316" ht="15" customHeight="1">
      <c r="A316" t="inlineStr">
        <is>
          <t>A 43129-2025</t>
        </is>
      </c>
      <c r="B316" s="1" t="n">
        <v>45909</v>
      </c>
      <c r="C316" s="1" t="n">
        <v>45985</v>
      </c>
      <c r="D316" t="inlineStr">
        <is>
          <t>VÄSTMANLANDS LÄN</t>
        </is>
      </c>
      <c r="E316" t="inlineStr">
        <is>
          <t>SALA</t>
        </is>
      </c>
      <c r="G316" t="n">
        <v>2.4</v>
      </c>
      <c r="H316" t="n">
        <v>0</v>
      </c>
      <c r="I316" t="n">
        <v>0</v>
      </c>
      <c r="J316" t="n">
        <v>0</v>
      </c>
      <c r="K316" t="n">
        <v>0</v>
      </c>
      <c r="L316" t="n">
        <v>0</v>
      </c>
      <c r="M316" t="n">
        <v>0</v>
      </c>
      <c r="N316" t="n">
        <v>0</v>
      </c>
      <c r="O316" t="n">
        <v>0</v>
      </c>
      <c r="P316" t="n">
        <v>0</v>
      </c>
      <c r="Q316" t="n">
        <v>0</v>
      </c>
      <c r="R316" s="2" t="inlineStr"/>
    </row>
    <row r="317" ht="15" customHeight="1">
      <c r="A317" t="inlineStr">
        <is>
          <t>A 43130-2025</t>
        </is>
      </c>
      <c r="B317" s="1" t="n">
        <v>45909</v>
      </c>
      <c r="C317" s="1" t="n">
        <v>45985</v>
      </c>
      <c r="D317" t="inlineStr">
        <is>
          <t>VÄSTMANLANDS LÄN</t>
        </is>
      </c>
      <c r="E317" t="inlineStr">
        <is>
          <t>SALA</t>
        </is>
      </c>
      <c r="G317" t="n">
        <v>0.9</v>
      </c>
      <c r="H317" t="n">
        <v>0</v>
      </c>
      <c r="I317" t="n">
        <v>0</v>
      </c>
      <c r="J317" t="n">
        <v>0</v>
      </c>
      <c r="K317" t="n">
        <v>0</v>
      </c>
      <c r="L317" t="n">
        <v>0</v>
      </c>
      <c r="M317" t="n">
        <v>0</v>
      </c>
      <c r="N317" t="n">
        <v>0</v>
      </c>
      <c r="O317" t="n">
        <v>0</v>
      </c>
      <c r="P317" t="n">
        <v>0</v>
      </c>
      <c r="Q317" t="n">
        <v>0</v>
      </c>
      <c r="R317" s="2" t="inlineStr"/>
    </row>
    <row r="318" ht="15" customHeight="1">
      <c r="A318" t="inlineStr">
        <is>
          <t>A 51804-2025</t>
        </is>
      </c>
      <c r="B318" s="1" t="n">
        <v>45951.77697916667</v>
      </c>
      <c r="C318" s="1" t="n">
        <v>45985</v>
      </c>
      <c r="D318" t="inlineStr">
        <is>
          <t>VÄSTMANLANDS LÄN</t>
        </is>
      </c>
      <c r="E318" t="inlineStr">
        <is>
          <t>SALA</t>
        </is>
      </c>
      <c r="F318" t="inlineStr">
        <is>
          <t>Kommuner</t>
        </is>
      </c>
      <c r="G318" t="n">
        <v>2</v>
      </c>
      <c r="H318" t="n">
        <v>0</v>
      </c>
      <c r="I318" t="n">
        <v>0</v>
      </c>
      <c r="J318" t="n">
        <v>0</v>
      </c>
      <c r="K318" t="n">
        <v>0</v>
      </c>
      <c r="L318" t="n">
        <v>0</v>
      </c>
      <c r="M318" t="n">
        <v>0</v>
      </c>
      <c r="N318" t="n">
        <v>0</v>
      </c>
      <c r="O318" t="n">
        <v>0</v>
      </c>
      <c r="P318" t="n">
        <v>0</v>
      </c>
      <c r="Q318" t="n">
        <v>0</v>
      </c>
      <c r="R318" s="2" t="inlineStr"/>
    </row>
    <row r="319" ht="15" customHeight="1">
      <c r="A319" t="inlineStr">
        <is>
          <t>A 43128-2025</t>
        </is>
      </c>
      <c r="B319" s="1" t="n">
        <v>45909</v>
      </c>
      <c r="C319" s="1" t="n">
        <v>45985</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43127-2025</t>
        </is>
      </c>
      <c r="B320" s="1" t="n">
        <v>45909</v>
      </c>
      <c r="C320" s="1" t="n">
        <v>45985</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51764-2025</t>
        </is>
      </c>
      <c r="B321" s="1" t="n">
        <v>45951.63636574074</v>
      </c>
      <c r="C321" s="1" t="n">
        <v>45985</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60541-2024</t>
        </is>
      </c>
      <c r="B322" s="1" t="n">
        <v>45643</v>
      </c>
      <c r="C322" s="1" t="n">
        <v>45985</v>
      </c>
      <c r="D322" t="inlineStr">
        <is>
          <t>VÄSTMANLANDS LÄN</t>
        </is>
      </c>
      <c r="E322" t="inlineStr">
        <is>
          <t>SALA</t>
        </is>
      </c>
      <c r="G322" t="n">
        <v>10.6</v>
      </c>
      <c r="H322" t="n">
        <v>0</v>
      </c>
      <c r="I322" t="n">
        <v>0</v>
      </c>
      <c r="J322" t="n">
        <v>0</v>
      </c>
      <c r="K322" t="n">
        <v>0</v>
      </c>
      <c r="L322" t="n">
        <v>0</v>
      </c>
      <c r="M322" t="n">
        <v>0</v>
      </c>
      <c r="N322" t="n">
        <v>0</v>
      </c>
      <c r="O322" t="n">
        <v>0</v>
      </c>
      <c r="P322" t="n">
        <v>0</v>
      </c>
      <c r="Q322" t="n">
        <v>0</v>
      </c>
      <c r="R322" s="2" t="inlineStr"/>
    </row>
    <row r="323" ht="15" customHeight="1">
      <c r="A323" t="inlineStr">
        <is>
          <t>A 29826-2025</t>
        </is>
      </c>
      <c r="B323" s="1" t="n">
        <v>45825.85761574074</v>
      </c>
      <c r="C323" s="1" t="n">
        <v>45985</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45985</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54118-2023</t>
        </is>
      </c>
      <c r="B325" s="1" t="n">
        <v>45232</v>
      </c>
      <c r="C325" s="1" t="n">
        <v>45985</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35462-2024</t>
        </is>
      </c>
      <c r="B326" s="1" t="n">
        <v>45531</v>
      </c>
      <c r="C326" s="1" t="n">
        <v>45985</v>
      </c>
      <c r="D326" t="inlineStr">
        <is>
          <t>VÄSTMANLANDS LÄN</t>
        </is>
      </c>
      <c r="E326" t="inlineStr">
        <is>
          <t>SALA</t>
        </is>
      </c>
      <c r="G326" t="n">
        <v>0.6</v>
      </c>
      <c r="H326" t="n">
        <v>0</v>
      </c>
      <c r="I326" t="n">
        <v>0</v>
      </c>
      <c r="J326" t="n">
        <v>0</v>
      </c>
      <c r="K326" t="n">
        <v>0</v>
      </c>
      <c r="L326" t="n">
        <v>0</v>
      </c>
      <c r="M326" t="n">
        <v>0</v>
      </c>
      <c r="N326" t="n">
        <v>0</v>
      </c>
      <c r="O326" t="n">
        <v>0</v>
      </c>
      <c r="P326" t="n">
        <v>0</v>
      </c>
      <c r="Q326" t="n">
        <v>0</v>
      </c>
      <c r="R326" s="2" t="inlineStr"/>
    </row>
    <row r="327" ht="15" customHeight="1">
      <c r="A327" t="inlineStr">
        <is>
          <t>A 29691-2025</t>
        </is>
      </c>
      <c r="B327" s="1" t="n">
        <v>45825.53645833334</v>
      </c>
      <c r="C327" s="1" t="n">
        <v>45985</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36393-2023</t>
        </is>
      </c>
      <c r="B328" s="1" t="n">
        <v>45152</v>
      </c>
      <c r="C328" s="1" t="n">
        <v>45985</v>
      </c>
      <c r="D328" t="inlineStr">
        <is>
          <t>VÄSTMANLANDS LÄN</t>
        </is>
      </c>
      <c r="E328" t="inlineStr">
        <is>
          <t>SALA</t>
        </is>
      </c>
      <c r="G328" t="n">
        <v>0.9</v>
      </c>
      <c r="H328" t="n">
        <v>0</v>
      </c>
      <c r="I328" t="n">
        <v>0</v>
      </c>
      <c r="J328" t="n">
        <v>0</v>
      </c>
      <c r="K328" t="n">
        <v>0</v>
      </c>
      <c r="L328" t="n">
        <v>0</v>
      </c>
      <c r="M328" t="n">
        <v>0</v>
      </c>
      <c r="N328" t="n">
        <v>0</v>
      </c>
      <c r="O328" t="n">
        <v>0</v>
      </c>
      <c r="P328" t="n">
        <v>0</v>
      </c>
      <c r="Q328" t="n">
        <v>0</v>
      </c>
      <c r="R328" s="2" t="inlineStr"/>
    </row>
    <row r="329" ht="15" customHeight="1">
      <c r="A329" t="inlineStr">
        <is>
          <t>A 45790-2023</t>
        </is>
      </c>
      <c r="B329" s="1" t="n">
        <v>45195.45958333334</v>
      </c>
      <c r="C329" s="1" t="n">
        <v>45985</v>
      </c>
      <c r="D329" t="inlineStr">
        <is>
          <t>VÄSTMANLANDS LÄN</t>
        </is>
      </c>
      <c r="E329" t="inlineStr">
        <is>
          <t>SALA</t>
        </is>
      </c>
      <c r="G329" t="n">
        <v>5.7</v>
      </c>
      <c r="H329" t="n">
        <v>0</v>
      </c>
      <c r="I329" t="n">
        <v>0</v>
      </c>
      <c r="J329" t="n">
        <v>0</v>
      </c>
      <c r="K329" t="n">
        <v>0</v>
      </c>
      <c r="L329" t="n">
        <v>0</v>
      </c>
      <c r="M329" t="n">
        <v>0</v>
      </c>
      <c r="N329" t="n">
        <v>0</v>
      </c>
      <c r="O329" t="n">
        <v>0</v>
      </c>
      <c r="P329" t="n">
        <v>0</v>
      </c>
      <c r="Q329" t="n">
        <v>0</v>
      </c>
      <c r="R329" s="2" t="inlineStr"/>
    </row>
    <row r="330" ht="15" customHeight="1">
      <c r="A330" t="inlineStr">
        <is>
          <t>A 56949-2023</t>
        </is>
      </c>
      <c r="B330" s="1" t="n">
        <v>45244.61589120371</v>
      </c>
      <c r="C330" s="1" t="n">
        <v>45985</v>
      </c>
      <c r="D330" t="inlineStr">
        <is>
          <t>VÄSTMANLANDS LÄN</t>
        </is>
      </c>
      <c r="E330" t="inlineStr">
        <is>
          <t>SALA</t>
        </is>
      </c>
      <c r="G330" t="n">
        <v>4.7</v>
      </c>
      <c r="H330" t="n">
        <v>0</v>
      </c>
      <c r="I330" t="n">
        <v>0</v>
      </c>
      <c r="J330" t="n">
        <v>0</v>
      </c>
      <c r="K330" t="n">
        <v>0</v>
      </c>
      <c r="L330" t="n">
        <v>0</v>
      </c>
      <c r="M330" t="n">
        <v>0</v>
      </c>
      <c r="N330" t="n">
        <v>0</v>
      </c>
      <c r="O330" t="n">
        <v>0</v>
      </c>
      <c r="P330" t="n">
        <v>0</v>
      </c>
      <c r="Q330" t="n">
        <v>0</v>
      </c>
      <c r="R330" s="2" t="inlineStr"/>
    </row>
    <row r="331" ht="15" customHeight="1">
      <c r="A331" t="inlineStr">
        <is>
          <t>A 30874-2025</t>
        </is>
      </c>
      <c r="B331" s="1" t="n">
        <v>45832.34430555555</v>
      </c>
      <c r="C331" s="1" t="n">
        <v>45985</v>
      </c>
      <c r="D331" t="inlineStr">
        <is>
          <t>VÄSTMANLANDS LÄN</t>
        </is>
      </c>
      <c r="E331" t="inlineStr">
        <is>
          <t>SALA</t>
        </is>
      </c>
      <c r="G331" t="n">
        <v>8.4</v>
      </c>
      <c r="H331" t="n">
        <v>0</v>
      </c>
      <c r="I331" t="n">
        <v>0</v>
      </c>
      <c r="J331" t="n">
        <v>0</v>
      </c>
      <c r="K331" t="n">
        <v>0</v>
      </c>
      <c r="L331" t="n">
        <v>0</v>
      </c>
      <c r="M331" t="n">
        <v>0</v>
      </c>
      <c r="N331" t="n">
        <v>0</v>
      </c>
      <c r="O331" t="n">
        <v>0</v>
      </c>
      <c r="P331" t="n">
        <v>0</v>
      </c>
      <c r="Q331" t="n">
        <v>0</v>
      </c>
      <c r="R331" s="2" t="inlineStr"/>
    </row>
    <row r="332" ht="15" customHeight="1">
      <c r="A332" t="inlineStr">
        <is>
          <t>A 40214-2023</t>
        </is>
      </c>
      <c r="B332" s="1" t="n">
        <v>45169.45173611111</v>
      </c>
      <c r="C332" s="1" t="n">
        <v>45985</v>
      </c>
      <c r="D332" t="inlineStr">
        <is>
          <t>VÄSTMANLANDS LÄN</t>
        </is>
      </c>
      <c r="E332" t="inlineStr">
        <is>
          <t>SALA</t>
        </is>
      </c>
      <c r="G332" t="n">
        <v>5.5</v>
      </c>
      <c r="H332" t="n">
        <v>0</v>
      </c>
      <c r="I332" t="n">
        <v>0</v>
      </c>
      <c r="J332" t="n">
        <v>0</v>
      </c>
      <c r="K332" t="n">
        <v>0</v>
      </c>
      <c r="L332" t="n">
        <v>0</v>
      </c>
      <c r="M332" t="n">
        <v>0</v>
      </c>
      <c r="N332" t="n">
        <v>0</v>
      </c>
      <c r="O332" t="n">
        <v>0</v>
      </c>
      <c r="P332" t="n">
        <v>0</v>
      </c>
      <c r="Q332" t="n">
        <v>0</v>
      </c>
      <c r="R332" s="2" t="inlineStr"/>
    </row>
    <row r="333" ht="15" customHeight="1">
      <c r="A333" t="inlineStr">
        <is>
          <t>A 30899-2025</t>
        </is>
      </c>
      <c r="B333" s="1" t="n">
        <v>45832.35767361111</v>
      </c>
      <c r="C333" s="1" t="n">
        <v>45985</v>
      </c>
      <c r="D333" t="inlineStr">
        <is>
          <t>VÄSTMANLANDS LÄN</t>
        </is>
      </c>
      <c r="E333" t="inlineStr">
        <is>
          <t>SALA</t>
        </is>
      </c>
      <c r="G333" t="n">
        <v>3.1</v>
      </c>
      <c r="H333" t="n">
        <v>0</v>
      </c>
      <c r="I333" t="n">
        <v>0</v>
      </c>
      <c r="J333" t="n">
        <v>0</v>
      </c>
      <c r="K333" t="n">
        <v>0</v>
      </c>
      <c r="L333" t="n">
        <v>0</v>
      </c>
      <c r="M333" t="n">
        <v>0</v>
      </c>
      <c r="N333" t="n">
        <v>0</v>
      </c>
      <c r="O333" t="n">
        <v>0</v>
      </c>
      <c r="P333" t="n">
        <v>0</v>
      </c>
      <c r="Q333" t="n">
        <v>0</v>
      </c>
      <c r="R333" s="2" t="inlineStr"/>
    </row>
    <row r="334" ht="15" customHeight="1">
      <c r="A334" t="inlineStr">
        <is>
          <t>A 30866-2025</t>
        </is>
      </c>
      <c r="B334" s="1" t="n">
        <v>45832.3246875</v>
      </c>
      <c r="C334" s="1" t="n">
        <v>45985</v>
      </c>
      <c r="D334" t="inlineStr">
        <is>
          <t>VÄSTMANLANDS LÄN</t>
        </is>
      </c>
      <c r="E334" t="inlineStr">
        <is>
          <t>SALA</t>
        </is>
      </c>
      <c r="G334" t="n">
        <v>14.3</v>
      </c>
      <c r="H334" t="n">
        <v>0</v>
      </c>
      <c r="I334" t="n">
        <v>0</v>
      </c>
      <c r="J334" t="n">
        <v>0</v>
      </c>
      <c r="K334" t="n">
        <v>0</v>
      </c>
      <c r="L334" t="n">
        <v>0</v>
      </c>
      <c r="M334" t="n">
        <v>0</v>
      </c>
      <c r="N334" t="n">
        <v>0</v>
      </c>
      <c r="O334" t="n">
        <v>0</v>
      </c>
      <c r="P334" t="n">
        <v>0</v>
      </c>
      <c r="Q334" t="n">
        <v>0</v>
      </c>
      <c r="R334" s="2" t="inlineStr"/>
    </row>
    <row r="335" ht="15" customHeight="1">
      <c r="A335" t="inlineStr">
        <is>
          <t>A 44100-2025</t>
        </is>
      </c>
      <c r="B335" s="1" t="n">
        <v>45915.56707175926</v>
      </c>
      <c r="C335" s="1" t="n">
        <v>45985</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35016-2024</t>
        </is>
      </c>
      <c r="B336" s="1" t="n">
        <v>45527.59115740741</v>
      </c>
      <c r="C336" s="1" t="n">
        <v>45985</v>
      </c>
      <c r="D336" t="inlineStr">
        <is>
          <t>VÄSTMANLANDS LÄN</t>
        </is>
      </c>
      <c r="E336" t="inlineStr">
        <is>
          <t>SALA</t>
        </is>
      </c>
      <c r="G336" t="n">
        <v>0.4</v>
      </c>
      <c r="H336" t="n">
        <v>0</v>
      </c>
      <c r="I336" t="n">
        <v>0</v>
      </c>
      <c r="J336" t="n">
        <v>0</v>
      </c>
      <c r="K336" t="n">
        <v>0</v>
      </c>
      <c r="L336" t="n">
        <v>0</v>
      </c>
      <c r="M336" t="n">
        <v>0</v>
      </c>
      <c r="N336" t="n">
        <v>0</v>
      </c>
      <c r="O336" t="n">
        <v>0</v>
      </c>
      <c r="P336" t="n">
        <v>0</v>
      </c>
      <c r="Q336" t="n">
        <v>0</v>
      </c>
      <c r="R336" s="2" t="inlineStr"/>
    </row>
    <row r="337" ht="15" customHeight="1">
      <c r="A337" t="inlineStr">
        <is>
          <t>A 37612-2024</t>
        </is>
      </c>
      <c r="B337" s="1" t="n">
        <v>45541</v>
      </c>
      <c r="C337" s="1" t="n">
        <v>45985</v>
      </c>
      <c r="D337" t="inlineStr">
        <is>
          <t>VÄSTMANLANDS LÄN</t>
        </is>
      </c>
      <c r="E337" t="inlineStr">
        <is>
          <t>SALA</t>
        </is>
      </c>
      <c r="G337" t="n">
        <v>2.2</v>
      </c>
      <c r="H337" t="n">
        <v>0</v>
      </c>
      <c r="I337" t="n">
        <v>0</v>
      </c>
      <c r="J337" t="n">
        <v>0</v>
      </c>
      <c r="K337" t="n">
        <v>0</v>
      </c>
      <c r="L337" t="n">
        <v>0</v>
      </c>
      <c r="M337" t="n">
        <v>0</v>
      </c>
      <c r="N337" t="n">
        <v>0</v>
      </c>
      <c r="O337" t="n">
        <v>0</v>
      </c>
      <c r="P337" t="n">
        <v>0</v>
      </c>
      <c r="Q337" t="n">
        <v>0</v>
      </c>
      <c r="R337" s="2" t="inlineStr"/>
    </row>
    <row r="338" ht="15" customHeight="1">
      <c r="A338" t="inlineStr">
        <is>
          <t>A 37615-2024</t>
        </is>
      </c>
      <c r="B338" s="1" t="n">
        <v>45541.50673611111</v>
      </c>
      <c r="C338" s="1" t="n">
        <v>45985</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5728-2022</t>
        </is>
      </c>
      <c r="B339" s="1" t="n">
        <v>44596.42082175926</v>
      </c>
      <c r="C339" s="1" t="n">
        <v>45985</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31065-2025</t>
        </is>
      </c>
      <c r="B340" s="1" t="n">
        <v>45832.57571759259</v>
      </c>
      <c r="C340" s="1" t="n">
        <v>45985</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7681-2021</t>
        </is>
      </c>
      <c r="B341" s="1" t="n">
        <v>44242</v>
      </c>
      <c r="C341" s="1" t="n">
        <v>45985</v>
      </c>
      <c r="D341" t="inlineStr">
        <is>
          <t>VÄSTMANLANDS LÄN</t>
        </is>
      </c>
      <c r="E341" t="inlineStr">
        <is>
          <t>SALA</t>
        </is>
      </c>
      <c r="F341" t="inlineStr">
        <is>
          <t>Sveaskog</t>
        </is>
      </c>
      <c r="G341" t="n">
        <v>16.1</v>
      </c>
      <c r="H341" t="n">
        <v>0</v>
      </c>
      <c r="I341" t="n">
        <v>0</v>
      </c>
      <c r="J341" t="n">
        <v>0</v>
      </c>
      <c r="K341" t="n">
        <v>0</v>
      </c>
      <c r="L341" t="n">
        <v>0</v>
      </c>
      <c r="M341" t="n">
        <v>0</v>
      </c>
      <c r="N341" t="n">
        <v>0</v>
      </c>
      <c r="O341" t="n">
        <v>0</v>
      </c>
      <c r="P341" t="n">
        <v>0</v>
      </c>
      <c r="Q341" t="n">
        <v>0</v>
      </c>
      <c r="R341" s="2" t="inlineStr"/>
    </row>
    <row r="342" ht="15" customHeight="1">
      <c r="A342" t="inlineStr">
        <is>
          <t>A 31612-2025</t>
        </is>
      </c>
      <c r="B342" s="1" t="n">
        <v>45833.80056712963</v>
      </c>
      <c r="C342" s="1" t="n">
        <v>45985</v>
      </c>
      <c r="D342" t="inlineStr">
        <is>
          <t>VÄSTMANLANDS LÄN</t>
        </is>
      </c>
      <c r="E342" t="inlineStr">
        <is>
          <t>SALA</t>
        </is>
      </c>
      <c r="G342" t="n">
        <v>6.3</v>
      </c>
      <c r="H342" t="n">
        <v>0</v>
      </c>
      <c r="I342" t="n">
        <v>0</v>
      </c>
      <c r="J342" t="n">
        <v>0</v>
      </c>
      <c r="K342" t="n">
        <v>0</v>
      </c>
      <c r="L342" t="n">
        <v>0</v>
      </c>
      <c r="M342" t="n">
        <v>0</v>
      </c>
      <c r="N342" t="n">
        <v>0</v>
      </c>
      <c r="O342" t="n">
        <v>0</v>
      </c>
      <c r="P342" t="n">
        <v>0</v>
      </c>
      <c r="Q342" t="n">
        <v>0</v>
      </c>
      <c r="R342" s="2" t="inlineStr"/>
    </row>
    <row r="343" ht="15" customHeight="1">
      <c r="A343" t="inlineStr">
        <is>
          <t>A 44486-2025</t>
        </is>
      </c>
      <c r="B343" s="1" t="n">
        <v>45916.65517361111</v>
      </c>
      <c r="C343" s="1" t="n">
        <v>45985</v>
      </c>
      <c r="D343" t="inlineStr">
        <is>
          <t>VÄSTMANLANDS LÄN</t>
        </is>
      </c>
      <c r="E343" t="inlineStr">
        <is>
          <t>SALA</t>
        </is>
      </c>
      <c r="G343" t="n">
        <v>1.7</v>
      </c>
      <c r="H343" t="n">
        <v>0</v>
      </c>
      <c r="I343" t="n">
        <v>0</v>
      </c>
      <c r="J343" t="n">
        <v>0</v>
      </c>
      <c r="K343" t="n">
        <v>0</v>
      </c>
      <c r="L343" t="n">
        <v>0</v>
      </c>
      <c r="M343" t="n">
        <v>0</v>
      </c>
      <c r="N343" t="n">
        <v>0</v>
      </c>
      <c r="O343" t="n">
        <v>0</v>
      </c>
      <c r="P343" t="n">
        <v>0</v>
      </c>
      <c r="Q343" t="n">
        <v>0</v>
      </c>
      <c r="R343" s="2" t="inlineStr"/>
    </row>
    <row r="344" ht="15" customHeight="1">
      <c r="A344" t="inlineStr">
        <is>
          <t>A 31748-2025</t>
        </is>
      </c>
      <c r="B344" s="1" t="n">
        <v>45834</v>
      </c>
      <c r="C344" s="1" t="n">
        <v>45985</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31288-2025</t>
        </is>
      </c>
      <c r="B345" s="1" t="n">
        <v>45833</v>
      </c>
      <c r="C345" s="1" t="n">
        <v>45985</v>
      </c>
      <c r="D345" t="inlineStr">
        <is>
          <t>VÄSTMANLANDS LÄN</t>
        </is>
      </c>
      <c r="E345" t="inlineStr">
        <is>
          <t>SALA</t>
        </is>
      </c>
      <c r="G345" t="n">
        <v>3.1</v>
      </c>
      <c r="H345" t="n">
        <v>0</v>
      </c>
      <c r="I345" t="n">
        <v>0</v>
      </c>
      <c r="J345" t="n">
        <v>0</v>
      </c>
      <c r="K345" t="n">
        <v>0</v>
      </c>
      <c r="L345" t="n">
        <v>0</v>
      </c>
      <c r="M345" t="n">
        <v>0</v>
      </c>
      <c r="N345" t="n">
        <v>0</v>
      </c>
      <c r="O345" t="n">
        <v>0</v>
      </c>
      <c r="P345" t="n">
        <v>0</v>
      </c>
      <c r="Q345" t="n">
        <v>0</v>
      </c>
      <c r="R345" s="2" t="inlineStr"/>
    </row>
    <row r="346" ht="15" customHeight="1">
      <c r="A346" t="inlineStr">
        <is>
          <t>A 31771-2025</t>
        </is>
      </c>
      <c r="B346" s="1" t="n">
        <v>45834.50910879629</v>
      </c>
      <c r="C346" s="1" t="n">
        <v>45985</v>
      </c>
      <c r="D346" t="inlineStr">
        <is>
          <t>VÄSTMANLANDS LÄN</t>
        </is>
      </c>
      <c r="E346" t="inlineStr">
        <is>
          <t>SALA</t>
        </is>
      </c>
      <c r="G346" t="n">
        <v>5.1</v>
      </c>
      <c r="H346" t="n">
        <v>0</v>
      </c>
      <c r="I346" t="n">
        <v>0</v>
      </c>
      <c r="J346" t="n">
        <v>0</v>
      </c>
      <c r="K346" t="n">
        <v>0</v>
      </c>
      <c r="L346" t="n">
        <v>0</v>
      </c>
      <c r="M346" t="n">
        <v>0</v>
      </c>
      <c r="N346" t="n">
        <v>0</v>
      </c>
      <c r="O346" t="n">
        <v>0</v>
      </c>
      <c r="P346" t="n">
        <v>0</v>
      </c>
      <c r="Q346" t="n">
        <v>0</v>
      </c>
      <c r="R346" s="2" t="inlineStr"/>
    </row>
    <row r="347" ht="15" customHeight="1">
      <c r="A347" t="inlineStr">
        <is>
          <t>A 19751-2022</t>
        </is>
      </c>
      <c r="B347" s="1" t="n">
        <v>44694</v>
      </c>
      <c r="C347" s="1" t="n">
        <v>45985</v>
      </c>
      <c r="D347" t="inlineStr">
        <is>
          <t>VÄSTMANLANDS LÄN</t>
        </is>
      </c>
      <c r="E347" t="inlineStr">
        <is>
          <t>SALA</t>
        </is>
      </c>
      <c r="G347" t="n">
        <v>2.7</v>
      </c>
      <c r="H347" t="n">
        <v>0</v>
      </c>
      <c r="I347" t="n">
        <v>0</v>
      </c>
      <c r="J347" t="n">
        <v>0</v>
      </c>
      <c r="K347" t="n">
        <v>0</v>
      </c>
      <c r="L347" t="n">
        <v>0</v>
      </c>
      <c r="M347" t="n">
        <v>0</v>
      </c>
      <c r="N347" t="n">
        <v>0</v>
      </c>
      <c r="O347" t="n">
        <v>0</v>
      </c>
      <c r="P347" t="n">
        <v>0</v>
      </c>
      <c r="Q347" t="n">
        <v>0</v>
      </c>
      <c r="R347" s="2" t="inlineStr"/>
    </row>
    <row r="348" ht="15" customHeight="1">
      <c r="A348" t="inlineStr">
        <is>
          <t>A 44524-2025</t>
        </is>
      </c>
      <c r="B348" s="1" t="n">
        <v>45916.72920138889</v>
      </c>
      <c r="C348" s="1" t="n">
        <v>45985</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31554-2025</t>
        </is>
      </c>
      <c r="B349" s="1" t="n">
        <v>45833</v>
      </c>
      <c r="C349" s="1" t="n">
        <v>45985</v>
      </c>
      <c r="D349" t="inlineStr">
        <is>
          <t>VÄSTMANLANDS LÄN</t>
        </is>
      </c>
      <c r="E349" t="inlineStr">
        <is>
          <t>SALA</t>
        </is>
      </c>
      <c r="G349" t="n">
        <v>1.5</v>
      </c>
      <c r="H349" t="n">
        <v>0</v>
      </c>
      <c r="I349" t="n">
        <v>0</v>
      </c>
      <c r="J349" t="n">
        <v>0</v>
      </c>
      <c r="K349" t="n">
        <v>0</v>
      </c>
      <c r="L349" t="n">
        <v>0</v>
      </c>
      <c r="M349" t="n">
        <v>0</v>
      </c>
      <c r="N349" t="n">
        <v>0</v>
      </c>
      <c r="O349" t="n">
        <v>0</v>
      </c>
      <c r="P349" t="n">
        <v>0</v>
      </c>
      <c r="Q349" t="n">
        <v>0</v>
      </c>
      <c r="R349" s="2" t="inlineStr"/>
    </row>
    <row r="350" ht="15" customHeight="1">
      <c r="A350" t="inlineStr">
        <is>
          <t>A 31762-2025</t>
        </is>
      </c>
      <c r="B350" s="1" t="n">
        <v>45834.49288194445</v>
      </c>
      <c r="C350" s="1" t="n">
        <v>45985</v>
      </c>
      <c r="D350" t="inlineStr">
        <is>
          <t>VÄSTMANLANDS LÄN</t>
        </is>
      </c>
      <c r="E350" t="inlineStr">
        <is>
          <t>SALA</t>
        </is>
      </c>
      <c r="G350" t="n">
        <v>5.9</v>
      </c>
      <c r="H350" t="n">
        <v>0</v>
      </c>
      <c r="I350" t="n">
        <v>0</v>
      </c>
      <c r="J350" t="n">
        <v>0</v>
      </c>
      <c r="K350" t="n">
        <v>0</v>
      </c>
      <c r="L350" t="n">
        <v>0</v>
      </c>
      <c r="M350" t="n">
        <v>0</v>
      </c>
      <c r="N350" t="n">
        <v>0</v>
      </c>
      <c r="O350" t="n">
        <v>0</v>
      </c>
      <c r="P350" t="n">
        <v>0</v>
      </c>
      <c r="Q350" t="n">
        <v>0</v>
      </c>
      <c r="R350" s="2" t="inlineStr"/>
    </row>
    <row r="351" ht="15" customHeight="1">
      <c r="A351" t="inlineStr">
        <is>
          <t>A 31608-2025</t>
        </is>
      </c>
      <c r="B351" s="1" t="n">
        <v>45833</v>
      </c>
      <c r="C351" s="1" t="n">
        <v>45985</v>
      </c>
      <c r="D351" t="inlineStr">
        <is>
          <t>VÄSTMANLANDS LÄN</t>
        </is>
      </c>
      <c r="E351" t="inlineStr">
        <is>
          <t>SALA</t>
        </is>
      </c>
      <c r="G351" t="n">
        <v>6.1</v>
      </c>
      <c r="H351" t="n">
        <v>0</v>
      </c>
      <c r="I351" t="n">
        <v>0</v>
      </c>
      <c r="J351" t="n">
        <v>0</v>
      </c>
      <c r="K351" t="n">
        <v>0</v>
      </c>
      <c r="L351" t="n">
        <v>0</v>
      </c>
      <c r="M351" t="n">
        <v>0</v>
      </c>
      <c r="N351" t="n">
        <v>0</v>
      </c>
      <c r="O351" t="n">
        <v>0</v>
      </c>
      <c r="P351" t="n">
        <v>0</v>
      </c>
      <c r="Q351" t="n">
        <v>0</v>
      </c>
      <c r="R351" s="2" t="inlineStr"/>
    </row>
    <row r="352" ht="15" customHeight="1">
      <c r="A352" t="inlineStr">
        <is>
          <t>A 31610-2025</t>
        </is>
      </c>
      <c r="B352" s="1" t="n">
        <v>45833.78650462963</v>
      </c>
      <c r="C352" s="1" t="n">
        <v>45985</v>
      </c>
      <c r="D352" t="inlineStr">
        <is>
          <t>VÄSTMANLANDS LÄN</t>
        </is>
      </c>
      <c r="E352" t="inlineStr">
        <is>
          <t>SALA</t>
        </is>
      </c>
      <c r="G352" t="n">
        <v>8</v>
      </c>
      <c r="H352" t="n">
        <v>0</v>
      </c>
      <c r="I352" t="n">
        <v>0</v>
      </c>
      <c r="J352" t="n">
        <v>0</v>
      </c>
      <c r="K352" t="n">
        <v>0</v>
      </c>
      <c r="L352" t="n">
        <v>0</v>
      </c>
      <c r="M352" t="n">
        <v>0</v>
      </c>
      <c r="N352" t="n">
        <v>0</v>
      </c>
      <c r="O352" t="n">
        <v>0</v>
      </c>
      <c r="P352" t="n">
        <v>0</v>
      </c>
      <c r="Q352" t="n">
        <v>0</v>
      </c>
      <c r="R352" s="2" t="inlineStr"/>
    </row>
    <row r="353" ht="15" customHeight="1">
      <c r="A353" t="inlineStr">
        <is>
          <t>A 31296-2025</t>
        </is>
      </c>
      <c r="B353" s="1" t="n">
        <v>45833.36765046296</v>
      </c>
      <c r="C353" s="1" t="n">
        <v>45985</v>
      </c>
      <c r="D353" t="inlineStr">
        <is>
          <t>VÄSTMANLANDS LÄN</t>
        </is>
      </c>
      <c r="E353" t="inlineStr">
        <is>
          <t>SALA</t>
        </is>
      </c>
      <c r="G353" t="n">
        <v>3.7</v>
      </c>
      <c r="H353" t="n">
        <v>0</v>
      </c>
      <c r="I353" t="n">
        <v>0</v>
      </c>
      <c r="J353" t="n">
        <v>0</v>
      </c>
      <c r="K353" t="n">
        <v>0</v>
      </c>
      <c r="L353" t="n">
        <v>0</v>
      </c>
      <c r="M353" t="n">
        <v>0</v>
      </c>
      <c r="N353" t="n">
        <v>0</v>
      </c>
      <c r="O353" t="n">
        <v>0</v>
      </c>
      <c r="P353" t="n">
        <v>0</v>
      </c>
      <c r="Q353" t="n">
        <v>0</v>
      </c>
      <c r="R353" s="2" t="inlineStr"/>
    </row>
    <row r="354" ht="15" customHeight="1">
      <c r="A354" t="inlineStr">
        <is>
          <t>A 31573-2025</t>
        </is>
      </c>
      <c r="B354" s="1" t="n">
        <v>45833</v>
      </c>
      <c r="C354" s="1" t="n">
        <v>45985</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43122-2025</t>
        </is>
      </c>
      <c r="B355" s="1" t="n">
        <v>45909</v>
      </c>
      <c r="C355" s="1" t="n">
        <v>45985</v>
      </c>
      <c r="D355" t="inlineStr">
        <is>
          <t>VÄSTMANLANDS LÄN</t>
        </is>
      </c>
      <c r="E355" t="inlineStr">
        <is>
          <t>SALA</t>
        </is>
      </c>
      <c r="G355" t="n">
        <v>3.2</v>
      </c>
      <c r="H355" t="n">
        <v>0</v>
      </c>
      <c r="I355" t="n">
        <v>0</v>
      </c>
      <c r="J355" t="n">
        <v>0</v>
      </c>
      <c r="K355" t="n">
        <v>0</v>
      </c>
      <c r="L355" t="n">
        <v>0</v>
      </c>
      <c r="M355" t="n">
        <v>0</v>
      </c>
      <c r="N355" t="n">
        <v>0</v>
      </c>
      <c r="O355" t="n">
        <v>0</v>
      </c>
      <c r="P355" t="n">
        <v>0</v>
      </c>
      <c r="Q355" t="n">
        <v>0</v>
      </c>
      <c r="R355" s="2" t="inlineStr"/>
    </row>
    <row r="356" ht="15" customHeight="1">
      <c r="A356" t="inlineStr">
        <is>
          <t>A 32201-2025</t>
        </is>
      </c>
      <c r="B356" s="1" t="n">
        <v>45835</v>
      </c>
      <c r="C356" s="1" t="n">
        <v>45985</v>
      </c>
      <c r="D356" t="inlineStr">
        <is>
          <t>VÄSTMANLANDS LÄN</t>
        </is>
      </c>
      <c r="E356" t="inlineStr">
        <is>
          <t>SALA</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32205-2025</t>
        </is>
      </c>
      <c r="B357" s="1" t="n">
        <v>45835</v>
      </c>
      <c r="C357" s="1" t="n">
        <v>45985</v>
      </c>
      <c r="D357" t="inlineStr">
        <is>
          <t>VÄSTMANLANDS LÄN</t>
        </is>
      </c>
      <c r="E357" t="inlineStr">
        <is>
          <t>SALA</t>
        </is>
      </c>
      <c r="F357" t="inlineStr">
        <is>
          <t>Bergvik skog öst AB</t>
        </is>
      </c>
      <c r="G357" t="n">
        <v>1.1</v>
      </c>
      <c r="H357" t="n">
        <v>0</v>
      </c>
      <c r="I357" t="n">
        <v>0</v>
      </c>
      <c r="J357" t="n">
        <v>0</v>
      </c>
      <c r="K357" t="n">
        <v>0</v>
      </c>
      <c r="L357" t="n">
        <v>0</v>
      </c>
      <c r="M357" t="n">
        <v>0</v>
      </c>
      <c r="N357" t="n">
        <v>0</v>
      </c>
      <c r="O357" t="n">
        <v>0</v>
      </c>
      <c r="P357" t="n">
        <v>0</v>
      </c>
      <c r="Q357" t="n">
        <v>0</v>
      </c>
      <c r="R357" s="2" t="inlineStr"/>
    </row>
    <row r="358" ht="15" customHeight="1">
      <c r="A358" t="inlineStr">
        <is>
          <t>A 32210-2025</t>
        </is>
      </c>
      <c r="B358" s="1" t="n">
        <v>45835</v>
      </c>
      <c r="C358" s="1" t="n">
        <v>45985</v>
      </c>
      <c r="D358" t="inlineStr">
        <is>
          <t>VÄSTMANLANDS LÄN</t>
        </is>
      </c>
      <c r="E358" t="inlineStr">
        <is>
          <t>SALA</t>
        </is>
      </c>
      <c r="F358" t="inlineStr">
        <is>
          <t>Bergvik skog öst AB</t>
        </is>
      </c>
      <c r="G358" t="n">
        <v>1.5</v>
      </c>
      <c r="H358" t="n">
        <v>0</v>
      </c>
      <c r="I358" t="n">
        <v>0</v>
      </c>
      <c r="J358" t="n">
        <v>0</v>
      </c>
      <c r="K358" t="n">
        <v>0</v>
      </c>
      <c r="L358" t="n">
        <v>0</v>
      </c>
      <c r="M358" t="n">
        <v>0</v>
      </c>
      <c r="N358" t="n">
        <v>0</v>
      </c>
      <c r="O358" t="n">
        <v>0</v>
      </c>
      <c r="P358" t="n">
        <v>0</v>
      </c>
      <c r="Q358" t="n">
        <v>0</v>
      </c>
      <c r="R358" s="2" t="inlineStr"/>
    </row>
    <row r="359" ht="15" customHeight="1">
      <c r="A359" t="inlineStr">
        <is>
          <t>A 53725-2025</t>
        </is>
      </c>
      <c r="B359" s="1" t="n">
        <v>45960.63394675926</v>
      </c>
      <c r="C359" s="1" t="n">
        <v>45985</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53724-2025</t>
        </is>
      </c>
      <c r="B360" s="1" t="n">
        <v>45960.63174768518</v>
      </c>
      <c r="C360" s="1" t="n">
        <v>45985</v>
      </c>
      <c r="D360" t="inlineStr">
        <is>
          <t>VÄSTMANLANDS LÄN</t>
        </is>
      </c>
      <c r="E360" t="inlineStr">
        <is>
          <t>SALA</t>
        </is>
      </c>
      <c r="G360" t="n">
        <v>2.8</v>
      </c>
      <c r="H360" t="n">
        <v>0</v>
      </c>
      <c r="I360" t="n">
        <v>0</v>
      </c>
      <c r="J360" t="n">
        <v>0</v>
      </c>
      <c r="K360" t="n">
        <v>0</v>
      </c>
      <c r="L360" t="n">
        <v>0</v>
      </c>
      <c r="M360" t="n">
        <v>0</v>
      </c>
      <c r="N360" t="n">
        <v>0</v>
      </c>
      <c r="O360" t="n">
        <v>0</v>
      </c>
      <c r="P360" t="n">
        <v>0</v>
      </c>
      <c r="Q360" t="n">
        <v>0</v>
      </c>
      <c r="R360" s="2" t="inlineStr"/>
    </row>
    <row r="361" ht="15" customHeight="1">
      <c r="A361" t="inlineStr">
        <is>
          <t>A 32286-2025</t>
        </is>
      </c>
      <c r="B361" s="1" t="n">
        <v>45835</v>
      </c>
      <c r="C361" s="1" t="n">
        <v>45985</v>
      </c>
      <c r="D361" t="inlineStr">
        <is>
          <t>VÄSTMANLANDS LÄN</t>
        </is>
      </c>
      <c r="E361" t="inlineStr">
        <is>
          <t>SALA</t>
        </is>
      </c>
      <c r="G361" t="n">
        <v>6.4</v>
      </c>
      <c r="H361" t="n">
        <v>0</v>
      </c>
      <c r="I361" t="n">
        <v>0</v>
      </c>
      <c r="J361" t="n">
        <v>0</v>
      </c>
      <c r="K361" t="n">
        <v>0</v>
      </c>
      <c r="L361" t="n">
        <v>0</v>
      </c>
      <c r="M361" t="n">
        <v>0</v>
      </c>
      <c r="N361" t="n">
        <v>0</v>
      </c>
      <c r="O361" t="n">
        <v>0</v>
      </c>
      <c r="P361" t="n">
        <v>0</v>
      </c>
      <c r="Q361" t="n">
        <v>0</v>
      </c>
      <c r="R361" s="2" t="inlineStr"/>
    </row>
    <row r="362" ht="15" customHeight="1">
      <c r="A362" t="inlineStr">
        <is>
          <t>A 32207-2025</t>
        </is>
      </c>
      <c r="B362" s="1" t="n">
        <v>45835</v>
      </c>
      <c r="C362" s="1" t="n">
        <v>45985</v>
      </c>
      <c r="D362" t="inlineStr">
        <is>
          <t>VÄSTMANLANDS LÄN</t>
        </is>
      </c>
      <c r="E362" t="inlineStr">
        <is>
          <t>SALA</t>
        </is>
      </c>
      <c r="F362" t="inlineStr">
        <is>
          <t>Bergvik skog öst AB</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6312-2025</t>
        </is>
      </c>
      <c r="B363" s="1" t="n">
        <v>45698</v>
      </c>
      <c r="C363" s="1" t="n">
        <v>45985</v>
      </c>
      <c r="D363" t="inlineStr">
        <is>
          <t>VÄSTMANLANDS LÄN</t>
        </is>
      </c>
      <c r="E363" t="inlineStr">
        <is>
          <t>SALA</t>
        </is>
      </c>
      <c r="G363" t="n">
        <v>1.2</v>
      </c>
      <c r="H363" t="n">
        <v>0</v>
      </c>
      <c r="I363" t="n">
        <v>0</v>
      </c>
      <c r="J363" t="n">
        <v>0</v>
      </c>
      <c r="K363" t="n">
        <v>0</v>
      </c>
      <c r="L363" t="n">
        <v>0</v>
      </c>
      <c r="M363" t="n">
        <v>0</v>
      </c>
      <c r="N363" t="n">
        <v>0</v>
      </c>
      <c r="O363" t="n">
        <v>0</v>
      </c>
      <c r="P363" t="n">
        <v>0</v>
      </c>
      <c r="Q363" t="n">
        <v>0</v>
      </c>
      <c r="R363" s="2" t="inlineStr"/>
    </row>
    <row r="364" ht="15" customHeight="1">
      <c r="A364" t="inlineStr">
        <is>
          <t>A 55035-2023</t>
        </is>
      </c>
      <c r="B364" s="1" t="n">
        <v>45229</v>
      </c>
      <c r="C364" s="1" t="n">
        <v>45985</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32902-2025</t>
        </is>
      </c>
      <c r="B365" s="1" t="n">
        <v>45839</v>
      </c>
      <c r="C365" s="1" t="n">
        <v>45985</v>
      </c>
      <c r="D365" t="inlineStr">
        <is>
          <t>VÄSTMANLANDS LÄN</t>
        </is>
      </c>
      <c r="E365" t="inlineStr">
        <is>
          <t>SALA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4736-2021</t>
        </is>
      </c>
      <c r="B366" s="1" t="n">
        <v>44225</v>
      </c>
      <c r="C366" s="1" t="n">
        <v>45985</v>
      </c>
      <c r="D366" t="inlineStr">
        <is>
          <t>VÄSTMANLANDS LÄN</t>
        </is>
      </c>
      <c r="E366" t="inlineStr">
        <is>
          <t>SALA</t>
        </is>
      </c>
      <c r="G366" t="n">
        <v>4.2</v>
      </c>
      <c r="H366" t="n">
        <v>0</v>
      </c>
      <c r="I366" t="n">
        <v>0</v>
      </c>
      <c r="J366" t="n">
        <v>0</v>
      </c>
      <c r="K366" t="n">
        <v>0</v>
      </c>
      <c r="L366" t="n">
        <v>0</v>
      </c>
      <c r="M366" t="n">
        <v>0</v>
      </c>
      <c r="N366" t="n">
        <v>0</v>
      </c>
      <c r="O366" t="n">
        <v>0</v>
      </c>
      <c r="P366" t="n">
        <v>0</v>
      </c>
      <c r="Q366" t="n">
        <v>0</v>
      </c>
      <c r="R366" s="2" t="inlineStr"/>
    </row>
    <row r="367" ht="15" customHeight="1">
      <c r="A367" t="inlineStr">
        <is>
          <t>A 53744-2025</t>
        </is>
      </c>
      <c r="B367" s="1" t="n">
        <v>45960.64863425926</v>
      </c>
      <c r="C367" s="1" t="n">
        <v>45985</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52500-2024</t>
        </is>
      </c>
      <c r="B368" s="1" t="n">
        <v>45609</v>
      </c>
      <c r="C368" s="1" t="n">
        <v>45985</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7950-2025</t>
        </is>
      </c>
      <c r="B369" s="1" t="n">
        <v>45707.41799768519</v>
      </c>
      <c r="C369" s="1" t="n">
        <v>45985</v>
      </c>
      <c r="D369" t="inlineStr">
        <is>
          <t>VÄSTMANLANDS LÄN</t>
        </is>
      </c>
      <c r="E369" t="inlineStr">
        <is>
          <t>SALA</t>
        </is>
      </c>
      <c r="G369" t="n">
        <v>3.2</v>
      </c>
      <c r="H369" t="n">
        <v>0</v>
      </c>
      <c r="I369" t="n">
        <v>0</v>
      </c>
      <c r="J369" t="n">
        <v>0</v>
      </c>
      <c r="K369" t="n">
        <v>0</v>
      </c>
      <c r="L369" t="n">
        <v>0</v>
      </c>
      <c r="M369" t="n">
        <v>0</v>
      </c>
      <c r="N369" t="n">
        <v>0</v>
      </c>
      <c r="O369" t="n">
        <v>0</v>
      </c>
      <c r="P369" t="n">
        <v>0</v>
      </c>
      <c r="Q369" t="n">
        <v>0</v>
      </c>
      <c r="R369" s="2" t="inlineStr"/>
    </row>
    <row r="370" ht="15" customHeight="1">
      <c r="A370" t="inlineStr">
        <is>
          <t>A 45371-2025</t>
        </is>
      </c>
      <c r="B370" s="1" t="n">
        <v>45922.39001157408</v>
      </c>
      <c r="C370" s="1" t="n">
        <v>45985</v>
      </c>
      <c r="D370" t="inlineStr">
        <is>
          <t>VÄSTMANLANDS LÄN</t>
        </is>
      </c>
      <c r="E370" t="inlineStr">
        <is>
          <t>SALA</t>
        </is>
      </c>
      <c r="G370" t="n">
        <v>2.1</v>
      </c>
      <c r="H370" t="n">
        <v>0</v>
      </c>
      <c r="I370" t="n">
        <v>0</v>
      </c>
      <c r="J370" t="n">
        <v>0</v>
      </c>
      <c r="K370" t="n">
        <v>0</v>
      </c>
      <c r="L370" t="n">
        <v>0</v>
      </c>
      <c r="M370" t="n">
        <v>0</v>
      </c>
      <c r="N370" t="n">
        <v>0</v>
      </c>
      <c r="O370" t="n">
        <v>0</v>
      </c>
      <c r="P370" t="n">
        <v>0</v>
      </c>
      <c r="Q370" t="n">
        <v>0</v>
      </c>
      <c r="R370" s="2" t="inlineStr"/>
    </row>
    <row r="371" ht="15" customHeight="1">
      <c r="A371" t="inlineStr">
        <is>
          <t>A 54201-2025</t>
        </is>
      </c>
      <c r="B371" s="1" t="n">
        <v>45964.58055555556</v>
      </c>
      <c r="C371" s="1" t="n">
        <v>45985</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10812-2021</t>
        </is>
      </c>
      <c r="B372" s="1" t="n">
        <v>44259</v>
      </c>
      <c r="C372" s="1" t="n">
        <v>45985</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10154-2021</t>
        </is>
      </c>
      <c r="B373" s="1" t="n">
        <v>44256</v>
      </c>
      <c r="C373" s="1" t="n">
        <v>45985</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45177-2025</t>
        </is>
      </c>
      <c r="B374" s="1" t="n">
        <v>45919.52444444445</v>
      </c>
      <c r="C374" s="1" t="n">
        <v>45985</v>
      </c>
      <c r="D374" t="inlineStr">
        <is>
          <t>VÄSTMANLANDS LÄN</t>
        </is>
      </c>
      <c r="E374" t="inlineStr">
        <is>
          <t>SALA</t>
        </is>
      </c>
      <c r="G374" t="n">
        <v>2.4</v>
      </c>
      <c r="H374" t="n">
        <v>0</v>
      </c>
      <c r="I374" t="n">
        <v>0</v>
      </c>
      <c r="J374" t="n">
        <v>0</v>
      </c>
      <c r="K374" t="n">
        <v>0</v>
      </c>
      <c r="L374" t="n">
        <v>0</v>
      </c>
      <c r="M374" t="n">
        <v>0</v>
      </c>
      <c r="N374" t="n">
        <v>0</v>
      </c>
      <c r="O374" t="n">
        <v>0</v>
      </c>
      <c r="P374" t="n">
        <v>0</v>
      </c>
      <c r="Q374" t="n">
        <v>0</v>
      </c>
      <c r="R374" s="2" t="inlineStr"/>
    </row>
    <row r="375" ht="15" customHeight="1">
      <c r="A375" t="inlineStr">
        <is>
          <t>A 34069-2025</t>
        </is>
      </c>
      <c r="B375" s="1" t="n">
        <v>45845.43560185185</v>
      </c>
      <c r="C375" s="1" t="n">
        <v>45985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c r="U375">
        <f>HYPERLINK("https://klasma.github.io/Logging_1981/knärot/A 34069-2025 karta knärot.png", "A 34069-2025")</f>
        <v/>
      </c>
      <c r="V375">
        <f>HYPERLINK("https://klasma.github.io/Logging_1981/klagomål/A 34069-2025 FSC-klagomål.docx", "A 34069-2025")</f>
        <v/>
      </c>
      <c r="W375">
        <f>HYPERLINK("https://klasma.github.io/Logging_1981/klagomålsmail/A 34069-2025 FSC-klagomål mail.docx", "A 34069-2025")</f>
        <v/>
      </c>
      <c r="X375">
        <f>HYPERLINK("https://klasma.github.io/Logging_1981/tillsyn/A 34069-2025 tillsynsbegäran.docx", "A 34069-2025")</f>
        <v/>
      </c>
      <c r="Y375">
        <f>HYPERLINK("https://klasma.github.io/Logging_1981/tillsynsmail/A 34069-2025 tillsynsbegäran mail.docx", "A 34069-2025")</f>
        <v/>
      </c>
    </row>
    <row r="376" ht="15" customHeight="1">
      <c r="A376" t="inlineStr">
        <is>
          <t>A 16328-2025</t>
        </is>
      </c>
      <c r="B376" s="1" t="n">
        <v>45751</v>
      </c>
      <c r="C376" s="1" t="n">
        <v>45985</v>
      </c>
      <c r="D376" t="inlineStr">
        <is>
          <t>VÄSTMANLANDS LÄN</t>
        </is>
      </c>
      <c r="E376" t="inlineStr">
        <is>
          <t>SALA</t>
        </is>
      </c>
      <c r="G376" t="n">
        <v>2.9</v>
      </c>
      <c r="H376" t="n">
        <v>0</v>
      </c>
      <c r="I376" t="n">
        <v>0</v>
      </c>
      <c r="J376" t="n">
        <v>0</v>
      </c>
      <c r="K376" t="n">
        <v>0</v>
      </c>
      <c r="L376" t="n">
        <v>0</v>
      </c>
      <c r="M376" t="n">
        <v>0</v>
      </c>
      <c r="N376" t="n">
        <v>0</v>
      </c>
      <c r="O376" t="n">
        <v>0</v>
      </c>
      <c r="P376" t="n">
        <v>0</v>
      </c>
      <c r="Q376" t="n">
        <v>0</v>
      </c>
      <c r="R376" s="2" t="inlineStr"/>
    </row>
    <row r="377" ht="15" customHeight="1">
      <c r="A377" t="inlineStr">
        <is>
          <t>A 54590-2025</t>
        </is>
      </c>
      <c r="B377" s="1" t="n">
        <v>45965.74199074074</v>
      </c>
      <c r="C377" s="1" t="n">
        <v>45985</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15744-2025</t>
        </is>
      </c>
      <c r="B378" s="1" t="n">
        <v>45748</v>
      </c>
      <c r="C378" s="1" t="n">
        <v>45985</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31609-2024</t>
        </is>
      </c>
      <c r="B379" s="1" t="n">
        <v>45506</v>
      </c>
      <c r="C379" s="1" t="n">
        <v>45985</v>
      </c>
      <c r="D379" t="inlineStr">
        <is>
          <t>VÄSTMANLANDS LÄN</t>
        </is>
      </c>
      <c r="E379" t="inlineStr">
        <is>
          <t>SALA</t>
        </is>
      </c>
      <c r="G379" t="n">
        <v>0.8</v>
      </c>
      <c r="H379" t="n">
        <v>0</v>
      </c>
      <c r="I379" t="n">
        <v>0</v>
      </c>
      <c r="J379" t="n">
        <v>0</v>
      </c>
      <c r="K379" t="n">
        <v>0</v>
      </c>
      <c r="L379" t="n">
        <v>0</v>
      </c>
      <c r="M379" t="n">
        <v>0</v>
      </c>
      <c r="N379" t="n">
        <v>0</v>
      </c>
      <c r="O379" t="n">
        <v>0</v>
      </c>
      <c r="P379" t="n">
        <v>0</v>
      </c>
      <c r="Q379" t="n">
        <v>0</v>
      </c>
      <c r="R379" s="2" t="inlineStr"/>
    </row>
    <row r="380" ht="15" customHeight="1">
      <c r="A380" t="inlineStr">
        <is>
          <t>A 45914-2025</t>
        </is>
      </c>
      <c r="B380" s="1" t="n">
        <v>45923.82582175926</v>
      </c>
      <c r="C380" s="1" t="n">
        <v>45985</v>
      </c>
      <c r="D380" t="inlineStr">
        <is>
          <t>VÄSTMANLANDS LÄN</t>
        </is>
      </c>
      <c r="E380" t="inlineStr">
        <is>
          <t>SALA</t>
        </is>
      </c>
      <c r="F380" t="inlineStr">
        <is>
          <t>Kommuner</t>
        </is>
      </c>
      <c r="G380" t="n">
        <v>18.2</v>
      </c>
      <c r="H380" t="n">
        <v>0</v>
      </c>
      <c r="I380" t="n">
        <v>0</v>
      </c>
      <c r="J380" t="n">
        <v>0</v>
      </c>
      <c r="K380" t="n">
        <v>0</v>
      </c>
      <c r="L380" t="n">
        <v>0</v>
      </c>
      <c r="M380" t="n">
        <v>0</v>
      </c>
      <c r="N380" t="n">
        <v>0</v>
      </c>
      <c r="O380" t="n">
        <v>0</v>
      </c>
      <c r="P380" t="n">
        <v>0</v>
      </c>
      <c r="Q380" t="n">
        <v>0</v>
      </c>
      <c r="R380" s="2" t="inlineStr"/>
    </row>
    <row r="381" ht="15" customHeight="1">
      <c r="A381" t="inlineStr">
        <is>
          <t>A 45909-2025</t>
        </is>
      </c>
      <c r="B381" s="1" t="n">
        <v>45923.75078703704</v>
      </c>
      <c r="C381" s="1" t="n">
        <v>45985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54344-2025</t>
        </is>
      </c>
      <c r="B382" s="1" t="n">
        <v>45965.36462962963</v>
      </c>
      <c r="C382" s="1" t="n">
        <v>45985</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35410-2022</t>
        </is>
      </c>
      <c r="B383" s="1" t="n">
        <v>44798.62576388889</v>
      </c>
      <c r="C383" s="1" t="n">
        <v>45985</v>
      </c>
      <c r="D383" t="inlineStr">
        <is>
          <t>VÄSTMANLANDS LÄN</t>
        </is>
      </c>
      <c r="E383" t="inlineStr">
        <is>
          <t>SALA</t>
        </is>
      </c>
      <c r="G383" t="n">
        <v>1.6</v>
      </c>
      <c r="H383" t="n">
        <v>0</v>
      </c>
      <c r="I383" t="n">
        <v>0</v>
      </c>
      <c r="J383" t="n">
        <v>0</v>
      </c>
      <c r="K383" t="n">
        <v>0</v>
      </c>
      <c r="L383" t="n">
        <v>0</v>
      </c>
      <c r="M383" t="n">
        <v>0</v>
      </c>
      <c r="N383" t="n">
        <v>0</v>
      </c>
      <c r="O383" t="n">
        <v>0</v>
      </c>
      <c r="P383" t="n">
        <v>0</v>
      </c>
      <c r="Q383" t="n">
        <v>0</v>
      </c>
      <c r="R383" s="2" t="inlineStr"/>
    </row>
    <row r="384" ht="15" customHeight="1">
      <c r="A384" t="inlineStr">
        <is>
          <t>A 46597-2025</t>
        </is>
      </c>
      <c r="B384" s="1" t="n">
        <v>45926.40113425926</v>
      </c>
      <c r="C384" s="1" t="n">
        <v>45985</v>
      </c>
      <c r="D384" t="inlineStr">
        <is>
          <t>VÄSTMANLANDS LÄN</t>
        </is>
      </c>
      <c r="E384" t="inlineStr">
        <is>
          <t>SALA</t>
        </is>
      </c>
      <c r="G384" t="n">
        <v>3.4</v>
      </c>
      <c r="H384" t="n">
        <v>0</v>
      </c>
      <c r="I384" t="n">
        <v>0</v>
      </c>
      <c r="J384" t="n">
        <v>0</v>
      </c>
      <c r="K384" t="n">
        <v>0</v>
      </c>
      <c r="L384" t="n">
        <v>0</v>
      </c>
      <c r="M384" t="n">
        <v>0</v>
      </c>
      <c r="N384" t="n">
        <v>0</v>
      </c>
      <c r="O384" t="n">
        <v>0</v>
      </c>
      <c r="P384" t="n">
        <v>0</v>
      </c>
      <c r="Q384" t="n">
        <v>0</v>
      </c>
      <c r="R384" s="2" t="inlineStr"/>
    </row>
    <row r="385" ht="15" customHeight="1">
      <c r="A385" t="inlineStr">
        <is>
          <t>A 54893-2025</t>
        </is>
      </c>
      <c r="B385" s="1" t="n">
        <v>45967.36383101852</v>
      </c>
      <c r="C385" s="1" t="n">
        <v>45985</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35715-2025</t>
        </is>
      </c>
      <c r="B386" s="1" t="n">
        <v>45860.42148148148</v>
      </c>
      <c r="C386" s="1" t="n">
        <v>45985</v>
      </c>
      <c r="D386" t="inlineStr">
        <is>
          <t>VÄSTMANLANDS LÄN</t>
        </is>
      </c>
      <c r="E386" t="inlineStr">
        <is>
          <t>SALA</t>
        </is>
      </c>
      <c r="G386" t="n">
        <v>3.8</v>
      </c>
      <c r="H386" t="n">
        <v>0</v>
      </c>
      <c r="I386" t="n">
        <v>0</v>
      </c>
      <c r="J386" t="n">
        <v>0</v>
      </c>
      <c r="K386" t="n">
        <v>0</v>
      </c>
      <c r="L386" t="n">
        <v>0</v>
      </c>
      <c r="M386" t="n">
        <v>0</v>
      </c>
      <c r="N386" t="n">
        <v>0</v>
      </c>
      <c r="O386" t="n">
        <v>0</v>
      </c>
      <c r="P386" t="n">
        <v>0</v>
      </c>
      <c r="Q386" t="n">
        <v>0</v>
      </c>
      <c r="R386" s="2" t="inlineStr"/>
    </row>
    <row r="387" ht="15" customHeight="1">
      <c r="A387" t="inlineStr">
        <is>
          <t>A 35651-2025</t>
        </is>
      </c>
      <c r="B387" s="1" t="n">
        <v>45859.52435185185</v>
      </c>
      <c r="C387" s="1" t="n">
        <v>45985</v>
      </c>
      <c r="D387" t="inlineStr">
        <is>
          <t>VÄSTMANLANDS LÄN</t>
        </is>
      </c>
      <c r="E387" t="inlineStr">
        <is>
          <t>SALA</t>
        </is>
      </c>
      <c r="G387" t="n">
        <v>6.3</v>
      </c>
      <c r="H387" t="n">
        <v>0</v>
      </c>
      <c r="I387" t="n">
        <v>0</v>
      </c>
      <c r="J387" t="n">
        <v>0</v>
      </c>
      <c r="K387" t="n">
        <v>0</v>
      </c>
      <c r="L387" t="n">
        <v>0</v>
      </c>
      <c r="M387" t="n">
        <v>0</v>
      </c>
      <c r="N387" t="n">
        <v>0</v>
      </c>
      <c r="O387" t="n">
        <v>0</v>
      </c>
      <c r="P387" t="n">
        <v>0</v>
      </c>
      <c r="Q387" t="n">
        <v>0</v>
      </c>
      <c r="R387" s="2" t="inlineStr"/>
    </row>
    <row r="388" ht="15" customHeight="1">
      <c r="A388" t="inlineStr">
        <is>
          <t>A 35775-2025</t>
        </is>
      </c>
      <c r="B388" s="1" t="n">
        <v>45860</v>
      </c>
      <c r="C388" s="1" t="n">
        <v>45985</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35774-2025</t>
        </is>
      </c>
      <c r="B389" s="1" t="n">
        <v>45860.68780092592</v>
      </c>
      <c r="C389" s="1" t="n">
        <v>45985</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21159-2022</t>
        </is>
      </c>
      <c r="B390" s="1" t="n">
        <v>44704</v>
      </c>
      <c r="C390" s="1" t="n">
        <v>45985</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35776-2025</t>
        </is>
      </c>
      <c r="B391" s="1" t="n">
        <v>45860.69211805556</v>
      </c>
      <c r="C391" s="1" t="n">
        <v>45985</v>
      </c>
      <c r="D391" t="inlineStr">
        <is>
          <t>VÄSTMANLANDS LÄN</t>
        </is>
      </c>
      <c r="E391" t="inlineStr">
        <is>
          <t>SALA</t>
        </is>
      </c>
      <c r="G391" t="n">
        <v>14.2</v>
      </c>
      <c r="H391" t="n">
        <v>0</v>
      </c>
      <c r="I391" t="n">
        <v>0</v>
      </c>
      <c r="J391" t="n">
        <v>0</v>
      </c>
      <c r="K391" t="n">
        <v>0</v>
      </c>
      <c r="L391" t="n">
        <v>0</v>
      </c>
      <c r="M391" t="n">
        <v>0</v>
      </c>
      <c r="N391" t="n">
        <v>0</v>
      </c>
      <c r="O391" t="n">
        <v>0</v>
      </c>
      <c r="P391" t="n">
        <v>0</v>
      </c>
      <c r="Q391" t="n">
        <v>0</v>
      </c>
      <c r="R391" s="2" t="inlineStr"/>
    </row>
    <row r="392" ht="15" customHeight="1">
      <c r="A392" t="inlineStr">
        <is>
          <t>A 35779-2025</t>
        </is>
      </c>
      <c r="B392" s="1" t="n">
        <v>45860.69495370371</v>
      </c>
      <c r="C392" s="1" t="n">
        <v>45985</v>
      </c>
      <c r="D392" t="inlineStr">
        <is>
          <t>VÄSTMANLANDS LÄN</t>
        </is>
      </c>
      <c r="E392" t="inlineStr">
        <is>
          <t>SALA</t>
        </is>
      </c>
      <c r="G392" t="n">
        <v>2.4</v>
      </c>
      <c r="H392" t="n">
        <v>0</v>
      </c>
      <c r="I392" t="n">
        <v>0</v>
      </c>
      <c r="J392" t="n">
        <v>0</v>
      </c>
      <c r="K392" t="n">
        <v>0</v>
      </c>
      <c r="L392" t="n">
        <v>0</v>
      </c>
      <c r="M392" t="n">
        <v>0</v>
      </c>
      <c r="N392" t="n">
        <v>0</v>
      </c>
      <c r="O392" t="n">
        <v>0</v>
      </c>
      <c r="P392" t="n">
        <v>0</v>
      </c>
      <c r="Q392" t="n">
        <v>0</v>
      </c>
      <c r="R392" s="2" t="inlineStr"/>
    </row>
    <row r="393" ht="15" customHeight="1">
      <c r="A393" t="inlineStr">
        <is>
          <t>A 41292-2021</t>
        </is>
      </c>
      <c r="B393" s="1" t="n">
        <v>44424</v>
      </c>
      <c r="C393" s="1" t="n">
        <v>45985</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60328-2024</t>
        </is>
      </c>
      <c r="B394" s="1" t="n">
        <v>45643.38416666666</v>
      </c>
      <c r="C394" s="1" t="n">
        <v>45985</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36049-2025</t>
        </is>
      </c>
      <c r="B395" s="1" t="n">
        <v>45866.37065972222</v>
      </c>
      <c r="C395" s="1" t="n">
        <v>45985</v>
      </c>
      <c r="D395" t="inlineStr">
        <is>
          <t>VÄSTMANLANDS LÄN</t>
        </is>
      </c>
      <c r="E395" t="inlineStr">
        <is>
          <t>SALA</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6088-2021</t>
        </is>
      </c>
      <c r="B396" s="1" t="n">
        <v>44232</v>
      </c>
      <c r="C396" s="1" t="n">
        <v>45985</v>
      </c>
      <c r="D396" t="inlineStr">
        <is>
          <t>VÄSTMANLANDS LÄN</t>
        </is>
      </c>
      <c r="E396" t="inlineStr">
        <is>
          <t>SALA</t>
        </is>
      </c>
      <c r="G396" t="n">
        <v>0.2</v>
      </c>
      <c r="H396" t="n">
        <v>0</v>
      </c>
      <c r="I396" t="n">
        <v>0</v>
      </c>
      <c r="J396" t="n">
        <v>0</v>
      </c>
      <c r="K396" t="n">
        <v>0</v>
      </c>
      <c r="L396" t="n">
        <v>0</v>
      </c>
      <c r="M396" t="n">
        <v>0</v>
      </c>
      <c r="N396" t="n">
        <v>0</v>
      </c>
      <c r="O396" t="n">
        <v>0</v>
      </c>
      <c r="P396" t="n">
        <v>0</v>
      </c>
      <c r="Q396" t="n">
        <v>0</v>
      </c>
      <c r="R396" s="2" t="inlineStr"/>
    </row>
    <row r="397" ht="15" customHeight="1">
      <c r="A397" t="inlineStr">
        <is>
          <t>A 33273-2023</t>
        </is>
      </c>
      <c r="B397" s="1" t="n">
        <v>45127</v>
      </c>
      <c r="C397" s="1" t="n">
        <v>45985</v>
      </c>
      <c r="D397" t="inlineStr">
        <is>
          <t>VÄSTMANLANDS LÄN</t>
        </is>
      </c>
      <c r="E397" t="inlineStr">
        <is>
          <t>SALA</t>
        </is>
      </c>
      <c r="G397" t="n">
        <v>2.6</v>
      </c>
      <c r="H397" t="n">
        <v>0</v>
      </c>
      <c r="I397" t="n">
        <v>0</v>
      </c>
      <c r="J397" t="n">
        <v>0</v>
      </c>
      <c r="K397" t="n">
        <v>0</v>
      </c>
      <c r="L397" t="n">
        <v>0</v>
      </c>
      <c r="M397" t="n">
        <v>0</v>
      </c>
      <c r="N397" t="n">
        <v>0</v>
      </c>
      <c r="O397" t="n">
        <v>0</v>
      </c>
      <c r="P397" t="n">
        <v>0</v>
      </c>
      <c r="Q397" t="n">
        <v>0</v>
      </c>
      <c r="R397" s="2" t="inlineStr"/>
    </row>
    <row r="398" ht="15" customHeight="1">
      <c r="A398" t="inlineStr">
        <is>
          <t>A 36031-2025</t>
        </is>
      </c>
      <c r="B398" s="1" t="n">
        <v>45865.46111111111</v>
      </c>
      <c r="C398" s="1" t="n">
        <v>45985</v>
      </c>
      <c r="D398" t="inlineStr">
        <is>
          <t>VÄSTMANLANDS LÄN</t>
        </is>
      </c>
      <c r="E398" t="inlineStr">
        <is>
          <t>SALA</t>
        </is>
      </c>
      <c r="G398" t="n">
        <v>7.2</v>
      </c>
      <c r="H398" t="n">
        <v>0</v>
      </c>
      <c r="I398" t="n">
        <v>0</v>
      </c>
      <c r="J398" t="n">
        <v>0</v>
      </c>
      <c r="K398" t="n">
        <v>0</v>
      </c>
      <c r="L398" t="n">
        <v>0</v>
      </c>
      <c r="M398" t="n">
        <v>0</v>
      </c>
      <c r="N398" t="n">
        <v>0</v>
      </c>
      <c r="O398" t="n">
        <v>0</v>
      </c>
      <c r="P398" t="n">
        <v>0</v>
      </c>
      <c r="Q398" t="n">
        <v>0</v>
      </c>
      <c r="R398" s="2" t="inlineStr"/>
    </row>
    <row r="399" ht="15" customHeight="1">
      <c r="A399" t="inlineStr">
        <is>
          <t>A 36060-2025</t>
        </is>
      </c>
      <c r="B399" s="1" t="n">
        <v>45866.39469907407</v>
      </c>
      <c r="C399" s="1" t="n">
        <v>45985</v>
      </c>
      <c r="D399" t="inlineStr">
        <is>
          <t>VÄSTMANLANDS LÄN</t>
        </is>
      </c>
      <c r="E399" t="inlineStr">
        <is>
          <t>SALA</t>
        </is>
      </c>
      <c r="F399" t="inlineStr">
        <is>
          <t>Kommuner</t>
        </is>
      </c>
      <c r="G399" t="n">
        <v>4.3</v>
      </c>
      <c r="H399" t="n">
        <v>0</v>
      </c>
      <c r="I399" t="n">
        <v>0</v>
      </c>
      <c r="J399" t="n">
        <v>0</v>
      </c>
      <c r="K399" t="n">
        <v>0</v>
      </c>
      <c r="L399" t="n">
        <v>0</v>
      </c>
      <c r="M399" t="n">
        <v>0</v>
      </c>
      <c r="N399" t="n">
        <v>0</v>
      </c>
      <c r="O399" t="n">
        <v>0</v>
      </c>
      <c r="P399" t="n">
        <v>0</v>
      </c>
      <c r="Q399" t="n">
        <v>0</v>
      </c>
      <c r="R399" s="2" t="inlineStr"/>
    </row>
    <row r="400" ht="15" customHeight="1">
      <c r="A400" t="inlineStr">
        <is>
          <t>A 46661-2025</t>
        </is>
      </c>
      <c r="B400" s="1" t="n">
        <v>45926</v>
      </c>
      <c r="C400" s="1" t="n">
        <v>45985</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36032-2025</t>
        </is>
      </c>
      <c r="B401" s="1" t="n">
        <v>45865.48740740741</v>
      </c>
      <c r="C401" s="1" t="n">
        <v>45985</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36043-2025</t>
        </is>
      </c>
      <c r="B402" s="1" t="n">
        <v>45866.35333333333</v>
      </c>
      <c r="C402" s="1" t="n">
        <v>45985</v>
      </c>
      <c r="D402" t="inlineStr">
        <is>
          <t>VÄSTMANLANDS LÄN</t>
        </is>
      </c>
      <c r="E402" t="inlineStr">
        <is>
          <t>SALA</t>
        </is>
      </c>
      <c r="F402" t="inlineStr">
        <is>
          <t>Kommuner</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36045-2025</t>
        </is>
      </c>
      <c r="B403" s="1" t="n">
        <v>45866.36200231482</v>
      </c>
      <c r="C403" s="1" t="n">
        <v>45985</v>
      </c>
      <c r="D403" t="inlineStr">
        <is>
          <t>VÄSTMANLANDS LÄN</t>
        </is>
      </c>
      <c r="E403" t="inlineStr">
        <is>
          <t>SALA</t>
        </is>
      </c>
      <c r="F403" t="inlineStr">
        <is>
          <t>Kommuner</t>
        </is>
      </c>
      <c r="G403" t="n">
        <v>1.7</v>
      </c>
      <c r="H403" t="n">
        <v>0</v>
      </c>
      <c r="I403" t="n">
        <v>0</v>
      </c>
      <c r="J403" t="n">
        <v>0</v>
      </c>
      <c r="K403" t="n">
        <v>0</v>
      </c>
      <c r="L403" t="n">
        <v>0</v>
      </c>
      <c r="M403" t="n">
        <v>0</v>
      </c>
      <c r="N403" t="n">
        <v>0</v>
      </c>
      <c r="O403" t="n">
        <v>0</v>
      </c>
      <c r="P403" t="n">
        <v>0</v>
      </c>
      <c r="Q403" t="n">
        <v>0</v>
      </c>
      <c r="R403" s="2" t="inlineStr"/>
    </row>
    <row r="404" ht="15" customHeight="1">
      <c r="A404" t="inlineStr">
        <is>
          <t>A 52827-2024</t>
        </is>
      </c>
      <c r="B404" s="1" t="n">
        <v>45610</v>
      </c>
      <c r="C404" s="1" t="n">
        <v>45985</v>
      </c>
      <c r="D404" t="inlineStr">
        <is>
          <t>VÄSTMANLANDS LÄN</t>
        </is>
      </c>
      <c r="E404" t="inlineStr">
        <is>
          <t>SALA</t>
        </is>
      </c>
      <c r="G404" t="n">
        <v>0.2</v>
      </c>
      <c r="H404" t="n">
        <v>0</v>
      </c>
      <c r="I404" t="n">
        <v>0</v>
      </c>
      <c r="J404" t="n">
        <v>0</v>
      </c>
      <c r="K404" t="n">
        <v>0</v>
      </c>
      <c r="L404" t="n">
        <v>0</v>
      </c>
      <c r="M404" t="n">
        <v>0</v>
      </c>
      <c r="N404" t="n">
        <v>0</v>
      </c>
      <c r="O404" t="n">
        <v>0</v>
      </c>
      <c r="P404" t="n">
        <v>0</v>
      </c>
      <c r="Q404" t="n">
        <v>0</v>
      </c>
      <c r="R404" s="2" t="inlineStr"/>
    </row>
    <row r="405" ht="15" customHeight="1">
      <c r="A405" t="inlineStr">
        <is>
          <t>A 53166-2024</t>
        </is>
      </c>
      <c r="B405" s="1" t="n">
        <v>45611</v>
      </c>
      <c r="C405" s="1" t="n">
        <v>45985</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11244-2024</t>
        </is>
      </c>
      <c r="B406" s="1" t="n">
        <v>45371</v>
      </c>
      <c r="C406" s="1" t="n">
        <v>45985</v>
      </c>
      <c r="D406" t="inlineStr">
        <is>
          <t>VÄSTMANLANDS LÄN</t>
        </is>
      </c>
      <c r="E406" t="inlineStr">
        <is>
          <t>SALA</t>
        </is>
      </c>
      <c r="G406" t="n">
        <v>1.2</v>
      </c>
      <c r="H406" t="n">
        <v>0</v>
      </c>
      <c r="I406" t="n">
        <v>0</v>
      </c>
      <c r="J406" t="n">
        <v>0</v>
      </c>
      <c r="K406" t="n">
        <v>0</v>
      </c>
      <c r="L406" t="n">
        <v>0</v>
      </c>
      <c r="M406" t="n">
        <v>0</v>
      </c>
      <c r="N406" t="n">
        <v>0</v>
      </c>
      <c r="O406" t="n">
        <v>0</v>
      </c>
      <c r="P406" t="n">
        <v>0</v>
      </c>
      <c r="Q406" t="n">
        <v>0</v>
      </c>
      <c r="R406" s="2" t="inlineStr"/>
    </row>
    <row r="407" ht="15" customHeight="1">
      <c r="A407" t="inlineStr">
        <is>
          <t>A 62654-2022</t>
        </is>
      </c>
      <c r="B407" s="1" t="n">
        <v>44917</v>
      </c>
      <c r="C407" s="1" t="n">
        <v>45985</v>
      </c>
      <c r="D407" t="inlineStr">
        <is>
          <t>VÄSTMANLANDS LÄN</t>
        </is>
      </c>
      <c r="E407" t="inlineStr">
        <is>
          <t>SALA</t>
        </is>
      </c>
      <c r="G407" t="n">
        <v>0.5</v>
      </c>
      <c r="H407" t="n">
        <v>0</v>
      </c>
      <c r="I407" t="n">
        <v>0</v>
      </c>
      <c r="J407" t="n">
        <v>0</v>
      </c>
      <c r="K407" t="n">
        <v>0</v>
      </c>
      <c r="L407" t="n">
        <v>0</v>
      </c>
      <c r="M407" t="n">
        <v>0</v>
      </c>
      <c r="N407" t="n">
        <v>0</v>
      </c>
      <c r="O407" t="n">
        <v>0</v>
      </c>
      <c r="P407" t="n">
        <v>0</v>
      </c>
      <c r="Q407" t="n">
        <v>0</v>
      </c>
      <c r="R407" s="2" t="inlineStr"/>
    </row>
    <row r="408" ht="15" customHeight="1">
      <c r="A408" t="inlineStr">
        <is>
          <t>A 17985-2025</t>
        </is>
      </c>
      <c r="B408" s="1" t="n">
        <v>45761</v>
      </c>
      <c r="C408" s="1" t="n">
        <v>45985</v>
      </c>
      <c r="D408" t="inlineStr">
        <is>
          <t>VÄSTMANLANDS LÄN</t>
        </is>
      </c>
      <c r="E408" t="inlineStr">
        <is>
          <t>SALA</t>
        </is>
      </c>
      <c r="G408" t="n">
        <v>12.5</v>
      </c>
      <c r="H408" t="n">
        <v>0</v>
      </c>
      <c r="I408" t="n">
        <v>0</v>
      </c>
      <c r="J408" t="n">
        <v>0</v>
      </c>
      <c r="K408" t="n">
        <v>0</v>
      </c>
      <c r="L408" t="n">
        <v>0</v>
      </c>
      <c r="M408" t="n">
        <v>0</v>
      </c>
      <c r="N408" t="n">
        <v>0</v>
      </c>
      <c r="O408" t="n">
        <v>0</v>
      </c>
      <c r="P408" t="n">
        <v>0</v>
      </c>
      <c r="Q408" t="n">
        <v>0</v>
      </c>
      <c r="R408" s="2" t="inlineStr"/>
    </row>
    <row r="409" ht="15" customHeight="1">
      <c r="A409" t="inlineStr">
        <is>
          <t>A 31869-2025</t>
        </is>
      </c>
      <c r="B409" s="1" t="n">
        <v>45834.64555555556</v>
      </c>
      <c r="C409" s="1" t="n">
        <v>45985</v>
      </c>
      <c r="D409" t="inlineStr">
        <is>
          <t>VÄSTMANLANDS LÄN</t>
        </is>
      </c>
      <c r="E409" t="inlineStr">
        <is>
          <t>SALA</t>
        </is>
      </c>
      <c r="G409" t="n">
        <v>17.5</v>
      </c>
      <c r="H409" t="n">
        <v>0</v>
      </c>
      <c r="I409" t="n">
        <v>0</v>
      </c>
      <c r="J409" t="n">
        <v>0</v>
      </c>
      <c r="K409" t="n">
        <v>0</v>
      </c>
      <c r="L409" t="n">
        <v>0</v>
      </c>
      <c r="M409" t="n">
        <v>0</v>
      </c>
      <c r="N409" t="n">
        <v>0</v>
      </c>
      <c r="O409" t="n">
        <v>0</v>
      </c>
      <c r="P409" t="n">
        <v>0</v>
      </c>
      <c r="Q409" t="n">
        <v>0</v>
      </c>
      <c r="R409" s="2" t="inlineStr"/>
    </row>
    <row r="410" ht="15" customHeight="1">
      <c r="A410" t="inlineStr">
        <is>
          <t>A 6135-2023</t>
        </is>
      </c>
      <c r="B410" s="1" t="n">
        <v>44964.62628472222</v>
      </c>
      <c r="C410" s="1" t="n">
        <v>45985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31863-2025</t>
        </is>
      </c>
      <c r="B411" s="1" t="n">
        <v>45834.63303240741</v>
      </c>
      <c r="C411" s="1" t="n">
        <v>45985</v>
      </c>
      <c r="D411" t="inlineStr">
        <is>
          <t>VÄSTMANLANDS LÄN</t>
        </is>
      </c>
      <c r="E411" t="inlineStr">
        <is>
          <t>SALA</t>
        </is>
      </c>
      <c r="G411" t="n">
        <v>2.5</v>
      </c>
      <c r="H411" t="n">
        <v>0</v>
      </c>
      <c r="I411" t="n">
        <v>0</v>
      </c>
      <c r="J411" t="n">
        <v>0</v>
      </c>
      <c r="K411" t="n">
        <v>0</v>
      </c>
      <c r="L411" t="n">
        <v>0</v>
      </c>
      <c r="M411" t="n">
        <v>0</v>
      </c>
      <c r="N411" t="n">
        <v>0</v>
      </c>
      <c r="O411" t="n">
        <v>0</v>
      </c>
      <c r="P411" t="n">
        <v>0</v>
      </c>
      <c r="Q411" t="n">
        <v>0</v>
      </c>
      <c r="R411" s="2" t="inlineStr"/>
    </row>
    <row r="412" ht="15" customHeight="1">
      <c r="A412" t="inlineStr">
        <is>
          <t>A 17766-2025</t>
        </is>
      </c>
      <c r="B412" s="1" t="n">
        <v>45758</v>
      </c>
      <c r="C412" s="1" t="n">
        <v>45985</v>
      </c>
      <c r="D412" t="inlineStr">
        <is>
          <t>VÄSTMANLANDS LÄN</t>
        </is>
      </c>
      <c r="E412" t="inlineStr">
        <is>
          <t>SALA</t>
        </is>
      </c>
      <c r="G412" t="n">
        <v>16.5</v>
      </c>
      <c r="H412" t="n">
        <v>0</v>
      </c>
      <c r="I412" t="n">
        <v>0</v>
      </c>
      <c r="J412" t="n">
        <v>0</v>
      </c>
      <c r="K412" t="n">
        <v>0</v>
      </c>
      <c r="L412" t="n">
        <v>0</v>
      </c>
      <c r="M412" t="n">
        <v>0</v>
      </c>
      <c r="N412" t="n">
        <v>0</v>
      </c>
      <c r="O412" t="n">
        <v>0</v>
      </c>
      <c r="P412" t="n">
        <v>0</v>
      </c>
      <c r="Q412" t="n">
        <v>0</v>
      </c>
      <c r="R412" s="2" t="inlineStr"/>
    </row>
    <row r="413" ht="15" customHeight="1">
      <c r="A413" t="inlineStr">
        <is>
          <t>A 53864-2022</t>
        </is>
      </c>
      <c r="B413" s="1" t="n">
        <v>44880.64016203704</v>
      </c>
      <c r="C413" s="1" t="n">
        <v>45985</v>
      </c>
      <c r="D413" t="inlineStr">
        <is>
          <t>VÄSTMANLANDS LÄN</t>
        </is>
      </c>
      <c r="E413" t="inlineStr">
        <is>
          <t>SALA</t>
        </is>
      </c>
      <c r="G413" t="n">
        <v>5.9</v>
      </c>
      <c r="H413" t="n">
        <v>0</v>
      </c>
      <c r="I413" t="n">
        <v>0</v>
      </c>
      <c r="J413" t="n">
        <v>0</v>
      </c>
      <c r="K413" t="n">
        <v>0</v>
      </c>
      <c r="L413" t="n">
        <v>0</v>
      </c>
      <c r="M413" t="n">
        <v>0</v>
      </c>
      <c r="N413" t="n">
        <v>0</v>
      </c>
      <c r="O413" t="n">
        <v>0</v>
      </c>
      <c r="P413" t="n">
        <v>0</v>
      </c>
      <c r="Q413" t="n">
        <v>0</v>
      </c>
      <c r="R413" s="2" t="inlineStr"/>
    </row>
    <row r="414" ht="15" customHeight="1">
      <c r="A414" t="inlineStr">
        <is>
          <t>A 7664-2023</t>
        </is>
      </c>
      <c r="B414" s="1" t="n">
        <v>44972</v>
      </c>
      <c r="C414" s="1" t="n">
        <v>45985</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3546-2025</t>
        </is>
      </c>
      <c r="B415" s="1" t="n">
        <v>45680</v>
      </c>
      <c r="C415" s="1" t="n">
        <v>45985</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46915-2025</t>
        </is>
      </c>
      <c r="B416" s="1" t="n">
        <v>45929.42114583333</v>
      </c>
      <c r="C416" s="1" t="n">
        <v>45985</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55714-2025</t>
        </is>
      </c>
      <c r="B417" s="1" t="n">
        <v>45972.49131944445</v>
      </c>
      <c r="C417" s="1" t="n">
        <v>45985</v>
      </c>
      <c r="D417" t="inlineStr">
        <is>
          <t>VÄSTMANLANDS LÄN</t>
        </is>
      </c>
      <c r="E417" t="inlineStr">
        <is>
          <t>SALA</t>
        </is>
      </c>
      <c r="G417" t="n">
        <v>6.6</v>
      </c>
      <c r="H417" t="n">
        <v>0</v>
      </c>
      <c r="I417" t="n">
        <v>0</v>
      </c>
      <c r="J417" t="n">
        <v>0</v>
      </c>
      <c r="K417" t="n">
        <v>0</v>
      </c>
      <c r="L417" t="n">
        <v>0</v>
      </c>
      <c r="M417" t="n">
        <v>0</v>
      </c>
      <c r="N417" t="n">
        <v>0</v>
      </c>
      <c r="O417" t="n">
        <v>0</v>
      </c>
      <c r="P417" t="n">
        <v>0</v>
      </c>
      <c r="Q417" t="n">
        <v>0</v>
      </c>
      <c r="R417" s="2" t="inlineStr"/>
    </row>
    <row r="418" ht="15" customHeight="1">
      <c r="A418" t="inlineStr">
        <is>
          <t>A 27255-2023</t>
        </is>
      </c>
      <c r="B418" s="1" t="n">
        <v>45096</v>
      </c>
      <c r="C418" s="1" t="n">
        <v>45985</v>
      </c>
      <c r="D418" t="inlineStr">
        <is>
          <t>VÄSTMANLANDS LÄN</t>
        </is>
      </c>
      <c r="E418" t="inlineStr">
        <is>
          <t>SALA</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55997-2025</t>
        </is>
      </c>
      <c r="B419" s="1" t="n">
        <v>45973.56833333334</v>
      </c>
      <c r="C419" s="1" t="n">
        <v>45985</v>
      </c>
      <c r="D419" t="inlineStr">
        <is>
          <t>VÄSTMANLANDS LÄN</t>
        </is>
      </c>
      <c r="E419" t="inlineStr">
        <is>
          <t>SALA</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60034-2024</t>
        </is>
      </c>
      <c r="B420" s="1" t="n">
        <v>45642.46261574074</v>
      </c>
      <c r="C420" s="1" t="n">
        <v>45985</v>
      </c>
      <c r="D420" t="inlineStr">
        <is>
          <t>VÄSTMANLANDS LÄN</t>
        </is>
      </c>
      <c r="E420" t="inlineStr">
        <is>
          <t>SALA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3810-2023</t>
        </is>
      </c>
      <c r="B421" s="1" t="n">
        <v>44951.60454861111</v>
      </c>
      <c r="C421" s="1" t="n">
        <v>45985</v>
      </c>
      <c r="D421" t="inlineStr">
        <is>
          <t>VÄSTMANLANDS LÄN</t>
        </is>
      </c>
      <c r="E421" t="inlineStr">
        <is>
          <t>SALA</t>
        </is>
      </c>
      <c r="G421" t="n">
        <v>4.2</v>
      </c>
      <c r="H421" t="n">
        <v>0</v>
      </c>
      <c r="I421" t="n">
        <v>0</v>
      </c>
      <c r="J421" t="n">
        <v>0</v>
      </c>
      <c r="K421" t="n">
        <v>0</v>
      </c>
      <c r="L421" t="n">
        <v>0</v>
      </c>
      <c r="M421" t="n">
        <v>0</v>
      </c>
      <c r="N421" t="n">
        <v>0</v>
      </c>
      <c r="O421" t="n">
        <v>0</v>
      </c>
      <c r="P421" t="n">
        <v>0</v>
      </c>
      <c r="Q421" t="n">
        <v>0</v>
      </c>
      <c r="R421" s="2" t="inlineStr"/>
    </row>
    <row r="422" ht="15" customHeight="1">
      <c r="A422" t="inlineStr">
        <is>
          <t>A 48057-2025</t>
        </is>
      </c>
      <c r="B422" s="1" t="n">
        <v>45932.67947916667</v>
      </c>
      <c r="C422" s="1" t="n">
        <v>45985</v>
      </c>
      <c r="D422" t="inlineStr">
        <is>
          <t>VÄSTMANLANDS LÄN</t>
        </is>
      </c>
      <c r="E422" t="inlineStr">
        <is>
          <t>SALA</t>
        </is>
      </c>
      <c r="G422" t="n">
        <v>4.3</v>
      </c>
      <c r="H422" t="n">
        <v>0</v>
      </c>
      <c r="I422" t="n">
        <v>0</v>
      </c>
      <c r="J422" t="n">
        <v>0</v>
      </c>
      <c r="K422" t="n">
        <v>0</v>
      </c>
      <c r="L422" t="n">
        <v>0</v>
      </c>
      <c r="M422" t="n">
        <v>0</v>
      </c>
      <c r="N422" t="n">
        <v>0</v>
      </c>
      <c r="O422" t="n">
        <v>0</v>
      </c>
      <c r="P422" t="n">
        <v>0</v>
      </c>
      <c r="Q422" t="n">
        <v>0</v>
      </c>
      <c r="R422" s="2" t="inlineStr"/>
    </row>
    <row r="423" ht="15" customHeight="1">
      <c r="A423" t="inlineStr">
        <is>
          <t>A 52503-2024</t>
        </is>
      </c>
      <c r="B423" s="1" t="n">
        <v>45609.58806712963</v>
      </c>
      <c r="C423" s="1" t="n">
        <v>45985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37017-2025</t>
        </is>
      </c>
      <c r="B424" s="1" t="n">
        <v>45874</v>
      </c>
      <c r="C424" s="1" t="n">
        <v>45985</v>
      </c>
      <c r="D424" t="inlineStr">
        <is>
          <t>VÄSTMANLANDS LÄN</t>
        </is>
      </c>
      <c r="E424" t="inlineStr">
        <is>
          <t>SALA</t>
        </is>
      </c>
      <c r="G424" t="n">
        <v>11.1</v>
      </c>
      <c r="H424" t="n">
        <v>0</v>
      </c>
      <c r="I424" t="n">
        <v>0</v>
      </c>
      <c r="J424" t="n">
        <v>0</v>
      </c>
      <c r="K424" t="n">
        <v>0</v>
      </c>
      <c r="L424" t="n">
        <v>0</v>
      </c>
      <c r="M424" t="n">
        <v>0</v>
      </c>
      <c r="N424" t="n">
        <v>0</v>
      </c>
      <c r="O424" t="n">
        <v>0</v>
      </c>
      <c r="P424" t="n">
        <v>0</v>
      </c>
      <c r="Q424" t="n">
        <v>0</v>
      </c>
      <c r="R424" s="2" t="inlineStr"/>
    </row>
    <row r="425" ht="15" customHeight="1">
      <c r="A425" t="inlineStr">
        <is>
          <t>A 2521-2025</t>
        </is>
      </c>
      <c r="B425" s="1" t="n">
        <v>45674</v>
      </c>
      <c r="C425" s="1" t="n">
        <v>45985</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47577-2025</t>
        </is>
      </c>
      <c r="B426" s="1" t="n">
        <v>45931.4047337963</v>
      </c>
      <c r="C426" s="1" t="n">
        <v>45985</v>
      </c>
      <c r="D426" t="inlineStr">
        <is>
          <t>VÄSTMANLANDS LÄN</t>
        </is>
      </c>
      <c r="E426" t="inlineStr">
        <is>
          <t>SALA</t>
        </is>
      </c>
      <c r="G426" t="n">
        <v>3.7</v>
      </c>
      <c r="H426" t="n">
        <v>0</v>
      </c>
      <c r="I426" t="n">
        <v>0</v>
      </c>
      <c r="J426" t="n">
        <v>0</v>
      </c>
      <c r="K426" t="n">
        <v>0</v>
      </c>
      <c r="L426" t="n">
        <v>0</v>
      </c>
      <c r="M426" t="n">
        <v>0</v>
      </c>
      <c r="N426" t="n">
        <v>0</v>
      </c>
      <c r="O426" t="n">
        <v>0</v>
      </c>
      <c r="P426" t="n">
        <v>0</v>
      </c>
      <c r="Q426" t="n">
        <v>0</v>
      </c>
      <c r="R426" s="2" t="inlineStr"/>
    </row>
    <row r="427" ht="15" customHeight="1">
      <c r="A427" t="inlineStr">
        <is>
          <t>A 37103-2025</t>
        </is>
      </c>
      <c r="B427" s="1" t="n">
        <v>45875.47743055555</v>
      </c>
      <c r="C427" s="1" t="n">
        <v>45985</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37246-2025</t>
        </is>
      </c>
      <c r="B428" s="1" t="n">
        <v>45876.39435185185</v>
      </c>
      <c r="C428" s="1" t="n">
        <v>45985</v>
      </c>
      <c r="D428" t="inlineStr">
        <is>
          <t>VÄSTMANLANDS LÄN</t>
        </is>
      </c>
      <c r="E428" t="inlineStr">
        <is>
          <t>SALA</t>
        </is>
      </c>
      <c r="G428" t="n">
        <v>2.3</v>
      </c>
      <c r="H428" t="n">
        <v>0</v>
      </c>
      <c r="I428" t="n">
        <v>0</v>
      </c>
      <c r="J428" t="n">
        <v>0</v>
      </c>
      <c r="K428" t="n">
        <v>0</v>
      </c>
      <c r="L428" t="n">
        <v>0</v>
      </c>
      <c r="M428" t="n">
        <v>0</v>
      </c>
      <c r="N428" t="n">
        <v>0</v>
      </c>
      <c r="O428" t="n">
        <v>0</v>
      </c>
      <c r="P428" t="n">
        <v>0</v>
      </c>
      <c r="Q428" t="n">
        <v>0</v>
      </c>
      <c r="R428" s="2" t="inlineStr"/>
    </row>
    <row r="429" ht="15" customHeight="1">
      <c r="A429" t="inlineStr">
        <is>
          <t>A 31000-2022</t>
        </is>
      </c>
      <c r="B429" s="1" t="n">
        <v>44768</v>
      </c>
      <c r="C429" s="1" t="n">
        <v>45985</v>
      </c>
      <c r="D429" t="inlineStr">
        <is>
          <t>VÄSTMANLANDS LÄN</t>
        </is>
      </c>
      <c r="E429" t="inlineStr">
        <is>
          <t>SALA</t>
        </is>
      </c>
      <c r="G429" t="n">
        <v>5.7</v>
      </c>
      <c r="H429" t="n">
        <v>0</v>
      </c>
      <c r="I429" t="n">
        <v>0</v>
      </c>
      <c r="J429" t="n">
        <v>0</v>
      </c>
      <c r="K429" t="n">
        <v>0</v>
      </c>
      <c r="L429" t="n">
        <v>0</v>
      </c>
      <c r="M429" t="n">
        <v>0</v>
      </c>
      <c r="N429" t="n">
        <v>0</v>
      </c>
      <c r="O429" t="n">
        <v>0</v>
      </c>
      <c r="P429" t="n">
        <v>0</v>
      </c>
      <c r="Q429" t="n">
        <v>0</v>
      </c>
      <c r="R429" s="2" t="inlineStr"/>
    </row>
    <row r="430" ht="15" customHeight="1">
      <c r="A430" t="inlineStr">
        <is>
          <t>A 17722-2025</t>
        </is>
      </c>
      <c r="B430" s="1" t="n">
        <v>45758</v>
      </c>
      <c r="C430" s="1" t="n">
        <v>45985</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31950-2023</t>
        </is>
      </c>
      <c r="B431" s="1" t="n">
        <v>45107</v>
      </c>
      <c r="C431" s="1" t="n">
        <v>45985</v>
      </c>
      <c r="D431" t="inlineStr">
        <is>
          <t>VÄSTMANLANDS LÄN</t>
        </is>
      </c>
      <c r="E431" t="inlineStr">
        <is>
          <t>SALA</t>
        </is>
      </c>
      <c r="G431" t="n">
        <v>0.1</v>
      </c>
      <c r="H431" t="n">
        <v>0</v>
      </c>
      <c r="I431" t="n">
        <v>0</v>
      </c>
      <c r="J431" t="n">
        <v>0</v>
      </c>
      <c r="K431" t="n">
        <v>0</v>
      </c>
      <c r="L431" t="n">
        <v>0</v>
      </c>
      <c r="M431" t="n">
        <v>0</v>
      </c>
      <c r="N431" t="n">
        <v>0</v>
      </c>
      <c r="O431" t="n">
        <v>0</v>
      </c>
      <c r="P431" t="n">
        <v>0</v>
      </c>
      <c r="Q431" t="n">
        <v>0</v>
      </c>
      <c r="R431" s="2" t="inlineStr"/>
    </row>
    <row r="432" ht="15" customHeight="1">
      <c r="A432" t="inlineStr">
        <is>
          <t>A 37590-2025</t>
        </is>
      </c>
      <c r="B432" s="1" t="n">
        <v>45880.41138888889</v>
      </c>
      <c r="C432" s="1" t="n">
        <v>45985</v>
      </c>
      <c r="D432" t="inlineStr">
        <is>
          <t>VÄSTMANLANDS LÄN</t>
        </is>
      </c>
      <c r="E432" t="inlineStr">
        <is>
          <t>SALA</t>
        </is>
      </c>
      <c r="G432" t="n">
        <v>2.2</v>
      </c>
      <c r="H432" t="n">
        <v>0</v>
      </c>
      <c r="I432" t="n">
        <v>0</v>
      </c>
      <c r="J432" t="n">
        <v>0</v>
      </c>
      <c r="K432" t="n">
        <v>0</v>
      </c>
      <c r="L432" t="n">
        <v>0</v>
      </c>
      <c r="M432" t="n">
        <v>0</v>
      </c>
      <c r="N432" t="n">
        <v>0</v>
      </c>
      <c r="O432" t="n">
        <v>0</v>
      </c>
      <c r="P432" t="n">
        <v>0</v>
      </c>
      <c r="Q432" t="n">
        <v>0</v>
      </c>
      <c r="R432" s="2" t="inlineStr"/>
    </row>
    <row r="433" ht="15" customHeight="1">
      <c r="A433" t="inlineStr">
        <is>
          <t>A 37593-2025</t>
        </is>
      </c>
      <c r="B433" s="1" t="n">
        <v>45880.41325231481</v>
      </c>
      <c r="C433" s="1" t="n">
        <v>45985</v>
      </c>
      <c r="D433" t="inlineStr">
        <is>
          <t>VÄSTMANLANDS LÄN</t>
        </is>
      </c>
      <c r="E433" t="inlineStr">
        <is>
          <t>SALA</t>
        </is>
      </c>
      <c r="G433" t="n">
        <v>1.4</v>
      </c>
      <c r="H433" t="n">
        <v>0</v>
      </c>
      <c r="I433" t="n">
        <v>0</v>
      </c>
      <c r="J433" t="n">
        <v>0</v>
      </c>
      <c r="K433" t="n">
        <v>0</v>
      </c>
      <c r="L433" t="n">
        <v>0</v>
      </c>
      <c r="M433" t="n">
        <v>0</v>
      </c>
      <c r="N433" t="n">
        <v>0</v>
      </c>
      <c r="O433" t="n">
        <v>0</v>
      </c>
      <c r="P433" t="n">
        <v>0</v>
      </c>
      <c r="Q433" t="n">
        <v>0</v>
      </c>
      <c r="R433" s="2" t="inlineStr"/>
    </row>
    <row r="434" ht="15" customHeight="1">
      <c r="A434" t="inlineStr">
        <is>
          <t>A 48710-2025</t>
        </is>
      </c>
      <c r="B434" s="1" t="n">
        <v>45936.63184027778</v>
      </c>
      <c r="C434" s="1" t="n">
        <v>45985</v>
      </c>
      <c r="D434" t="inlineStr">
        <is>
          <t>VÄSTMANLANDS LÄN</t>
        </is>
      </c>
      <c r="E434" t="inlineStr">
        <is>
          <t>SALA</t>
        </is>
      </c>
      <c r="G434" t="n">
        <v>2.7</v>
      </c>
      <c r="H434" t="n">
        <v>0</v>
      </c>
      <c r="I434" t="n">
        <v>0</v>
      </c>
      <c r="J434" t="n">
        <v>0</v>
      </c>
      <c r="K434" t="n">
        <v>0</v>
      </c>
      <c r="L434" t="n">
        <v>0</v>
      </c>
      <c r="M434" t="n">
        <v>0</v>
      </c>
      <c r="N434" t="n">
        <v>0</v>
      </c>
      <c r="O434" t="n">
        <v>0</v>
      </c>
      <c r="P434" t="n">
        <v>0</v>
      </c>
      <c r="Q434" t="n">
        <v>0</v>
      </c>
      <c r="R434" s="2" t="inlineStr"/>
    </row>
    <row r="435" ht="15" customHeight="1">
      <c r="A435" t="inlineStr">
        <is>
          <t>A 16693-2023</t>
        </is>
      </c>
      <c r="B435" s="1" t="n">
        <v>45028</v>
      </c>
      <c r="C435" s="1" t="n">
        <v>45985</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23182-2022</t>
        </is>
      </c>
      <c r="B436" s="1" t="n">
        <v>44719.79707175926</v>
      </c>
      <c r="C436" s="1" t="n">
        <v>45985</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43359-2024</t>
        </is>
      </c>
      <c r="B437" s="1" t="n">
        <v>45568.57724537037</v>
      </c>
      <c r="C437" s="1" t="n">
        <v>45985</v>
      </c>
      <c r="D437" t="inlineStr">
        <is>
          <t>VÄSTMANLANDS LÄN</t>
        </is>
      </c>
      <c r="E437" t="inlineStr">
        <is>
          <t>SALA</t>
        </is>
      </c>
      <c r="G437" t="n">
        <v>1.6</v>
      </c>
      <c r="H437" t="n">
        <v>0</v>
      </c>
      <c r="I437" t="n">
        <v>0</v>
      </c>
      <c r="J437" t="n">
        <v>0</v>
      </c>
      <c r="K437" t="n">
        <v>0</v>
      </c>
      <c r="L437" t="n">
        <v>0</v>
      </c>
      <c r="M437" t="n">
        <v>0</v>
      </c>
      <c r="N437" t="n">
        <v>0</v>
      </c>
      <c r="O437" t="n">
        <v>0</v>
      </c>
      <c r="P437" t="n">
        <v>0</v>
      </c>
      <c r="Q437" t="n">
        <v>0</v>
      </c>
      <c r="R437" s="2" t="inlineStr"/>
    </row>
    <row r="438" ht="15" customHeight="1">
      <c r="A438" t="inlineStr">
        <is>
          <t>A 29972-2025</t>
        </is>
      </c>
      <c r="B438" s="1" t="n">
        <v>45826</v>
      </c>
      <c r="C438" s="1" t="n">
        <v>45985</v>
      </c>
      <c r="D438" t="inlineStr">
        <is>
          <t>VÄSTMANLANDS LÄN</t>
        </is>
      </c>
      <c r="E438" t="inlineStr">
        <is>
          <t>SALA</t>
        </is>
      </c>
      <c r="G438" t="n">
        <v>2.7</v>
      </c>
      <c r="H438" t="n">
        <v>0</v>
      </c>
      <c r="I438" t="n">
        <v>0</v>
      </c>
      <c r="J438" t="n">
        <v>0</v>
      </c>
      <c r="K438" t="n">
        <v>0</v>
      </c>
      <c r="L438" t="n">
        <v>0</v>
      </c>
      <c r="M438" t="n">
        <v>0</v>
      </c>
      <c r="N438" t="n">
        <v>0</v>
      </c>
      <c r="O438" t="n">
        <v>0</v>
      </c>
      <c r="P438" t="n">
        <v>0</v>
      </c>
      <c r="Q438" t="n">
        <v>0</v>
      </c>
      <c r="R438" s="2" t="inlineStr"/>
    </row>
    <row r="439" ht="15" customHeight="1">
      <c r="A439" t="inlineStr">
        <is>
          <t>A 57371-2022</t>
        </is>
      </c>
      <c r="B439" s="1" t="n">
        <v>44896.43832175926</v>
      </c>
      <c r="C439" s="1" t="n">
        <v>45985</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56548-2024</t>
        </is>
      </c>
      <c r="B440" s="1" t="n">
        <v>45625</v>
      </c>
      <c r="C440" s="1" t="n">
        <v>45985</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47086-2022</t>
        </is>
      </c>
      <c r="B441" s="1" t="n">
        <v>44852</v>
      </c>
      <c r="C441" s="1" t="n">
        <v>45985</v>
      </c>
      <c r="D441" t="inlineStr">
        <is>
          <t>VÄSTMANLANDS LÄN</t>
        </is>
      </c>
      <c r="E441" t="inlineStr">
        <is>
          <t>SALA</t>
        </is>
      </c>
      <c r="G441" t="n">
        <v>12.5</v>
      </c>
      <c r="H441" t="n">
        <v>0</v>
      </c>
      <c r="I441" t="n">
        <v>0</v>
      </c>
      <c r="J441" t="n">
        <v>0</v>
      </c>
      <c r="K441" t="n">
        <v>0</v>
      </c>
      <c r="L441" t="n">
        <v>0</v>
      </c>
      <c r="M441" t="n">
        <v>0</v>
      </c>
      <c r="N441" t="n">
        <v>0</v>
      </c>
      <c r="O441" t="n">
        <v>0</v>
      </c>
      <c r="P441" t="n">
        <v>0</v>
      </c>
      <c r="Q441" t="n">
        <v>0</v>
      </c>
      <c r="R441" s="2" t="inlineStr"/>
    </row>
    <row r="442" ht="15" customHeight="1">
      <c r="A442" t="inlineStr">
        <is>
          <t>A 56645-2025</t>
        </is>
      </c>
      <c r="B442" s="1" t="n">
        <v>45975.63063657407</v>
      </c>
      <c r="C442" s="1" t="n">
        <v>45985</v>
      </c>
      <c r="D442" t="inlineStr">
        <is>
          <t>VÄSTMANLANDS LÄN</t>
        </is>
      </c>
      <c r="E442" t="inlineStr">
        <is>
          <t>SALA</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56614-2025</t>
        </is>
      </c>
      <c r="B443" s="1" t="n">
        <v>45975.59288194445</v>
      </c>
      <c r="C443" s="1" t="n">
        <v>45985</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56502-2025</t>
        </is>
      </c>
      <c r="B444" s="1" t="n">
        <v>45975</v>
      </c>
      <c r="C444" s="1" t="n">
        <v>45985</v>
      </c>
      <c r="D444" t="inlineStr">
        <is>
          <t>VÄSTMANLANDS LÄN</t>
        </is>
      </c>
      <c r="E444" t="inlineStr">
        <is>
          <t>SALA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57412-2025</t>
        </is>
      </c>
      <c r="B445" s="1" t="n">
        <v>45980.44883101852</v>
      </c>
      <c r="C445" s="1" t="n">
        <v>45985</v>
      </c>
      <c r="D445" t="inlineStr">
        <is>
          <t>VÄSTMANLANDS LÄN</t>
        </is>
      </c>
      <c r="E445" t="inlineStr">
        <is>
          <t>SALA</t>
        </is>
      </c>
      <c r="F445" t="inlineStr">
        <is>
          <t>Bergvik skog öst AB</t>
        </is>
      </c>
      <c r="G445" t="n">
        <v>4.5</v>
      </c>
      <c r="H445" t="n">
        <v>0</v>
      </c>
      <c r="I445" t="n">
        <v>0</v>
      </c>
      <c r="J445" t="n">
        <v>0</v>
      </c>
      <c r="K445" t="n">
        <v>0</v>
      </c>
      <c r="L445" t="n">
        <v>0</v>
      </c>
      <c r="M445" t="n">
        <v>0</v>
      </c>
      <c r="N445" t="n">
        <v>0</v>
      </c>
      <c r="O445" t="n">
        <v>0</v>
      </c>
      <c r="P445" t="n">
        <v>0</v>
      </c>
      <c r="Q445" t="n">
        <v>0</v>
      </c>
      <c r="R445" s="2" t="inlineStr"/>
    </row>
    <row r="446" ht="15" customHeight="1">
      <c r="A446" t="inlineStr">
        <is>
          <t>A 57014-2025</t>
        </is>
      </c>
      <c r="B446" s="1" t="n">
        <v>45978</v>
      </c>
      <c r="C446" s="1" t="n">
        <v>45985</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988-2025</t>
        </is>
      </c>
      <c r="B447" s="1" t="n">
        <v>45666.44038194444</v>
      </c>
      <c r="C447" s="1" t="n">
        <v>45985</v>
      </c>
      <c r="D447" t="inlineStr">
        <is>
          <t>VÄSTMANLANDS LÄN</t>
        </is>
      </c>
      <c r="E447" t="inlineStr">
        <is>
          <t>SALA</t>
        </is>
      </c>
      <c r="G447" t="n">
        <v>1.3</v>
      </c>
      <c r="H447" t="n">
        <v>0</v>
      </c>
      <c r="I447" t="n">
        <v>0</v>
      </c>
      <c r="J447" t="n">
        <v>0</v>
      </c>
      <c r="K447" t="n">
        <v>0</v>
      </c>
      <c r="L447" t="n">
        <v>0</v>
      </c>
      <c r="M447" t="n">
        <v>0</v>
      </c>
      <c r="N447" t="n">
        <v>0</v>
      </c>
      <c r="O447" t="n">
        <v>0</v>
      </c>
      <c r="P447" t="n">
        <v>0</v>
      </c>
      <c r="Q447" t="n">
        <v>0</v>
      </c>
      <c r="R447" s="2" t="inlineStr"/>
    </row>
    <row r="448" ht="15" customHeight="1">
      <c r="A448" t="inlineStr">
        <is>
          <t>A 56611-2025</t>
        </is>
      </c>
      <c r="B448" s="1" t="n">
        <v>45975</v>
      </c>
      <c r="C448" s="1" t="n">
        <v>45985</v>
      </c>
      <c r="D448" t="inlineStr">
        <is>
          <t>VÄSTMANLANDS LÄN</t>
        </is>
      </c>
      <c r="E448" t="inlineStr">
        <is>
          <t>SALA</t>
        </is>
      </c>
      <c r="G448" t="n">
        <v>2.8</v>
      </c>
      <c r="H448" t="n">
        <v>0</v>
      </c>
      <c r="I448" t="n">
        <v>0</v>
      </c>
      <c r="J448" t="n">
        <v>0</v>
      </c>
      <c r="K448" t="n">
        <v>0</v>
      </c>
      <c r="L448" t="n">
        <v>0</v>
      </c>
      <c r="M448" t="n">
        <v>0</v>
      </c>
      <c r="N448" t="n">
        <v>0</v>
      </c>
      <c r="O448" t="n">
        <v>0</v>
      </c>
      <c r="P448" t="n">
        <v>0</v>
      </c>
      <c r="Q448" t="n">
        <v>0</v>
      </c>
      <c r="R448" s="2" t="inlineStr"/>
    </row>
    <row r="449" ht="15" customHeight="1">
      <c r="A449" t="inlineStr">
        <is>
          <t>A 5032-2025</t>
        </is>
      </c>
      <c r="B449" s="1" t="n">
        <v>45691</v>
      </c>
      <c r="C449" s="1" t="n">
        <v>45985</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56593-2025</t>
        </is>
      </c>
      <c r="B450" s="1" t="n">
        <v>45975</v>
      </c>
      <c r="C450" s="1" t="n">
        <v>45985</v>
      </c>
      <c r="D450" t="inlineStr">
        <is>
          <t>VÄSTMANLANDS LÄN</t>
        </is>
      </c>
      <c r="E450" t="inlineStr">
        <is>
          <t>SALA</t>
        </is>
      </c>
      <c r="F450" t="inlineStr">
        <is>
          <t>Kyrkan</t>
        </is>
      </c>
      <c r="G450" t="n">
        <v>0.1</v>
      </c>
      <c r="H450" t="n">
        <v>0</v>
      </c>
      <c r="I450" t="n">
        <v>0</v>
      </c>
      <c r="J450" t="n">
        <v>0</v>
      </c>
      <c r="K450" t="n">
        <v>0</v>
      </c>
      <c r="L450" t="n">
        <v>0</v>
      </c>
      <c r="M450" t="n">
        <v>0</v>
      </c>
      <c r="N450" t="n">
        <v>0</v>
      </c>
      <c r="O450" t="n">
        <v>0</v>
      </c>
      <c r="P450" t="n">
        <v>0</v>
      </c>
      <c r="Q450" t="n">
        <v>0</v>
      </c>
      <c r="R450" s="2" t="inlineStr"/>
    </row>
    <row r="451" ht="15" customHeight="1">
      <c r="A451" t="inlineStr">
        <is>
          <t>A 66908-2021</t>
        </is>
      </c>
      <c r="B451" s="1" t="n">
        <v>44522</v>
      </c>
      <c r="C451" s="1" t="n">
        <v>45985</v>
      </c>
      <c r="D451" t="inlineStr">
        <is>
          <t>VÄSTMANLANDS LÄN</t>
        </is>
      </c>
      <c r="E451" t="inlineStr">
        <is>
          <t>SALA</t>
        </is>
      </c>
      <c r="G451" t="n">
        <v>2.6</v>
      </c>
      <c r="H451" t="n">
        <v>0</v>
      </c>
      <c r="I451" t="n">
        <v>0</v>
      </c>
      <c r="J451" t="n">
        <v>0</v>
      </c>
      <c r="K451" t="n">
        <v>0</v>
      </c>
      <c r="L451" t="n">
        <v>0</v>
      </c>
      <c r="M451" t="n">
        <v>0</v>
      </c>
      <c r="N451" t="n">
        <v>0</v>
      </c>
      <c r="O451" t="n">
        <v>0</v>
      </c>
      <c r="P451" t="n">
        <v>0</v>
      </c>
      <c r="Q451" t="n">
        <v>0</v>
      </c>
      <c r="R451" s="2" t="inlineStr"/>
    </row>
    <row r="452" ht="15" customHeight="1">
      <c r="A452" t="inlineStr">
        <is>
          <t>A 48910-2025</t>
        </is>
      </c>
      <c r="B452" s="1" t="n">
        <v>45937.48649305556</v>
      </c>
      <c r="C452" s="1" t="n">
        <v>45985</v>
      </c>
      <c r="D452" t="inlineStr">
        <is>
          <t>VÄSTMANLANDS LÄN</t>
        </is>
      </c>
      <c r="E452" t="inlineStr">
        <is>
          <t>SALA</t>
        </is>
      </c>
      <c r="G452" t="n">
        <v>7.8</v>
      </c>
      <c r="H452" t="n">
        <v>0</v>
      </c>
      <c r="I452" t="n">
        <v>0</v>
      </c>
      <c r="J452" t="n">
        <v>0</v>
      </c>
      <c r="K452" t="n">
        <v>0</v>
      </c>
      <c r="L452" t="n">
        <v>0</v>
      </c>
      <c r="M452" t="n">
        <v>0</v>
      </c>
      <c r="N452" t="n">
        <v>0</v>
      </c>
      <c r="O452" t="n">
        <v>0</v>
      </c>
      <c r="P452" t="n">
        <v>0</v>
      </c>
      <c r="Q452" t="n">
        <v>0</v>
      </c>
      <c r="R452" s="2" t="inlineStr"/>
    </row>
    <row r="453" ht="15" customHeight="1">
      <c r="A453" t="inlineStr">
        <is>
          <t>A 11696-2025</t>
        </is>
      </c>
      <c r="B453" s="1" t="n">
        <v>45727</v>
      </c>
      <c r="C453" s="1" t="n">
        <v>45985</v>
      </c>
      <c r="D453" t="inlineStr">
        <is>
          <t>VÄSTMANLANDS LÄN</t>
        </is>
      </c>
      <c r="E453" t="inlineStr">
        <is>
          <t>SALA</t>
        </is>
      </c>
      <c r="F453" t="inlineStr">
        <is>
          <t>Bergvik skog öst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57414-2025</t>
        </is>
      </c>
      <c r="B454" s="1" t="n">
        <v>45980.45003472222</v>
      </c>
      <c r="C454" s="1" t="n">
        <v>45985</v>
      </c>
      <c r="D454" t="inlineStr">
        <is>
          <t>VÄSTMANLANDS LÄN</t>
        </is>
      </c>
      <c r="E454" t="inlineStr">
        <is>
          <t>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57415-2025</t>
        </is>
      </c>
      <c r="B455" s="1" t="n">
        <v>45980.45099537037</v>
      </c>
      <c r="C455" s="1" t="n">
        <v>45985</v>
      </c>
      <c r="D455" t="inlineStr">
        <is>
          <t>VÄSTMANLANDS LÄN</t>
        </is>
      </c>
      <c r="E455" t="inlineStr">
        <is>
          <t>SALA</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49640-2025</t>
        </is>
      </c>
      <c r="B456" s="1" t="n">
        <v>45939.61459490741</v>
      </c>
      <c r="C456" s="1" t="n">
        <v>45985</v>
      </c>
      <c r="D456" t="inlineStr">
        <is>
          <t>VÄSTMANLANDS LÄN</t>
        </is>
      </c>
      <c r="E456" t="inlineStr">
        <is>
          <t>SALA</t>
        </is>
      </c>
      <c r="F456" t="inlineStr">
        <is>
          <t>Kommuner</t>
        </is>
      </c>
      <c r="G456" t="n">
        <v>18.8</v>
      </c>
      <c r="H456" t="n">
        <v>0</v>
      </c>
      <c r="I456" t="n">
        <v>0</v>
      </c>
      <c r="J456" t="n">
        <v>0</v>
      </c>
      <c r="K456" t="n">
        <v>0</v>
      </c>
      <c r="L456" t="n">
        <v>0</v>
      </c>
      <c r="M456" t="n">
        <v>0</v>
      </c>
      <c r="N456" t="n">
        <v>0</v>
      </c>
      <c r="O456" t="n">
        <v>0</v>
      </c>
      <c r="P456" t="n">
        <v>0</v>
      </c>
      <c r="Q456" t="n">
        <v>0</v>
      </c>
      <c r="R456" s="2" t="inlineStr"/>
    </row>
    <row r="457" ht="15" customHeight="1">
      <c r="A457" t="inlineStr">
        <is>
          <t>A 43509-2021</t>
        </is>
      </c>
      <c r="B457" s="1" t="n">
        <v>44433</v>
      </c>
      <c r="C457" s="1" t="n">
        <v>45985</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13746-2025</t>
        </is>
      </c>
      <c r="B458" s="1" t="n">
        <v>45737.40944444444</v>
      </c>
      <c r="C458" s="1" t="n">
        <v>45985</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25897-2024</t>
        </is>
      </c>
      <c r="B459" s="1" t="n">
        <v>45467.54435185185</v>
      </c>
      <c r="C459" s="1" t="n">
        <v>45985</v>
      </c>
      <c r="D459" t="inlineStr">
        <is>
          <t>VÄSTMANLANDS LÄN</t>
        </is>
      </c>
      <c r="E459" t="inlineStr">
        <is>
          <t>SALA</t>
        </is>
      </c>
      <c r="G459" t="n">
        <v>9.9</v>
      </c>
      <c r="H459" t="n">
        <v>0</v>
      </c>
      <c r="I459" t="n">
        <v>0</v>
      </c>
      <c r="J459" t="n">
        <v>0</v>
      </c>
      <c r="K459" t="n">
        <v>0</v>
      </c>
      <c r="L459" t="n">
        <v>0</v>
      </c>
      <c r="M459" t="n">
        <v>0</v>
      </c>
      <c r="N459" t="n">
        <v>0</v>
      </c>
      <c r="O459" t="n">
        <v>0</v>
      </c>
      <c r="P459" t="n">
        <v>0</v>
      </c>
      <c r="Q459" t="n">
        <v>0</v>
      </c>
      <c r="R459" s="2" t="inlineStr"/>
    </row>
    <row r="460" ht="15" customHeight="1">
      <c r="A460" t="inlineStr">
        <is>
          <t>A 23222-2023</t>
        </is>
      </c>
      <c r="B460" s="1" t="n">
        <v>45075</v>
      </c>
      <c r="C460" s="1" t="n">
        <v>45985</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23224-2023</t>
        </is>
      </c>
      <c r="B461" s="1" t="n">
        <v>45075.65040509259</v>
      </c>
      <c r="C461" s="1" t="n">
        <v>45985</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50479-2022</t>
        </is>
      </c>
      <c r="B462" s="1" t="n">
        <v>44861</v>
      </c>
      <c r="C462" s="1" t="n">
        <v>45985</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14919-2025</t>
        </is>
      </c>
      <c r="B463" s="1" t="n">
        <v>45743.54256944444</v>
      </c>
      <c r="C463" s="1" t="n">
        <v>45985</v>
      </c>
      <c r="D463" t="inlineStr">
        <is>
          <t>VÄSTMANLANDS LÄN</t>
        </is>
      </c>
      <c r="E463" t="inlineStr">
        <is>
          <t>SALA</t>
        </is>
      </c>
      <c r="G463" t="n">
        <v>0.6</v>
      </c>
      <c r="H463" t="n">
        <v>0</v>
      </c>
      <c r="I463" t="n">
        <v>0</v>
      </c>
      <c r="J463" t="n">
        <v>0</v>
      </c>
      <c r="K463" t="n">
        <v>0</v>
      </c>
      <c r="L463" t="n">
        <v>0</v>
      </c>
      <c r="M463" t="n">
        <v>0</v>
      </c>
      <c r="N463" t="n">
        <v>0</v>
      </c>
      <c r="O463" t="n">
        <v>0</v>
      </c>
      <c r="P463" t="n">
        <v>0</v>
      </c>
      <c r="Q463" t="n">
        <v>0</v>
      </c>
      <c r="R463" s="2" t="inlineStr"/>
    </row>
    <row r="464" ht="15" customHeight="1">
      <c r="A464" t="inlineStr">
        <is>
          <t>A 14920-2025</t>
        </is>
      </c>
      <c r="B464" s="1" t="n">
        <v>45743</v>
      </c>
      <c r="C464" s="1" t="n">
        <v>45985</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49585-2025</t>
        </is>
      </c>
      <c r="B465" s="1" t="n">
        <v>45939.5043287037</v>
      </c>
      <c r="C465" s="1" t="n">
        <v>45985</v>
      </c>
      <c r="D465" t="inlineStr">
        <is>
          <t>VÄSTMANLANDS LÄN</t>
        </is>
      </c>
      <c r="E465" t="inlineStr">
        <is>
          <t>SALA</t>
        </is>
      </c>
      <c r="G465" t="n">
        <v>2.2</v>
      </c>
      <c r="H465" t="n">
        <v>0</v>
      </c>
      <c r="I465" t="n">
        <v>0</v>
      </c>
      <c r="J465" t="n">
        <v>0</v>
      </c>
      <c r="K465" t="n">
        <v>0</v>
      </c>
      <c r="L465" t="n">
        <v>0</v>
      </c>
      <c r="M465" t="n">
        <v>0</v>
      </c>
      <c r="N465" t="n">
        <v>0</v>
      </c>
      <c r="O465" t="n">
        <v>0</v>
      </c>
      <c r="P465" t="n">
        <v>0</v>
      </c>
      <c r="Q465" t="n">
        <v>0</v>
      </c>
      <c r="R465" s="2" t="inlineStr"/>
    </row>
    <row r="466" ht="15" customHeight="1">
      <c r="A466" t="inlineStr">
        <is>
          <t>A 13855-2023</t>
        </is>
      </c>
      <c r="B466" s="1" t="n">
        <v>45007</v>
      </c>
      <c r="C466" s="1" t="n">
        <v>45985</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18877-2023</t>
        </is>
      </c>
      <c r="B467" s="1" t="n">
        <v>45044</v>
      </c>
      <c r="C467" s="1" t="n">
        <v>45985</v>
      </c>
      <c r="D467" t="inlineStr">
        <is>
          <t>VÄSTMANLANDS LÄN</t>
        </is>
      </c>
      <c r="E467" t="inlineStr">
        <is>
          <t>SALA</t>
        </is>
      </c>
      <c r="F467" t="inlineStr">
        <is>
          <t>Kommuner</t>
        </is>
      </c>
      <c r="G467" t="n">
        <v>4.4</v>
      </c>
      <c r="H467" t="n">
        <v>0</v>
      </c>
      <c r="I467" t="n">
        <v>0</v>
      </c>
      <c r="J467" t="n">
        <v>0</v>
      </c>
      <c r="K467" t="n">
        <v>0</v>
      </c>
      <c r="L467" t="n">
        <v>0</v>
      </c>
      <c r="M467" t="n">
        <v>0</v>
      </c>
      <c r="N467" t="n">
        <v>0</v>
      </c>
      <c r="O467" t="n">
        <v>0</v>
      </c>
      <c r="P467" t="n">
        <v>0</v>
      </c>
      <c r="Q467" t="n">
        <v>0</v>
      </c>
      <c r="R467" s="2" t="inlineStr"/>
    </row>
    <row r="468" ht="15" customHeight="1">
      <c r="A468" t="inlineStr">
        <is>
          <t>A 55556-2023</t>
        </is>
      </c>
      <c r="B468" s="1" t="n">
        <v>45232</v>
      </c>
      <c r="C468" s="1" t="n">
        <v>45985</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34494-2023</t>
        </is>
      </c>
      <c r="B469" s="1" t="n">
        <v>45133</v>
      </c>
      <c r="C469" s="1" t="n">
        <v>45985</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13752-2025</t>
        </is>
      </c>
      <c r="B470" s="1" t="n">
        <v>45737.41416666667</v>
      </c>
      <c r="C470" s="1" t="n">
        <v>45985</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19398-2025</t>
        </is>
      </c>
      <c r="B471" s="1" t="n">
        <v>45769</v>
      </c>
      <c r="C471" s="1" t="n">
        <v>45985</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22921-2023</t>
        </is>
      </c>
      <c r="B472" s="1" t="n">
        <v>45070</v>
      </c>
      <c r="C472" s="1" t="n">
        <v>45985</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16133-2025</t>
        </is>
      </c>
      <c r="B473" s="1" t="n">
        <v>45750</v>
      </c>
      <c r="C473" s="1" t="n">
        <v>45985</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6127-2025</t>
        </is>
      </c>
      <c r="B474" s="1" t="n">
        <v>45698</v>
      </c>
      <c r="C474" s="1" t="n">
        <v>45985</v>
      </c>
      <c r="D474" t="inlineStr">
        <is>
          <t>VÄSTMANLANDS LÄN</t>
        </is>
      </c>
      <c r="E474" t="inlineStr">
        <is>
          <t>SALA</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15272-2025</t>
        </is>
      </c>
      <c r="B475" s="1" t="n">
        <v>45744</v>
      </c>
      <c r="C475" s="1" t="n">
        <v>45985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24248-2023</t>
        </is>
      </c>
      <c r="B476" s="1" t="n">
        <v>45079</v>
      </c>
      <c r="C476" s="1" t="n">
        <v>45985</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45985</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27228-2023</t>
        </is>
      </c>
      <c r="B478" s="1" t="n">
        <v>45096.59189814814</v>
      </c>
      <c r="C478" s="1" t="n">
        <v>45985</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53838-2022</t>
        </is>
      </c>
      <c r="B479" s="1" t="n">
        <v>44880.59363425926</v>
      </c>
      <c r="C479" s="1" t="n">
        <v>45985</v>
      </c>
      <c r="D479" t="inlineStr">
        <is>
          <t>VÄSTMANLANDS LÄN</t>
        </is>
      </c>
      <c r="E479" t="inlineStr">
        <is>
          <t>SALA</t>
        </is>
      </c>
      <c r="G479" t="n">
        <v>3.9</v>
      </c>
      <c r="H479" t="n">
        <v>0</v>
      </c>
      <c r="I479" t="n">
        <v>0</v>
      </c>
      <c r="J479" t="n">
        <v>0</v>
      </c>
      <c r="K479" t="n">
        <v>0</v>
      </c>
      <c r="L479" t="n">
        <v>0</v>
      </c>
      <c r="M479" t="n">
        <v>0</v>
      </c>
      <c r="N479" t="n">
        <v>0</v>
      </c>
      <c r="O479" t="n">
        <v>0</v>
      </c>
      <c r="P479" t="n">
        <v>0</v>
      </c>
      <c r="Q479" t="n">
        <v>0</v>
      </c>
      <c r="R479" s="2" t="inlineStr"/>
    </row>
    <row r="480" ht="15" customHeight="1">
      <c r="A480" t="inlineStr">
        <is>
          <t>A 25260-2023</t>
        </is>
      </c>
      <c r="B480" s="1" t="n">
        <v>45086</v>
      </c>
      <c r="C480" s="1" t="n">
        <v>45985</v>
      </c>
      <c r="D480" t="inlineStr">
        <is>
          <t>VÄSTMANLANDS LÄN</t>
        </is>
      </c>
      <c r="E480" t="inlineStr">
        <is>
          <t>SALA</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16769-2024</t>
        </is>
      </c>
      <c r="B481" s="1" t="n">
        <v>45411.38738425926</v>
      </c>
      <c r="C481" s="1" t="n">
        <v>45985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60249-2023</t>
        </is>
      </c>
      <c r="B482" s="1" t="n">
        <v>45258</v>
      </c>
      <c r="C482" s="1" t="n">
        <v>45985</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14271-2025</t>
        </is>
      </c>
      <c r="B483" s="1" t="n">
        <v>45740.64129629629</v>
      </c>
      <c r="C483" s="1" t="n">
        <v>45985</v>
      </c>
      <c r="D483" t="inlineStr">
        <is>
          <t>VÄSTMANLANDS LÄN</t>
        </is>
      </c>
      <c r="E483" t="inlineStr">
        <is>
          <t>SALA</t>
        </is>
      </c>
      <c r="G483" t="n">
        <v>0.8</v>
      </c>
      <c r="H483" t="n">
        <v>0</v>
      </c>
      <c r="I483" t="n">
        <v>0</v>
      </c>
      <c r="J483" t="n">
        <v>0</v>
      </c>
      <c r="K483" t="n">
        <v>0</v>
      </c>
      <c r="L483" t="n">
        <v>0</v>
      </c>
      <c r="M483" t="n">
        <v>0</v>
      </c>
      <c r="N483" t="n">
        <v>0</v>
      </c>
      <c r="O483" t="n">
        <v>0</v>
      </c>
      <c r="P483" t="n">
        <v>0</v>
      </c>
      <c r="Q483" t="n">
        <v>0</v>
      </c>
      <c r="R483" s="2" t="inlineStr"/>
    </row>
    <row r="484" ht="15" customHeight="1">
      <c r="A484" t="inlineStr">
        <is>
          <t>A 69232-2021</t>
        </is>
      </c>
      <c r="B484" s="1" t="n">
        <v>44531.39696759259</v>
      </c>
      <c r="C484" s="1" t="n">
        <v>45985</v>
      </c>
      <c r="D484" t="inlineStr">
        <is>
          <t>VÄSTMANLANDS LÄN</t>
        </is>
      </c>
      <c r="E484" t="inlineStr">
        <is>
          <t>SALA</t>
        </is>
      </c>
      <c r="G484" t="n">
        <v>2.3</v>
      </c>
      <c r="H484" t="n">
        <v>0</v>
      </c>
      <c r="I484" t="n">
        <v>0</v>
      </c>
      <c r="J484" t="n">
        <v>0</v>
      </c>
      <c r="K484" t="n">
        <v>0</v>
      </c>
      <c r="L484" t="n">
        <v>0</v>
      </c>
      <c r="M484" t="n">
        <v>0</v>
      </c>
      <c r="N484" t="n">
        <v>0</v>
      </c>
      <c r="O484" t="n">
        <v>0</v>
      </c>
      <c r="P484" t="n">
        <v>0</v>
      </c>
      <c r="Q484" t="n">
        <v>0</v>
      </c>
      <c r="R484" s="2" t="inlineStr"/>
    </row>
    <row r="485" ht="15" customHeight="1">
      <c r="A485" t="inlineStr">
        <is>
          <t>A 28328-2023</t>
        </is>
      </c>
      <c r="B485" s="1" t="n">
        <v>45099.71063657408</v>
      </c>
      <c r="C485" s="1" t="n">
        <v>45985</v>
      </c>
      <c r="D485" t="inlineStr">
        <is>
          <t>VÄSTMANLANDS LÄN</t>
        </is>
      </c>
      <c r="E485" t="inlineStr">
        <is>
          <t>SALA</t>
        </is>
      </c>
      <c r="G485" t="n">
        <v>1.8</v>
      </c>
      <c r="H485" t="n">
        <v>0</v>
      </c>
      <c r="I485" t="n">
        <v>0</v>
      </c>
      <c r="J485" t="n">
        <v>0</v>
      </c>
      <c r="K485" t="n">
        <v>0</v>
      </c>
      <c r="L485" t="n">
        <v>0</v>
      </c>
      <c r="M485" t="n">
        <v>0</v>
      </c>
      <c r="N485" t="n">
        <v>0</v>
      </c>
      <c r="O485" t="n">
        <v>0</v>
      </c>
      <c r="P485" t="n">
        <v>0</v>
      </c>
      <c r="Q485" t="n">
        <v>0</v>
      </c>
      <c r="R485" s="2" t="inlineStr"/>
    </row>
    <row r="486" ht="15" customHeight="1">
      <c r="A486" t="inlineStr">
        <is>
          <t>A 40085-2024</t>
        </is>
      </c>
      <c r="B486" s="1" t="n">
        <v>45554</v>
      </c>
      <c r="C486" s="1" t="n">
        <v>45985</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18158-2025</t>
        </is>
      </c>
      <c r="B487" s="1" t="n">
        <v>45761</v>
      </c>
      <c r="C487" s="1" t="n">
        <v>45985</v>
      </c>
      <c r="D487" t="inlineStr">
        <is>
          <t>VÄSTMANLANDS LÄN</t>
        </is>
      </c>
      <c r="E487" t="inlineStr">
        <is>
          <t>SALA</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49661-2024</t>
        </is>
      </c>
      <c r="B488" s="1" t="n">
        <v>45596</v>
      </c>
      <c r="C488" s="1" t="n">
        <v>45985</v>
      </c>
      <c r="D488" t="inlineStr">
        <is>
          <t>VÄSTMANLANDS LÄN</t>
        </is>
      </c>
      <c r="E488" t="inlineStr">
        <is>
          <t>SALA</t>
        </is>
      </c>
      <c r="G488" t="n">
        <v>6.7</v>
      </c>
      <c r="H488" t="n">
        <v>0</v>
      </c>
      <c r="I488" t="n">
        <v>0</v>
      </c>
      <c r="J488" t="n">
        <v>0</v>
      </c>
      <c r="K488" t="n">
        <v>0</v>
      </c>
      <c r="L488" t="n">
        <v>0</v>
      </c>
      <c r="M488" t="n">
        <v>0</v>
      </c>
      <c r="N488" t="n">
        <v>0</v>
      </c>
      <c r="O488" t="n">
        <v>0</v>
      </c>
      <c r="P488" t="n">
        <v>0</v>
      </c>
      <c r="Q488" t="n">
        <v>0</v>
      </c>
      <c r="R488" s="2" t="inlineStr"/>
    </row>
    <row r="489" ht="15" customHeight="1">
      <c r="A489" t="inlineStr">
        <is>
          <t>A 35519-2024</t>
        </is>
      </c>
      <c r="B489" s="1" t="n">
        <v>45531</v>
      </c>
      <c r="C489" s="1" t="n">
        <v>45985</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54347-2024</t>
        </is>
      </c>
      <c r="B490" s="1" t="n">
        <v>45617.39325231482</v>
      </c>
      <c r="C490" s="1" t="n">
        <v>45985</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13022-2023</t>
        </is>
      </c>
      <c r="B491" s="1" t="n">
        <v>45002.33291666667</v>
      </c>
      <c r="C491" s="1" t="n">
        <v>45985</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35003-2024</t>
        </is>
      </c>
      <c r="B492" s="1" t="n">
        <v>45527.56790509259</v>
      </c>
      <c r="C492" s="1" t="n">
        <v>45985</v>
      </c>
      <c r="D492" t="inlineStr">
        <is>
          <t>VÄSTMANLANDS LÄN</t>
        </is>
      </c>
      <c r="E492" t="inlineStr">
        <is>
          <t>SALA</t>
        </is>
      </c>
      <c r="G492" t="n">
        <v>0.7</v>
      </c>
      <c r="H492" t="n">
        <v>0</v>
      </c>
      <c r="I492" t="n">
        <v>0</v>
      </c>
      <c r="J492" t="n">
        <v>0</v>
      </c>
      <c r="K492" t="n">
        <v>0</v>
      </c>
      <c r="L492" t="n">
        <v>0</v>
      </c>
      <c r="M492" t="n">
        <v>0</v>
      </c>
      <c r="N492" t="n">
        <v>0</v>
      </c>
      <c r="O492" t="n">
        <v>0</v>
      </c>
      <c r="P492" t="n">
        <v>0</v>
      </c>
      <c r="Q492" t="n">
        <v>0</v>
      </c>
      <c r="R492" s="2" t="inlineStr"/>
    </row>
    <row r="493" ht="15" customHeight="1">
      <c r="A493" t="inlineStr">
        <is>
          <t>A 66307-2021</t>
        </is>
      </c>
      <c r="B493" s="1" t="n">
        <v>44518.48670138889</v>
      </c>
      <c r="C493" s="1" t="n">
        <v>45985</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6030-2024</t>
        </is>
      </c>
      <c r="B494" s="1" t="n">
        <v>45336.62782407407</v>
      </c>
      <c r="C494" s="1" t="n">
        <v>45985</v>
      </c>
      <c r="D494" t="inlineStr">
        <is>
          <t>VÄSTMANLANDS LÄN</t>
        </is>
      </c>
      <c r="E494" t="inlineStr">
        <is>
          <t>SALA</t>
        </is>
      </c>
      <c r="G494" t="n">
        <v>3.9</v>
      </c>
      <c r="H494" t="n">
        <v>0</v>
      </c>
      <c r="I494" t="n">
        <v>0</v>
      </c>
      <c r="J494" t="n">
        <v>0</v>
      </c>
      <c r="K494" t="n">
        <v>0</v>
      </c>
      <c r="L494" t="n">
        <v>0</v>
      </c>
      <c r="M494" t="n">
        <v>0</v>
      </c>
      <c r="N494" t="n">
        <v>0</v>
      </c>
      <c r="O494" t="n">
        <v>0</v>
      </c>
      <c r="P494" t="n">
        <v>0</v>
      </c>
      <c r="Q494" t="n">
        <v>0</v>
      </c>
      <c r="R494" s="2" t="inlineStr"/>
    </row>
    <row r="495" ht="15" customHeight="1">
      <c r="A495" t="inlineStr">
        <is>
          <t>A 26761-2023</t>
        </is>
      </c>
      <c r="B495" s="1" t="n">
        <v>45093</v>
      </c>
      <c r="C495" s="1" t="n">
        <v>45985</v>
      </c>
      <c r="D495" t="inlineStr">
        <is>
          <t>VÄSTMANLANDS LÄN</t>
        </is>
      </c>
      <c r="E495" t="inlineStr">
        <is>
          <t>SALA</t>
        </is>
      </c>
      <c r="G495" t="n">
        <v>4.3</v>
      </c>
      <c r="H495" t="n">
        <v>0</v>
      </c>
      <c r="I495" t="n">
        <v>0</v>
      </c>
      <c r="J495" t="n">
        <v>0</v>
      </c>
      <c r="K495" t="n">
        <v>0</v>
      </c>
      <c r="L495" t="n">
        <v>0</v>
      </c>
      <c r="M495" t="n">
        <v>0</v>
      </c>
      <c r="N495" t="n">
        <v>0</v>
      </c>
      <c r="O495" t="n">
        <v>0</v>
      </c>
      <c r="P495" t="n">
        <v>0</v>
      </c>
      <c r="Q495" t="n">
        <v>0</v>
      </c>
      <c r="R495" s="2" t="inlineStr"/>
    </row>
    <row r="496" ht="15" customHeight="1">
      <c r="A496" t="inlineStr">
        <is>
          <t>A 61892-2021</t>
        </is>
      </c>
      <c r="B496" s="1" t="n">
        <v>44502</v>
      </c>
      <c r="C496" s="1" t="n">
        <v>45985</v>
      </c>
      <c r="D496" t="inlineStr">
        <is>
          <t>VÄSTMANLANDS LÄN</t>
        </is>
      </c>
      <c r="E496" t="inlineStr">
        <is>
          <t>SALA</t>
        </is>
      </c>
      <c r="G496" t="n">
        <v>1.4</v>
      </c>
      <c r="H496" t="n">
        <v>0</v>
      </c>
      <c r="I496" t="n">
        <v>0</v>
      </c>
      <c r="J496" t="n">
        <v>0</v>
      </c>
      <c r="K496" t="n">
        <v>0</v>
      </c>
      <c r="L496" t="n">
        <v>0</v>
      </c>
      <c r="M496" t="n">
        <v>0</v>
      </c>
      <c r="N496" t="n">
        <v>0</v>
      </c>
      <c r="O496" t="n">
        <v>0</v>
      </c>
      <c r="P496" t="n">
        <v>0</v>
      </c>
      <c r="Q496" t="n">
        <v>0</v>
      </c>
      <c r="R496" s="2" t="inlineStr"/>
    </row>
    <row r="497" ht="15" customHeight="1">
      <c r="A497" t="inlineStr">
        <is>
          <t>A 7772-2023</t>
        </is>
      </c>
      <c r="B497" s="1" t="n">
        <v>44973.40076388889</v>
      </c>
      <c r="C497" s="1" t="n">
        <v>45985</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42416-2022</t>
        </is>
      </c>
      <c r="B498" s="1" t="n">
        <v>44831</v>
      </c>
      <c r="C498" s="1" t="n">
        <v>45985</v>
      </c>
      <c r="D498" t="inlineStr">
        <is>
          <t>VÄSTMANLANDS LÄN</t>
        </is>
      </c>
      <c r="E498" t="inlineStr">
        <is>
          <t>SALA</t>
        </is>
      </c>
      <c r="G498" t="n">
        <v>2.2</v>
      </c>
      <c r="H498" t="n">
        <v>0</v>
      </c>
      <c r="I498" t="n">
        <v>0</v>
      </c>
      <c r="J498" t="n">
        <v>0</v>
      </c>
      <c r="K498" t="n">
        <v>0</v>
      </c>
      <c r="L498" t="n">
        <v>0</v>
      </c>
      <c r="M498" t="n">
        <v>0</v>
      </c>
      <c r="N498" t="n">
        <v>0</v>
      </c>
      <c r="O498" t="n">
        <v>0</v>
      </c>
      <c r="P498" t="n">
        <v>0</v>
      </c>
      <c r="Q498" t="n">
        <v>0</v>
      </c>
      <c r="R498" s="2" t="inlineStr"/>
    </row>
    <row r="499" ht="15" customHeight="1">
      <c r="A499" t="inlineStr">
        <is>
          <t>A 19381-2025</t>
        </is>
      </c>
      <c r="B499" s="1" t="n">
        <v>45769</v>
      </c>
      <c r="C499" s="1" t="n">
        <v>45985</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48688-2024</t>
        </is>
      </c>
      <c r="B500" s="1" t="n">
        <v>45593.50541666667</v>
      </c>
      <c r="C500" s="1" t="n">
        <v>45985</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45187-2024</t>
        </is>
      </c>
      <c r="B501" s="1" t="n">
        <v>45575</v>
      </c>
      <c r="C501" s="1" t="n">
        <v>45985</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15968-2024</t>
        </is>
      </c>
      <c r="B502" s="1" t="n">
        <v>45405.56021990741</v>
      </c>
      <c r="C502" s="1" t="n">
        <v>45985</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3733-2023</t>
        </is>
      </c>
      <c r="B503" s="1" t="n">
        <v>44951.42501157407</v>
      </c>
      <c r="C503" s="1" t="n">
        <v>45985</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44544-2024</t>
        </is>
      </c>
      <c r="B504" s="1" t="n">
        <v>45574.46119212963</v>
      </c>
      <c r="C504" s="1" t="n">
        <v>45985</v>
      </c>
      <c r="D504" t="inlineStr">
        <is>
          <t>VÄSTMANLANDS LÄN</t>
        </is>
      </c>
      <c r="E504" t="inlineStr">
        <is>
          <t>SALA</t>
        </is>
      </c>
      <c r="G504" t="n">
        <v>3.3</v>
      </c>
      <c r="H504" t="n">
        <v>0</v>
      </c>
      <c r="I504" t="n">
        <v>0</v>
      </c>
      <c r="J504" t="n">
        <v>0</v>
      </c>
      <c r="K504" t="n">
        <v>0</v>
      </c>
      <c r="L504" t="n">
        <v>0</v>
      </c>
      <c r="M504" t="n">
        <v>0</v>
      </c>
      <c r="N504" t="n">
        <v>0</v>
      </c>
      <c r="O504" t="n">
        <v>0</v>
      </c>
      <c r="P504" t="n">
        <v>0</v>
      </c>
      <c r="Q504" t="n">
        <v>0</v>
      </c>
      <c r="R504" s="2" t="inlineStr"/>
    </row>
    <row r="505" ht="15" customHeight="1">
      <c r="A505" t="inlineStr">
        <is>
          <t>A 64729-2023</t>
        </is>
      </c>
      <c r="B505" s="1" t="n">
        <v>45281</v>
      </c>
      <c r="C505" s="1" t="n">
        <v>45985</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68864-2021</t>
        </is>
      </c>
      <c r="B506" s="1" t="n">
        <v>44530</v>
      </c>
      <c r="C506" s="1" t="n">
        <v>45985</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64925-2023</t>
        </is>
      </c>
      <c r="B507" s="1" t="n">
        <v>45282</v>
      </c>
      <c r="C507" s="1" t="n">
        <v>45985</v>
      </c>
      <c r="D507" t="inlineStr">
        <is>
          <t>VÄSTMANLANDS LÄN</t>
        </is>
      </c>
      <c r="E507" t="inlineStr">
        <is>
          <t>SALA</t>
        </is>
      </c>
      <c r="G507" t="n">
        <v>2.5</v>
      </c>
      <c r="H507" t="n">
        <v>0</v>
      </c>
      <c r="I507" t="n">
        <v>0</v>
      </c>
      <c r="J507" t="n">
        <v>0</v>
      </c>
      <c r="K507" t="n">
        <v>0</v>
      </c>
      <c r="L507" t="n">
        <v>0</v>
      </c>
      <c r="M507" t="n">
        <v>0</v>
      </c>
      <c r="N507" t="n">
        <v>0</v>
      </c>
      <c r="O507" t="n">
        <v>0</v>
      </c>
      <c r="P507" t="n">
        <v>0</v>
      </c>
      <c r="Q507" t="n">
        <v>0</v>
      </c>
      <c r="R507" s="2" t="inlineStr"/>
    </row>
    <row r="508" ht="15" customHeight="1">
      <c r="A508" t="inlineStr">
        <is>
          <t>A 48570-2024</t>
        </is>
      </c>
      <c r="B508" s="1" t="n">
        <v>45591</v>
      </c>
      <c r="C508" s="1" t="n">
        <v>45985</v>
      </c>
      <c r="D508" t="inlineStr">
        <is>
          <t>VÄSTMANLANDS LÄN</t>
        </is>
      </c>
      <c r="E508" t="inlineStr">
        <is>
          <t>SALA</t>
        </is>
      </c>
      <c r="G508" t="n">
        <v>3</v>
      </c>
      <c r="H508" t="n">
        <v>0</v>
      </c>
      <c r="I508" t="n">
        <v>0</v>
      </c>
      <c r="J508" t="n">
        <v>0</v>
      </c>
      <c r="K508" t="n">
        <v>0</v>
      </c>
      <c r="L508" t="n">
        <v>0</v>
      </c>
      <c r="M508" t="n">
        <v>0</v>
      </c>
      <c r="N508" t="n">
        <v>0</v>
      </c>
      <c r="O508" t="n">
        <v>0</v>
      </c>
      <c r="P508" t="n">
        <v>0</v>
      </c>
      <c r="Q508" t="n">
        <v>0</v>
      </c>
      <c r="R508" s="2" t="inlineStr"/>
    </row>
    <row r="509" ht="15" customHeight="1">
      <c r="A509" t="inlineStr">
        <is>
          <t>A 61517-2024</t>
        </is>
      </c>
      <c r="B509" s="1" t="n">
        <v>45645</v>
      </c>
      <c r="C509" s="1" t="n">
        <v>45985</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16760-2024</t>
        </is>
      </c>
      <c r="B510" s="1" t="n">
        <v>45411</v>
      </c>
      <c r="C510" s="1" t="n">
        <v>45985</v>
      </c>
      <c r="D510" t="inlineStr">
        <is>
          <t>VÄSTMANLANDS LÄN</t>
        </is>
      </c>
      <c r="E510" t="inlineStr">
        <is>
          <t>SALA</t>
        </is>
      </c>
      <c r="G510" t="n">
        <v>2.6</v>
      </c>
      <c r="H510" t="n">
        <v>0</v>
      </c>
      <c r="I510" t="n">
        <v>0</v>
      </c>
      <c r="J510" t="n">
        <v>0</v>
      </c>
      <c r="K510" t="n">
        <v>0</v>
      </c>
      <c r="L510" t="n">
        <v>0</v>
      </c>
      <c r="M510" t="n">
        <v>0</v>
      </c>
      <c r="N510" t="n">
        <v>0</v>
      </c>
      <c r="O510" t="n">
        <v>0</v>
      </c>
      <c r="P510" t="n">
        <v>0</v>
      </c>
      <c r="Q510" t="n">
        <v>0</v>
      </c>
      <c r="R510" s="2" t="inlineStr"/>
    </row>
    <row r="511" ht="15" customHeight="1">
      <c r="A511" t="inlineStr">
        <is>
          <t>A 54603-2024</t>
        </is>
      </c>
      <c r="B511" s="1" t="n">
        <v>45617.68224537037</v>
      </c>
      <c r="C511" s="1" t="n">
        <v>45985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18762-2024</t>
        </is>
      </c>
      <c r="B512" s="1" t="n">
        <v>45426.55240740741</v>
      </c>
      <c r="C512" s="1" t="n">
        <v>45985</v>
      </c>
      <c r="D512" t="inlineStr">
        <is>
          <t>VÄSTMANLANDS LÄN</t>
        </is>
      </c>
      <c r="E512" t="inlineStr">
        <is>
          <t>SALA</t>
        </is>
      </c>
      <c r="G512" t="n">
        <v>6.2</v>
      </c>
      <c r="H512" t="n">
        <v>0</v>
      </c>
      <c r="I512" t="n">
        <v>0</v>
      </c>
      <c r="J512" t="n">
        <v>0</v>
      </c>
      <c r="K512" t="n">
        <v>0</v>
      </c>
      <c r="L512" t="n">
        <v>0</v>
      </c>
      <c r="M512" t="n">
        <v>0</v>
      </c>
      <c r="N512" t="n">
        <v>0</v>
      </c>
      <c r="O512" t="n">
        <v>0</v>
      </c>
      <c r="P512" t="n">
        <v>0</v>
      </c>
      <c r="Q512" t="n">
        <v>0</v>
      </c>
      <c r="R512" s="2" t="inlineStr"/>
    </row>
    <row r="513" ht="15" customHeight="1">
      <c r="A513" t="inlineStr">
        <is>
          <t>A 17120-2023</t>
        </is>
      </c>
      <c r="B513" s="1" t="n">
        <v>45034</v>
      </c>
      <c r="C513" s="1" t="n">
        <v>45985</v>
      </c>
      <c r="D513" t="inlineStr">
        <is>
          <t>VÄSTMANLANDS LÄN</t>
        </is>
      </c>
      <c r="E513" t="inlineStr">
        <is>
          <t>SALA</t>
        </is>
      </c>
      <c r="G513" t="n">
        <v>0.1</v>
      </c>
      <c r="H513" t="n">
        <v>0</v>
      </c>
      <c r="I513" t="n">
        <v>0</v>
      </c>
      <c r="J513" t="n">
        <v>0</v>
      </c>
      <c r="K513" t="n">
        <v>0</v>
      </c>
      <c r="L513" t="n">
        <v>0</v>
      </c>
      <c r="M513" t="n">
        <v>0</v>
      </c>
      <c r="N513" t="n">
        <v>0</v>
      </c>
      <c r="O513" t="n">
        <v>0</v>
      </c>
      <c r="P513" t="n">
        <v>0</v>
      </c>
      <c r="Q513" t="n">
        <v>0</v>
      </c>
      <c r="R513" s="2" t="inlineStr"/>
    </row>
    <row r="514" ht="15" customHeight="1">
      <c r="A514" t="inlineStr">
        <is>
          <t>A 42938-2023</t>
        </is>
      </c>
      <c r="B514" s="1" t="n">
        <v>45179</v>
      </c>
      <c r="C514" s="1" t="n">
        <v>45985</v>
      </c>
      <c r="D514" t="inlineStr">
        <is>
          <t>VÄSTMANLANDS LÄN</t>
        </is>
      </c>
      <c r="E514" t="inlineStr">
        <is>
          <t>SALA</t>
        </is>
      </c>
      <c r="G514" t="n">
        <v>10.9</v>
      </c>
      <c r="H514" t="n">
        <v>0</v>
      </c>
      <c r="I514" t="n">
        <v>0</v>
      </c>
      <c r="J514" t="n">
        <v>0</v>
      </c>
      <c r="K514" t="n">
        <v>0</v>
      </c>
      <c r="L514" t="n">
        <v>0</v>
      </c>
      <c r="M514" t="n">
        <v>0</v>
      </c>
      <c r="N514" t="n">
        <v>0</v>
      </c>
      <c r="O514" t="n">
        <v>0</v>
      </c>
      <c r="P514" t="n">
        <v>0</v>
      </c>
      <c r="Q514" t="n">
        <v>0</v>
      </c>
      <c r="R514" s="2" t="inlineStr"/>
    </row>
    <row r="515" ht="15" customHeight="1">
      <c r="A515" t="inlineStr">
        <is>
          <t>A 42984-2023</t>
        </is>
      </c>
      <c r="B515" s="1" t="n">
        <v>45179</v>
      </c>
      <c r="C515" s="1" t="n">
        <v>45985</v>
      </c>
      <c r="D515" t="inlineStr">
        <is>
          <t>VÄSTMANLANDS LÄN</t>
        </is>
      </c>
      <c r="E515" t="inlineStr">
        <is>
          <t>SALA</t>
        </is>
      </c>
      <c r="G515" t="n">
        <v>1.1</v>
      </c>
      <c r="H515" t="n">
        <v>0</v>
      </c>
      <c r="I515" t="n">
        <v>0</v>
      </c>
      <c r="J515" t="n">
        <v>0</v>
      </c>
      <c r="K515" t="n">
        <v>0</v>
      </c>
      <c r="L515" t="n">
        <v>0</v>
      </c>
      <c r="M515" t="n">
        <v>0</v>
      </c>
      <c r="N515" t="n">
        <v>0</v>
      </c>
      <c r="O515" t="n">
        <v>0</v>
      </c>
      <c r="P515" t="n">
        <v>0</v>
      </c>
      <c r="Q515" t="n">
        <v>0</v>
      </c>
      <c r="R515" s="2" t="inlineStr"/>
    </row>
    <row r="516" ht="15" customHeight="1">
      <c r="A516" t="inlineStr">
        <is>
          <t>A 15972-2024</t>
        </is>
      </c>
      <c r="B516" s="1" t="n">
        <v>45405.56498842593</v>
      </c>
      <c r="C516" s="1" t="n">
        <v>45985</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39714-2023</t>
        </is>
      </c>
      <c r="B517" s="1" t="n">
        <v>45167.62133101852</v>
      </c>
      <c r="C517" s="1" t="n">
        <v>45985</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33527-2023</t>
        </is>
      </c>
      <c r="B518" s="1" t="n">
        <v>45131</v>
      </c>
      <c r="C518" s="1" t="n">
        <v>45985</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10913-2025</t>
        </is>
      </c>
      <c r="B519" s="1" t="n">
        <v>45722.73423611111</v>
      </c>
      <c r="C519" s="1" t="n">
        <v>45985</v>
      </c>
      <c r="D519" t="inlineStr">
        <is>
          <t>VÄSTMANLANDS LÄN</t>
        </is>
      </c>
      <c r="E519" t="inlineStr">
        <is>
          <t>SALA</t>
        </is>
      </c>
      <c r="G519" t="n">
        <v>7.6</v>
      </c>
      <c r="H519" t="n">
        <v>0</v>
      </c>
      <c r="I519" t="n">
        <v>0</v>
      </c>
      <c r="J519" t="n">
        <v>0</v>
      </c>
      <c r="K519" t="n">
        <v>0</v>
      </c>
      <c r="L519" t="n">
        <v>0</v>
      </c>
      <c r="M519" t="n">
        <v>0</v>
      </c>
      <c r="N519" t="n">
        <v>0</v>
      </c>
      <c r="O519" t="n">
        <v>0</v>
      </c>
      <c r="P519" t="n">
        <v>0</v>
      </c>
      <c r="Q519" t="n">
        <v>0</v>
      </c>
      <c r="R519" s="2" t="inlineStr"/>
    </row>
    <row r="520" ht="15" customHeight="1">
      <c r="A520" t="inlineStr">
        <is>
          <t>A 58107-2021</t>
        </is>
      </c>
      <c r="B520" s="1" t="n">
        <v>44487</v>
      </c>
      <c r="C520" s="1" t="n">
        <v>45985</v>
      </c>
      <c r="D520" t="inlineStr">
        <is>
          <t>VÄSTMANLANDS LÄN</t>
        </is>
      </c>
      <c r="E520" t="inlineStr">
        <is>
          <t>SALA</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2927-2024</t>
        </is>
      </c>
      <c r="B521" s="1" t="n">
        <v>45315.58989583333</v>
      </c>
      <c r="C521" s="1" t="n">
        <v>45985</v>
      </c>
      <c r="D521" t="inlineStr">
        <is>
          <t>VÄSTMANLANDS LÄN</t>
        </is>
      </c>
      <c r="E521" t="inlineStr">
        <is>
          <t>SALA</t>
        </is>
      </c>
      <c r="G521" t="n">
        <v>2.5</v>
      </c>
      <c r="H521" t="n">
        <v>0</v>
      </c>
      <c r="I521" t="n">
        <v>0</v>
      </c>
      <c r="J521" t="n">
        <v>0</v>
      </c>
      <c r="K521" t="n">
        <v>0</v>
      </c>
      <c r="L521" t="n">
        <v>0</v>
      </c>
      <c r="M521" t="n">
        <v>0</v>
      </c>
      <c r="N521" t="n">
        <v>0</v>
      </c>
      <c r="O521" t="n">
        <v>0</v>
      </c>
      <c r="P521" t="n">
        <v>0</v>
      </c>
      <c r="Q521" t="n">
        <v>0</v>
      </c>
      <c r="R521" s="2" t="inlineStr"/>
    </row>
    <row r="522" ht="15" customHeight="1">
      <c r="A522" t="inlineStr">
        <is>
          <t>A 37183-2024</t>
        </is>
      </c>
      <c r="B522" s="1" t="n">
        <v>45539</v>
      </c>
      <c r="C522" s="1" t="n">
        <v>45985</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54199-2024</t>
        </is>
      </c>
      <c r="B523" s="1" t="n">
        <v>45616.64703703704</v>
      </c>
      <c r="C523" s="1" t="n">
        <v>45985</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60548-2024</t>
        </is>
      </c>
      <c r="B524" s="1" t="n">
        <v>45643.80978009259</v>
      </c>
      <c r="C524" s="1" t="n">
        <v>45985</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57895-2024</t>
        </is>
      </c>
      <c r="B525" s="1" t="n">
        <v>45631</v>
      </c>
      <c r="C525" s="1" t="n">
        <v>45985</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31597-2024</t>
        </is>
      </c>
      <c r="B526" s="1" t="n">
        <v>45506</v>
      </c>
      <c r="C526" s="1" t="n">
        <v>45985</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17458-2024</t>
        </is>
      </c>
      <c r="B527" s="1" t="n">
        <v>45415</v>
      </c>
      <c r="C527" s="1" t="n">
        <v>45985</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56543-2024</t>
        </is>
      </c>
      <c r="B528" s="1" t="n">
        <v>45625</v>
      </c>
      <c r="C528" s="1" t="n">
        <v>45985</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28661-2024</t>
        </is>
      </c>
      <c r="B529" s="1" t="n">
        <v>45478</v>
      </c>
      <c r="C529" s="1" t="n">
        <v>45985</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2529-2022</t>
        </is>
      </c>
      <c r="B530" s="1" t="n">
        <v>44579.86452546297</v>
      </c>
      <c r="C530" s="1" t="n">
        <v>45985</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56540-2024</t>
        </is>
      </c>
      <c r="B531" s="1" t="n">
        <v>45625</v>
      </c>
      <c r="C531" s="1" t="n">
        <v>45985</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31599-2024</t>
        </is>
      </c>
      <c r="B532" s="1" t="n">
        <v>45506</v>
      </c>
      <c r="C532" s="1" t="n">
        <v>45985</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31601-2024</t>
        </is>
      </c>
      <c r="B533" s="1" t="n">
        <v>45506</v>
      </c>
      <c r="C533" s="1" t="n">
        <v>45985</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31608-2024</t>
        </is>
      </c>
      <c r="B534" s="1" t="n">
        <v>45506</v>
      </c>
      <c r="C534" s="1" t="n">
        <v>45985</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31612-2024</t>
        </is>
      </c>
      <c r="B535" s="1" t="n">
        <v>45506</v>
      </c>
      <c r="C535" s="1" t="n">
        <v>45985</v>
      </c>
      <c r="D535" t="inlineStr">
        <is>
          <t>VÄSTMANLANDS LÄN</t>
        </is>
      </c>
      <c r="E535" t="inlineStr">
        <is>
          <t>SALA</t>
        </is>
      </c>
      <c r="G535" t="n">
        <v>3.2</v>
      </c>
      <c r="H535" t="n">
        <v>0</v>
      </c>
      <c r="I535" t="n">
        <v>0</v>
      </c>
      <c r="J535" t="n">
        <v>0</v>
      </c>
      <c r="K535" t="n">
        <v>0</v>
      </c>
      <c r="L535" t="n">
        <v>0</v>
      </c>
      <c r="M535" t="n">
        <v>0</v>
      </c>
      <c r="N535" t="n">
        <v>0</v>
      </c>
      <c r="O535" t="n">
        <v>0</v>
      </c>
      <c r="P535" t="n">
        <v>0</v>
      </c>
      <c r="Q535" t="n">
        <v>0</v>
      </c>
      <c r="R535" s="2" t="inlineStr"/>
    </row>
    <row r="536" ht="15" customHeight="1">
      <c r="A536" t="inlineStr">
        <is>
          <t>A 10579-2022</t>
        </is>
      </c>
      <c r="B536" s="1" t="n">
        <v>44624</v>
      </c>
      <c r="C536" s="1" t="n">
        <v>45985</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64693-2023</t>
        </is>
      </c>
      <c r="B537" s="1" t="n">
        <v>45281.63850694444</v>
      </c>
      <c r="C537" s="1" t="n">
        <v>45985</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64695-2023</t>
        </is>
      </c>
      <c r="B538" s="1" t="n">
        <v>45281.64099537037</v>
      </c>
      <c r="C538" s="1" t="n">
        <v>45985</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55784-2024</t>
        </is>
      </c>
      <c r="B539" s="1" t="n">
        <v>45623</v>
      </c>
      <c r="C539" s="1" t="n">
        <v>45985</v>
      </c>
      <c r="D539" t="inlineStr">
        <is>
          <t>VÄSTMANLANDS LÄN</t>
        </is>
      </c>
      <c r="E539" t="inlineStr">
        <is>
          <t>SALA</t>
        </is>
      </c>
      <c r="F539" t="inlineStr">
        <is>
          <t>Bergvik skog öst AB</t>
        </is>
      </c>
      <c r="G539" t="n">
        <v>28.4</v>
      </c>
      <c r="H539" t="n">
        <v>0</v>
      </c>
      <c r="I539" t="n">
        <v>0</v>
      </c>
      <c r="J539" t="n">
        <v>0</v>
      </c>
      <c r="K539" t="n">
        <v>0</v>
      </c>
      <c r="L539" t="n">
        <v>0</v>
      </c>
      <c r="M539" t="n">
        <v>0</v>
      </c>
      <c r="N539" t="n">
        <v>0</v>
      </c>
      <c r="O539" t="n">
        <v>0</v>
      </c>
      <c r="P539" t="n">
        <v>0</v>
      </c>
      <c r="Q539" t="n">
        <v>0</v>
      </c>
      <c r="R539" s="2" t="inlineStr"/>
    </row>
    <row r="540" ht="15" customHeight="1">
      <c r="A540" t="inlineStr">
        <is>
          <t>A 29542-2023</t>
        </is>
      </c>
      <c r="B540" s="1" t="n">
        <v>45098</v>
      </c>
      <c r="C540" s="1" t="n">
        <v>45985</v>
      </c>
      <c r="D540" t="inlineStr">
        <is>
          <t>VÄSTMANLANDS LÄN</t>
        </is>
      </c>
      <c r="E540" t="inlineStr">
        <is>
          <t>SALA</t>
        </is>
      </c>
      <c r="G540" t="n">
        <v>4.8</v>
      </c>
      <c r="H540" t="n">
        <v>0</v>
      </c>
      <c r="I540" t="n">
        <v>0</v>
      </c>
      <c r="J540" t="n">
        <v>0</v>
      </c>
      <c r="K540" t="n">
        <v>0</v>
      </c>
      <c r="L540" t="n">
        <v>0</v>
      </c>
      <c r="M540" t="n">
        <v>0</v>
      </c>
      <c r="N540" t="n">
        <v>0</v>
      </c>
      <c r="O540" t="n">
        <v>0</v>
      </c>
      <c r="P540" t="n">
        <v>0</v>
      </c>
      <c r="Q540" t="n">
        <v>0</v>
      </c>
      <c r="R540" s="2" t="inlineStr"/>
    </row>
    <row r="541" ht="15" customHeight="1">
      <c r="A541" t="inlineStr">
        <is>
          <t>A 27038-2023</t>
        </is>
      </c>
      <c r="B541" s="1" t="n">
        <v>45095</v>
      </c>
      <c r="C541" s="1" t="n">
        <v>45985</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66821-2020</t>
        </is>
      </c>
      <c r="B542" s="1" t="n">
        <v>44179.88008101852</v>
      </c>
      <c r="C542" s="1" t="n">
        <v>45985</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17051-2025</t>
        </is>
      </c>
      <c r="B543" s="1" t="n">
        <v>45755</v>
      </c>
      <c r="C543" s="1" t="n">
        <v>45985</v>
      </c>
      <c r="D543" t="inlineStr">
        <is>
          <t>VÄSTMANLANDS LÄN</t>
        </is>
      </c>
      <c r="E543" t="inlineStr">
        <is>
          <t>SALA</t>
        </is>
      </c>
      <c r="G543" t="n">
        <v>2.9</v>
      </c>
      <c r="H543" t="n">
        <v>0</v>
      </c>
      <c r="I543" t="n">
        <v>0</v>
      </c>
      <c r="J543" t="n">
        <v>0</v>
      </c>
      <c r="K543" t="n">
        <v>0</v>
      </c>
      <c r="L543" t="n">
        <v>0</v>
      </c>
      <c r="M543" t="n">
        <v>0</v>
      </c>
      <c r="N543" t="n">
        <v>0</v>
      </c>
      <c r="O543" t="n">
        <v>0</v>
      </c>
      <c r="P543" t="n">
        <v>0</v>
      </c>
      <c r="Q543" t="n">
        <v>0</v>
      </c>
      <c r="R543" s="2" t="inlineStr"/>
    </row>
    <row r="544" ht="15" customHeight="1">
      <c r="A544" t="inlineStr">
        <is>
          <t>A 8285-2025</t>
        </is>
      </c>
      <c r="B544" s="1" t="n">
        <v>45708</v>
      </c>
      <c r="C544" s="1" t="n">
        <v>45985</v>
      </c>
      <c r="D544" t="inlineStr">
        <is>
          <t>VÄSTMANLANDS LÄN</t>
        </is>
      </c>
      <c r="E544" t="inlineStr">
        <is>
          <t>SALA</t>
        </is>
      </c>
      <c r="G544" t="n">
        <v>5.7</v>
      </c>
      <c r="H544" t="n">
        <v>0</v>
      </c>
      <c r="I544" t="n">
        <v>0</v>
      </c>
      <c r="J544" t="n">
        <v>0</v>
      </c>
      <c r="K544" t="n">
        <v>0</v>
      </c>
      <c r="L544" t="n">
        <v>0</v>
      </c>
      <c r="M544" t="n">
        <v>0</v>
      </c>
      <c r="N544" t="n">
        <v>0</v>
      </c>
      <c r="O544" t="n">
        <v>0</v>
      </c>
      <c r="P544" t="n">
        <v>0</v>
      </c>
      <c r="Q544" t="n">
        <v>0</v>
      </c>
      <c r="R544" s="2" t="inlineStr"/>
    </row>
    <row r="545" ht="15" customHeight="1">
      <c r="A545" t="inlineStr">
        <is>
          <t>A 14010-2021</t>
        </is>
      </c>
      <c r="B545" s="1" t="n">
        <v>44277.63396990741</v>
      </c>
      <c r="C545" s="1" t="n">
        <v>45985</v>
      </c>
      <c r="D545" t="inlineStr">
        <is>
          <t>VÄSTMANLANDS LÄN</t>
        </is>
      </c>
      <c r="E545" t="inlineStr">
        <is>
          <t>SALA</t>
        </is>
      </c>
      <c r="G545" t="n">
        <v>3.5</v>
      </c>
      <c r="H545" t="n">
        <v>0</v>
      </c>
      <c r="I545" t="n">
        <v>0</v>
      </c>
      <c r="J545" t="n">
        <v>0</v>
      </c>
      <c r="K545" t="n">
        <v>0</v>
      </c>
      <c r="L545" t="n">
        <v>0</v>
      </c>
      <c r="M545" t="n">
        <v>0</v>
      </c>
      <c r="N545" t="n">
        <v>0</v>
      </c>
      <c r="O545" t="n">
        <v>0</v>
      </c>
      <c r="P545" t="n">
        <v>0</v>
      </c>
      <c r="Q545" t="n">
        <v>0</v>
      </c>
      <c r="R545" s="2" t="inlineStr"/>
    </row>
    <row r="546" ht="15" customHeight="1">
      <c r="A546" t="inlineStr">
        <is>
          <t>A 22019-2021</t>
        </is>
      </c>
      <c r="B546" s="1" t="n">
        <v>44323</v>
      </c>
      <c r="C546" s="1" t="n">
        <v>45985</v>
      </c>
      <c r="D546" t="inlineStr">
        <is>
          <t>VÄSTMANLANDS LÄN</t>
        </is>
      </c>
      <c r="E546" t="inlineStr">
        <is>
          <t>SALA</t>
        </is>
      </c>
      <c r="G546" t="n">
        <v>1.9</v>
      </c>
      <c r="H546" t="n">
        <v>0</v>
      </c>
      <c r="I546" t="n">
        <v>0</v>
      </c>
      <c r="J546" t="n">
        <v>0</v>
      </c>
      <c r="K546" t="n">
        <v>0</v>
      </c>
      <c r="L546" t="n">
        <v>0</v>
      </c>
      <c r="M546" t="n">
        <v>0</v>
      </c>
      <c r="N546" t="n">
        <v>0</v>
      </c>
      <c r="O546" t="n">
        <v>0</v>
      </c>
      <c r="P546" t="n">
        <v>0</v>
      </c>
      <c r="Q546" t="n">
        <v>0</v>
      </c>
      <c r="R546" s="2" t="inlineStr"/>
    </row>
    <row r="547" ht="15" customHeight="1">
      <c r="A547" t="inlineStr">
        <is>
          <t>A 57404-2024</t>
        </is>
      </c>
      <c r="B547" s="1" t="n">
        <v>45629.71967592592</v>
      </c>
      <c r="C547" s="1" t="n">
        <v>45985</v>
      </c>
      <c r="D547" t="inlineStr">
        <is>
          <t>VÄSTMANLANDS LÄN</t>
        </is>
      </c>
      <c r="E547" t="inlineStr">
        <is>
          <t>SALA</t>
        </is>
      </c>
      <c r="G547" t="n">
        <v>0.3</v>
      </c>
      <c r="H547" t="n">
        <v>0</v>
      </c>
      <c r="I547" t="n">
        <v>0</v>
      </c>
      <c r="J547" t="n">
        <v>0</v>
      </c>
      <c r="K547" t="n">
        <v>0</v>
      </c>
      <c r="L547" t="n">
        <v>0</v>
      </c>
      <c r="M547" t="n">
        <v>0</v>
      </c>
      <c r="N547" t="n">
        <v>0</v>
      </c>
      <c r="O547" t="n">
        <v>0</v>
      </c>
      <c r="P547" t="n">
        <v>0</v>
      </c>
      <c r="Q547" t="n">
        <v>0</v>
      </c>
      <c r="R547" s="2" t="inlineStr"/>
    </row>
    <row r="548" ht="15" customHeight="1">
      <c r="A548" t="inlineStr">
        <is>
          <t>A 21777-2022</t>
        </is>
      </c>
      <c r="B548" s="1" t="n">
        <v>44708.48194444444</v>
      </c>
      <c r="C548" s="1" t="n">
        <v>45985</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17866-2025</t>
        </is>
      </c>
      <c r="B549" s="1" t="n">
        <v>45758</v>
      </c>
      <c r="C549" s="1" t="n">
        <v>45985</v>
      </c>
      <c r="D549" t="inlineStr">
        <is>
          <t>VÄSTMANLANDS LÄN</t>
        </is>
      </c>
      <c r="E549" t="inlineStr">
        <is>
          <t>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33732-2023</t>
        </is>
      </c>
      <c r="B550" s="1" t="n">
        <v>45133.32409722222</v>
      </c>
      <c r="C550" s="1" t="n">
        <v>45985</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7166-2025</t>
        </is>
      </c>
      <c r="B551" s="1" t="n">
        <v>45702</v>
      </c>
      <c r="C551" s="1" t="n">
        <v>45985</v>
      </c>
      <c r="D551" t="inlineStr">
        <is>
          <t>VÄSTMANLANDS LÄN</t>
        </is>
      </c>
      <c r="E551" t="inlineStr">
        <is>
          <t>SALA</t>
        </is>
      </c>
      <c r="G551" t="n">
        <v>6.1</v>
      </c>
      <c r="H551" t="n">
        <v>0</v>
      </c>
      <c r="I551" t="n">
        <v>0</v>
      </c>
      <c r="J551" t="n">
        <v>0</v>
      </c>
      <c r="K551" t="n">
        <v>0</v>
      </c>
      <c r="L551" t="n">
        <v>0</v>
      </c>
      <c r="M551" t="n">
        <v>0</v>
      </c>
      <c r="N551" t="n">
        <v>0</v>
      </c>
      <c r="O551" t="n">
        <v>0</v>
      </c>
      <c r="P551" t="n">
        <v>0</v>
      </c>
      <c r="Q551" t="n">
        <v>0</v>
      </c>
      <c r="R551" s="2" t="inlineStr"/>
    </row>
    <row r="552" ht="15" customHeight="1">
      <c r="A552" t="inlineStr">
        <is>
          <t>A 44857-2023</t>
        </is>
      </c>
      <c r="B552" s="1" t="n">
        <v>45190.58479166667</v>
      </c>
      <c r="C552" s="1" t="n">
        <v>45985</v>
      </c>
      <c r="D552" t="inlineStr">
        <is>
          <t>VÄSTMANLANDS LÄN</t>
        </is>
      </c>
      <c r="E552" t="inlineStr">
        <is>
          <t>SALA</t>
        </is>
      </c>
      <c r="G552" t="n">
        <v>1</v>
      </c>
      <c r="H552" t="n">
        <v>0</v>
      </c>
      <c r="I552" t="n">
        <v>0</v>
      </c>
      <c r="J552" t="n">
        <v>0</v>
      </c>
      <c r="K552" t="n">
        <v>0</v>
      </c>
      <c r="L552" t="n">
        <v>0</v>
      </c>
      <c r="M552" t="n">
        <v>0</v>
      </c>
      <c r="N552" t="n">
        <v>0</v>
      </c>
      <c r="O552" t="n">
        <v>0</v>
      </c>
      <c r="P552" t="n">
        <v>0</v>
      </c>
      <c r="Q552" t="n">
        <v>0</v>
      </c>
      <c r="R552" s="2" t="inlineStr"/>
    </row>
    <row r="553" ht="15" customHeight="1">
      <c r="A553" t="inlineStr">
        <is>
          <t>A 46352-2023</t>
        </is>
      </c>
      <c r="B553" s="1" t="n">
        <v>45192</v>
      </c>
      <c r="C553" s="1" t="n">
        <v>45985</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22397-2022</t>
        </is>
      </c>
      <c r="B554" s="1" t="n">
        <v>44713</v>
      </c>
      <c r="C554" s="1" t="n">
        <v>45985</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27424-2023</t>
        </is>
      </c>
      <c r="B555" s="1" t="n">
        <v>45097.37690972222</v>
      </c>
      <c r="C555" s="1" t="n">
        <v>45985</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7469-2025</t>
        </is>
      </c>
      <c r="B556" s="1" t="n">
        <v>45705</v>
      </c>
      <c r="C556" s="1" t="n">
        <v>45985</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6691-2025</t>
        </is>
      </c>
      <c r="B557" s="1" t="n">
        <v>45700.50625</v>
      </c>
      <c r="C557" s="1" t="n">
        <v>45985</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60036-2024</t>
        </is>
      </c>
      <c r="B558" s="1" t="n">
        <v>45642.46434027778</v>
      </c>
      <c r="C558" s="1" t="n">
        <v>45985</v>
      </c>
      <c r="D558" t="inlineStr">
        <is>
          <t>VÄSTMANLANDS LÄN</t>
        </is>
      </c>
      <c r="E558" t="inlineStr">
        <is>
          <t>SALA</t>
        </is>
      </c>
      <c r="G558" t="n">
        <v>2.5</v>
      </c>
      <c r="H558" t="n">
        <v>0</v>
      </c>
      <c r="I558" t="n">
        <v>0</v>
      </c>
      <c r="J558" t="n">
        <v>0</v>
      </c>
      <c r="K558" t="n">
        <v>0</v>
      </c>
      <c r="L558" t="n">
        <v>0</v>
      </c>
      <c r="M558" t="n">
        <v>0</v>
      </c>
      <c r="N558" t="n">
        <v>0</v>
      </c>
      <c r="O558" t="n">
        <v>0</v>
      </c>
      <c r="P558" t="n">
        <v>0</v>
      </c>
      <c r="Q558" t="n">
        <v>0</v>
      </c>
      <c r="R558" s="2" t="inlineStr"/>
    </row>
    <row r="559" ht="15" customHeight="1">
      <c r="A559" t="inlineStr">
        <is>
          <t>A 43188-2023</t>
        </is>
      </c>
      <c r="B559" s="1" t="n">
        <v>45183</v>
      </c>
      <c r="C559" s="1" t="n">
        <v>45985</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43205-2023</t>
        </is>
      </c>
      <c r="B560" s="1" t="n">
        <v>45183</v>
      </c>
      <c r="C560" s="1" t="n">
        <v>45985</v>
      </c>
      <c r="D560" t="inlineStr">
        <is>
          <t>VÄSTMANLANDS LÄN</t>
        </is>
      </c>
      <c r="E560" t="inlineStr">
        <is>
          <t>SALA</t>
        </is>
      </c>
      <c r="G560" t="n">
        <v>2.1</v>
      </c>
      <c r="H560" t="n">
        <v>0</v>
      </c>
      <c r="I560" t="n">
        <v>0</v>
      </c>
      <c r="J560" t="n">
        <v>0</v>
      </c>
      <c r="K560" t="n">
        <v>0</v>
      </c>
      <c r="L560" t="n">
        <v>0</v>
      </c>
      <c r="M560" t="n">
        <v>0</v>
      </c>
      <c r="N560" t="n">
        <v>0</v>
      </c>
      <c r="O560" t="n">
        <v>0</v>
      </c>
      <c r="P560" t="n">
        <v>0</v>
      </c>
      <c r="Q560" t="n">
        <v>0</v>
      </c>
      <c r="R560" s="2" t="inlineStr"/>
    </row>
    <row r="561" ht="15" customHeight="1">
      <c r="A561" t="inlineStr">
        <is>
          <t>A 28827-2022</t>
        </is>
      </c>
      <c r="B561" s="1" t="n">
        <v>44749.45561342593</v>
      </c>
      <c r="C561" s="1" t="n">
        <v>45985</v>
      </c>
      <c r="D561" t="inlineStr">
        <is>
          <t>VÄSTMANLANDS LÄN</t>
        </is>
      </c>
      <c r="E561" t="inlineStr">
        <is>
          <t>SALA</t>
        </is>
      </c>
      <c r="F561" t="inlineStr">
        <is>
          <t>Kommuner</t>
        </is>
      </c>
      <c r="G561" t="n">
        <v>11.9</v>
      </c>
      <c r="H561" t="n">
        <v>0</v>
      </c>
      <c r="I561" t="n">
        <v>0</v>
      </c>
      <c r="J561" t="n">
        <v>0</v>
      </c>
      <c r="K561" t="n">
        <v>0</v>
      </c>
      <c r="L561" t="n">
        <v>0</v>
      </c>
      <c r="M561" t="n">
        <v>0</v>
      </c>
      <c r="N561" t="n">
        <v>0</v>
      </c>
      <c r="O561" t="n">
        <v>0</v>
      </c>
      <c r="P561" t="n">
        <v>0</v>
      </c>
      <c r="Q561" t="n">
        <v>0</v>
      </c>
      <c r="R561" s="2" t="inlineStr"/>
    </row>
    <row r="562" ht="15" customHeight="1">
      <c r="A562" t="inlineStr">
        <is>
          <t>A 15756-2025</t>
        </is>
      </c>
      <c r="B562" s="1" t="n">
        <v>45748.56810185185</v>
      </c>
      <c r="C562" s="1" t="n">
        <v>45985</v>
      </c>
      <c r="D562" t="inlineStr">
        <is>
          <t>VÄSTMANLANDS LÄN</t>
        </is>
      </c>
      <c r="E562" t="inlineStr">
        <is>
          <t>SALA</t>
        </is>
      </c>
      <c r="F562" t="inlineStr">
        <is>
          <t>Bergvik skog öst AB</t>
        </is>
      </c>
      <c r="G562" t="n">
        <v>0.8</v>
      </c>
      <c r="H562" t="n">
        <v>0</v>
      </c>
      <c r="I562" t="n">
        <v>0</v>
      </c>
      <c r="J562" t="n">
        <v>0</v>
      </c>
      <c r="K562" t="n">
        <v>0</v>
      </c>
      <c r="L562" t="n">
        <v>0</v>
      </c>
      <c r="M562" t="n">
        <v>0</v>
      </c>
      <c r="N562" t="n">
        <v>0</v>
      </c>
      <c r="O562" t="n">
        <v>0</v>
      </c>
      <c r="P562" t="n">
        <v>0</v>
      </c>
      <c r="Q562" t="n">
        <v>0</v>
      </c>
      <c r="R562" s="2" t="inlineStr"/>
    </row>
    <row r="563" ht="15" customHeight="1">
      <c r="A563" t="inlineStr">
        <is>
          <t>A 19243-2025</t>
        </is>
      </c>
      <c r="B563" s="1" t="n">
        <v>45769</v>
      </c>
      <c r="C563" s="1" t="n">
        <v>45985</v>
      </c>
      <c r="D563" t="inlineStr">
        <is>
          <t>VÄSTMANLANDS LÄN</t>
        </is>
      </c>
      <c r="E563" t="inlineStr">
        <is>
          <t>SALA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59297-2023</t>
        </is>
      </c>
      <c r="B564" s="1" t="n">
        <v>45253</v>
      </c>
      <c r="C564" s="1" t="n">
        <v>45985</v>
      </c>
      <c r="D564" t="inlineStr">
        <is>
          <t>VÄSTMANLANDS LÄN</t>
        </is>
      </c>
      <c r="E564" t="inlineStr">
        <is>
          <t>SALA</t>
        </is>
      </c>
      <c r="G564" t="n">
        <v>2</v>
      </c>
      <c r="H564" t="n">
        <v>0</v>
      </c>
      <c r="I564" t="n">
        <v>0</v>
      </c>
      <c r="J564" t="n">
        <v>0</v>
      </c>
      <c r="K564" t="n">
        <v>0</v>
      </c>
      <c r="L564" t="n">
        <v>0</v>
      </c>
      <c r="M564" t="n">
        <v>0</v>
      </c>
      <c r="N564" t="n">
        <v>0</v>
      </c>
      <c r="O564" t="n">
        <v>0</v>
      </c>
      <c r="P564" t="n">
        <v>0</v>
      </c>
      <c r="Q564" t="n">
        <v>0</v>
      </c>
      <c r="R564" s="2" t="inlineStr"/>
    </row>
    <row r="565" ht="15" customHeight="1">
      <c r="A565" t="inlineStr">
        <is>
          <t>A 6136-2025</t>
        </is>
      </c>
      <c r="B565" s="1" t="n">
        <v>45698.37601851852</v>
      </c>
      <c r="C565" s="1" t="n">
        <v>45985</v>
      </c>
      <c r="D565" t="inlineStr">
        <is>
          <t>VÄSTMANLANDS LÄN</t>
        </is>
      </c>
      <c r="E565" t="inlineStr">
        <is>
          <t>SALA</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6190-2025</t>
        </is>
      </c>
      <c r="B566" s="1" t="n">
        <v>45698</v>
      </c>
      <c r="C566" s="1" t="n">
        <v>45985</v>
      </c>
      <c r="D566" t="inlineStr">
        <is>
          <t>VÄSTMANLANDS LÄN</t>
        </is>
      </c>
      <c r="E566" t="inlineStr">
        <is>
          <t>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28863-2022</t>
        </is>
      </c>
      <c r="B567" s="1" t="n">
        <v>44749.50649305555</v>
      </c>
      <c r="C567" s="1" t="n">
        <v>45985</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25541-2024</t>
        </is>
      </c>
      <c r="B568" s="1" t="n">
        <v>45463.56337962963</v>
      </c>
      <c r="C568" s="1" t="n">
        <v>45985</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29213-2022</t>
        </is>
      </c>
      <c r="B569" s="1" t="n">
        <v>44750.57474537037</v>
      </c>
      <c r="C569" s="1" t="n">
        <v>45985</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56964-2023</t>
        </is>
      </c>
      <c r="B570" s="1" t="n">
        <v>45244.63140046296</v>
      </c>
      <c r="C570" s="1" t="n">
        <v>45985</v>
      </c>
      <c r="D570" t="inlineStr">
        <is>
          <t>VÄSTMANLANDS LÄN</t>
        </is>
      </c>
      <c r="E570" t="inlineStr">
        <is>
          <t>SALA</t>
        </is>
      </c>
      <c r="G570" t="n">
        <v>4.6</v>
      </c>
      <c r="H570" t="n">
        <v>0</v>
      </c>
      <c r="I570" t="n">
        <v>0</v>
      </c>
      <c r="J570" t="n">
        <v>0</v>
      </c>
      <c r="K570" t="n">
        <v>0</v>
      </c>
      <c r="L570" t="n">
        <v>0</v>
      </c>
      <c r="M570" t="n">
        <v>0</v>
      </c>
      <c r="N570" t="n">
        <v>0</v>
      </c>
      <c r="O570" t="n">
        <v>0</v>
      </c>
      <c r="P570" t="n">
        <v>0</v>
      </c>
      <c r="Q570" t="n">
        <v>0</v>
      </c>
      <c r="R570" s="2" t="inlineStr"/>
    </row>
    <row r="571" ht="15" customHeight="1">
      <c r="A571" t="inlineStr">
        <is>
          <t>A 1555-2024</t>
        </is>
      </c>
      <c r="B571" s="1" t="n">
        <v>45306</v>
      </c>
      <c r="C571" s="1" t="n">
        <v>45985</v>
      </c>
      <c r="D571" t="inlineStr">
        <is>
          <t>VÄSTMANLANDS LÄN</t>
        </is>
      </c>
      <c r="E571" t="inlineStr">
        <is>
          <t>SALA</t>
        </is>
      </c>
      <c r="G571" t="n">
        <v>1.3</v>
      </c>
      <c r="H571" t="n">
        <v>0</v>
      </c>
      <c r="I571" t="n">
        <v>0</v>
      </c>
      <c r="J571" t="n">
        <v>0</v>
      </c>
      <c r="K571" t="n">
        <v>0</v>
      </c>
      <c r="L571" t="n">
        <v>0</v>
      </c>
      <c r="M571" t="n">
        <v>0</v>
      </c>
      <c r="N571" t="n">
        <v>0</v>
      </c>
      <c r="O571" t="n">
        <v>0</v>
      </c>
      <c r="P571" t="n">
        <v>0</v>
      </c>
      <c r="Q571" t="n">
        <v>0</v>
      </c>
      <c r="R571" s="2" t="inlineStr"/>
    </row>
    <row r="572" ht="15" customHeight="1">
      <c r="A572" t="inlineStr">
        <is>
          <t>A 13188-2025</t>
        </is>
      </c>
      <c r="B572" s="1" t="n">
        <v>45735.39246527778</v>
      </c>
      <c r="C572" s="1" t="n">
        <v>45985</v>
      </c>
      <c r="D572" t="inlineStr">
        <is>
          <t>VÄSTMANLANDS LÄN</t>
        </is>
      </c>
      <c r="E572" t="inlineStr">
        <is>
          <t>SALA</t>
        </is>
      </c>
      <c r="F572" t="inlineStr">
        <is>
          <t>Naturvårdsverket</t>
        </is>
      </c>
      <c r="G572" t="n">
        <v>18.4</v>
      </c>
      <c r="H572" t="n">
        <v>0</v>
      </c>
      <c r="I572" t="n">
        <v>0</v>
      </c>
      <c r="J572" t="n">
        <v>0</v>
      </c>
      <c r="K572" t="n">
        <v>0</v>
      </c>
      <c r="L572" t="n">
        <v>0</v>
      </c>
      <c r="M572" t="n">
        <v>0</v>
      </c>
      <c r="N572" t="n">
        <v>0</v>
      </c>
      <c r="O572" t="n">
        <v>0</v>
      </c>
      <c r="P572" t="n">
        <v>0</v>
      </c>
      <c r="Q572" t="n">
        <v>0</v>
      </c>
      <c r="R572" s="2" t="inlineStr"/>
    </row>
    <row r="573" ht="15" customHeight="1">
      <c r="A573" t="inlineStr">
        <is>
          <t>A 7197-2025</t>
        </is>
      </c>
      <c r="B573" s="1" t="n">
        <v>45702</v>
      </c>
      <c r="C573" s="1" t="n">
        <v>45985</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15099-2025</t>
        </is>
      </c>
      <c r="B574" s="1" t="n">
        <v>45744.3434837963</v>
      </c>
      <c r="C574" s="1" t="n">
        <v>45985</v>
      </c>
      <c r="D574" t="inlineStr">
        <is>
          <t>VÄSTMANLANDS LÄN</t>
        </is>
      </c>
      <c r="E574" t="inlineStr">
        <is>
          <t>SALA</t>
        </is>
      </c>
      <c r="F574" t="inlineStr">
        <is>
          <t>Sveaskog</t>
        </is>
      </c>
      <c r="G574" t="n">
        <v>14.4</v>
      </c>
      <c r="H574" t="n">
        <v>0</v>
      </c>
      <c r="I574" t="n">
        <v>0</v>
      </c>
      <c r="J574" t="n">
        <v>0</v>
      </c>
      <c r="K574" t="n">
        <v>0</v>
      </c>
      <c r="L574" t="n">
        <v>0</v>
      </c>
      <c r="M574" t="n">
        <v>0</v>
      </c>
      <c r="N574" t="n">
        <v>0</v>
      </c>
      <c r="O574" t="n">
        <v>0</v>
      </c>
      <c r="P574" t="n">
        <v>0</v>
      </c>
      <c r="Q574" t="n">
        <v>0</v>
      </c>
      <c r="R574" s="2" t="inlineStr"/>
    </row>
    <row r="575" ht="15" customHeight="1">
      <c r="A575" t="inlineStr">
        <is>
          <t>A 2928-2024</t>
        </is>
      </c>
      <c r="B575" s="1" t="n">
        <v>45315.59041666667</v>
      </c>
      <c r="C575" s="1" t="n">
        <v>45985</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9962-2025</t>
        </is>
      </c>
      <c r="B576" s="1" t="n">
        <v>45719.37072916667</v>
      </c>
      <c r="C576" s="1" t="n">
        <v>45985</v>
      </c>
      <c r="D576" t="inlineStr">
        <is>
          <t>VÄSTMANLANDS LÄN</t>
        </is>
      </c>
      <c r="E576" t="inlineStr">
        <is>
          <t>SALA</t>
        </is>
      </c>
      <c r="G576" t="n">
        <v>4.5</v>
      </c>
      <c r="H576" t="n">
        <v>0</v>
      </c>
      <c r="I576" t="n">
        <v>0</v>
      </c>
      <c r="J576" t="n">
        <v>0</v>
      </c>
      <c r="K576" t="n">
        <v>0</v>
      </c>
      <c r="L576" t="n">
        <v>0</v>
      </c>
      <c r="M576" t="n">
        <v>0</v>
      </c>
      <c r="N576" t="n">
        <v>0</v>
      </c>
      <c r="O576" t="n">
        <v>0</v>
      </c>
      <c r="P576" t="n">
        <v>0</v>
      </c>
      <c r="Q576" t="n">
        <v>0</v>
      </c>
      <c r="R576" s="2" t="inlineStr"/>
    </row>
    <row r="577" ht="15" customHeight="1">
      <c r="A577" t="inlineStr">
        <is>
          <t>A 14024-2025</t>
        </is>
      </c>
      <c r="B577" s="1" t="n">
        <v>45740.34650462963</v>
      </c>
      <c r="C577" s="1" t="n">
        <v>45985</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3551-2024</t>
        </is>
      </c>
      <c r="B578" s="1" t="n">
        <v>45320.61099537037</v>
      </c>
      <c r="C578" s="1" t="n">
        <v>45985</v>
      </c>
      <c r="D578" t="inlineStr">
        <is>
          <t>VÄSTMANLANDS LÄN</t>
        </is>
      </c>
      <c r="E578" t="inlineStr">
        <is>
          <t>SALA</t>
        </is>
      </c>
      <c r="F578" t="inlineStr">
        <is>
          <t>Kommuner</t>
        </is>
      </c>
      <c r="G578" t="n">
        <v>6</v>
      </c>
      <c r="H578" t="n">
        <v>0</v>
      </c>
      <c r="I578" t="n">
        <v>0</v>
      </c>
      <c r="J578" t="n">
        <v>0</v>
      </c>
      <c r="K578" t="n">
        <v>0</v>
      </c>
      <c r="L578" t="n">
        <v>0</v>
      </c>
      <c r="M578" t="n">
        <v>0</v>
      </c>
      <c r="N578" t="n">
        <v>0</v>
      </c>
      <c r="O578" t="n">
        <v>0</v>
      </c>
      <c r="P578" t="n">
        <v>0</v>
      </c>
      <c r="Q578" t="n">
        <v>0</v>
      </c>
      <c r="R578" s="2" t="inlineStr"/>
    </row>
    <row r="579" ht="15" customHeight="1">
      <c r="A579" t="inlineStr">
        <is>
          <t>A 62635-2022</t>
        </is>
      </c>
      <c r="B579" s="1" t="n">
        <v>44917</v>
      </c>
      <c r="C579" s="1" t="n">
        <v>45985</v>
      </c>
      <c r="D579" t="inlineStr">
        <is>
          <t>VÄSTMANLANDS LÄN</t>
        </is>
      </c>
      <c r="E579" t="inlineStr">
        <is>
          <t>SALA</t>
        </is>
      </c>
      <c r="G579" t="n">
        <v>0.4</v>
      </c>
      <c r="H579" t="n">
        <v>0</v>
      </c>
      <c r="I579" t="n">
        <v>0</v>
      </c>
      <c r="J579" t="n">
        <v>0</v>
      </c>
      <c r="K579" t="n">
        <v>0</v>
      </c>
      <c r="L579" t="n">
        <v>0</v>
      </c>
      <c r="M579" t="n">
        <v>0</v>
      </c>
      <c r="N579" t="n">
        <v>0</v>
      </c>
      <c r="O579" t="n">
        <v>0</v>
      </c>
      <c r="P579" t="n">
        <v>0</v>
      </c>
      <c r="Q579" t="n">
        <v>0</v>
      </c>
      <c r="R579" s="2" t="inlineStr"/>
    </row>
    <row r="580" ht="15" customHeight="1">
      <c r="A580" t="inlineStr">
        <is>
          <t>A 19304-2025</t>
        </is>
      </c>
      <c r="B580" s="1" t="n">
        <v>45769</v>
      </c>
      <c r="C580" s="1" t="n">
        <v>45985</v>
      </c>
      <c r="D580" t="inlineStr">
        <is>
          <t>VÄSTMANLANDS LÄN</t>
        </is>
      </c>
      <c r="E580" t="inlineStr">
        <is>
          <t>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56057-2023</t>
        </is>
      </c>
      <c r="B581" s="1" t="n">
        <v>45233</v>
      </c>
      <c r="C581" s="1" t="n">
        <v>45985</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55024-2023</t>
        </is>
      </c>
      <c r="B582" s="1" t="n">
        <v>45229</v>
      </c>
      <c r="C582" s="1" t="n">
        <v>45985</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55032-2023</t>
        </is>
      </c>
      <c r="B583" s="1" t="n">
        <v>45229</v>
      </c>
      <c r="C583" s="1" t="n">
        <v>45985</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29248-2022</t>
        </is>
      </c>
      <c r="B584" s="1" t="n">
        <v>44750</v>
      </c>
      <c r="C584" s="1" t="n">
        <v>45985</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59175-2022</t>
        </is>
      </c>
      <c r="B585" s="1" t="n">
        <v>44904.48502314815</v>
      </c>
      <c r="C585" s="1" t="n">
        <v>45985</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39451-2022</t>
        </is>
      </c>
      <c r="B586" s="1" t="n">
        <v>44818.36606481481</v>
      </c>
      <c r="C586" s="1" t="n">
        <v>45985</v>
      </c>
      <c r="D586" t="inlineStr">
        <is>
          <t>VÄSTMANLANDS LÄN</t>
        </is>
      </c>
      <c r="E586" t="inlineStr">
        <is>
          <t>SALA</t>
        </is>
      </c>
      <c r="G586" t="n">
        <v>9.4</v>
      </c>
      <c r="H586" t="n">
        <v>0</v>
      </c>
      <c r="I586" t="n">
        <v>0</v>
      </c>
      <c r="J586" t="n">
        <v>0</v>
      </c>
      <c r="K586" t="n">
        <v>0</v>
      </c>
      <c r="L586" t="n">
        <v>0</v>
      </c>
      <c r="M586" t="n">
        <v>0</v>
      </c>
      <c r="N586" t="n">
        <v>0</v>
      </c>
      <c r="O586" t="n">
        <v>0</v>
      </c>
      <c r="P586" t="n">
        <v>0</v>
      </c>
      <c r="Q586" t="n">
        <v>0</v>
      </c>
      <c r="R586" s="2" t="inlineStr"/>
    </row>
    <row r="587" ht="15" customHeight="1">
      <c r="A587" t="inlineStr">
        <is>
          <t>A 11631-2023</t>
        </is>
      </c>
      <c r="B587" s="1" t="n">
        <v>44994.44001157407</v>
      </c>
      <c r="C587" s="1" t="n">
        <v>45985</v>
      </c>
      <c r="D587" t="inlineStr">
        <is>
          <t>VÄSTMANLANDS LÄN</t>
        </is>
      </c>
      <c r="E587" t="inlineStr">
        <is>
          <t>SALA</t>
        </is>
      </c>
      <c r="F587" t="inlineStr">
        <is>
          <t>Kommuner</t>
        </is>
      </c>
      <c r="G587" t="n">
        <v>1.9</v>
      </c>
      <c r="H587" t="n">
        <v>0</v>
      </c>
      <c r="I587" t="n">
        <v>0</v>
      </c>
      <c r="J587" t="n">
        <v>0</v>
      </c>
      <c r="K587" t="n">
        <v>0</v>
      </c>
      <c r="L587" t="n">
        <v>0</v>
      </c>
      <c r="M587" t="n">
        <v>0</v>
      </c>
      <c r="N587" t="n">
        <v>0</v>
      </c>
      <c r="O587" t="n">
        <v>0</v>
      </c>
      <c r="P587" t="n">
        <v>0</v>
      </c>
      <c r="Q587" t="n">
        <v>0</v>
      </c>
      <c r="R587" s="2" t="inlineStr"/>
    </row>
    <row r="588" ht="15" customHeight="1">
      <c r="A588" t="inlineStr">
        <is>
          <t>A 62648-2022</t>
        </is>
      </c>
      <c r="B588" s="1" t="n">
        <v>44917</v>
      </c>
      <c r="C588" s="1" t="n">
        <v>45985</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1934-2023</t>
        </is>
      </c>
      <c r="B589" s="1" t="n">
        <v>44939.43024305555</v>
      </c>
      <c r="C589" s="1" t="n">
        <v>45985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11927-2025</t>
        </is>
      </c>
      <c r="B590" s="1" t="n">
        <v>45728.5137962963</v>
      </c>
      <c r="C590" s="1" t="n">
        <v>45985</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60823-2024</t>
        </is>
      </c>
      <c r="B591" s="1" t="n">
        <v>45644</v>
      </c>
      <c r="C591" s="1" t="n">
        <v>45985</v>
      </c>
      <c r="D591" t="inlineStr">
        <is>
          <t>VÄSTMANLANDS LÄN</t>
        </is>
      </c>
      <c r="E591" t="inlineStr">
        <is>
          <t>SALA</t>
        </is>
      </c>
      <c r="G591" t="n">
        <v>0.6</v>
      </c>
      <c r="H591" t="n">
        <v>0</v>
      </c>
      <c r="I591" t="n">
        <v>0</v>
      </c>
      <c r="J591" t="n">
        <v>0</v>
      </c>
      <c r="K591" t="n">
        <v>0</v>
      </c>
      <c r="L591" t="n">
        <v>0</v>
      </c>
      <c r="M591" t="n">
        <v>0</v>
      </c>
      <c r="N591" t="n">
        <v>0</v>
      </c>
      <c r="O591" t="n">
        <v>0</v>
      </c>
      <c r="P591" t="n">
        <v>0</v>
      </c>
      <c r="Q591" t="n">
        <v>0</v>
      </c>
      <c r="R591" s="2" t="inlineStr"/>
    </row>
    <row r="592" ht="15" customHeight="1">
      <c r="A592" t="inlineStr">
        <is>
          <t>A 96-2024</t>
        </is>
      </c>
      <c r="B592" s="1" t="n">
        <v>45293.85872685185</v>
      </c>
      <c r="C592" s="1" t="n">
        <v>45985</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23374-2023</t>
        </is>
      </c>
      <c r="B593" s="1" t="n">
        <v>45076.4399537037</v>
      </c>
      <c r="C593" s="1" t="n">
        <v>45985</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61874-2021</t>
        </is>
      </c>
      <c r="B594" s="1" t="n">
        <v>44502</v>
      </c>
      <c r="C594" s="1" t="n">
        <v>45985</v>
      </c>
      <c r="D594" t="inlineStr">
        <is>
          <t>VÄSTMANLANDS LÄN</t>
        </is>
      </c>
      <c r="E594" t="inlineStr">
        <is>
          <t>SALA</t>
        </is>
      </c>
      <c r="F594" t="inlineStr">
        <is>
          <t>Kyrkan</t>
        </is>
      </c>
      <c r="G594" t="n">
        <v>1.3</v>
      </c>
      <c r="H594" t="n">
        <v>0</v>
      </c>
      <c r="I594" t="n">
        <v>0</v>
      </c>
      <c r="J594" t="n">
        <v>0</v>
      </c>
      <c r="K594" t="n">
        <v>0</v>
      </c>
      <c r="L594" t="n">
        <v>0</v>
      </c>
      <c r="M594" t="n">
        <v>0</v>
      </c>
      <c r="N594" t="n">
        <v>0</v>
      </c>
      <c r="O594" t="n">
        <v>0</v>
      </c>
      <c r="P594" t="n">
        <v>0</v>
      </c>
      <c r="Q594" t="n">
        <v>0</v>
      </c>
      <c r="R594" s="2" t="inlineStr"/>
    </row>
    <row r="595" ht="15" customHeight="1">
      <c r="A595" t="inlineStr">
        <is>
          <t>A 9856-2022</t>
        </is>
      </c>
      <c r="B595" s="1" t="n">
        <v>44620</v>
      </c>
      <c r="C595" s="1" t="n">
        <v>45985</v>
      </c>
      <c r="D595" t="inlineStr">
        <is>
          <t>VÄSTMANLANDS LÄN</t>
        </is>
      </c>
      <c r="E595" t="inlineStr">
        <is>
          <t>SALA</t>
        </is>
      </c>
      <c r="G595" t="n">
        <v>2.4</v>
      </c>
      <c r="H595" t="n">
        <v>0</v>
      </c>
      <c r="I595" t="n">
        <v>0</v>
      </c>
      <c r="J595" t="n">
        <v>0</v>
      </c>
      <c r="K595" t="n">
        <v>0</v>
      </c>
      <c r="L595" t="n">
        <v>0</v>
      </c>
      <c r="M595" t="n">
        <v>0</v>
      </c>
      <c r="N595" t="n">
        <v>0</v>
      </c>
      <c r="O595" t="n">
        <v>0</v>
      </c>
      <c r="P595" t="n">
        <v>0</v>
      </c>
      <c r="Q595" t="n">
        <v>0</v>
      </c>
      <c r="R595" s="2" t="inlineStr"/>
    </row>
    <row r="596" ht="15" customHeight="1">
      <c r="A596" t="inlineStr">
        <is>
          <t>A 16159-2024</t>
        </is>
      </c>
      <c r="B596" s="1" t="n">
        <v>45406</v>
      </c>
      <c r="C596" s="1" t="n">
        <v>45985</v>
      </c>
      <c r="D596" t="inlineStr">
        <is>
          <t>VÄSTMANLANDS LÄN</t>
        </is>
      </c>
      <c r="E596" t="inlineStr">
        <is>
          <t>SALA</t>
        </is>
      </c>
      <c r="G596" t="n">
        <v>0.4</v>
      </c>
      <c r="H596" t="n">
        <v>0</v>
      </c>
      <c r="I596" t="n">
        <v>0</v>
      </c>
      <c r="J596" t="n">
        <v>0</v>
      </c>
      <c r="K596" t="n">
        <v>0</v>
      </c>
      <c r="L596" t="n">
        <v>0</v>
      </c>
      <c r="M596" t="n">
        <v>0</v>
      </c>
      <c r="N596" t="n">
        <v>0</v>
      </c>
      <c r="O596" t="n">
        <v>0</v>
      </c>
      <c r="P596" t="n">
        <v>0</v>
      </c>
      <c r="Q596" t="n">
        <v>0</v>
      </c>
      <c r="R596" s="2" t="inlineStr"/>
    </row>
    <row r="597" ht="15" customHeight="1">
      <c r="A597" t="inlineStr">
        <is>
          <t>A 50241-2023</t>
        </is>
      </c>
      <c r="B597" s="1" t="n">
        <v>45216</v>
      </c>
      <c r="C597" s="1" t="n">
        <v>45985</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3332-2024</t>
        </is>
      </c>
      <c r="B598" s="1" t="n">
        <v>45317</v>
      </c>
      <c r="C598" s="1" t="n">
        <v>45985</v>
      </c>
      <c r="D598" t="inlineStr">
        <is>
          <t>VÄSTMANLANDS LÄN</t>
        </is>
      </c>
      <c r="E598" t="inlineStr">
        <is>
          <t>SALA</t>
        </is>
      </c>
      <c r="G598" t="n">
        <v>2</v>
      </c>
      <c r="H598" t="n">
        <v>0</v>
      </c>
      <c r="I598" t="n">
        <v>0</v>
      </c>
      <c r="J598" t="n">
        <v>0</v>
      </c>
      <c r="K598" t="n">
        <v>0</v>
      </c>
      <c r="L598" t="n">
        <v>0</v>
      </c>
      <c r="M598" t="n">
        <v>0</v>
      </c>
      <c r="N598" t="n">
        <v>0</v>
      </c>
      <c r="O598" t="n">
        <v>0</v>
      </c>
      <c r="P598" t="n">
        <v>0</v>
      </c>
      <c r="Q598" t="n">
        <v>0</v>
      </c>
      <c r="R598" s="2" t="inlineStr"/>
    </row>
    <row r="599" ht="15" customHeight="1">
      <c r="A599" t="inlineStr">
        <is>
          <t>A 35637-2022</t>
        </is>
      </c>
      <c r="B599" s="1" t="n">
        <v>44799.55194444444</v>
      </c>
      <c r="C599" s="1" t="n">
        <v>45985</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19033-2025</t>
        </is>
      </c>
      <c r="B600" s="1" t="n">
        <v>45764.65796296296</v>
      </c>
      <c r="C600" s="1" t="n">
        <v>45985</v>
      </c>
      <c r="D600" t="inlineStr">
        <is>
          <t>VÄSTMANLANDS LÄN</t>
        </is>
      </c>
      <c r="E600" t="inlineStr">
        <is>
          <t>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57883-2024</t>
        </is>
      </c>
      <c r="B601" s="1" t="n">
        <v>45630</v>
      </c>
      <c r="C601" s="1" t="n">
        <v>45985</v>
      </c>
      <c r="D601" t="inlineStr">
        <is>
          <t>VÄSTMANLANDS LÄN</t>
        </is>
      </c>
      <c r="E601" t="inlineStr">
        <is>
          <t>SALA</t>
        </is>
      </c>
      <c r="G601" t="n">
        <v>5.4</v>
      </c>
      <c r="H601" t="n">
        <v>0</v>
      </c>
      <c r="I601" t="n">
        <v>0</v>
      </c>
      <c r="J601" t="n">
        <v>0</v>
      </c>
      <c r="K601" t="n">
        <v>0</v>
      </c>
      <c r="L601" t="n">
        <v>0</v>
      </c>
      <c r="M601" t="n">
        <v>0</v>
      </c>
      <c r="N601" t="n">
        <v>0</v>
      </c>
      <c r="O601" t="n">
        <v>0</v>
      </c>
      <c r="P601" t="n">
        <v>0</v>
      </c>
      <c r="Q601" t="n">
        <v>0</v>
      </c>
      <c r="R601" s="2" t="inlineStr"/>
    </row>
    <row r="602" ht="15" customHeight="1">
      <c r="A602" t="inlineStr">
        <is>
          <t>A 50876-2023</t>
        </is>
      </c>
      <c r="B602" s="1" t="n">
        <v>45211</v>
      </c>
      <c r="C602" s="1" t="n">
        <v>45985</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37624-2024</t>
        </is>
      </c>
      <c r="B603" s="1" t="n">
        <v>45541</v>
      </c>
      <c r="C603" s="1" t="n">
        <v>45985</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40398-2021</t>
        </is>
      </c>
      <c r="B604" s="1" t="n">
        <v>44419</v>
      </c>
      <c r="C604" s="1" t="n">
        <v>45985</v>
      </c>
      <c r="D604" t="inlineStr">
        <is>
          <t>VÄSTMANLANDS LÄN</t>
        </is>
      </c>
      <c r="E604" t="inlineStr">
        <is>
          <t>SALA</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6351-2023</t>
        </is>
      </c>
      <c r="B605" s="1" t="n">
        <v>44965</v>
      </c>
      <c r="C605" s="1" t="n">
        <v>45985</v>
      </c>
      <c r="D605" t="inlineStr">
        <is>
          <t>VÄSTMANLANDS LÄN</t>
        </is>
      </c>
      <c r="E605" t="inlineStr">
        <is>
          <t>SALA</t>
        </is>
      </c>
      <c r="F605" t="inlineStr">
        <is>
          <t>Kommuner</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27262-2024</t>
        </is>
      </c>
      <c r="B606" s="1" t="n">
        <v>45471</v>
      </c>
      <c r="C606" s="1" t="n">
        <v>45985</v>
      </c>
      <c r="D606" t="inlineStr">
        <is>
          <t>VÄSTMANLANDS LÄN</t>
        </is>
      </c>
      <c r="E606" t="inlineStr">
        <is>
          <t>SALA</t>
        </is>
      </c>
      <c r="G606" t="n">
        <v>0.8</v>
      </c>
      <c r="H606" t="n">
        <v>0</v>
      </c>
      <c r="I606" t="n">
        <v>0</v>
      </c>
      <c r="J606" t="n">
        <v>0</v>
      </c>
      <c r="K606" t="n">
        <v>0</v>
      </c>
      <c r="L606" t="n">
        <v>0</v>
      </c>
      <c r="M606" t="n">
        <v>0</v>
      </c>
      <c r="N606" t="n">
        <v>0</v>
      </c>
      <c r="O606" t="n">
        <v>0</v>
      </c>
      <c r="P606" t="n">
        <v>0</v>
      </c>
      <c r="Q606" t="n">
        <v>0</v>
      </c>
      <c r="R606" s="2" t="inlineStr"/>
    </row>
    <row r="607" ht="15" customHeight="1">
      <c r="A607" t="inlineStr">
        <is>
          <t>A 15584-2021</t>
        </is>
      </c>
      <c r="B607" s="1" t="n">
        <v>44285</v>
      </c>
      <c r="C607" s="1" t="n">
        <v>45985</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23119-2022</t>
        </is>
      </c>
      <c r="B608" s="1" t="n">
        <v>44719.56697916667</v>
      </c>
      <c r="C608" s="1" t="n">
        <v>45985</v>
      </c>
      <c r="D608" t="inlineStr">
        <is>
          <t>VÄSTMANLANDS LÄN</t>
        </is>
      </c>
      <c r="E608" t="inlineStr">
        <is>
          <t>SALA</t>
        </is>
      </c>
      <c r="G608" t="n">
        <v>7</v>
      </c>
      <c r="H608" t="n">
        <v>0</v>
      </c>
      <c r="I608" t="n">
        <v>0</v>
      </c>
      <c r="J608" t="n">
        <v>0</v>
      </c>
      <c r="K608" t="n">
        <v>0</v>
      </c>
      <c r="L608" t="n">
        <v>0</v>
      </c>
      <c r="M608" t="n">
        <v>0</v>
      </c>
      <c r="N608" t="n">
        <v>0</v>
      </c>
      <c r="O608" t="n">
        <v>0</v>
      </c>
      <c r="P608" t="n">
        <v>0</v>
      </c>
      <c r="Q608" t="n">
        <v>0</v>
      </c>
      <c r="R608" s="2" t="inlineStr"/>
    </row>
    <row r="609" ht="15" customHeight="1">
      <c r="A609" t="inlineStr">
        <is>
          <t>A 43751-2021</t>
        </is>
      </c>
      <c r="B609" s="1" t="n">
        <v>44433</v>
      </c>
      <c r="C609" s="1" t="n">
        <v>45985</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59483-2022</t>
        </is>
      </c>
      <c r="B610" s="1" t="n">
        <v>44907.45679398148</v>
      </c>
      <c r="C610" s="1" t="n">
        <v>45985</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73673-2021</t>
        </is>
      </c>
      <c r="B611" s="1" t="n">
        <v>44552.46501157407</v>
      </c>
      <c r="C611" s="1" t="n">
        <v>45985</v>
      </c>
      <c r="D611" t="inlineStr">
        <is>
          <t>VÄSTMANLANDS LÄN</t>
        </is>
      </c>
      <c r="E611" t="inlineStr">
        <is>
          <t>SALA</t>
        </is>
      </c>
      <c r="G611" t="n">
        <v>11.4</v>
      </c>
      <c r="H611" t="n">
        <v>0</v>
      </c>
      <c r="I611" t="n">
        <v>0</v>
      </c>
      <c r="J611" t="n">
        <v>0</v>
      </c>
      <c r="K611" t="n">
        <v>0</v>
      </c>
      <c r="L611" t="n">
        <v>0</v>
      </c>
      <c r="M611" t="n">
        <v>0</v>
      </c>
      <c r="N611" t="n">
        <v>0</v>
      </c>
      <c r="O611" t="n">
        <v>0</v>
      </c>
      <c r="P611" t="n">
        <v>0</v>
      </c>
      <c r="Q611" t="n">
        <v>0</v>
      </c>
      <c r="R611" s="2" t="inlineStr"/>
    </row>
    <row r="612" ht="15" customHeight="1">
      <c r="A612" t="inlineStr">
        <is>
          <t>A 4853-2023</t>
        </is>
      </c>
      <c r="B612" s="1" t="n">
        <v>44957.73234953704</v>
      </c>
      <c r="C612" s="1" t="n">
        <v>45985</v>
      </c>
      <c r="D612" t="inlineStr">
        <is>
          <t>VÄSTMANLANDS LÄN</t>
        </is>
      </c>
      <c r="E612" t="inlineStr">
        <is>
          <t>SALA</t>
        </is>
      </c>
      <c r="G612" t="n">
        <v>2.7</v>
      </c>
      <c r="H612" t="n">
        <v>0</v>
      </c>
      <c r="I612" t="n">
        <v>0</v>
      </c>
      <c r="J612" t="n">
        <v>0</v>
      </c>
      <c r="K612" t="n">
        <v>0</v>
      </c>
      <c r="L612" t="n">
        <v>0</v>
      </c>
      <c r="M612" t="n">
        <v>0</v>
      </c>
      <c r="N612" t="n">
        <v>0</v>
      </c>
      <c r="O612" t="n">
        <v>0</v>
      </c>
      <c r="P612" t="n">
        <v>0</v>
      </c>
      <c r="Q612" t="n">
        <v>0</v>
      </c>
      <c r="R612" s="2" t="inlineStr"/>
    </row>
    <row r="613" ht="15" customHeight="1">
      <c r="A613" t="inlineStr">
        <is>
          <t>A 1993-2022</t>
        </is>
      </c>
      <c r="B613" s="1" t="n">
        <v>44575</v>
      </c>
      <c r="C613" s="1" t="n">
        <v>45985</v>
      </c>
      <c r="D613" t="inlineStr">
        <is>
          <t>VÄSTMANLANDS LÄN</t>
        </is>
      </c>
      <c r="E613" t="inlineStr">
        <is>
          <t>SALA</t>
        </is>
      </c>
      <c r="G613" t="n">
        <v>1.6</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45985</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42447-2022</t>
        </is>
      </c>
      <c r="B615" s="1" t="n">
        <v>44831</v>
      </c>
      <c r="C615" s="1" t="n">
        <v>45985</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11183-2023</t>
        </is>
      </c>
      <c r="B616" s="1" t="n">
        <v>44992.57782407408</v>
      </c>
      <c r="C616" s="1" t="n">
        <v>45985</v>
      </c>
      <c r="D616" t="inlineStr">
        <is>
          <t>VÄSTMANLANDS LÄN</t>
        </is>
      </c>
      <c r="E616" t="inlineStr">
        <is>
          <t>SALA</t>
        </is>
      </c>
      <c r="G616" t="n">
        <v>0.9</v>
      </c>
      <c r="H616" t="n">
        <v>0</v>
      </c>
      <c r="I616" t="n">
        <v>0</v>
      </c>
      <c r="J616" t="n">
        <v>0</v>
      </c>
      <c r="K616" t="n">
        <v>0</v>
      </c>
      <c r="L616" t="n">
        <v>0</v>
      </c>
      <c r="M616" t="n">
        <v>0</v>
      </c>
      <c r="N616" t="n">
        <v>0</v>
      </c>
      <c r="O616" t="n">
        <v>0</v>
      </c>
      <c r="P616" t="n">
        <v>0</v>
      </c>
      <c r="Q616" t="n">
        <v>0</v>
      </c>
      <c r="R616" s="2" t="inlineStr"/>
    </row>
    <row r="617" ht="15" customHeight="1">
      <c r="A617" t="inlineStr">
        <is>
          <t>A 11190-2023</t>
        </is>
      </c>
      <c r="B617" s="1" t="n">
        <v>44992</v>
      </c>
      <c r="C617" s="1" t="n">
        <v>45985</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31950-2023</t>
        </is>
      </c>
      <c r="B618" s="1" t="n">
        <v>45107</v>
      </c>
      <c r="C618" s="1" t="n">
        <v>45985</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48710-2024</t>
        </is>
      </c>
      <c r="B619" s="1" t="n">
        <v>45593.53636574074</v>
      </c>
      <c r="C619" s="1" t="n">
        <v>45985</v>
      </c>
      <c r="D619" t="inlineStr">
        <is>
          <t>VÄSTMANLANDS LÄN</t>
        </is>
      </c>
      <c r="E619" t="inlineStr">
        <is>
          <t>SALA</t>
        </is>
      </c>
      <c r="G619" t="n">
        <v>6.5</v>
      </c>
      <c r="H619" t="n">
        <v>0</v>
      </c>
      <c r="I619" t="n">
        <v>0</v>
      </c>
      <c r="J619" t="n">
        <v>0</v>
      </c>
      <c r="K619" t="n">
        <v>0</v>
      </c>
      <c r="L619" t="n">
        <v>0</v>
      </c>
      <c r="M619" t="n">
        <v>0</v>
      </c>
      <c r="N619" t="n">
        <v>0</v>
      </c>
      <c r="O619" t="n">
        <v>0</v>
      </c>
      <c r="P619" t="n">
        <v>0</v>
      </c>
      <c r="Q619" t="n">
        <v>0</v>
      </c>
      <c r="R619" s="2" t="inlineStr"/>
    </row>
    <row r="620" ht="15" customHeight="1">
      <c r="A620" t="inlineStr">
        <is>
          <t>A 23406-2024</t>
        </is>
      </c>
      <c r="B620" s="1" t="n">
        <v>45453.58296296297</v>
      </c>
      <c r="C620" s="1" t="n">
        <v>45985</v>
      </c>
      <c r="D620" t="inlineStr">
        <is>
          <t>VÄSTMANLANDS LÄN</t>
        </is>
      </c>
      <c r="E620" t="inlineStr">
        <is>
          <t>SALA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12246-2023</t>
        </is>
      </c>
      <c r="B621" s="1" t="n">
        <v>44995</v>
      </c>
      <c r="C621" s="1" t="n">
        <v>45985</v>
      </c>
      <c r="D621" t="inlineStr">
        <is>
          <t>VÄSTMANLANDS LÄN</t>
        </is>
      </c>
      <c r="E621" t="inlineStr">
        <is>
          <t>SALA</t>
        </is>
      </c>
      <c r="G621" t="n">
        <v>2.4</v>
      </c>
      <c r="H621" t="n">
        <v>0</v>
      </c>
      <c r="I621" t="n">
        <v>0</v>
      </c>
      <c r="J621" t="n">
        <v>0</v>
      </c>
      <c r="K621" t="n">
        <v>0</v>
      </c>
      <c r="L621" t="n">
        <v>0</v>
      </c>
      <c r="M621" t="n">
        <v>0</v>
      </c>
      <c r="N621" t="n">
        <v>0</v>
      </c>
      <c r="O621" t="n">
        <v>0</v>
      </c>
      <c r="P621" t="n">
        <v>0</v>
      </c>
      <c r="Q621" t="n">
        <v>0</v>
      </c>
      <c r="R621" s="2" t="inlineStr"/>
    </row>
    <row r="622" ht="15" customHeight="1">
      <c r="A622" t="inlineStr">
        <is>
          <t>A 48571-2024</t>
        </is>
      </c>
      <c r="B622" s="1" t="n">
        <v>45591</v>
      </c>
      <c r="C622" s="1" t="n">
        <v>45985</v>
      </c>
      <c r="D622" t="inlineStr">
        <is>
          <t>VÄSTMANLANDS LÄN</t>
        </is>
      </c>
      <c r="E622" t="inlineStr">
        <is>
          <t>SALA</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43362-2023</t>
        </is>
      </c>
      <c r="B623" s="1" t="n">
        <v>45183</v>
      </c>
      <c r="C623" s="1" t="n">
        <v>45985</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16767-2024</t>
        </is>
      </c>
      <c r="B624" s="1" t="n">
        <v>45411.38171296296</v>
      </c>
      <c r="C624" s="1" t="n">
        <v>45985</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31470-2021</t>
        </is>
      </c>
      <c r="B625" s="1" t="n">
        <v>44369</v>
      </c>
      <c r="C625" s="1" t="n">
        <v>45985</v>
      </c>
      <c r="D625" t="inlineStr">
        <is>
          <t>VÄSTMANLANDS LÄN</t>
        </is>
      </c>
      <c r="E625" t="inlineStr">
        <is>
          <t>SALA</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18461-2024</t>
        </is>
      </c>
      <c r="B626" s="1" t="n">
        <v>45425.47435185185</v>
      </c>
      <c r="C626" s="1" t="n">
        <v>45985</v>
      </c>
      <c r="D626" t="inlineStr">
        <is>
          <t>VÄSTMANLANDS LÄN</t>
        </is>
      </c>
      <c r="E626" t="inlineStr">
        <is>
          <t>SALA</t>
        </is>
      </c>
      <c r="G626" t="n">
        <v>1.7</v>
      </c>
      <c r="H626" t="n">
        <v>0</v>
      </c>
      <c r="I626" t="n">
        <v>0</v>
      </c>
      <c r="J626" t="n">
        <v>0</v>
      </c>
      <c r="K626" t="n">
        <v>0</v>
      </c>
      <c r="L626" t="n">
        <v>0</v>
      </c>
      <c r="M626" t="n">
        <v>0</v>
      </c>
      <c r="N626" t="n">
        <v>0</v>
      </c>
      <c r="O626" t="n">
        <v>0</v>
      </c>
      <c r="P626" t="n">
        <v>0</v>
      </c>
      <c r="Q626" t="n">
        <v>0</v>
      </c>
      <c r="R626" s="2" t="inlineStr"/>
    </row>
    <row r="627" ht="15" customHeight="1">
      <c r="A627" t="inlineStr">
        <is>
          <t>A 29230-2022</t>
        </is>
      </c>
      <c r="B627" s="1" t="n">
        <v>44750</v>
      </c>
      <c r="C627" s="1" t="n">
        <v>45985</v>
      </c>
      <c r="D627" t="inlineStr">
        <is>
          <t>VÄSTMANLANDS LÄN</t>
        </is>
      </c>
      <c r="E627" t="inlineStr">
        <is>
          <t>SALA</t>
        </is>
      </c>
      <c r="G627" t="n">
        <v>1.1</v>
      </c>
      <c r="H627" t="n">
        <v>0</v>
      </c>
      <c r="I627" t="n">
        <v>0</v>
      </c>
      <c r="J627" t="n">
        <v>0</v>
      </c>
      <c r="K627" t="n">
        <v>0</v>
      </c>
      <c r="L627" t="n">
        <v>0</v>
      </c>
      <c r="M627" t="n">
        <v>0</v>
      </c>
      <c r="N627" t="n">
        <v>0</v>
      </c>
      <c r="O627" t="n">
        <v>0</v>
      </c>
      <c r="P627" t="n">
        <v>0</v>
      </c>
      <c r="Q627" t="n">
        <v>0</v>
      </c>
      <c r="R627" s="2" t="inlineStr"/>
    </row>
    <row r="628" ht="15" customHeight="1">
      <c r="A628" t="inlineStr">
        <is>
          <t>A 9335-2022</t>
        </is>
      </c>
      <c r="B628" s="1" t="n">
        <v>44616.56579861111</v>
      </c>
      <c r="C628" s="1" t="n">
        <v>45985</v>
      </c>
      <c r="D628" t="inlineStr">
        <is>
          <t>VÄSTMANLANDS LÄN</t>
        </is>
      </c>
      <c r="E628" t="inlineStr">
        <is>
          <t>SALA</t>
        </is>
      </c>
      <c r="G628" t="n">
        <v>1.5</v>
      </c>
      <c r="H628" t="n">
        <v>0</v>
      </c>
      <c r="I628" t="n">
        <v>0</v>
      </c>
      <c r="J628" t="n">
        <v>0</v>
      </c>
      <c r="K628" t="n">
        <v>0</v>
      </c>
      <c r="L628" t="n">
        <v>0</v>
      </c>
      <c r="M628" t="n">
        <v>0</v>
      </c>
      <c r="N628" t="n">
        <v>0</v>
      </c>
      <c r="O628" t="n">
        <v>0</v>
      </c>
      <c r="P628" t="n">
        <v>0</v>
      </c>
      <c r="Q628" t="n">
        <v>0</v>
      </c>
      <c r="R628" s="2" t="inlineStr"/>
    </row>
    <row r="629" ht="15" customHeight="1">
      <c r="A629" t="inlineStr">
        <is>
          <t>A 47479-2024</t>
        </is>
      </c>
      <c r="B629" s="1" t="n">
        <v>45587</v>
      </c>
      <c r="C629" s="1" t="n">
        <v>45985</v>
      </c>
      <c r="D629" t="inlineStr">
        <is>
          <t>VÄSTMANLANDS LÄN</t>
        </is>
      </c>
      <c r="E629" t="inlineStr">
        <is>
          <t>SALA</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19065-2022</t>
        </is>
      </c>
      <c r="B630" s="1" t="n">
        <v>44691.44309027777</v>
      </c>
      <c r="C630" s="1" t="n">
        <v>45985</v>
      </c>
      <c r="D630" t="inlineStr">
        <is>
          <t>VÄSTMANLANDS LÄN</t>
        </is>
      </c>
      <c r="E630" t="inlineStr">
        <is>
          <t>SALA</t>
        </is>
      </c>
      <c r="G630" t="n">
        <v>3.4</v>
      </c>
      <c r="H630" t="n">
        <v>0</v>
      </c>
      <c r="I630" t="n">
        <v>0</v>
      </c>
      <c r="J630" t="n">
        <v>0</v>
      </c>
      <c r="K630" t="n">
        <v>0</v>
      </c>
      <c r="L630" t="n">
        <v>0</v>
      </c>
      <c r="M630" t="n">
        <v>0</v>
      </c>
      <c r="N630" t="n">
        <v>0</v>
      </c>
      <c r="O630" t="n">
        <v>0</v>
      </c>
      <c r="P630" t="n">
        <v>0</v>
      </c>
      <c r="Q630" t="n">
        <v>0</v>
      </c>
      <c r="R630" s="2" t="inlineStr"/>
    </row>
    <row r="631" ht="15" customHeight="1">
      <c r="A631" t="inlineStr">
        <is>
          <t>A 22961-2023</t>
        </is>
      </c>
      <c r="B631" s="1" t="n">
        <v>45072</v>
      </c>
      <c r="C631" s="1" t="n">
        <v>45985</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22963-2023</t>
        </is>
      </c>
      <c r="B632" s="1" t="n">
        <v>45072</v>
      </c>
      <c r="C632" s="1" t="n">
        <v>45985</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10585-2022</t>
        </is>
      </c>
      <c r="B633" s="1" t="n">
        <v>44624</v>
      </c>
      <c r="C633" s="1" t="n">
        <v>45985</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69236-2021</t>
        </is>
      </c>
      <c r="B634" s="1" t="n">
        <v>44531.4047337963</v>
      </c>
      <c r="C634" s="1" t="n">
        <v>45985</v>
      </c>
      <c r="D634" t="inlineStr">
        <is>
          <t>VÄSTMANLANDS LÄN</t>
        </is>
      </c>
      <c r="E634" t="inlineStr">
        <is>
          <t>SALA</t>
        </is>
      </c>
      <c r="G634" t="n">
        <v>2.8</v>
      </c>
      <c r="H634" t="n">
        <v>0</v>
      </c>
      <c r="I634" t="n">
        <v>0</v>
      </c>
      <c r="J634" t="n">
        <v>0</v>
      </c>
      <c r="K634" t="n">
        <v>0</v>
      </c>
      <c r="L634" t="n">
        <v>0</v>
      </c>
      <c r="M634" t="n">
        <v>0</v>
      </c>
      <c r="N634" t="n">
        <v>0</v>
      </c>
      <c r="O634" t="n">
        <v>0</v>
      </c>
      <c r="P634" t="n">
        <v>0</v>
      </c>
      <c r="Q634" t="n">
        <v>0</v>
      </c>
      <c r="R634" s="2" t="inlineStr"/>
    </row>
    <row r="635" ht="15" customHeight="1">
      <c r="A635" t="inlineStr">
        <is>
          <t>A 48117-2024</t>
        </is>
      </c>
      <c r="B635" s="1" t="n">
        <v>45589</v>
      </c>
      <c r="C635" s="1" t="n">
        <v>45985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12225-2023</t>
        </is>
      </c>
      <c r="B636" s="1" t="n">
        <v>44995</v>
      </c>
      <c r="C636" s="1" t="n">
        <v>45985</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12252-2023</t>
        </is>
      </c>
      <c r="B637" s="1" t="n">
        <v>44995</v>
      </c>
      <c r="C637" s="1" t="n">
        <v>45985</v>
      </c>
      <c r="D637" t="inlineStr">
        <is>
          <t>VÄSTMANLANDS LÄN</t>
        </is>
      </c>
      <c r="E637" t="inlineStr">
        <is>
          <t>SALA</t>
        </is>
      </c>
      <c r="G637" t="n">
        <v>2.6</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45985</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18100-2023</t>
        </is>
      </c>
      <c r="B639" s="1" t="n">
        <v>45040</v>
      </c>
      <c r="C639" s="1" t="n">
        <v>45985</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13471-2025</t>
        </is>
      </c>
      <c r="B640" s="1" t="n">
        <v>45736.40579861111</v>
      </c>
      <c r="C640" s="1" t="n">
        <v>45985</v>
      </c>
      <c r="D640" t="inlineStr">
        <is>
          <t>VÄSTMANLANDS LÄN</t>
        </is>
      </c>
      <c r="E640" t="inlineStr">
        <is>
          <t>SALA</t>
        </is>
      </c>
      <c r="G640" t="n">
        <v>1.1</v>
      </c>
      <c r="H640" t="n">
        <v>0</v>
      </c>
      <c r="I640" t="n">
        <v>0</v>
      </c>
      <c r="J640" t="n">
        <v>0</v>
      </c>
      <c r="K640" t="n">
        <v>0</v>
      </c>
      <c r="L640" t="n">
        <v>0</v>
      </c>
      <c r="M640" t="n">
        <v>0</v>
      </c>
      <c r="N640" t="n">
        <v>0</v>
      </c>
      <c r="O640" t="n">
        <v>0</v>
      </c>
      <c r="P640" t="n">
        <v>0</v>
      </c>
      <c r="Q640" t="n">
        <v>0</v>
      </c>
      <c r="R640" s="2" t="inlineStr"/>
    </row>
    <row r="641" ht="15" customHeight="1">
      <c r="A641" t="inlineStr">
        <is>
          <t>A 26854-2024</t>
        </is>
      </c>
      <c r="B641" s="1" t="n">
        <v>45470</v>
      </c>
      <c r="C641" s="1" t="n">
        <v>45985</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37602-2024</t>
        </is>
      </c>
      <c r="B642" s="1" t="n">
        <v>45541</v>
      </c>
      <c r="C642" s="1" t="n">
        <v>45985</v>
      </c>
      <c r="D642" t="inlineStr">
        <is>
          <t>VÄSTMANLANDS LÄN</t>
        </is>
      </c>
      <c r="E642" t="inlineStr">
        <is>
          <t>SALA</t>
        </is>
      </c>
      <c r="G642" t="n">
        <v>1.5</v>
      </c>
      <c r="H642" t="n">
        <v>0</v>
      </c>
      <c r="I642" t="n">
        <v>0</v>
      </c>
      <c r="J642" t="n">
        <v>0</v>
      </c>
      <c r="K642" t="n">
        <v>0</v>
      </c>
      <c r="L642" t="n">
        <v>0</v>
      </c>
      <c r="M642" t="n">
        <v>0</v>
      </c>
      <c r="N642" t="n">
        <v>0</v>
      </c>
      <c r="O642" t="n">
        <v>0</v>
      </c>
      <c r="P642" t="n">
        <v>0</v>
      </c>
      <c r="Q642" t="n">
        <v>0</v>
      </c>
      <c r="R642" s="2" t="inlineStr"/>
    </row>
    <row r="643" ht="15" customHeight="1">
      <c r="A643" t="inlineStr">
        <is>
          <t>A 1985-2022</t>
        </is>
      </c>
      <c r="B643" s="1" t="n">
        <v>44575</v>
      </c>
      <c r="C643" s="1" t="n">
        <v>45985</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6308-2021</t>
        </is>
      </c>
      <c r="B644" s="1" t="n">
        <v>44235</v>
      </c>
      <c r="C644" s="1" t="n">
        <v>45985</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21455-2023</t>
        </is>
      </c>
      <c r="B645" s="1" t="n">
        <v>45058</v>
      </c>
      <c r="C645" s="1" t="n">
        <v>45985</v>
      </c>
      <c r="D645" t="inlineStr">
        <is>
          <t>VÄSTMANLANDS LÄN</t>
        </is>
      </c>
      <c r="E645" t="inlineStr">
        <is>
          <t>SALA</t>
        </is>
      </c>
      <c r="G645" t="n">
        <v>6.4</v>
      </c>
      <c r="H645" t="n">
        <v>0</v>
      </c>
      <c r="I645" t="n">
        <v>0</v>
      </c>
      <c r="J645" t="n">
        <v>0</v>
      </c>
      <c r="K645" t="n">
        <v>0</v>
      </c>
      <c r="L645" t="n">
        <v>0</v>
      </c>
      <c r="M645" t="n">
        <v>0</v>
      </c>
      <c r="N645" t="n">
        <v>0</v>
      </c>
      <c r="O645" t="n">
        <v>0</v>
      </c>
      <c r="P645" t="n">
        <v>0</v>
      </c>
      <c r="Q645" t="n">
        <v>0</v>
      </c>
      <c r="R645" s="2" t="inlineStr"/>
    </row>
    <row r="646" ht="15" customHeight="1">
      <c r="A646" t="inlineStr">
        <is>
          <t>A 4797-2023</t>
        </is>
      </c>
      <c r="B646" s="1" t="n">
        <v>44957</v>
      </c>
      <c r="C646" s="1" t="n">
        <v>45985</v>
      </c>
      <c r="D646" t="inlineStr">
        <is>
          <t>VÄSTMANLANDS LÄN</t>
        </is>
      </c>
      <c r="E646" t="inlineStr">
        <is>
          <t>SALA</t>
        </is>
      </c>
      <c r="G646" t="n">
        <v>5.7</v>
      </c>
      <c r="H646" t="n">
        <v>0</v>
      </c>
      <c r="I646" t="n">
        <v>0</v>
      </c>
      <c r="J646" t="n">
        <v>0</v>
      </c>
      <c r="K646" t="n">
        <v>0</v>
      </c>
      <c r="L646" t="n">
        <v>0</v>
      </c>
      <c r="M646" t="n">
        <v>0</v>
      </c>
      <c r="N646" t="n">
        <v>0</v>
      </c>
      <c r="O646" t="n">
        <v>0</v>
      </c>
      <c r="P646" t="n">
        <v>0</v>
      </c>
      <c r="Q646" t="n">
        <v>0</v>
      </c>
      <c r="R646" s="2" t="inlineStr"/>
    </row>
    <row r="647" ht="15" customHeight="1">
      <c r="A647" t="inlineStr">
        <is>
          <t>A 4852-2023</t>
        </is>
      </c>
      <c r="B647" s="1" t="n">
        <v>44957.72496527778</v>
      </c>
      <c r="C647" s="1" t="n">
        <v>45985</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36858-2023</t>
        </is>
      </c>
      <c r="B648" s="1" t="n">
        <v>45154.55184027777</v>
      </c>
      <c r="C648" s="1" t="n">
        <v>45985</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58701-2021</t>
        </is>
      </c>
      <c r="B649" s="1" t="n">
        <v>44489.46454861111</v>
      </c>
      <c r="C649" s="1" t="n">
        <v>45985</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37337-2024</t>
        </is>
      </c>
      <c r="B650" s="1" t="n">
        <v>45540</v>
      </c>
      <c r="C650" s="1" t="n">
        <v>45985</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10250-2025</t>
        </is>
      </c>
      <c r="B651" s="1" t="n">
        <v>45720.36165509259</v>
      </c>
      <c r="C651" s="1" t="n">
        <v>45985</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23180-2022</t>
        </is>
      </c>
      <c r="B652" s="1" t="n">
        <v>44719.79344907407</v>
      </c>
      <c r="C652" s="1" t="n">
        <v>45985</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21053-2022</t>
        </is>
      </c>
      <c r="B653" s="1" t="n">
        <v>44704</v>
      </c>
      <c r="C653" s="1" t="n">
        <v>45985</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18340-2025</t>
        </is>
      </c>
      <c r="B654" s="1" t="n">
        <v>45762</v>
      </c>
      <c r="C654" s="1" t="n">
        <v>45985</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16638-2023</t>
        </is>
      </c>
      <c r="B655" s="1" t="n">
        <v>45027</v>
      </c>
      <c r="C655" s="1" t="n">
        <v>45985</v>
      </c>
      <c r="D655" t="inlineStr">
        <is>
          <t>VÄSTMANLANDS LÄN</t>
        </is>
      </c>
      <c r="E655" t="inlineStr">
        <is>
          <t>SALA</t>
        </is>
      </c>
      <c r="G655" t="n">
        <v>14.8</v>
      </c>
      <c r="H655" t="n">
        <v>0</v>
      </c>
      <c r="I655" t="n">
        <v>0</v>
      </c>
      <c r="J655" t="n">
        <v>0</v>
      </c>
      <c r="K655" t="n">
        <v>0</v>
      </c>
      <c r="L655" t="n">
        <v>0</v>
      </c>
      <c r="M655" t="n">
        <v>0</v>
      </c>
      <c r="N655" t="n">
        <v>0</v>
      </c>
      <c r="O655" t="n">
        <v>0</v>
      </c>
      <c r="P655" t="n">
        <v>0</v>
      </c>
      <c r="Q655" t="n">
        <v>0</v>
      </c>
      <c r="R655" s="2" t="inlineStr"/>
    </row>
    <row r="656" ht="15" customHeight="1">
      <c r="A656" t="inlineStr">
        <is>
          <t>A 17117-2023</t>
        </is>
      </c>
      <c r="B656" s="1" t="n">
        <v>45034</v>
      </c>
      <c r="C656" s="1" t="n">
        <v>45985</v>
      </c>
      <c r="D656" t="inlineStr">
        <is>
          <t>VÄSTMANLANDS LÄN</t>
        </is>
      </c>
      <c r="E656" t="inlineStr">
        <is>
          <t>SALA</t>
        </is>
      </c>
      <c r="G656" t="n">
        <v>0.4</v>
      </c>
      <c r="H656" t="n">
        <v>0</v>
      </c>
      <c r="I656" t="n">
        <v>0</v>
      </c>
      <c r="J656" t="n">
        <v>0</v>
      </c>
      <c r="K656" t="n">
        <v>0</v>
      </c>
      <c r="L656" t="n">
        <v>0</v>
      </c>
      <c r="M656" t="n">
        <v>0</v>
      </c>
      <c r="N656" t="n">
        <v>0</v>
      </c>
      <c r="O656" t="n">
        <v>0</v>
      </c>
      <c r="P656" t="n">
        <v>0</v>
      </c>
      <c r="Q656" t="n">
        <v>0</v>
      </c>
      <c r="R656" s="2" t="inlineStr"/>
    </row>
    <row r="657" ht="15" customHeight="1">
      <c r="A657" t="inlineStr">
        <is>
          <t>A 59909-2024</t>
        </is>
      </c>
      <c r="B657" s="1" t="n">
        <v>45641</v>
      </c>
      <c r="C657" s="1" t="n">
        <v>45985</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30028-2024</t>
        </is>
      </c>
      <c r="B658" s="1" t="n">
        <v>45485</v>
      </c>
      <c r="C658" s="1" t="n">
        <v>45985</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33309-2022</t>
        </is>
      </c>
      <c r="B659" s="1" t="n">
        <v>44788.40986111111</v>
      </c>
      <c r="C659" s="1" t="n">
        <v>45985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7377-2023</t>
        </is>
      </c>
      <c r="B660" s="1" t="n">
        <v>44971</v>
      </c>
      <c r="C660" s="1" t="n">
        <v>45985</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27229-2022</t>
        </is>
      </c>
      <c r="B661" s="1" t="n">
        <v>44741</v>
      </c>
      <c r="C661" s="1" t="n">
        <v>45985</v>
      </c>
      <c r="D661" t="inlineStr">
        <is>
          <t>VÄSTMANLANDS LÄN</t>
        </is>
      </c>
      <c r="E661" t="inlineStr">
        <is>
          <t>SALA</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24755-2021</t>
        </is>
      </c>
      <c r="B662" s="1" t="n">
        <v>44340</v>
      </c>
      <c r="C662" s="1" t="n">
        <v>45985</v>
      </c>
      <c r="D662" t="inlineStr">
        <is>
          <t>VÄSTMANLANDS LÄN</t>
        </is>
      </c>
      <c r="E662" t="inlineStr">
        <is>
          <t>SALA</t>
        </is>
      </c>
      <c r="G662" t="n">
        <v>1.2</v>
      </c>
      <c r="H662" t="n">
        <v>0</v>
      </c>
      <c r="I662" t="n">
        <v>0</v>
      </c>
      <c r="J662" t="n">
        <v>0</v>
      </c>
      <c r="K662" t="n">
        <v>0</v>
      </c>
      <c r="L662" t="n">
        <v>0</v>
      </c>
      <c r="M662" t="n">
        <v>0</v>
      </c>
      <c r="N662" t="n">
        <v>0</v>
      </c>
      <c r="O662" t="n">
        <v>0</v>
      </c>
      <c r="P662" t="n">
        <v>0</v>
      </c>
      <c r="Q662" t="n">
        <v>0</v>
      </c>
      <c r="R662" s="2" t="inlineStr"/>
    </row>
    <row r="663" ht="15" customHeight="1">
      <c r="A663" t="inlineStr">
        <is>
          <t>A 34867-2023</t>
        </is>
      </c>
      <c r="B663" s="1" t="n">
        <v>45142.33481481481</v>
      </c>
      <c r="C663" s="1" t="n">
        <v>45985</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25748-2022</t>
        </is>
      </c>
      <c r="B664" s="1" t="n">
        <v>44732</v>
      </c>
      <c r="C664" s="1" t="n">
        <v>45985</v>
      </c>
      <c r="D664" t="inlineStr">
        <is>
          <t>VÄSTMANLANDS LÄN</t>
        </is>
      </c>
      <c r="E664" t="inlineStr">
        <is>
          <t>SALA</t>
        </is>
      </c>
      <c r="G664" t="n">
        <v>7.7</v>
      </c>
      <c r="H664" t="n">
        <v>0</v>
      </c>
      <c r="I664" t="n">
        <v>0</v>
      </c>
      <c r="J664" t="n">
        <v>0</v>
      </c>
      <c r="K664" t="n">
        <v>0</v>
      </c>
      <c r="L664" t="n">
        <v>0</v>
      </c>
      <c r="M664" t="n">
        <v>0</v>
      </c>
      <c r="N664" t="n">
        <v>0</v>
      </c>
      <c r="O664" t="n">
        <v>0</v>
      </c>
      <c r="P664" t="n">
        <v>0</v>
      </c>
      <c r="Q664" t="n">
        <v>0</v>
      </c>
      <c r="R664" s="2" t="inlineStr"/>
    </row>
    <row r="665" ht="15" customHeight="1">
      <c r="A665" t="inlineStr">
        <is>
          <t>A 49512-2024</t>
        </is>
      </c>
      <c r="B665" s="1" t="n">
        <v>45591</v>
      </c>
      <c r="C665" s="1" t="n">
        <v>45985</v>
      </c>
      <c r="D665" t="inlineStr">
        <is>
          <t>VÄSTMANLANDS LÄN</t>
        </is>
      </c>
      <c r="E665" t="inlineStr">
        <is>
          <t>SALA</t>
        </is>
      </c>
      <c r="G665" t="n">
        <v>8.1</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45985</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37958-2024</t>
        </is>
      </c>
      <c r="B667" s="1" t="n">
        <v>45544</v>
      </c>
      <c r="C667" s="1" t="n">
        <v>45985</v>
      </c>
      <c r="D667" t="inlineStr">
        <is>
          <t>VÄSTMANLANDS LÄN</t>
        </is>
      </c>
      <c r="E667" t="inlineStr">
        <is>
          <t>SALA</t>
        </is>
      </c>
      <c r="G667" t="n">
        <v>5.6</v>
      </c>
      <c r="H667" t="n">
        <v>0</v>
      </c>
      <c r="I667" t="n">
        <v>0</v>
      </c>
      <c r="J667" t="n">
        <v>0</v>
      </c>
      <c r="K667" t="n">
        <v>0</v>
      </c>
      <c r="L667" t="n">
        <v>0</v>
      </c>
      <c r="M667" t="n">
        <v>0</v>
      </c>
      <c r="N667" t="n">
        <v>0</v>
      </c>
      <c r="O667" t="n">
        <v>0</v>
      </c>
      <c r="P667" t="n">
        <v>0</v>
      </c>
      <c r="Q667" t="n">
        <v>0</v>
      </c>
      <c r="R667" s="2" t="inlineStr"/>
    </row>
    <row r="668" ht="15" customHeight="1">
      <c r="A668" t="inlineStr">
        <is>
          <t>A 18431-2023</t>
        </is>
      </c>
      <c r="B668" s="1" t="n">
        <v>45042</v>
      </c>
      <c r="C668" s="1" t="n">
        <v>45985</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57650-2024</t>
        </is>
      </c>
      <c r="B669" s="1" t="n">
        <v>45630</v>
      </c>
      <c r="C669" s="1" t="n">
        <v>45985</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10255-2024</t>
        </is>
      </c>
      <c r="B670" s="1" t="n">
        <v>45365</v>
      </c>
      <c r="C670" s="1" t="n">
        <v>45985</v>
      </c>
      <c r="D670" t="inlineStr">
        <is>
          <t>VÄSTMANLANDS LÄN</t>
        </is>
      </c>
      <c r="E670" t="inlineStr">
        <is>
          <t>SALA</t>
        </is>
      </c>
      <c r="F670" t="inlineStr">
        <is>
          <t>Kommuner</t>
        </is>
      </c>
      <c r="G670" t="n">
        <v>0.8</v>
      </c>
      <c r="H670" t="n">
        <v>0</v>
      </c>
      <c r="I670" t="n">
        <v>0</v>
      </c>
      <c r="J670" t="n">
        <v>0</v>
      </c>
      <c r="K670" t="n">
        <v>0</v>
      </c>
      <c r="L670" t="n">
        <v>0</v>
      </c>
      <c r="M670" t="n">
        <v>0</v>
      </c>
      <c r="N670" t="n">
        <v>0</v>
      </c>
      <c r="O670" t="n">
        <v>0</v>
      </c>
      <c r="P670" t="n">
        <v>0</v>
      </c>
      <c r="Q670" t="n">
        <v>0</v>
      </c>
      <c r="R670" s="2" t="inlineStr"/>
    </row>
    <row r="671" ht="15" customHeight="1">
      <c r="A671" t="inlineStr">
        <is>
          <t>A 28696-2023</t>
        </is>
      </c>
      <c r="B671" s="1" t="n">
        <v>45103.71759259259</v>
      </c>
      <c r="C671" s="1" t="n">
        <v>45985</v>
      </c>
      <c r="D671" t="inlineStr">
        <is>
          <t>VÄSTMANLANDS LÄN</t>
        </is>
      </c>
      <c r="E671" t="inlineStr">
        <is>
          <t>SALA</t>
        </is>
      </c>
      <c r="F671" t="inlineStr">
        <is>
          <t>Kommuner</t>
        </is>
      </c>
      <c r="G671" t="n">
        <v>5.9</v>
      </c>
      <c r="H671" t="n">
        <v>0</v>
      </c>
      <c r="I671" t="n">
        <v>0</v>
      </c>
      <c r="J671" t="n">
        <v>0</v>
      </c>
      <c r="K671" t="n">
        <v>0</v>
      </c>
      <c r="L671" t="n">
        <v>0</v>
      </c>
      <c r="M671" t="n">
        <v>0</v>
      </c>
      <c r="N671" t="n">
        <v>0</v>
      </c>
      <c r="O671" t="n">
        <v>0</v>
      </c>
      <c r="P671" t="n">
        <v>0</v>
      </c>
      <c r="Q671" t="n">
        <v>0</v>
      </c>
      <c r="R671" s="2" t="inlineStr"/>
    </row>
    <row r="672" ht="15" customHeight="1">
      <c r="A672" t="inlineStr">
        <is>
          <t>A 31072-2021</t>
        </is>
      </c>
      <c r="B672" s="1" t="n">
        <v>44368</v>
      </c>
      <c r="C672" s="1" t="n">
        <v>45985</v>
      </c>
      <c r="D672" t="inlineStr">
        <is>
          <t>VÄSTMANLANDS LÄN</t>
        </is>
      </c>
      <c r="E672" t="inlineStr">
        <is>
          <t>SALA</t>
        </is>
      </c>
      <c r="G672" t="n">
        <v>1.1</v>
      </c>
      <c r="H672" t="n">
        <v>0</v>
      </c>
      <c r="I672" t="n">
        <v>0</v>
      </c>
      <c r="J672" t="n">
        <v>0</v>
      </c>
      <c r="K672" t="n">
        <v>0</v>
      </c>
      <c r="L672" t="n">
        <v>0</v>
      </c>
      <c r="M672" t="n">
        <v>0</v>
      </c>
      <c r="N672" t="n">
        <v>0</v>
      </c>
      <c r="O672" t="n">
        <v>0</v>
      </c>
      <c r="P672" t="n">
        <v>0</v>
      </c>
      <c r="Q672" t="n">
        <v>0</v>
      </c>
      <c r="R672" s="2" t="inlineStr"/>
    </row>
    <row r="673" ht="15" customHeight="1">
      <c r="A673" t="inlineStr">
        <is>
          <t>A 16543-2023</t>
        </is>
      </c>
      <c r="B673" s="1" t="n">
        <v>45029</v>
      </c>
      <c r="C673" s="1" t="n">
        <v>45985</v>
      </c>
      <c r="D673" t="inlineStr">
        <is>
          <t>VÄSTMANLANDS LÄN</t>
        </is>
      </c>
      <c r="E673" t="inlineStr">
        <is>
          <t>SALA</t>
        </is>
      </c>
      <c r="F673" t="inlineStr">
        <is>
          <t>Sveaskog</t>
        </is>
      </c>
      <c r="G673" t="n">
        <v>1.9</v>
      </c>
      <c r="H673" t="n">
        <v>0</v>
      </c>
      <c r="I673" t="n">
        <v>0</v>
      </c>
      <c r="J673" t="n">
        <v>0</v>
      </c>
      <c r="K673" t="n">
        <v>0</v>
      </c>
      <c r="L673" t="n">
        <v>0</v>
      </c>
      <c r="M673" t="n">
        <v>0</v>
      </c>
      <c r="N673" t="n">
        <v>0</v>
      </c>
      <c r="O673" t="n">
        <v>0</v>
      </c>
      <c r="P673" t="n">
        <v>0</v>
      </c>
      <c r="Q673" t="n">
        <v>0</v>
      </c>
      <c r="R673" s="2" t="inlineStr"/>
    </row>
    <row r="674" ht="15" customHeight="1">
      <c r="A674" t="inlineStr">
        <is>
          <t>A 22523-2023</t>
        </is>
      </c>
      <c r="B674" s="1" t="n">
        <v>45069</v>
      </c>
      <c r="C674" s="1" t="n">
        <v>45985</v>
      </c>
      <c r="D674" t="inlineStr">
        <is>
          <t>VÄSTMANLANDS LÄN</t>
        </is>
      </c>
      <c r="E674" t="inlineStr">
        <is>
          <t>SALA</t>
        </is>
      </c>
      <c r="G674" t="n">
        <v>2.4</v>
      </c>
      <c r="H674" t="n">
        <v>0</v>
      </c>
      <c r="I674" t="n">
        <v>0</v>
      </c>
      <c r="J674" t="n">
        <v>0</v>
      </c>
      <c r="K674" t="n">
        <v>0</v>
      </c>
      <c r="L674" t="n">
        <v>0</v>
      </c>
      <c r="M674" t="n">
        <v>0</v>
      </c>
      <c r="N674" t="n">
        <v>0</v>
      </c>
      <c r="O674" t="n">
        <v>0</v>
      </c>
      <c r="P674" t="n">
        <v>0</v>
      </c>
      <c r="Q674" t="n">
        <v>0</v>
      </c>
      <c r="R674" s="2" t="inlineStr"/>
    </row>
    <row r="675" ht="15" customHeight="1">
      <c r="A675" t="inlineStr">
        <is>
          <t>A 4663-2022</t>
        </is>
      </c>
      <c r="B675" s="1" t="n">
        <v>44592.45429398148</v>
      </c>
      <c r="C675" s="1" t="n">
        <v>45985</v>
      </c>
      <c r="D675" t="inlineStr">
        <is>
          <t>VÄSTMANLANDS LÄN</t>
        </is>
      </c>
      <c r="E675" t="inlineStr">
        <is>
          <t>SALA</t>
        </is>
      </c>
      <c r="G675" t="n">
        <v>2.5</v>
      </c>
      <c r="H675" t="n">
        <v>0</v>
      </c>
      <c r="I675" t="n">
        <v>0</v>
      </c>
      <c r="J675" t="n">
        <v>0</v>
      </c>
      <c r="K675" t="n">
        <v>0</v>
      </c>
      <c r="L675" t="n">
        <v>0</v>
      </c>
      <c r="M675" t="n">
        <v>0</v>
      </c>
      <c r="N675" t="n">
        <v>0</v>
      </c>
      <c r="O675" t="n">
        <v>0</v>
      </c>
      <c r="P675" t="n">
        <v>0</v>
      </c>
      <c r="Q675" t="n">
        <v>0</v>
      </c>
      <c r="R675" s="2" t="inlineStr"/>
    </row>
    <row r="676" ht="15" customHeight="1">
      <c r="A676" t="inlineStr">
        <is>
          <t>A 6132-2025</t>
        </is>
      </c>
      <c r="B676" s="1" t="n">
        <v>45698</v>
      </c>
      <c r="C676" s="1" t="n">
        <v>45985</v>
      </c>
      <c r="D676" t="inlineStr">
        <is>
          <t>VÄSTMANLANDS LÄN</t>
        </is>
      </c>
      <c r="E676" t="inlineStr">
        <is>
          <t>SALA</t>
        </is>
      </c>
      <c r="F676" t="inlineStr">
        <is>
          <t>Bergvik skog öst AB</t>
        </is>
      </c>
      <c r="G676" t="n">
        <v>1.5</v>
      </c>
      <c r="H676" t="n">
        <v>0</v>
      </c>
      <c r="I676" t="n">
        <v>0</v>
      </c>
      <c r="J676" t="n">
        <v>0</v>
      </c>
      <c r="K676" t="n">
        <v>0</v>
      </c>
      <c r="L676" t="n">
        <v>0</v>
      </c>
      <c r="M676" t="n">
        <v>0</v>
      </c>
      <c r="N676" t="n">
        <v>0</v>
      </c>
      <c r="O676" t="n">
        <v>0</v>
      </c>
      <c r="P676" t="n">
        <v>0</v>
      </c>
      <c r="Q676" t="n">
        <v>0</v>
      </c>
      <c r="R676" s="2" t="inlineStr"/>
    </row>
    <row r="677" ht="15" customHeight="1">
      <c r="A677" t="inlineStr">
        <is>
          <t>A 31859-2023</t>
        </is>
      </c>
      <c r="B677" s="1" t="n">
        <v>45118</v>
      </c>
      <c r="C677" s="1" t="n">
        <v>45985</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c r="U677">
        <f>HYPERLINK("https://klasma.github.io/Logging_1981/knärot/A 31859-2023 karta knärot.png", "A 31859-2023")</f>
        <v/>
      </c>
      <c r="V677">
        <f>HYPERLINK("https://klasma.github.io/Logging_1981/klagomål/A 31859-2023 FSC-klagomål.docx", "A 31859-2023")</f>
        <v/>
      </c>
      <c r="W677">
        <f>HYPERLINK("https://klasma.github.io/Logging_1981/klagomålsmail/A 31859-2023 FSC-klagomål mail.docx", "A 31859-2023")</f>
        <v/>
      </c>
      <c r="X677">
        <f>HYPERLINK("https://klasma.github.io/Logging_1981/tillsyn/A 31859-2023 tillsynsbegäran.docx", "A 31859-2023")</f>
        <v/>
      </c>
      <c r="Y677">
        <f>HYPERLINK("https://klasma.github.io/Logging_1981/tillsynsmail/A 31859-2023 tillsynsbegäran mail.docx", "A 31859-2023")</f>
        <v/>
      </c>
    </row>
    <row r="678" ht="15" customHeight="1">
      <c r="A678" t="inlineStr">
        <is>
          <t>A 61681-2024</t>
        </is>
      </c>
      <c r="B678" s="1" t="n">
        <v>45647</v>
      </c>
      <c r="C678" s="1" t="n">
        <v>45985</v>
      </c>
      <c r="D678" t="inlineStr">
        <is>
          <t>VÄSTMANLANDS LÄN</t>
        </is>
      </c>
      <c r="E678" t="inlineStr">
        <is>
          <t>SALA</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54960-2024</t>
        </is>
      </c>
      <c r="B679" s="1" t="n">
        <v>45619.85208333333</v>
      </c>
      <c r="C679" s="1" t="n">
        <v>45985</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31082-2021</t>
        </is>
      </c>
      <c r="B680" s="1" t="n">
        <v>44368</v>
      </c>
      <c r="C680" s="1" t="n">
        <v>45985</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20352-2022</t>
        </is>
      </c>
      <c r="B681" s="1" t="n">
        <v>44699.37318287037</v>
      </c>
      <c r="C681" s="1" t="n">
        <v>45985</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27657-2023</t>
        </is>
      </c>
      <c r="B682" s="1" t="n">
        <v>45097.76631944445</v>
      </c>
      <c r="C682" s="1" t="n">
        <v>45985</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2766-2024</t>
        </is>
      </c>
      <c r="B683" s="1" t="n">
        <v>45314.60950231482</v>
      </c>
      <c r="C683" s="1" t="n">
        <v>45985</v>
      </c>
      <c r="D683" t="inlineStr">
        <is>
          <t>VÄSTMANLANDS LÄN</t>
        </is>
      </c>
      <c r="E683" t="inlineStr">
        <is>
          <t>SALA</t>
        </is>
      </c>
      <c r="G683" t="n">
        <v>2.8</v>
      </c>
      <c r="H683" t="n">
        <v>0</v>
      </c>
      <c r="I683" t="n">
        <v>0</v>
      </c>
      <c r="J683" t="n">
        <v>0</v>
      </c>
      <c r="K683" t="n">
        <v>0</v>
      </c>
      <c r="L683" t="n">
        <v>0</v>
      </c>
      <c r="M683" t="n">
        <v>0</v>
      </c>
      <c r="N683" t="n">
        <v>0</v>
      </c>
      <c r="O683" t="n">
        <v>0</v>
      </c>
      <c r="P683" t="n">
        <v>0</v>
      </c>
      <c r="Q683" t="n">
        <v>0</v>
      </c>
      <c r="R683" s="2" t="inlineStr"/>
    </row>
    <row r="684" ht="15" customHeight="1">
      <c r="A684" t="inlineStr">
        <is>
          <t>A 60550-2024</t>
        </is>
      </c>
      <c r="B684" s="1" t="n">
        <v>45643</v>
      </c>
      <c r="C684" s="1" t="n">
        <v>45985</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14690-2025</t>
        </is>
      </c>
      <c r="B685" s="1" t="n">
        <v>45742.58212962963</v>
      </c>
      <c r="C685" s="1" t="n">
        <v>45985</v>
      </c>
      <c r="D685" t="inlineStr">
        <is>
          <t>VÄSTMANLANDS LÄN</t>
        </is>
      </c>
      <c r="E685" t="inlineStr">
        <is>
          <t>SALA</t>
        </is>
      </c>
      <c r="G685" t="n">
        <v>3.4</v>
      </c>
      <c r="H685" t="n">
        <v>0</v>
      </c>
      <c r="I685" t="n">
        <v>0</v>
      </c>
      <c r="J685" t="n">
        <v>0</v>
      </c>
      <c r="K685" t="n">
        <v>0</v>
      </c>
      <c r="L685" t="n">
        <v>0</v>
      </c>
      <c r="M685" t="n">
        <v>0</v>
      </c>
      <c r="N685" t="n">
        <v>0</v>
      </c>
      <c r="O685" t="n">
        <v>0</v>
      </c>
      <c r="P685" t="n">
        <v>0</v>
      </c>
      <c r="Q685" t="n">
        <v>0</v>
      </c>
      <c r="R685" s="2" t="inlineStr"/>
    </row>
    <row r="686" ht="15" customHeight="1">
      <c r="A686" t="inlineStr">
        <is>
          <t>A 24175-2024</t>
        </is>
      </c>
      <c r="B686" s="1" t="n">
        <v>45456</v>
      </c>
      <c r="C686" s="1" t="n">
        <v>45985</v>
      </c>
      <c r="D686" t="inlineStr">
        <is>
          <t>VÄSTMANLANDS LÄN</t>
        </is>
      </c>
      <c r="E686" t="inlineStr">
        <is>
          <t>SALA</t>
        </is>
      </c>
      <c r="G686" t="n">
        <v>0.6</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45985</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54910-2023</t>
        </is>
      </c>
      <c r="B688" s="1" t="n">
        <v>45229</v>
      </c>
      <c r="C688" s="1" t="n">
        <v>45985</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19222-2025</t>
        </is>
      </c>
      <c r="B689" s="1" t="n">
        <v>45769</v>
      </c>
      <c r="C689" s="1" t="n">
        <v>45985</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19241-2025</t>
        </is>
      </c>
      <c r="B690" s="1" t="n">
        <v>45769</v>
      </c>
      <c r="C690" s="1" t="n">
        <v>45985</v>
      </c>
      <c r="D690" t="inlineStr">
        <is>
          <t>VÄSTMANLANDS LÄN</t>
        </is>
      </c>
      <c r="E690" t="inlineStr">
        <is>
          <t>SALA</t>
        </is>
      </c>
      <c r="G690" t="n">
        <v>3.6</v>
      </c>
      <c r="H690" t="n">
        <v>0</v>
      </c>
      <c r="I690" t="n">
        <v>0</v>
      </c>
      <c r="J690" t="n">
        <v>0</v>
      </c>
      <c r="K690" t="n">
        <v>0</v>
      </c>
      <c r="L690" t="n">
        <v>0</v>
      </c>
      <c r="M690" t="n">
        <v>0</v>
      </c>
      <c r="N690" t="n">
        <v>0</v>
      </c>
      <c r="O690" t="n">
        <v>0</v>
      </c>
      <c r="P690" t="n">
        <v>0</v>
      </c>
      <c r="Q690" t="n">
        <v>0</v>
      </c>
      <c r="R690" s="2" t="inlineStr"/>
    </row>
    <row r="691" ht="15" customHeight="1">
      <c r="A691" t="inlineStr">
        <is>
          <t>A 26416-2023</t>
        </is>
      </c>
      <c r="B691" s="1" t="n">
        <v>45092.38087962963</v>
      </c>
      <c r="C691" s="1" t="n">
        <v>45985</v>
      </c>
      <c r="D691" t="inlineStr">
        <is>
          <t>VÄSTMANLANDS LÄN</t>
        </is>
      </c>
      <c r="E691" t="inlineStr">
        <is>
          <t>SALA</t>
        </is>
      </c>
      <c r="G691" t="n">
        <v>2.9</v>
      </c>
      <c r="H691" t="n">
        <v>0</v>
      </c>
      <c r="I691" t="n">
        <v>0</v>
      </c>
      <c r="J691" t="n">
        <v>0</v>
      </c>
      <c r="K691" t="n">
        <v>0</v>
      </c>
      <c r="L691" t="n">
        <v>0</v>
      </c>
      <c r="M691" t="n">
        <v>0</v>
      </c>
      <c r="N691" t="n">
        <v>0</v>
      </c>
      <c r="O691" t="n">
        <v>0</v>
      </c>
      <c r="P691" t="n">
        <v>0</v>
      </c>
      <c r="Q691" t="n">
        <v>0</v>
      </c>
      <c r="R691" s="2" t="inlineStr"/>
    </row>
    <row r="692" ht="15" customHeight="1">
      <c r="A692" t="inlineStr">
        <is>
          <t>A 26692-2023</t>
        </is>
      </c>
      <c r="B692" s="1" t="n">
        <v>45093.360625</v>
      </c>
      <c r="C692" s="1" t="n">
        <v>45985</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15681-2025</t>
        </is>
      </c>
      <c r="B693" s="1" t="n">
        <v>45748.45454861111</v>
      </c>
      <c r="C693" s="1" t="n">
        <v>45985</v>
      </c>
      <c r="D693" t="inlineStr">
        <is>
          <t>VÄSTMANLANDS LÄN</t>
        </is>
      </c>
      <c r="E693" t="inlineStr">
        <is>
          <t>SALA</t>
        </is>
      </c>
      <c r="F693" t="inlineStr">
        <is>
          <t>Bergvik skog öst AB</t>
        </is>
      </c>
      <c r="G693" t="n">
        <v>4.3</v>
      </c>
      <c r="H693" t="n">
        <v>0</v>
      </c>
      <c r="I693" t="n">
        <v>0</v>
      </c>
      <c r="J693" t="n">
        <v>0</v>
      </c>
      <c r="K693" t="n">
        <v>0</v>
      </c>
      <c r="L693" t="n">
        <v>0</v>
      </c>
      <c r="M693" t="n">
        <v>0</v>
      </c>
      <c r="N693" t="n">
        <v>0</v>
      </c>
      <c r="O693" t="n">
        <v>0</v>
      </c>
      <c r="P693" t="n">
        <v>0</v>
      </c>
      <c r="Q693" t="n">
        <v>0</v>
      </c>
      <c r="R693" s="2" t="inlineStr"/>
    </row>
    <row r="694" ht="15" customHeight="1">
      <c r="A694" t="inlineStr">
        <is>
          <t>A 2925-2024</t>
        </is>
      </c>
      <c r="B694" s="1" t="n">
        <v>45315.58909722222</v>
      </c>
      <c r="C694" s="1" t="n">
        <v>45985</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44746-2024</t>
        </is>
      </c>
      <c r="B695" s="1" t="n">
        <v>45574.59813657407</v>
      </c>
      <c r="C695" s="1" t="n">
        <v>45985</v>
      </c>
      <c r="D695" t="inlineStr">
        <is>
          <t>VÄSTMANLANDS LÄN</t>
        </is>
      </c>
      <c r="E695" t="inlineStr">
        <is>
          <t>SALA</t>
        </is>
      </c>
      <c r="G695" t="n">
        <v>6.7</v>
      </c>
      <c r="H695" t="n">
        <v>0</v>
      </c>
      <c r="I695" t="n">
        <v>0</v>
      </c>
      <c r="J695" t="n">
        <v>0</v>
      </c>
      <c r="K695" t="n">
        <v>0</v>
      </c>
      <c r="L695" t="n">
        <v>0</v>
      </c>
      <c r="M695" t="n">
        <v>0</v>
      </c>
      <c r="N695" t="n">
        <v>0</v>
      </c>
      <c r="O695" t="n">
        <v>0</v>
      </c>
      <c r="P695" t="n">
        <v>0</v>
      </c>
      <c r="Q695" t="n">
        <v>0</v>
      </c>
      <c r="R695" s="2" t="inlineStr"/>
    </row>
    <row r="696" ht="15" customHeight="1">
      <c r="A696" t="inlineStr">
        <is>
          <t>A 44713-2023</t>
        </is>
      </c>
      <c r="B696" s="1" t="n">
        <v>45184</v>
      </c>
      <c r="C696" s="1" t="n">
        <v>45985</v>
      </c>
      <c r="D696" t="inlineStr">
        <is>
          <t>VÄSTMANLANDS LÄN</t>
        </is>
      </c>
      <c r="E696" t="inlineStr">
        <is>
          <t>SALA</t>
        </is>
      </c>
      <c r="F696" t="inlineStr">
        <is>
          <t>Kyrkan</t>
        </is>
      </c>
      <c r="G696" t="n">
        <v>7.6</v>
      </c>
      <c r="H696" t="n">
        <v>0</v>
      </c>
      <c r="I696" t="n">
        <v>0</v>
      </c>
      <c r="J696" t="n">
        <v>0</v>
      </c>
      <c r="K696" t="n">
        <v>0</v>
      </c>
      <c r="L696" t="n">
        <v>0</v>
      </c>
      <c r="M696" t="n">
        <v>0</v>
      </c>
      <c r="N696" t="n">
        <v>0</v>
      </c>
      <c r="O696" t="n">
        <v>0</v>
      </c>
      <c r="P696" t="n">
        <v>0</v>
      </c>
      <c r="Q696" t="n">
        <v>0</v>
      </c>
      <c r="R696" s="2" t="inlineStr"/>
    </row>
    <row r="697" ht="15" customHeight="1">
      <c r="A697" t="inlineStr">
        <is>
          <t>A 23431-2024</t>
        </is>
      </c>
      <c r="B697" s="1" t="n">
        <v>45453</v>
      </c>
      <c r="C697" s="1" t="n">
        <v>45985</v>
      </c>
      <c r="D697" t="inlineStr">
        <is>
          <t>VÄSTMANLANDS LÄN</t>
        </is>
      </c>
      <c r="E697" t="inlineStr">
        <is>
          <t>SALA</t>
        </is>
      </c>
      <c r="G697" t="n">
        <v>1.6</v>
      </c>
      <c r="H697" t="n">
        <v>0</v>
      </c>
      <c r="I697" t="n">
        <v>0</v>
      </c>
      <c r="J697" t="n">
        <v>0</v>
      </c>
      <c r="K697" t="n">
        <v>0</v>
      </c>
      <c r="L697" t="n">
        <v>0</v>
      </c>
      <c r="M697" t="n">
        <v>0</v>
      </c>
      <c r="N697" t="n">
        <v>0</v>
      </c>
      <c r="O697" t="n">
        <v>0</v>
      </c>
      <c r="P697" t="n">
        <v>0</v>
      </c>
      <c r="Q697" t="n">
        <v>0</v>
      </c>
      <c r="R697" s="2" t="inlineStr"/>
    </row>
    <row r="698" ht="15" customHeight="1">
      <c r="A698" t="inlineStr">
        <is>
          <t>A 21168-2025</t>
        </is>
      </c>
      <c r="B698" s="1" t="n">
        <v>45777</v>
      </c>
      <c r="C698" s="1" t="n">
        <v>45985</v>
      </c>
      <c r="D698" t="inlineStr">
        <is>
          <t>VÄSTMANLANDS LÄN</t>
        </is>
      </c>
      <c r="E698" t="inlineStr">
        <is>
          <t>SALA</t>
        </is>
      </c>
      <c r="G698" t="n">
        <v>4.5</v>
      </c>
      <c r="H698" t="n">
        <v>0</v>
      </c>
      <c r="I698" t="n">
        <v>0</v>
      </c>
      <c r="J698" t="n">
        <v>0</v>
      </c>
      <c r="K698" t="n">
        <v>0</v>
      </c>
      <c r="L698" t="n">
        <v>0</v>
      </c>
      <c r="M698" t="n">
        <v>0</v>
      </c>
      <c r="N698" t="n">
        <v>0</v>
      </c>
      <c r="O698" t="n">
        <v>0</v>
      </c>
      <c r="P698" t="n">
        <v>0</v>
      </c>
      <c r="Q698" t="n">
        <v>0</v>
      </c>
      <c r="R698" s="2" t="inlineStr"/>
    </row>
    <row r="699" ht="15" customHeight="1">
      <c r="A699" t="inlineStr">
        <is>
          <t>A 21751-2025</t>
        </is>
      </c>
      <c r="B699" s="1" t="n">
        <v>45783.61372685185</v>
      </c>
      <c r="C699" s="1" t="n">
        <v>45985</v>
      </c>
      <c r="D699" t="inlineStr">
        <is>
          <t>VÄSTMANLANDS LÄN</t>
        </is>
      </c>
      <c r="E699" t="inlineStr">
        <is>
          <t>SALA</t>
        </is>
      </c>
      <c r="G699" t="n">
        <v>1</v>
      </c>
      <c r="H699" t="n">
        <v>0</v>
      </c>
      <c r="I699" t="n">
        <v>0</v>
      </c>
      <c r="J699" t="n">
        <v>0</v>
      </c>
      <c r="K699" t="n">
        <v>0</v>
      </c>
      <c r="L699" t="n">
        <v>0</v>
      </c>
      <c r="M699" t="n">
        <v>0</v>
      </c>
      <c r="N699" t="n">
        <v>0</v>
      </c>
      <c r="O699" t="n">
        <v>0</v>
      </c>
      <c r="P699" t="n">
        <v>0</v>
      </c>
      <c r="Q699" t="n">
        <v>0</v>
      </c>
      <c r="R699" s="2" t="inlineStr"/>
    </row>
    <row r="700" ht="15" customHeight="1">
      <c r="A700" t="inlineStr">
        <is>
          <t>A 21754-2025</t>
        </is>
      </c>
      <c r="B700" s="1" t="n">
        <v>45783.61837962963</v>
      </c>
      <c r="C700" s="1" t="n">
        <v>45985</v>
      </c>
      <c r="D700" t="inlineStr">
        <is>
          <t>VÄSTMANLANDS LÄN</t>
        </is>
      </c>
      <c r="E700" t="inlineStr">
        <is>
          <t>SALA</t>
        </is>
      </c>
      <c r="G700" t="n">
        <v>8.699999999999999</v>
      </c>
      <c r="H700" t="n">
        <v>0</v>
      </c>
      <c r="I700" t="n">
        <v>0</v>
      </c>
      <c r="J700" t="n">
        <v>0</v>
      </c>
      <c r="K700" t="n">
        <v>0</v>
      </c>
      <c r="L700" t="n">
        <v>0</v>
      </c>
      <c r="M700" t="n">
        <v>0</v>
      </c>
      <c r="N700" t="n">
        <v>0</v>
      </c>
      <c r="O700" t="n">
        <v>0</v>
      </c>
      <c r="P700" t="n">
        <v>0</v>
      </c>
      <c r="Q700" t="n">
        <v>0</v>
      </c>
      <c r="R700" s="2" t="inlineStr"/>
    </row>
    <row r="701">
      <c r="A701" t="inlineStr">
        <is>
          <t>A 37587-2024</t>
        </is>
      </c>
      <c r="B701" s="1" t="n">
        <v>45541</v>
      </c>
      <c r="C701" s="1" t="n">
        <v>45985</v>
      </c>
      <c r="D701" t="inlineStr">
        <is>
          <t>VÄSTMANLANDS LÄN</t>
        </is>
      </c>
      <c r="E701" t="inlineStr">
        <is>
          <t>SALA</t>
        </is>
      </c>
      <c r="G701" t="n">
        <v>1.2</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2025-11-24T10:18:10Z</dcterms:created>
  <dcterms:modified xmlns:dcterms="http://purl.org/dc/terms/" xmlns:xsi="http://www.w3.org/2001/XMLSchema-instance" xsi:type="dcterms:W3CDTF">2025-11-24T10:18:10Z</dcterms:modified>
</cp:coreProperties>
</file>