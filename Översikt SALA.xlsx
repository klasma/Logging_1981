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46073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46073</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46073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46073</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46073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46073</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46073</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27488-2023</t>
        </is>
      </c>
      <c r="B16" s="1" t="n">
        <v>45097</v>
      </c>
      <c r="C16" s="1" t="n">
        <v>46073</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46073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46073</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3567-2024</t>
        </is>
      </c>
      <c r="B19" s="1" t="n">
        <v>45320.63706018519</v>
      </c>
      <c r="C19" s="1" t="n">
        <v>46073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34065-2025</t>
        </is>
      </c>
      <c r="B20" s="1" t="n">
        <v>45845.42806712963</v>
      </c>
      <c r="C20" s="1" t="n">
        <v>46073</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53019-2024</t>
        </is>
      </c>
      <c r="B21" s="1" t="n">
        <v>45610</v>
      </c>
      <c r="C21" s="1" t="n">
        <v>46073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47475-2024</t>
        </is>
      </c>
      <c r="B22" s="1" t="n">
        <v>45587.57552083334</v>
      </c>
      <c r="C22" s="1" t="n">
        <v>46073</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3930-2026</t>
        </is>
      </c>
      <c r="B23" s="1" t="n">
        <v>46043</v>
      </c>
      <c r="C23" s="1" t="n">
        <v>46073</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62768-2021</t>
        </is>
      </c>
      <c r="B24" s="1" t="n">
        <v>44504</v>
      </c>
      <c r="C24" s="1" t="n">
        <v>46073</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46073</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46073</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46073</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46073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46073</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53048-2025</t>
        </is>
      </c>
      <c r="B31" s="1" t="n">
        <v>45958.36018518519</v>
      </c>
      <c r="C31" s="1" t="n">
        <v>46073</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46073</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12444-2024</t>
        </is>
      </c>
      <c r="B33" s="1" t="n">
        <v>45379.46285879629</v>
      </c>
      <c r="C33" s="1" t="n">
        <v>46073</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59826-2025</t>
        </is>
      </c>
      <c r="B34" s="1" t="n">
        <v>45992.65416666667</v>
      </c>
      <c r="C34" s="1" t="n">
        <v>46073</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13029-2023</t>
        </is>
      </c>
      <c r="B35" s="1" t="n">
        <v>45001</v>
      </c>
      <c r="C35" s="1" t="n">
        <v>46073</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63584-2025</t>
        </is>
      </c>
      <c r="B36" s="1" t="n">
        <v>46013.77002314815</v>
      </c>
      <c r="C36" s="1" t="n">
        <v>46073</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46073</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15102-2025</t>
        </is>
      </c>
      <c r="B38" s="1" t="n">
        <v>45744.34585648148</v>
      </c>
      <c r="C38" s="1" t="n">
        <v>46073</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46073</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46073</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46073</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38255-2025</t>
        </is>
      </c>
      <c r="B42" s="1" t="n">
        <v>45883.38020833334</v>
      </c>
      <c r="C42" s="1" t="n">
        <v>46073</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48705-2025</t>
        </is>
      </c>
      <c r="B43" s="1" t="n">
        <v>45936.62290509259</v>
      </c>
      <c r="C43" s="1" t="n">
        <v>46073</v>
      </c>
      <c r="D43" t="inlineStr">
        <is>
          <t>VÄSTMANLANDS LÄN</t>
        </is>
      </c>
      <c r="E43" t="inlineStr">
        <is>
          <t>SALA</t>
        </is>
      </c>
      <c r="G43" t="n">
        <v>4.4</v>
      </c>
      <c r="H43" t="n">
        <v>1</v>
      </c>
      <c r="I43" t="n">
        <v>1</v>
      </c>
      <c r="J43" t="n">
        <v>0</v>
      </c>
      <c r="K43" t="n">
        <v>0</v>
      </c>
      <c r="L43" t="n">
        <v>0</v>
      </c>
      <c r="M43" t="n">
        <v>0</v>
      </c>
      <c r="N43" t="n">
        <v>0</v>
      </c>
      <c r="O43" t="n">
        <v>0</v>
      </c>
      <c r="P43" t="n">
        <v>0</v>
      </c>
      <c r="Q43" t="n">
        <v>1</v>
      </c>
      <c r="R43" s="2" t="inlineStr">
        <is>
          <t>Plattlummer</t>
        </is>
      </c>
      <c r="S43">
        <f>HYPERLINK("https://klasma.github.io/Logging_1981/artfynd/A 48705-2025 artfynd.xlsx", "A 48705-2025")</f>
        <v/>
      </c>
      <c r="T43">
        <f>HYPERLINK("https://klasma.github.io/Logging_1981/kartor/A 48705-2025 karta.png", "A 48705-2025")</f>
        <v/>
      </c>
      <c r="V43">
        <f>HYPERLINK("https://klasma.github.io/Logging_1981/klagomål/A 48705-2025 FSC-klagomål.docx", "A 48705-2025")</f>
        <v/>
      </c>
      <c r="W43">
        <f>HYPERLINK("https://klasma.github.io/Logging_1981/klagomålsmail/A 48705-2025 FSC-klagomål mail.docx", "A 48705-2025")</f>
        <v/>
      </c>
      <c r="X43">
        <f>HYPERLINK("https://klasma.github.io/Logging_1981/tillsyn/A 48705-2025 tillsynsbegäran.docx", "A 48705-2025")</f>
        <v/>
      </c>
      <c r="Y43">
        <f>HYPERLINK("https://klasma.github.io/Logging_1981/tillsynsmail/A 48705-2025 tillsynsbegäran mail.docx", "A 48705-2025")</f>
        <v/>
      </c>
    </row>
    <row r="44" ht="15" customHeight="1">
      <c r="A44" t="inlineStr">
        <is>
          <t>A 55550-2023</t>
        </is>
      </c>
      <c r="B44" s="1" t="n">
        <v>45232</v>
      </c>
      <c r="C44" s="1" t="n">
        <v>46073</v>
      </c>
      <c r="D44" t="inlineStr">
        <is>
          <t>VÄSTMANLANDS LÄN</t>
        </is>
      </c>
      <c r="E44" t="inlineStr">
        <is>
          <t>SALA</t>
        </is>
      </c>
      <c r="G44" t="n">
        <v>9.9</v>
      </c>
      <c r="H44" t="n">
        <v>1</v>
      </c>
      <c r="I44" t="n">
        <v>0</v>
      </c>
      <c r="J44" t="n">
        <v>0</v>
      </c>
      <c r="K44" t="n">
        <v>1</v>
      </c>
      <c r="L44" t="n">
        <v>0</v>
      </c>
      <c r="M44" t="n">
        <v>0</v>
      </c>
      <c r="N44" t="n">
        <v>0</v>
      </c>
      <c r="O44" t="n">
        <v>1</v>
      </c>
      <c r="P44" t="n">
        <v>1</v>
      </c>
      <c r="Q44" t="n">
        <v>1</v>
      </c>
      <c r="R44" s="2" t="inlineStr">
        <is>
          <t>Knärot</t>
        </is>
      </c>
      <c r="S44">
        <f>HYPERLINK("https://klasma.github.io/Logging_1981/artfynd/A 55550-2023 artfynd.xlsx", "A 55550-2023")</f>
        <v/>
      </c>
      <c r="T44">
        <f>HYPERLINK("https://klasma.github.io/Logging_1981/kartor/A 55550-2023 karta.png", "A 55550-2023")</f>
        <v/>
      </c>
      <c r="U44">
        <f>HYPERLINK("https://klasma.github.io/Logging_1981/knärot/A 55550-2023 karta knärot.png", "A 55550-2023")</f>
        <v/>
      </c>
      <c r="V44">
        <f>HYPERLINK("https://klasma.github.io/Logging_1981/klagomål/A 55550-2023 FSC-klagomål.docx", "A 55550-2023")</f>
        <v/>
      </c>
      <c r="W44">
        <f>HYPERLINK("https://klasma.github.io/Logging_1981/klagomålsmail/A 55550-2023 FSC-klagomål mail.docx", "A 55550-2023")</f>
        <v/>
      </c>
      <c r="X44">
        <f>HYPERLINK("https://klasma.github.io/Logging_1981/tillsyn/A 55550-2023 tillsynsbegäran.docx", "A 55550-2023")</f>
        <v/>
      </c>
      <c r="Y44">
        <f>HYPERLINK("https://klasma.github.io/Logging_1981/tillsynsmail/A 55550-2023 tillsynsbegäran mail.docx", "A 55550-2023")</f>
        <v/>
      </c>
    </row>
    <row r="45" ht="15" customHeight="1">
      <c r="A45" t="inlineStr">
        <is>
          <t>A 21738-2025</t>
        </is>
      </c>
      <c r="B45" s="1" t="n">
        <v>45783.59173611111</v>
      </c>
      <c r="C45" s="1" t="n">
        <v>46073</v>
      </c>
      <c r="D45" t="inlineStr">
        <is>
          <t>VÄSTMANLANDS LÄN</t>
        </is>
      </c>
      <c r="E45" t="inlineStr">
        <is>
          <t>SALA</t>
        </is>
      </c>
      <c r="G45" t="n">
        <v>2.1</v>
      </c>
      <c r="H45" t="n">
        <v>0</v>
      </c>
      <c r="I45" t="n">
        <v>0</v>
      </c>
      <c r="J45" t="n">
        <v>1</v>
      </c>
      <c r="K45" t="n">
        <v>0</v>
      </c>
      <c r="L45" t="n">
        <v>0</v>
      </c>
      <c r="M45" t="n">
        <v>0</v>
      </c>
      <c r="N45" t="n">
        <v>0</v>
      </c>
      <c r="O45" t="n">
        <v>1</v>
      </c>
      <c r="P45" t="n">
        <v>0</v>
      </c>
      <c r="Q45" t="n">
        <v>1</v>
      </c>
      <c r="R45" s="2" t="inlineStr">
        <is>
          <t>Motaggsvamp</t>
        </is>
      </c>
      <c r="S45">
        <f>HYPERLINK("https://klasma.github.io/Logging_1981/artfynd/A 21738-2025 artfynd.xlsx", "A 21738-2025")</f>
        <v/>
      </c>
      <c r="T45">
        <f>HYPERLINK("https://klasma.github.io/Logging_1981/kartor/A 21738-2025 karta.png", "A 21738-2025")</f>
        <v/>
      </c>
      <c r="V45">
        <f>HYPERLINK("https://klasma.github.io/Logging_1981/klagomål/A 21738-2025 FSC-klagomål.docx", "A 21738-2025")</f>
        <v/>
      </c>
      <c r="W45">
        <f>HYPERLINK("https://klasma.github.io/Logging_1981/klagomålsmail/A 21738-2025 FSC-klagomål mail.docx", "A 21738-2025")</f>
        <v/>
      </c>
      <c r="X45">
        <f>HYPERLINK("https://klasma.github.io/Logging_1981/tillsyn/A 21738-2025 tillsynsbegäran.docx", "A 21738-2025")</f>
        <v/>
      </c>
      <c r="Y45">
        <f>HYPERLINK("https://klasma.github.io/Logging_1981/tillsynsmail/A 21738-2025 tillsynsbegäran mail.docx", "A 21738-2025")</f>
        <v/>
      </c>
    </row>
    <row r="46" ht="15" customHeight="1">
      <c r="A46" t="inlineStr">
        <is>
          <t>A 60852-2024</t>
        </is>
      </c>
      <c r="B46" s="1" t="n">
        <v>45644</v>
      </c>
      <c r="C46" s="1" t="n">
        <v>46073</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56704-2022</t>
        </is>
      </c>
      <c r="B47" s="1" t="n">
        <v>44893.78075231481</v>
      </c>
      <c r="C47" s="1" t="n">
        <v>46073</v>
      </c>
      <c r="D47" t="inlineStr">
        <is>
          <t>VÄSTMANLANDS LÄN</t>
        </is>
      </c>
      <c r="E47" t="inlineStr">
        <is>
          <t>SALA</t>
        </is>
      </c>
      <c r="G47" t="n">
        <v>3.2</v>
      </c>
      <c r="H47" t="n">
        <v>1</v>
      </c>
      <c r="I47" t="n">
        <v>0</v>
      </c>
      <c r="J47" t="n">
        <v>0</v>
      </c>
      <c r="K47" t="n">
        <v>1</v>
      </c>
      <c r="L47" t="n">
        <v>0</v>
      </c>
      <c r="M47" t="n">
        <v>0</v>
      </c>
      <c r="N47" t="n">
        <v>0</v>
      </c>
      <c r="O47" t="n">
        <v>1</v>
      </c>
      <c r="P47" t="n">
        <v>1</v>
      </c>
      <c r="Q47" t="n">
        <v>1</v>
      </c>
      <c r="R47" s="2" t="inlineStr">
        <is>
          <t>Knärot</t>
        </is>
      </c>
      <c r="S47">
        <f>HYPERLINK("https://klasma.github.io/Logging_1981/artfynd/A 56704-2022 artfynd.xlsx", "A 56704-2022")</f>
        <v/>
      </c>
      <c r="T47">
        <f>HYPERLINK("https://klasma.github.io/Logging_1981/kartor/A 56704-2022 karta.png", "A 56704-2022")</f>
        <v/>
      </c>
      <c r="U47">
        <f>HYPERLINK("https://klasma.github.io/Logging_1981/knärot/A 56704-2022 karta knärot.png", "A 56704-2022")</f>
        <v/>
      </c>
      <c r="V47">
        <f>HYPERLINK("https://klasma.github.io/Logging_1981/klagomål/A 56704-2022 FSC-klagomål.docx", "A 56704-2022")</f>
        <v/>
      </c>
      <c r="W47">
        <f>HYPERLINK("https://klasma.github.io/Logging_1981/klagomålsmail/A 56704-2022 FSC-klagomål mail.docx", "A 56704-2022")</f>
        <v/>
      </c>
      <c r="X47">
        <f>HYPERLINK("https://klasma.github.io/Logging_1981/tillsyn/A 56704-2022 tillsynsbegäran.docx", "A 56704-2022")</f>
        <v/>
      </c>
      <c r="Y47">
        <f>HYPERLINK("https://klasma.github.io/Logging_1981/tillsynsmail/A 56704-2022 tillsynsbegäran mail.docx", "A 56704-2022")</f>
        <v/>
      </c>
    </row>
    <row r="48" ht="15" customHeight="1">
      <c r="A48" t="inlineStr">
        <is>
          <t>A 22950-2025</t>
        </is>
      </c>
      <c r="B48" s="1" t="n">
        <v>45790.50728009259</v>
      </c>
      <c r="C48" s="1" t="n">
        <v>46073</v>
      </c>
      <c r="D48" t="inlineStr">
        <is>
          <t>VÄSTMANLANDS LÄN</t>
        </is>
      </c>
      <c r="E48" t="inlineStr">
        <is>
          <t>SALA</t>
        </is>
      </c>
      <c r="G48" t="n">
        <v>6.2</v>
      </c>
      <c r="H48" t="n">
        <v>1</v>
      </c>
      <c r="I48" t="n">
        <v>0</v>
      </c>
      <c r="J48" t="n">
        <v>1</v>
      </c>
      <c r="K48" t="n">
        <v>0</v>
      </c>
      <c r="L48" t="n">
        <v>0</v>
      </c>
      <c r="M48" t="n">
        <v>0</v>
      </c>
      <c r="N48" t="n">
        <v>0</v>
      </c>
      <c r="O48" t="n">
        <v>1</v>
      </c>
      <c r="P48" t="n">
        <v>0</v>
      </c>
      <c r="Q48" t="n">
        <v>1</v>
      </c>
      <c r="R48" s="2" t="inlineStr">
        <is>
          <t>Svartvit flugsnappare</t>
        </is>
      </c>
      <c r="S48">
        <f>HYPERLINK("https://klasma.github.io/Logging_1981/artfynd/A 22950-2025 artfynd.xlsx", "A 22950-2025")</f>
        <v/>
      </c>
      <c r="T48">
        <f>HYPERLINK("https://klasma.github.io/Logging_1981/kartor/A 22950-2025 karta.png", "A 22950-2025")</f>
        <v/>
      </c>
      <c r="V48">
        <f>HYPERLINK("https://klasma.github.io/Logging_1981/klagomål/A 22950-2025 FSC-klagomål.docx", "A 22950-2025")</f>
        <v/>
      </c>
      <c r="W48">
        <f>HYPERLINK("https://klasma.github.io/Logging_1981/klagomålsmail/A 22950-2025 FSC-klagomål mail.docx", "A 22950-2025")</f>
        <v/>
      </c>
      <c r="X48">
        <f>HYPERLINK("https://klasma.github.io/Logging_1981/tillsyn/A 22950-2025 tillsynsbegäran.docx", "A 22950-2025")</f>
        <v/>
      </c>
      <c r="Y48">
        <f>HYPERLINK("https://klasma.github.io/Logging_1981/tillsynsmail/A 22950-2025 tillsynsbegäran mail.docx", "A 22950-2025")</f>
        <v/>
      </c>
      <c r="Z48">
        <f>HYPERLINK("https://klasma.github.io/Logging_1981/fåglar/A 22950-2025 prioriterade fågelarter.docx", "A 22950-2025")</f>
        <v/>
      </c>
    </row>
    <row r="49" ht="15" customHeight="1">
      <c r="A49" t="inlineStr">
        <is>
          <t>A 50268-2025</t>
        </is>
      </c>
      <c r="B49" s="1" t="n">
        <v>45944.35162037037</v>
      </c>
      <c r="C49" s="1" t="n">
        <v>46073</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53052-2025</t>
        </is>
      </c>
      <c r="B50" s="1" t="n">
        <v>45958.36266203703</v>
      </c>
      <c r="C50" s="1" t="n">
        <v>46073</v>
      </c>
      <c r="D50" t="inlineStr">
        <is>
          <t>VÄSTMANLANDS LÄN</t>
        </is>
      </c>
      <c r="E50" t="inlineStr">
        <is>
          <t>SALA</t>
        </is>
      </c>
      <c r="F50" t="inlineStr">
        <is>
          <t>Sveaskog</t>
        </is>
      </c>
      <c r="G50" t="n">
        <v>1.1</v>
      </c>
      <c r="H50" t="n">
        <v>0</v>
      </c>
      <c r="I50" t="n">
        <v>0</v>
      </c>
      <c r="J50" t="n">
        <v>1</v>
      </c>
      <c r="K50" t="n">
        <v>0</v>
      </c>
      <c r="L50" t="n">
        <v>0</v>
      </c>
      <c r="M50" t="n">
        <v>0</v>
      </c>
      <c r="N50" t="n">
        <v>0</v>
      </c>
      <c r="O50" t="n">
        <v>1</v>
      </c>
      <c r="P50" t="n">
        <v>0</v>
      </c>
      <c r="Q50" t="n">
        <v>1</v>
      </c>
      <c r="R50" s="2" t="inlineStr">
        <is>
          <t>Motaggsvamp</t>
        </is>
      </c>
      <c r="S50">
        <f>HYPERLINK("https://klasma.github.io/Logging_1981/artfynd/A 53052-2025 artfynd.xlsx", "A 53052-2025")</f>
        <v/>
      </c>
      <c r="T50">
        <f>HYPERLINK("https://klasma.github.io/Logging_1981/kartor/A 53052-2025 karta.png", "A 53052-2025")</f>
        <v/>
      </c>
      <c r="V50">
        <f>HYPERLINK("https://klasma.github.io/Logging_1981/klagomål/A 53052-2025 FSC-klagomål.docx", "A 53052-2025")</f>
        <v/>
      </c>
      <c r="W50">
        <f>HYPERLINK("https://klasma.github.io/Logging_1981/klagomålsmail/A 53052-2025 FSC-klagomål mail.docx", "A 53052-2025")</f>
        <v/>
      </c>
      <c r="X50">
        <f>HYPERLINK("https://klasma.github.io/Logging_1981/tillsyn/A 53052-2025 tillsynsbegäran.docx", "A 53052-2025")</f>
        <v/>
      </c>
      <c r="Y50">
        <f>HYPERLINK("https://klasma.github.io/Logging_1981/tillsynsmail/A 53052-2025 tillsynsbegäran mail.docx", "A 53052-2025")</f>
        <v/>
      </c>
    </row>
    <row r="51" ht="15" customHeight="1">
      <c r="A51" t="inlineStr">
        <is>
          <t>A 43175-2023</t>
        </is>
      </c>
      <c r="B51" s="1" t="n">
        <v>45183</v>
      </c>
      <c r="C51" s="1" t="n">
        <v>46073</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55995-2025</t>
        </is>
      </c>
      <c r="B52" s="1" t="n">
        <v>45973.56733796297</v>
      </c>
      <c r="C52" s="1" t="n">
        <v>46073</v>
      </c>
      <c r="D52" t="inlineStr">
        <is>
          <t>VÄSTMANLANDS LÄN</t>
        </is>
      </c>
      <c r="E52" t="inlineStr">
        <is>
          <t>SALA</t>
        </is>
      </c>
      <c r="F52" t="inlineStr">
        <is>
          <t>Sveaskog</t>
        </is>
      </c>
      <c r="G52" t="n">
        <v>4.5</v>
      </c>
      <c r="H52" t="n">
        <v>1</v>
      </c>
      <c r="I52" t="n">
        <v>0</v>
      </c>
      <c r="J52" t="n">
        <v>0</v>
      </c>
      <c r="K52" t="n">
        <v>0</v>
      </c>
      <c r="L52" t="n">
        <v>0</v>
      </c>
      <c r="M52" t="n">
        <v>0</v>
      </c>
      <c r="N52" t="n">
        <v>0</v>
      </c>
      <c r="O52" t="n">
        <v>0</v>
      </c>
      <c r="P52" t="n">
        <v>0</v>
      </c>
      <c r="Q52" t="n">
        <v>1</v>
      </c>
      <c r="R52" s="2" t="inlineStr">
        <is>
          <t>Fläcknycklar</t>
        </is>
      </c>
      <c r="S52">
        <f>HYPERLINK("https://klasma.github.io/Logging_1981/artfynd/A 55995-2025 artfynd.xlsx", "A 55995-2025")</f>
        <v/>
      </c>
      <c r="T52">
        <f>HYPERLINK("https://klasma.github.io/Logging_1981/kartor/A 55995-2025 karta.png", "A 55995-2025")</f>
        <v/>
      </c>
      <c r="V52">
        <f>HYPERLINK("https://klasma.github.io/Logging_1981/klagomål/A 55995-2025 FSC-klagomål.docx", "A 55995-2025")</f>
        <v/>
      </c>
      <c r="W52">
        <f>HYPERLINK("https://klasma.github.io/Logging_1981/klagomålsmail/A 55995-2025 FSC-klagomål mail.docx", "A 55995-2025")</f>
        <v/>
      </c>
      <c r="X52">
        <f>HYPERLINK("https://klasma.github.io/Logging_1981/tillsyn/A 55995-2025 tillsynsbegäran.docx", "A 55995-2025")</f>
        <v/>
      </c>
      <c r="Y52">
        <f>HYPERLINK("https://klasma.github.io/Logging_1981/tillsynsmail/A 55995-2025 tillsynsbegäran mail.docx", "A 55995-2025")</f>
        <v/>
      </c>
    </row>
    <row r="53" ht="15" customHeight="1">
      <c r="A53" t="inlineStr">
        <is>
          <t>A 41270-2024</t>
        </is>
      </c>
      <c r="B53" s="1" t="n">
        <v>45559</v>
      </c>
      <c r="C53" s="1" t="n">
        <v>46073</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32594-2025</t>
        </is>
      </c>
      <c r="B54" s="1" t="n">
        <v>45838</v>
      </c>
      <c r="C54" s="1" t="n">
        <v>46073</v>
      </c>
      <c r="D54" t="inlineStr">
        <is>
          <t>VÄSTMANLANDS LÄN</t>
        </is>
      </c>
      <c r="E54" t="inlineStr">
        <is>
          <t>SALA</t>
        </is>
      </c>
      <c r="F54" t="inlineStr">
        <is>
          <t>Bergvik skog öst AB</t>
        </is>
      </c>
      <c r="G54" t="n">
        <v>0.9</v>
      </c>
      <c r="H54" t="n">
        <v>1</v>
      </c>
      <c r="I54" t="n">
        <v>0</v>
      </c>
      <c r="J54" t="n">
        <v>0</v>
      </c>
      <c r="K54" t="n">
        <v>0</v>
      </c>
      <c r="L54" t="n">
        <v>0</v>
      </c>
      <c r="M54" t="n">
        <v>0</v>
      </c>
      <c r="N54" t="n">
        <v>0</v>
      </c>
      <c r="O54" t="n">
        <v>0</v>
      </c>
      <c r="P54" t="n">
        <v>0</v>
      </c>
      <c r="Q54" t="n">
        <v>1</v>
      </c>
      <c r="R54" s="2" t="inlineStr">
        <is>
          <t>Blåsippa</t>
        </is>
      </c>
      <c r="S54">
        <f>HYPERLINK("https://klasma.github.io/Logging_1981/artfynd/A 32594-2025 artfynd.xlsx", "A 32594-2025")</f>
        <v/>
      </c>
      <c r="T54">
        <f>HYPERLINK("https://klasma.github.io/Logging_1981/kartor/A 32594-2025 karta.png", "A 32594-2025")</f>
        <v/>
      </c>
      <c r="V54">
        <f>HYPERLINK("https://klasma.github.io/Logging_1981/klagomål/A 32594-2025 FSC-klagomål.docx", "A 32594-2025")</f>
        <v/>
      </c>
      <c r="W54">
        <f>HYPERLINK("https://klasma.github.io/Logging_1981/klagomålsmail/A 32594-2025 FSC-klagomål mail.docx", "A 32594-2025")</f>
        <v/>
      </c>
      <c r="X54">
        <f>HYPERLINK("https://klasma.github.io/Logging_1981/tillsyn/A 32594-2025 tillsynsbegäran.docx", "A 32594-2025")</f>
        <v/>
      </c>
      <c r="Y54">
        <f>HYPERLINK("https://klasma.github.io/Logging_1981/tillsynsmail/A 32594-2025 tillsynsbegäran mail.docx", "A 32594-2025")</f>
        <v/>
      </c>
    </row>
    <row r="55" ht="15" customHeight="1">
      <c r="A55" t="inlineStr">
        <is>
          <t>A 22350-2024</t>
        </is>
      </c>
      <c r="B55" s="1" t="n">
        <v>45446</v>
      </c>
      <c r="C55" s="1" t="n">
        <v>46073</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43068-2024</t>
        </is>
      </c>
      <c r="B56" s="1" t="n">
        <v>45567</v>
      </c>
      <c r="C56" s="1" t="n">
        <v>46073</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7731-2023</t>
        </is>
      </c>
      <c r="B57" s="1" t="n">
        <v>44973</v>
      </c>
      <c r="C57" s="1" t="n">
        <v>46073</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12509-2023</t>
        </is>
      </c>
      <c r="B58" s="1" t="n">
        <v>44999.95988425926</v>
      </c>
      <c r="C58" s="1" t="n">
        <v>46073</v>
      </c>
      <c r="D58" t="inlineStr">
        <is>
          <t>VÄSTMANLANDS LÄN</t>
        </is>
      </c>
      <c r="E58" t="inlineStr">
        <is>
          <t>SALA</t>
        </is>
      </c>
      <c r="G58" t="n">
        <v>13.9</v>
      </c>
      <c r="H58" t="n">
        <v>1</v>
      </c>
      <c r="I58" t="n">
        <v>0</v>
      </c>
      <c r="J58" t="n">
        <v>0</v>
      </c>
      <c r="K58" t="n">
        <v>0</v>
      </c>
      <c r="L58" t="n">
        <v>0</v>
      </c>
      <c r="M58" t="n">
        <v>0</v>
      </c>
      <c r="N58" t="n">
        <v>0</v>
      </c>
      <c r="O58" t="n">
        <v>0</v>
      </c>
      <c r="P58" t="n">
        <v>0</v>
      </c>
      <c r="Q58" t="n">
        <v>1</v>
      </c>
      <c r="R58" s="2" t="inlineStr">
        <is>
          <t>Grönvit nattviol</t>
        </is>
      </c>
      <c r="S58">
        <f>HYPERLINK("https://klasma.github.io/Logging_1981/artfynd/A 12509-2023 artfynd.xlsx", "A 12509-2023")</f>
        <v/>
      </c>
      <c r="T58">
        <f>HYPERLINK("https://klasma.github.io/Logging_1981/kartor/A 12509-2023 karta.png", "A 12509-2023")</f>
        <v/>
      </c>
      <c r="V58">
        <f>HYPERLINK("https://klasma.github.io/Logging_1981/klagomål/A 12509-2023 FSC-klagomål.docx", "A 12509-2023")</f>
        <v/>
      </c>
      <c r="W58">
        <f>HYPERLINK("https://klasma.github.io/Logging_1981/klagomålsmail/A 12509-2023 FSC-klagomål mail.docx", "A 12509-2023")</f>
        <v/>
      </c>
      <c r="X58">
        <f>HYPERLINK("https://klasma.github.io/Logging_1981/tillsyn/A 12509-2023 tillsynsbegäran.docx", "A 12509-2023")</f>
        <v/>
      </c>
      <c r="Y58">
        <f>HYPERLINK("https://klasma.github.io/Logging_1981/tillsynsmail/A 12509-2023 tillsynsbegäran mail.docx", "A 12509-2023")</f>
        <v/>
      </c>
    </row>
    <row r="59" ht="15" customHeight="1">
      <c r="A59" t="inlineStr">
        <is>
          <t>A 14775-2023</t>
        </is>
      </c>
      <c r="B59" s="1" t="n">
        <v>45014</v>
      </c>
      <c r="C59" s="1" t="n">
        <v>46073</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19361-2025</t>
        </is>
      </c>
      <c r="B60" s="1" t="n">
        <v>45769.63357638889</v>
      </c>
      <c r="C60" s="1" t="n">
        <v>46073</v>
      </c>
      <c r="D60" t="inlineStr">
        <is>
          <t>VÄSTMANLANDS LÄN</t>
        </is>
      </c>
      <c r="E60" t="inlineStr">
        <is>
          <t>SALA</t>
        </is>
      </c>
      <c r="F60" t="inlineStr">
        <is>
          <t>Bergvik skog öst AB</t>
        </is>
      </c>
      <c r="G60" t="n">
        <v>8.9</v>
      </c>
      <c r="H60" t="n">
        <v>0</v>
      </c>
      <c r="I60" t="n">
        <v>0</v>
      </c>
      <c r="J60" t="n">
        <v>1</v>
      </c>
      <c r="K60" t="n">
        <v>0</v>
      </c>
      <c r="L60" t="n">
        <v>0</v>
      </c>
      <c r="M60" t="n">
        <v>0</v>
      </c>
      <c r="N60" t="n">
        <v>0</v>
      </c>
      <c r="O60" t="n">
        <v>1</v>
      </c>
      <c r="P60" t="n">
        <v>0</v>
      </c>
      <c r="Q60" t="n">
        <v>1</v>
      </c>
      <c r="R60" s="2" t="inlineStr">
        <is>
          <t>Garnlav</t>
        </is>
      </c>
      <c r="S60">
        <f>HYPERLINK("https://klasma.github.io/Logging_1981/artfynd/A 19361-2025 artfynd.xlsx", "A 19361-2025")</f>
        <v/>
      </c>
      <c r="T60">
        <f>HYPERLINK("https://klasma.github.io/Logging_1981/kartor/A 19361-2025 karta.png", "A 19361-2025")</f>
        <v/>
      </c>
      <c r="V60">
        <f>HYPERLINK("https://klasma.github.io/Logging_1981/klagomål/A 19361-2025 FSC-klagomål.docx", "A 19361-2025")</f>
        <v/>
      </c>
      <c r="W60">
        <f>HYPERLINK("https://klasma.github.io/Logging_1981/klagomålsmail/A 19361-2025 FSC-klagomål mail.docx", "A 19361-2025")</f>
        <v/>
      </c>
      <c r="X60">
        <f>HYPERLINK("https://klasma.github.io/Logging_1981/tillsyn/A 19361-2025 tillsynsbegäran.docx", "A 19361-2025")</f>
        <v/>
      </c>
      <c r="Y60">
        <f>HYPERLINK("https://klasma.github.io/Logging_1981/tillsynsmail/A 19361-2025 tillsynsbegäran mail.docx", "A 19361-2025")</f>
        <v/>
      </c>
    </row>
    <row r="61" ht="15" customHeight="1">
      <c r="A61" t="inlineStr">
        <is>
          <t>A 41570-2021</t>
        </is>
      </c>
      <c r="B61" s="1" t="n">
        <v>44425</v>
      </c>
      <c r="C61" s="1" t="n">
        <v>46073</v>
      </c>
      <c r="D61" t="inlineStr">
        <is>
          <t>VÄSTMANLANDS LÄN</t>
        </is>
      </c>
      <c r="E61" t="inlineStr">
        <is>
          <t>SALA</t>
        </is>
      </c>
      <c r="G61" t="n">
        <v>1.4</v>
      </c>
      <c r="H61" t="n">
        <v>0</v>
      </c>
      <c r="I61" t="n">
        <v>0</v>
      </c>
      <c r="J61" t="n">
        <v>1</v>
      </c>
      <c r="K61" t="n">
        <v>0</v>
      </c>
      <c r="L61" t="n">
        <v>0</v>
      </c>
      <c r="M61" t="n">
        <v>0</v>
      </c>
      <c r="N61" t="n">
        <v>0</v>
      </c>
      <c r="O61" t="n">
        <v>1</v>
      </c>
      <c r="P61" t="n">
        <v>0</v>
      </c>
      <c r="Q61" t="n">
        <v>1</v>
      </c>
      <c r="R61" s="2" t="inlineStr">
        <is>
          <t>Vedtrappmossa</t>
        </is>
      </c>
      <c r="S61">
        <f>HYPERLINK("https://klasma.github.io/Logging_1981/artfynd/A 41570-2021 artfynd.xlsx", "A 41570-2021")</f>
        <v/>
      </c>
      <c r="T61">
        <f>HYPERLINK("https://klasma.github.io/Logging_1981/kartor/A 41570-2021 karta.png", "A 41570-2021")</f>
        <v/>
      </c>
      <c r="V61">
        <f>HYPERLINK("https://klasma.github.io/Logging_1981/klagomål/A 41570-2021 FSC-klagomål.docx", "A 41570-2021")</f>
        <v/>
      </c>
      <c r="W61">
        <f>HYPERLINK("https://klasma.github.io/Logging_1981/klagomålsmail/A 41570-2021 FSC-klagomål mail.docx", "A 41570-2021")</f>
        <v/>
      </c>
      <c r="X61">
        <f>HYPERLINK("https://klasma.github.io/Logging_1981/tillsyn/A 41570-2021 tillsynsbegäran.docx", "A 41570-2021")</f>
        <v/>
      </c>
      <c r="Y61">
        <f>HYPERLINK("https://klasma.github.io/Logging_1981/tillsynsmail/A 41570-2021 tillsynsbegäran mail.docx", "A 41570-2021")</f>
        <v/>
      </c>
    </row>
    <row r="62" ht="15" customHeight="1">
      <c r="A62" t="inlineStr">
        <is>
          <t>A 7672-2026</t>
        </is>
      </c>
      <c r="B62" s="1" t="n">
        <v>46062.42077546296</v>
      </c>
      <c r="C62" s="1" t="n">
        <v>46073</v>
      </c>
      <c r="D62" t="inlineStr">
        <is>
          <t>VÄSTMANLANDS LÄN</t>
        </is>
      </c>
      <c r="E62" t="inlineStr">
        <is>
          <t>SALA</t>
        </is>
      </c>
      <c r="G62" t="n">
        <v>2.9</v>
      </c>
      <c r="H62" t="n">
        <v>1</v>
      </c>
      <c r="I62" t="n">
        <v>0</v>
      </c>
      <c r="J62" t="n">
        <v>0</v>
      </c>
      <c r="K62" t="n">
        <v>0</v>
      </c>
      <c r="L62" t="n">
        <v>0</v>
      </c>
      <c r="M62" t="n">
        <v>0</v>
      </c>
      <c r="N62" t="n">
        <v>0</v>
      </c>
      <c r="O62" t="n">
        <v>0</v>
      </c>
      <c r="P62" t="n">
        <v>0</v>
      </c>
      <c r="Q62" t="n">
        <v>1</v>
      </c>
      <c r="R62" s="2" t="inlineStr">
        <is>
          <t>Nattviol</t>
        </is>
      </c>
      <c r="S62">
        <f>HYPERLINK("https://klasma.github.io/Logging_1981/artfynd/A 7672-2026 artfynd.xlsx", "A 7672-2026")</f>
        <v/>
      </c>
      <c r="T62">
        <f>HYPERLINK("https://klasma.github.io/Logging_1981/kartor/A 7672-2026 karta.png", "A 7672-2026")</f>
        <v/>
      </c>
      <c r="V62">
        <f>HYPERLINK("https://klasma.github.io/Logging_1981/klagomål/A 7672-2026 FSC-klagomål.docx", "A 7672-2026")</f>
        <v/>
      </c>
      <c r="W62">
        <f>HYPERLINK("https://klasma.github.io/Logging_1981/klagomålsmail/A 7672-2026 FSC-klagomål mail.docx", "A 7672-2026")</f>
        <v/>
      </c>
      <c r="X62">
        <f>HYPERLINK("https://klasma.github.io/Logging_1981/tillsyn/A 7672-2026 tillsynsbegäran.docx", "A 7672-2026")</f>
        <v/>
      </c>
      <c r="Y62">
        <f>HYPERLINK("https://klasma.github.io/Logging_1981/tillsynsmail/A 7672-2026 tillsynsbegäran mail.docx", "A 7672-2026")</f>
        <v/>
      </c>
    </row>
    <row r="63" ht="15" customHeight="1">
      <c r="A63" t="inlineStr">
        <is>
          <t>A 37166-2024</t>
        </is>
      </c>
      <c r="B63" s="1" t="n">
        <v>45539</v>
      </c>
      <c r="C63" s="1" t="n">
        <v>46073</v>
      </c>
      <c r="D63" t="inlineStr">
        <is>
          <t>VÄSTMANLANDS LÄN</t>
        </is>
      </c>
      <c r="E63" t="inlineStr">
        <is>
          <t>SALA</t>
        </is>
      </c>
      <c r="G63" t="n">
        <v>1.3</v>
      </c>
      <c r="H63" t="n">
        <v>1</v>
      </c>
      <c r="I63" t="n">
        <v>0</v>
      </c>
      <c r="J63" t="n">
        <v>0</v>
      </c>
      <c r="K63" t="n">
        <v>1</v>
      </c>
      <c r="L63" t="n">
        <v>0</v>
      </c>
      <c r="M63" t="n">
        <v>0</v>
      </c>
      <c r="N63" t="n">
        <v>0</v>
      </c>
      <c r="O63" t="n">
        <v>1</v>
      </c>
      <c r="P63" t="n">
        <v>1</v>
      </c>
      <c r="Q63" t="n">
        <v>1</v>
      </c>
      <c r="R63" s="2" t="inlineStr">
        <is>
          <t>Knärot</t>
        </is>
      </c>
      <c r="S63">
        <f>HYPERLINK("https://klasma.github.io/Logging_1981/artfynd/A 37166-2024 artfynd.xlsx", "A 37166-2024")</f>
        <v/>
      </c>
      <c r="T63">
        <f>HYPERLINK("https://klasma.github.io/Logging_1981/kartor/A 37166-2024 karta.png", "A 37166-2024")</f>
        <v/>
      </c>
      <c r="U63">
        <f>HYPERLINK("https://klasma.github.io/Logging_1981/knärot/A 37166-2024 karta knärot.png", "A 37166-2024")</f>
        <v/>
      </c>
      <c r="V63">
        <f>HYPERLINK("https://klasma.github.io/Logging_1981/klagomål/A 37166-2024 FSC-klagomål.docx", "A 37166-2024")</f>
        <v/>
      </c>
      <c r="W63">
        <f>HYPERLINK("https://klasma.github.io/Logging_1981/klagomålsmail/A 37166-2024 FSC-klagomål mail.docx", "A 37166-2024")</f>
        <v/>
      </c>
      <c r="X63">
        <f>HYPERLINK("https://klasma.github.io/Logging_1981/tillsyn/A 37166-2024 tillsynsbegäran.docx", "A 37166-2024")</f>
        <v/>
      </c>
      <c r="Y63">
        <f>HYPERLINK("https://klasma.github.io/Logging_1981/tillsynsmail/A 37166-2024 tillsynsbegäran mail.docx", "A 37166-2024")</f>
        <v/>
      </c>
    </row>
    <row r="64" ht="15" customHeight="1">
      <c r="A64" t="inlineStr">
        <is>
          <t>A 29985-2022</t>
        </is>
      </c>
      <c r="B64" s="1" t="n">
        <v>44756</v>
      </c>
      <c r="C64" s="1" t="n">
        <v>46073</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7919-2022</t>
        </is>
      </c>
      <c r="B65" s="1" t="n">
        <v>44608</v>
      </c>
      <c r="C65" s="1" t="n">
        <v>46073</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29727-2023</t>
        </is>
      </c>
      <c r="B66" s="1" t="n">
        <v>45107</v>
      </c>
      <c r="C66" s="1" t="n">
        <v>46073</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66561-2021</t>
        </is>
      </c>
      <c r="B67" s="1" t="n">
        <v>44519.41648148148</v>
      </c>
      <c r="C67" s="1" t="n">
        <v>46073</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46073</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46073</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46073</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46073</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46073</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46073</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46073</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33762-2021</t>
        </is>
      </c>
      <c r="B75" s="1" t="n">
        <v>44378</v>
      </c>
      <c r="C75" s="1" t="n">
        <v>46073</v>
      </c>
      <c r="D75" t="inlineStr">
        <is>
          <t>VÄSTMANLANDS LÄN</t>
        </is>
      </c>
      <c r="E75" t="inlineStr">
        <is>
          <t>SALA</t>
        </is>
      </c>
      <c r="G75" t="n">
        <v>3.4</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46073</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46073</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46073</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46073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46073</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46073</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46073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46073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46073</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46073</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46073</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3050-2022</t>
        </is>
      </c>
      <c r="B88" s="1" t="n">
        <v>44582</v>
      </c>
      <c r="C88" s="1" t="n">
        <v>46073</v>
      </c>
      <c r="D88" t="inlineStr">
        <is>
          <t>VÄSTMANLANDS LÄN</t>
        </is>
      </c>
      <c r="E88" t="inlineStr">
        <is>
          <t>SALA</t>
        </is>
      </c>
      <c r="G88" t="n">
        <v>0.5</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46073</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46073</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46073</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46073</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46073</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46073</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46073</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46073</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46073</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46073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46073</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46073</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46073</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46073</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46073</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46073</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46073</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46073</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46073</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46073</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46073</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46073</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46073</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46073</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46073</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46073</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46073</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46073</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46073</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46073</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46073</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46073</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46073</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46073</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46073</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46073</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46073</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46073</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46073</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46073</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46073</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46073</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46073</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46073</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46073</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46073</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46073</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46073</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46073</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46073</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46073</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46073</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46073</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46073</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46073</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46073</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46073</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46073</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46073</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46073</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46073</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46073</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46073</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46073</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46073</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46073</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46073</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46073</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46073</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46073</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46073</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46073</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46073</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46073</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46073</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46073</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46073</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15354-2021</t>
        </is>
      </c>
      <c r="B180" s="1" t="n">
        <v>44284</v>
      </c>
      <c r="C180" s="1" t="n">
        <v>46073</v>
      </c>
      <c r="D180" t="inlineStr">
        <is>
          <t>VÄSTMANLANDS LÄN</t>
        </is>
      </c>
      <c r="E180" t="inlineStr">
        <is>
          <t>SALA</t>
        </is>
      </c>
      <c r="F180" t="inlineStr">
        <is>
          <t>Kyrkan</t>
        </is>
      </c>
      <c r="G180" t="n">
        <v>8.5</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46073</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16651-2021</t>
        </is>
      </c>
      <c r="B182" s="1" t="n">
        <v>44294.50096064815</v>
      </c>
      <c r="C182" s="1" t="n">
        <v>46073</v>
      </c>
      <c r="D182" t="inlineStr">
        <is>
          <t>VÄSTMANLANDS LÄN</t>
        </is>
      </c>
      <c r="E182" t="inlineStr">
        <is>
          <t>SALA</t>
        </is>
      </c>
      <c r="G182" t="n">
        <v>7.7</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46073</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56688-2024</t>
        </is>
      </c>
      <c r="B184" s="1" t="n">
        <v>45627.66478009259</v>
      </c>
      <c r="C184" s="1" t="n">
        <v>46073</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46073</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54959-2024</t>
        </is>
      </c>
      <c r="B186" s="1" t="n">
        <v>45619</v>
      </c>
      <c r="C186" s="1" t="n">
        <v>46073</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6134-2024</t>
        </is>
      </c>
      <c r="B187" s="1" t="n">
        <v>45337</v>
      </c>
      <c r="C187" s="1" t="n">
        <v>46073</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39597-2022</t>
        </is>
      </c>
      <c r="B188" s="1" t="n">
        <v>44818</v>
      </c>
      <c r="C188" s="1" t="n">
        <v>46073</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25860-2024</t>
        </is>
      </c>
      <c r="B189" s="1" t="n">
        <v>45467.46278935186</v>
      </c>
      <c r="C189" s="1" t="n">
        <v>46073</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48057-2025</t>
        </is>
      </c>
      <c r="B190" s="1" t="n">
        <v>45932.67947916667</v>
      </c>
      <c r="C190" s="1" t="n">
        <v>46073</v>
      </c>
      <c r="D190" t="inlineStr">
        <is>
          <t>VÄSTMANLANDS LÄN</t>
        </is>
      </c>
      <c r="E190" t="inlineStr">
        <is>
          <t>SALA</t>
        </is>
      </c>
      <c r="G190" t="n">
        <v>4.3</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46073</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73673-2021</t>
        </is>
      </c>
      <c r="B192" s="1" t="n">
        <v>44552.46501157407</v>
      </c>
      <c r="C192" s="1" t="n">
        <v>46073</v>
      </c>
      <c r="D192" t="inlineStr">
        <is>
          <t>VÄSTMANLANDS LÄN</t>
        </is>
      </c>
      <c r="E192" t="inlineStr">
        <is>
          <t>SALA</t>
        </is>
      </c>
      <c r="G192" t="n">
        <v>11.4</v>
      </c>
      <c r="H192" t="n">
        <v>0</v>
      </c>
      <c r="I192" t="n">
        <v>0</v>
      </c>
      <c r="J192" t="n">
        <v>0</v>
      </c>
      <c r="K192" t="n">
        <v>0</v>
      </c>
      <c r="L192" t="n">
        <v>0</v>
      </c>
      <c r="M192" t="n">
        <v>0</v>
      </c>
      <c r="N192" t="n">
        <v>0</v>
      </c>
      <c r="O192" t="n">
        <v>0</v>
      </c>
      <c r="P192" t="n">
        <v>0</v>
      </c>
      <c r="Q192" t="n">
        <v>0</v>
      </c>
      <c r="R192" s="2" t="inlineStr"/>
    </row>
    <row r="193" ht="15" customHeight="1">
      <c r="A193" t="inlineStr">
        <is>
          <t>A 47577-2025</t>
        </is>
      </c>
      <c r="B193" s="1" t="n">
        <v>45931.4047337963</v>
      </c>
      <c r="C193" s="1" t="n">
        <v>46073</v>
      </c>
      <c r="D193" t="inlineStr">
        <is>
          <t>VÄSTMANLANDS LÄN</t>
        </is>
      </c>
      <c r="E193" t="inlineStr">
        <is>
          <t>SALA</t>
        </is>
      </c>
      <c r="G193" t="n">
        <v>3.7</v>
      </c>
      <c r="H193" t="n">
        <v>0</v>
      </c>
      <c r="I193" t="n">
        <v>0</v>
      </c>
      <c r="J193" t="n">
        <v>0</v>
      </c>
      <c r="K193" t="n">
        <v>0</v>
      </c>
      <c r="L193" t="n">
        <v>0</v>
      </c>
      <c r="M193" t="n">
        <v>0</v>
      </c>
      <c r="N193" t="n">
        <v>0</v>
      </c>
      <c r="O193" t="n">
        <v>0</v>
      </c>
      <c r="P193" t="n">
        <v>0</v>
      </c>
      <c r="Q193" t="n">
        <v>0</v>
      </c>
      <c r="R193" s="2" t="inlineStr"/>
    </row>
    <row r="194" ht="15" customHeight="1">
      <c r="A194" t="inlineStr">
        <is>
          <t>A 38574-2025</t>
        </is>
      </c>
      <c r="B194" s="1" t="n">
        <v>45884.46390046296</v>
      </c>
      <c r="C194" s="1" t="n">
        <v>46073</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16651-2021</t>
        </is>
      </c>
      <c r="B195" s="1" t="n">
        <v>44294.50096064815</v>
      </c>
      <c r="C195" s="1" t="n">
        <v>46073</v>
      </c>
      <c r="D195" t="inlineStr">
        <is>
          <t>VÄSTMANLANDS LÄN</t>
        </is>
      </c>
      <c r="E195" t="inlineStr">
        <is>
          <t>SALA</t>
        </is>
      </c>
      <c r="G195" t="n">
        <v>7.7</v>
      </c>
      <c r="H195" t="n">
        <v>0</v>
      </c>
      <c r="I195" t="n">
        <v>0</v>
      </c>
      <c r="J195" t="n">
        <v>0</v>
      </c>
      <c r="K195" t="n">
        <v>0</v>
      </c>
      <c r="L195" t="n">
        <v>0</v>
      </c>
      <c r="M195" t="n">
        <v>0</v>
      </c>
      <c r="N195" t="n">
        <v>0</v>
      </c>
      <c r="O195" t="n">
        <v>0</v>
      </c>
      <c r="P195" t="n">
        <v>0</v>
      </c>
      <c r="Q195" t="n">
        <v>0</v>
      </c>
      <c r="R195" s="2" t="inlineStr"/>
    </row>
    <row r="196" ht="15" customHeight="1">
      <c r="A196" t="inlineStr">
        <is>
          <t>A 38294-2025</t>
        </is>
      </c>
      <c r="B196" s="1" t="n">
        <v>45883.44854166666</v>
      </c>
      <c r="C196" s="1" t="n">
        <v>46073</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2925-2024</t>
        </is>
      </c>
      <c r="B197" s="1" t="n">
        <v>45315.58909722222</v>
      </c>
      <c r="C197" s="1" t="n">
        <v>46073</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16160-2024</t>
        </is>
      </c>
      <c r="B198" s="1" t="n">
        <v>45406</v>
      </c>
      <c r="C198" s="1" t="n">
        <v>46073</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40597-2022</t>
        </is>
      </c>
      <c r="B199" s="1" t="n">
        <v>44823.84862268518</v>
      </c>
      <c r="C199" s="1" t="n">
        <v>46073</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44746-2024</t>
        </is>
      </c>
      <c r="B200" s="1" t="n">
        <v>45574.59813657407</v>
      </c>
      <c r="C200" s="1" t="n">
        <v>46073</v>
      </c>
      <c r="D200" t="inlineStr">
        <is>
          <t>VÄSTMANLANDS LÄN</t>
        </is>
      </c>
      <c r="E200" t="inlineStr">
        <is>
          <t>SALA</t>
        </is>
      </c>
      <c r="G200" t="n">
        <v>6.7</v>
      </c>
      <c r="H200" t="n">
        <v>0</v>
      </c>
      <c r="I200" t="n">
        <v>0</v>
      </c>
      <c r="J200" t="n">
        <v>0</v>
      </c>
      <c r="K200" t="n">
        <v>0</v>
      </c>
      <c r="L200" t="n">
        <v>0</v>
      </c>
      <c r="M200" t="n">
        <v>0</v>
      </c>
      <c r="N200" t="n">
        <v>0</v>
      </c>
      <c r="O200" t="n">
        <v>0</v>
      </c>
      <c r="P200" t="n">
        <v>0</v>
      </c>
      <c r="Q200" t="n">
        <v>0</v>
      </c>
      <c r="R200" s="2" t="inlineStr"/>
    </row>
    <row r="201" ht="15" customHeight="1">
      <c r="A201" t="inlineStr">
        <is>
          <t>A 7196-2025</t>
        </is>
      </c>
      <c r="B201" s="1" t="n">
        <v>45702</v>
      </c>
      <c r="C201" s="1" t="n">
        <v>46073</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6183-2025</t>
        </is>
      </c>
      <c r="B202" s="1" t="n">
        <v>45698</v>
      </c>
      <c r="C202" s="1" t="n">
        <v>46073</v>
      </c>
      <c r="D202" t="inlineStr">
        <is>
          <t>VÄSTMANLANDS LÄN</t>
        </is>
      </c>
      <c r="E202" t="inlineStr">
        <is>
          <t>SALA</t>
        </is>
      </c>
      <c r="F202" t="inlineStr">
        <is>
          <t>Bergvik skog öst AB</t>
        </is>
      </c>
      <c r="G202" t="n">
        <v>2.3</v>
      </c>
      <c r="H202" t="n">
        <v>0</v>
      </c>
      <c r="I202" t="n">
        <v>0</v>
      </c>
      <c r="J202" t="n">
        <v>0</v>
      </c>
      <c r="K202" t="n">
        <v>0</v>
      </c>
      <c r="L202" t="n">
        <v>0</v>
      </c>
      <c r="M202" t="n">
        <v>0</v>
      </c>
      <c r="N202" t="n">
        <v>0</v>
      </c>
      <c r="O202" t="n">
        <v>0</v>
      </c>
      <c r="P202" t="n">
        <v>0</v>
      </c>
      <c r="Q202" t="n">
        <v>0</v>
      </c>
      <c r="R202" s="2" t="inlineStr"/>
    </row>
    <row r="203" ht="15" customHeight="1">
      <c r="A203" t="inlineStr">
        <is>
          <t>A 44713-2023</t>
        </is>
      </c>
      <c r="B203" s="1" t="n">
        <v>45184</v>
      </c>
      <c r="C203" s="1" t="n">
        <v>46073</v>
      </c>
      <c r="D203" t="inlineStr">
        <is>
          <t>VÄSTMANLANDS LÄN</t>
        </is>
      </c>
      <c r="E203" t="inlineStr">
        <is>
          <t>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48710-2025</t>
        </is>
      </c>
      <c r="B204" s="1" t="n">
        <v>45936.63184027778</v>
      </c>
      <c r="C204" s="1" t="n">
        <v>46073</v>
      </c>
      <c r="D204" t="inlineStr">
        <is>
          <t>VÄSTMANLANDS LÄN</t>
        </is>
      </c>
      <c r="E204" t="inlineStr">
        <is>
          <t>SALA</t>
        </is>
      </c>
      <c r="G204" t="n">
        <v>2.7</v>
      </c>
      <c r="H204" t="n">
        <v>0</v>
      </c>
      <c r="I204" t="n">
        <v>0</v>
      </c>
      <c r="J204" t="n">
        <v>0</v>
      </c>
      <c r="K204" t="n">
        <v>0</v>
      </c>
      <c r="L204" t="n">
        <v>0</v>
      </c>
      <c r="M204" t="n">
        <v>0</v>
      </c>
      <c r="N204" t="n">
        <v>0</v>
      </c>
      <c r="O204" t="n">
        <v>0</v>
      </c>
      <c r="P204" t="n">
        <v>0</v>
      </c>
      <c r="Q204" t="n">
        <v>0</v>
      </c>
      <c r="R204" s="2" t="inlineStr"/>
    </row>
    <row r="205" ht="15" customHeight="1">
      <c r="A205" t="inlineStr">
        <is>
          <t>A 23431-2024</t>
        </is>
      </c>
      <c r="B205" s="1" t="n">
        <v>45453</v>
      </c>
      <c r="C205" s="1" t="n">
        <v>46073</v>
      </c>
      <c r="D205" t="inlineStr">
        <is>
          <t>VÄSTMANLANDS LÄN</t>
        </is>
      </c>
      <c r="E205" t="inlineStr">
        <is>
          <t>SALA</t>
        </is>
      </c>
      <c r="G205" t="n">
        <v>1.6</v>
      </c>
      <c r="H205" t="n">
        <v>0</v>
      </c>
      <c r="I205" t="n">
        <v>0</v>
      </c>
      <c r="J205" t="n">
        <v>0</v>
      </c>
      <c r="K205" t="n">
        <v>0</v>
      </c>
      <c r="L205" t="n">
        <v>0</v>
      </c>
      <c r="M205" t="n">
        <v>0</v>
      </c>
      <c r="N205" t="n">
        <v>0</v>
      </c>
      <c r="O205" t="n">
        <v>0</v>
      </c>
      <c r="P205" t="n">
        <v>0</v>
      </c>
      <c r="Q205" t="n">
        <v>0</v>
      </c>
      <c r="R205" s="2" t="inlineStr"/>
    </row>
    <row r="206" ht="15" customHeight="1">
      <c r="A206" t="inlineStr">
        <is>
          <t>A 40871-2021</t>
        </is>
      </c>
      <c r="B206" s="1" t="n">
        <v>44421</v>
      </c>
      <c r="C206" s="1" t="n">
        <v>46073</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19803-2024</t>
        </is>
      </c>
      <c r="B207" s="1" t="n">
        <v>45432</v>
      </c>
      <c r="C207" s="1" t="n">
        <v>46073</v>
      </c>
      <c r="D207" t="inlineStr">
        <is>
          <t>VÄSTMANLANDS LÄN</t>
        </is>
      </c>
      <c r="E207" t="inlineStr">
        <is>
          <t>SALA</t>
        </is>
      </c>
      <c r="G207" t="n">
        <v>3.1</v>
      </c>
      <c r="H207" t="n">
        <v>0</v>
      </c>
      <c r="I207" t="n">
        <v>0</v>
      </c>
      <c r="J207" t="n">
        <v>0</v>
      </c>
      <c r="K207" t="n">
        <v>0</v>
      </c>
      <c r="L207" t="n">
        <v>0</v>
      </c>
      <c r="M207" t="n">
        <v>0</v>
      </c>
      <c r="N207" t="n">
        <v>0</v>
      </c>
      <c r="O207" t="n">
        <v>0</v>
      </c>
      <c r="P207" t="n">
        <v>0</v>
      </c>
      <c r="Q207" t="n">
        <v>0</v>
      </c>
      <c r="R207" s="2" t="inlineStr"/>
    </row>
    <row r="208" ht="15" customHeight="1">
      <c r="A208" t="inlineStr">
        <is>
          <t>A 21168-2025</t>
        </is>
      </c>
      <c r="B208" s="1" t="n">
        <v>45777</v>
      </c>
      <c r="C208" s="1" t="n">
        <v>46073</v>
      </c>
      <c r="D208" t="inlineStr">
        <is>
          <t>VÄSTMANLANDS LÄN</t>
        </is>
      </c>
      <c r="E208" t="inlineStr">
        <is>
          <t>SALA</t>
        </is>
      </c>
      <c r="G208" t="n">
        <v>4.5</v>
      </c>
      <c r="H208" t="n">
        <v>0</v>
      </c>
      <c r="I208" t="n">
        <v>0</v>
      </c>
      <c r="J208" t="n">
        <v>0</v>
      </c>
      <c r="K208" t="n">
        <v>0</v>
      </c>
      <c r="L208" t="n">
        <v>0</v>
      </c>
      <c r="M208" t="n">
        <v>0</v>
      </c>
      <c r="N208" t="n">
        <v>0</v>
      </c>
      <c r="O208" t="n">
        <v>0</v>
      </c>
      <c r="P208" t="n">
        <v>0</v>
      </c>
      <c r="Q208" t="n">
        <v>0</v>
      </c>
      <c r="R208" s="2" t="inlineStr"/>
    </row>
    <row r="209" ht="15" customHeight="1">
      <c r="A209" t="inlineStr">
        <is>
          <t>A 39182-2025</t>
        </is>
      </c>
      <c r="B209" s="1" t="n">
        <v>45888.66204861111</v>
      </c>
      <c r="C209" s="1" t="n">
        <v>46073</v>
      </c>
      <c r="D209" t="inlineStr">
        <is>
          <t>VÄSTMANLANDS LÄN</t>
        </is>
      </c>
      <c r="E209" t="inlineStr">
        <is>
          <t>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46279-2021</t>
        </is>
      </c>
      <c r="B210" s="1" t="n">
        <v>44442.57797453704</v>
      </c>
      <c r="C210" s="1" t="n">
        <v>46073</v>
      </c>
      <c r="D210" t="inlineStr">
        <is>
          <t>VÄSTMANLANDS LÄN</t>
        </is>
      </c>
      <c r="E210" t="inlineStr">
        <is>
          <t>SALA</t>
        </is>
      </c>
      <c r="G210" t="n">
        <v>1.4</v>
      </c>
      <c r="H210" t="n">
        <v>0</v>
      </c>
      <c r="I210" t="n">
        <v>0</v>
      </c>
      <c r="J210" t="n">
        <v>0</v>
      </c>
      <c r="K210" t="n">
        <v>0</v>
      </c>
      <c r="L210" t="n">
        <v>0</v>
      </c>
      <c r="M210" t="n">
        <v>0</v>
      </c>
      <c r="N210" t="n">
        <v>0</v>
      </c>
      <c r="O210" t="n">
        <v>0</v>
      </c>
      <c r="P210" t="n">
        <v>0</v>
      </c>
      <c r="Q210" t="n">
        <v>0</v>
      </c>
      <c r="R210" s="2" t="inlineStr"/>
    </row>
    <row r="211" ht="15" customHeight="1">
      <c r="A211" t="inlineStr">
        <is>
          <t>A 21751-2025</t>
        </is>
      </c>
      <c r="B211" s="1" t="n">
        <v>45783.61372685185</v>
      </c>
      <c r="C211" s="1" t="n">
        <v>46073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24864-2024</t>
        </is>
      </c>
      <c r="B212" s="1" t="n">
        <v>45461.48888888889</v>
      </c>
      <c r="C212" s="1" t="n">
        <v>46073</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1118-2024</t>
        </is>
      </c>
      <c r="B213" s="1" t="n">
        <v>45302</v>
      </c>
      <c r="C213" s="1" t="n">
        <v>46073</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31864-2025</t>
        </is>
      </c>
      <c r="B214" s="1" t="n">
        <v>45834.63819444444</v>
      </c>
      <c r="C214" s="1" t="n">
        <v>46073</v>
      </c>
      <c r="D214" t="inlineStr">
        <is>
          <t>VÄSTMANLANDS LÄN</t>
        </is>
      </c>
      <c r="E214" t="inlineStr">
        <is>
          <t>SALA</t>
        </is>
      </c>
      <c r="G214" t="n">
        <v>6.3</v>
      </c>
      <c r="H214" t="n">
        <v>0</v>
      </c>
      <c r="I214" t="n">
        <v>0</v>
      </c>
      <c r="J214" t="n">
        <v>0</v>
      </c>
      <c r="K214" t="n">
        <v>0</v>
      </c>
      <c r="L214" t="n">
        <v>0</v>
      </c>
      <c r="M214" t="n">
        <v>0</v>
      </c>
      <c r="N214" t="n">
        <v>0</v>
      </c>
      <c r="O214" t="n">
        <v>0</v>
      </c>
      <c r="P214" t="n">
        <v>0</v>
      </c>
      <c r="Q214" t="n">
        <v>0</v>
      </c>
      <c r="R214" s="2" t="inlineStr"/>
    </row>
    <row r="215" ht="15" customHeight="1">
      <c r="A215" t="inlineStr">
        <is>
          <t>A 63933-2023</t>
        </is>
      </c>
      <c r="B215" s="1" t="n">
        <v>45278</v>
      </c>
      <c r="C215" s="1" t="n">
        <v>46073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39167-2025</t>
        </is>
      </c>
      <c r="B216" s="1" t="n">
        <v>45888</v>
      </c>
      <c r="C216" s="1" t="n">
        <v>46073</v>
      </c>
      <c r="D216" t="inlineStr">
        <is>
          <t>VÄSTMANLANDS LÄN</t>
        </is>
      </c>
      <c r="E216" t="inlineStr">
        <is>
          <t>SALA</t>
        </is>
      </c>
      <c r="G216" t="n">
        <v>5.5</v>
      </c>
      <c r="H216" t="n">
        <v>0</v>
      </c>
      <c r="I216" t="n">
        <v>0</v>
      </c>
      <c r="J216" t="n">
        <v>0</v>
      </c>
      <c r="K216" t="n">
        <v>0</v>
      </c>
      <c r="L216" t="n">
        <v>0</v>
      </c>
      <c r="M216" t="n">
        <v>0</v>
      </c>
      <c r="N216" t="n">
        <v>0</v>
      </c>
      <c r="O216" t="n">
        <v>0</v>
      </c>
      <c r="P216" t="n">
        <v>0</v>
      </c>
      <c r="Q216" t="n">
        <v>0</v>
      </c>
      <c r="R216" s="2" t="inlineStr"/>
    </row>
    <row r="217" ht="15" customHeight="1">
      <c r="A217" t="inlineStr">
        <is>
          <t>A 21754-2025</t>
        </is>
      </c>
      <c r="B217" s="1" t="n">
        <v>45783.61837962963</v>
      </c>
      <c r="C217" s="1" t="n">
        <v>46073</v>
      </c>
      <c r="D217" t="inlineStr">
        <is>
          <t>VÄSTMANLANDS LÄN</t>
        </is>
      </c>
      <c r="E217" t="inlineStr">
        <is>
          <t>SALA</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37190-2024</t>
        </is>
      </c>
      <c r="B218" s="1" t="n">
        <v>45539</v>
      </c>
      <c r="C218" s="1" t="n">
        <v>46073</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37587-2024</t>
        </is>
      </c>
      <c r="B219" s="1" t="n">
        <v>45541</v>
      </c>
      <c r="C219" s="1" t="n">
        <v>46073</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39439-2021</t>
        </is>
      </c>
      <c r="B220" s="1" t="n">
        <v>44414</v>
      </c>
      <c r="C220" s="1" t="n">
        <v>46073</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52498-2022</t>
        </is>
      </c>
      <c r="B221" s="1" t="n">
        <v>44874.50152777778</v>
      </c>
      <c r="C221" s="1" t="n">
        <v>46073</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22353-2025</t>
        </is>
      </c>
      <c r="B222" s="1" t="n">
        <v>45786</v>
      </c>
      <c r="C222" s="1" t="n">
        <v>46073</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64724-2023</t>
        </is>
      </c>
      <c r="B223" s="1" t="n">
        <v>45281.7602662037</v>
      </c>
      <c r="C223" s="1" t="n">
        <v>46073</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22370-2025</t>
        </is>
      </c>
      <c r="B224" s="1" t="n">
        <v>45786</v>
      </c>
      <c r="C224" s="1" t="n">
        <v>46073</v>
      </c>
      <c r="D224" t="inlineStr">
        <is>
          <t>VÄSTMANLANDS LÄN</t>
        </is>
      </c>
      <c r="E224" t="inlineStr">
        <is>
          <t>SALA</t>
        </is>
      </c>
      <c r="G224" t="n">
        <v>3.2</v>
      </c>
      <c r="H224" t="n">
        <v>0</v>
      </c>
      <c r="I224" t="n">
        <v>0</v>
      </c>
      <c r="J224" t="n">
        <v>0</v>
      </c>
      <c r="K224" t="n">
        <v>0</v>
      </c>
      <c r="L224" t="n">
        <v>0</v>
      </c>
      <c r="M224" t="n">
        <v>0</v>
      </c>
      <c r="N224" t="n">
        <v>0</v>
      </c>
      <c r="O224" t="n">
        <v>0</v>
      </c>
      <c r="P224" t="n">
        <v>0</v>
      </c>
      <c r="Q224" t="n">
        <v>0</v>
      </c>
      <c r="R224" s="2" t="inlineStr"/>
    </row>
    <row r="225" ht="15" customHeight="1">
      <c r="A225" t="inlineStr">
        <is>
          <t>A 22383-2025</t>
        </is>
      </c>
      <c r="B225" s="1" t="n">
        <v>45786</v>
      </c>
      <c r="C225" s="1" t="n">
        <v>46073</v>
      </c>
      <c r="D225" t="inlineStr">
        <is>
          <t>VÄSTMANLANDS LÄN</t>
        </is>
      </c>
      <c r="E225" t="inlineStr">
        <is>
          <t>SALA</t>
        </is>
      </c>
      <c r="G225" t="n">
        <v>2.2</v>
      </c>
      <c r="H225" t="n">
        <v>0</v>
      </c>
      <c r="I225" t="n">
        <v>0</v>
      </c>
      <c r="J225" t="n">
        <v>0</v>
      </c>
      <c r="K225" t="n">
        <v>0</v>
      </c>
      <c r="L225" t="n">
        <v>0</v>
      </c>
      <c r="M225" t="n">
        <v>0</v>
      </c>
      <c r="N225" t="n">
        <v>0</v>
      </c>
      <c r="O225" t="n">
        <v>0</v>
      </c>
      <c r="P225" t="n">
        <v>0</v>
      </c>
      <c r="Q225" t="n">
        <v>0</v>
      </c>
      <c r="R225" s="2" t="inlineStr"/>
    </row>
    <row r="226" ht="15" customHeight="1">
      <c r="A226" t="inlineStr">
        <is>
          <t>A 11389-2024</t>
        </is>
      </c>
      <c r="B226" s="1" t="n">
        <v>45372.45016203704</v>
      </c>
      <c r="C226" s="1" t="n">
        <v>46073</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56706-2022</t>
        </is>
      </c>
      <c r="B227" s="1" t="n">
        <v>44893.78893518518</v>
      </c>
      <c r="C227" s="1" t="n">
        <v>46073</v>
      </c>
      <c r="D227" t="inlineStr">
        <is>
          <t>VÄSTMANLANDS LÄN</t>
        </is>
      </c>
      <c r="E227" t="inlineStr">
        <is>
          <t>SALA</t>
        </is>
      </c>
      <c r="G227" t="n">
        <v>4.5</v>
      </c>
      <c r="H227" t="n">
        <v>0</v>
      </c>
      <c r="I227" t="n">
        <v>0</v>
      </c>
      <c r="J227" t="n">
        <v>0</v>
      </c>
      <c r="K227" t="n">
        <v>0</v>
      </c>
      <c r="L227" t="n">
        <v>0</v>
      </c>
      <c r="M227" t="n">
        <v>0</v>
      </c>
      <c r="N227" t="n">
        <v>0</v>
      </c>
      <c r="O227" t="n">
        <v>0</v>
      </c>
      <c r="P227" t="n">
        <v>0</v>
      </c>
      <c r="Q227" t="n">
        <v>0</v>
      </c>
      <c r="R227" s="2" t="inlineStr"/>
    </row>
    <row r="228" ht="15" customHeight="1">
      <c r="A228" t="inlineStr">
        <is>
          <t>A 56707-2022</t>
        </is>
      </c>
      <c r="B228" s="1" t="n">
        <v>44893.79412037037</v>
      </c>
      <c r="C228" s="1" t="n">
        <v>46073</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30971-2022</t>
        </is>
      </c>
      <c r="B229" s="1" t="n">
        <v>44768.46725694444</v>
      </c>
      <c r="C229" s="1" t="n">
        <v>46073</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7176-2023</t>
        </is>
      </c>
      <c r="B230" s="1" t="n">
        <v>44970</v>
      </c>
      <c r="C230" s="1" t="n">
        <v>46073</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40556-2025</t>
        </is>
      </c>
      <c r="B231" s="1" t="n">
        <v>45896.44944444444</v>
      </c>
      <c r="C231" s="1" t="n">
        <v>46073</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40559-2025</t>
        </is>
      </c>
      <c r="B232" s="1" t="n">
        <v>45896.45037037037</v>
      </c>
      <c r="C232" s="1" t="n">
        <v>46073</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22624-2025</t>
        </is>
      </c>
      <c r="B233" s="1" t="n">
        <v>45789.43327546296</v>
      </c>
      <c r="C233" s="1" t="n">
        <v>46073</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40620-2025</t>
        </is>
      </c>
      <c r="B234" s="1" t="n">
        <v>45896.58609953704</v>
      </c>
      <c r="C234" s="1" t="n">
        <v>46073</v>
      </c>
      <c r="D234" t="inlineStr">
        <is>
          <t>VÄSTMANLANDS LÄN</t>
        </is>
      </c>
      <c r="E234" t="inlineStr">
        <is>
          <t>SALA</t>
        </is>
      </c>
      <c r="G234" t="n">
        <v>6.7</v>
      </c>
      <c r="H234" t="n">
        <v>0</v>
      </c>
      <c r="I234" t="n">
        <v>0</v>
      </c>
      <c r="J234" t="n">
        <v>0</v>
      </c>
      <c r="K234" t="n">
        <v>0</v>
      </c>
      <c r="L234" t="n">
        <v>0</v>
      </c>
      <c r="M234" t="n">
        <v>0</v>
      </c>
      <c r="N234" t="n">
        <v>0</v>
      </c>
      <c r="O234" t="n">
        <v>0</v>
      </c>
      <c r="P234" t="n">
        <v>0</v>
      </c>
      <c r="Q234" t="n">
        <v>0</v>
      </c>
      <c r="R234" s="2" t="inlineStr"/>
    </row>
    <row r="235" ht="15" customHeight="1">
      <c r="A235" t="inlineStr">
        <is>
          <t>A 31405-2024</t>
        </is>
      </c>
      <c r="B235" s="1" t="n">
        <v>45505.5490625</v>
      </c>
      <c r="C235" s="1" t="n">
        <v>46073</v>
      </c>
      <c r="D235" t="inlineStr">
        <is>
          <t>VÄSTMANLANDS LÄN</t>
        </is>
      </c>
      <c r="E235" t="inlineStr">
        <is>
          <t>SALA</t>
        </is>
      </c>
      <c r="G235" t="n">
        <v>5.2</v>
      </c>
      <c r="H235" t="n">
        <v>0</v>
      </c>
      <c r="I235" t="n">
        <v>0</v>
      </c>
      <c r="J235" t="n">
        <v>0</v>
      </c>
      <c r="K235" t="n">
        <v>0</v>
      </c>
      <c r="L235" t="n">
        <v>0</v>
      </c>
      <c r="M235" t="n">
        <v>0</v>
      </c>
      <c r="N235" t="n">
        <v>0</v>
      </c>
      <c r="O235" t="n">
        <v>0</v>
      </c>
      <c r="P235" t="n">
        <v>0</v>
      </c>
      <c r="Q235" t="n">
        <v>0</v>
      </c>
      <c r="R235" s="2" t="inlineStr"/>
    </row>
    <row r="236" ht="15" customHeight="1">
      <c r="A236" t="inlineStr">
        <is>
          <t>A 2900-2023</t>
        </is>
      </c>
      <c r="B236" s="1" t="n">
        <v>44943</v>
      </c>
      <c r="C236" s="1" t="n">
        <v>46073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22616-2025</t>
        </is>
      </c>
      <c r="B237" s="1" t="n">
        <v>45789.42752314815</v>
      </c>
      <c r="C237" s="1" t="n">
        <v>46073</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43600-2024</t>
        </is>
      </c>
      <c r="B238" s="1" t="n">
        <v>45569</v>
      </c>
      <c r="C238" s="1" t="n">
        <v>46073</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13130-2025</t>
        </is>
      </c>
      <c r="B239" s="1" t="n">
        <v>45734</v>
      </c>
      <c r="C239" s="1" t="n">
        <v>46073</v>
      </c>
      <c r="D239" t="inlineStr">
        <is>
          <t>VÄSTMANLANDS LÄN</t>
        </is>
      </c>
      <c r="E239" t="inlineStr">
        <is>
          <t>SALA</t>
        </is>
      </c>
      <c r="G239" t="n">
        <v>1.5</v>
      </c>
      <c r="H239" t="n">
        <v>0</v>
      </c>
      <c r="I239" t="n">
        <v>0</v>
      </c>
      <c r="J239" t="n">
        <v>0</v>
      </c>
      <c r="K239" t="n">
        <v>0</v>
      </c>
      <c r="L239" t="n">
        <v>0</v>
      </c>
      <c r="M239" t="n">
        <v>0</v>
      </c>
      <c r="N239" t="n">
        <v>0</v>
      </c>
      <c r="O239" t="n">
        <v>0</v>
      </c>
      <c r="P239" t="n">
        <v>0</v>
      </c>
      <c r="Q239" t="n">
        <v>0</v>
      </c>
      <c r="R239" s="2" t="inlineStr"/>
    </row>
    <row r="240" ht="15" customHeight="1">
      <c r="A240" t="inlineStr">
        <is>
          <t>A 60730-2023</t>
        </is>
      </c>
      <c r="B240" s="1" t="n">
        <v>45260</v>
      </c>
      <c r="C240" s="1" t="n">
        <v>46073</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60731-2023</t>
        </is>
      </c>
      <c r="B241" s="1" t="n">
        <v>45260</v>
      </c>
      <c r="C241" s="1" t="n">
        <v>46073</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41230-2025</t>
        </is>
      </c>
      <c r="B242" s="1" t="n">
        <v>45898</v>
      </c>
      <c r="C242" s="1" t="n">
        <v>46073</v>
      </c>
      <c r="D242" t="inlineStr">
        <is>
          <t>VÄSTMANLANDS LÄN</t>
        </is>
      </c>
      <c r="E242" t="inlineStr">
        <is>
          <t>SALA</t>
        </is>
      </c>
      <c r="G242" t="n">
        <v>2.3</v>
      </c>
      <c r="H242" t="n">
        <v>0</v>
      </c>
      <c r="I242" t="n">
        <v>0</v>
      </c>
      <c r="J242" t="n">
        <v>0</v>
      </c>
      <c r="K242" t="n">
        <v>0</v>
      </c>
      <c r="L242" t="n">
        <v>0</v>
      </c>
      <c r="M242" t="n">
        <v>0</v>
      </c>
      <c r="N242" t="n">
        <v>0</v>
      </c>
      <c r="O242" t="n">
        <v>0</v>
      </c>
      <c r="P242" t="n">
        <v>0</v>
      </c>
      <c r="Q242" t="n">
        <v>0</v>
      </c>
      <c r="R242" s="2" t="inlineStr"/>
    </row>
    <row r="243" ht="15" customHeight="1">
      <c r="A243" t="inlineStr">
        <is>
          <t>A 41431-2025</t>
        </is>
      </c>
      <c r="B243" s="1" t="n">
        <v>45901.39347222223</v>
      </c>
      <c r="C243" s="1" t="n">
        <v>46073</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41414-2025</t>
        </is>
      </c>
      <c r="B244" s="1" t="n">
        <v>45901.360625</v>
      </c>
      <c r="C244" s="1" t="n">
        <v>46073</v>
      </c>
      <c r="D244" t="inlineStr">
        <is>
          <t>VÄSTMANLANDS LÄN</t>
        </is>
      </c>
      <c r="E244" t="inlineStr">
        <is>
          <t>SALA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53164-2024</t>
        </is>
      </c>
      <c r="B245" s="1" t="n">
        <v>45611.64887731482</v>
      </c>
      <c r="C245" s="1" t="n">
        <v>46073</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48910-2025</t>
        </is>
      </c>
      <c r="B246" s="1" t="n">
        <v>45937.48649305556</v>
      </c>
      <c r="C246" s="1" t="n">
        <v>46073</v>
      </c>
      <c r="D246" t="inlineStr">
        <is>
          <t>VÄSTMANLANDS LÄN</t>
        </is>
      </c>
      <c r="E246" t="inlineStr">
        <is>
          <t>SALA</t>
        </is>
      </c>
      <c r="G246" t="n">
        <v>7.8</v>
      </c>
      <c r="H246" t="n">
        <v>0</v>
      </c>
      <c r="I246" t="n">
        <v>0</v>
      </c>
      <c r="J246" t="n">
        <v>0</v>
      </c>
      <c r="K246" t="n">
        <v>0</v>
      </c>
      <c r="L246" t="n">
        <v>0</v>
      </c>
      <c r="M246" t="n">
        <v>0</v>
      </c>
      <c r="N246" t="n">
        <v>0</v>
      </c>
      <c r="O246" t="n">
        <v>0</v>
      </c>
      <c r="P246" t="n">
        <v>0</v>
      </c>
      <c r="Q246" t="n">
        <v>0</v>
      </c>
      <c r="R246" s="2" t="inlineStr"/>
    </row>
    <row r="247" ht="15" customHeight="1">
      <c r="A247" t="inlineStr">
        <is>
          <t>A 61717-2024</t>
        </is>
      </c>
      <c r="B247" s="1" t="n">
        <v>45648</v>
      </c>
      <c r="C247" s="1" t="n">
        <v>46073</v>
      </c>
      <c r="D247" t="inlineStr">
        <is>
          <t>VÄSTMANLANDS LÄN</t>
        </is>
      </c>
      <c r="E247" t="inlineStr">
        <is>
          <t>SALA</t>
        </is>
      </c>
      <c r="G247" t="n">
        <v>3.7</v>
      </c>
      <c r="H247" t="n">
        <v>0</v>
      </c>
      <c r="I247" t="n">
        <v>0</v>
      </c>
      <c r="J247" t="n">
        <v>0</v>
      </c>
      <c r="K247" t="n">
        <v>0</v>
      </c>
      <c r="L247" t="n">
        <v>0</v>
      </c>
      <c r="M247" t="n">
        <v>0</v>
      </c>
      <c r="N247" t="n">
        <v>0</v>
      </c>
      <c r="O247" t="n">
        <v>0</v>
      </c>
      <c r="P247" t="n">
        <v>0</v>
      </c>
      <c r="Q247" t="n">
        <v>0</v>
      </c>
      <c r="R247" s="2" t="inlineStr"/>
    </row>
    <row r="248" ht="15" customHeight="1">
      <c r="A248" t="inlineStr">
        <is>
          <t>A 35976-2024</t>
        </is>
      </c>
      <c r="B248" s="1" t="n">
        <v>45533.49555555556</v>
      </c>
      <c r="C248" s="1" t="n">
        <v>46073</v>
      </c>
      <c r="D248" t="inlineStr">
        <is>
          <t>VÄSTMANLANDS LÄN</t>
        </is>
      </c>
      <c r="E248" t="inlineStr">
        <is>
          <t>SALA</t>
        </is>
      </c>
      <c r="G248" t="n">
        <v>2.3</v>
      </c>
      <c r="H248" t="n">
        <v>0</v>
      </c>
      <c r="I248" t="n">
        <v>0</v>
      </c>
      <c r="J248" t="n">
        <v>0</v>
      </c>
      <c r="K248" t="n">
        <v>0</v>
      </c>
      <c r="L248" t="n">
        <v>0</v>
      </c>
      <c r="M248" t="n">
        <v>0</v>
      </c>
      <c r="N248" t="n">
        <v>0</v>
      </c>
      <c r="O248" t="n">
        <v>0</v>
      </c>
      <c r="P248" t="n">
        <v>0</v>
      </c>
      <c r="Q248" t="n">
        <v>0</v>
      </c>
      <c r="R248" s="2" t="inlineStr"/>
    </row>
    <row r="249" ht="15" customHeight="1">
      <c r="A249" t="inlineStr">
        <is>
          <t>A 24169-2025</t>
        </is>
      </c>
      <c r="B249" s="1" t="n">
        <v>45796</v>
      </c>
      <c r="C249" s="1" t="n">
        <v>46073</v>
      </c>
      <c r="D249" t="inlineStr">
        <is>
          <t>VÄSTMANLANDS LÄN</t>
        </is>
      </c>
      <c r="E249" t="inlineStr">
        <is>
          <t>SALA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22126-2025</t>
        </is>
      </c>
      <c r="B250" s="1" t="n">
        <v>45785</v>
      </c>
      <c r="C250" s="1" t="n">
        <v>46073</v>
      </c>
      <c r="D250" t="inlineStr">
        <is>
          <t>VÄSTMANLANDS LÄN</t>
        </is>
      </c>
      <c r="E250" t="inlineStr">
        <is>
          <t>SALA</t>
        </is>
      </c>
      <c r="G250" t="n">
        <v>10.6</v>
      </c>
      <c r="H250" t="n">
        <v>0</v>
      </c>
      <c r="I250" t="n">
        <v>0</v>
      </c>
      <c r="J250" t="n">
        <v>0</v>
      </c>
      <c r="K250" t="n">
        <v>0</v>
      </c>
      <c r="L250" t="n">
        <v>0</v>
      </c>
      <c r="M250" t="n">
        <v>0</v>
      </c>
      <c r="N250" t="n">
        <v>0</v>
      </c>
      <c r="O250" t="n">
        <v>0</v>
      </c>
      <c r="P250" t="n">
        <v>0</v>
      </c>
      <c r="Q250" t="n">
        <v>0</v>
      </c>
      <c r="R250" s="2" t="inlineStr"/>
    </row>
    <row r="251" ht="15" customHeight="1">
      <c r="A251" t="inlineStr">
        <is>
          <t>A 49640-2025</t>
        </is>
      </c>
      <c r="B251" s="1" t="n">
        <v>45939.61459490741</v>
      </c>
      <c r="C251" s="1" t="n">
        <v>46073</v>
      </c>
      <c r="D251" t="inlineStr">
        <is>
          <t>VÄSTMANLANDS LÄN</t>
        </is>
      </c>
      <c r="E251" t="inlineStr">
        <is>
          <t>SALA</t>
        </is>
      </c>
      <c r="F251" t="inlineStr">
        <is>
          <t>Kommuner</t>
        </is>
      </c>
      <c r="G251" t="n">
        <v>18.8</v>
      </c>
      <c r="H251" t="n">
        <v>0</v>
      </c>
      <c r="I251" t="n">
        <v>0</v>
      </c>
      <c r="J251" t="n">
        <v>0</v>
      </c>
      <c r="K251" t="n">
        <v>0</v>
      </c>
      <c r="L251" t="n">
        <v>0</v>
      </c>
      <c r="M251" t="n">
        <v>0</v>
      </c>
      <c r="N251" t="n">
        <v>0</v>
      </c>
      <c r="O251" t="n">
        <v>0</v>
      </c>
      <c r="P251" t="n">
        <v>0</v>
      </c>
      <c r="Q251" t="n">
        <v>0</v>
      </c>
      <c r="R251" s="2" t="inlineStr"/>
    </row>
    <row r="252" ht="15" customHeight="1">
      <c r="A252" t="inlineStr">
        <is>
          <t>A 23810-2025</t>
        </is>
      </c>
      <c r="B252" s="1" t="n">
        <v>45793.56989583333</v>
      </c>
      <c r="C252" s="1" t="n">
        <v>46073</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49585-2025</t>
        </is>
      </c>
      <c r="B253" s="1" t="n">
        <v>45939.5043287037</v>
      </c>
      <c r="C253" s="1" t="n">
        <v>46073</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50128-2025</t>
        </is>
      </c>
      <c r="B254" s="1" t="n">
        <v>45943.55318287037</v>
      </c>
      <c r="C254" s="1" t="n">
        <v>46073</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50249-2025</t>
        </is>
      </c>
      <c r="B255" s="1" t="n">
        <v>45944.31508101852</v>
      </c>
      <c r="C255" s="1" t="n">
        <v>46073</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50119-2025</t>
        </is>
      </c>
      <c r="B256" s="1" t="n">
        <v>45943.54883101852</v>
      </c>
      <c r="C256" s="1" t="n">
        <v>46073</v>
      </c>
      <c r="D256" t="inlineStr">
        <is>
          <t>VÄSTMANLANDS LÄN</t>
        </is>
      </c>
      <c r="E256" t="inlineStr">
        <is>
          <t>SALA</t>
        </is>
      </c>
      <c r="G256" t="n">
        <v>3.3</v>
      </c>
      <c r="H256" t="n">
        <v>0</v>
      </c>
      <c r="I256" t="n">
        <v>0</v>
      </c>
      <c r="J256" t="n">
        <v>0</v>
      </c>
      <c r="K256" t="n">
        <v>0</v>
      </c>
      <c r="L256" t="n">
        <v>0</v>
      </c>
      <c r="M256" t="n">
        <v>0</v>
      </c>
      <c r="N256" t="n">
        <v>0</v>
      </c>
      <c r="O256" t="n">
        <v>0</v>
      </c>
      <c r="P256" t="n">
        <v>0</v>
      </c>
      <c r="Q256" t="n">
        <v>0</v>
      </c>
      <c r="R256" s="2" t="inlineStr"/>
    </row>
    <row r="257" ht="15" customHeight="1">
      <c r="A257" t="inlineStr">
        <is>
          <t>A 50059-2025</t>
        </is>
      </c>
      <c r="B257" s="1" t="n">
        <v>45943.44125</v>
      </c>
      <c r="C257" s="1" t="n">
        <v>46073</v>
      </c>
      <c r="D257" t="inlineStr">
        <is>
          <t>VÄSTMANLANDS LÄN</t>
        </is>
      </c>
      <c r="E257" t="inlineStr">
        <is>
          <t>SALA</t>
        </is>
      </c>
      <c r="G257" t="n">
        <v>4.4</v>
      </c>
      <c r="H257" t="n">
        <v>0</v>
      </c>
      <c r="I257" t="n">
        <v>0</v>
      </c>
      <c r="J257" t="n">
        <v>0</v>
      </c>
      <c r="K257" t="n">
        <v>0</v>
      </c>
      <c r="L257" t="n">
        <v>0</v>
      </c>
      <c r="M257" t="n">
        <v>0</v>
      </c>
      <c r="N257" t="n">
        <v>0</v>
      </c>
      <c r="O257" t="n">
        <v>0</v>
      </c>
      <c r="P257" t="n">
        <v>0</v>
      </c>
      <c r="Q257" t="n">
        <v>0</v>
      </c>
      <c r="R257" s="2" t="inlineStr"/>
    </row>
    <row r="258" ht="15" customHeight="1">
      <c r="A258" t="inlineStr">
        <is>
          <t>A 24944-2023</t>
        </is>
      </c>
      <c r="B258" s="1" t="n">
        <v>45085</v>
      </c>
      <c r="C258" s="1" t="n">
        <v>46073</v>
      </c>
      <c r="D258" t="inlineStr">
        <is>
          <t>VÄSTMANLANDS LÄN</t>
        </is>
      </c>
      <c r="E258" t="inlineStr">
        <is>
          <t>SALA</t>
        </is>
      </c>
      <c r="G258" t="n">
        <v>3.8</v>
      </c>
      <c r="H258" t="n">
        <v>0</v>
      </c>
      <c r="I258" t="n">
        <v>0</v>
      </c>
      <c r="J258" t="n">
        <v>0</v>
      </c>
      <c r="K258" t="n">
        <v>0</v>
      </c>
      <c r="L258" t="n">
        <v>0</v>
      </c>
      <c r="M258" t="n">
        <v>0</v>
      </c>
      <c r="N258" t="n">
        <v>0</v>
      </c>
      <c r="O258" t="n">
        <v>0</v>
      </c>
      <c r="P258" t="n">
        <v>0</v>
      </c>
      <c r="Q258" t="n">
        <v>0</v>
      </c>
      <c r="R258" s="2" t="inlineStr"/>
    </row>
    <row r="259" ht="15" customHeight="1">
      <c r="A259" t="inlineStr">
        <is>
          <t>A 23804-2025</t>
        </is>
      </c>
      <c r="B259" s="1" t="n">
        <v>45793.55995370371</v>
      </c>
      <c r="C259" s="1" t="n">
        <v>46073</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21968-2024</t>
        </is>
      </c>
      <c r="B260" s="1" t="n">
        <v>45443</v>
      </c>
      <c r="C260" s="1" t="n">
        <v>46073</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11210-2025</t>
        </is>
      </c>
      <c r="B261" s="1" t="n">
        <v>45726</v>
      </c>
      <c r="C261" s="1" t="n">
        <v>46073</v>
      </c>
      <c r="D261" t="inlineStr">
        <is>
          <t>VÄSTMANLANDS LÄN</t>
        </is>
      </c>
      <c r="E261" t="inlineStr">
        <is>
          <t>SALA</t>
        </is>
      </c>
      <c r="G261" t="n">
        <v>4.1</v>
      </c>
      <c r="H261" t="n">
        <v>0</v>
      </c>
      <c r="I261" t="n">
        <v>0</v>
      </c>
      <c r="J261" t="n">
        <v>0</v>
      </c>
      <c r="K261" t="n">
        <v>0</v>
      </c>
      <c r="L261" t="n">
        <v>0</v>
      </c>
      <c r="M261" t="n">
        <v>0</v>
      </c>
      <c r="N261" t="n">
        <v>0</v>
      </c>
      <c r="O261" t="n">
        <v>0</v>
      </c>
      <c r="P261" t="n">
        <v>0</v>
      </c>
      <c r="Q261" t="n">
        <v>0</v>
      </c>
      <c r="R261" s="2" t="inlineStr"/>
    </row>
    <row r="262" ht="15" customHeight="1">
      <c r="A262" t="inlineStr">
        <is>
          <t>A 19297-2025</t>
        </is>
      </c>
      <c r="B262" s="1" t="n">
        <v>45769.56261574074</v>
      </c>
      <c r="C262" s="1" t="n">
        <v>46073</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51626-2025</t>
        </is>
      </c>
      <c r="B263" s="1" t="n">
        <v>45951.41769675926</v>
      </c>
      <c r="C263" s="1" t="n">
        <v>46073</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51690-2025</t>
        </is>
      </c>
      <c r="B264" s="1" t="n">
        <v>45951.53462962963</v>
      </c>
      <c r="C264" s="1" t="n">
        <v>46073</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51809-2025</t>
        </is>
      </c>
      <c r="B265" s="1" t="n">
        <v>45951.80116898148</v>
      </c>
      <c r="C265" s="1" t="n">
        <v>46073</v>
      </c>
      <c r="D265" t="inlineStr">
        <is>
          <t>VÄSTMANLANDS LÄN</t>
        </is>
      </c>
      <c r="E265" t="inlineStr">
        <is>
          <t>SALA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71471-2021</t>
        </is>
      </c>
      <c r="B266" s="1" t="n">
        <v>44540.53421296296</v>
      </c>
      <c r="C266" s="1" t="n">
        <v>46073</v>
      </c>
      <c r="D266" t="inlineStr">
        <is>
          <t>VÄSTMANLANDS LÄN</t>
        </is>
      </c>
      <c r="E266" t="inlineStr">
        <is>
          <t>SALA</t>
        </is>
      </c>
      <c r="G266" t="n">
        <v>13</v>
      </c>
      <c r="H266" t="n">
        <v>0</v>
      </c>
      <c r="I266" t="n">
        <v>0</v>
      </c>
      <c r="J266" t="n">
        <v>0</v>
      </c>
      <c r="K266" t="n">
        <v>0</v>
      </c>
      <c r="L266" t="n">
        <v>0</v>
      </c>
      <c r="M266" t="n">
        <v>0</v>
      </c>
      <c r="N266" t="n">
        <v>0</v>
      </c>
      <c r="O266" t="n">
        <v>0</v>
      </c>
      <c r="P266" t="n">
        <v>0</v>
      </c>
      <c r="Q266" t="n">
        <v>0</v>
      </c>
      <c r="R266" s="2" t="inlineStr"/>
    </row>
    <row r="267" ht="15" customHeight="1">
      <c r="A267" t="inlineStr">
        <is>
          <t>A 8775-2024</t>
        </is>
      </c>
      <c r="B267" s="1" t="n">
        <v>45356</v>
      </c>
      <c r="C267" s="1" t="n">
        <v>46073</v>
      </c>
      <c r="D267" t="inlineStr">
        <is>
          <t>VÄSTMANLANDS LÄN</t>
        </is>
      </c>
      <c r="E267" t="inlineStr">
        <is>
          <t>SALA</t>
        </is>
      </c>
      <c r="G267" t="n">
        <v>0.6</v>
      </c>
      <c r="H267" t="n">
        <v>0</v>
      </c>
      <c r="I267" t="n">
        <v>0</v>
      </c>
      <c r="J267" t="n">
        <v>0</v>
      </c>
      <c r="K267" t="n">
        <v>0</v>
      </c>
      <c r="L267" t="n">
        <v>0</v>
      </c>
      <c r="M267" t="n">
        <v>0</v>
      </c>
      <c r="N267" t="n">
        <v>0</v>
      </c>
      <c r="O267" t="n">
        <v>0</v>
      </c>
      <c r="P267" t="n">
        <v>0</v>
      </c>
      <c r="Q267" t="n">
        <v>0</v>
      </c>
      <c r="R267" s="2" t="inlineStr"/>
    </row>
    <row r="268" ht="15" customHeight="1">
      <c r="A268" t="inlineStr">
        <is>
          <t>A 24460-2025</t>
        </is>
      </c>
      <c r="B268" s="1" t="n">
        <v>45798</v>
      </c>
      <c r="C268" s="1" t="n">
        <v>46073</v>
      </c>
      <c r="D268" t="inlineStr">
        <is>
          <t>VÄSTMANLANDS LÄN</t>
        </is>
      </c>
      <c r="E268" t="inlineStr">
        <is>
          <t>SALA</t>
        </is>
      </c>
      <c r="F268" t="inlineStr">
        <is>
          <t>Bergvik skog öst AB</t>
        </is>
      </c>
      <c r="G268" t="n">
        <v>2.6</v>
      </c>
      <c r="H268" t="n">
        <v>0</v>
      </c>
      <c r="I268" t="n">
        <v>0</v>
      </c>
      <c r="J268" t="n">
        <v>0</v>
      </c>
      <c r="K268" t="n">
        <v>0</v>
      </c>
      <c r="L268" t="n">
        <v>0</v>
      </c>
      <c r="M268" t="n">
        <v>0</v>
      </c>
      <c r="N268" t="n">
        <v>0</v>
      </c>
      <c r="O268" t="n">
        <v>0</v>
      </c>
      <c r="P268" t="n">
        <v>0</v>
      </c>
      <c r="Q268" t="n">
        <v>0</v>
      </c>
      <c r="R268" s="2" t="inlineStr"/>
    </row>
    <row r="269" ht="15" customHeight="1">
      <c r="A269" t="inlineStr">
        <is>
          <t>A 42421-2025</t>
        </is>
      </c>
      <c r="B269" s="1" t="n">
        <v>45905.40067129629</v>
      </c>
      <c r="C269" s="1" t="n">
        <v>46073</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51803-2025</t>
        </is>
      </c>
      <c r="B270" s="1" t="n">
        <v>45951.76818287037</v>
      </c>
      <c r="C270" s="1" t="n">
        <v>46073</v>
      </c>
      <c r="D270" t="inlineStr">
        <is>
          <t>VÄSTMANLANDS LÄN</t>
        </is>
      </c>
      <c r="E270" t="inlineStr">
        <is>
          <t>SALA</t>
        </is>
      </c>
      <c r="F270" t="inlineStr">
        <is>
          <t>Kommuner</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51805-2025</t>
        </is>
      </c>
      <c r="B271" s="1" t="n">
        <v>45951.78359953704</v>
      </c>
      <c r="C271" s="1" t="n">
        <v>46073</v>
      </c>
      <c r="D271" t="inlineStr">
        <is>
          <t>VÄSTMANLANDS LÄN</t>
        </is>
      </c>
      <c r="E271" t="inlineStr">
        <is>
          <t>SALA</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39011-2023</t>
        </is>
      </c>
      <c r="B272" s="1" t="n">
        <v>45162</v>
      </c>
      <c r="C272" s="1" t="n">
        <v>46073</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51804-2025</t>
        </is>
      </c>
      <c r="B273" s="1" t="n">
        <v>45951.77697916667</v>
      </c>
      <c r="C273" s="1" t="n">
        <v>46073</v>
      </c>
      <c r="D273" t="inlineStr">
        <is>
          <t>VÄSTMANLANDS LÄN</t>
        </is>
      </c>
      <c r="E273" t="inlineStr">
        <is>
          <t>SALA</t>
        </is>
      </c>
      <c r="F273" t="inlineStr">
        <is>
          <t>Kommuner</t>
        </is>
      </c>
      <c r="G273" t="n">
        <v>2</v>
      </c>
      <c r="H273" t="n">
        <v>0</v>
      </c>
      <c r="I273" t="n">
        <v>0</v>
      </c>
      <c r="J273" t="n">
        <v>0</v>
      </c>
      <c r="K273" t="n">
        <v>0</v>
      </c>
      <c r="L273" t="n">
        <v>0</v>
      </c>
      <c r="M273" t="n">
        <v>0</v>
      </c>
      <c r="N273" t="n">
        <v>0</v>
      </c>
      <c r="O273" t="n">
        <v>0</v>
      </c>
      <c r="P273" t="n">
        <v>0</v>
      </c>
      <c r="Q273" t="n">
        <v>0</v>
      </c>
      <c r="R273" s="2" t="inlineStr"/>
    </row>
    <row r="274" ht="15" customHeight="1">
      <c r="A274" t="inlineStr">
        <is>
          <t>A 51808-2025</t>
        </is>
      </c>
      <c r="B274" s="1" t="n">
        <v>45951.79302083333</v>
      </c>
      <c r="C274" s="1" t="n">
        <v>46073</v>
      </c>
      <c r="D274" t="inlineStr">
        <is>
          <t>VÄSTMANLANDS LÄN</t>
        </is>
      </c>
      <c r="E274" t="inlineStr">
        <is>
          <t>SALA</t>
        </is>
      </c>
      <c r="F274" t="inlineStr">
        <is>
          <t>Kommuner</t>
        </is>
      </c>
      <c r="G274" t="n">
        <v>3</v>
      </c>
      <c r="H274" t="n">
        <v>0</v>
      </c>
      <c r="I274" t="n">
        <v>0</v>
      </c>
      <c r="J274" t="n">
        <v>0</v>
      </c>
      <c r="K274" t="n">
        <v>0</v>
      </c>
      <c r="L274" t="n">
        <v>0</v>
      </c>
      <c r="M274" t="n">
        <v>0</v>
      </c>
      <c r="N274" t="n">
        <v>0</v>
      </c>
      <c r="O274" t="n">
        <v>0</v>
      </c>
      <c r="P274" t="n">
        <v>0</v>
      </c>
      <c r="Q274" t="n">
        <v>0</v>
      </c>
      <c r="R274" s="2" t="inlineStr"/>
    </row>
    <row r="275" ht="15" customHeight="1">
      <c r="A275" t="inlineStr">
        <is>
          <t>A 51764-2025</t>
        </is>
      </c>
      <c r="B275" s="1" t="n">
        <v>45951.63636574074</v>
      </c>
      <c r="C275" s="1" t="n">
        <v>46073</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55065-2024</t>
        </is>
      </c>
      <c r="B276" s="1" t="n">
        <v>45618</v>
      </c>
      <c r="C276" s="1" t="n">
        <v>46073</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43028-2025</t>
        </is>
      </c>
      <c r="B277" s="1" t="n">
        <v>45909.53472222222</v>
      </c>
      <c r="C277" s="1" t="n">
        <v>46073</v>
      </c>
      <c r="D277" t="inlineStr">
        <is>
          <t>VÄSTMANLANDS LÄN</t>
        </is>
      </c>
      <c r="E277" t="inlineStr">
        <is>
          <t>SALA</t>
        </is>
      </c>
      <c r="G277" t="n">
        <v>3.8</v>
      </c>
      <c r="H277" t="n">
        <v>0</v>
      </c>
      <c r="I277" t="n">
        <v>0</v>
      </c>
      <c r="J277" t="n">
        <v>0</v>
      </c>
      <c r="K277" t="n">
        <v>0</v>
      </c>
      <c r="L277" t="n">
        <v>0</v>
      </c>
      <c r="M277" t="n">
        <v>0</v>
      </c>
      <c r="N277" t="n">
        <v>0</v>
      </c>
      <c r="O277" t="n">
        <v>0</v>
      </c>
      <c r="P277" t="n">
        <v>0</v>
      </c>
      <c r="Q277" t="n">
        <v>0</v>
      </c>
      <c r="R277" s="2" t="inlineStr"/>
    </row>
    <row r="278" ht="15" customHeight="1">
      <c r="A278" t="inlineStr">
        <is>
          <t>A 56547-2022</t>
        </is>
      </c>
      <c r="B278" s="1" t="n">
        <v>44893.48284722222</v>
      </c>
      <c r="C278" s="1" t="n">
        <v>46073</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43328-2025</t>
        </is>
      </c>
      <c r="B279" s="1" t="n">
        <v>45910</v>
      </c>
      <c r="C279" s="1" t="n">
        <v>46073</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24463-2025</t>
        </is>
      </c>
      <c r="B280" s="1" t="n">
        <v>45798</v>
      </c>
      <c r="C280" s="1" t="n">
        <v>46073</v>
      </c>
      <c r="D280" t="inlineStr">
        <is>
          <t>VÄSTMANLANDS LÄN</t>
        </is>
      </c>
      <c r="E280" t="inlineStr">
        <is>
          <t>SALA</t>
        </is>
      </c>
      <c r="F280" t="inlineStr">
        <is>
          <t>Bergvik skog öst AB</t>
        </is>
      </c>
      <c r="G280" t="n">
        <v>1.5</v>
      </c>
      <c r="H280" t="n">
        <v>0</v>
      </c>
      <c r="I280" t="n">
        <v>0</v>
      </c>
      <c r="J280" t="n">
        <v>0</v>
      </c>
      <c r="K280" t="n">
        <v>0</v>
      </c>
      <c r="L280" t="n">
        <v>0</v>
      </c>
      <c r="M280" t="n">
        <v>0</v>
      </c>
      <c r="N280" t="n">
        <v>0</v>
      </c>
      <c r="O280" t="n">
        <v>0</v>
      </c>
      <c r="P280" t="n">
        <v>0</v>
      </c>
      <c r="Q280" t="n">
        <v>0</v>
      </c>
      <c r="R280" s="2" t="inlineStr"/>
    </row>
    <row r="281" ht="15" customHeight="1">
      <c r="A281" t="inlineStr">
        <is>
          <t>A 56916-2022</t>
        </is>
      </c>
      <c r="B281" s="1" t="n">
        <v>44888</v>
      </c>
      <c r="C281" s="1" t="n">
        <v>46073</v>
      </c>
      <c r="D281" t="inlineStr">
        <is>
          <t>VÄSTMANLANDS LÄN</t>
        </is>
      </c>
      <c r="E281" t="inlineStr">
        <is>
          <t>SALA</t>
        </is>
      </c>
      <c r="G281" t="n">
        <v>1.7</v>
      </c>
      <c r="H281" t="n">
        <v>0</v>
      </c>
      <c r="I281" t="n">
        <v>0</v>
      </c>
      <c r="J281" t="n">
        <v>0</v>
      </c>
      <c r="K281" t="n">
        <v>0</v>
      </c>
      <c r="L281" t="n">
        <v>0</v>
      </c>
      <c r="M281" t="n">
        <v>0</v>
      </c>
      <c r="N281" t="n">
        <v>0</v>
      </c>
      <c r="O281" t="n">
        <v>0</v>
      </c>
      <c r="P281" t="n">
        <v>0</v>
      </c>
      <c r="Q281" t="n">
        <v>0</v>
      </c>
      <c r="R281" s="2" t="inlineStr"/>
    </row>
    <row r="282" ht="15" customHeight="1">
      <c r="A282" t="inlineStr">
        <is>
          <t>A 43031-2025</t>
        </is>
      </c>
      <c r="B282" s="1" t="n">
        <v>45909.53856481481</v>
      </c>
      <c r="C282" s="1" t="n">
        <v>46073</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53744-2025</t>
        </is>
      </c>
      <c r="B283" s="1" t="n">
        <v>45960.64863425926</v>
      </c>
      <c r="C283" s="1" t="n">
        <v>46073</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53725-2025</t>
        </is>
      </c>
      <c r="B284" s="1" t="n">
        <v>45960.63394675926</v>
      </c>
      <c r="C284" s="1" t="n">
        <v>46073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17495-2024</t>
        </is>
      </c>
      <c r="B285" s="1" t="n">
        <v>45415</v>
      </c>
      <c r="C285" s="1" t="n">
        <v>46073</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37263-2025</t>
        </is>
      </c>
      <c r="B286" s="1" t="n">
        <v>45876.4584837963</v>
      </c>
      <c r="C286" s="1" t="n">
        <v>46073</v>
      </c>
      <c r="D286" t="inlineStr">
        <is>
          <t>VÄSTMANLANDS LÄN</t>
        </is>
      </c>
      <c r="E286" t="inlineStr">
        <is>
          <t>SALA</t>
        </is>
      </c>
      <c r="G286" t="n">
        <v>2.3</v>
      </c>
      <c r="H286" t="n">
        <v>0</v>
      </c>
      <c r="I286" t="n">
        <v>0</v>
      </c>
      <c r="J286" t="n">
        <v>0</v>
      </c>
      <c r="K286" t="n">
        <v>0</v>
      </c>
      <c r="L286" t="n">
        <v>0</v>
      </c>
      <c r="M286" t="n">
        <v>0</v>
      </c>
      <c r="N286" t="n">
        <v>0</v>
      </c>
      <c r="O286" t="n">
        <v>0</v>
      </c>
      <c r="P286" t="n">
        <v>0</v>
      </c>
      <c r="Q286" t="n">
        <v>0</v>
      </c>
      <c r="R286" s="2" t="inlineStr"/>
    </row>
    <row r="287" ht="15" customHeight="1">
      <c r="A287" t="inlineStr">
        <is>
          <t>A 40554-2025</t>
        </is>
      </c>
      <c r="B287" s="1" t="n">
        <v>45896.44506944445</v>
      </c>
      <c r="C287" s="1" t="n">
        <v>46073</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43129-2025</t>
        </is>
      </c>
      <c r="B288" s="1" t="n">
        <v>45909</v>
      </c>
      <c r="C288" s="1" t="n">
        <v>46073</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43130-2025</t>
        </is>
      </c>
      <c r="B289" s="1" t="n">
        <v>45909</v>
      </c>
      <c r="C289" s="1" t="n">
        <v>46073</v>
      </c>
      <c r="D289" t="inlineStr">
        <is>
          <t>VÄSTMANLANDS LÄN</t>
        </is>
      </c>
      <c r="E289" t="inlineStr">
        <is>
          <t>SALA</t>
        </is>
      </c>
      <c r="G289" t="n">
        <v>0.9</v>
      </c>
      <c r="H289" t="n">
        <v>0</v>
      </c>
      <c r="I289" t="n">
        <v>0</v>
      </c>
      <c r="J289" t="n">
        <v>0</v>
      </c>
      <c r="K289" t="n">
        <v>0</v>
      </c>
      <c r="L289" t="n">
        <v>0</v>
      </c>
      <c r="M289" t="n">
        <v>0</v>
      </c>
      <c r="N289" t="n">
        <v>0</v>
      </c>
      <c r="O289" t="n">
        <v>0</v>
      </c>
      <c r="P289" t="n">
        <v>0</v>
      </c>
      <c r="Q289" t="n">
        <v>0</v>
      </c>
      <c r="R289" s="2" t="inlineStr"/>
    </row>
    <row r="290" ht="15" customHeight="1">
      <c r="A290" t="inlineStr">
        <is>
          <t>A 43128-2025</t>
        </is>
      </c>
      <c r="B290" s="1" t="n">
        <v>45909</v>
      </c>
      <c r="C290" s="1" t="n">
        <v>46073</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43127-2025</t>
        </is>
      </c>
      <c r="B291" s="1" t="n">
        <v>45909</v>
      </c>
      <c r="C291" s="1" t="n">
        <v>46073</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53724-2025</t>
        </is>
      </c>
      <c r="B292" s="1" t="n">
        <v>45960.63174768518</v>
      </c>
      <c r="C292" s="1" t="n">
        <v>46073</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24907-2025</t>
        </is>
      </c>
      <c r="B293" s="1" t="n">
        <v>45799</v>
      </c>
      <c r="C293" s="1" t="n">
        <v>46073</v>
      </c>
      <c r="D293" t="inlineStr">
        <is>
          <t>VÄSTMANLANDS LÄN</t>
        </is>
      </c>
      <c r="E293" t="inlineStr">
        <is>
          <t>SALA</t>
        </is>
      </c>
      <c r="G293" t="n">
        <v>3.5</v>
      </c>
      <c r="H293" t="n">
        <v>0</v>
      </c>
      <c r="I293" t="n">
        <v>0</v>
      </c>
      <c r="J293" t="n">
        <v>0</v>
      </c>
      <c r="K293" t="n">
        <v>0</v>
      </c>
      <c r="L293" t="n">
        <v>0</v>
      </c>
      <c r="M293" t="n">
        <v>0</v>
      </c>
      <c r="N293" t="n">
        <v>0</v>
      </c>
      <c r="O293" t="n">
        <v>0</v>
      </c>
      <c r="P293" t="n">
        <v>0</v>
      </c>
      <c r="Q293" t="n">
        <v>0</v>
      </c>
      <c r="R293" s="2" t="inlineStr"/>
    </row>
    <row r="294" ht="15" customHeight="1">
      <c r="A294" t="inlineStr">
        <is>
          <t>A 24910-2025</t>
        </is>
      </c>
      <c r="B294" s="1" t="n">
        <v>45799.53775462963</v>
      </c>
      <c r="C294" s="1" t="n">
        <v>46073</v>
      </c>
      <c r="D294" t="inlineStr">
        <is>
          <t>VÄSTMANLANDS LÄN</t>
        </is>
      </c>
      <c r="E294" t="inlineStr">
        <is>
          <t>SALA</t>
        </is>
      </c>
      <c r="G294" t="n">
        <v>3.5</v>
      </c>
      <c r="H294" t="n">
        <v>0</v>
      </c>
      <c r="I294" t="n">
        <v>0</v>
      </c>
      <c r="J294" t="n">
        <v>0</v>
      </c>
      <c r="K294" t="n">
        <v>0</v>
      </c>
      <c r="L294" t="n">
        <v>0</v>
      </c>
      <c r="M294" t="n">
        <v>0</v>
      </c>
      <c r="N294" t="n">
        <v>0</v>
      </c>
      <c r="O294" t="n">
        <v>0</v>
      </c>
      <c r="P294" t="n">
        <v>0</v>
      </c>
      <c r="Q294" t="n">
        <v>0</v>
      </c>
      <c r="R294" s="2" t="inlineStr"/>
    </row>
    <row r="295" ht="15" customHeight="1">
      <c r="A295" t="inlineStr">
        <is>
          <t>A 38636-2024</t>
        </is>
      </c>
      <c r="B295" s="1" t="n">
        <v>45546</v>
      </c>
      <c r="C295" s="1" t="n">
        <v>46073</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54201-2025</t>
        </is>
      </c>
      <c r="B296" s="1" t="n">
        <v>45964.58055555556</v>
      </c>
      <c r="C296" s="1" t="n">
        <v>46073</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10909-2024</t>
        </is>
      </c>
      <c r="B297" s="1" t="n">
        <v>45370</v>
      </c>
      <c r="C297" s="1" t="n">
        <v>46073</v>
      </c>
      <c r="D297" t="inlineStr">
        <is>
          <t>VÄSTMANLANDS LÄN</t>
        </is>
      </c>
      <c r="E297" t="inlineStr">
        <is>
          <t>SALA</t>
        </is>
      </c>
      <c r="G297" t="n">
        <v>3.3</v>
      </c>
      <c r="H297" t="n">
        <v>0</v>
      </c>
      <c r="I297" t="n">
        <v>0</v>
      </c>
      <c r="J297" t="n">
        <v>0</v>
      </c>
      <c r="K297" t="n">
        <v>0</v>
      </c>
      <c r="L297" t="n">
        <v>0</v>
      </c>
      <c r="M297" t="n">
        <v>0</v>
      </c>
      <c r="N297" t="n">
        <v>0</v>
      </c>
      <c r="O297" t="n">
        <v>0</v>
      </c>
      <c r="P297" t="n">
        <v>0</v>
      </c>
      <c r="Q297" t="n">
        <v>0</v>
      </c>
      <c r="R297" s="2" t="inlineStr"/>
    </row>
    <row r="298" ht="15" customHeight="1">
      <c r="A298" t="inlineStr">
        <is>
          <t>A 44100-2025</t>
        </is>
      </c>
      <c r="B298" s="1" t="n">
        <v>45915.56707175926</v>
      </c>
      <c r="C298" s="1" t="n">
        <v>46073</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54344-2025</t>
        </is>
      </c>
      <c r="B299" s="1" t="n">
        <v>45965.36462962963</v>
      </c>
      <c r="C299" s="1" t="n">
        <v>46073</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54590-2025</t>
        </is>
      </c>
      <c r="B300" s="1" t="n">
        <v>45965.74199074074</v>
      </c>
      <c r="C300" s="1" t="n">
        <v>46073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45313-2024</t>
        </is>
      </c>
      <c r="B301" s="1" t="n">
        <v>45576</v>
      </c>
      <c r="C301" s="1" t="n">
        <v>46073</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56535-2022</t>
        </is>
      </c>
      <c r="B302" s="1" t="n">
        <v>44893.47173611111</v>
      </c>
      <c r="C302" s="1" t="n">
        <v>46073</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47909-2022</t>
        </is>
      </c>
      <c r="B303" s="1" t="n">
        <v>44855</v>
      </c>
      <c r="C303" s="1" t="n">
        <v>46073</v>
      </c>
      <c r="D303" t="inlineStr">
        <is>
          <t>VÄSTMANLANDS LÄN</t>
        </is>
      </c>
      <c r="E303" t="inlineStr">
        <is>
          <t>SALA</t>
        </is>
      </c>
      <c r="F303" t="inlineStr">
        <is>
          <t>Bergvik skog öst AB</t>
        </is>
      </c>
      <c r="G303" t="n">
        <v>2</v>
      </c>
      <c r="H303" t="n">
        <v>0</v>
      </c>
      <c r="I303" t="n">
        <v>0</v>
      </c>
      <c r="J303" t="n">
        <v>0</v>
      </c>
      <c r="K303" t="n">
        <v>0</v>
      </c>
      <c r="L303" t="n">
        <v>0</v>
      </c>
      <c r="M303" t="n">
        <v>0</v>
      </c>
      <c r="N303" t="n">
        <v>0</v>
      </c>
      <c r="O303" t="n">
        <v>0</v>
      </c>
      <c r="P303" t="n">
        <v>0</v>
      </c>
      <c r="Q303" t="n">
        <v>0</v>
      </c>
      <c r="R303" s="2" t="inlineStr"/>
    </row>
    <row r="304" ht="15" customHeight="1">
      <c r="A304" t="inlineStr">
        <is>
          <t>A 44486-2025</t>
        </is>
      </c>
      <c r="B304" s="1" t="n">
        <v>45916.65517361111</v>
      </c>
      <c r="C304" s="1" t="n">
        <v>46073</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44524-2025</t>
        </is>
      </c>
      <c r="B305" s="1" t="n">
        <v>45916.72920138889</v>
      </c>
      <c r="C305" s="1" t="n">
        <v>46073</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52630-2022</t>
        </is>
      </c>
      <c r="B306" s="1" t="n">
        <v>44874</v>
      </c>
      <c r="C306" s="1" t="n">
        <v>46073</v>
      </c>
      <c r="D306" t="inlineStr">
        <is>
          <t>VÄSTMANLANDS LÄN</t>
        </is>
      </c>
      <c r="E306" t="inlineStr">
        <is>
          <t>SALA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43122-2025</t>
        </is>
      </c>
      <c r="B307" s="1" t="n">
        <v>45909</v>
      </c>
      <c r="C307" s="1" t="n">
        <v>46073</v>
      </c>
      <c r="D307" t="inlineStr">
        <is>
          <t>VÄSTMANLANDS LÄN</t>
        </is>
      </c>
      <c r="E307" t="inlineStr">
        <is>
          <t>SALA</t>
        </is>
      </c>
      <c r="G307" t="n">
        <v>3.2</v>
      </c>
      <c r="H307" t="n">
        <v>0</v>
      </c>
      <c r="I307" t="n">
        <v>0</v>
      </c>
      <c r="J307" t="n">
        <v>0</v>
      </c>
      <c r="K307" t="n">
        <v>0</v>
      </c>
      <c r="L307" t="n">
        <v>0</v>
      </c>
      <c r="M307" t="n">
        <v>0</v>
      </c>
      <c r="N307" t="n">
        <v>0</v>
      </c>
      <c r="O307" t="n">
        <v>0</v>
      </c>
      <c r="P307" t="n">
        <v>0</v>
      </c>
      <c r="Q307" t="n">
        <v>0</v>
      </c>
      <c r="R307" s="2" t="inlineStr"/>
    </row>
    <row r="308" ht="15" customHeight="1">
      <c r="A308" t="inlineStr">
        <is>
          <t>A 56687-2024</t>
        </is>
      </c>
      <c r="B308" s="1" t="n">
        <v>45627.63271990741</v>
      </c>
      <c r="C308" s="1" t="n">
        <v>46073</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54893-2025</t>
        </is>
      </c>
      <c r="B309" s="1" t="n">
        <v>45967.36383101852</v>
      </c>
      <c r="C309" s="1" t="n">
        <v>46073</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19033-2025</t>
        </is>
      </c>
      <c r="B310" s="1" t="n">
        <v>45764.65796296296</v>
      </c>
      <c r="C310" s="1" t="n">
        <v>46073</v>
      </c>
      <c r="D310" t="inlineStr">
        <is>
          <t>VÄSTMANLANDS LÄN</t>
        </is>
      </c>
      <c r="E310" t="inlineStr">
        <is>
          <t>SALA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61715-2024</t>
        </is>
      </c>
      <c r="B311" s="1" t="n">
        <v>45648.89519675926</v>
      </c>
      <c r="C311" s="1" t="n">
        <v>46073</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16404-2022</t>
        </is>
      </c>
      <c r="B312" s="1" t="n">
        <v>44671</v>
      </c>
      <c r="C312" s="1" t="n">
        <v>46073</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6097-2022</t>
        </is>
      </c>
      <c r="B313" s="1" t="n">
        <v>44599</v>
      </c>
      <c r="C313" s="1" t="n">
        <v>46073</v>
      </c>
      <c r="D313" t="inlineStr">
        <is>
          <t>VÄSTMANLANDS LÄN</t>
        </is>
      </c>
      <c r="E313" t="inlineStr">
        <is>
          <t>SALA</t>
        </is>
      </c>
      <c r="G313" t="n">
        <v>0.6</v>
      </c>
      <c r="H313" t="n">
        <v>0</v>
      </c>
      <c r="I313" t="n">
        <v>0</v>
      </c>
      <c r="J313" t="n">
        <v>0</v>
      </c>
      <c r="K313" t="n">
        <v>0</v>
      </c>
      <c r="L313" t="n">
        <v>0</v>
      </c>
      <c r="M313" t="n">
        <v>0</v>
      </c>
      <c r="N313" t="n">
        <v>0</v>
      </c>
      <c r="O313" t="n">
        <v>0</v>
      </c>
      <c r="P313" t="n">
        <v>0</v>
      </c>
      <c r="Q313" t="n">
        <v>0</v>
      </c>
      <c r="R313" s="2" t="inlineStr"/>
    </row>
    <row r="314" ht="15" customHeight="1">
      <c r="A314" t="inlineStr">
        <is>
          <t>A 45371-2025</t>
        </is>
      </c>
      <c r="B314" s="1" t="n">
        <v>45922.39001157408</v>
      </c>
      <c r="C314" s="1" t="n">
        <v>46073</v>
      </c>
      <c r="D314" t="inlineStr">
        <is>
          <t>VÄSTMANLANDS LÄN</t>
        </is>
      </c>
      <c r="E314" t="inlineStr">
        <is>
          <t>SALA</t>
        </is>
      </c>
      <c r="G314" t="n">
        <v>2.1</v>
      </c>
      <c r="H314" t="n">
        <v>0</v>
      </c>
      <c r="I314" t="n">
        <v>0</v>
      </c>
      <c r="J314" t="n">
        <v>0</v>
      </c>
      <c r="K314" t="n">
        <v>0</v>
      </c>
      <c r="L314" t="n">
        <v>0</v>
      </c>
      <c r="M314" t="n">
        <v>0</v>
      </c>
      <c r="N314" t="n">
        <v>0</v>
      </c>
      <c r="O314" t="n">
        <v>0</v>
      </c>
      <c r="P314" t="n">
        <v>0</v>
      </c>
      <c r="Q314" t="n">
        <v>0</v>
      </c>
      <c r="R314" s="2" t="inlineStr"/>
    </row>
    <row r="315" ht="15" customHeight="1">
      <c r="A315" t="inlineStr">
        <is>
          <t>A 45177-2025</t>
        </is>
      </c>
      <c r="B315" s="1" t="n">
        <v>45919.52444444445</v>
      </c>
      <c r="C315" s="1" t="n">
        <v>46073</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10559-2024</t>
        </is>
      </c>
      <c r="B316" s="1" t="n">
        <v>45366</v>
      </c>
      <c r="C316" s="1" t="n">
        <v>46073</v>
      </c>
      <c r="D316" t="inlineStr">
        <is>
          <t>VÄSTMANLANDS LÄN</t>
        </is>
      </c>
      <c r="E316" t="inlineStr">
        <is>
          <t>SALA</t>
        </is>
      </c>
      <c r="G316" t="n">
        <v>0.3</v>
      </c>
      <c r="H316" t="n">
        <v>0</v>
      </c>
      <c r="I316" t="n">
        <v>0</v>
      </c>
      <c r="J316" t="n">
        <v>0</v>
      </c>
      <c r="K316" t="n">
        <v>0</v>
      </c>
      <c r="L316" t="n">
        <v>0</v>
      </c>
      <c r="M316" t="n">
        <v>0</v>
      </c>
      <c r="N316" t="n">
        <v>0</v>
      </c>
      <c r="O316" t="n">
        <v>0</v>
      </c>
      <c r="P316" t="n">
        <v>0</v>
      </c>
      <c r="Q316" t="n">
        <v>0</v>
      </c>
      <c r="R316" s="2" t="inlineStr"/>
    </row>
    <row r="317" ht="15" customHeight="1">
      <c r="A317" t="inlineStr">
        <is>
          <t>A 26661-2025</t>
        </is>
      </c>
      <c r="B317" s="1" t="n">
        <v>45810</v>
      </c>
      <c r="C317" s="1" t="n">
        <v>46073</v>
      </c>
      <c r="D317" t="inlineStr">
        <is>
          <t>VÄSTMANLANDS LÄN</t>
        </is>
      </c>
      <c r="E317" t="inlineStr">
        <is>
          <t>SALA</t>
        </is>
      </c>
      <c r="G317" t="n">
        <v>3.5</v>
      </c>
      <c r="H317" t="n">
        <v>0</v>
      </c>
      <c r="I317" t="n">
        <v>0</v>
      </c>
      <c r="J317" t="n">
        <v>0</v>
      </c>
      <c r="K317" t="n">
        <v>0</v>
      </c>
      <c r="L317" t="n">
        <v>0</v>
      </c>
      <c r="M317" t="n">
        <v>0</v>
      </c>
      <c r="N317" t="n">
        <v>0</v>
      </c>
      <c r="O317" t="n">
        <v>0</v>
      </c>
      <c r="P317" t="n">
        <v>0</v>
      </c>
      <c r="Q317" t="n">
        <v>0</v>
      </c>
      <c r="R317" s="2" t="inlineStr"/>
    </row>
    <row r="318" ht="15" customHeight="1">
      <c r="A318" t="inlineStr">
        <is>
          <t>A 55997-2025</t>
        </is>
      </c>
      <c r="B318" s="1" t="n">
        <v>45973.56833333334</v>
      </c>
      <c r="C318" s="1" t="n">
        <v>46073</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60545-2024</t>
        </is>
      </c>
      <c r="B319" s="1" t="n">
        <v>45643</v>
      </c>
      <c r="C319" s="1" t="n">
        <v>46073</v>
      </c>
      <c r="D319" t="inlineStr">
        <is>
          <t>VÄSTMANLANDS LÄN</t>
        </is>
      </c>
      <c r="E319" t="inlineStr">
        <is>
          <t>SALA</t>
        </is>
      </c>
      <c r="G319" t="n">
        <v>3.3</v>
      </c>
      <c r="H319" t="n">
        <v>0</v>
      </c>
      <c r="I319" t="n">
        <v>0</v>
      </c>
      <c r="J319" t="n">
        <v>0</v>
      </c>
      <c r="K319" t="n">
        <v>0</v>
      </c>
      <c r="L319" t="n">
        <v>0</v>
      </c>
      <c r="M319" t="n">
        <v>0</v>
      </c>
      <c r="N319" t="n">
        <v>0</v>
      </c>
      <c r="O319" t="n">
        <v>0</v>
      </c>
      <c r="P319" t="n">
        <v>0</v>
      </c>
      <c r="Q319" t="n">
        <v>0</v>
      </c>
      <c r="R319" s="2" t="inlineStr"/>
    </row>
    <row r="320" ht="15" customHeight="1">
      <c r="A320" t="inlineStr">
        <is>
          <t>A 60547-2024</t>
        </is>
      </c>
      <c r="B320" s="1" t="n">
        <v>45643</v>
      </c>
      <c r="C320" s="1" t="n">
        <v>46073</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15965-2024</t>
        </is>
      </c>
      <c r="B321" s="1" t="n">
        <v>45405.55740740741</v>
      </c>
      <c r="C321" s="1" t="n">
        <v>46073</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45914-2025</t>
        </is>
      </c>
      <c r="B322" s="1" t="n">
        <v>45923.82582175926</v>
      </c>
      <c r="C322" s="1" t="n">
        <v>46073</v>
      </c>
      <c r="D322" t="inlineStr">
        <is>
          <t>VÄSTMANLANDS LÄN</t>
        </is>
      </c>
      <c r="E322" t="inlineStr">
        <is>
          <t>SALA</t>
        </is>
      </c>
      <c r="F322" t="inlineStr">
        <is>
          <t>Kommuner</t>
        </is>
      </c>
      <c r="G322" t="n">
        <v>18.2</v>
      </c>
      <c r="H322" t="n">
        <v>0</v>
      </c>
      <c r="I322" t="n">
        <v>0</v>
      </c>
      <c r="J322" t="n">
        <v>0</v>
      </c>
      <c r="K322" t="n">
        <v>0</v>
      </c>
      <c r="L322" t="n">
        <v>0</v>
      </c>
      <c r="M322" t="n">
        <v>0</v>
      </c>
      <c r="N322" t="n">
        <v>0</v>
      </c>
      <c r="O322" t="n">
        <v>0</v>
      </c>
      <c r="P322" t="n">
        <v>0</v>
      </c>
      <c r="Q322" t="n">
        <v>0</v>
      </c>
      <c r="R322" s="2" t="inlineStr"/>
    </row>
    <row r="323" ht="15" customHeight="1">
      <c r="A323" t="inlineStr">
        <is>
          <t>A 45909-2025</t>
        </is>
      </c>
      <c r="B323" s="1" t="n">
        <v>45923.75078703704</v>
      </c>
      <c r="C323" s="1" t="n">
        <v>46073</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1196-2023</t>
        </is>
      </c>
      <c r="B324" s="1" t="n">
        <v>44935.82290509259</v>
      </c>
      <c r="C324" s="1" t="n">
        <v>46073</v>
      </c>
      <c r="D324" t="inlineStr">
        <is>
          <t>VÄSTMANLANDS LÄN</t>
        </is>
      </c>
      <c r="E324" t="inlineStr">
        <is>
          <t>SALA</t>
        </is>
      </c>
      <c r="G324" t="n">
        <v>4.1</v>
      </c>
      <c r="H324" t="n">
        <v>0</v>
      </c>
      <c r="I324" t="n">
        <v>0</v>
      </c>
      <c r="J324" t="n">
        <v>0</v>
      </c>
      <c r="K324" t="n">
        <v>0</v>
      </c>
      <c r="L324" t="n">
        <v>0</v>
      </c>
      <c r="M324" t="n">
        <v>0</v>
      </c>
      <c r="N324" t="n">
        <v>0</v>
      </c>
      <c r="O324" t="n">
        <v>0</v>
      </c>
      <c r="P324" t="n">
        <v>0</v>
      </c>
      <c r="Q324" t="n">
        <v>0</v>
      </c>
      <c r="R324" s="2" t="inlineStr"/>
    </row>
    <row r="325" ht="15" customHeight="1">
      <c r="A325" t="inlineStr">
        <is>
          <t>A 46597-2025</t>
        </is>
      </c>
      <c r="B325" s="1" t="n">
        <v>45926.40113425926</v>
      </c>
      <c r="C325" s="1" t="n">
        <v>46073</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62651-2022</t>
        </is>
      </c>
      <c r="B326" s="1" t="n">
        <v>44917</v>
      </c>
      <c r="C326" s="1" t="n">
        <v>46073</v>
      </c>
      <c r="D326" t="inlineStr">
        <is>
          <t>VÄSTMANLANDS LÄN</t>
        </is>
      </c>
      <c r="E326" t="inlineStr">
        <is>
          <t>SALA</t>
        </is>
      </c>
      <c r="G326" t="n">
        <v>0.4</v>
      </c>
      <c r="H326" t="n">
        <v>0</v>
      </c>
      <c r="I326" t="n">
        <v>0</v>
      </c>
      <c r="J326" t="n">
        <v>0</v>
      </c>
      <c r="K326" t="n">
        <v>0</v>
      </c>
      <c r="L326" t="n">
        <v>0</v>
      </c>
      <c r="M326" t="n">
        <v>0</v>
      </c>
      <c r="N326" t="n">
        <v>0</v>
      </c>
      <c r="O326" t="n">
        <v>0</v>
      </c>
      <c r="P326" t="n">
        <v>0</v>
      </c>
      <c r="Q326" t="n">
        <v>0</v>
      </c>
      <c r="R326" s="2" t="inlineStr"/>
    </row>
    <row r="327" ht="15" customHeight="1">
      <c r="A327" t="inlineStr">
        <is>
          <t>A 54836-2024</t>
        </is>
      </c>
      <c r="B327" s="1" t="n">
        <v>45618</v>
      </c>
      <c r="C327" s="1" t="n">
        <v>46073</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13987-2023</t>
        </is>
      </c>
      <c r="B328" s="1" t="n">
        <v>45007</v>
      </c>
      <c r="C328" s="1" t="n">
        <v>46073</v>
      </c>
      <c r="D328" t="inlineStr">
        <is>
          <t>VÄSTMANLANDS LÄN</t>
        </is>
      </c>
      <c r="E328" t="inlineStr">
        <is>
          <t>SALA</t>
        </is>
      </c>
      <c r="G328" t="n">
        <v>3.2</v>
      </c>
      <c r="H328" t="n">
        <v>0</v>
      </c>
      <c r="I328" t="n">
        <v>0</v>
      </c>
      <c r="J328" t="n">
        <v>0</v>
      </c>
      <c r="K328" t="n">
        <v>0</v>
      </c>
      <c r="L328" t="n">
        <v>0</v>
      </c>
      <c r="M328" t="n">
        <v>0</v>
      </c>
      <c r="N328" t="n">
        <v>0</v>
      </c>
      <c r="O328" t="n">
        <v>0</v>
      </c>
      <c r="P328" t="n">
        <v>0</v>
      </c>
      <c r="Q328" t="n">
        <v>0</v>
      </c>
      <c r="R328" s="2" t="inlineStr"/>
    </row>
    <row r="329" ht="15" customHeight="1">
      <c r="A329" t="inlineStr">
        <is>
          <t>A 13990-2023</t>
        </is>
      </c>
      <c r="B329" s="1" t="n">
        <v>45007</v>
      </c>
      <c r="C329" s="1" t="n">
        <v>46073</v>
      </c>
      <c r="D329" t="inlineStr">
        <is>
          <t>VÄSTMANLANDS LÄN</t>
        </is>
      </c>
      <c r="E329" t="inlineStr">
        <is>
          <t>SALA</t>
        </is>
      </c>
      <c r="G329" t="n">
        <v>2.6</v>
      </c>
      <c r="H329" t="n">
        <v>0</v>
      </c>
      <c r="I329" t="n">
        <v>0</v>
      </c>
      <c r="J329" t="n">
        <v>0</v>
      </c>
      <c r="K329" t="n">
        <v>0</v>
      </c>
      <c r="L329" t="n">
        <v>0</v>
      </c>
      <c r="M329" t="n">
        <v>0</v>
      </c>
      <c r="N329" t="n">
        <v>0</v>
      </c>
      <c r="O329" t="n">
        <v>0</v>
      </c>
      <c r="P329" t="n">
        <v>0</v>
      </c>
      <c r="Q329" t="n">
        <v>0</v>
      </c>
      <c r="R329" s="2" t="inlineStr"/>
    </row>
    <row r="330" ht="15" customHeight="1">
      <c r="A330" t="inlineStr">
        <is>
          <t>A 51464-2024</t>
        </is>
      </c>
      <c r="B330" s="1" t="n">
        <v>45604.49768518518</v>
      </c>
      <c r="C330" s="1" t="n">
        <v>46073</v>
      </c>
      <c r="D330" t="inlineStr">
        <is>
          <t>VÄSTMANLANDS LÄN</t>
        </is>
      </c>
      <c r="E330" t="inlineStr">
        <is>
          <t>SALA</t>
        </is>
      </c>
      <c r="G330" t="n">
        <v>3.9</v>
      </c>
      <c r="H330" t="n">
        <v>0</v>
      </c>
      <c r="I330" t="n">
        <v>0</v>
      </c>
      <c r="J330" t="n">
        <v>0</v>
      </c>
      <c r="K330" t="n">
        <v>0</v>
      </c>
      <c r="L330" t="n">
        <v>0</v>
      </c>
      <c r="M330" t="n">
        <v>0</v>
      </c>
      <c r="N330" t="n">
        <v>0</v>
      </c>
      <c r="O330" t="n">
        <v>0</v>
      </c>
      <c r="P330" t="n">
        <v>0</v>
      </c>
      <c r="Q330" t="n">
        <v>0</v>
      </c>
      <c r="R330" s="2" t="inlineStr"/>
    </row>
    <row r="331" ht="15" customHeight="1">
      <c r="A331" t="inlineStr">
        <is>
          <t>A 28193-2025</t>
        </is>
      </c>
      <c r="B331" s="1" t="n">
        <v>45818.425625</v>
      </c>
      <c r="C331" s="1" t="n">
        <v>46073</v>
      </c>
      <c r="D331" t="inlineStr">
        <is>
          <t>VÄSTMANLANDS LÄN</t>
        </is>
      </c>
      <c r="E331" t="inlineStr">
        <is>
          <t>SALA</t>
        </is>
      </c>
      <c r="G331" t="n">
        <v>1.8</v>
      </c>
      <c r="H331" t="n">
        <v>0</v>
      </c>
      <c r="I331" t="n">
        <v>0</v>
      </c>
      <c r="J331" t="n">
        <v>0</v>
      </c>
      <c r="K331" t="n">
        <v>0</v>
      </c>
      <c r="L331" t="n">
        <v>0</v>
      </c>
      <c r="M331" t="n">
        <v>0</v>
      </c>
      <c r="N331" t="n">
        <v>0</v>
      </c>
      <c r="O331" t="n">
        <v>0</v>
      </c>
      <c r="P331" t="n">
        <v>0</v>
      </c>
      <c r="Q331" t="n">
        <v>0</v>
      </c>
      <c r="R331" s="2" t="inlineStr"/>
    </row>
    <row r="332" ht="15" customHeight="1">
      <c r="A332" t="inlineStr">
        <is>
          <t>A 27981-2025</t>
        </is>
      </c>
      <c r="B332" s="1" t="n">
        <v>45817.57471064815</v>
      </c>
      <c r="C332" s="1" t="n">
        <v>46073</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1128-2025</t>
        </is>
      </c>
      <c r="B333" s="1" t="n">
        <v>45666.68469907407</v>
      </c>
      <c r="C333" s="1" t="n">
        <v>46073</v>
      </c>
      <c r="D333" t="inlineStr">
        <is>
          <t>VÄSTMANLANDS LÄN</t>
        </is>
      </c>
      <c r="E333" t="inlineStr">
        <is>
          <t>SALA</t>
        </is>
      </c>
      <c r="G333" t="n">
        <v>2.5</v>
      </c>
      <c r="H333" t="n">
        <v>0</v>
      </c>
      <c r="I333" t="n">
        <v>0</v>
      </c>
      <c r="J333" t="n">
        <v>0</v>
      </c>
      <c r="K333" t="n">
        <v>0</v>
      </c>
      <c r="L333" t="n">
        <v>0</v>
      </c>
      <c r="M333" t="n">
        <v>0</v>
      </c>
      <c r="N333" t="n">
        <v>0</v>
      </c>
      <c r="O333" t="n">
        <v>0</v>
      </c>
      <c r="P333" t="n">
        <v>0</v>
      </c>
      <c r="Q333" t="n">
        <v>0</v>
      </c>
      <c r="R333" s="2" t="inlineStr"/>
    </row>
    <row r="334" ht="15" customHeight="1">
      <c r="A334" t="inlineStr">
        <is>
          <t>A 43176-2023</t>
        </is>
      </c>
      <c r="B334" s="1" t="n">
        <v>45183</v>
      </c>
      <c r="C334" s="1" t="n">
        <v>46073</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28278-2025</t>
        </is>
      </c>
      <c r="B335" s="1" t="n">
        <v>45818.58454861111</v>
      </c>
      <c r="C335" s="1" t="n">
        <v>46073</v>
      </c>
      <c r="D335" t="inlineStr">
        <is>
          <t>VÄSTMANLANDS LÄN</t>
        </is>
      </c>
      <c r="E335" t="inlineStr">
        <is>
          <t>SALA</t>
        </is>
      </c>
      <c r="G335" t="n">
        <v>7.6</v>
      </c>
      <c r="H335" t="n">
        <v>0</v>
      </c>
      <c r="I335" t="n">
        <v>0</v>
      </c>
      <c r="J335" t="n">
        <v>0</v>
      </c>
      <c r="K335" t="n">
        <v>0</v>
      </c>
      <c r="L335" t="n">
        <v>0</v>
      </c>
      <c r="M335" t="n">
        <v>0</v>
      </c>
      <c r="N335" t="n">
        <v>0</v>
      </c>
      <c r="O335" t="n">
        <v>0</v>
      </c>
      <c r="P335" t="n">
        <v>0</v>
      </c>
      <c r="Q335" t="n">
        <v>0</v>
      </c>
      <c r="R335" s="2" t="inlineStr"/>
    </row>
    <row r="336" ht="15" customHeight="1">
      <c r="A336" t="inlineStr">
        <is>
          <t>A 46661-2025</t>
        </is>
      </c>
      <c r="B336" s="1" t="n">
        <v>45926</v>
      </c>
      <c r="C336" s="1" t="n">
        <v>46073</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73835-2021</t>
        </is>
      </c>
      <c r="B337" s="1" t="n">
        <v>44552.92112268518</v>
      </c>
      <c r="C337" s="1" t="n">
        <v>46073</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60379-2022</t>
        </is>
      </c>
      <c r="B338" s="1" t="n">
        <v>44910</v>
      </c>
      <c r="C338" s="1" t="n">
        <v>46073</v>
      </c>
      <c r="D338" t="inlineStr">
        <is>
          <t>VÄSTMANLANDS LÄN</t>
        </is>
      </c>
      <c r="E338" t="inlineStr">
        <is>
          <t>SALA</t>
        </is>
      </c>
      <c r="F338" t="inlineStr">
        <is>
          <t>Kyrkan</t>
        </is>
      </c>
      <c r="G338" t="n">
        <v>2.5</v>
      </c>
      <c r="H338" t="n">
        <v>0</v>
      </c>
      <c r="I338" t="n">
        <v>0</v>
      </c>
      <c r="J338" t="n">
        <v>0</v>
      </c>
      <c r="K338" t="n">
        <v>0</v>
      </c>
      <c r="L338" t="n">
        <v>0</v>
      </c>
      <c r="M338" t="n">
        <v>0</v>
      </c>
      <c r="N338" t="n">
        <v>0</v>
      </c>
      <c r="O338" t="n">
        <v>0</v>
      </c>
      <c r="P338" t="n">
        <v>0</v>
      </c>
      <c r="Q338" t="n">
        <v>0</v>
      </c>
      <c r="R338" s="2" t="inlineStr"/>
    </row>
    <row r="339" ht="15" customHeight="1">
      <c r="A339" t="inlineStr">
        <is>
          <t>A 27989-2025</t>
        </is>
      </c>
      <c r="B339" s="1" t="n">
        <v>45817.58716435185</v>
      </c>
      <c r="C339" s="1" t="n">
        <v>46073</v>
      </c>
      <c r="D339" t="inlineStr">
        <is>
          <t>VÄSTMANLANDS LÄN</t>
        </is>
      </c>
      <c r="E339" t="inlineStr">
        <is>
          <t>SALA</t>
        </is>
      </c>
      <c r="G339" t="n">
        <v>1.9</v>
      </c>
      <c r="H339" t="n">
        <v>0</v>
      </c>
      <c r="I339" t="n">
        <v>0</v>
      </c>
      <c r="J339" t="n">
        <v>0</v>
      </c>
      <c r="K339" t="n">
        <v>0</v>
      </c>
      <c r="L339" t="n">
        <v>0</v>
      </c>
      <c r="M339" t="n">
        <v>0</v>
      </c>
      <c r="N339" t="n">
        <v>0</v>
      </c>
      <c r="O339" t="n">
        <v>0</v>
      </c>
      <c r="P339" t="n">
        <v>0</v>
      </c>
      <c r="Q339" t="n">
        <v>0</v>
      </c>
      <c r="R339" s="2" t="inlineStr"/>
    </row>
    <row r="340" ht="15" customHeight="1">
      <c r="A340" t="inlineStr">
        <is>
          <t>A 1638-2023</t>
        </is>
      </c>
      <c r="B340" s="1" t="n">
        <v>44937</v>
      </c>
      <c r="C340" s="1" t="n">
        <v>46073</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7953-2024</t>
        </is>
      </c>
      <c r="B341" s="1" t="n">
        <v>45350</v>
      </c>
      <c r="C341" s="1" t="n">
        <v>46073</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28284-2025</t>
        </is>
      </c>
      <c r="B342" s="1" t="n">
        <v>45818.58893518519</v>
      </c>
      <c r="C342" s="1" t="n">
        <v>46073</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5477-2024</t>
        </is>
      </c>
      <c r="B343" s="1" t="n">
        <v>45333.67833333334</v>
      </c>
      <c r="C343" s="1" t="n">
        <v>46073</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28632-2025</t>
        </is>
      </c>
      <c r="B344" s="1" t="n">
        <v>45819.62344907408</v>
      </c>
      <c r="C344" s="1" t="n">
        <v>46073</v>
      </c>
      <c r="D344" t="inlineStr">
        <is>
          <t>VÄSTMANLANDS LÄN</t>
        </is>
      </c>
      <c r="E344" t="inlineStr">
        <is>
          <t>SALA</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46915-2025</t>
        </is>
      </c>
      <c r="B345" s="1" t="n">
        <v>45929.42114583333</v>
      </c>
      <c r="C345" s="1" t="n">
        <v>46073</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55714-2025</t>
        </is>
      </c>
      <c r="B346" s="1" t="n">
        <v>45972.49131944445</v>
      </c>
      <c r="C346" s="1" t="n">
        <v>46073</v>
      </c>
      <c r="D346" t="inlineStr">
        <is>
          <t>VÄSTMANLANDS LÄN</t>
        </is>
      </c>
      <c r="E346" t="inlineStr">
        <is>
          <t>SALA</t>
        </is>
      </c>
      <c r="G346" t="n">
        <v>6.6</v>
      </c>
      <c r="H346" t="n">
        <v>0</v>
      </c>
      <c r="I346" t="n">
        <v>0</v>
      </c>
      <c r="J346" t="n">
        <v>0</v>
      </c>
      <c r="K346" t="n">
        <v>0</v>
      </c>
      <c r="L346" t="n">
        <v>0</v>
      </c>
      <c r="M346" t="n">
        <v>0</v>
      </c>
      <c r="N346" t="n">
        <v>0</v>
      </c>
      <c r="O346" t="n">
        <v>0</v>
      </c>
      <c r="P346" t="n">
        <v>0</v>
      </c>
      <c r="Q346" t="n">
        <v>0</v>
      </c>
      <c r="R346" s="2" t="inlineStr"/>
    </row>
    <row r="347" ht="15" customHeight="1">
      <c r="A347" t="inlineStr">
        <is>
          <t>A 28628-2025</t>
        </is>
      </c>
      <c r="B347" s="1" t="n">
        <v>45819.62158564815</v>
      </c>
      <c r="C347" s="1" t="n">
        <v>46073</v>
      </c>
      <c r="D347" t="inlineStr">
        <is>
          <t>VÄSTMANLANDS LÄN</t>
        </is>
      </c>
      <c r="E347" t="inlineStr">
        <is>
          <t>SALA</t>
        </is>
      </c>
      <c r="F347" t="inlineStr">
        <is>
          <t>Sveaskog</t>
        </is>
      </c>
      <c r="G347" t="n">
        <v>0.9</v>
      </c>
      <c r="H347" t="n">
        <v>0</v>
      </c>
      <c r="I347" t="n">
        <v>0</v>
      </c>
      <c r="J347" t="n">
        <v>0</v>
      </c>
      <c r="K347" t="n">
        <v>0</v>
      </c>
      <c r="L347" t="n">
        <v>0</v>
      </c>
      <c r="M347" t="n">
        <v>0</v>
      </c>
      <c r="N347" t="n">
        <v>0</v>
      </c>
      <c r="O347" t="n">
        <v>0</v>
      </c>
      <c r="P347" t="n">
        <v>0</v>
      </c>
      <c r="Q347" t="n">
        <v>0</v>
      </c>
      <c r="R347" s="2" t="inlineStr"/>
    </row>
    <row r="348" ht="15" customHeight="1">
      <c r="A348" t="inlineStr">
        <is>
          <t>A 28630-2025</t>
        </is>
      </c>
      <c r="B348" s="1" t="n">
        <v>45819.62274305556</v>
      </c>
      <c r="C348" s="1" t="n">
        <v>46073</v>
      </c>
      <c r="D348" t="inlineStr">
        <is>
          <t>VÄSTMANLANDS LÄN</t>
        </is>
      </c>
      <c r="E348" t="inlineStr">
        <is>
          <t>SALA</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56614-2025</t>
        </is>
      </c>
      <c r="B349" s="1" t="n">
        <v>45975.59288194445</v>
      </c>
      <c r="C349" s="1" t="n">
        <v>46073</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56611-2025</t>
        </is>
      </c>
      <c r="B350" s="1" t="n">
        <v>45975</v>
      </c>
      <c r="C350" s="1" t="n">
        <v>46073</v>
      </c>
      <c r="D350" t="inlineStr">
        <is>
          <t>VÄSTMANLANDS LÄN</t>
        </is>
      </c>
      <c r="E350" t="inlineStr">
        <is>
          <t>SALA</t>
        </is>
      </c>
      <c r="G350" t="n">
        <v>2.8</v>
      </c>
      <c r="H350" t="n">
        <v>0</v>
      </c>
      <c r="I350" t="n">
        <v>0</v>
      </c>
      <c r="J350" t="n">
        <v>0</v>
      </c>
      <c r="K350" t="n">
        <v>0</v>
      </c>
      <c r="L350" t="n">
        <v>0</v>
      </c>
      <c r="M350" t="n">
        <v>0</v>
      </c>
      <c r="N350" t="n">
        <v>0</v>
      </c>
      <c r="O350" t="n">
        <v>0</v>
      </c>
      <c r="P350" t="n">
        <v>0</v>
      </c>
      <c r="Q350" t="n">
        <v>0</v>
      </c>
      <c r="R350" s="2" t="inlineStr"/>
    </row>
    <row r="351" ht="15" customHeight="1">
      <c r="A351" t="inlineStr">
        <is>
          <t>A 28837-2025</t>
        </is>
      </c>
      <c r="B351" s="1" t="n">
        <v>45820.56243055555</v>
      </c>
      <c r="C351" s="1" t="n">
        <v>46073</v>
      </c>
      <c r="D351" t="inlineStr">
        <is>
          <t>VÄSTMANLANDS LÄN</t>
        </is>
      </c>
      <c r="E351" t="inlineStr">
        <is>
          <t>SALA</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28849-2025</t>
        </is>
      </c>
      <c r="B352" s="1" t="n">
        <v>45820</v>
      </c>
      <c r="C352" s="1" t="n">
        <v>46073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26507-2023</t>
        </is>
      </c>
      <c r="B353" s="1" t="n">
        <v>45092</v>
      </c>
      <c r="C353" s="1" t="n">
        <v>46073</v>
      </c>
      <c r="D353" t="inlineStr">
        <is>
          <t>VÄSTMANLANDS LÄN</t>
        </is>
      </c>
      <c r="E353" t="inlineStr">
        <is>
          <t>SALA</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6032-2025</t>
        </is>
      </c>
      <c r="B354" s="1" t="n">
        <v>45695.6371875</v>
      </c>
      <c r="C354" s="1" t="n">
        <v>46073</v>
      </c>
      <c r="D354" t="inlineStr">
        <is>
          <t>VÄSTMANLANDS LÄN</t>
        </is>
      </c>
      <c r="E354" t="inlineStr">
        <is>
          <t>SALA</t>
        </is>
      </c>
      <c r="F354" t="inlineStr">
        <is>
          <t>Bergvik skog öst AB</t>
        </is>
      </c>
      <c r="G354" t="n">
        <v>8.1</v>
      </c>
      <c r="H354" t="n">
        <v>0</v>
      </c>
      <c r="I354" t="n">
        <v>0</v>
      </c>
      <c r="J354" t="n">
        <v>0</v>
      </c>
      <c r="K354" t="n">
        <v>0</v>
      </c>
      <c r="L354" t="n">
        <v>0</v>
      </c>
      <c r="M354" t="n">
        <v>0</v>
      </c>
      <c r="N354" t="n">
        <v>0</v>
      </c>
      <c r="O354" t="n">
        <v>0</v>
      </c>
      <c r="P354" t="n">
        <v>0</v>
      </c>
      <c r="Q354" t="n">
        <v>0</v>
      </c>
      <c r="R354" s="2" t="inlineStr"/>
    </row>
    <row r="355" ht="15" customHeight="1">
      <c r="A355" t="inlineStr">
        <is>
          <t>A 29085-2025</t>
        </is>
      </c>
      <c r="B355" s="1" t="n">
        <v>45821</v>
      </c>
      <c r="C355" s="1" t="n">
        <v>46073</v>
      </c>
      <c r="D355" t="inlineStr">
        <is>
          <t>VÄSTMANLANDS LÄN</t>
        </is>
      </c>
      <c r="E355" t="inlineStr">
        <is>
          <t>SALA</t>
        </is>
      </c>
      <c r="G355" t="n">
        <v>3.5</v>
      </c>
      <c r="H355" t="n">
        <v>0</v>
      </c>
      <c r="I355" t="n">
        <v>0</v>
      </c>
      <c r="J355" t="n">
        <v>0</v>
      </c>
      <c r="K355" t="n">
        <v>0</v>
      </c>
      <c r="L355" t="n">
        <v>0</v>
      </c>
      <c r="M355" t="n">
        <v>0</v>
      </c>
      <c r="N355" t="n">
        <v>0</v>
      </c>
      <c r="O355" t="n">
        <v>0</v>
      </c>
      <c r="P355" t="n">
        <v>0</v>
      </c>
      <c r="Q355" t="n">
        <v>0</v>
      </c>
      <c r="R355" s="2" t="inlineStr"/>
    </row>
    <row r="356" ht="15" customHeight="1">
      <c r="A356" t="inlineStr">
        <is>
          <t>A 57014-2025</t>
        </is>
      </c>
      <c r="B356" s="1" t="n">
        <v>45978</v>
      </c>
      <c r="C356" s="1" t="n">
        <v>46073</v>
      </c>
      <c r="D356" t="inlineStr">
        <is>
          <t>VÄSTMANLANDS LÄN</t>
        </is>
      </c>
      <c r="E356" t="inlineStr">
        <is>
          <t>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34814-2021</t>
        </is>
      </c>
      <c r="B357" s="1" t="n">
        <v>44383</v>
      </c>
      <c r="C357" s="1" t="n">
        <v>46073</v>
      </c>
      <c r="D357" t="inlineStr">
        <is>
          <t>VÄSTMANLANDS LÄN</t>
        </is>
      </c>
      <c r="E357" t="inlineStr">
        <is>
          <t>SALA</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56502-2025</t>
        </is>
      </c>
      <c r="B358" s="1" t="n">
        <v>45975</v>
      </c>
      <c r="C358" s="1" t="n">
        <v>46073</v>
      </c>
      <c r="D358" t="inlineStr">
        <is>
          <t>VÄSTMANLANDS LÄN</t>
        </is>
      </c>
      <c r="E358" t="inlineStr">
        <is>
          <t>SALA</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60541-2024</t>
        </is>
      </c>
      <c r="B359" s="1" t="n">
        <v>45643</v>
      </c>
      <c r="C359" s="1" t="n">
        <v>46073</v>
      </c>
      <c r="D359" t="inlineStr">
        <is>
          <t>VÄSTMANLANDS LÄN</t>
        </is>
      </c>
      <c r="E359" t="inlineStr">
        <is>
          <t>SALA</t>
        </is>
      </c>
      <c r="G359" t="n">
        <v>10.6</v>
      </c>
      <c r="H359" t="n">
        <v>0</v>
      </c>
      <c r="I359" t="n">
        <v>0</v>
      </c>
      <c r="J359" t="n">
        <v>0</v>
      </c>
      <c r="K359" t="n">
        <v>0</v>
      </c>
      <c r="L359" t="n">
        <v>0</v>
      </c>
      <c r="M359" t="n">
        <v>0</v>
      </c>
      <c r="N359" t="n">
        <v>0</v>
      </c>
      <c r="O359" t="n">
        <v>0</v>
      </c>
      <c r="P359" t="n">
        <v>0</v>
      </c>
      <c r="Q359" t="n">
        <v>0</v>
      </c>
      <c r="R359" s="2" t="inlineStr"/>
    </row>
    <row r="360" ht="15" customHeight="1">
      <c r="A360" t="inlineStr">
        <is>
          <t>A 29826-2025</t>
        </is>
      </c>
      <c r="B360" s="1" t="n">
        <v>45825.85761574074</v>
      </c>
      <c r="C360" s="1" t="n">
        <v>46073</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56593-2025</t>
        </is>
      </c>
      <c r="B361" s="1" t="n">
        <v>45975</v>
      </c>
      <c r="C361" s="1" t="n">
        <v>46073</v>
      </c>
      <c r="D361" t="inlineStr">
        <is>
          <t>VÄSTMANLANDS LÄN</t>
        </is>
      </c>
      <c r="E361" t="inlineStr">
        <is>
          <t>SALA</t>
        </is>
      </c>
      <c r="F361" t="inlineStr">
        <is>
          <t>Kyrkan</t>
        </is>
      </c>
      <c r="G361" t="n">
        <v>0.1</v>
      </c>
      <c r="H361" t="n">
        <v>0</v>
      </c>
      <c r="I361" t="n">
        <v>0</v>
      </c>
      <c r="J361" t="n">
        <v>0</v>
      </c>
      <c r="K361" t="n">
        <v>0</v>
      </c>
      <c r="L361" t="n">
        <v>0</v>
      </c>
      <c r="M361" t="n">
        <v>0</v>
      </c>
      <c r="N361" t="n">
        <v>0</v>
      </c>
      <c r="O361" t="n">
        <v>0</v>
      </c>
      <c r="P361" t="n">
        <v>0</v>
      </c>
      <c r="Q361" t="n">
        <v>0</v>
      </c>
      <c r="R361" s="2" t="inlineStr"/>
    </row>
    <row r="362" ht="15" customHeight="1">
      <c r="A362" t="inlineStr">
        <is>
          <t>A 54118-2023</t>
        </is>
      </c>
      <c r="B362" s="1" t="n">
        <v>45232</v>
      </c>
      <c r="C362" s="1" t="n">
        <v>46073</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35462-2024</t>
        </is>
      </c>
      <c r="B363" s="1" t="n">
        <v>45531</v>
      </c>
      <c r="C363" s="1" t="n">
        <v>46073</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29691-2025</t>
        </is>
      </c>
      <c r="B364" s="1" t="n">
        <v>45825.53645833334</v>
      </c>
      <c r="C364" s="1" t="n">
        <v>46073</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56645-2025</t>
        </is>
      </c>
      <c r="B365" s="1" t="n">
        <v>45975.63063657407</v>
      </c>
      <c r="C365" s="1" t="n">
        <v>46073</v>
      </c>
      <c r="D365" t="inlineStr">
        <is>
          <t>VÄSTMANLANDS LÄN</t>
        </is>
      </c>
      <c r="E365" t="inlineStr">
        <is>
          <t>SALA</t>
        </is>
      </c>
      <c r="F365" t="inlineStr">
        <is>
          <t>Bergvik skog öst AB</t>
        </is>
      </c>
      <c r="G365" t="n">
        <v>5.3</v>
      </c>
      <c r="H365" t="n">
        <v>0</v>
      </c>
      <c r="I365" t="n">
        <v>0</v>
      </c>
      <c r="J365" t="n">
        <v>0</v>
      </c>
      <c r="K365" t="n">
        <v>0</v>
      </c>
      <c r="L365" t="n">
        <v>0</v>
      </c>
      <c r="M365" t="n">
        <v>0</v>
      </c>
      <c r="N365" t="n">
        <v>0</v>
      </c>
      <c r="O365" t="n">
        <v>0</v>
      </c>
      <c r="P365" t="n">
        <v>0</v>
      </c>
      <c r="Q365" t="n">
        <v>0</v>
      </c>
      <c r="R365" s="2" t="inlineStr"/>
    </row>
    <row r="366" ht="15" customHeight="1">
      <c r="A366" t="inlineStr">
        <is>
          <t>A 36393-2023</t>
        </is>
      </c>
      <c r="B366" s="1" t="n">
        <v>45152</v>
      </c>
      <c r="C366" s="1" t="n">
        <v>46073</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45790-2023</t>
        </is>
      </c>
      <c r="B367" s="1" t="n">
        <v>45195.45958333334</v>
      </c>
      <c r="C367" s="1" t="n">
        <v>46073</v>
      </c>
      <c r="D367" t="inlineStr">
        <is>
          <t>VÄSTMANLANDS LÄN</t>
        </is>
      </c>
      <c r="E367" t="inlineStr">
        <is>
          <t>SALA</t>
        </is>
      </c>
      <c r="G367" t="n">
        <v>5.7</v>
      </c>
      <c r="H367" t="n">
        <v>0</v>
      </c>
      <c r="I367" t="n">
        <v>0</v>
      </c>
      <c r="J367" t="n">
        <v>0</v>
      </c>
      <c r="K367" t="n">
        <v>0</v>
      </c>
      <c r="L367" t="n">
        <v>0</v>
      </c>
      <c r="M367" t="n">
        <v>0</v>
      </c>
      <c r="N367" t="n">
        <v>0</v>
      </c>
      <c r="O367" t="n">
        <v>0</v>
      </c>
      <c r="P367" t="n">
        <v>0</v>
      </c>
      <c r="Q367" t="n">
        <v>0</v>
      </c>
      <c r="R367" s="2" t="inlineStr"/>
    </row>
    <row r="368" ht="15" customHeight="1">
      <c r="A368" t="inlineStr">
        <is>
          <t>A 56949-2023</t>
        </is>
      </c>
      <c r="B368" s="1" t="n">
        <v>45244.61589120371</v>
      </c>
      <c r="C368" s="1" t="n">
        <v>46073</v>
      </c>
      <c r="D368" t="inlineStr">
        <is>
          <t>VÄSTMANLANDS LÄN</t>
        </is>
      </c>
      <c r="E368" t="inlineStr">
        <is>
          <t>SALA</t>
        </is>
      </c>
      <c r="G368" t="n">
        <v>4.7</v>
      </c>
      <c r="H368" t="n">
        <v>0</v>
      </c>
      <c r="I368" t="n">
        <v>0</v>
      </c>
      <c r="J368" t="n">
        <v>0</v>
      </c>
      <c r="K368" t="n">
        <v>0</v>
      </c>
      <c r="L368" t="n">
        <v>0</v>
      </c>
      <c r="M368" t="n">
        <v>0</v>
      </c>
      <c r="N368" t="n">
        <v>0</v>
      </c>
      <c r="O368" t="n">
        <v>0</v>
      </c>
      <c r="P368" t="n">
        <v>0</v>
      </c>
      <c r="Q368" t="n">
        <v>0</v>
      </c>
      <c r="R368" s="2" t="inlineStr"/>
    </row>
    <row r="369" ht="15" customHeight="1">
      <c r="A369" t="inlineStr">
        <is>
          <t>A 40214-2023</t>
        </is>
      </c>
      <c r="B369" s="1" t="n">
        <v>45169.45173611111</v>
      </c>
      <c r="C369" s="1" t="n">
        <v>46073</v>
      </c>
      <c r="D369" t="inlineStr">
        <is>
          <t>VÄSTMANLANDS LÄN</t>
        </is>
      </c>
      <c r="E369" t="inlineStr">
        <is>
          <t>SALA</t>
        </is>
      </c>
      <c r="G369" t="n">
        <v>5.5</v>
      </c>
      <c r="H369" t="n">
        <v>0</v>
      </c>
      <c r="I369" t="n">
        <v>0</v>
      </c>
      <c r="J369" t="n">
        <v>0</v>
      </c>
      <c r="K369" t="n">
        <v>0</v>
      </c>
      <c r="L369" t="n">
        <v>0</v>
      </c>
      <c r="M369" t="n">
        <v>0</v>
      </c>
      <c r="N369" t="n">
        <v>0</v>
      </c>
      <c r="O369" t="n">
        <v>0</v>
      </c>
      <c r="P369" t="n">
        <v>0</v>
      </c>
      <c r="Q369" t="n">
        <v>0</v>
      </c>
      <c r="R369" s="2" t="inlineStr"/>
    </row>
    <row r="370" ht="15" customHeight="1">
      <c r="A370" t="inlineStr">
        <is>
          <t>A 30874-2025</t>
        </is>
      </c>
      <c r="B370" s="1" t="n">
        <v>45832.34430555555</v>
      </c>
      <c r="C370" s="1" t="n">
        <v>46073</v>
      </c>
      <c r="D370" t="inlineStr">
        <is>
          <t>VÄSTMANLANDS LÄN</t>
        </is>
      </c>
      <c r="E370" t="inlineStr">
        <is>
          <t>SALA</t>
        </is>
      </c>
      <c r="G370" t="n">
        <v>8.4</v>
      </c>
      <c r="H370" t="n">
        <v>0</v>
      </c>
      <c r="I370" t="n">
        <v>0</v>
      </c>
      <c r="J370" t="n">
        <v>0</v>
      </c>
      <c r="K370" t="n">
        <v>0</v>
      </c>
      <c r="L370" t="n">
        <v>0</v>
      </c>
      <c r="M370" t="n">
        <v>0</v>
      </c>
      <c r="N370" t="n">
        <v>0</v>
      </c>
      <c r="O370" t="n">
        <v>0</v>
      </c>
      <c r="P370" t="n">
        <v>0</v>
      </c>
      <c r="Q370" t="n">
        <v>0</v>
      </c>
      <c r="R370" s="2" t="inlineStr"/>
    </row>
    <row r="371" ht="15" customHeight="1">
      <c r="A371" t="inlineStr">
        <is>
          <t>A 57412-2025</t>
        </is>
      </c>
      <c r="B371" s="1" t="n">
        <v>45980.44883101852</v>
      </c>
      <c r="C371" s="1" t="n">
        <v>46073</v>
      </c>
      <c r="D371" t="inlineStr">
        <is>
          <t>VÄSTMANLANDS LÄN</t>
        </is>
      </c>
      <c r="E371" t="inlineStr">
        <is>
          <t>SALA</t>
        </is>
      </c>
      <c r="F371" t="inlineStr">
        <is>
          <t>Bergvik skog öst AB</t>
        </is>
      </c>
      <c r="G371" t="n">
        <v>4.5</v>
      </c>
      <c r="H371" t="n">
        <v>0</v>
      </c>
      <c r="I371" t="n">
        <v>0</v>
      </c>
      <c r="J371" t="n">
        <v>0</v>
      </c>
      <c r="K371" t="n">
        <v>0</v>
      </c>
      <c r="L371" t="n">
        <v>0</v>
      </c>
      <c r="M371" t="n">
        <v>0</v>
      </c>
      <c r="N371" t="n">
        <v>0</v>
      </c>
      <c r="O371" t="n">
        <v>0</v>
      </c>
      <c r="P371" t="n">
        <v>0</v>
      </c>
      <c r="Q371" t="n">
        <v>0</v>
      </c>
      <c r="R371" s="2" t="inlineStr"/>
    </row>
    <row r="372" ht="15" customHeight="1">
      <c r="A372" t="inlineStr">
        <is>
          <t>A 30899-2025</t>
        </is>
      </c>
      <c r="B372" s="1" t="n">
        <v>45832.35767361111</v>
      </c>
      <c r="C372" s="1" t="n">
        <v>46073</v>
      </c>
      <c r="D372" t="inlineStr">
        <is>
          <t>VÄSTMANLANDS LÄN</t>
        </is>
      </c>
      <c r="E372" t="inlineStr">
        <is>
          <t>SALA</t>
        </is>
      </c>
      <c r="G372" t="n">
        <v>3.1</v>
      </c>
      <c r="H372" t="n">
        <v>0</v>
      </c>
      <c r="I372" t="n">
        <v>0</v>
      </c>
      <c r="J372" t="n">
        <v>0</v>
      </c>
      <c r="K372" t="n">
        <v>0</v>
      </c>
      <c r="L372" t="n">
        <v>0</v>
      </c>
      <c r="M372" t="n">
        <v>0</v>
      </c>
      <c r="N372" t="n">
        <v>0</v>
      </c>
      <c r="O372" t="n">
        <v>0</v>
      </c>
      <c r="P372" t="n">
        <v>0</v>
      </c>
      <c r="Q372" t="n">
        <v>0</v>
      </c>
      <c r="R372" s="2" t="inlineStr"/>
    </row>
    <row r="373" ht="15" customHeight="1">
      <c r="A373" t="inlineStr">
        <is>
          <t>A 35016-2024</t>
        </is>
      </c>
      <c r="B373" s="1" t="n">
        <v>45527.59115740741</v>
      </c>
      <c r="C373" s="1" t="n">
        <v>46073</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30866-2025</t>
        </is>
      </c>
      <c r="B374" s="1" t="n">
        <v>45832.3246875</v>
      </c>
      <c r="C374" s="1" t="n">
        <v>46073</v>
      </c>
      <c r="D374" t="inlineStr">
        <is>
          <t>VÄSTMANLANDS LÄN</t>
        </is>
      </c>
      <c r="E374" t="inlineStr">
        <is>
          <t>SALA</t>
        </is>
      </c>
      <c r="G374" t="n">
        <v>14.3</v>
      </c>
      <c r="H374" t="n">
        <v>0</v>
      </c>
      <c r="I374" t="n">
        <v>0</v>
      </c>
      <c r="J374" t="n">
        <v>0</v>
      </c>
      <c r="K374" t="n">
        <v>0</v>
      </c>
      <c r="L374" t="n">
        <v>0</v>
      </c>
      <c r="M374" t="n">
        <v>0</v>
      </c>
      <c r="N374" t="n">
        <v>0</v>
      </c>
      <c r="O374" t="n">
        <v>0</v>
      </c>
      <c r="P374" t="n">
        <v>0</v>
      </c>
      <c r="Q374" t="n">
        <v>0</v>
      </c>
      <c r="R374" s="2" t="inlineStr"/>
    </row>
    <row r="375" ht="15" customHeight="1">
      <c r="A375" t="inlineStr">
        <is>
          <t>A 37612-2024</t>
        </is>
      </c>
      <c r="B375" s="1" t="n">
        <v>45541</v>
      </c>
      <c r="C375" s="1" t="n">
        <v>46073</v>
      </c>
      <c r="D375" t="inlineStr">
        <is>
          <t>VÄSTMANLANDS LÄN</t>
        </is>
      </c>
      <c r="E375" t="inlineStr">
        <is>
          <t>SALA</t>
        </is>
      </c>
      <c r="G375" t="n">
        <v>2.2</v>
      </c>
      <c r="H375" t="n">
        <v>0</v>
      </c>
      <c r="I375" t="n">
        <v>0</v>
      </c>
      <c r="J375" t="n">
        <v>0</v>
      </c>
      <c r="K375" t="n">
        <v>0</v>
      </c>
      <c r="L375" t="n">
        <v>0</v>
      </c>
      <c r="M375" t="n">
        <v>0</v>
      </c>
      <c r="N375" t="n">
        <v>0</v>
      </c>
      <c r="O375" t="n">
        <v>0</v>
      </c>
      <c r="P375" t="n">
        <v>0</v>
      </c>
      <c r="Q375" t="n">
        <v>0</v>
      </c>
      <c r="R375" s="2" t="inlineStr"/>
    </row>
    <row r="376" ht="15" customHeight="1">
      <c r="A376" t="inlineStr">
        <is>
          <t>A 37615-2024</t>
        </is>
      </c>
      <c r="B376" s="1" t="n">
        <v>45541.50673611111</v>
      </c>
      <c r="C376" s="1" t="n">
        <v>46073</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5728-2022</t>
        </is>
      </c>
      <c r="B377" s="1" t="n">
        <v>44596.42082175926</v>
      </c>
      <c r="C377" s="1" t="n">
        <v>46073</v>
      </c>
      <c r="D377" t="inlineStr">
        <is>
          <t>VÄSTMANLANDS LÄN</t>
        </is>
      </c>
      <c r="E377" t="inlineStr">
        <is>
          <t>SALA</t>
        </is>
      </c>
      <c r="G377" t="n">
        <v>1.7</v>
      </c>
      <c r="H377" t="n">
        <v>0</v>
      </c>
      <c r="I377" t="n">
        <v>0</v>
      </c>
      <c r="J377" t="n">
        <v>0</v>
      </c>
      <c r="K377" t="n">
        <v>0</v>
      </c>
      <c r="L377" t="n">
        <v>0</v>
      </c>
      <c r="M377" t="n">
        <v>0</v>
      </c>
      <c r="N377" t="n">
        <v>0</v>
      </c>
      <c r="O377" t="n">
        <v>0</v>
      </c>
      <c r="P377" t="n">
        <v>0</v>
      </c>
      <c r="Q377" t="n">
        <v>0</v>
      </c>
      <c r="R377" s="2" t="inlineStr"/>
    </row>
    <row r="378" ht="15" customHeight="1">
      <c r="A378" t="inlineStr">
        <is>
          <t>A 31065-2025</t>
        </is>
      </c>
      <c r="B378" s="1" t="n">
        <v>45832.57571759259</v>
      </c>
      <c r="C378" s="1" t="n">
        <v>46073</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57414-2025</t>
        </is>
      </c>
      <c r="B379" s="1" t="n">
        <v>45980.45003472222</v>
      </c>
      <c r="C379" s="1" t="n">
        <v>46073</v>
      </c>
      <c r="D379" t="inlineStr">
        <is>
          <t>VÄSTMANLANDS LÄN</t>
        </is>
      </c>
      <c r="E379" t="inlineStr">
        <is>
          <t>SALA</t>
        </is>
      </c>
      <c r="F379" t="inlineStr">
        <is>
          <t>Bergvik skog öst AB</t>
        </is>
      </c>
      <c r="G379" t="n">
        <v>2</v>
      </c>
      <c r="H379" t="n">
        <v>0</v>
      </c>
      <c r="I379" t="n">
        <v>0</v>
      </c>
      <c r="J379" t="n">
        <v>0</v>
      </c>
      <c r="K379" t="n">
        <v>0</v>
      </c>
      <c r="L379" t="n">
        <v>0</v>
      </c>
      <c r="M379" t="n">
        <v>0</v>
      </c>
      <c r="N379" t="n">
        <v>0</v>
      </c>
      <c r="O379" t="n">
        <v>0</v>
      </c>
      <c r="P379" t="n">
        <v>0</v>
      </c>
      <c r="Q379" t="n">
        <v>0</v>
      </c>
      <c r="R379" s="2" t="inlineStr"/>
    </row>
    <row r="380" ht="15" customHeight="1">
      <c r="A380" t="inlineStr">
        <is>
          <t>A 57415-2025</t>
        </is>
      </c>
      <c r="B380" s="1" t="n">
        <v>45980.45099537037</v>
      </c>
      <c r="C380" s="1" t="n">
        <v>46073</v>
      </c>
      <c r="D380" t="inlineStr">
        <is>
          <t>VÄSTMANLANDS LÄN</t>
        </is>
      </c>
      <c r="E380" t="inlineStr">
        <is>
          <t>SALA</t>
        </is>
      </c>
      <c r="F380" t="inlineStr">
        <is>
          <t>Bergvik skog öst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31612-2025</t>
        </is>
      </c>
      <c r="B381" s="1" t="n">
        <v>45833.80056712963</v>
      </c>
      <c r="C381" s="1" t="n">
        <v>46073</v>
      </c>
      <c r="D381" t="inlineStr">
        <is>
          <t>VÄSTMANLANDS LÄN</t>
        </is>
      </c>
      <c r="E381" t="inlineStr">
        <is>
          <t>SALA</t>
        </is>
      </c>
      <c r="G381" t="n">
        <v>6.3</v>
      </c>
      <c r="H381" t="n">
        <v>0</v>
      </c>
      <c r="I381" t="n">
        <v>0</v>
      </c>
      <c r="J381" t="n">
        <v>0</v>
      </c>
      <c r="K381" t="n">
        <v>0</v>
      </c>
      <c r="L381" t="n">
        <v>0</v>
      </c>
      <c r="M381" t="n">
        <v>0</v>
      </c>
      <c r="N381" t="n">
        <v>0</v>
      </c>
      <c r="O381" t="n">
        <v>0</v>
      </c>
      <c r="P381" t="n">
        <v>0</v>
      </c>
      <c r="Q381" t="n">
        <v>0</v>
      </c>
      <c r="R381" s="2" t="inlineStr"/>
    </row>
    <row r="382" ht="15" customHeight="1">
      <c r="A382" t="inlineStr">
        <is>
          <t>A 31748-2025</t>
        </is>
      </c>
      <c r="B382" s="1" t="n">
        <v>45834</v>
      </c>
      <c r="C382" s="1" t="n">
        <v>46073</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31288-2025</t>
        </is>
      </c>
      <c r="B383" s="1" t="n">
        <v>45833</v>
      </c>
      <c r="C383" s="1" t="n">
        <v>46073</v>
      </c>
      <c r="D383" t="inlineStr">
        <is>
          <t>VÄSTMANLANDS LÄN</t>
        </is>
      </c>
      <c r="E383" t="inlineStr">
        <is>
          <t>SALA</t>
        </is>
      </c>
      <c r="G383" t="n">
        <v>3.1</v>
      </c>
      <c r="H383" t="n">
        <v>0</v>
      </c>
      <c r="I383" t="n">
        <v>0</v>
      </c>
      <c r="J383" t="n">
        <v>0</v>
      </c>
      <c r="K383" t="n">
        <v>0</v>
      </c>
      <c r="L383" t="n">
        <v>0</v>
      </c>
      <c r="M383" t="n">
        <v>0</v>
      </c>
      <c r="N383" t="n">
        <v>0</v>
      </c>
      <c r="O383" t="n">
        <v>0</v>
      </c>
      <c r="P383" t="n">
        <v>0</v>
      </c>
      <c r="Q383" t="n">
        <v>0</v>
      </c>
      <c r="R383" s="2" t="inlineStr"/>
    </row>
    <row r="384" ht="15" customHeight="1">
      <c r="A384" t="inlineStr">
        <is>
          <t>A 19751-2022</t>
        </is>
      </c>
      <c r="B384" s="1" t="n">
        <v>44694</v>
      </c>
      <c r="C384" s="1" t="n">
        <v>46073</v>
      </c>
      <c r="D384" t="inlineStr">
        <is>
          <t>VÄSTMANLANDS LÄN</t>
        </is>
      </c>
      <c r="E384" t="inlineStr">
        <is>
          <t>SALA</t>
        </is>
      </c>
      <c r="G384" t="n">
        <v>2.7</v>
      </c>
      <c r="H384" t="n">
        <v>0</v>
      </c>
      <c r="I384" t="n">
        <v>0</v>
      </c>
      <c r="J384" t="n">
        <v>0</v>
      </c>
      <c r="K384" t="n">
        <v>0</v>
      </c>
      <c r="L384" t="n">
        <v>0</v>
      </c>
      <c r="M384" t="n">
        <v>0</v>
      </c>
      <c r="N384" t="n">
        <v>0</v>
      </c>
      <c r="O384" t="n">
        <v>0</v>
      </c>
      <c r="P384" t="n">
        <v>0</v>
      </c>
      <c r="Q384" t="n">
        <v>0</v>
      </c>
      <c r="R384" s="2" t="inlineStr"/>
    </row>
    <row r="385" ht="15" customHeight="1">
      <c r="A385" t="inlineStr">
        <is>
          <t>A 31771-2025</t>
        </is>
      </c>
      <c r="B385" s="1" t="n">
        <v>45834.50910879629</v>
      </c>
      <c r="C385" s="1" t="n">
        <v>46073</v>
      </c>
      <c r="D385" t="inlineStr">
        <is>
          <t>VÄSTMANLANDS LÄN</t>
        </is>
      </c>
      <c r="E385" t="inlineStr">
        <is>
          <t>SALA</t>
        </is>
      </c>
      <c r="G385" t="n">
        <v>5.1</v>
      </c>
      <c r="H385" t="n">
        <v>0</v>
      </c>
      <c r="I385" t="n">
        <v>0</v>
      </c>
      <c r="J385" t="n">
        <v>0</v>
      </c>
      <c r="K385" t="n">
        <v>0</v>
      </c>
      <c r="L385" t="n">
        <v>0</v>
      </c>
      <c r="M385" t="n">
        <v>0</v>
      </c>
      <c r="N385" t="n">
        <v>0</v>
      </c>
      <c r="O385" t="n">
        <v>0</v>
      </c>
      <c r="P385" t="n">
        <v>0</v>
      </c>
      <c r="Q385" t="n">
        <v>0</v>
      </c>
      <c r="R385" s="2" t="inlineStr"/>
    </row>
    <row r="386" ht="15" customHeight="1">
      <c r="A386" t="inlineStr">
        <is>
          <t>A 31554-2025</t>
        </is>
      </c>
      <c r="B386" s="1" t="n">
        <v>45833</v>
      </c>
      <c r="C386" s="1" t="n">
        <v>46073</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31762-2025</t>
        </is>
      </c>
      <c r="B387" s="1" t="n">
        <v>45834.49288194445</v>
      </c>
      <c r="C387" s="1" t="n">
        <v>46073</v>
      </c>
      <c r="D387" t="inlineStr">
        <is>
          <t>VÄSTMANLANDS LÄN</t>
        </is>
      </c>
      <c r="E387" t="inlineStr">
        <is>
          <t>SALA</t>
        </is>
      </c>
      <c r="G387" t="n">
        <v>5.9</v>
      </c>
      <c r="H387" t="n">
        <v>0</v>
      </c>
      <c r="I387" t="n">
        <v>0</v>
      </c>
      <c r="J387" t="n">
        <v>0</v>
      </c>
      <c r="K387" t="n">
        <v>0</v>
      </c>
      <c r="L387" t="n">
        <v>0</v>
      </c>
      <c r="M387" t="n">
        <v>0</v>
      </c>
      <c r="N387" t="n">
        <v>0</v>
      </c>
      <c r="O387" t="n">
        <v>0</v>
      </c>
      <c r="P387" t="n">
        <v>0</v>
      </c>
      <c r="Q387" t="n">
        <v>0</v>
      </c>
      <c r="R387" s="2" t="inlineStr"/>
    </row>
    <row r="388" ht="15" customHeight="1">
      <c r="A388" t="inlineStr">
        <is>
          <t>A 31608-2025</t>
        </is>
      </c>
      <c r="B388" s="1" t="n">
        <v>45833</v>
      </c>
      <c r="C388" s="1" t="n">
        <v>46073</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31610-2025</t>
        </is>
      </c>
      <c r="B389" s="1" t="n">
        <v>45833.78650462963</v>
      </c>
      <c r="C389" s="1" t="n">
        <v>46073</v>
      </c>
      <c r="D389" t="inlineStr">
        <is>
          <t>VÄSTMANLANDS LÄN</t>
        </is>
      </c>
      <c r="E389" t="inlineStr">
        <is>
          <t>SALA</t>
        </is>
      </c>
      <c r="G389" t="n">
        <v>8</v>
      </c>
      <c r="H389" t="n">
        <v>0</v>
      </c>
      <c r="I389" t="n">
        <v>0</v>
      </c>
      <c r="J389" t="n">
        <v>0</v>
      </c>
      <c r="K389" t="n">
        <v>0</v>
      </c>
      <c r="L389" t="n">
        <v>0</v>
      </c>
      <c r="M389" t="n">
        <v>0</v>
      </c>
      <c r="N389" t="n">
        <v>0</v>
      </c>
      <c r="O389" t="n">
        <v>0</v>
      </c>
      <c r="P389" t="n">
        <v>0</v>
      </c>
      <c r="Q389" t="n">
        <v>0</v>
      </c>
      <c r="R389" s="2" t="inlineStr"/>
    </row>
    <row r="390" ht="15" customHeight="1">
      <c r="A390" t="inlineStr">
        <is>
          <t>A 31296-2025</t>
        </is>
      </c>
      <c r="B390" s="1" t="n">
        <v>45833.36765046296</v>
      </c>
      <c r="C390" s="1" t="n">
        <v>46073</v>
      </c>
      <c r="D390" t="inlineStr">
        <is>
          <t>VÄSTMANLANDS LÄN</t>
        </is>
      </c>
      <c r="E390" t="inlineStr">
        <is>
          <t>SALA</t>
        </is>
      </c>
      <c r="G390" t="n">
        <v>3.7</v>
      </c>
      <c r="H390" t="n">
        <v>0</v>
      </c>
      <c r="I390" t="n">
        <v>0</v>
      </c>
      <c r="J390" t="n">
        <v>0</v>
      </c>
      <c r="K390" t="n">
        <v>0</v>
      </c>
      <c r="L390" t="n">
        <v>0</v>
      </c>
      <c r="M390" t="n">
        <v>0</v>
      </c>
      <c r="N390" t="n">
        <v>0</v>
      </c>
      <c r="O390" t="n">
        <v>0</v>
      </c>
      <c r="P390" t="n">
        <v>0</v>
      </c>
      <c r="Q390" t="n">
        <v>0</v>
      </c>
      <c r="R390" s="2" t="inlineStr"/>
    </row>
    <row r="391" ht="15" customHeight="1">
      <c r="A391" t="inlineStr">
        <is>
          <t>A 31573-2025</t>
        </is>
      </c>
      <c r="B391" s="1" t="n">
        <v>45833</v>
      </c>
      <c r="C391" s="1" t="n">
        <v>46073</v>
      </c>
      <c r="D391" t="inlineStr">
        <is>
          <t>VÄSTMANLANDS LÄN</t>
        </is>
      </c>
      <c r="E391" t="inlineStr">
        <is>
          <t>SALA</t>
        </is>
      </c>
      <c r="G391" t="n">
        <v>0.6</v>
      </c>
      <c r="H391" t="n">
        <v>0</v>
      </c>
      <c r="I391" t="n">
        <v>0</v>
      </c>
      <c r="J391" t="n">
        <v>0</v>
      </c>
      <c r="K391" t="n">
        <v>0</v>
      </c>
      <c r="L391" t="n">
        <v>0</v>
      </c>
      <c r="M391" t="n">
        <v>0</v>
      </c>
      <c r="N391" t="n">
        <v>0</v>
      </c>
      <c r="O391" t="n">
        <v>0</v>
      </c>
      <c r="P391" t="n">
        <v>0</v>
      </c>
      <c r="Q391" t="n">
        <v>0</v>
      </c>
      <c r="R391" s="2" t="inlineStr"/>
    </row>
    <row r="392" ht="15" customHeight="1">
      <c r="A392" t="inlineStr">
        <is>
          <t>A 32201-2025</t>
        </is>
      </c>
      <c r="B392" s="1" t="n">
        <v>45835</v>
      </c>
      <c r="C392" s="1" t="n">
        <v>46073</v>
      </c>
      <c r="D392" t="inlineStr">
        <is>
          <t>VÄSTMANLANDS LÄN</t>
        </is>
      </c>
      <c r="E392" t="inlineStr">
        <is>
          <t>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32205-2025</t>
        </is>
      </c>
      <c r="B393" s="1" t="n">
        <v>45835</v>
      </c>
      <c r="C393" s="1" t="n">
        <v>46073</v>
      </c>
      <c r="D393" t="inlineStr">
        <is>
          <t>VÄSTMANLANDS LÄN</t>
        </is>
      </c>
      <c r="E393" t="inlineStr">
        <is>
          <t>SALA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32210-2025</t>
        </is>
      </c>
      <c r="B394" s="1" t="n">
        <v>45835</v>
      </c>
      <c r="C394" s="1" t="n">
        <v>46073</v>
      </c>
      <c r="D394" t="inlineStr">
        <is>
          <t>VÄSTMANLANDS LÄN</t>
        </is>
      </c>
      <c r="E394" t="inlineStr">
        <is>
          <t>SALA</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58357-2025</t>
        </is>
      </c>
      <c r="B395" s="1" t="n">
        <v>45985.51518518518</v>
      </c>
      <c r="C395" s="1" t="n">
        <v>46073</v>
      </c>
      <c r="D395" t="inlineStr">
        <is>
          <t>VÄSTMANLANDS LÄN</t>
        </is>
      </c>
      <c r="E395" t="inlineStr">
        <is>
          <t>SALA</t>
        </is>
      </c>
      <c r="G395" t="n">
        <v>3</v>
      </c>
      <c r="H395" t="n">
        <v>0</v>
      </c>
      <c r="I395" t="n">
        <v>0</v>
      </c>
      <c r="J395" t="n">
        <v>0</v>
      </c>
      <c r="K395" t="n">
        <v>0</v>
      </c>
      <c r="L395" t="n">
        <v>0</v>
      </c>
      <c r="M395" t="n">
        <v>0</v>
      </c>
      <c r="N395" t="n">
        <v>0</v>
      </c>
      <c r="O395" t="n">
        <v>0</v>
      </c>
      <c r="P395" t="n">
        <v>0</v>
      </c>
      <c r="Q395" t="n">
        <v>0</v>
      </c>
      <c r="R395" s="2" t="inlineStr"/>
    </row>
    <row r="396" ht="15" customHeight="1">
      <c r="A396" t="inlineStr">
        <is>
          <t>A 32286-2025</t>
        </is>
      </c>
      <c r="B396" s="1" t="n">
        <v>45835</v>
      </c>
      <c r="C396" s="1" t="n">
        <v>46073</v>
      </c>
      <c r="D396" t="inlineStr">
        <is>
          <t>VÄSTMANLANDS LÄN</t>
        </is>
      </c>
      <c r="E396" t="inlineStr">
        <is>
          <t>SALA</t>
        </is>
      </c>
      <c r="G396" t="n">
        <v>6.4</v>
      </c>
      <c r="H396" t="n">
        <v>0</v>
      </c>
      <c r="I396" t="n">
        <v>0</v>
      </c>
      <c r="J396" t="n">
        <v>0</v>
      </c>
      <c r="K396" t="n">
        <v>0</v>
      </c>
      <c r="L396" t="n">
        <v>0</v>
      </c>
      <c r="M396" t="n">
        <v>0</v>
      </c>
      <c r="N396" t="n">
        <v>0</v>
      </c>
      <c r="O396" t="n">
        <v>0</v>
      </c>
      <c r="P396" t="n">
        <v>0</v>
      </c>
      <c r="Q396" t="n">
        <v>0</v>
      </c>
      <c r="R396" s="2" t="inlineStr"/>
    </row>
    <row r="397" ht="15" customHeight="1">
      <c r="A397" t="inlineStr">
        <is>
          <t>A 55760-2025</t>
        </is>
      </c>
      <c r="B397" s="1" t="n">
        <v>45972</v>
      </c>
      <c r="C397" s="1" t="n">
        <v>46073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58365-2025</t>
        </is>
      </c>
      <c r="B398" s="1" t="n">
        <v>45985.52288194445</v>
      </c>
      <c r="C398" s="1" t="n">
        <v>46073</v>
      </c>
      <c r="D398" t="inlineStr">
        <is>
          <t>VÄSTMANLANDS LÄN</t>
        </is>
      </c>
      <c r="E398" t="inlineStr">
        <is>
          <t>SALA</t>
        </is>
      </c>
      <c r="G398" t="n">
        <v>3.9</v>
      </c>
      <c r="H398" t="n">
        <v>0</v>
      </c>
      <c r="I398" t="n">
        <v>0</v>
      </c>
      <c r="J398" t="n">
        <v>0</v>
      </c>
      <c r="K398" t="n">
        <v>0</v>
      </c>
      <c r="L398" t="n">
        <v>0</v>
      </c>
      <c r="M398" t="n">
        <v>0</v>
      </c>
      <c r="N398" t="n">
        <v>0</v>
      </c>
      <c r="O398" t="n">
        <v>0</v>
      </c>
      <c r="P398" t="n">
        <v>0</v>
      </c>
      <c r="Q398" t="n">
        <v>0</v>
      </c>
      <c r="R398" s="2" t="inlineStr"/>
    </row>
    <row r="399" ht="15" customHeight="1">
      <c r="A399" t="inlineStr">
        <is>
          <t>A 32207-2025</t>
        </is>
      </c>
      <c r="B399" s="1" t="n">
        <v>45835</v>
      </c>
      <c r="C399" s="1" t="n">
        <v>46073</v>
      </c>
      <c r="D399" t="inlineStr">
        <is>
          <t>VÄSTMANLANDS LÄN</t>
        </is>
      </c>
      <c r="E399" t="inlineStr">
        <is>
          <t>SALA</t>
        </is>
      </c>
      <c r="F399" t="inlineStr">
        <is>
          <t>Bergvik skog öst AB</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58282-2025</t>
        </is>
      </c>
      <c r="B400" s="1" t="n">
        <v>45985.44309027777</v>
      </c>
      <c r="C400" s="1" t="n">
        <v>46073</v>
      </c>
      <c r="D400" t="inlineStr">
        <is>
          <t>VÄSTMANLANDS LÄN</t>
        </is>
      </c>
      <c r="E400" t="inlineStr">
        <is>
          <t>SALA</t>
        </is>
      </c>
      <c r="G400" t="n">
        <v>8.9</v>
      </c>
      <c r="H400" t="n">
        <v>0</v>
      </c>
      <c r="I400" t="n">
        <v>0</v>
      </c>
      <c r="J400" t="n">
        <v>0</v>
      </c>
      <c r="K400" t="n">
        <v>0</v>
      </c>
      <c r="L400" t="n">
        <v>0</v>
      </c>
      <c r="M400" t="n">
        <v>0</v>
      </c>
      <c r="N400" t="n">
        <v>0</v>
      </c>
      <c r="O400" t="n">
        <v>0</v>
      </c>
      <c r="P400" t="n">
        <v>0</v>
      </c>
      <c r="Q400" t="n">
        <v>0</v>
      </c>
      <c r="R400" s="2" t="inlineStr"/>
    </row>
    <row r="401" ht="15" customHeight="1">
      <c r="A401" t="inlineStr">
        <is>
          <t>A 58359-2025</t>
        </is>
      </c>
      <c r="B401" s="1" t="n">
        <v>45985.51594907408</v>
      </c>
      <c r="C401" s="1" t="n">
        <v>46073</v>
      </c>
      <c r="D401" t="inlineStr">
        <is>
          <t>VÄSTMANLANDS LÄN</t>
        </is>
      </c>
      <c r="E401" t="inlineStr">
        <is>
          <t>SALA</t>
        </is>
      </c>
      <c r="G401" t="n">
        <v>3.7</v>
      </c>
      <c r="H401" t="n">
        <v>0</v>
      </c>
      <c r="I401" t="n">
        <v>0</v>
      </c>
      <c r="J401" t="n">
        <v>0</v>
      </c>
      <c r="K401" t="n">
        <v>0</v>
      </c>
      <c r="L401" t="n">
        <v>0</v>
      </c>
      <c r="M401" t="n">
        <v>0</v>
      </c>
      <c r="N401" t="n">
        <v>0</v>
      </c>
      <c r="O401" t="n">
        <v>0</v>
      </c>
      <c r="P401" t="n">
        <v>0</v>
      </c>
      <c r="Q401" t="n">
        <v>0</v>
      </c>
      <c r="R401" s="2" t="inlineStr"/>
    </row>
    <row r="402" ht="15" customHeight="1">
      <c r="A402" t="inlineStr">
        <is>
          <t>A 58364-2025</t>
        </is>
      </c>
      <c r="B402" s="1" t="n">
        <v>45985.5228125</v>
      </c>
      <c r="C402" s="1" t="n">
        <v>46073</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6312-2025</t>
        </is>
      </c>
      <c r="B403" s="1" t="n">
        <v>45698</v>
      </c>
      <c r="C403" s="1" t="n">
        <v>46073</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32902-2025</t>
        </is>
      </c>
      <c r="B404" s="1" t="n">
        <v>45839</v>
      </c>
      <c r="C404" s="1" t="n">
        <v>46073</v>
      </c>
      <c r="D404" t="inlineStr">
        <is>
          <t>VÄSTMANLANDS LÄN</t>
        </is>
      </c>
      <c r="E404" t="inlineStr">
        <is>
          <t>SALA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55035-2023</t>
        </is>
      </c>
      <c r="B405" s="1" t="n">
        <v>45229</v>
      </c>
      <c r="C405" s="1" t="n">
        <v>46073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52500-2024</t>
        </is>
      </c>
      <c r="B406" s="1" t="n">
        <v>45609</v>
      </c>
      <c r="C406" s="1" t="n">
        <v>46073</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51247-2025</t>
        </is>
      </c>
      <c r="B407" s="1" t="n">
        <v>45947.86487268518</v>
      </c>
      <c r="C407" s="1" t="n">
        <v>46073</v>
      </c>
      <c r="D407" t="inlineStr">
        <is>
          <t>VÄSTMANLANDS LÄN</t>
        </is>
      </c>
      <c r="E407" t="inlineStr">
        <is>
          <t>SALA</t>
        </is>
      </c>
      <c r="G407" t="n">
        <v>10.4</v>
      </c>
      <c r="H407" t="n">
        <v>0</v>
      </c>
      <c r="I407" t="n">
        <v>0</v>
      </c>
      <c r="J407" t="n">
        <v>0</v>
      </c>
      <c r="K407" t="n">
        <v>0</v>
      </c>
      <c r="L407" t="n">
        <v>0</v>
      </c>
      <c r="M407" t="n">
        <v>0</v>
      </c>
      <c r="N407" t="n">
        <v>0</v>
      </c>
      <c r="O407" t="n">
        <v>0</v>
      </c>
      <c r="P407" t="n">
        <v>0</v>
      </c>
      <c r="Q407" t="n">
        <v>0</v>
      </c>
      <c r="R407" s="2" t="inlineStr"/>
    </row>
    <row r="408" ht="15" customHeight="1">
      <c r="A408" t="inlineStr">
        <is>
          <t>A 7950-2025</t>
        </is>
      </c>
      <c r="B408" s="1" t="n">
        <v>45707.41799768519</v>
      </c>
      <c r="C408" s="1" t="n">
        <v>46073</v>
      </c>
      <c r="D408" t="inlineStr">
        <is>
          <t>VÄSTMANLANDS LÄN</t>
        </is>
      </c>
      <c r="E408" t="inlineStr">
        <is>
          <t>SALA</t>
        </is>
      </c>
      <c r="G408" t="n">
        <v>3.2</v>
      </c>
      <c r="H408" t="n">
        <v>0</v>
      </c>
      <c r="I408" t="n">
        <v>0</v>
      </c>
      <c r="J408" t="n">
        <v>0</v>
      </c>
      <c r="K408" t="n">
        <v>0</v>
      </c>
      <c r="L408" t="n">
        <v>0</v>
      </c>
      <c r="M408" t="n">
        <v>0</v>
      </c>
      <c r="N408" t="n">
        <v>0</v>
      </c>
      <c r="O408" t="n">
        <v>0</v>
      </c>
      <c r="P408" t="n">
        <v>0</v>
      </c>
      <c r="Q408" t="n">
        <v>0</v>
      </c>
      <c r="R408" s="2" t="inlineStr"/>
    </row>
    <row r="409" ht="15" customHeight="1">
      <c r="A409" t="inlineStr">
        <is>
          <t>A 10812-2021</t>
        </is>
      </c>
      <c r="B409" s="1" t="n">
        <v>44259</v>
      </c>
      <c r="C409" s="1" t="n">
        <v>46073</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10154-2021</t>
        </is>
      </c>
      <c r="B410" s="1" t="n">
        <v>44256</v>
      </c>
      <c r="C410" s="1" t="n">
        <v>46073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34069-2025</t>
        </is>
      </c>
      <c r="B411" s="1" t="n">
        <v>45845.43560185185</v>
      </c>
      <c r="C411" s="1" t="n">
        <v>46073</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c r="U411">
        <f>HYPERLINK("https://klasma.github.io/Logging_1981/knärot/A 34069-2025 karta knärot.png", "A 34069-2025")</f>
        <v/>
      </c>
      <c r="V411">
        <f>HYPERLINK("https://klasma.github.io/Logging_1981/klagomål/A 34069-2025 FSC-klagomål.docx", "A 34069-2025")</f>
        <v/>
      </c>
      <c r="W411">
        <f>HYPERLINK("https://klasma.github.io/Logging_1981/klagomålsmail/A 34069-2025 FSC-klagomål mail.docx", "A 34069-2025")</f>
        <v/>
      </c>
      <c r="X411">
        <f>HYPERLINK("https://klasma.github.io/Logging_1981/tillsyn/A 34069-2025 tillsynsbegäran.docx", "A 34069-2025")</f>
        <v/>
      </c>
      <c r="Y411">
        <f>HYPERLINK("https://klasma.github.io/Logging_1981/tillsynsmail/A 34069-2025 tillsynsbegäran mail.docx", "A 34069-2025")</f>
        <v/>
      </c>
    </row>
    <row r="412" ht="15" customHeight="1">
      <c r="A412" t="inlineStr">
        <is>
          <t>A 16328-2025</t>
        </is>
      </c>
      <c r="B412" s="1" t="n">
        <v>45751</v>
      </c>
      <c r="C412" s="1" t="n">
        <v>46073</v>
      </c>
      <c r="D412" t="inlineStr">
        <is>
          <t>VÄSTMANLANDS LÄN</t>
        </is>
      </c>
      <c r="E412" t="inlineStr">
        <is>
          <t>SALA</t>
        </is>
      </c>
      <c r="G412" t="n">
        <v>2.9</v>
      </c>
      <c r="H412" t="n">
        <v>0</v>
      </c>
      <c r="I412" t="n">
        <v>0</v>
      </c>
      <c r="J412" t="n">
        <v>0</v>
      </c>
      <c r="K412" t="n">
        <v>0</v>
      </c>
      <c r="L412" t="n">
        <v>0</v>
      </c>
      <c r="M412" t="n">
        <v>0</v>
      </c>
      <c r="N412" t="n">
        <v>0</v>
      </c>
      <c r="O412" t="n">
        <v>0</v>
      </c>
      <c r="P412" t="n">
        <v>0</v>
      </c>
      <c r="Q412" t="n">
        <v>0</v>
      </c>
      <c r="R412" s="2" t="inlineStr"/>
    </row>
    <row r="413" ht="15" customHeight="1">
      <c r="A413" t="inlineStr">
        <is>
          <t>A 15744-2025</t>
        </is>
      </c>
      <c r="B413" s="1" t="n">
        <v>45748</v>
      </c>
      <c r="C413" s="1" t="n">
        <v>46073</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59817-2025</t>
        </is>
      </c>
      <c r="B414" s="1" t="n">
        <v>45992.63711805556</v>
      </c>
      <c r="C414" s="1" t="n">
        <v>46073</v>
      </c>
      <c r="D414" t="inlineStr">
        <is>
          <t>VÄSTMANLANDS LÄN</t>
        </is>
      </c>
      <c r="E414" t="inlineStr">
        <is>
          <t>SALA</t>
        </is>
      </c>
      <c r="G414" t="n">
        <v>6.9</v>
      </c>
      <c r="H414" t="n">
        <v>0</v>
      </c>
      <c r="I414" t="n">
        <v>0</v>
      </c>
      <c r="J414" t="n">
        <v>0</v>
      </c>
      <c r="K414" t="n">
        <v>0</v>
      </c>
      <c r="L414" t="n">
        <v>0</v>
      </c>
      <c r="M414" t="n">
        <v>0</v>
      </c>
      <c r="N414" t="n">
        <v>0</v>
      </c>
      <c r="O414" t="n">
        <v>0</v>
      </c>
      <c r="P414" t="n">
        <v>0</v>
      </c>
      <c r="Q414" t="n">
        <v>0</v>
      </c>
      <c r="R414" s="2" t="inlineStr"/>
    </row>
    <row r="415" ht="15" customHeight="1">
      <c r="A415" t="inlineStr">
        <is>
          <t>A 59390-2025</t>
        </is>
      </c>
      <c r="B415" s="1" t="n">
        <v>45989.4640162037</v>
      </c>
      <c r="C415" s="1" t="n">
        <v>46073</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59385-2025</t>
        </is>
      </c>
      <c r="B416" s="1" t="n">
        <v>45989.45746527778</v>
      </c>
      <c r="C416" s="1" t="n">
        <v>46073</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1705-2026</t>
        </is>
      </c>
      <c r="B417" s="1" t="n">
        <v>46034.59930555556</v>
      </c>
      <c r="C417" s="1" t="n">
        <v>46073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31609-2024</t>
        </is>
      </c>
      <c r="B418" s="1" t="n">
        <v>45506</v>
      </c>
      <c r="C418" s="1" t="n">
        <v>46073</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60017-2025</t>
        </is>
      </c>
      <c r="B419" s="1" t="n">
        <v>45993.59998842593</v>
      </c>
      <c r="C419" s="1" t="n">
        <v>46073</v>
      </c>
      <c r="D419" t="inlineStr">
        <is>
          <t>VÄSTMANLANDS LÄN</t>
        </is>
      </c>
      <c r="E419" t="inlineStr">
        <is>
          <t>SALA</t>
        </is>
      </c>
      <c r="G419" t="n">
        <v>4.4</v>
      </c>
      <c r="H419" t="n">
        <v>0</v>
      </c>
      <c r="I419" t="n">
        <v>0</v>
      </c>
      <c r="J419" t="n">
        <v>0</v>
      </c>
      <c r="K419" t="n">
        <v>0</v>
      </c>
      <c r="L419" t="n">
        <v>0</v>
      </c>
      <c r="M419" t="n">
        <v>0</v>
      </c>
      <c r="N419" t="n">
        <v>0</v>
      </c>
      <c r="O419" t="n">
        <v>0</v>
      </c>
      <c r="P419" t="n">
        <v>0</v>
      </c>
      <c r="Q419" t="n">
        <v>0</v>
      </c>
      <c r="R419" s="2" t="inlineStr"/>
    </row>
    <row r="420" ht="15" customHeight="1">
      <c r="A420" t="inlineStr">
        <is>
          <t>A 35715-2025</t>
        </is>
      </c>
      <c r="B420" s="1" t="n">
        <v>45860.42148148148</v>
      </c>
      <c r="C420" s="1" t="n">
        <v>46073</v>
      </c>
      <c r="D420" t="inlineStr">
        <is>
          <t>VÄSTMANLANDS LÄN</t>
        </is>
      </c>
      <c r="E420" t="inlineStr">
        <is>
          <t>SALA</t>
        </is>
      </c>
      <c r="G420" t="n">
        <v>3.8</v>
      </c>
      <c r="H420" t="n">
        <v>0</v>
      </c>
      <c r="I420" t="n">
        <v>0</v>
      </c>
      <c r="J420" t="n">
        <v>0</v>
      </c>
      <c r="K420" t="n">
        <v>0</v>
      </c>
      <c r="L420" t="n">
        <v>0</v>
      </c>
      <c r="M420" t="n">
        <v>0</v>
      </c>
      <c r="N420" t="n">
        <v>0</v>
      </c>
      <c r="O420" t="n">
        <v>0</v>
      </c>
      <c r="P420" t="n">
        <v>0</v>
      </c>
      <c r="Q420" t="n">
        <v>0</v>
      </c>
      <c r="R420" s="2" t="inlineStr"/>
    </row>
    <row r="421" ht="15" customHeight="1">
      <c r="A421" t="inlineStr">
        <is>
          <t>A 35651-2025</t>
        </is>
      </c>
      <c r="B421" s="1" t="n">
        <v>45859.52435185185</v>
      </c>
      <c r="C421" s="1" t="n">
        <v>46073</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35775-2025</t>
        </is>
      </c>
      <c r="B422" s="1" t="n">
        <v>45860</v>
      </c>
      <c r="C422" s="1" t="n">
        <v>46073</v>
      </c>
      <c r="D422" t="inlineStr">
        <is>
          <t>VÄSTMANLANDS LÄN</t>
        </is>
      </c>
      <c r="E422" t="inlineStr">
        <is>
          <t>SALA</t>
        </is>
      </c>
      <c r="G422" t="n">
        <v>2.6</v>
      </c>
      <c r="H422" t="n">
        <v>0</v>
      </c>
      <c r="I422" t="n">
        <v>0</v>
      </c>
      <c r="J422" t="n">
        <v>0</v>
      </c>
      <c r="K422" t="n">
        <v>0</v>
      </c>
      <c r="L422" t="n">
        <v>0</v>
      </c>
      <c r="M422" t="n">
        <v>0</v>
      </c>
      <c r="N422" t="n">
        <v>0</v>
      </c>
      <c r="O422" t="n">
        <v>0</v>
      </c>
      <c r="P422" t="n">
        <v>0</v>
      </c>
      <c r="Q422" t="n">
        <v>0</v>
      </c>
      <c r="R422" s="2" t="inlineStr"/>
    </row>
    <row r="423" ht="15" customHeight="1">
      <c r="A423" t="inlineStr">
        <is>
          <t>A 60258-2025</t>
        </is>
      </c>
      <c r="B423" s="1" t="n">
        <v>45994.6064699074</v>
      </c>
      <c r="C423" s="1" t="n">
        <v>46073</v>
      </c>
      <c r="D423" t="inlineStr">
        <is>
          <t>VÄSTMANLANDS LÄN</t>
        </is>
      </c>
      <c r="E423" t="inlineStr">
        <is>
          <t>SALA</t>
        </is>
      </c>
      <c r="G423" t="n">
        <v>2.2</v>
      </c>
      <c r="H423" t="n">
        <v>0</v>
      </c>
      <c r="I423" t="n">
        <v>0</v>
      </c>
      <c r="J423" t="n">
        <v>0</v>
      </c>
      <c r="K423" t="n">
        <v>0</v>
      </c>
      <c r="L423" t="n">
        <v>0</v>
      </c>
      <c r="M423" t="n">
        <v>0</v>
      </c>
      <c r="N423" t="n">
        <v>0</v>
      </c>
      <c r="O423" t="n">
        <v>0</v>
      </c>
      <c r="P423" t="n">
        <v>0</v>
      </c>
      <c r="Q423" t="n">
        <v>0</v>
      </c>
      <c r="R423" s="2" t="inlineStr"/>
    </row>
    <row r="424" ht="15" customHeight="1">
      <c r="A424" t="inlineStr">
        <is>
          <t>A 35774-2025</t>
        </is>
      </c>
      <c r="B424" s="1" t="n">
        <v>45860.68780092592</v>
      </c>
      <c r="C424" s="1" t="n">
        <v>46073</v>
      </c>
      <c r="D424" t="inlineStr">
        <is>
          <t>VÄSTMANLANDS LÄN</t>
        </is>
      </c>
      <c r="E424" t="inlineStr">
        <is>
          <t>SALA</t>
        </is>
      </c>
      <c r="G424" t="n">
        <v>6.5</v>
      </c>
      <c r="H424" t="n">
        <v>0</v>
      </c>
      <c r="I424" t="n">
        <v>0</v>
      </c>
      <c r="J424" t="n">
        <v>0</v>
      </c>
      <c r="K424" t="n">
        <v>0</v>
      </c>
      <c r="L424" t="n">
        <v>0</v>
      </c>
      <c r="M424" t="n">
        <v>0</v>
      </c>
      <c r="N424" t="n">
        <v>0</v>
      </c>
      <c r="O424" t="n">
        <v>0</v>
      </c>
      <c r="P424" t="n">
        <v>0</v>
      </c>
      <c r="Q424" t="n">
        <v>0</v>
      </c>
      <c r="R424" s="2" t="inlineStr"/>
    </row>
    <row r="425" ht="15" customHeight="1">
      <c r="A425" t="inlineStr">
        <is>
          <t>A 35776-2025</t>
        </is>
      </c>
      <c r="B425" s="1" t="n">
        <v>45860.69211805556</v>
      </c>
      <c r="C425" s="1" t="n">
        <v>46073</v>
      </c>
      <c r="D425" t="inlineStr">
        <is>
          <t>VÄSTMANLANDS LÄN</t>
        </is>
      </c>
      <c r="E425" t="inlineStr">
        <is>
          <t>SALA</t>
        </is>
      </c>
      <c r="G425" t="n">
        <v>14.2</v>
      </c>
      <c r="H425" t="n">
        <v>0</v>
      </c>
      <c r="I425" t="n">
        <v>0</v>
      </c>
      <c r="J425" t="n">
        <v>0</v>
      </c>
      <c r="K425" t="n">
        <v>0</v>
      </c>
      <c r="L425" t="n">
        <v>0</v>
      </c>
      <c r="M425" t="n">
        <v>0</v>
      </c>
      <c r="N425" t="n">
        <v>0</v>
      </c>
      <c r="O425" t="n">
        <v>0</v>
      </c>
      <c r="P425" t="n">
        <v>0</v>
      </c>
      <c r="Q425" t="n">
        <v>0</v>
      </c>
      <c r="R425" s="2" t="inlineStr"/>
    </row>
    <row r="426" ht="15" customHeight="1">
      <c r="A426" t="inlineStr">
        <is>
          <t>A 35779-2025</t>
        </is>
      </c>
      <c r="B426" s="1" t="n">
        <v>45860.69495370371</v>
      </c>
      <c r="C426" s="1" t="n">
        <v>46073</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35410-2022</t>
        </is>
      </c>
      <c r="B427" s="1" t="n">
        <v>44798.62576388889</v>
      </c>
      <c r="C427" s="1" t="n">
        <v>46073</v>
      </c>
      <c r="D427" t="inlineStr">
        <is>
          <t>VÄSTMANLANDS LÄN</t>
        </is>
      </c>
      <c r="E427" t="inlineStr">
        <is>
          <t>SALA</t>
        </is>
      </c>
      <c r="G427" t="n">
        <v>1.6</v>
      </c>
      <c r="H427" t="n">
        <v>0</v>
      </c>
      <c r="I427" t="n">
        <v>0</v>
      </c>
      <c r="J427" t="n">
        <v>0</v>
      </c>
      <c r="K427" t="n">
        <v>0</v>
      </c>
      <c r="L427" t="n">
        <v>0</v>
      </c>
      <c r="M427" t="n">
        <v>0</v>
      </c>
      <c r="N427" t="n">
        <v>0</v>
      </c>
      <c r="O427" t="n">
        <v>0</v>
      </c>
      <c r="P427" t="n">
        <v>0</v>
      </c>
      <c r="Q427" t="n">
        <v>0</v>
      </c>
      <c r="R427" s="2" t="inlineStr"/>
    </row>
    <row r="428" ht="15" customHeight="1">
      <c r="A428" t="inlineStr">
        <is>
          <t>A 60241-2025</t>
        </is>
      </c>
      <c r="B428" s="1" t="n">
        <v>45994.58454861111</v>
      </c>
      <c r="C428" s="1" t="n">
        <v>46073</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59870-2025</t>
        </is>
      </c>
      <c r="B429" s="1" t="n">
        <v>45992.92226851852</v>
      </c>
      <c r="C429" s="1" t="n">
        <v>46073</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36049-2025</t>
        </is>
      </c>
      <c r="B430" s="1" t="n">
        <v>45866.37065972222</v>
      </c>
      <c r="C430" s="1" t="n">
        <v>46073</v>
      </c>
      <c r="D430" t="inlineStr">
        <is>
          <t>VÄSTMANLANDS LÄN</t>
        </is>
      </c>
      <c r="E430" t="inlineStr">
        <is>
          <t>SALA</t>
        </is>
      </c>
      <c r="F430" t="inlineStr">
        <is>
          <t>Kommuner</t>
        </is>
      </c>
      <c r="G430" t="n">
        <v>1.9</v>
      </c>
      <c r="H430" t="n">
        <v>0</v>
      </c>
      <c r="I430" t="n">
        <v>0</v>
      </c>
      <c r="J430" t="n">
        <v>0</v>
      </c>
      <c r="K430" t="n">
        <v>0</v>
      </c>
      <c r="L430" t="n">
        <v>0</v>
      </c>
      <c r="M430" t="n">
        <v>0</v>
      </c>
      <c r="N430" t="n">
        <v>0</v>
      </c>
      <c r="O430" t="n">
        <v>0</v>
      </c>
      <c r="P430" t="n">
        <v>0</v>
      </c>
      <c r="Q430" t="n">
        <v>0</v>
      </c>
      <c r="R430" s="2" t="inlineStr"/>
    </row>
    <row r="431" ht="15" customHeight="1">
      <c r="A431" t="inlineStr">
        <is>
          <t>A 60259-2025</t>
        </is>
      </c>
      <c r="B431" s="1" t="n">
        <v>45994.60913194445</v>
      </c>
      <c r="C431" s="1" t="n">
        <v>46073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60246-2025</t>
        </is>
      </c>
      <c r="B432" s="1" t="n">
        <v>45994.58931712963</v>
      </c>
      <c r="C432" s="1" t="n">
        <v>46073</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36031-2025</t>
        </is>
      </c>
      <c r="B433" s="1" t="n">
        <v>45865.46111111111</v>
      </c>
      <c r="C433" s="1" t="n">
        <v>46073</v>
      </c>
      <c r="D433" t="inlineStr">
        <is>
          <t>VÄSTMANLANDS LÄN</t>
        </is>
      </c>
      <c r="E433" t="inlineStr">
        <is>
          <t>SALA</t>
        </is>
      </c>
      <c r="G433" t="n">
        <v>7.2</v>
      </c>
      <c r="H433" t="n">
        <v>0</v>
      </c>
      <c r="I433" t="n">
        <v>0</v>
      </c>
      <c r="J433" t="n">
        <v>0</v>
      </c>
      <c r="K433" t="n">
        <v>0</v>
      </c>
      <c r="L433" t="n">
        <v>0</v>
      </c>
      <c r="M433" t="n">
        <v>0</v>
      </c>
      <c r="N433" t="n">
        <v>0</v>
      </c>
      <c r="O433" t="n">
        <v>0</v>
      </c>
      <c r="P433" t="n">
        <v>0</v>
      </c>
      <c r="Q433" t="n">
        <v>0</v>
      </c>
      <c r="R433" s="2" t="inlineStr"/>
    </row>
    <row r="434" ht="15" customHeight="1">
      <c r="A434" t="inlineStr">
        <is>
          <t>A 36060-2025</t>
        </is>
      </c>
      <c r="B434" s="1" t="n">
        <v>45866.39469907407</v>
      </c>
      <c r="C434" s="1" t="n">
        <v>46073</v>
      </c>
      <c r="D434" t="inlineStr">
        <is>
          <t>VÄSTMANLANDS LÄN</t>
        </is>
      </c>
      <c r="E434" t="inlineStr">
        <is>
          <t>SALA</t>
        </is>
      </c>
      <c r="F434" t="inlineStr">
        <is>
          <t>Kommuner</t>
        </is>
      </c>
      <c r="G434" t="n">
        <v>4.3</v>
      </c>
      <c r="H434" t="n">
        <v>0</v>
      </c>
      <c r="I434" t="n">
        <v>0</v>
      </c>
      <c r="J434" t="n">
        <v>0</v>
      </c>
      <c r="K434" t="n">
        <v>0</v>
      </c>
      <c r="L434" t="n">
        <v>0</v>
      </c>
      <c r="M434" t="n">
        <v>0</v>
      </c>
      <c r="N434" t="n">
        <v>0</v>
      </c>
      <c r="O434" t="n">
        <v>0</v>
      </c>
      <c r="P434" t="n">
        <v>0</v>
      </c>
      <c r="Q434" t="n">
        <v>0</v>
      </c>
      <c r="R434" s="2" t="inlineStr"/>
    </row>
    <row r="435" ht="15" customHeight="1">
      <c r="A435" t="inlineStr">
        <is>
          <t>A 36032-2025</t>
        </is>
      </c>
      <c r="B435" s="1" t="n">
        <v>45865.48740740741</v>
      </c>
      <c r="C435" s="1" t="n">
        <v>46073</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36043-2025</t>
        </is>
      </c>
      <c r="B436" s="1" t="n">
        <v>45866.35333333333</v>
      </c>
      <c r="C436" s="1" t="n">
        <v>46073</v>
      </c>
      <c r="D436" t="inlineStr">
        <is>
          <t>VÄSTMANLANDS LÄN</t>
        </is>
      </c>
      <c r="E436" t="inlineStr">
        <is>
          <t>SALA</t>
        </is>
      </c>
      <c r="F436" t="inlineStr">
        <is>
          <t>Kommuner</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36045-2025</t>
        </is>
      </c>
      <c r="B437" s="1" t="n">
        <v>45866.36200231482</v>
      </c>
      <c r="C437" s="1" t="n">
        <v>46073</v>
      </c>
      <c r="D437" t="inlineStr">
        <is>
          <t>VÄSTMANLANDS LÄN</t>
        </is>
      </c>
      <c r="E437" t="inlineStr">
        <is>
          <t>SALA</t>
        </is>
      </c>
      <c r="F437" t="inlineStr">
        <is>
          <t>Kommuner</t>
        </is>
      </c>
      <c r="G437" t="n">
        <v>1.7</v>
      </c>
      <c r="H437" t="n">
        <v>0</v>
      </c>
      <c r="I437" t="n">
        <v>0</v>
      </c>
      <c r="J437" t="n">
        <v>0</v>
      </c>
      <c r="K437" t="n">
        <v>0</v>
      </c>
      <c r="L437" t="n">
        <v>0</v>
      </c>
      <c r="M437" t="n">
        <v>0</v>
      </c>
      <c r="N437" t="n">
        <v>0</v>
      </c>
      <c r="O437" t="n">
        <v>0</v>
      </c>
      <c r="P437" t="n">
        <v>0</v>
      </c>
      <c r="Q437" t="n">
        <v>0</v>
      </c>
      <c r="R437" s="2" t="inlineStr"/>
    </row>
    <row r="438" ht="15" customHeight="1">
      <c r="A438" t="inlineStr">
        <is>
          <t>A 60254-2025</t>
        </is>
      </c>
      <c r="B438" s="1" t="n">
        <v>45994.60146990741</v>
      </c>
      <c r="C438" s="1" t="n">
        <v>46073</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59926-2025</t>
        </is>
      </c>
      <c r="B439" s="1" t="n">
        <v>45993.39221064815</v>
      </c>
      <c r="C439" s="1" t="n">
        <v>46073</v>
      </c>
      <c r="D439" t="inlineStr">
        <is>
          <t>VÄSTMANLANDS LÄN</t>
        </is>
      </c>
      <c r="E439" t="inlineStr">
        <is>
          <t>SALA</t>
        </is>
      </c>
      <c r="G439" t="n">
        <v>7.1</v>
      </c>
      <c r="H439" t="n">
        <v>0</v>
      </c>
      <c r="I439" t="n">
        <v>0</v>
      </c>
      <c r="J439" t="n">
        <v>0</v>
      </c>
      <c r="K439" t="n">
        <v>0</v>
      </c>
      <c r="L439" t="n">
        <v>0</v>
      </c>
      <c r="M439" t="n">
        <v>0</v>
      </c>
      <c r="N439" t="n">
        <v>0</v>
      </c>
      <c r="O439" t="n">
        <v>0</v>
      </c>
      <c r="P439" t="n">
        <v>0</v>
      </c>
      <c r="Q439" t="n">
        <v>0</v>
      </c>
      <c r="R439" s="2" t="inlineStr"/>
    </row>
    <row r="440" ht="15" customHeight="1">
      <c r="A440" t="inlineStr">
        <is>
          <t>A 21159-2022</t>
        </is>
      </c>
      <c r="B440" s="1" t="n">
        <v>44704</v>
      </c>
      <c r="C440" s="1" t="n">
        <v>46073</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17985-2025</t>
        </is>
      </c>
      <c r="B441" s="1" t="n">
        <v>45761</v>
      </c>
      <c r="C441" s="1" t="n">
        <v>46073</v>
      </c>
      <c r="D441" t="inlineStr">
        <is>
          <t>VÄSTMANLANDS LÄN</t>
        </is>
      </c>
      <c r="E441" t="inlineStr">
        <is>
          <t>SALA</t>
        </is>
      </c>
      <c r="G441" t="n">
        <v>12.5</v>
      </c>
      <c r="H441" t="n">
        <v>0</v>
      </c>
      <c r="I441" t="n">
        <v>0</v>
      </c>
      <c r="J441" t="n">
        <v>0</v>
      </c>
      <c r="K441" t="n">
        <v>0</v>
      </c>
      <c r="L441" t="n">
        <v>0</v>
      </c>
      <c r="M441" t="n">
        <v>0</v>
      </c>
      <c r="N441" t="n">
        <v>0</v>
      </c>
      <c r="O441" t="n">
        <v>0</v>
      </c>
      <c r="P441" t="n">
        <v>0</v>
      </c>
      <c r="Q441" t="n">
        <v>0</v>
      </c>
      <c r="R441" s="2" t="inlineStr"/>
    </row>
    <row r="442" ht="15" customHeight="1">
      <c r="A442" t="inlineStr">
        <is>
          <t>A 31869-2025</t>
        </is>
      </c>
      <c r="B442" s="1" t="n">
        <v>45834.64555555556</v>
      </c>
      <c r="C442" s="1" t="n">
        <v>46073</v>
      </c>
      <c r="D442" t="inlineStr">
        <is>
          <t>VÄSTMANLANDS LÄN</t>
        </is>
      </c>
      <c r="E442" t="inlineStr">
        <is>
          <t>SALA</t>
        </is>
      </c>
      <c r="G442" t="n">
        <v>17.5</v>
      </c>
      <c r="H442" t="n">
        <v>0</v>
      </c>
      <c r="I442" t="n">
        <v>0</v>
      </c>
      <c r="J442" t="n">
        <v>0</v>
      </c>
      <c r="K442" t="n">
        <v>0</v>
      </c>
      <c r="L442" t="n">
        <v>0</v>
      </c>
      <c r="M442" t="n">
        <v>0</v>
      </c>
      <c r="N442" t="n">
        <v>0</v>
      </c>
      <c r="O442" t="n">
        <v>0</v>
      </c>
      <c r="P442" t="n">
        <v>0</v>
      </c>
      <c r="Q442" t="n">
        <v>0</v>
      </c>
      <c r="R442" s="2" t="inlineStr"/>
    </row>
    <row r="443" ht="15" customHeight="1">
      <c r="A443" t="inlineStr">
        <is>
          <t>A 41292-2021</t>
        </is>
      </c>
      <c r="B443" s="1" t="n">
        <v>44424</v>
      </c>
      <c r="C443" s="1" t="n">
        <v>46073</v>
      </c>
      <c r="D443" t="inlineStr">
        <is>
          <t>VÄSTMANLANDS LÄN</t>
        </is>
      </c>
      <c r="E443" t="inlineStr">
        <is>
          <t>SALA</t>
        </is>
      </c>
      <c r="G443" t="n">
        <v>0.3</v>
      </c>
      <c r="H443" t="n">
        <v>0</v>
      </c>
      <c r="I443" t="n">
        <v>0</v>
      </c>
      <c r="J443" t="n">
        <v>0</v>
      </c>
      <c r="K443" t="n">
        <v>0</v>
      </c>
      <c r="L443" t="n">
        <v>0</v>
      </c>
      <c r="M443" t="n">
        <v>0</v>
      </c>
      <c r="N443" t="n">
        <v>0</v>
      </c>
      <c r="O443" t="n">
        <v>0</v>
      </c>
      <c r="P443" t="n">
        <v>0</v>
      </c>
      <c r="Q443" t="n">
        <v>0</v>
      </c>
      <c r="R443" s="2" t="inlineStr"/>
    </row>
    <row r="444" ht="15" customHeight="1">
      <c r="A444" t="inlineStr">
        <is>
          <t>A 31863-2025</t>
        </is>
      </c>
      <c r="B444" s="1" t="n">
        <v>45834.63303240741</v>
      </c>
      <c r="C444" s="1" t="n">
        <v>46073</v>
      </c>
      <c r="D444" t="inlineStr">
        <is>
          <t>VÄSTMANLANDS LÄN</t>
        </is>
      </c>
      <c r="E444" t="inlineStr">
        <is>
          <t>SALA</t>
        </is>
      </c>
      <c r="G444" t="n">
        <v>2.5</v>
      </c>
      <c r="H444" t="n">
        <v>0</v>
      </c>
      <c r="I444" t="n">
        <v>0</v>
      </c>
      <c r="J444" t="n">
        <v>0</v>
      </c>
      <c r="K444" t="n">
        <v>0</v>
      </c>
      <c r="L444" t="n">
        <v>0</v>
      </c>
      <c r="M444" t="n">
        <v>0</v>
      </c>
      <c r="N444" t="n">
        <v>0</v>
      </c>
      <c r="O444" t="n">
        <v>0</v>
      </c>
      <c r="P444" t="n">
        <v>0</v>
      </c>
      <c r="Q444" t="n">
        <v>0</v>
      </c>
      <c r="R444" s="2" t="inlineStr"/>
    </row>
    <row r="445" ht="15" customHeight="1">
      <c r="A445" t="inlineStr">
        <is>
          <t>A 60328-2024</t>
        </is>
      </c>
      <c r="B445" s="1" t="n">
        <v>45643.38416666666</v>
      </c>
      <c r="C445" s="1" t="n">
        <v>46073</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17766-2025</t>
        </is>
      </c>
      <c r="B446" s="1" t="n">
        <v>45758</v>
      </c>
      <c r="C446" s="1" t="n">
        <v>46073</v>
      </c>
      <c r="D446" t="inlineStr">
        <is>
          <t>VÄSTMANLANDS LÄN</t>
        </is>
      </c>
      <c r="E446" t="inlineStr">
        <is>
          <t>SALA</t>
        </is>
      </c>
      <c r="G446" t="n">
        <v>16.5</v>
      </c>
      <c r="H446" t="n">
        <v>0</v>
      </c>
      <c r="I446" t="n">
        <v>0</v>
      </c>
      <c r="J446" t="n">
        <v>0</v>
      </c>
      <c r="K446" t="n">
        <v>0</v>
      </c>
      <c r="L446" t="n">
        <v>0</v>
      </c>
      <c r="M446" t="n">
        <v>0</v>
      </c>
      <c r="N446" t="n">
        <v>0</v>
      </c>
      <c r="O446" t="n">
        <v>0</v>
      </c>
      <c r="P446" t="n">
        <v>0</v>
      </c>
      <c r="Q446" t="n">
        <v>0</v>
      </c>
      <c r="R446" s="2" t="inlineStr"/>
    </row>
    <row r="447" ht="15" customHeight="1">
      <c r="A447" t="inlineStr">
        <is>
          <t>A 7664-2023</t>
        </is>
      </c>
      <c r="B447" s="1" t="n">
        <v>44972</v>
      </c>
      <c r="C447" s="1" t="n">
        <v>46073</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3546-2025</t>
        </is>
      </c>
      <c r="B448" s="1" t="n">
        <v>45680</v>
      </c>
      <c r="C448" s="1" t="n">
        <v>46073</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33273-2023</t>
        </is>
      </c>
      <c r="B449" s="1" t="n">
        <v>45127</v>
      </c>
      <c r="C449" s="1" t="n">
        <v>46073</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52827-2024</t>
        </is>
      </c>
      <c r="B450" s="1" t="n">
        <v>45610</v>
      </c>
      <c r="C450" s="1" t="n">
        <v>46073</v>
      </c>
      <c r="D450" t="inlineStr">
        <is>
          <t>VÄSTMANLANDS LÄN</t>
        </is>
      </c>
      <c r="E450" t="inlineStr">
        <is>
          <t>SALA</t>
        </is>
      </c>
      <c r="G450" t="n">
        <v>0.2</v>
      </c>
      <c r="H450" t="n">
        <v>0</v>
      </c>
      <c r="I450" t="n">
        <v>0</v>
      </c>
      <c r="J450" t="n">
        <v>0</v>
      </c>
      <c r="K450" t="n">
        <v>0</v>
      </c>
      <c r="L450" t="n">
        <v>0</v>
      </c>
      <c r="M450" t="n">
        <v>0</v>
      </c>
      <c r="N450" t="n">
        <v>0</v>
      </c>
      <c r="O450" t="n">
        <v>0</v>
      </c>
      <c r="P450" t="n">
        <v>0</v>
      </c>
      <c r="Q450" t="n">
        <v>0</v>
      </c>
      <c r="R450" s="2" t="inlineStr"/>
    </row>
    <row r="451" ht="15" customHeight="1">
      <c r="A451" t="inlineStr">
        <is>
          <t>A 53166-2024</t>
        </is>
      </c>
      <c r="B451" s="1" t="n">
        <v>45611</v>
      </c>
      <c r="C451" s="1" t="n">
        <v>46073</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11244-2024</t>
        </is>
      </c>
      <c r="B452" s="1" t="n">
        <v>45371</v>
      </c>
      <c r="C452" s="1" t="n">
        <v>46073</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62654-2022</t>
        </is>
      </c>
      <c r="B453" s="1" t="n">
        <v>44917</v>
      </c>
      <c r="C453" s="1" t="n">
        <v>46073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6135-2023</t>
        </is>
      </c>
      <c r="B454" s="1" t="n">
        <v>44964.62628472222</v>
      </c>
      <c r="C454" s="1" t="n">
        <v>46073</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53864-2022</t>
        </is>
      </c>
      <c r="B455" s="1" t="n">
        <v>44880.64016203704</v>
      </c>
      <c r="C455" s="1" t="n">
        <v>46073</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60629-2025</t>
        </is>
      </c>
      <c r="B456" s="1" t="n">
        <v>45996.41972222222</v>
      </c>
      <c r="C456" s="1" t="n">
        <v>46073</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37017-2025</t>
        </is>
      </c>
      <c r="B457" s="1" t="n">
        <v>45874</v>
      </c>
      <c r="C457" s="1" t="n">
        <v>46073</v>
      </c>
      <c r="D457" t="inlineStr">
        <is>
          <t>VÄSTMANLANDS LÄN</t>
        </is>
      </c>
      <c r="E457" t="inlineStr">
        <is>
          <t>SALA</t>
        </is>
      </c>
      <c r="G457" t="n">
        <v>11.1</v>
      </c>
      <c r="H457" t="n">
        <v>0</v>
      </c>
      <c r="I457" t="n">
        <v>0</v>
      </c>
      <c r="J457" t="n">
        <v>0</v>
      </c>
      <c r="K457" t="n">
        <v>0</v>
      </c>
      <c r="L457" t="n">
        <v>0</v>
      </c>
      <c r="M457" t="n">
        <v>0</v>
      </c>
      <c r="N457" t="n">
        <v>0</v>
      </c>
      <c r="O457" t="n">
        <v>0</v>
      </c>
      <c r="P457" t="n">
        <v>0</v>
      </c>
      <c r="Q457" t="n">
        <v>0</v>
      </c>
      <c r="R457" s="2" t="inlineStr"/>
    </row>
    <row r="458" ht="15" customHeight="1">
      <c r="A458" t="inlineStr">
        <is>
          <t>A 27255-2023</t>
        </is>
      </c>
      <c r="B458" s="1" t="n">
        <v>45096</v>
      </c>
      <c r="C458" s="1" t="n">
        <v>46073</v>
      </c>
      <c r="D458" t="inlineStr">
        <is>
          <t>VÄSTMANLANDS LÄN</t>
        </is>
      </c>
      <c r="E458" t="inlineStr">
        <is>
          <t>SALA</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37103-2025</t>
        </is>
      </c>
      <c r="B459" s="1" t="n">
        <v>45875.47743055555</v>
      </c>
      <c r="C459" s="1" t="n">
        <v>46073</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37246-2025</t>
        </is>
      </c>
      <c r="B460" s="1" t="n">
        <v>45876.39435185185</v>
      </c>
      <c r="C460" s="1" t="n">
        <v>46073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60034-2024</t>
        </is>
      </c>
      <c r="B461" s="1" t="n">
        <v>45642.46261574074</v>
      </c>
      <c r="C461" s="1" t="n">
        <v>46073</v>
      </c>
      <c r="D461" t="inlineStr">
        <is>
          <t>VÄSTMANLANDS LÄN</t>
        </is>
      </c>
      <c r="E461" t="inlineStr">
        <is>
          <t>SALA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3810-2023</t>
        </is>
      </c>
      <c r="B462" s="1" t="n">
        <v>44951.60454861111</v>
      </c>
      <c r="C462" s="1" t="n">
        <v>46073</v>
      </c>
      <c r="D462" t="inlineStr">
        <is>
          <t>VÄSTMANLANDS LÄN</t>
        </is>
      </c>
      <c r="E462" t="inlineStr">
        <is>
          <t>SALA</t>
        </is>
      </c>
      <c r="G462" t="n">
        <v>4.2</v>
      </c>
      <c r="H462" t="n">
        <v>0</v>
      </c>
      <c r="I462" t="n">
        <v>0</v>
      </c>
      <c r="J462" t="n">
        <v>0</v>
      </c>
      <c r="K462" t="n">
        <v>0</v>
      </c>
      <c r="L462" t="n">
        <v>0</v>
      </c>
      <c r="M462" t="n">
        <v>0</v>
      </c>
      <c r="N462" t="n">
        <v>0</v>
      </c>
      <c r="O462" t="n">
        <v>0</v>
      </c>
      <c r="P462" t="n">
        <v>0</v>
      </c>
      <c r="Q462" t="n">
        <v>0</v>
      </c>
      <c r="R462" s="2" t="inlineStr"/>
    </row>
    <row r="463" ht="15" customHeight="1">
      <c r="A463" t="inlineStr">
        <is>
          <t>A 37590-2025</t>
        </is>
      </c>
      <c r="B463" s="1" t="n">
        <v>45880.41138888889</v>
      </c>
      <c r="C463" s="1" t="n">
        <v>46073</v>
      </c>
      <c r="D463" t="inlineStr">
        <is>
          <t>VÄSTMANLANDS LÄN</t>
        </is>
      </c>
      <c r="E463" t="inlineStr">
        <is>
          <t>SALA</t>
        </is>
      </c>
      <c r="G463" t="n">
        <v>2.2</v>
      </c>
      <c r="H463" t="n">
        <v>0</v>
      </c>
      <c r="I463" t="n">
        <v>0</v>
      </c>
      <c r="J463" t="n">
        <v>0</v>
      </c>
      <c r="K463" t="n">
        <v>0</v>
      </c>
      <c r="L463" t="n">
        <v>0</v>
      </c>
      <c r="M463" t="n">
        <v>0</v>
      </c>
      <c r="N463" t="n">
        <v>0</v>
      </c>
      <c r="O463" t="n">
        <v>0</v>
      </c>
      <c r="P463" t="n">
        <v>0</v>
      </c>
      <c r="Q463" t="n">
        <v>0</v>
      </c>
      <c r="R463" s="2" t="inlineStr"/>
    </row>
    <row r="464" ht="15" customHeight="1">
      <c r="A464" t="inlineStr">
        <is>
          <t>A 37593-2025</t>
        </is>
      </c>
      <c r="B464" s="1" t="n">
        <v>45880.41325231481</v>
      </c>
      <c r="C464" s="1" t="n">
        <v>46073</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52503-2024</t>
        </is>
      </c>
      <c r="B465" s="1" t="n">
        <v>45609.58806712963</v>
      </c>
      <c r="C465" s="1" t="n">
        <v>46073</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2521-2025</t>
        </is>
      </c>
      <c r="B466" s="1" t="n">
        <v>45674</v>
      </c>
      <c r="C466" s="1" t="n">
        <v>46073</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43359-2024</t>
        </is>
      </c>
      <c r="B467" s="1" t="n">
        <v>45568.57724537037</v>
      </c>
      <c r="C467" s="1" t="n">
        <v>46073</v>
      </c>
      <c r="D467" t="inlineStr">
        <is>
          <t>VÄSTMANLANDS LÄN</t>
        </is>
      </c>
      <c r="E467" t="inlineStr">
        <is>
          <t>SALA</t>
        </is>
      </c>
      <c r="G467" t="n">
        <v>1.6</v>
      </c>
      <c r="H467" t="n">
        <v>0</v>
      </c>
      <c r="I467" t="n">
        <v>0</v>
      </c>
      <c r="J467" t="n">
        <v>0</v>
      </c>
      <c r="K467" t="n">
        <v>0</v>
      </c>
      <c r="L467" t="n">
        <v>0</v>
      </c>
      <c r="M467" t="n">
        <v>0</v>
      </c>
      <c r="N467" t="n">
        <v>0</v>
      </c>
      <c r="O467" t="n">
        <v>0</v>
      </c>
      <c r="P467" t="n">
        <v>0</v>
      </c>
      <c r="Q467" t="n">
        <v>0</v>
      </c>
      <c r="R467" s="2" t="inlineStr"/>
    </row>
    <row r="468" ht="15" customHeight="1">
      <c r="A468" t="inlineStr">
        <is>
          <t>A 29972-2025</t>
        </is>
      </c>
      <c r="B468" s="1" t="n">
        <v>45826</v>
      </c>
      <c r="C468" s="1" t="n">
        <v>46073</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31000-2022</t>
        </is>
      </c>
      <c r="B469" s="1" t="n">
        <v>44768</v>
      </c>
      <c r="C469" s="1" t="n">
        <v>46073</v>
      </c>
      <c r="D469" t="inlineStr">
        <is>
          <t>VÄSTMANLANDS LÄN</t>
        </is>
      </c>
      <c r="E469" t="inlineStr">
        <is>
          <t>SALA</t>
        </is>
      </c>
      <c r="G469" t="n">
        <v>5.7</v>
      </c>
      <c r="H469" t="n">
        <v>0</v>
      </c>
      <c r="I469" t="n">
        <v>0</v>
      </c>
      <c r="J469" t="n">
        <v>0</v>
      </c>
      <c r="K469" t="n">
        <v>0</v>
      </c>
      <c r="L469" t="n">
        <v>0</v>
      </c>
      <c r="M469" t="n">
        <v>0</v>
      </c>
      <c r="N469" t="n">
        <v>0</v>
      </c>
      <c r="O469" t="n">
        <v>0</v>
      </c>
      <c r="P469" t="n">
        <v>0</v>
      </c>
      <c r="Q469" t="n">
        <v>0</v>
      </c>
      <c r="R469" s="2" t="inlineStr"/>
    </row>
    <row r="470" ht="15" customHeight="1">
      <c r="A470" t="inlineStr">
        <is>
          <t>A 31950-2023</t>
        </is>
      </c>
      <c r="B470" s="1" t="n">
        <v>45107</v>
      </c>
      <c r="C470" s="1" t="n">
        <v>46073</v>
      </c>
      <c r="D470" t="inlineStr">
        <is>
          <t>VÄSTMANLANDS LÄN</t>
        </is>
      </c>
      <c r="E470" t="inlineStr">
        <is>
          <t>SALA</t>
        </is>
      </c>
      <c r="G470" t="n">
        <v>0.1</v>
      </c>
      <c r="H470" t="n">
        <v>0</v>
      </c>
      <c r="I470" t="n">
        <v>0</v>
      </c>
      <c r="J470" t="n">
        <v>0</v>
      </c>
      <c r="K470" t="n">
        <v>0</v>
      </c>
      <c r="L470" t="n">
        <v>0</v>
      </c>
      <c r="M470" t="n">
        <v>0</v>
      </c>
      <c r="N470" t="n">
        <v>0</v>
      </c>
      <c r="O470" t="n">
        <v>0</v>
      </c>
      <c r="P470" t="n">
        <v>0</v>
      </c>
      <c r="Q470" t="n">
        <v>0</v>
      </c>
      <c r="R470" s="2" t="inlineStr"/>
    </row>
    <row r="471" ht="15" customHeight="1">
      <c r="A471" t="inlineStr">
        <is>
          <t>A 16693-2023</t>
        </is>
      </c>
      <c r="B471" s="1" t="n">
        <v>45028</v>
      </c>
      <c r="C471" s="1" t="n">
        <v>46073</v>
      </c>
      <c r="D471" t="inlineStr">
        <is>
          <t>VÄSTMANLANDS LÄN</t>
        </is>
      </c>
      <c r="E471" t="inlineStr">
        <is>
          <t>SALA</t>
        </is>
      </c>
      <c r="G471" t="n">
        <v>1.5</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44719.79707175926</v>
      </c>
      <c r="C472" s="1" t="n">
        <v>46073</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57371-2022</t>
        </is>
      </c>
      <c r="B473" s="1" t="n">
        <v>44896.43832175926</v>
      </c>
      <c r="C473" s="1" t="n">
        <v>46073</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56548-2024</t>
        </is>
      </c>
      <c r="B474" s="1" t="n">
        <v>45625</v>
      </c>
      <c r="C474" s="1" t="n">
        <v>46073</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47086-2022</t>
        </is>
      </c>
      <c r="B475" s="1" t="n">
        <v>44852</v>
      </c>
      <c r="C475" s="1" t="n">
        <v>46073</v>
      </c>
      <c r="D475" t="inlineStr">
        <is>
          <t>VÄSTMANLANDS LÄN</t>
        </is>
      </c>
      <c r="E475" t="inlineStr">
        <is>
          <t>SALA</t>
        </is>
      </c>
      <c r="G475" t="n">
        <v>12.5</v>
      </c>
      <c r="H475" t="n">
        <v>0</v>
      </c>
      <c r="I475" t="n">
        <v>0</v>
      </c>
      <c r="J475" t="n">
        <v>0</v>
      </c>
      <c r="K475" t="n">
        <v>0</v>
      </c>
      <c r="L475" t="n">
        <v>0</v>
      </c>
      <c r="M475" t="n">
        <v>0</v>
      </c>
      <c r="N475" t="n">
        <v>0</v>
      </c>
      <c r="O475" t="n">
        <v>0</v>
      </c>
      <c r="P475" t="n">
        <v>0</v>
      </c>
      <c r="Q475" t="n">
        <v>0</v>
      </c>
      <c r="R475" s="2" t="inlineStr"/>
    </row>
    <row r="476" ht="15" customHeight="1">
      <c r="A476" t="inlineStr">
        <is>
          <t>A 61522-2025</t>
        </is>
      </c>
      <c r="B476" s="1" t="n">
        <v>46001.68684027778</v>
      </c>
      <c r="C476" s="1" t="n">
        <v>46073</v>
      </c>
      <c r="D476" t="inlineStr">
        <is>
          <t>VÄSTMANLANDS LÄN</t>
        </is>
      </c>
      <c r="E476" t="inlineStr">
        <is>
          <t>SALA</t>
        </is>
      </c>
      <c r="G476" t="n">
        <v>5.7</v>
      </c>
      <c r="H476" t="n">
        <v>0</v>
      </c>
      <c r="I476" t="n">
        <v>0</v>
      </c>
      <c r="J476" t="n">
        <v>0</v>
      </c>
      <c r="K476" t="n">
        <v>0</v>
      </c>
      <c r="L476" t="n">
        <v>0</v>
      </c>
      <c r="M476" t="n">
        <v>0</v>
      </c>
      <c r="N476" t="n">
        <v>0</v>
      </c>
      <c r="O476" t="n">
        <v>0</v>
      </c>
      <c r="P476" t="n">
        <v>0</v>
      </c>
      <c r="Q476" t="n">
        <v>0</v>
      </c>
      <c r="R476" s="2" t="inlineStr"/>
    </row>
    <row r="477" ht="15" customHeight="1">
      <c r="A477" t="inlineStr">
        <is>
          <t>A 988-2025</t>
        </is>
      </c>
      <c r="B477" s="1" t="n">
        <v>45666.44038194444</v>
      </c>
      <c r="C477" s="1" t="n">
        <v>46073</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5032-2025</t>
        </is>
      </c>
      <c r="B478" s="1" t="n">
        <v>45691</v>
      </c>
      <c r="C478" s="1" t="n">
        <v>46073</v>
      </c>
      <c r="D478" t="inlineStr">
        <is>
          <t>VÄSTMANLANDS LÄN</t>
        </is>
      </c>
      <c r="E478" t="inlineStr">
        <is>
          <t>SALA</t>
        </is>
      </c>
      <c r="G478" t="n">
        <v>0.9</v>
      </c>
      <c r="H478" t="n">
        <v>0</v>
      </c>
      <c r="I478" t="n">
        <v>0</v>
      </c>
      <c r="J478" t="n">
        <v>0</v>
      </c>
      <c r="K478" t="n">
        <v>0</v>
      </c>
      <c r="L478" t="n">
        <v>0</v>
      </c>
      <c r="M478" t="n">
        <v>0</v>
      </c>
      <c r="N478" t="n">
        <v>0</v>
      </c>
      <c r="O478" t="n">
        <v>0</v>
      </c>
      <c r="P478" t="n">
        <v>0</v>
      </c>
      <c r="Q478" t="n">
        <v>0</v>
      </c>
      <c r="R478" s="2" t="inlineStr"/>
    </row>
    <row r="479" ht="15" customHeight="1">
      <c r="A479" t="inlineStr">
        <is>
          <t>A 4712-2026</t>
        </is>
      </c>
      <c r="B479" s="1" t="n">
        <v>46048.46082175926</v>
      </c>
      <c r="C479" s="1" t="n">
        <v>46073</v>
      </c>
      <c r="D479" t="inlineStr">
        <is>
          <t>VÄSTMANLANDS LÄN</t>
        </is>
      </c>
      <c r="E479" t="inlineStr">
        <is>
          <t>SALA</t>
        </is>
      </c>
      <c r="G479" t="n">
        <v>4.1</v>
      </c>
      <c r="H479" t="n">
        <v>0</v>
      </c>
      <c r="I479" t="n">
        <v>0</v>
      </c>
      <c r="J479" t="n">
        <v>0</v>
      </c>
      <c r="K479" t="n">
        <v>0</v>
      </c>
      <c r="L479" t="n">
        <v>0</v>
      </c>
      <c r="M479" t="n">
        <v>0</v>
      </c>
      <c r="N479" t="n">
        <v>0</v>
      </c>
      <c r="O479" t="n">
        <v>0</v>
      </c>
      <c r="P479" t="n">
        <v>0</v>
      </c>
      <c r="Q479" t="n">
        <v>0</v>
      </c>
      <c r="R479" s="2" t="inlineStr"/>
    </row>
    <row r="480" ht="15" customHeight="1">
      <c r="A480" t="inlineStr">
        <is>
          <t>A 4664-2026</t>
        </is>
      </c>
      <c r="B480" s="1" t="n">
        <v>46048.41061342593</v>
      </c>
      <c r="C480" s="1" t="n">
        <v>46073</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4624-2026</t>
        </is>
      </c>
      <c r="B481" s="1" t="n">
        <v>46048.38107638889</v>
      </c>
      <c r="C481" s="1" t="n">
        <v>46073</v>
      </c>
      <c r="D481" t="inlineStr">
        <is>
          <t>VÄSTMANLANDS LÄN</t>
        </is>
      </c>
      <c r="E481" t="inlineStr">
        <is>
          <t>SALA</t>
        </is>
      </c>
      <c r="G481" t="n">
        <v>12.3</v>
      </c>
      <c r="H481" t="n">
        <v>0</v>
      </c>
      <c r="I481" t="n">
        <v>0</v>
      </c>
      <c r="J481" t="n">
        <v>0</v>
      </c>
      <c r="K481" t="n">
        <v>0</v>
      </c>
      <c r="L481" t="n">
        <v>0</v>
      </c>
      <c r="M481" t="n">
        <v>0</v>
      </c>
      <c r="N481" t="n">
        <v>0</v>
      </c>
      <c r="O481" t="n">
        <v>0</v>
      </c>
      <c r="P481" t="n">
        <v>0</v>
      </c>
      <c r="Q481" t="n">
        <v>0</v>
      </c>
      <c r="R481" s="2" t="inlineStr"/>
    </row>
    <row r="482" ht="15" customHeight="1">
      <c r="A482" t="inlineStr">
        <is>
          <t>A 66908-2021</t>
        </is>
      </c>
      <c r="B482" s="1" t="n">
        <v>44522</v>
      </c>
      <c r="C482" s="1" t="n">
        <v>46073</v>
      </c>
      <c r="D482" t="inlineStr">
        <is>
          <t>VÄSTMANLANDS LÄN</t>
        </is>
      </c>
      <c r="E482" t="inlineStr">
        <is>
          <t>SALA</t>
        </is>
      </c>
      <c r="G482" t="n">
        <v>2.6</v>
      </c>
      <c r="H482" t="n">
        <v>0</v>
      </c>
      <c r="I482" t="n">
        <v>0</v>
      </c>
      <c r="J482" t="n">
        <v>0</v>
      </c>
      <c r="K482" t="n">
        <v>0</v>
      </c>
      <c r="L482" t="n">
        <v>0</v>
      </c>
      <c r="M482" t="n">
        <v>0</v>
      </c>
      <c r="N482" t="n">
        <v>0</v>
      </c>
      <c r="O482" t="n">
        <v>0</v>
      </c>
      <c r="P482" t="n">
        <v>0</v>
      </c>
      <c r="Q482" t="n">
        <v>0</v>
      </c>
      <c r="R482" s="2" t="inlineStr"/>
    </row>
    <row r="483" ht="15" customHeight="1">
      <c r="A483" t="inlineStr">
        <is>
          <t>A 11696-2025</t>
        </is>
      </c>
      <c r="B483" s="1" t="n">
        <v>45727</v>
      </c>
      <c r="C483" s="1" t="n">
        <v>46073</v>
      </c>
      <c r="D483" t="inlineStr">
        <is>
          <t>VÄSTMANLANDS LÄN</t>
        </is>
      </c>
      <c r="E483" t="inlineStr">
        <is>
          <t>SALA</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4681-2026</t>
        </is>
      </c>
      <c r="B484" s="1" t="n">
        <v>46048.43016203704</v>
      </c>
      <c r="C484" s="1" t="n">
        <v>46073</v>
      </c>
      <c r="D484" t="inlineStr">
        <is>
          <t>VÄSTMANLANDS LÄN</t>
        </is>
      </c>
      <c r="E484" t="inlineStr">
        <is>
          <t>SALA</t>
        </is>
      </c>
      <c r="G484" t="n">
        <v>2.5</v>
      </c>
      <c r="H484" t="n">
        <v>0</v>
      </c>
      <c r="I484" t="n">
        <v>0</v>
      </c>
      <c r="J484" t="n">
        <v>0</v>
      </c>
      <c r="K484" t="n">
        <v>0</v>
      </c>
      <c r="L484" t="n">
        <v>0</v>
      </c>
      <c r="M484" t="n">
        <v>0</v>
      </c>
      <c r="N484" t="n">
        <v>0</v>
      </c>
      <c r="O484" t="n">
        <v>0</v>
      </c>
      <c r="P484" t="n">
        <v>0</v>
      </c>
      <c r="Q484" t="n">
        <v>0</v>
      </c>
      <c r="R484" s="2" t="inlineStr"/>
    </row>
    <row r="485" ht="15" customHeight="1">
      <c r="A485" t="inlineStr">
        <is>
          <t>A 43509-2021</t>
        </is>
      </c>
      <c r="B485" s="1" t="n">
        <v>44433</v>
      </c>
      <c r="C485" s="1" t="n">
        <v>46073</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62523-2025</t>
        </is>
      </c>
      <c r="B486" s="1" t="n">
        <v>46007.61512731481</v>
      </c>
      <c r="C486" s="1" t="n">
        <v>46073</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13746-2025</t>
        </is>
      </c>
      <c r="B487" s="1" t="n">
        <v>45737.40944444444</v>
      </c>
      <c r="C487" s="1" t="n">
        <v>46073</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25897-2024</t>
        </is>
      </c>
      <c r="B488" s="1" t="n">
        <v>45467.54435185185</v>
      </c>
      <c r="C488" s="1" t="n">
        <v>46073</v>
      </c>
      <c r="D488" t="inlineStr">
        <is>
          <t>VÄSTMANLANDS LÄN</t>
        </is>
      </c>
      <c r="E488" t="inlineStr">
        <is>
          <t>SALA</t>
        </is>
      </c>
      <c r="G488" t="n">
        <v>9.9</v>
      </c>
      <c r="H488" t="n">
        <v>0</v>
      </c>
      <c r="I488" t="n">
        <v>0</v>
      </c>
      <c r="J488" t="n">
        <v>0</v>
      </c>
      <c r="K488" t="n">
        <v>0</v>
      </c>
      <c r="L488" t="n">
        <v>0</v>
      </c>
      <c r="M488" t="n">
        <v>0</v>
      </c>
      <c r="N488" t="n">
        <v>0</v>
      </c>
      <c r="O488" t="n">
        <v>0</v>
      </c>
      <c r="P488" t="n">
        <v>0</v>
      </c>
      <c r="Q488" t="n">
        <v>0</v>
      </c>
      <c r="R488" s="2" t="inlineStr"/>
    </row>
    <row r="489" ht="15" customHeight="1">
      <c r="A489" t="inlineStr">
        <is>
          <t>A 23222-2023</t>
        </is>
      </c>
      <c r="B489" s="1" t="n">
        <v>45075</v>
      </c>
      <c r="C489" s="1" t="n">
        <v>46073</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23224-2023</t>
        </is>
      </c>
      <c r="B490" s="1" t="n">
        <v>45075.65040509259</v>
      </c>
      <c r="C490" s="1" t="n">
        <v>46073</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50479-2022</t>
        </is>
      </c>
      <c r="B491" s="1" t="n">
        <v>44861</v>
      </c>
      <c r="C491" s="1" t="n">
        <v>46073</v>
      </c>
      <c r="D491" t="inlineStr">
        <is>
          <t>VÄSTMANLANDS LÄN</t>
        </is>
      </c>
      <c r="E491" t="inlineStr">
        <is>
          <t>SALA</t>
        </is>
      </c>
      <c r="G491" t="n">
        <v>0.9</v>
      </c>
      <c r="H491" t="n">
        <v>0</v>
      </c>
      <c r="I491" t="n">
        <v>0</v>
      </c>
      <c r="J491" t="n">
        <v>0</v>
      </c>
      <c r="K491" t="n">
        <v>0</v>
      </c>
      <c r="L491" t="n">
        <v>0</v>
      </c>
      <c r="M491" t="n">
        <v>0</v>
      </c>
      <c r="N491" t="n">
        <v>0</v>
      </c>
      <c r="O491" t="n">
        <v>0</v>
      </c>
      <c r="P491" t="n">
        <v>0</v>
      </c>
      <c r="Q491" t="n">
        <v>0</v>
      </c>
      <c r="R491" s="2" t="inlineStr"/>
    </row>
    <row r="492" ht="15" customHeight="1">
      <c r="A492" t="inlineStr">
        <is>
          <t>A 5418-2026</t>
        </is>
      </c>
      <c r="B492" s="1" t="n">
        <v>46050.53740740741</v>
      </c>
      <c r="C492" s="1" t="n">
        <v>46073</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5525-2026</t>
        </is>
      </c>
      <c r="B493" s="1" t="n">
        <v>46050.65055555556</v>
      </c>
      <c r="C493" s="1" t="n">
        <v>46073</v>
      </c>
      <c r="D493" t="inlineStr">
        <is>
          <t>VÄSTMANLANDS LÄN</t>
        </is>
      </c>
      <c r="E493" t="inlineStr">
        <is>
          <t>SALA</t>
        </is>
      </c>
      <c r="G493" t="n">
        <v>13.1</v>
      </c>
      <c r="H493" t="n">
        <v>0</v>
      </c>
      <c r="I493" t="n">
        <v>0</v>
      </c>
      <c r="J493" t="n">
        <v>0</v>
      </c>
      <c r="K493" t="n">
        <v>0</v>
      </c>
      <c r="L493" t="n">
        <v>0</v>
      </c>
      <c r="M493" t="n">
        <v>0</v>
      </c>
      <c r="N493" t="n">
        <v>0</v>
      </c>
      <c r="O493" t="n">
        <v>0</v>
      </c>
      <c r="P493" t="n">
        <v>0</v>
      </c>
      <c r="Q493" t="n">
        <v>0</v>
      </c>
      <c r="R493" s="2" t="inlineStr"/>
    </row>
    <row r="494" ht="15" customHeight="1">
      <c r="A494" t="inlineStr">
        <is>
          <t>A 14919-2025</t>
        </is>
      </c>
      <c r="B494" s="1" t="n">
        <v>45743.54256944444</v>
      </c>
      <c r="C494" s="1" t="n">
        <v>46073</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14920-2025</t>
        </is>
      </c>
      <c r="B495" s="1" t="n">
        <v>45743</v>
      </c>
      <c r="C495" s="1" t="n">
        <v>46073</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13855-2023</t>
        </is>
      </c>
      <c r="B496" s="1" t="n">
        <v>45007</v>
      </c>
      <c r="C496" s="1" t="n">
        <v>46073</v>
      </c>
      <c r="D496" t="inlineStr">
        <is>
          <t>VÄSTMANLANDS LÄN</t>
        </is>
      </c>
      <c r="E496" t="inlineStr">
        <is>
          <t>SALA</t>
        </is>
      </c>
      <c r="G496" t="n">
        <v>2.9</v>
      </c>
      <c r="H496" t="n">
        <v>0</v>
      </c>
      <c r="I496" t="n">
        <v>0</v>
      </c>
      <c r="J496" t="n">
        <v>0</v>
      </c>
      <c r="K496" t="n">
        <v>0</v>
      </c>
      <c r="L496" t="n">
        <v>0</v>
      </c>
      <c r="M496" t="n">
        <v>0</v>
      </c>
      <c r="N496" t="n">
        <v>0</v>
      </c>
      <c r="O496" t="n">
        <v>0</v>
      </c>
      <c r="P496" t="n">
        <v>0</v>
      </c>
      <c r="Q496" t="n">
        <v>0</v>
      </c>
      <c r="R496" s="2" t="inlineStr"/>
    </row>
    <row r="497" ht="15" customHeight="1">
      <c r="A497" t="inlineStr">
        <is>
          <t>A 63055-2025</t>
        </is>
      </c>
      <c r="B497" s="1" t="n">
        <v>46009.63619212963</v>
      </c>
      <c r="C497" s="1" t="n">
        <v>46073</v>
      </c>
      <c r="D497" t="inlineStr">
        <is>
          <t>VÄSTMANLANDS LÄN</t>
        </is>
      </c>
      <c r="E497" t="inlineStr">
        <is>
          <t>SALA</t>
        </is>
      </c>
      <c r="G497" t="n">
        <v>0.4</v>
      </c>
      <c r="H497" t="n">
        <v>0</v>
      </c>
      <c r="I497" t="n">
        <v>0</v>
      </c>
      <c r="J497" t="n">
        <v>0</v>
      </c>
      <c r="K497" t="n">
        <v>0</v>
      </c>
      <c r="L497" t="n">
        <v>0</v>
      </c>
      <c r="M497" t="n">
        <v>0</v>
      </c>
      <c r="N497" t="n">
        <v>0</v>
      </c>
      <c r="O497" t="n">
        <v>0</v>
      </c>
      <c r="P497" t="n">
        <v>0</v>
      </c>
      <c r="Q497" t="n">
        <v>0</v>
      </c>
      <c r="R497" s="2" t="inlineStr"/>
    </row>
    <row r="498" ht="15" customHeight="1">
      <c r="A498" t="inlineStr">
        <is>
          <t>A 18877-2023</t>
        </is>
      </c>
      <c r="B498" s="1" t="n">
        <v>45044</v>
      </c>
      <c r="C498" s="1" t="n">
        <v>46073</v>
      </c>
      <c r="D498" t="inlineStr">
        <is>
          <t>VÄSTMANLANDS LÄN</t>
        </is>
      </c>
      <c r="E498" t="inlineStr">
        <is>
          <t>SALA</t>
        </is>
      </c>
      <c r="F498" t="inlineStr">
        <is>
          <t>Kommuner</t>
        </is>
      </c>
      <c r="G498" t="n">
        <v>4.4</v>
      </c>
      <c r="H498" t="n">
        <v>0</v>
      </c>
      <c r="I498" t="n">
        <v>0</v>
      </c>
      <c r="J498" t="n">
        <v>0</v>
      </c>
      <c r="K498" t="n">
        <v>0</v>
      </c>
      <c r="L498" t="n">
        <v>0</v>
      </c>
      <c r="M498" t="n">
        <v>0</v>
      </c>
      <c r="N498" t="n">
        <v>0</v>
      </c>
      <c r="O498" t="n">
        <v>0</v>
      </c>
      <c r="P498" t="n">
        <v>0</v>
      </c>
      <c r="Q498" t="n">
        <v>0</v>
      </c>
      <c r="R498" s="2" t="inlineStr"/>
    </row>
    <row r="499" ht="15" customHeight="1">
      <c r="A499" t="inlineStr">
        <is>
          <t>A 55556-2023</t>
        </is>
      </c>
      <c r="B499" s="1" t="n">
        <v>45232</v>
      </c>
      <c r="C499" s="1" t="n">
        <v>46073</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34494-2023</t>
        </is>
      </c>
      <c r="B500" s="1" t="n">
        <v>45133</v>
      </c>
      <c r="C500" s="1" t="n">
        <v>46073</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63353-2025</t>
        </is>
      </c>
      <c r="B501" s="1" t="n">
        <v>46010.66670138889</v>
      </c>
      <c r="C501" s="1" t="n">
        <v>46073</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5894-2026</t>
        </is>
      </c>
      <c r="B502" s="1" t="n">
        <v>46052.42412037037</v>
      </c>
      <c r="C502" s="1" t="n">
        <v>46073</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63051-2025</t>
        </is>
      </c>
      <c r="B503" s="1" t="n">
        <v>46009.63134259259</v>
      </c>
      <c r="C503" s="1" t="n">
        <v>46073</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13752-2025</t>
        </is>
      </c>
      <c r="B504" s="1" t="n">
        <v>45737.41416666667</v>
      </c>
      <c r="C504" s="1" t="n">
        <v>46073</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63046-2025</t>
        </is>
      </c>
      <c r="B505" s="1" t="n">
        <v>46009.62373842593</v>
      </c>
      <c r="C505" s="1" t="n">
        <v>46073</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63269-2025</t>
        </is>
      </c>
      <c r="B506" s="1" t="n">
        <v>46010</v>
      </c>
      <c r="C506" s="1" t="n">
        <v>46073</v>
      </c>
      <c r="D506" t="inlineStr">
        <is>
          <t>VÄSTMANLANDS LÄN</t>
        </is>
      </c>
      <c r="E506" t="inlineStr">
        <is>
          <t>SALA</t>
        </is>
      </c>
      <c r="G506" t="n">
        <v>6.4</v>
      </c>
      <c r="H506" t="n">
        <v>0</v>
      </c>
      <c r="I506" t="n">
        <v>0</v>
      </c>
      <c r="J506" t="n">
        <v>0</v>
      </c>
      <c r="K506" t="n">
        <v>0</v>
      </c>
      <c r="L506" t="n">
        <v>0</v>
      </c>
      <c r="M506" t="n">
        <v>0</v>
      </c>
      <c r="N506" t="n">
        <v>0</v>
      </c>
      <c r="O506" t="n">
        <v>0</v>
      </c>
      <c r="P506" t="n">
        <v>0</v>
      </c>
      <c r="Q506" t="n">
        <v>0</v>
      </c>
      <c r="R506" s="2" t="inlineStr"/>
    </row>
    <row r="507" ht="15" customHeight="1">
      <c r="A507" t="inlineStr">
        <is>
          <t>A 19398-2025</t>
        </is>
      </c>
      <c r="B507" s="1" t="n">
        <v>45769</v>
      </c>
      <c r="C507" s="1" t="n">
        <v>46073</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22921-2023</t>
        </is>
      </c>
      <c r="B508" s="1" t="n">
        <v>45070</v>
      </c>
      <c r="C508" s="1" t="n">
        <v>46073</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16133-2025</t>
        </is>
      </c>
      <c r="B509" s="1" t="n">
        <v>45750</v>
      </c>
      <c r="C509" s="1" t="n">
        <v>46073</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6127-2025</t>
        </is>
      </c>
      <c r="B510" s="1" t="n">
        <v>45698</v>
      </c>
      <c r="C510" s="1" t="n">
        <v>46073</v>
      </c>
      <c r="D510" t="inlineStr">
        <is>
          <t>VÄSTMANLANDS LÄN</t>
        </is>
      </c>
      <c r="E510" t="inlineStr">
        <is>
          <t>SALA</t>
        </is>
      </c>
      <c r="F510" t="inlineStr">
        <is>
          <t>Bergvik skog öst AB</t>
        </is>
      </c>
      <c r="G510" t="n">
        <v>4.3</v>
      </c>
      <c r="H510" t="n">
        <v>0</v>
      </c>
      <c r="I510" t="n">
        <v>0</v>
      </c>
      <c r="J510" t="n">
        <v>0</v>
      </c>
      <c r="K510" t="n">
        <v>0</v>
      </c>
      <c r="L510" t="n">
        <v>0</v>
      </c>
      <c r="M510" t="n">
        <v>0</v>
      </c>
      <c r="N510" t="n">
        <v>0</v>
      </c>
      <c r="O510" t="n">
        <v>0</v>
      </c>
      <c r="P510" t="n">
        <v>0</v>
      </c>
      <c r="Q510" t="n">
        <v>0</v>
      </c>
      <c r="R510" s="2" t="inlineStr"/>
    </row>
    <row r="511" ht="15" customHeight="1">
      <c r="A511" t="inlineStr">
        <is>
          <t>A 15272-2025</t>
        </is>
      </c>
      <c r="B511" s="1" t="n">
        <v>45744</v>
      </c>
      <c r="C511" s="1" t="n">
        <v>46073</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24248-2023</t>
        </is>
      </c>
      <c r="B512" s="1" t="n">
        <v>45079</v>
      </c>
      <c r="C512" s="1" t="n">
        <v>46073</v>
      </c>
      <c r="D512" t="inlineStr">
        <is>
          <t>VÄSTMANLANDS LÄN</t>
        </is>
      </c>
      <c r="E512" t="inlineStr">
        <is>
          <t>SALA</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38195-2021</t>
        </is>
      </c>
      <c r="B513" s="1" t="n">
        <v>44405</v>
      </c>
      <c r="C513" s="1" t="n">
        <v>46073</v>
      </c>
      <c r="D513" t="inlineStr">
        <is>
          <t>VÄSTMANLANDS LÄN</t>
        </is>
      </c>
      <c r="E513" t="inlineStr">
        <is>
          <t>SALA</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27228-2023</t>
        </is>
      </c>
      <c r="B514" s="1" t="n">
        <v>45096.59189814814</v>
      </c>
      <c r="C514" s="1" t="n">
        <v>46073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17722-2025</t>
        </is>
      </c>
      <c r="B515" s="1" t="n">
        <v>45758</v>
      </c>
      <c r="C515" s="1" t="n">
        <v>46073</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6021-2026</t>
        </is>
      </c>
      <c r="B516" s="1" t="n">
        <v>46050</v>
      </c>
      <c r="C516" s="1" t="n">
        <v>46073</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53838-2022</t>
        </is>
      </c>
      <c r="B517" s="1" t="n">
        <v>44880.59363425926</v>
      </c>
      <c r="C517" s="1" t="n">
        <v>46073</v>
      </c>
      <c r="D517" t="inlineStr">
        <is>
          <t>VÄSTMANLANDS LÄN</t>
        </is>
      </c>
      <c r="E517" t="inlineStr">
        <is>
          <t>SALA</t>
        </is>
      </c>
      <c r="G517" t="n">
        <v>3.9</v>
      </c>
      <c r="H517" t="n">
        <v>0</v>
      </c>
      <c r="I517" t="n">
        <v>0</v>
      </c>
      <c r="J517" t="n">
        <v>0</v>
      </c>
      <c r="K517" t="n">
        <v>0</v>
      </c>
      <c r="L517" t="n">
        <v>0</v>
      </c>
      <c r="M517" t="n">
        <v>0</v>
      </c>
      <c r="N517" t="n">
        <v>0</v>
      </c>
      <c r="O517" t="n">
        <v>0</v>
      </c>
      <c r="P517" t="n">
        <v>0</v>
      </c>
      <c r="Q517" t="n">
        <v>0</v>
      </c>
      <c r="R517" s="2" t="inlineStr"/>
    </row>
    <row r="518" ht="15" customHeight="1">
      <c r="A518" t="inlineStr">
        <is>
          <t>A 7327-2026</t>
        </is>
      </c>
      <c r="B518" s="1" t="n">
        <v>46058.68371527778</v>
      </c>
      <c r="C518" s="1" t="n">
        <v>46073</v>
      </c>
      <c r="D518" t="inlineStr">
        <is>
          <t>VÄSTMANLANDS LÄN</t>
        </is>
      </c>
      <c r="E518" t="inlineStr">
        <is>
          <t>SALA</t>
        </is>
      </c>
      <c r="G518" t="n">
        <v>5.8</v>
      </c>
      <c r="H518" t="n">
        <v>0</v>
      </c>
      <c r="I518" t="n">
        <v>0</v>
      </c>
      <c r="J518" t="n">
        <v>0</v>
      </c>
      <c r="K518" t="n">
        <v>0</v>
      </c>
      <c r="L518" t="n">
        <v>0</v>
      </c>
      <c r="M518" t="n">
        <v>0</v>
      </c>
      <c r="N518" t="n">
        <v>0</v>
      </c>
      <c r="O518" t="n">
        <v>0</v>
      </c>
      <c r="P518" t="n">
        <v>0</v>
      </c>
      <c r="Q518" t="n">
        <v>0</v>
      </c>
      <c r="R518" s="2" t="inlineStr"/>
    </row>
    <row r="519" ht="15" customHeight="1">
      <c r="A519" t="inlineStr">
        <is>
          <t>A 25260-2023</t>
        </is>
      </c>
      <c r="B519" s="1" t="n">
        <v>45086</v>
      </c>
      <c r="C519" s="1" t="n">
        <v>46073</v>
      </c>
      <c r="D519" t="inlineStr">
        <is>
          <t>VÄSTMANLANDS LÄN</t>
        </is>
      </c>
      <c r="E519" t="inlineStr">
        <is>
          <t>SALA</t>
        </is>
      </c>
      <c r="F519" t="inlineStr">
        <is>
          <t>Sveaskog</t>
        </is>
      </c>
      <c r="G519" t="n">
        <v>3.2</v>
      </c>
      <c r="H519" t="n">
        <v>0</v>
      </c>
      <c r="I519" t="n">
        <v>0</v>
      </c>
      <c r="J519" t="n">
        <v>0</v>
      </c>
      <c r="K519" t="n">
        <v>0</v>
      </c>
      <c r="L519" t="n">
        <v>0</v>
      </c>
      <c r="M519" t="n">
        <v>0</v>
      </c>
      <c r="N519" t="n">
        <v>0</v>
      </c>
      <c r="O519" t="n">
        <v>0</v>
      </c>
      <c r="P519" t="n">
        <v>0</v>
      </c>
      <c r="Q519" t="n">
        <v>0</v>
      </c>
      <c r="R519" s="2" t="inlineStr"/>
    </row>
    <row r="520" ht="15" customHeight="1">
      <c r="A520" t="inlineStr">
        <is>
          <t>A 7332-2026</t>
        </is>
      </c>
      <c r="B520" s="1" t="n">
        <v>46058.68884259259</v>
      </c>
      <c r="C520" s="1" t="n">
        <v>46073</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7329-2026</t>
        </is>
      </c>
      <c r="B521" s="1" t="n">
        <v>46058.68678240741</v>
      </c>
      <c r="C521" s="1" t="n">
        <v>46073</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7324-2026</t>
        </is>
      </c>
      <c r="B522" s="1" t="n">
        <v>46058.68023148148</v>
      </c>
      <c r="C522" s="1" t="n">
        <v>46073</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16769-2024</t>
        </is>
      </c>
      <c r="B523" s="1" t="n">
        <v>45411.38738425926</v>
      </c>
      <c r="C523" s="1" t="n">
        <v>46073</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60249-2023</t>
        </is>
      </c>
      <c r="B524" s="1" t="n">
        <v>45258</v>
      </c>
      <c r="C524" s="1" t="n">
        <v>46073</v>
      </c>
      <c r="D524" t="inlineStr">
        <is>
          <t>VÄSTMANLANDS LÄN</t>
        </is>
      </c>
      <c r="E524" t="inlineStr">
        <is>
          <t>SALA</t>
        </is>
      </c>
      <c r="G524" t="n">
        <v>2</v>
      </c>
      <c r="H524" t="n">
        <v>0</v>
      </c>
      <c r="I524" t="n">
        <v>0</v>
      </c>
      <c r="J524" t="n">
        <v>0</v>
      </c>
      <c r="K524" t="n">
        <v>0</v>
      </c>
      <c r="L524" t="n">
        <v>0</v>
      </c>
      <c r="M524" t="n">
        <v>0</v>
      </c>
      <c r="N524" t="n">
        <v>0</v>
      </c>
      <c r="O524" t="n">
        <v>0</v>
      </c>
      <c r="P524" t="n">
        <v>0</v>
      </c>
      <c r="Q524" t="n">
        <v>0</v>
      </c>
      <c r="R524" s="2" t="inlineStr"/>
    </row>
    <row r="525" ht="15" customHeight="1">
      <c r="A525" t="inlineStr">
        <is>
          <t>A 14271-2025</t>
        </is>
      </c>
      <c r="B525" s="1" t="n">
        <v>45740.64129629629</v>
      </c>
      <c r="C525" s="1" t="n">
        <v>46073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7584-2026</t>
        </is>
      </c>
      <c r="B526" s="1" t="n">
        <v>46061.81653935185</v>
      </c>
      <c r="C526" s="1" t="n">
        <v>46073</v>
      </c>
      <c r="D526" t="inlineStr">
        <is>
          <t>VÄSTMANLANDS LÄN</t>
        </is>
      </c>
      <c r="E526" t="inlineStr">
        <is>
          <t>SALA</t>
        </is>
      </c>
      <c r="G526" t="n">
        <v>16.7</v>
      </c>
      <c r="H526" t="n">
        <v>0</v>
      </c>
      <c r="I526" t="n">
        <v>0</v>
      </c>
      <c r="J526" t="n">
        <v>0</v>
      </c>
      <c r="K526" t="n">
        <v>0</v>
      </c>
      <c r="L526" t="n">
        <v>0</v>
      </c>
      <c r="M526" t="n">
        <v>0</v>
      </c>
      <c r="N526" t="n">
        <v>0</v>
      </c>
      <c r="O526" t="n">
        <v>0</v>
      </c>
      <c r="P526" t="n">
        <v>0</v>
      </c>
      <c r="Q526" t="n">
        <v>0</v>
      </c>
      <c r="R526" s="2" t="inlineStr"/>
    </row>
    <row r="527" ht="15" customHeight="1">
      <c r="A527" t="inlineStr">
        <is>
          <t>A 7590-2026</t>
        </is>
      </c>
      <c r="B527" s="1" t="n">
        <v>46061.85252314815</v>
      </c>
      <c r="C527" s="1" t="n">
        <v>46073</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7596-2026</t>
        </is>
      </c>
      <c r="B528" s="1" t="n">
        <v>46061.90922453703</v>
      </c>
      <c r="C528" s="1" t="n">
        <v>46073</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7588-2026</t>
        </is>
      </c>
      <c r="B529" s="1" t="n">
        <v>46061.83528935185</v>
      </c>
      <c r="C529" s="1" t="n">
        <v>46073</v>
      </c>
      <c r="D529" t="inlineStr">
        <is>
          <t>VÄSTMANLANDS LÄN</t>
        </is>
      </c>
      <c r="E529" t="inlineStr">
        <is>
          <t>SALA</t>
        </is>
      </c>
      <c r="G529" t="n">
        <v>2.8</v>
      </c>
      <c r="H529" t="n">
        <v>0</v>
      </c>
      <c r="I529" t="n">
        <v>0</v>
      </c>
      <c r="J529" t="n">
        <v>0</v>
      </c>
      <c r="K529" t="n">
        <v>0</v>
      </c>
      <c r="L529" t="n">
        <v>0</v>
      </c>
      <c r="M529" t="n">
        <v>0</v>
      </c>
      <c r="N529" t="n">
        <v>0</v>
      </c>
      <c r="O529" t="n">
        <v>0</v>
      </c>
      <c r="P529" t="n">
        <v>0</v>
      </c>
      <c r="Q529" t="n">
        <v>0</v>
      </c>
      <c r="R529" s="2" t="inlineStr"/>
    </row>
    <row r="530" ht="15" customHeight="1">
      <c r="A530" t="inlineStr">
        <is>
          <t>A 7654-2026</t>
        </is>
      </c>
      <c r="B530" s="1" t="n">
        <v>46062.38828703704</v>
      </c>
      <c r="C530" s="1" t="n">
        <v>46073</v>
      </c>
      <c r="D530" t="inlineStr">
        <is>
          <t>VÄSTMANLANDS LÄN</t>
        </is>
      </c>
      <c r="E530" t="inlineStr">
        <is>
          <t>SALA</t>
        </is>
      </c>
      <c r="G530" t="n">
        <v>4.5</v>
      </c>
      <c r="H530" t="n">
        <v>0</v>
      </c>
      <c r="I530" t="n">
        <v>0</v>
      </c>
      <c r="J530" t="n">
        <v>0</v>
      </c>
      <c r="K530" t="n">
        <v>0</v>
      </c>
      <c r="L530" t="n">
        <v>0</v>
      </c>
      <c r="M530" t="n">
        <v>0</v>
      </c>
      <c r="N530" t="n">
        <v>0</v>
      </c>
      <c r="O530" t="n">
        <v>0</v>
      </c>
      <c r="P530" t="n">
        <v>0</v>
      </c>
      <c r="Q530" t="n">
        <v>0</v>
      </c>
      <c r="R530" s="2" t="inlineStr"/>
    </row>
    <row r="531" ht="15" customHeight="1">
      <c r="A531" t="inlineStr">
        <is>
          <t>A 69232-2021</t>
        </is>
      </c>
      <c r="B531" s="1" t="n">
        <v>44531.39696759259</v>
      </c>
      <c r="C531" s="1" t="n">
        <v>46073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7498-2026</t>
        </is>
      </c>
      <c r="B532" s="1" t="n">
        <v>46059.55550925926</v>
      </c>
      <c r="C532" s="1" t="n">
        <v>46073</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7676-2026</t>
        </is>
      </c>
      <c r="B533" s="1" t="n">
        <v>46062.42498842593</v>
      </c>
      <c r="C533" s="1" t="n">
        <v>46073</v>
      </c>
      <c r="D533" t="inlineStr">
        <is>
          <t>VÄSTMANLANDS LÄN</t>
        </is>
      </c>
      <c r="E533" t="inlineStr">
        <is>
          <t>SALA</t>
        </is>
      </c>
      <c r="G533" t="n">
        <v>2.1</v>
      </c>
      <c r="H533" t="n">
        <v>0</v>
      </c>
      <c r="I533" t="n">
        <v>0</v>
      </c>
      <c r="J533" t="n">
        <v>0</v>
      </c>
      <c r="K533" t="n">
        <v>0</v>
      </c>
      <c r="L533" t="n">
        <v>0</v>
      </c>
      <c r="M533" t="n">
        <v>0</v>
      </c>
      <c r="N533" t="n">
        <v>0</v>
      </c>
      <c r="O533" t="n">
        <v>0</v>
      </c>
      <c r="P533" t="n">
        <v>0</v>
      </c>
      <c r="Q533" t="n">
        <v>0</v>
      </c>
      <c r="R533" s="2" t="inlineStr"/>
    </row>
    <row r="534" ht="15" customHeight="1">
      <c r="A534" t="inlineStr">
        <is>
          <t>A 63749-2025</t>
        </is>
      </c>
      <c r="B534" s="1" t="n">
        <v>46017.75243055556</v>
      </c>
      <c r="C534" s="1" t="n">
        <v>46073</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28328-2023</t>
        </is>
      </c>
      <c r="B535" s="1" t="n">
        <v>45099.71063657408</v>
      </c>
      <c r="C535" s="1" t="n">
        <v>46073</v>
      </c>
      <c r="D535" t="inlineStr">
        <is>
          <t>VÄSTMANLANDS LÄN</t>
        </is>
      </c>
      <c r="E535" t="inlineStr">
        <is>
          <t>SALA</t>
        </is>
      </c>
      <c r="G535" t="n">
        <v>1.8</v>
      </c>
      <c r="H535" t="n">
        <v>0</v>
      </c>
      <c r="I535" t="n">
        <v>0</v>
      </c>
      <c r="J535" t="n">
        <v>0</v>
      </c>
      <c r="K535" t="n">
        <v>0</v>
      </c>
      <c r="L535" t="n">
        <v>0</v>
      </c>
      <c r="M535" t="n">
        <v>0</v>
      </c>
      <c r="N535" t="n">
        <v>0</v>
      </c>
      <c r="O535" t="n">
        <v>0</v>
      </c>
      <c r="P535" t="n">
        <v>0</v>
      </c>
      <c r="Q535" t="n">
        <v>0</v>
      </c>
      <c r="R535" s="2" t="inlineStr"/>
    </row>
    <row r="536" ht="15" customHeight="1">
      <c r="A536" t="inlineStr">
        <is>
          <t>A 4214-2026</t>
        </is>
      </c>
      <c r="B536" s="1" t="n">
        <v>46044.76459490741</v>
      </c>
      <c r="C536" s="1" t="n">
        <v>46073</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40085-2024</t>
        </is>
      </c>
      <c r="B537" s="1" t="n">
        <v>45554</v>
      </c>
      <c r="C537" s="1" t="n">
        <v>46073</v>
      </c>
      <c r="D537" t="inlineStr">
        <is>
          <t>VÄSTMANLANDS LÄN</t>
        </is>
      </c>
      <c r="E537" t="inlineStr">
        <is>
          <t>SALA</t>
        </is>
      </c>
      <c r="G537" t="n">
        <v>2.8</v>
      </c>
      <c r="H537" t="n">
        <v>0</v>
      </c>
      <c r="I537" t="n">
        <v>0</v>
      </c>
      <c r="J537" t="n">
        <v>0</v>
      </c>
      <c r="K537" t="n">
        <v>0</v>
      </c>
      <c r="L537" t="n">
        <v>0</v>
      </c>
      <c r="M537" t="n">
        <v>0</v>
      </c>
      <c r="N537" t="n">
        <v>0</v>
      </c>
      <c r="O537" t="n">
        <v>0</v>
      </c>
      <c r="P537" t="n">
        <v>0</v>
      </c>
      <c r="Q537" t="n">
        <v>0</v>
      </c>
      <c r="R537" s="2" t="inlineStr"/>
    </row>
    <row r="538" ht="15" customHeight="1">
      <c r="A538" t="inlineStr">
        <is>
          <t>A 63748-2025</t>
        </is>
      </c>
      <c r="B538" s="1" t="n">
        <v>46017.71640046296</v>
      </c>
      <c r="C538" s="1" t="n">
        <v>46073</v>
      </c>
      <c r="D538" t="inlineStr">
        <is>
          <t>VÄSTMANLANDS LÄN</t>
        </is>
      </c>
      <c r="E538" t="inlineStr">
        <is>
          <t>SALA</t>
        </is>
      </c>
      <c r="G538" t="n">
        <v>1.6</v>
      </c>
      <c r="H538" t="n">
        <v>0</v>
      </c>
      <c r="I538" t="n">
        <v>0</v>
      </c>
      <c r="J538" t="n">
        <v>0</v>
      </c>
      <c r="K538" t="n">
        <v>0</v>
      </c>
      <c r="L538" t="n">
        <v>0</v>
      </c>
      <c r="M538" t="n">
        <v>0</v>
      </c>
      <c r="N538" t="n">
        <v>0</v>
      </c>
      <c r="O538" t="n">
        <v>0</v>
      </c>
      <c r="P538" t="n">
        <v>0</v>
      </c>
      <c r="Q538" t="n">
        <v>0</v>
      </c>
      <c r="R538" s="2" t="inlineStr"/>
    </row>
    <row r="539" ht="15" customHeight="1">
      <c r="A539" t="inlineStr">
        <is>
          <t>A 7593-2026</t>
        </is>
      </c>
      <c r="B539" s="1" t="n">
        <v>46061.88057870371</v>
      </c>
      <c r="C539" s="1" t="n">
        <v>46073</v>
      </c>
      <c r="D539" t="inlineStr">
        <is>
          <t>VÄSTMANLANDS LÄN</t>
        </is>
      </c>
      <c r="E539" t="inlineStr">
        <is>
          <t>SALA</t>
        </is>
      </c>
      <c r="G539" t="n">
        <v>7.5</v>
      </c>
      <c r="H539" t="n">
        <v>0</v>
      </c>
      <c r="I539" t="n">
        <v>0</v>
      </c>
      <c r="J539" t="n">
        <v>0</v>
      </c>
      <c r="K539" t="n">
        <v>0</v>
      </c>
      <c r="L539" t="n">
        <v>0</v>
      </c>
      <c r="M539" t="n">
        <v>0</v>
      </c>
      <c r="N539" t="n">
        <v>0</v>
      </c>
      <c r="O539" t="n">
        <v>0</v>
      </c>
      <c r="P539" t="n">
        <v>0</v>
      </c>
      <c r="Q539" t="n">
        <v>0</v>
      </c>
      <c r="R539" s="2" t="inlineStr"/>
    </row>
    <row r="540" ht="15" customHeight="1">
      <c r="A540" t="inlineStr">
        <is>
          <t>A 7597-2026</t>
        </is>
      </c>
      <c r="B540" s="1" t="n">
        <v>46061.91765046296</v>
      </c>
      <c r="C540" s="1" t="n">
        <v>46073</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7595-2026</t>
        </is>
      </c>
      <c r="B541" s="1" t="n">
        <v>46061.90009259259</v>
      </c>
      <c r="C541" s="1" t="n">
        <v>46073</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7661-2026</t>
        </is>
      </c>
      <c r="B542" s="1" t="n">
        <v>46062.39614583334</v>
      </c>
      <c r="C542" s="1" t="n">
        <v>46073</v>
      </c>
      <c r="D542" t="inlineStr">
        <is>
          <t>VÄSTMANLANDS LÄN</t>
        </is>
      </c>
      <c r="E542" t="inlineStr">
        <is>
          <t>SALA</t>
        </is>
      </c>
      <c r="G542" t="n">
        <v>1.3</v>
      </c>
      <c r="H542" t="n">
        <v>0</v>
      </c>
      <c r="I542" t="n">
        <v>0</v>
      </c>
      <c r="J542" t="n">
        <v>0</v>
      </c>
      <c r="K542" t="n">
        <v>0</v>
      </c>
      <c r="L542" t="n">
        <v>0</v>
      </c>
      <c r="M542" t="n">
        <v>0</v>
      </c>
      <c r="N542" t="n">
        <v>0</v>
      </c>
      <c r="O542" t="n">
        <v>0</v>
      </c>
      <c r="P542" t="n">
        <v>0</v>
      </c>
      <c r="Q542" t="n">
        <v>0</v>
      </c>
      <c r="R542" s="2" t="inlineStr"/>
    </row>
    <row r="543" ht="15" customHeight="1">
      <c r="A543" t="inlineStr">
        <is>
          <t>A 18158-2025</t>
        </is>
      </c>
      <c r="B543" s="1" t="n">
        <v>45761</v>
      </c>
      <c r="C543" s="1" t="n">
        <v>46073</v>
      </c>
      <c r="D543" t="inlineStr">
        <is>
          <t>VÄSTMANLANDS LÄN</t>
        </is>
      </c>
      <c r="E543" t="inlineStr">
        <is>
          <t>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7680-2026</t>
        </is>
      </c>
      <c r="B544" s="1" t="n">
        <v>46062.43087962963</v>
      </c>
      <c r="C544" s="1" t="n">
        <v>46073</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49661-2024</t>
        </is>
      </c>
      <c r="B545" s="1" t="n">
        <v>45596</v>
      </c>
      <c r="C545" s="1" t="n">
        <v>46073</v>
      </c>
      <c r="D545" t="inlineStr">
        <is>
          <t>VÄSTMANLANDS LÄN</t>
        </is>
      </c>
      <c r="E545" t="inlineStr">
        <is>
          <t>SALA</t>
        </is>
      </c>
      <c r="G545" t="n">
        <v>6.7</v>
      </c>
      <c r="H545" t="n">
        <v>0</v>
      </c>
      <c r="I545" t="n">
        <v>0</v>
      </c>
      <c r="J545" t="n">
        <v>0</v>
      </c>
      <c r="K545" t="n">
        <v>0</v>
      </c>
      <c r="L545" t="n">
        <v>0</v>
      </c>
      <c r="M545" t="n">
        <v>0</v>
      </c>
      <c r="N545" t="n">
        <v>0</v>
      </c>
      <c r="O545" t="n">
        <v>0</v>
      </c>
      <c r="P545" t="n">
        <v>0</v>
      </c>
      <c r="Q545" t="n">
        <v>0</v>
      </c>
      <c r="R545" s="2" t="inlineStr"/>
    </row>
    <row r="546" ht="15" customHeight="1">
      <c r="A546" t="inlineStr">
        <is>
          <t>A 7850-2026</t>
        </is>
      </c>
      <c r="B546" s="1" t="n">
        <v>46062.66236111111</v>
      </c>
      <c r="C546" s="1" t="n">
        <v>46073</v>
      </c>
      <c r="D546" t="inlineStr">
        <is>
          <t>VÄSTMANLANDS LÄN</t>
        </is>
      </c>
      <c r="E546" t="inlineStr">
        <is>
          <t>SALA</t>
        </is>
      </c>
      <c r="G546" t="n">
        <v>2.3</v>
      </c>
      <c r="H546" t="n">
        <v>0</v>
      </c>
      <c r="I546" t="n">
        <v>0</v>
      </c>
      <c r="J546" t="n">
        <v>0</v>
      </c>
      <c r="K546" t="n">
        <v>0</v>
      </c>
      <c r="L546" t="n">
        <v>0</v>
      </c>
      <c r="M546" t="n">
        <v>0</v>
      </c>
      <c r="N546" t="n">
        <v>0</v>
      </c>
      <c r="O546" t="n">
        <v>0</v>
      </c>
      <c r="P546" t="n">
        <v>0</v>
      </c>
      <c r="Q546" t="n">
        <v>0</v>
      </c>
      <c r="R546" s="2" t="inlineStr"/>
    </row>
    <row r="547" ht="15" customHeight="1">
      <c r="A547" t="inlineStr">
        <is>
          <t>A 7611-2026</t>
        </is>
      </c>
      <c r="B547" s="1" t="n">
        <v>46062.32387731481</v>
      </c>
      <c r="C547" s="1" t="n">
        <v>46073</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35519-2024</t>
        </is>
      </c>
      <c r="B548" s="1" t="n">
        <v>45531</v>
      </c>
      <c r="C548" s="1" t="n">
        <v>46073</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4683-2026</t>
        </is>
      </c>
      <c r="B549" s="1" t="n">
        <v>46048.43489583334</v>
      </c>
      <c r="C549" s="1" t="n">
        <v>46073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54347-2024</t>
        </is>
      </c>
      <c r="B550" s="1" t="n">
        <v>45617.39325231482</v>
      </c>
      <c r="C550" s="1" t="n">
        <v>46073</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13022-2023</t>
        </is>
      </c>
      <c r="B551" s="1" t="n">
        <v>45002.33291666667</v>
      </c>
      <c r="C551" s="1" t="n">
        <v>46073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35003-2024</t>
        </is>
      </c>
      <c r="B552" s="1" t="n">
        <v>45527.56790509259</v>
      </c>
      <c r="C552" s="1" t="n">
        <v>46073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66307-2021</t>
        </is>
      </c>
      <c r="B553" s="1" t="n">
        <v>44518.48670138889</v>
      </c>
      <c r="C553" s="1" t="n">
        <v>46073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6030-2024</t>
        </is>
      </c>
      <c r="B554" s="1" t="n">
        <v>45336.62782407407</v>
      </c>
      <c r="C554" s="1" t="n">
        <v>46073</v>
      </c>
      <c r="D554" t="inlineStr">
        <is>
          <t>VÄSTMANLANDS LÄN</t>
        </is>
      </c>
      <c r="E554" t="inlineStr">
        <is>
          <t>SALA</t>
        </is>
      </c>
      <c r="G554" t="n">
        <v>3.9</v>
      </c>
      <c r="H554" t="n">
        <v>0</v>
      </c>
      <c r="I554" t="n">
        <v>0</v>
      </c>
      <c r="J554" t="n">
        <v>0</v>
      </c>
      <c r="K554" t="n">
        <v>0</v>
      </c>
      <c r="L554" t="n">
        <v>0</v>
      </c>
      <c r="M554" t="n">
        <v>0</v>
      </c>
      <c r="N554" t="n">
        <v>0</v>
      </c>
      <c r="O554" t="n">
        <v>0</v>
      </c>
      <c r="P554" t="n">
        <v>0</v>
      </c>
      <c r="Q554" t="n">
        <v>0</v>
      </c>
      <c r="R554" s="2" t="inlineStr"/>
    </row>
    <row r="555" ht="15" customHeight="1">
      <c r="A555" t="inlineStr">
        <is>
          <t>A 26761-2023</t>
        </is>
      </c>
      <c r="B555" s="1" t="n">
        <v>45093</v>
      </c>
      <c r="C555" s="1" t="n">
        <v>46073</v>
      </c>
      <c r="D555" t="inlineStr">
        <is>
          <t>VÄSTMANLANDS LÄN</t>
        </is>
      </c>
      <c r="E555" t="inlineStr">
        <is>
          <t>SALA</t>
        </is>
      </c>
      <c r="G555" t="n">
        <v>4.3</v>
      </c>
      <c r="H555" t="n">
        <v>0</v>
      </c>
      <c r="I555" t="n">
        <v>0</v>
      </c>
      <c r="J555" t="n">
        <v>0</v>
      </c>
      <c r="K555" t="n">
        <v>0</v>
      </c>
      <c r="L555" t="n">
        <v>0</v>
      </c>
      <c r="M555" t="n">
        <v>0</v>
      </c>
      <c r="N555" t="n">
        <v>0</v>
      </c>
      <c r="O555" t="n">
        <v>0</v>
      </c>
      <c r="P555" t="n">
        <v>0</v>
      </c>
      <c r="Q555" t="n">
        <v>0</v>
      </c>
      <c r="R555" s="2" t="inlineStr"/>
    </row>
    <row r="556" ht="15" customHeight="1">
      <c r="A556" t="inlineStr">
        <is>
          <t>A 61892-2021</t>
        </is>
      </c>
      <c r="B556" s="1" t="n">
        <v>44502</v>
      </c>
      <c r="C556" s="1" t="n">
        <v>46073</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7772-2023</t>
        </is>
      </c>
      <c r="B557" s="1" t="n">
        <v>44973.40076388889</v>
      </c>
      <c r="C557" s="1" t="n">
        <v>46073</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42416-2022</t>
        </is>
      </c>
      <c r="B558" s="1" t="n">
        <v>44831</v>
      </c>
      <c r="C558" s="1" t="n">
        <v>46073</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19381-2025</t>
        </is>
      </c>
      <c r="B559" s="1" t="n">
        <v>45769</v>
      </c>
      <c r="C559" s="1" t="n">
        <v>46073</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48688-2024</t>
        </is>
      </c>
      <c r="B560" s="1" t="n">
        <v>45593.50541666667</v>
      </c>
      <c r="C560" s="1" t="n">
        <v>46073</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45187-2024</t>
        </is>
      </c>
      <c r="B561" s="1" t="n">
        <v>45575</v>
      </c>
      <c r="C561" s="1" t="n">
        <v>46073</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15968-2024</t>
        </is>
      </c>
      <c r="B562" s="1" t="n">
        <v>45405.56021990741</v>
      </c>
      <c r="C562" s="1" t="n">
        <v>46073</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3733-2023</t>
        </is>
      </c>
      <c r="B563" s="1" t="n">
        <v>44951.42501157407</v>
      </c>
      <c r="C563" s="1" t="n">
        <v>46073</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44544-2024</t>
        </is>
      </c>
      <c r="B564" s="1" t="n">
        <v>45574.46119212963</v>
      </c>
      <c r="C564" s="1" t="n">
        <v>46073</v>
      </c>
      <c r="D564" t="inlineStr">
        <is>
          <t>VÄSTMANLANDS LÄN</t>
        </is>
      </c>
      <c r="E564" t="inlineStr">
        <is>
          <t>SALA</t>
        </is>
      </c>
      <c r="G564" t="n">
        <v>3.3</v>
      </c>
      <c r="H564" t="n">
        <v>0</v>
      </c>
      <c r="I564" t="n">
        <v>0</v>
      </c>
      <c r="J564" t="n">
        <v>0</v>
      </c>
      <c r="K564" t="n">
        <v>0</v>
      </c>
      <c r="L564" t="n">
        <v>0</v>
      </c>
      <c r="M564" t="n">
        <v>0</v>
      </c>
      <c r="N564" t="n">
        <v>0</v>
      </c>
      <c r="O564" t="n">
        <v>0</v>
      </c>
      <c r="P564" t="n">
        <v>0</v>
      </c>
      <c r="Q564" t="n">
        <v>0</v>
      </c>
      <c r="R564" s="2" t="inlineStr"/>
    </row>
    <row r="565" ht="15" customHeight="1">
      <c r="A565" t="inlineStr">
        <is>
          <t>A 64729-2023</t>
        </is>
      </c>
      <c r="B565" s="1" t="n">
        <v>45281</v>
      </c>
      <c r="C565" s="1" t="n">
        <v>46073</v>
      </c>
      <c r="D565" t="inlineStr">
        <is>
          <t>VÄSTMANLANDS LÄN</t>
        </is>
      </c>
      <c r="E565" t="inlineStr">
        <is>
          <t>SALA</t>
        </is>
      </c>
      <c r="G565" t="n">
        <v>1.8</v>
      </c>
      <c r="H565" t="n">
        <v>0</v>
      </c>
      <c r="I565" t="n">
        <v>0</v>
      </c>
      <c r="J565" t="n">
        <v>0</v>
      </c>
      <c r="K565" t="n">
        <v>0</v>
      </c>
      <c r="L565" t="n">
        <v>0</v>
      </c>
      <c r="M565" t="n">
        <v>0</v>
      </c>
      <c r="N565" t="n">
        <v>0</v>
      </c>
      <c r="O565" t="n">
        <v>0</v>
      </c>
      <c r="P565" t="n">
        <v>0</v>
      </c>
      <c r="Q565" t="n">
        <v>0</v>
      </c>
      <c r="R565" s="2" t="inlineStr"/>
    </row>
    <row r="566" ht="15" customHeight="1">
      <c r="A566" t="inlineStr">
        <is>
          <t>A 5219-2026</t>
        </is>
      </c>
      <c r="B566" s="1" t="n">
        <v>46049.76225694444</v>
      </c>
      <c r="C566" s="1" t="n">
        <v>46073</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68864-2021</t>
        </is>
      </c>
      <c r="B567" s="1" t="n">
        <v>44530</v>
      </c>
      <c r="C567" s="1" t="n">
        <v>46073</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910-2026</t>
        </is>
      </c>
      <c r="B568" s="1" t="n">
        <v>46030.4771412037</v>
      </c>
      <c r="C568" s="1" t="n">
        <v>46073</v>
      </c>
      <c r="D568" t="inlineStr">
        <is>
          <t>VÄSTMANLANDS LÄN</t>
        </is>
      </c>
      <c r="E568" t="inlineStr">
        <is>
          <t>SALA</t>
        </is>
      </c>
      <c r="G568" t="n">
        <v>1.4</v>
      </c>
      <c r="H568" t="n">
        <v>0</v>
      </c>
      <c r="I568" t="n">
        <v>0</v>
      </c>
      <c r="J568" t="n">
        <v>0</v>
      </c>
      <c r="K568" t="n">
        <v>0</v>
      </c>
      <c r="L568" t="n">
        <v>0</v>
      </c>
      <c r="M568" t="n">
        <v>0</v>
      </c>
      <c r="N568" t="n">
        <v>0</v>
      </c>
      <c r="O568" t="n">
        <v>0</v>
      </c>
      <c r="P568" t="n">
        <v>0</v>
      </c>
      <c r="Q568" t="n">
        <v>0</v>
      </c>
      <c r="R568" s="2" t="inlineStr"/>
    </row>
    <row r="569" ht="15" customHeight="1">
      <c r="A569" t="inlineStr">
        <is>
          <t>A 64925-2023</t>
        </is>
      </c>
      <c r="B569" s="1" t="n">
        <v>45282</v>
      </c>
      <c r="C569" s="1" t="n">
        <v>46073</v>
      </c>
      <c r="D569" t="inlineStr">
        <is>
          <t>VÄSTMANLANDS LÄN</t>
        </is>
      </c>
      <c r="E569" t="inlineStr">
        <is>
          <t>SALA</t>
        </is>
      </c>
      <c r="G569" t="n">
        <v>2.5</v>
      </c>
      <c r="H569" t="n">
        <v>0</v>
      </c>
      <c r="I569" t="n">
        <v>0</v>
      </c>
      <c r="J569" t="n">
        <v>0</v>
      </c>
      <c r="K569" t="n">
        <v>0</v>
      </c>
      <c r="L569" t="n">
        <v>0</v>
      </c>
      <c r="M569" t="n">
        <v>0</v>
      </c>
      <c r="N569" t="n">
        <v>0</v>
      </c>
      <c r="O569" t="n">
        <v>0</v>
      </c>
      <c r="P569" t="n">
        <v>0</v>
      </c>
      <c r="Q569" t="n">
        <v>0</v>
      </c>
      <c r="R569" s="2" t="inlineStr"/>
    </row>
    <row r="570" ht="15" customHeight="1">
      <c r="A570" t="inlineStr">
        <is>
          <t>A 48570-2024</t>
        </is>
      </c>
      <c r="B570" s="1" t="n">
        <v>45591</v>
      </c>
      <c r="C570" s="1" t="n">
        <v>46073</v>
      </c>
      <c r="D570" t="inlineStr">
        <is>
          <t>VÄSTMANLANDS LÄN</t>
        </is>
      </c>
      <c r="E570" t="inlineStr">
        <is>
          <t>SALA</t>
        </is>
      </c>
      <c r="G570" t="n">
        <v>3</v>
      </c>
      <c r="H570" t="n">
        <v>0</v>
      </c>
      <c r="I570" t="n">
        <v>0</v>
      </c>
      <c r="J570" t="n">
        <v>0</v>
      </c>
      <c r="K570" t="n">
        <v>0</v>
      </c>
      <c r="L570" t="n">
        <v>0</v>
      </c>
      <c r="M570" t="n">
        <v>0</v>
      </c>
      <c r="N570" t="n">
        <v>0</v>
      </c>
      <c r="O570" t="n">
        <v>0</v>
      </c>
      <c r="P570" t="n">
        <v>0</v>
      </c>
      <c r="Q570" t="n">
        <v>0</v>
      </c>
      <c r="R570" s="2" t="inlineStr"/>
    </row>
    <row r="571" ht="15" customHeight="1">
      <c r="A571" t="inlineStr">
        <is>
          <t>A 914-2026</t>
        </is>
      </c>
      <c r="B571" s="1" t="n">
        <v>46030.47952546296</v>
      </c>
      <c r="C571" s="1" t="n">
        <v>46073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61517-2024</t>
        </is>
      </c>
      <c r="B572" s="1" t="n">
        <v>45645</v>
      </c>
      <c r="C572" s="1" t="n">
        <v>46073</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948-2026</t>
        </is>
      </c>
      <c r="B573" s="1" t="n">
        <v>46030.53986111111</v>
      </c>
      <c r="C573" s="1" t="n">
        <v>46073</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16760-2024</t>
        </is>
      </c>
      <c r="B574" s="1" t="n">
        <v>45411</v>
      </c>
      <c r="C574" s="1" t="n">
        <v>46073</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54603-2024</t>
        </is>
      </c>
      <c r="B575" s="1" t="n">
        <v>45617.68224537037</v>
      </c>
      <c r="C575" s="1" t="n">
        <v>46073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18762-2024</t>
        </is>
      </c>
      <c r="B576" s="1" t="n">
        <v>45426.55240740741</v>
      </c>
      <c r="C576" s="1" t="n">
        <v>46073</v>
      </c>
      <c r="D576" t="inlineStr">
        <is>
          <t>VÄSTMANLANDS LÄN</t>
        </is>
      </c>
      <c r="E576" t="inlineStr">
        <is>
          <t>SALA</t>
        </is>
      </c>
      <c r="G576" t="n">
        <v>6.2</v>
      </c>
      <c r="H576" t="n">
        <v>0</v>
      </c>
      <c r="I576" t="n">
        <v>0</v>
      </c>
      <c r="J576" t="n">
        <v>0</v>
      </c>
      <c r="K576" t="n">
        <v>0</v>
      </c>
      <c r="L576" t="n">
        <v>0</v>
      </c>
      <c r="M576" t="n">
        <v>0</v>
      </c>
      <c r="N576" t="n">
        <v>0</v>
      </c>
      <c r="O576" t="n">
        <v>0</v>
      </c>
      <c r="P576" t="n">
        <v>0</v>
      </c>
      <c r="Q576" t="n">
        <v>0</v>
      </c>
      <c r="R576" s="2" t="inlineStr"/>
    </row>
    <row r="577" ht="15" customHeight="1">
      <c r="A577" t="inlineStr">
        <is>
          <t>A 17120-2023</t>
        </is>
      </c>
      <c r="B577" s="1" t="n">
        <v>45034</v>
      </c>
      <c r="C577" s="1" t="n">
        <v>46073</v>
      </c>
      <c r="D577" t="inlineStr">
        <is>
          <t>VÄSTMANLANDS LÄN</t>
        </is>
      </c>
      <c r="E577" t="inlineStr">
        <is>
          <t>SALA</t>
        </is>
      </c>
      <c r="G577" t="n">
        <v>0.1</v>
      </c>
      <c r="H577" t="n">
        <v>0</v>
      </c>
      <c r="I577" t="n">
        <v>0</v>
      </c>
      <c r="J577" t="n">
        <v>0</v>
      </c>
      <c r="K577" t="n">
        <v>0</v>
      </c>
      <c r="L577" t="n">
        <v>0</v>
      </c>
      <c r="M577" t="n">
        <v>0</v>
      </c>
      <c r="N577" t="n">
        <v>0</v>
      </c>
      <c r="O577" t="n">
        <v>0</v>
      </c>
      <c r="P577" t="n">
        <v>0</v>
      </c>
      <c r="Q577" t="n">
        <v>0</v>
      </c>
      <c r="R577" s="2" t="inlineStr"/>
    </row>
    <row r="578" ht="15" customHeight="1">
      <c r="A578" t="inlineStr">
        <is>
          <t>A 42938-2023</t>
        </is>
      </c>
      <c r="B578" s="1" t="n">
        <v>45179</v>
      </c>
      <c r="C578" s="1" t="n">
        <v>46073</v>
      </c>
      <c r="D578" t="inlineStr">
        <is>
          <t>VÄSTMANLANDS LÄN</t>
        </is>
      </c>
      <c r="E578" t="inlineStr">
        <is>
          <t>SALA</t>
        </is>
      </c>
      <c r="G578" t="n">
        <v>10.9</v>
      </c>
      <c r="H578" t="n">
        <v>0</v>
      </c>
      <c r="I578" t="n">
        <v>0</v>
      </c>
      <c r="J578" t="n">
        <v>0</v>
      </c>
      <c r="K578" t="n">
        <v>0</v>
      </c>
      <c r="L578" t="n">
        <v>0</v>
      </c>
      <c r="M578" t="n">
        <v>0</v>
      </c>
      <c r="N578" t="n">
        <v>0</v>
      </c>
      <c r="O578" t="n">
        <v>0</v>
      </c>
      <c r="P578" t="n">
        <v>0</v>
      </c>
      <c r="Q578" t="n">
        <v>0</v>
      </c>
      <c r="R578" s="2" t="inlineStr"/>
    </row>
    <row r="579" ht="15" customHeight="1">
      <c r="A579" t="inlineStr">
        <is>
          <t>A 42984-2023</t>
        </is>
      </c>
      <c r="B579" s="1" t="n">
        <v>45179</v>
      </c>
      <c r="C579" s="1" t="n">
        <v>46073</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15972-2024</t>
        </is>
      </c>
      <c r="B580" s="1" t="n">
        <v>45405.56498842593</v>
      </c>
      <c r="C580" s="1" t="n">
        <v>46073</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39714-2023</t>
        </is>
      </c>
      <c r="B581" s="1" t="n">
        <v>45167.62133101852</v>
      </c>
      <c r="C581" s="1" t="n">
        <v>46073</v>
      </c>
      <c r="D581" t="inlineStr">
        <is>
          <t>VÄSTMANLANDS LÄN</t>
        </is>
      </c>
      <c r="E581" t="inlineStr">
        <is>
          <t>SALA</t>
        </is>
      </c>
      <c r="G581" t="n">
        <v>1.3</v>
      </c>
      <c r="H581" t="n">
        <v>0</v>
      </c>
      <c r="I581" t="n">
        <v>0</v>
      </c>
      <c r="J581" t="n">
        <v>0</v>
      </c>
      <c r="K581" t="n">
        <v>0</v>
      </c>
      <c r="L581" t="n">
        <v>0</v>
      </c>
      <c r="M581" t="n">
        <v>0</v>
      </c>
      <c r="N581" t="n">
        <v>0</v>
      </c>
      <c r="O581" t="n">
        <v>0</v>
      </c>
      <c r="P581" t="n">
        <v>0</v>
      </c>
      <c r="Q581" t="n">
        <v>0</v>
      </c>
      <c r="R581" s="2" t="inlineStr"/>
    </row>
    <row r="582" ht="15" customHeight="1">
      <c r="A582" t="inlineStr">
        <is>
          <t>A 33527-2023</t>
        </is>
      </c>
      <c r="B582" s="1" t="n">
        <v>45131</v>
      </c>
      <c r="C582" s="1" t="n">
        <v>46073</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10913-2025</t>
        </is>
      </c>
      <c r="B583" s="1" t="n">
        <v>45722.73423611111</v>
      </c>
      <c r="C583" s="1" t="n">
        <v>46073</v>
      </c>
      <c r="D583" t="inlineStr">
        <is>
          <t>VÄSTMANLANDS LÄN</t>
        </is>
      </c>
      <c r="E583" t="inlineStr">
        <is>
          <t>SALA</t>
        </is>
      </c>
      <c r="G583" t="n">
        <v>7.6</v>
      </c>
      <c r="H583" t="n">
        <v>0</v>
      </c>
      <c r="I583" t="n">
        <v>0</v>
      </c>
      <c r="J583" t="n">
        <v>0</v>
      </c>
      <c r="K583" t="n">
        <v>0</v>
      </c>
      <c r="L583" t="n">
        <v>0</v>
      </c>
      <c r="M583" t="n">
        <v>0</v>
      </c>
      <c r="N583" t="n">
        <v>0</v>
      </c>
      <c r="O583" t="n">
        <v>0</v>
      </c>
      <c r="P583" t="n">
        <v>0</v>
      </c>
      <c r="Q583" t="n">
        <v>0</v>
      </c>
      <c r="R583" s="2" t="inlineStr"/>
    </row>
    <row r="584" ht="15" customHeight="1">
      <c r="A584" t="inlineStr">
        <is>
          <t>A 58107-2021</t>
        </is>
      </c>
      <c r="B584" s="1" t="n">
        <v>44487</v>
      </c>
      <c r="C584" s="1" t="n">
        <v>46073</v>
      </c>
      <c r="D584" t="inlineStr">
        <is>
          <t>VÄSTMANLANDS LÄN</t>
        </is>
      </c>
      <c r="E584" t="inlineStr">
        <is>
          <t>SALA</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2927-2024</t>
        </is>
      </c>
      <c r="B585" s="1" t="n">
        <v>45315.58989583333</v>
      </c>
      <c r="C585" s="1" t="n">
        <v>46073</v>
      </c>
      <c r="D585" t="inlineStr">
        <is>
          <t>VÄSTMANLANDS LÄN</t>
        </is>
      </c>
      <c r="E585" t="inlineStr">
        <is>
          <t>SALA</t>
        </is>
      </c>
      <c r="G585" t="n">
        <v>2.5</v>
      </c>
      <c r="H585" t="n">
        <v>0</v>
      </c>
      <c r="I585" t="n">
        <v>0</v>
      </c>
      <c r="J585" t="n">
        <v>0</v>
      </c>
      <c r="K585" t="n">
        <v>0</v>
      </c>
      <c r="L585" t="n">
        <v>0</v>
      </c>
      <c r="M585" t="n">
        <v>0</v>
      </c>
      <c r="N585" t="n">
        <v>0</v>
      </c>
      <c r="O585" t="n">
        <v>0</v>
      </c>
      <c r="P585" t="n">
        <v>0</v>
      </c>
      <c r="Q585" t="n">
        <v>0</v>
      </c>
      <c r="R585" s="2" t="inlineStr"/>
    </row>
    <row r="586" ht="15" customHeight="1">
      <c r="A586" t="inlineStr">
        <is>
          <t>A 37183-2024</t>
        </is>
      </c>
      <c r="B586" s="1" t="n">
        <v>45539</v>
      </c>
      <c r="C586" s="1" t="n">
        <v>46073</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54199-2024</t>
        </is>
      </c>
      <c r="B587" s="1" t="n">
        <v>45616.64703703704</v>
      </c>
      <c r="C587" s="1" t="n">
        <v>46073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60548-2024</t>
        </is>
      </c>
      <c r="B588" s="1" t="n">
        <v>45643.80978009259</v>
      </c>
      <c r="C588" s="1" t="n">
        <v>46073</v>
      </c>
      <c r="D588" t="inlineStr">
        <is>
          <t>VÄSTMANLANDS LÄN</t>
        </is>
      </c>
      <c r="E588" t="inlineStr">
        <is>
          <t>SALA</t>
        </is>
      </c>
      <c r="G588" t="n">
        <v>1.6</v>
      </c>
      <c r="H588" t="n">
        <v>0</v>
      </c>
      <c r="I588" t="n">
        <v>0</v>
      </c>
      <c r="J588" t="n">
        <v>0</v>
      </c>
      <c r="K588" t="n">
        <v>0</v>
      </c>
      <c r="L588" t="n">
        <v>0</v>
      </c>
      <c r="M588" t="n">
        <v>0</v>
      </c>
      <c r="N588" t="n">
        <v>0</v>
      </c>
      <c r="O588" t="n">
        <v>0</v>
      </c>
      <c r="P588" t="n">
        <v>0</v>
      </c>
      <c r="Q588" t="n">
        <v>0</v>
      </c>
      <c r="R588" s="2" t="inlineStr"/>
    </row>
    <row r="589" ht="15" customHeight="1">
      <c r="A589" t="inlineStr">
        <is>
          <t>A 57895-2024</t>
        </is>
      </c>
      <c r="B589" s="1" t="n">
        <v>45631</v>
      </c>
      <c r="C589" s="1" t="n">
        <v>46073</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31597-2024</t>
        </is>
      </c>
      <c r="B590" s="1" t="n">
        <v>45506</v>
      </c>
      <c r="C590" s="1" t="n">
        <v>46073</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17458-2024</t>
        </is>
      </c>
      <c r="B591" s="1" t="n">
        <v>45415</v>
      </c>
      <c r="C591" s="1" t="n">
        <v>46073</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56543-2024</t>
        </is>
      </c>
      <c r="B592" s="1" t="n">
        <v>45625</v>
      </c>
      <c r="C592" s="1" t="n">
        <v>46073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28661-2024</t>
        </is>
      </c>
      <c r="B593" s="1" t="n">
        <v>45478</v>
      </c>
      <c r="C593" s="1" t="n">
        <v>46073</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2529-2022</t>
        </is>
      </c>
      <c r="B594" s="1" t="n">
        <v>44579.86452546297</v>
      </c>
      <c r="C594" s="1" t="n">
        <v>46073</v>
      </c>
      <c r="D594" t="inlineStr">
        <is>
          <t>VÄSTMANLANDS LÄN</t>
        </is>
      </c>
      <c r="E594" t="inlineStr">
        <is>
          <t>SALA</t>
        </is>
      </c>
      <c r="G594" t="n">
        <v>1.7</v>
      </c>
      <c r="H594" t="n">
        <v>0</v>
      </c>
      <c r="I594" t="n">
        <v>0</v>
      </c>
      <c r="J594" t="n">
        <v>0</v>
      </c>
      <c r="K594" t="n">
        <v>0</v>
      </c>
      <c r="L594" t="n">
        <v>0</v>
      </c>
      <c r="M594" t="n">
        <v>0</v>
      </c>
      <c r="N594" t="n">
        <v>0</v>
      </c>
      <c r="O594" t="n">
        <v>0</v>
      </c>
      <c r="P594" t="n">
        <v>0</v>
      </c>
      <c r="Q594" t="n">
        <v>0</v>
      </c>
      <c r="R594" s="2" t="inlineStr"/>
    </row>
    <row r="595" ht="15" customHeight="1">
      <c r="A595" t="inlineStr">
        <is>
          <t>A 56540-2024</t>
        </is>
      </c>
      <c r="B595" s="1" t="n">
        <v>45625</v>
      </c>
      <c r="C595" s="1" t="n">
        <v>46073</v>
      </c>
      <c r="D595" t="inlineStr">
        <is>
          <t>VÄSTMANLANDS LÄN</t>
        </is>
      </c>
      <c r="E595" t="inlineStr">
        <is>
          <t>SALA</t>
        </is>
      </c>
      <c r="G595" t="n">
        <v>1.8</v>
      </c>
      <c r="H595" t="n">
        <v>0</v>
      </c>
      <c r="I595" t="n">
        <v>0</v>
      </c>
      <c r="J595" t="n">
        <v>0</v>
      </c>
      <c r="K595" t="n">
        <v>0</v>
      </c>
      <c r="L595" t="n">
        <v>0</v>
      </c>
      <c r="M595" t="n">
        <v>0</v>
      </c>
      <c r="N595" t="n">
        <v>0</v>
      </c>
      <c r="O595" t="n">
        <v>0</v>
      </c>
      <c r="P595" t="n">
        <v>0</v>
      </c>
      <c r="Q595" t="n">
        <v>0</v>
      </c>
      <c r="R595" s="2" t="inlineStr"/>
    </row>
    <row r="596" ht="15" customHeight="1">
      <c r="A596" t="inlineStr">
        <is>
          <t>A 31599-2024</t>
        </is>
      </c>
      <c r="B596" s="1" t="n">
        <v>45506</v>
      </c>
      <c r="C596" s="1" t="n">
        <v>46073</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31601-2024</t>
        </is>
      </c>
      <c r="B597" s="1" t="n">
        <v>45506</v>
      </c>
      <c r="C597" s="1" t="n">
        <v>46073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31608-2024</t>
        </is>
      </c>
      <c r="B598" s="1" t="n">
        <v>45506</v>
      </c>
      <c r="C598" s="1" t="n">
        <v>46073</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31612-2024</t>
        </is>
      </c>
      <c r="B599" s="1" t="n">
        <v>45506</v>
      </c>
      <c r="C599" s="1" t="n">
        <v>46073</v>
      </c>
      <c r="D599" t="inlineStr">
        <is>
          <t>VÄSTMANLANDS LÄN</t>
        </is>
      </c>
      <c r="E599" t="inlineStr">
        <is>
          <t>SALA</t>
        </is>
      </c>
      <c r="G599" t="n">
        <v>3.2</v>
      </c>
      <c r="H599" t="n">
        <v>0</v>
      </c>
      <c r="I599" t="n">
        <v>0</v>
      </c>
      <c r="J599" t="n">
        <v>0</v>
      </c>
      <c r="K599" t="n">
        <v>0</v>
      </c>
      <c r="L599" t="n">
        <v>0</v>
      </c>
      <c r="M599" t="n">
        <v>0</v>
      </c>
      <c r="N599" t="n">
        <v>0</v>
      </c>
      <c r="O599" t="n">
        <v>0</v>
      </c>
      <c r="P599" t="n">
        <v>0</v>
      </c>
      <c r="Q599" t="n">
        <v>0</v>
      </c>
      <c r="R599" s="2" t="inlineStr"/>
    </row>
    <row r="600" ht="15" customHeight="1">
      <c r="A600" t="inlineStr">
        <is>
          <t>A 10579-2022</t>
        </is>
      </c>
      <c r="B600" s="1" t="n">
        <v>44624</v>
      </c>
      <c r="C600" s="1" t="n">
        <v>46073</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64693-2023</t>
        </is>
      </c>
      <c r="B601" s="1" t="n">
        <v>45281.63850694444</v>
      </c>
      <c r="C601" s="1" t="n">
        <v>46073</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64695-2023</t>
        </is>
      </c>
      <c r="B602" s="1" t="n">
        <v>45281.64099537037</v>
      </c>
      <c r="C602" s="1" t="n">
        <v>46073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55784-2024</t>
        </is>
      </c>
      <c r="B603" s="1" t="n">
        <v>45623</v>
      </c>
      <c r="C603" s="1" t="n">
        <v>46073</v>
      </c>
      <c r="D603" t="inlineStr">
        <is>
          <t>VÄSTMANLANDS LÄN</t>
        </is>
      </c>
      <c r="E603" t="inlineStr">
        <is>
          <t>SALA</t>
        </is>
      </c>
      <c r="F603" t="inlineStr">
        <is>
          <t>Bergvik skog öst AB</t>
        </is>
      </c>
      <c r="G603" t="n">
        <v>28.4</v>
      </c>
      <c r="H603" t="n">
        <v>0</v>
      </c>
      <c r="I603" t="n">
        <v>0</v>
      </c>
      <c r="J603" t="n">
        <v>0</v>
      </c>
      <c r="K603" t="n">
        <v>0</v>
      </c>
      <c r="L603" t="n">
        <v>0</v>
      </c>
      <c r="M603" t="n">
        <v>0</v>
      </c>
      <c r="N603" t="n">
        <v>0</v>
      </c>
      <c r="O603" t="n">
        <v>0</v>
      </c>
      <c r="P603" t="n">
        <v>0</v>
      </c>
      <c r="Q603" t="n">
        <v>0</v>
      </c>
      <c r="R603" s="2" t="inlineStr"/>
    </row>
    <row r="604" ht="15" customHeight="1">
      <c r="A604" t="inlineStr">
        <is>
          <t>A 29542-2023</t>
        </is>
      </c>
      <c r="B604" s="1" t="n">
        <v>45098</v>
      </c>
      <c r="C604" s="1" t="n">
        <v>46073</v>
      </c>
      <c r="D604" t="inlineStr">
        <is>
          <t>VÄSTMANLANDS LÄN</t>
        </is>
      </c>
      <c r="E604" t="inlineStr">
        <is>
          <t>SALA</t>
        </is>
      </c>
      <c r="G604" t="n">
        <v>4.8</v>
      </c>
      <c r="H604" t="n">
        <v>0</v>
      </c>
      <c r="I604" t="n">
        <v>0</v>
      </c>
      <c r="J604" t="n">
        <v>0</v>
      </c>
      <c r="K604" t="n">
        <v>0</v>
      </c>
      <c r="L604" t="n">
        <v>0</v>
      </c>
      <c r="M604" t="n">
        <v>0</v>
      </c>
      <c r="N604" t="n">
        <v>0</v>
      </c>
      <c r="O604" t="n">
        <v>0</v>
      </c>
      <c r="P604" t="n">
        <v>0</v>
      </c>
      <c r="Q604" t="n">
        <v>0</v>
      </c>
      <c r="R604" s="2" t="inlineStr"/>
    </row>
    <row r="605" ht="15" customHeight="1">
      <c r="A605" t="inlineStr">
        <is>
          <t>A 27038-2023</t>
        </is>
      </c>
      <c r="B605" s="1" t="n">
        <v>45095</v>
      </c>
      <c r="C605" s="1" t="n">
        <v>46073</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17051-2025</t>
        </is>
      </c>
      <c r="B606" s="1" t="n">
        <v>45755</v>
      </c>
      <c r="C606" s="1" t="n">
        <v>46073</v>
      </c>
      <c r="D606" t="inlineStr">
        <is>
          <t>VÄSTMANLANDS LÄN</t>
        </is>
      </c>
      <c r="E606" t="inlineStr">
        <is>
          <t>SALA</t>
        </is>
      </c>
      <c r="G606" t="n">
        <v>2.9</v>
      </c>
      <c r="H606" t="n">
        <v>0</v>
      </c>
      <c r="I606" t="n">
        <v>0</v>
      </c>
      <c r="J606" t="n">
        <v>0</v>
      </c>
      <c r="K606" t="n">
        <v>0</v>
      </c>
      <c r="L606" t="n">
        <v>0</v>
      </c>
      <c r="M606" t="n">
        <v>0</v>
      </c>
      <c r="N606" t="n">
        <v>0</v>
      </c>
      <c r="O606" t="n">
        <v>0</v>
      </c>
      <c r="P606" t="n">
        <v>0</v>
      </c>
      <c r="Q606" t="n">
        <v>0</v>
      </c>
      <c r="R606" s="2" t="inlineStr"/>
    </row>
    <row r="607" ht="15" customHeight="1">
      <c r="A607" t="inlineStr">
        <is>
          <t>A 8285-2025</t>
        </is>
      </c>
      <c r="B607" s="1" t="n">
        <v>45708</v>
      </c>
      <c r="C607" s="1" t="n">
        <v>46073</v>
      </c>
      <c r="D607" t="inlineStr">
        <is>
          <t>VÄSTMANLANDS LÄN</t>
        </is>
      </c>
      <c r="E607" t="inlineStr">
        <is>
          <t>SALA</t>
        </is>
      </c>
      <c r="G607" t="n">
        <v>5.7</v>
      </c>
      <c r="H607" t="n">
        <v>0</v>
      </c>
      <c r="I607" t="n">
        <v>0</v>
      </c>
      <c r="J607" t="n">
        <v>0</v>
      </c>
      <c r="K607" t="n">
        <v>0</v>
      </c>
      <c r="L607" t="n">
        <v>0</v>
      </c>
      <c r="M607" t="n">
        <v>0</v>
      </c>
      <c r="N607" t="n">
        <v>0</v>
      </c>
      <c r="O607" t="n">
        <v>0</v>
      </c>
      <c r="P607" t="n">
        <v>0</v>
      </c>
      <c r="Q607" t="n">
        <v>0</v>
      </c>
      <c r="R607" s="2" t="inlineStr"/>
    </row>
    <row r="608" ht="15" customHeight="1">
      <c r="A608" t="inlineStr">
        <is>
          <t>A 14010-2021</t>
        </is>
      </c>
      <c r="B608" s="1" t="n">
        <v>44277.63396990741</v>
      </c>
      <c r="C608" s="1" t="n">
        <v>46073</v>
      </c>
      <c r="D608" t="inlineStr">
        <is>
          <t>VÄSTMANLANDS LÄN</t>
        </is>
      </c>
      <c r="E608" t="inlineStr">
        <is>
          <t>SALA</t>
        </is>
      </c>
      <c r="G608" t="n">
        <v>3.5</v>
      </c>
      <c r="H608" t="n">
        <v>0</v>
      </c>
      <c r="I608" t="n">
        <v>0</v>
      </c>
      <c r="J608" t="n">
        <v>0</v>
      </c>
      <c r="K608" t="n">
        <v>0</v>
      </c>
      <c r="L608" t="n">
        <v>0</v>
      </c>
      <c r="M608" t="n">
        <v>0</v>
      </c>
      <c r="N608" t="n">
        <v>0</v>
      </c>
      <c r="O608" t="n">
        <v>0</v>
      </c>
      <c r="P608" t="n">
        <v>0</v>
      </c>
      <c r="Q608" t="n">
        <v>0</v>
      </c>
      <c r="R608" s="2" t="inlineStr"/>
    </row>
    <row r="609" ht="15" customHeight="1">
      <c r="A609" t="inlineStr">
        <is>
          <t>A 22019-2021</t>
        </is>
      </c>
      <c r="B609" s="1" t="n">
        <v>44323</v>
      </c>
      <c r="C609" s="1" t="n">
        <v>46073</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57404-2024</t>
        </is>
      </c>
      <c r="B610" s="1" t="n">
        <v>45629.71967592592</v>
      </c>
      <c r="C610" s="1" t="n">
        <v>46073</v>
      </c>
      <c r="D610" t="inlineStr">
        <is>
          <t>VÄSTMANLANDS LÄN</t>
        </is>
      </c>
      <c r="E610" t="inlineStr">
        <is>
          <t>SALA</t>
        </is>
      </c>
      <c r="G610" t="n">
        <v>0.3</v>
      </c>
      <c r="H610" t="n">
        <v>0</v>
      </c>
      <c r="I610" t="n">
        <v>0</v>
      </c>
      <c r="J610" t="n">
        <v>0</v>
      </c>
      <c r="K610" t="n">
        <v>0</v>
      </c>
      <c r="L610" t="n">
        <v>0</v>
      </c>
      <c r="M610" t="n">
        <v>0</v>
      </c>
      <c r="N610" t="n">
        <v>0</v>
      </c>
      <c r="O610" t="n">
        <v>0</v>
      </c>
      <c r="P610" t="n">
        <v>0</v>
      </c>
      <c r="Q610" t="n">
        <v>0</v>
      </c>
      <c r="R610" s="2" t="inlineStr"/>
    </row>
    <row r="611" ht="15" customHeight="1">
      <c r="A611" t="inlineStr">
        <is>
          <t>A 21777-2022</t>
        </is>
      </c>
      <c r="B611" s="1" t="n">
        <v>44708.48194444444</v>
      </c>
      <c r="C611" s="1" t="n">
        <v>46073</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17866-2025</t>
        </is>
      </c>
      <c r="B612" s="1" t="n">
        <v>45758</v>
      </c>
      <c r="C612" s="1" t="n">
        <v>46073</v>
      </c>
      <c r="D612" t="inlineStr">
        <is>
          <t>VÄSTMANLANDS LÄN</t>
        </is>
      </c>
      <c r="E612" t="inlineStr">
        <is>
          <t>SALA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33732-2023</t>
        </is>
      </c>
      <c r="B613" s="1" t="n">
        <v>45133.32409722222</v>
      </c>
      <c r="C613" s="1" t="n">
        <v>46073</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7166-2025</t>
        </is>
      </c>
      <c r="B614" s="1" t="n">
        <v>45702</v>
      </c>
      <c r="C614" s="1" t="n">
        <v>46073</v>
      </c>
      <c r="D614" t="inlineStr">
        <is>
          <t>VÄSTMANLANDS LÄN</t>
        </is>
      </c>
      <c r="E614" t="inlineStr">
        <is>
          <t>SALA</t>
        </is>
      </c>
      <c r="G614" t="n">
        <v>6.1</v>
      </c>
      <c r="H614" t="n">
        <v>0</v>
      </c>
      <c r="I614" t="n">
        <v>0</v>
      </c>
      <c r="J614" t="n">
        <v>0</v>
      </c>
      <c r="K614" t="n">
        <v>0</v>
      </c>
      <c r="L614" t="n">
        <v>0</v>
      </c>
      <c r="M614" t="n">
        <v>0</v>
      </c>
      <c r="N614" t="n">
        <v>0</v>
      </c>
      <c r="O614" t="n">
        <v>0</v>
      </c>
      <c r="P614" t="n">
        <v>0</v>
      </c>
      <c r="Q614" t="n">
        <v>0</v>
      </c>
      <c r="R614" s="2" t="inlineStr"/>
    </row>
    <row r="615" ht="15" customHeight="1">
      <c r="A615" t="inlineStr">
        <is>
          <t>A 44857-2023</t>
        </is>
      </c>
      <c r="B615" s="1" t="n">
        <v>45190.58479166667</v>
      </c>
      <c r="C615" s="1" t="n">
        <v>46073</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46352-2023</t>
        </is>
      </c>
      <c r="B616" s="1" t="n">
        <v>45192</v>
      </c>
      <c r="C616" s="1" t="n">
        <v>46073</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22397-2022</t>
        </is>
      </c>
      <c r="B617" s="1" t="n">
        <v>44713</v>
      </c>
      <c r="C617" s="1" t="n">
        <v>46073</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27424-2023</t>
        </is>
      </c>
      <c r="B618" s="1" t="n">
        <v>45097.37690972222</v>
      </c>
      <c r="C618" s="1" t="n">
        <v>46073</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7469-2025</t>
        </is>
      </c>
      <c r="B619" s="1" t="n">
        <v>45705</v>
      </c>
      <c r="C619" s="1" t="n">
        <v>46073</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6691-2025</t>
        </is>
      </c>
      <c r="B620" s="1" t="n">
        <v>45700.50625</v>
      </c>
      <c r="C620" s="1" t="n">
        <v>46073</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60036-2024</t>
        </is>
      </c>
      <c r="B621" s="1" t="n">
        <v>45642.46434027778</v>
      </c>
      <c r="C621" s="1" t="n">
        <v>46073</v>
      </c>
      <c r="D621" t="inlineStr">
        <is>
          <t>VÄSTMANLANDS LÄN</t>
        </is>
      </c>
      <c r="E621" t="inlineStr">
        <is>
          <t>SALA</t>
        </is>
      </c>
      <c r="G621" t="n">
        <v>2.5</v>
      </c>
      <c r="H621" t="n">
        <v>0</v>
      </c>
      <c r="I621" t="n">
        <v>0</v>
      </c>
      <c r="J621" t="n">
        <v>0</v>
      </c>
      <c r="K621" t="n">
        <v>0</v>
      </c>
      <c r="L621" t="n">
        <v>0</v>
      </c>
      <c r="M621" t="n">
        <v>0</v>
      </c>
      <c r="N621" t="n">
        <v>0</v>
      </c>
      <c r="O621" t="n">
        <v>0</v>
      </c>
      <c r="P621" t="n">
        <v>0</v>
      </c>
      <c r="Q621" t="n">
        <v>0</v>
      </c>
      <c r="R621" s="2" t="inlineStr"/>
    </row>
    <row r="622" ht="15" customHeight="1">
      <c r="A622" t="inlineStr">
        <is>
          <t>A 43188-2023</t>
        </is>
      </c>
      <c r="B622" s="1" t="n">
        <v>45183</v>
      </c>
      <c r="C622" s="1" t="n">
        <v>46073</v>
      </c>
      <c r="D622" t="inlineStr">
        <is>
          <t>VÄSTMANLANDS LÄN</t>
        </is>
      </c>
      <c r="E622" t="inlineStr">
        <is>
          <t>SALA</t>
        </is>
      </c>
      <c r="G622" t="n">
        <v>1.2</v>
      </c>
      <c r="H622" t="n">
        <v>0</v>
      </c>
      <c r="I622" t="n">
        <v>0</v>
      </c>
      <c r="J622" t="n">
        <v>0</v>
      </c>
      <c r="K622" t="n">
        <v>0</v>
      </c>
      <c r="L622" t="n">
        <v>0</v>
      </c>
      <c r="M622" t="n">
        <v>0</v>
      </c>
      <c r="N622" t="n">
        <v>0</v>
      </c>
      <c r="O622" t="n">
        <v>0</v>
      </c>
      <c r="P622" t="n">
        <v>0</v>
      </c>
      <c r="Q622" t="n">
        <v>0</v>
      </c>
      <c r="R622" s="2" t="inlineStr"/>
    </row>
    <row r="623" ht="15" customHeight="1">
      <c r="A623" t="inlineStr">
        <is>
          <t>A 43205-2023</t>
        </is>
      </c>
      <c r="B623" s="1" t="n">
        <v>45183</v>
      </c>
      <c r="C623" s="1" t="n">
        <v>46073</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28827-2022</t>
        </is>
      </c>
      <c r="B624" s="1" t="n">
        <v>44749.45561342593</v>
      </c>
      <c r="C624" s="1" t="n">
        <v>46073</v>
      </c>
      <c r="D624" t="inlineStr">
        <is>
          <t>VÄSTMANLANDS LÄN</t>
        </is>
      </c>
      <c r="E624" t="inlineStr">
        <is>
          <t>SALA</t>
        </is>
      </c>
      <c r="F624" t="inlineStr">
        <is>
          <t>Kommuner</t>
        </is>
      </c>
      <c r="G624" t="n">
        <v>11.9</v>
      </c>
      <c r="H624" t="n">
        <v>0</v>
      </c>
      <c r="I624" t="n">
        <v>0</v>
      </c>
      <c r="J624" t="n">
        <v>0</v>
      </c>
      <c r="K624" t="n">
        <v>0</v>
      </c>
      <c r="L624" t="n">
        <v>0</v>
      </c>
      <c r="M624" t="n">
        <v>0</v>
      </c>
      <c r="N624" t="n">
        <v>0</v>
      </c>
      <c r="O624" t="n">
        <v>0</v>
      </c>
      <c r="P624" t="n">
        <v>0</v>
      </c>
      <c r="Q624" t="n">
        <v>0</v>
      </c>
      <c r="R624" s="2" t="inlineStr"/>
    </row>
    <row r="625" ht="15" customHeight="1">
      <c r="A625" t="inlineStr">
        <is>
          <t>A 15756-2025</t>
        </is>
      </c>
      <c r="B625" s="1" t="n">
        <v>45748.56810185185</v>
      </c>
      <c r="C625" s="1" t="n">
        <v>46073</v>
      </c>
      <c r="D625" t="inlineStr">
        <is>
          <t>VÄSTMANLANDS LÄN</t>
        </is>
      </c>
      <c r="E625" t="inlineStr">
        <is>
          <t>SALA</t>
        </is>
      </c>
      <c r="F625" t="inlineStr">
        <is>
          <t>Bergvik skog öst AB</t>
        </is>
      </c>
      <c r="G625" t="n">
        <v>0.8</v>
      </c>
      <c r="H625" t="n">
        <v>0</v>
      </c>
      <c r="I625" t="n">
        <v>0</v>
      </c>
      <c r="J625" t="n">
        <v>0</v>
      </c>
      <c r="K625" t="n">
        <v>0</v>
      </c>
      <c r="L625" t="n">
        <v>0</v>
      </c>
      <c r="M625" t="n">
        <v>0</v>
      </c>
      <c r="N625" t="n">
        <v>0</v>
      </c>
      <c r="O625" t="n">
        <v>0</v>
      </c>
      <c r="P625" t="n">
        <v>0</v>
      </c>
      <c r="Q625" t="n">
        <v>0</v>
      </c>
      <c r="R625" s="2" t="inlineStr"/>
    </row>
    <row r="626" ht="15" customHeight="1">
      <c r="A626" t="inlineStr">
        <is>
          <t>A 19243-2025</t>
        </is>
      </c>
      <c r="B626" s="1" t="n">
        <v>45769</v>
      </c>
      <c r="C626" s="1" t="n">
        <v>46073</v>
      </c>
      <c r="D626" t="inlineStr">
        <is>
          <t>VÄSTMANLANDS LÄN</t>
        </is>
      </c>
      <c r="E626" t="inlineStr">
        <is>
          <t>SALA</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59297-2023</t>
        </is>
      </c>
      <c r="B627" s="1" t="n">
        <v>45253</v>
      </c>
      <c r="C627" s="1" t="n">
        <v>46073</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6136-2025</t>
        </is>
      </c>
      <c r="B628" s="1" t="n">
        <v>45698.37601851852</v>
      </c>
      <c r="C628" s="1" t="n">
        <v>46073</v>
      </c>
      <c r="D628" t="inlineStr">
        <is>
          <t>VÄSTMANLANDS LÄN</t>
        </is>
      </c>
      <c r="E628" t="inlineStr">
        <is>
          <t>SALA</t>
        </is>
      </c>
      <c r="F628" t="inlineStr">
        <is>
          <t>Bergvik skog öst AB</t>
        </is>
      </c>
      <c r="G628" t="n">
        <v>2.2</v>
      </c>
      <c r="H628" t="n">
        <v>0</v>
      </c>
      <c r="I628" t="n">
        <v>0</v>
      </c>
      <c r="J628" t="n">
        <v>0</v>
      </c>
      <c r="K628" t="n">
        <v>0</v>
      </c>
      <c r="L628" t="n">
        <v>0</v>
      </c>
      <c r="M628" t="n">
        <v>0</v>
      </c>
      <c r="N628" t="n">
        <v>0</v>
      </c>
      <c r="O628" t="n">
        <v>0</v>
      </c>
      <c r="P628" t="n">
        <v>0</v>
      </c>
      <c r="Q628" t="n">
        <v>0</v>
      </c>
      <c r="R628" s="2" t="inlineStr"/>
    </row>
    <row r="629" ht="15" customHeight="1">
      <c r="A629" t="inlineStr">
        <is>
          <t>A 6190-2025</t>
        </is>
      </c>
      <c r="B629" s="1" t="n">
        <v>45698</v>
      </c>
      <c r="C629" s="1" t="n">
        <v>46073</v>
      </c>
      <c r="D629" t="inlineStr">
        <is>
          <t>VÄSTMANLANDS LÄN</t>
        </is>
      </c>
      <c r="E629" t="inlineStr">
        <is>
          <t>SALA</t>
        </is>
      </c>
      <c r="F629" t="inlineStr">
        <is>
          <t>Bergvik skog öst AB</t>
        </is>
      </c>
      <c r="G629" t="n">
        <v>4.6</v>
      </c>
      <c r="H629" t="n">
        <v>0</v>
      </c>
      <c r="I629" t="n">
        <v>0</v>
      </c>
      <c r="J629" t="n">
        <v>0</v>
      </c>
      <c r="K629" t="n">
        <v>0</v>
      </c>
      <c r="L629" t="n">
        <v>0</v>
      </c>
      <c r="M629" t="n">
        <v>0</v>
      </c>
      <c r="N629" t="n">
        <v>0</v>
      </c>
      <c r="O629" t="n">
        <v>0</v>
      </c>
      <c r="P629" t="n">
        <v>0</v>
      </c>
      <c r="Q629" t="n">
        <v>0</v>
      </c>
      <c r="R629" s="2" t="inlineStr"/>
    </row>
    <row r="630" ht="15" customHeight="1">
      <c r="A630" t="inlineStr">
        <is>
          <t>A 28863-2022</t>
        </is>
      </c>
      <c r="B630" s="1" t="n">
        <v>44749.50649305555</v>
      </c>
      <c r="C630" s="1" t="n">
        <v>46073</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25541-2024</t>
        </is>
      </c>
      <c r="B631" s="1" t="n">
        <v>45463.56337962963</v>
      </c>
      <c r="C631" s="1" t="n">
        <v>46073</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29213-2022</t>
        </is>
      </c>
      <c r="B632" s="1" t="n">
        <v>44750.57474537037</v>
      </c>
      <c r="C632" s="1" t="n">
        <v>46073</v>
      </c>
      <c r="D632" t="inlineStr">
        <is>
          <t>VÄSTMANLANDS LÄN</t>
        </is>
      </c>
      <c r="E632" t="inlineStr">
        <is>
          <t>SALA</t>
        </is>
      </c>
      <c r="G632" t="n">
        <v>1</v>
      </c>
      <c r="H632" t="n">
        <v>0</v>
      </c>
      <c r="I632" t="n">
        <v>0</v>
      </c>
      <c r="J632" t="n">
        <v>0</v>
      </c>
      <c r="K632" t="n">
        <v>0</v>
      </c>
      <c r="L632" t="n">
        <v>0</v>
      </c>
      <c r="M632" t="n">
        <v>0</v>
      </c>
      <c r="N632" t="n">
        <v>0</v>
      </c>
      <c r="O632" t="n">
        <v>0</v>
      </c>
      <c r="P632" t="n">
        <v>0</v>
      </c>
      <c r="Q632" t="n">
        <v>0</v>
      </c>
      <c r="R632" s="2" t="inlineStr"/>
    </row>
    <row r="633" ht="15" customHeight="1">
      <c r="A633" t="inlineStr">
        <is>
          <t>A 56964-2023</t>
        </is>
      </c>
      <c r="B633" s="1" t="n">
        <v>45244.63140046296</v>
      </c>
      <c r="C633" s="1" t="n">
        <v>46073</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1555-2024</t>
        </is>
      </c>
      <c r="B634" s="1" t="n">
        <v>45306</v>
      </c>
      <c r="C634" s="1" t="n">
        <v>46073</v>
      </c>
      <c r="D634" t="inlineStr">
        <is>
          <t>VÄSTMANLANDS LÄN</t>
        </is>
      </c>
      <c r="E634" t="inlineStr">
        <is>
          <t>SALA</t>
        </is>
      </c>
      <c r="G634" t="n">
        <v>1.3</v>
      </c>
      <c r="H634" t="n">
        <v>0</v>
      </c>
      <c r="I634" t="n">
        <v>0</v>
      </c>
      <c r="J634" t="n">
        <v>0</v>
      </c>
      <c r="K634" t="n">
        <v>0</v>
      </c>
      <c r="L634" t="n">
        <v>0</v>
      </c>
      <c r="M634" t="n">
        <v>0</v>
      </c>
      <c r="N634" t="n">
        <v>0</v>
      </c>
      <c r="O634" t="n">
        <v>0</v>
      </c>
      <c r="P634" t="n">
        <v>0</v>
      </c>
      <c r="Q634" t="n">
        <v>0</v>
      </c>
      <c r="R634" s="2" t="inlineStr"/>
    </row>
    <row r="635" ht="15" customHeight="1">
      <c r="A635" t="inlineStr">
        <is>
          <t>A 13188-2025</t>
        </is>
      </c>
      <c r="B635" s="1" t="n">
        <v>45735.39246527778</v>
      </c>
      <c r="C635" s="1" t="n">
        <v>46073</v>
      </c>
      <c r="D635" t="inlineStr">
        <is>
          <t>VÄSTMANLANDS LÄN</t>
        </is>
      </c>
      <c r="E635" t="inlineStr">
        <is>
          <t>SALA</t>
        </is>
      </c>
      <c r="F635" t="inlineStr">
        <is>
          <t>Naturvårdsverket</t>
        </is>
      </c>
      <c r="G635" t="n">
        <v>18.4</v>
      </c>
      <c r="H635" t="n">
        <v>0</v>
      </c>
      <c r="I635" t="n">
        <v>0</v>
      </c>
      <c r="J635" t="n">
        <v>0</v>
      </c>
      <c r="K635" t="n">
        <v>0</v>
      </c>
      <c r="L635" t="n">
        <v>0</v>
      </c>
      <c r="M635" t="n">
        <v>0</v>
      </c>
      <c r="N635" t="n">
        <v>0</v>
      </c>
      <c r="O635" t="n">
        <v>0</v>
      </c>
      <c r="P635" t="n">
        <v>0</v>
      </c>
      <c r="Q635" t="n">
        <v>0</v>
      </c>
      <c r="R635" s="2" t="inlineStr"/>
    </row>
    <row r="636" ht="15" customHeight="1">
      <c r="A636" t="inlineStr">
        <is>
          <t>A 7197-2025</t>
        </is>
      </c>
      <c r="B636" s="1" t="n">
        <v>45702</v>
      </c>
      <c r="C636" s="1" t="n">
        <v>46073</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15099-2025</t>
        </is>
      </c>
      <c r="B637" s="1" t="n">
        <v>45744.3434837963</v>
      </c>
      <c r="C637" s="1" t="n">
        <v>46073</v>
      </c>
      <c r="D637" t="inlineStr">
        <is>
          <t>VÄSTMANLANDS LÄN</t>
        </is>
      </c>
      <c r="E637" t="inlineStr">
        <is>
          <t>SALA</t>
        </is>
      </c>
      <c r="F637" t="inlineStr">
        <is>
          <t>Sveaskog</t>
        </is>
      </c>
      <c r="G637" t="n">
        <v>14.4</v>
      </c>
      <c r="H637" t="n">
        <v>0</v>
      </c>
      <c r="I637" t="n">
        <v>0</v>
      </c>
      <c r="J637" t="n">
        <v>0</v>
      </c>
      <c r="K637" t="n">
        <v>0</v>
      </c>
      <c r="L637" t="n">
        <v>0</v>
      </c>
      <c r="M637" t="n">
        <v>0</v>
      </c>
      <c r="N637" t="n">
        <v>0</v>
      </c>
      <c r="O637" t="n">
        <v>0</v>
      </c>
      <c r="P637" t="n">
        <v>0</v>
      </c>
      <c r="Q637" t="n">
        <v>0</v>
      </c>
      <c r="R637" s="2" t="inlineStr"/>
    </row>
    <row r="638" ht="15" customHeight="1">
      <c r="A638" t="inlineStr">
        <is>
          <t>A 2928-2024</t>
        </is>
      </c>
      <c r="B638" s="1" t="n">
        <v>45315.59041666667</v>
      </c>
      <c r="C638" s="1" t="n">
        <v>46073</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9962-2025</t>
        </is>
      </c>
      <c r="B639" s="1" t="n">
        <v>45719.37072916667</v>
      </c>
      <c r="C639" s="1" t="n">
        <v>46073</v>
      </c>
      <c r="D639" t="inlineStr">
        <is>
          <t>VÄSTMANLANDS LÄN</t>
        </is>
      </c>
      <c r="E639" t="inlineStr">
        <is>
          <t>SALA</t>
        </is>
      </c>
      <c r="G639" t="n">
        <v>4.5</v>
      </c>
      <c r="H639" t="n">
        <v>0</v>
      </c>
      <c r="I639" t="n">
        <v>0</v>
      </c>
      <c r="J639" t="n">
        <v>0</v>
      </c>
      <c r="K639" t="n">
        <v>0</v>
      </c>
      <c r="L639" t="n">
        <v>0</v>
      </c>
      <c r="M639" t="n">
        <v>0</v>
      </c>
      <c r="N639" t="n">
        <v>0</v>
      </c>
      <c r="O639" t="n">
        <v>0</v>
      </c>
      <c r="P639" t="n">
        <v>0</v>
      </c>
      <c r="Q639" t="n">
        <v>0</v>
      </c>
      <c r="R639" s="2" t="inlineStr"/>
    </row>
    <row r="640" ht="15" customHeight="1">
      <c r="A640" t="inlineStr">
        <is>
          <t>A 14024-2025</t>
        </is>
      </c>
      <c r="B640" s="1" t="n">
        <v>45740.34650462963</v>
      </c>
      <c r="C640" s="1" t="n">
        <v>46073</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3551-2024</t>
        </is>
      </c>
      <c r="B641" s="1" t="n">
        <v>45320.61099537037</v>
      </c>
      <c r="C641" s="1" t="n">
        <v>46073</v>
      </c>
      <c r="D641" t="inlineStr">
        <is>
          <t>VÄSTMANLANDS LÄN</t>
        </is>
      </c>
      <c r="E641" t="inlineStr">
        <is>
          <t>SALA</t>
        </is>
      </c>
      <c r="F641" t="inlineStr">
        <is>
          <t>Kommuner</t>
        </is>
      </c>
      <c r="G641" t="n">
        <v>6</v>
      </c>
      <c r="H641" t="n">
        <v>0</v>
      </c>
      <c r="I641" t="n">
        <v>0</v>
      </c>
      <c r="J641" t="n">
        <v>0</v>
      </c>
      <c r="K641" t="n">
        <v>0</v>
      </c>
      <c r="L641" t="n">
        <v>0</v>
      </c>
      <c r="M641" t="n">
        <v>0</v>
      </c>
      <c r="N641" t="n">
        <v>0</v>
      </c>
      <c r="O641" t="n">
        <v>0</v>
      </c>
      <c r="P641" t="n">
        <v>0</v>
      </c>
      <c r="Q641" t="n">
        <v>0</v>
      </c>
      <c r="R641" s="2" t="inlineStr"/>
    </row>
    <row r="642" ht="15" customHeight="1">
      <c r="A642" t="inlineStr">
        <is>
          <t>A 62635-2022</t>
        </is>
      </c>
      <c r="B642" s="1" t="n">
        <v>44917</v>
      </c>
      <c r="C642" s="1" t="n">
        <v>46073</v>
      </c>
      <c r="D642" t="inlineStr">
        <is>
          <t>VÄSTMANLANDS LÄN</t>
        </is>
      </c>
      <c r="E642" t="inlineStr">
        <is>
          <t>SALA</t>
        </is>
      </c>
      <c r="G642" t="n">
        <v>0.4</v>
      </c>
      <c r="H642" t="n">
        <v>0</v>
      </c>
      <c r="I642" t="n">
        <v>0</v>
      </c>
      <c r="J642" t="n">
        <v>0</v>
      </c>
      <c r="K642" t="n">
        <v>0</v>
      </c>
      <c r="L642" t="n">
        <v>0</v>
      </c>
      <c r="M642" t="n">
        <v>0</v>
      </c>
      <c r="N642" t="n">
        <v>0</v>
      </c>
      <c r="O642" t="n">
        <v>0</v>
      </c>
      <c r="P642" t="n">
        <v>0</v>
      </c>
      <c r="Q642" t="n">
        <v>0</v>
      </c>
      <c r="R642" s="2" t="inlineStr"/>
    </row>
    <row r="643" ht="15" customHeight="1">
      <c r="A643" t="inlineStr">
        <is>
          <t>A 19304-2025</t>
        </is>
      </c>
      <c r="B643" s="1" t="n">
        <v>45769</v>
      </c>
      <c r="C643" s="1" t="n">
        <v>46073</v>
      </c>
      <c r="D643" t="inlineStr">
        <is>
          <t>VÄSTMANLANDS LÄN</t>
        </is>
      </c>
      <c r="E643" t="inlineStr">
        <is>
          <t>SALA</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56057-2023</t>
        </is>
      </c>
      <c r="B644" s="1" t="n">
        <v>45233</v>
      </c>
      <c r="C644" s="1" t="n">
        <v>46073</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55024-2023</t>
        </is>
      </c>
      <c r="B645" s="1" t="n">
        <v>45229</v>
      </c>
      <c r="C645" s="1" t="n">
        <v>46073</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55032-2023</t>
        </is>
      </c>
      <c r="B646" s="1" t="n">
        <v>45229</v>
      </c>
      <c r="C646" s="1" t="n">
        <v>46073</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29248-2022</t>
        </is>
      </c>
      <c r="B647" s="1" t="n">
        <v>44750</v>
      </c>
      <c r="C647" s="1" t="n">
        <v>46073</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59175-2022</t>
        </is>
      </c>
      <c r="B648" s="1" t="n">
        <v>44904.48502314815</v>
      </c>
      <c r="C648" s="1" t="n">
        <v>46073</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39451-2022</t>
        </is>
      </c>
      <c r="B649" s="1" t="n">
        <v>44818.36606481481</v>
      </c>
      <c r="C649" s="1" t="n">
        <v>46073</v>
      </c>
      <c r="D649" t="inlineStr">
        <is>
          <t>VÄSTMANLANDS LÄN</t>
        </is>
      </c>
      <c r="E649" t="inlineStr">
        <is>
          <t>SALA</t>
        </is>
      </c>
      <c r="G649" t="n">
        <v>9.4</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44994.44001157407</v>
      </c>
      <c r="C650" s="1" t="n">
        <v>46073</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62648-2022</t>
        </is>
      </c>
      <c r="B651" s="1" t="n">
        <v>44917</v>
      </c>
      <c r="C651" s="1" t="n">
        <v>46073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1934-2023</t>
        </is>
      </c>
      <c r="B652" s="1" t="n">
        <v>44939.43024305555</v>
      </c>
      <c r="C652" s="1" t="n">
        <v>46073</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11927-2025</t>
        </is>
      </c>
      <c r="B653" s="1" t="n">
        <v>45728.5137962963</v>
      </c>
      <c r="C653" s="1" t="n">
        <v>46073</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60823-2024</t>
        </is>
      </c>
      <c r="B654" s="1" t="n">
        <v>45644</v>
      </c>
      <c r="C654" s="1" t="n">
        <v>46073</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96-2024</t>
        </is>
      </c>
      <c r="B655" s="1" t="n">
        <v>45293.85872685185</v>
      </c>
      <c r="C655" s="1" t="n">
        <v>46073</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23374-2023</t>
        </is>
      </c>
      <c r="B656" s="1" t="n">
        <v>45076.4399537037</v>
      </c>
      <c r="C656" s="1" t="n">
        <v>46073</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61874-2021</t>
        </is>
      </c>
      <c r="B657" s="1" t="n">
        <v>44502</v>
      </c>
      <c r="C657" s="1" t="n">
        <v>46073</v>
      </c>
      <c r="D657" t="inlineStr">
        <is>
          <t>VÄSTMANLANDS LÄN</t>
        </is>
      </c>
      <c r="E657" t="inlineStr">
        <is>
          <t>SALA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9856-2022</t>
        </is>
      </c>
      <c r="B658" s="1" t="n">
        <v>44620</v>
      </c>
      <c r="C658" s="1" t="n">
        <v>46073</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16159-2024</t>
        </is>
      </c>
      <c r="B659" s="1" t="n">
        <v>45406</v>
      </c>
      <c r="C659" s="1" t="n">
        <v>46073</v>
      </c>
      <c r="D659" t="inlineStr">
        <is>
          <t>VÄSTMANLANDS LÄN</t>
        </is>
      </c>
      <c r="E659" t="inlineStr">
        <is>
          <t>SALA</t>
        </is>
      </c>
      <c r="G659" t="n">
        <v>0.4</v>
      </c>
      <c r="H659" t="n">
        <v>0</v>
      </c>
      <c r="I659" t="n">
        <v>0</v>
      </c>
      <c r="J659" t="n">
        <v>0</v>
      </c>
      <c r="K659" t="n">
        <v>0</v>
      </c>
      <c r="L659" t="n">
        <v>0</v>
      </c>
      <c r="M659" t="n">
        <v>0</v>
      </c>
      <c r="N659" t="n">
        <v>0</v>
      </c>
      <c r="O659" t="n">
        <v>0</v>
      </c>
      <c r="P659" t="n">
        <v>0</v>
      </c>
      <c r="Q659" t="n">
        <v>0</v>
      </c>
      <c r="R659" s="2" t="inlineStr"/>
    </row>
    <row r="660" ht="15" customHeight="1">
      <c r="A660" t="inlineStr">
        <is>
          <t>A 50241-2023</t>
        </is>
      </c>
      <c r="B660" s="1" t="n">
        <v>45216</v>
      </c>
      <c r="C660" s="1" t="n">
        <v>46073</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3332-2024</t>
        </is>
      </c>
      <c r="B661" s="1" t="n">
        <v>45317</v>
      </c>
      <c r="C661" s="1" t="n">
        <v>46073</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35637-2022</t>
        </is>
      </c>
      <c r="B662" s="1" t="n">
        <v>44799.55194444444</v>
      </c>
      <c r="C662" s="1" t="n">
        <v>46073</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57883-2024</t>
        </is>
      </c>
      <c r="B663" s="1" t="n">
        <v>45630</v>
      </c>
      <c r="C663" s="1" t="n">
        <v>46073</v>
      </c>
      <c r="D663" t="inlineStr">
        <is>
          <t>VÄSTMANLANDS LÄN</t>
        </is>
      </c>
      <c r="E663" t="inlineStr">
        <is>
          <t>SALA</t>
        </is>
      </c>
      <c r="G663" t="n">
        <v>5.4</v>
      </c>
      <c r="H663" t="n">
        <v>0</v>
      </c>
      <c r="I663" t="n">
        <v>0</v>
      </c>
      <c r="J663" t="n">
        <v>0</v>
      </c>
      <c r="K663" t="n">
        <v>0</v>
      </c>
      <c r="L663" t="n">
        <v>0</v>
      </c>
      <c r="M663" t="n">
        <v>0</v>
      </c>
      <c r="N663" t="n">
        <v>0</v>
      </c>
      <c r="O663" t="n">
        <v>0</v>
      </c>
      <c r="P663" t="n">
        <v>0</v>
      </c>
      <c r="Q663" t="n">
        <v>0</v>
      </c>
      <c r="R663" s="2" t="inlineStr"/>
    </row>
    <row r="664" ht="15" customHeight="1">
      <c r="A664" t="inlineStr">
        <is>
          <t>A 50876-2023</t>
        </is>
      </c>
      <c r="B664" s="1" t="n">
        <v>45211</v>
      </c>
      <c r="C664" s="1" t="n">
        <v>46073</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37624-2024</t>
        </is>
      </c>
      <c r="B665" s="1" t="n">
        <v>45541</v>
      </c>
      <c r="C665" s="1" t="n">
        <v>46073</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40398-2021</t>
        </is>
      </c>
      <c r="B666" s="1" t="n">
        <v>44419</v>
      </c>
      <c r="C666" s="1" t="n">
        <v>46073</v>
      </c>
      <c r="D666" t="inlineStr">
        <is>
          <t>VÄSTMANLANDS LÄN</t>
        </is>
      </c>
      <c r="E666" t="inlineStr">
        <is>
          <t>SALA</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6351-2023</t>
        </is>
      </c>
      <c r="B667" s="1" t="n">
        <v>44965</v>
      </c>
      <c r="C667" s="1" t="n">
        <v>46073</v>
      </c>
      <c r="D667" t="inlineStr">
        <is>
          <t>VÄSTMANLANDS LÄN</t>
        </is>
      </c>
      <c r="E667" t="inlineStr">
        <is>
          <t>SALA</t>
        </is>
      </c>
      <c r="F667" t="inlineStr">
        <is>
          <t>Kommuner</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27262-2024</t>
        </is>
      </c>
      <c r="B668" s="1" t="n">
        <v>45471</v>
      </c>
      <c r="C668" s="1" t="n">
        <v>46073</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15584-2021</t>
        </is>
      </c>
      <c r="B669" s="1" t="n">
        <v>44285</v>
      </c>
      <c r="C669" s="1" t="n">
        <v>46073</v>
      </c>
      <c r="D669" t="inlineStr">
        <is>
          <t>VÄSTMANLANDS LÄN</t>
        </is>
      </c>
      <c r="E669" t="inlineStr">
        <is>
          <t>SALA</t>
        </is>
      </c>
      <c r="G669" t="n">
        <v>3.4</v>
      </c>
      <c r="H669" t="n">
        <v>0</v>
      </c>
      <c r="I669" t="n">
        <v>0</v>
      </c>
      <c r="J669" t="n">
        <v>0</v>
      </c>
      <c r="K669" t="n">
        <v>0</v>
      </c>
      <c r="L669" t="n">
        <v>0</v>
      </c>
      <c r="M669" t="n">
        <v>0</v>
      </c>
      <c r="N669" t="n">
        <v>0</v>
      </c>
      <c r="O669" t="n">
        <v>0</v>
      </c>
      <c r="P669" t="n">
        <v>0</v>
      </c>
      <c r="Q669" t="n">
        <v>0</v>
      </c>
      <c r="R669" s="2" t="inlineStr"/>
    </row>
    <row r="670" ht="15" customHeight="1">
      <c r="A670" t="inlineStr">
        <is>
          <t>A 23119-2022</t>
        </is>
      </c>
      <c r="B670" s="1" t="n">
        <v>44719.56697916667</v>
      </c>
      <c r="C670" s="1" t="n">
        <v>46073</v>
      </c>
      <c r="D670" t="inlineStr">
        <is>
          <t>VÄSTMANLANDS LÄN</t>
        </is>
      </c>
      <c r="E670" t="inlineStr">
        <is>
          <t>SALA</t>
        </is>
      </c>
      <c r="G670" t="n">
        <v>7</v>
      </c>
      <c r="H670" t="n">
        <v>0</v>
      </c>
      <c r="I670" t="n">
        <v>0</v>
      </c>
      <c r="J670" t="n">
        <v>0</v>
      </c>
      <c r="K670" t="n">
        <v>0</v>
      </c>
      <c r="L670" t="n">
        <v>0</v>
      </c>
      <c r="M670" t="n">
        <v>0</v>
      </c>
      <c r="N670" t="n">
        <v>0</v>
      </c>
      <c r="O670" t="n">
        <v>0</v>
      </c>
      <c r="P670" t="n">
        <v>0</v>
      </c>
      <c r="Q670" t="n">
        <v>0</v>
      </c>
      <c r="R670" s="2" t="inlineStr"/>
    </row>
    <row r="671" ht="15" customHeight="1">
      <c r="A671" t="inlineStr">
        <is>
          <t>A 43751-2021</t>
        </is>
      </c>
      <c r="B671" s="1" t="n">
        <v>44433</v>
      </c>
      <c r="C671" s="1" t="n">
        <v>46073</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59483-2022</t>
        </is>
      </c>
      <c r="B672" s="1" t="n">
        <v>44907.45679398148</v>
      </c>
      <c r="C672" s="1" t="n">
        <v>46073</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73673-2021</t>
        </is>
      </c>
      <c r="B673" s="1" t="n">
        <v>44552.46501157407</v>
      </c>
      <c r="C673" s="1" t="n">
        <v>46073</v>
      </c>
      <c r="D673" t="inlineStr">
        <is>
          <t>VÄSTMANLANDS LÄN</t>
        </is>
      </c>
      <c r="E673" t="inlineStr">
        <is>
          <t>SALA</t>
        </is>
      </c>
      <c r="G673" t="n">
        <v>11.4</v>
      </c>
      <c r="H673" t="n">
        <v>0</v>
      </c>
      <c r="I673" t="n">
        <v>0</v>
      </c>
      <c r="J673" t="n">
        <v>0</v>
      </c>
      <c r="K673" t="n">
        <v>0</v>
      </c>
      <c r="L673" t="n">
        <v>0</v>
      </c>
      <c r="M673" t="n">
        <v>0</v>
      </c>
      <c r="N673" t="n">
        <v>0</v>
      </c>
      <c r="O673" t="n">
        <v>0</v>
      </c>
      <c r="P673" t="n">
        <v>0</v>
      </c>
      <c r="Q673" t="n">
        <v>0</v>
      </c>
      <c r="R673" s="2" t="inlineStr"/>
    </row>
    <row r="674" ht="15" customHeight="1">
      <c r="A674" t="inlineStr">
        <is>
          <t>A 4853-2023</t>
        </is>
      </c>
      <c r="B674" s="1" t="n">
        <v>44957.73234953704</v>
      </c>
      <c r="C674" s="1" t="n">
        <v>46073</v>
      </c>
      <c r="D674" t="inlineStr">
        <is>
          <t>VÄSTMANLANDS LÄN</t>
        </is>
      </c>
      <c r="E674" t="inlineStr">
        <is>
          <t>SALA</t>
        </is>
      </c>
      <c r="G674" t="n">
        <v>2.7</v>
      </c>
      <c r="H674" t="n">
        <v>0</v>
      </c>
      <c r="I674" t="n">
        <v>0</v>
      </c>
      <c r="J674" t="n">
        <v>0</v>
      </c>
      <c r="K674" t="n">
        <v>0</v>
      </c>
      <c r="L674" t="n">
        <v>0</v>
      </c>
      <c r="M674" t="n">
        <v>0</v>
      </c>
      <c r="N674" t="n">
        <v>0</v>
      </c>
      <c r="O674" t="n">
        <v>0</v>
      </c>
      <c r="P674" t="n">
        <v>0</v>
      </c>
      <c r="Q674" t="n">
        <v>0</v>
      </c>
      <c r="R674" s="2" t="inlineStr"/>
    </row>
    <row r="675" ht="15" customHeight="1">
      <c r="A675" t="inlineStr">
        <is>
          <t>A 1993-2022</t>
        </is>
      </c>
      <c r="B675" s="1" t="n">
        <v>44575</v>
      </c>
      <c r="C675" s="1" t="n">
        <v>46073</v>
      </c>
      <c r="D675" t="inlineStr">
        <is>
          <t>VÄSTMANLANDS LÄN</t>
        </is>
      </c>
      <c r="E675" t="inlineStr">
        <is>
          <t>SALA</t>
        </is>
      </c>
      <c r="G675" t="n">
        <v>1.6</v>
      </c>
      <c r="H675" t="n">
        <v>0</v>
      </c>
      <c r="I675" t="n">
        <v>0</v>
      </c>
      <c r="J675" t="n">
        <v>0</v>
      </c>
      <c r="K675" t="n">
        <v>0</v>
      </c>
      <c r="L675" t="n">
        <v>0</v>
      </c>
      <c r="M675" t="n">
        <v>0</v>
      </c>
      <c r="N675" t="n">
        <v>0</v>
      </c>
      <c r="O675" t="n">
        <v>0</v>
      </c>
      <c r="P675" t="n">
        <v>0</v>
      </c>
      <c r="Q675" t="n">
        <v>0</v>
      </c>
      <c r="R675" s="2" t="inlineStr"/>
    </row>
    <row r="676" ht="15" customHeight="1">
      <c r="A676" t="inlineStr">
        <is>
          <t>A 1793-2023</t>
        </is>
      </c>
      <c r="B676" s="1" t="n">
        <v>44937</v>
      </c>
      <c r="C676" s="1" t="n">
        <v>46073</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42447-2022</t>
        </is>
      </c>
      <c r="B677" s="1" t="n">
        <v>44831</v>
      </c>
      <c r="C677" s="1" t="n">
        <v>46073</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11183-2023</t>
        </is>
      </c>
      <c r="B678" s="1" t="n">
        <v>44992.57782407408</v>
      </c>
      <c r="C678" s="1" t="n">
        <v>46073</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46073</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31950-2023</t>
        </is>
      </c>
      <c r="B680" s="1" t="n">
        <v>45107</v>
      </c>
      <c r="C680" s="1" t="n">
        <v>46073</v>
      </c>
      <c r="D680" t="inlineStr">
        <is>
          <t>VÄSTMANLANDS LÄN</t>
        </is>
      </c>
      <c r="E680" t="inlineStr">
        <is>
          <t>SALA</t>
        </is>
      </c>
      <c r="G680" t="n">
        <v>1.9</v>
      </c>
      <c r="H680" t="n">
        <v>0</v>
      </c>
      <c r="I680" t="n">
        <v>0</v>
      </c>
      <c r="J680" t="n">
        <v>0</v>
      </c>
      <c r="K680" t="n">
        <v>0</v>
      </c>
      <c r="L680" t="n">
        <v>0</v>
      </c>
      <c r="M680" t="n">
        <v>0</v>
      </c>
      <c r="N680" t="n">
        <v>0</v>
      </c>
      <c r="O680" t="n">
        <v>0</v>
      </c>
      <c r="P680" t="n">
        <v>0</v>
      </c>
      <c r="Q680" t="n">
        <v>0</v>
      </c>
      <c r="R680" s="2" t="inlineStr"/>
    </row>
    <row r="681" ht="15" customHeight="1">
      <c r="A681" t="inlineStr">
        <is>
          <t>A 48710-2024</t>
        </is>
      </c>
      <c r="B681" s="1" t="n">
        <v>45593.53636574074</v>
      </c>
      <c r="C681" s="1" t="n">
        <v>46073</v>
      </c>
      <c r="D681" t="inlineStr">
        <is>
          <t>VÄSTMANLANDS LÄN</t>
        </is>
      </c>
      <c r="E681" t="inlineStr">
        <is>
          <t>SALA</t>
        </is>
      </c>
      <c r="G681" t="n">
        <v>6.5</v>
      </c>
      <c r="H681" t="n">
        <v>0</v>
      </c>
      <c r="I681" t="n">
        <v>0</v>
      </c>
      <c r="J681" t="n">
        <v>0</v>
      </c>
      <c r="K681" t="n">
        <v>0</v>
      </c>
      <c r="L681" t="n">
        <v>0</v>
      </c>
      <c r="M681" t="n">
        <v>0</v>
      </c>
      <c r="N681" t="n">
        <v>0</v>
      </c>
      <c r="O681" t="n">
        <v>0</v>
      </c>
      <c r="P681" t="n">
        <v>0</v>
      </c>
      <c r="Q681" t="n">
        <v>0</v>
      </c>
      <c r="R681" s="2" t="inlineStr"/>
    </row>
    <row r="682" ht="15" customHeight="1">
      <c r="A682" t="inlineStr">
        <is>
          <t>A 23406-2024</t>
        </is>
      </c>
      <c r="B682" s="1" t="n">
        <v>45453.58296296297</v>
      </c>
      <c r="C682" s="1" t="n">
        <v>46073</v>
      </c>
      <c r="D682" t="inlineStr">
        <is>
          <t>VÄSTMANLANDS LÄN</t>
        </is>
      </c>
      <c r="E682" t="inlineStr">
        <is>
          <t>SALA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12246-2023</t>
        </is>
      </c>
      <c r="B683" s="1" t="n">
        <v>44995</v>
      </c>
      <c r="C683" s="1" t="n">
        <v>46073</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48571-2024</t>
        </is>
      </c>
      <c r="B684" s="1" t="n">
        <v>45591</v>
      </c>
      <c r="C684" s="1" t="n">
        <v>46073</v>
      </c>
      <c r="D684" t="inlineStr">
        <is>
          <t>VÄSTMANLANDS LÄN</t>
        </is>
      </c>
      <c r="E684" t="inlineStr">
        <is>
          <t>SALA</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43362-2023</t>
        </is>
      </c>
      <c r="B685" s="1" t="n">
        <v>45183</v>
      </c>
      <c r="C685" s="1" t="n">
        <v>46073</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16767-2024</t>
        </is>
      </c>
      <c r="B686" s="1" t="n">
        <v>45411.38171296296</v>
      </c>
      <c r="C686" s="1" t="n">
        <v>46073</v>
      </c>
      <c r="D686" t="inlineStr">
        <is>
          <t>VÄSTMANLANDS LÄN</t>
        </is>
      </c>
      <c r="E686" t="inlineStr">
        <is>
          <t>SALA</t>
        </is>
      </c>
      <c r="G686" t="n">
        <v>2.5</v>
      </c>
      <c r="H686" t="n">
        <v>0</v>
      </c>
      <c r="I686" t="n">
        <v>0</v>
      </c>
      <c r="J686" t="n">
        <v>0</v>
      </c>
      <c r="K686" t="n">
        <v>0</v>
      </c>
      <c r="L686" t="n">
        <v>0</v>
      </c>
      <c r="M686" t="n">
        <v>0</v>
      </c>
      <c r="N686" t="n">
        <v>0</v>
      </c>
      <c r="O686" t="n">
        <v>0</v>
      </c>
      <c r="P686" t="n">
        <v>0</v>
      </c>
      <c r="Q686" t="n">
        <v>0</v>
      </c>
      <c r="R686" s="2" t="inlineStr"/>
    </row>
    <row r="687" ht="15" customHeight="1">
      <c r="A687" t="inlineStr">
        <is>
          <t>A 31470-2021</t>
        </is>
      </c>
      <c r="B687" s="1" t="n">
        <v>44369</v>
      </c>
      <c r="C687" s="1" t="n">
        <v>46073</v>
      </c>
      <c r="D687" t="inlineStr">
        <is>
          <t>VÄSTMANLANDS LÄN</t>
        </is>
      </c>
      <c r="E687" t="inlineStr">
        <is>
          <t>SALA</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18461-2024</t>
        </is>
      </c>
      <c r="B688" s="1" t="n">
        <v>45425.47435185185</v>
      </c>
      <c r="C688" s="1" t="n">
        <v>46073</v>
      </c>
      <c r="D688" t="inlineStr">
        <is>
          <t>VÄSTMANLANDS LÄN</t>
        </is>
      </c>
      <c r="E688" t="inlineStr">
        <is>
          <t>SALA</t>
        </is>
      </c>
      <c r="G688" t="n">
        <v>1.7</v>
      </c>
      <c r="H688" t="n">
        <v>0</v>
      </c>
      <c r="I688" t="n">
        <v>0</v>
      </c>
      <c r="J688" t="n">
        <v>0</v>
      </c>
      <c r="K688" t="n">
        <v>0</v>
      </c>
      <c r="L688" t="n">
        <v>0</v>
      </c>
      <c r="M688" t="n">
        <v>0</v>
      </c>
      <c r="N688" t="n">
        <v>0</v>
      </c>
      <c r="O688" t="n">
        <v>0</v>
      </c>
      <c r="P688" t="n">
        <v>0</v>
      </c>
      <c r="Q688" t="n">
        <v>0</v>
      </c>
      <c r="R688" s="2" t="inlineStr"/>
    </row>
    <row r="689" ht="15" customHeight="1">
      <c r="A689" t="inlineStr">
        <is>
          <t>A 29230-2022</t>
        </is>
      </c>
      <c r="B689" s="1" t="n">
        <v>44750</v>
      </c>
      <c r="C689" s="1" t="n">
        <v>46073</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9335-2022</t>
        </is>
      </c>
      <c r="B690" s="1" t="n">
        <v>44616.56579861111</v>
      </c>
      <c r="C690" s="1" t="n">
        <v>46073</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47479-2024</t>
        </is>
      </c>
      <c r="B691" s="1" t="n">
        <v>45587</v>
      </c>
      <c r="C691" s="1" t="n">
        <v>46073</v>
      </c>
      <c r="D691" t="inlineStr">
        <is>
          <t>VÄSTMANLANDS LÄN</t>
        </is>
      </c>
      <c r="E691" t="inlineStr">
        <is>
          <t>SALA</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19065-2022</t>
        </is>
      </c>
      <c r="B692" s="1" t="n">
        <v>44691.44309027777</v>
      </c>
      <c r="C692" s="1" t="n">
        <v>46073</v>
      </c>
      <c r="D692" t="inlineStr">
        <is>
          <t>VÄSTMANLANDS LÄN</t>
        </is>
      </c>
      <c r="E692" t="inlineStr">
        <is>
          <t>SALA</t>
        </is>
      </c>
      <c r="G692" t="n">
        <v>3.4</v>
      </c>
      <c r="H692" t="n">
        <v>0</v>
      </c>
      <c r="I692" t="n">
        <v>0</v>
      </c>
      <c r="J692" t="n">
        <v>0</v>
      </c>
      <c r="K692" t="n">
        <v>0</v>
      </c>
      <c r="L692" t="n">
        <v>0</v>
      </c>
      <c r="M692" t="n">
        <v>0</v>
      </c>
      <c r="N692" t="n">
        <v>0</v>
      </c>
      <c r="O692" t="n">
        <v>0</v>
      </c>
      <c r="P692" t="n">
        <v>0</v>
      </c>
      <c r="Q692" t="n">
        <v>0</v>
      </c>
      <c r="R692" s="2" t="inlineStr"/>
    </row>
    <row r="693" ht="15" customHeight="1">
      <c r="A693" t="inlineStr">
        <is>
          <t>A 22961-2023</t>
        </is>
      </c>
      <c r="B693" s="1" t="n">
        <v>45072</v>
      </c>
      <c r="C693" s="1" t="n">
        <v>46073</v>
      </c>
      <c r="D693" t="inlineStr">
        <is>
          <t>VÄSTMANLANDS LÄN</t>
        </is>
      </c>
      <c r="E693" t="inlineStr">
        <is>
          <t>SALA</t>
        </is>
      </c>
      <c r="G693" t="n">
        <v>2.7</v>
      </c>
      <c r="H693" t="n">
        <v>0</v>
      </c>
      <c r="I693" t="n">
        <v>0</v>
      </c>
      <c r="J693" t="n">
        <v>0</v>
      </c>
      <c r="K693" t="n">
        <v>0</v>
      </c>
      <c r="L693" t="n">
        <v>0</v>
      </c>
      <c r="M693" t="n">
        <v>0</v>
      </c>
      <c r="N693" t="n">
        <v>0</v>
      </c>
      <c r="O693" t="n">
        <v>0</v>
      </c>
      <c r="P693" t="n">
        <v>0</v>
      </c>
      <c r="Q693" t="n">
        <v>0</v>
      </c>
      <c r="R693" s="2" t="inlineStr"/>
    </row>
    <row r="694" ht="15" customHeight="1">
      <c r="A694" t="inlineStr">
        <is>
          <t>A 22963-2023</t>
        </is>
      </c>
      <c r="B694" s="1" t="n">
        <v>45072</v>
      </c>
      <c r="C694" s="1" t="n">
        <v>46073</v>
      </c>
      <c r="D694" t="inlineStr">
        <is>
          <t>VÄSTMANLANDS LÄN</t>
        </is>
      </c>
      <c r="E694" t="inlineStr">
        <is>
          <t>SALA</t>
        </is>
      </c>
      <c r="G694" t="n">
        <v>1.2</v>
      </c>
      <c r="H694" t="n">
        <v>0</v>
      </c>
      <c r="I694" t="n">
        <v>0</v>
      </c>
      <c r="J694" t="n">
        <v>0</v>
      </c>
      <c r="K694" t="n">
        <v>0</v>
      </c>
      <c r="L694" t="n">
        <v>0</v>
      </c>
      <c r="M694" t="n">
        <v>0</v>
      </c>
      <c r="N694" t="n">
        <v>0</v>
      </c>
      <c r="O694" t="n">
        <v>0</v>
      </c>
      <c r="P694" t="n">
        <v>0</v>
      </c>
      <c r="Q694" t="n">
        <v>0</v>
      </c>
      <c r="R694" s="2" t="inlineStr"/>
    </row>
    <row r="695" ht="15" customHeight="1">
      <c r="A695" t="inlineStr">
        <is>
          <t>A 10585-2022</t>
        </is>
      </c>
      <c r="B695" s="1" t="n">
        <v>44624</v>
      </c>
      <c r="C695" s="1" t="n">
        <v>46073</v>
      </c>
      <c r="D695" t="inlineStr">
        <is>
          <t>VÄSTMANLANDS LÄN</t>
        </is>
      </c>
      <c r="E695" t="inlineStr">
        <is>
          <t>SALA</t>
        </is>
      </c>
      <c r="G695" t="n">
        <v>2</v>
      </c>
      <c r="H695" t="n">
        <v>0</v>
      </c>
      <c r="I695" t="n">
        <v>0</v>
      </c>
      <c r="J695" t="n">
        <v>0</v>
      </c>
      <c r="K695" t="n">
        <v>0</v>
      </c>
      <c r="L695" t="n">
        <v>0</v>
      </c>
      <c r="M695" t="n">
        <v>0</v>
      </c>
      <c r="N695" t="n">
        <v>0</v>
      </c>
      <c r="O695" t="n">
        <v>0</v>
      </c>
      <c r="P695" t="n">
        <v>0</v>
      </c>
      <c r="Q695" t="n">
        <v>0</v>
      </c>
      <c r="R695" s="2" t="inlineStr"/>
    </row>
    <row r="696" ht="15" customHeight="1">
      <c r="A696" t="inlineStr">
        <is>
          <t>A 69236-2021</t>
        </is>
      </c>
      <c r="B696" s="1" t="n">
        <v>44531.4047337963</v>
      </c>
      <c r="C696" s="1" t="n">
        <v>46073</v>
      </c>
      <c r="D696" t="inlineStr">
        <is>
          <t>VÄSTMANLANDS LÄN</t>
        </is>
      </c>
      <c r="E696" t="inlineStr">
        <is>
          <t>SALA</t>
        </is>
      </c>
      <c r="G696" t="n">
        <v>2.8</v>
      </c>
      <c r="H696" t="n">
        <v>0</v>
      </c>
      <c r="I696" t="n">
        <v>0</v>
      </c>
      <c r="J696" t="n">
        <v>0</v>
      </c>
      <c r="K696" t="n">
        <v>0</v>
      </c>
      <c r="L696" t="n">
        <v>0</v>
      </c>
      <c r="M696" t="n">
        <v>0</v>
      </c>
      <c r="N696" t="n">
        <v>0</v>
      </c>
      <c r="O696" t="n">
        <v>0</v>
      </c>
      <c r="P696" t="n">
        <v>0</v>
      </c>
      <c r="Q696" t="n">
        <v>0</v>
      </c>
      <c r="R696" s="2" t="inlineStr"/>
    </row>
    <row r="697" ht="15" customHeight="1">
      <c r="A697" t="inlineStr">
        <is>
          <t>A 48117-2024</t>
        </is>
      </c>
      <c r="B697" s="1" t="n">
        <v>45589</v>
      </c>
      <c r="C697" s="1" t="n">
        <v>46073</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12225-2023</t>
        </is>
      </c>
      <c r="B698" s="1" t="n">
        <v>44995</v>
      </c>
      <c r="C698" s="1" t="n">
        <v>46073</v>
      </c>
      <c r="D698" t="inlineStr">
        <is>
          <t>VÄSTMANLANDS LÄN</t>
        </is>
      </c>
      <c r="E698" t="inlineStr">
        <is>
          <t>SALA</t>
        </is>
      </c>
      <c r="G698" t="n">
        <v>0.9</v>
      </c>
      <c r="H698" t="n">
        <v>0</v>
      </c>
      <c r="I698" t="n">
        <v>0</v>
      </c>
      <c r="J698" t="n">
        <v>0</v>
      </c>
      <c r="K698" t="n">
        <v>0</v>
      </c>
      <c r="L698" t="n">
        <v>0</v>
      </c>
      <c r="M698" t="n">
        <v>0</v>
      </c>
      <c r="N698" t="n">
        <v>0</v>
      </c>
      <c r="O698" t="n">
        <v>0</v>
      </c>
      <c r="P698" t="n">
        <v>0</v>
      </c>
      <c r="Q698" t="n">
        <v>0</v>
      </c>
      <c r="R698" s="2" t="inlineStr"/>
    </row>
    <row r="699" ht="15" customHeight="1">
      <c r="A699" t="inlineStr">
        <is>
          <t>A 12252-2023</t>
        </is>
      </c>
      <c r="B699" s="1" t="n">
        <v>44995</v>
      </c>
      <c r="C699" s="1" t="n">
        <v>46073</v>
      </c>
      <c r="D699" t="inlineStr">
        <is>
          <t>VÄSTMANLANDS LÄN</t>
        </is>
      </c>
      <c r="E699" t="inlineStr">
        <is>
          <t>SALA</t>
        </is>
      </c>
      <c r="G699" t="n">
        <v>2.6</v>
      </c>
      <c r="H699" t="n">
        <v>0</v>
      </c>
      <c r="I699" t="n">
        <v>0</v>
      </c>
      <c r="J699" t="n">
        <v>0</v>
      </c>
      <c r="K699" t="n">
        <v>0</v>
      </c>
      <c r="L699" t="n">
        <v>0</v>
      </c>
      <c r="M699" t="n">
        <v>0</v>
      </c>
      <c r="N699" t="n">
        <v>0</v>
      </c>
      <c r="O699" t="n">
        <v>0</v>
      </c>
      <c r="P699" t="n">
        <v>0</v>
      </c>
      <c r="Q699" t="n">
        <v>0</v>
      </c>
      <c r="R699" s="2" t="inlineStr"/>
    </row>
    <row r="700" ht="15" customHeight="1">
      <c r="A700" t="inlineStr">
        <is>
          <t>A 6116-2023</t>
        </is>
      </c>
      <c r="B700" s="1" t="n">
        <v>44964</v>
      </c>
      <c r="C700" s="1" t="n">
        <v>46073</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18100-2023</t>
        </is>
      </c>
      <c r="B701" s="1" t="n">
        <v>45040</v>
      </c>
      <c r="C701" s="1" t="n">
        <v>46073</v>
      </c>
      <c r="D701" t="inlineStr">
        <is>
          <t>VÄSTMANLANDS LÄN</t>
        </is>
      </c>
      <c r="E701" t="inlineStr">
        <is>
          <t>SALA</t>
        </is>
      </c>
      <c r="G701" t="n">
        <v>1.8</v>
      </c>
      <c r="H701" t="n">
        <v>0</v>
      </c>
      <c r="I701" t="n">
        <v>0</v>
      </c>
      <c r="J701" t="n">
        <v>0</v>
      </c>
      <c r="K701" t="n">
        <v>0</v>
      </c>
      <c r="L701" t="n">
        <v>0</v>
      </c>
      <c r="M701" t="n">
        <v>0</v>
      </c>
      <c r="N701" t="n">
        <v>0</v>
      </c>
      <c r="O701" t="n">
        <v>0</v>
      </c>
      <c r="P701" t="n">
        <v>0</v>
      </c>
      <c r="Q701" t="n">
        <v>0</v>
      </c>
      <c r="R701" s="2" t="inlineStr"/>
    </row>
    <row r="702" ht="15" customHeight="1">
      <c r="A702" t="inlineStr">
        <is>
          <t>A 13471-2025</t>
        </is>
      </c>
      <c r="B702" s="1" t="n">
        <v>45736.40579861111</v>
      </c>
      <c r="C702" s="1" t="n">
        <v>46073</v>
      </c>
      <c r="D702" t="inlineStr">
        <is>
          <t>VÄSTMANLANDS LÄN</t>
        </is>
      </c>
      <c r="E702" t="inlineStr">
        <is>
          <t>SALA</t>
        </is>
      </c>
      <c r="G702" t="n">
        <v>1.1</v>
      </c>
      <c r="H702" t="n">
        <v>0</v>
      </c>
      <c r="I702" t="n">
        <v>0</v>
      </c>
      <c r="J702" t="n">
        <v>0</v>
      </c>
      <c r="K702" t="n">
        <v>0</v>
      </c>
      <c r="L702" t="n">
        <v>0</v>
      </c>
      <c r="M702" t="n">
        <v>0</v>
      </c>
      <c r="N702" t="n">
        <v>0</v>
      </c>
      <c r="O702" t="n">
        <v>0</v>
      </c>
      <c r="P702" t="n">
        <v>0</v>
      </c>
      <c r="Q702" t="n">
        <v>0</v>
      </c>
      <c r="R702" s="2" t="inlineStr"/>
    </row>
    <row r="703" ht="15" customHeight="1">
      <c r="A703" t="inlineStr">
        <is>
          <t>A 26854-2024</t>
        </is>
      </c>
      <c r="B703" s="1" t="n">
        <v>45470</v>
      </c>
      <c r="C703" s="1" t="n">
        <v>46073</v>
      </c>
      <c r="D703" t="inlineStr">
        <is>
          <t>VÄSTMANLANDS LÄN</t>
        </is>
      </c>
      <c r="E703" t="inlineStr">
        <is>
          <t>SALA</t>
        </is>
      </c>
      <c r="G703" t="n">
        <v>1.4</v>
      </c>
      <c r="H703" t="n">
        <v>0</v>
      </c>
      <c r="I703" t="n">
        <v>0</v>
      </c>
      <c r="J703" t="n">
        <v>0</v>
      </c>
      <c r="K703" t="n">
        <v>0</v>
      </c>
      <c r="L703" t="n">
        <v>0</v>
      </c>
      <c r="M703" t="n">
        <v>0</v>
      </c>
      <c r="N703" t="n">
        <v>0</v>
      </c>
      <c r="O703" t="n">
        <v>0</v>
      </c>
      <c r="P703" t="n">
        <v>0</v>
      </c>
      <c r="Q703" t="n">
        <v>0</v>
      </c>
      <c r="R703" s="2" t="inlineStr"/>
    </row>
    <row r="704" ht="15" customHeight="1">
      <c r="A704" t="inlineStr">
        <is>
          <t>A 37602-2024</t>
        </is>
      </c>
      <c r="B704" s="1" t="n">
        <v>45541</v>
      </c>
      <c r="C704" s="1" t="n">
        <v>46073</v>
      </c>
      <c r="D704" t="inlineStr">
        <is>
          <t>VÄSTMANLANDS LÄN</t>
        </is>
      </c>
      <c r="E704" t="inlineStr">
        <is>
          <t>SALA</t>
        </is>
      </c>
      <c r="G704" t="n">
        <v>1.5</v>
      </c>
      <c r="H704" t="n">
        <v>0</v>
      </c>
      <c r="I704" t="n">
        <v>0</v>
      </c>
      <c r="J704" t="n">
        <v>0</v>
      </c>
      <c r="K704" t="n">
        <v>0</v>
      </c>
      <c r="L704" t="n">
        <v>0</v>
      </c>
      <c r="M704" t="n">
        <v>0</v>
      </c>
      <c r="N704" t="n">
        <v>0</v>
      </c>
      <c r="O704" t="n">
        <v>0</v>
      </c>
      <c r="P704" t="n">
        <v>0</v>
      </c>
      <c r="Q704" t="n">
        <v>0</v>
      </c>
      <c r="R704" s="2" t="inlineStr"/>
    </row>
    <row r="705" ht="15" customHeight="1">
      <c r="A705" t="inlineStr">
        <is>
          <t>A 1985-2022</t>
        </is>
      </c>
      <c r="B705" s="1" t="n">
        <v>44575</v>
      </c>
      <c r="C705" s="1" t="n">
        <v>46073</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21455-2023</t>
        </is>
      </c>
      <c r="B706" s="1" t="n">
        <v>45058</v>
      </c>
      <c r="C706" s="1" t="n">
        <v>46073</v>
      </c>
      <c r="D706" t="inlineStr">
        <is>
          <t>VÄSTMANLANDS LÄN</t>
        </is>
      </c>
      <c r="E706" t="inlineStr">
        <is>
          <t>SALA</t>
        </is>
      </c>
      <c r="G706" t="n">
        <v>6.4</v>
      </c>
      <c r="H706" t="n">
        <v>0</v>
      </c>
      <c r="I706" t="n">
        <v>0</v>
      </c>
      <c r="J706" t="n">
        <v>0</v>
      </c>
      <c r="K706" t="n">
        <v>0</v>
      </c>
      <c r="L706" t="n">
        <v>0</v>
      </c>
      <c r="M706" t="n">
        <v>0</v>
      </c>
      <c r="N706" t="n">
        <v>0</v>
      </c>
      <c r="O706" t="n">
        <v>0</v>
      </c>
      <c r="P706" t="n">
        <v>0</v>
      </c>
      <c r="Q706" t="n">
        <v>0</v>
      </c>
      <c r="R706" s="2" t="inlineStr"/>
    </row>
    <row r="707" ht="15" customHeight="1">
      <c r="A707" t="inlineStr">
        <is>
          <t>A 4797-2023</t>
        </is>
      </c>
      <c r="B707" s="1" t="n">
        <v>44957</v>
      </c>
      <c r="C707" s="1" t="n">
        <v>46073</v>
      </c>
      <c r="D707" t="inlineStr">
        <is>
          <t>VÄSTMANLANDS LÄN</t>
        </is>
      </c>
      <c r="E707" t="inlineStr">
        <is>
          <t>SALA</t>
        </is>
      </c>
      <c r="G707" t="n">
        <v>5.7</v>
      </c>
      <c r="H707" t="n">
        <v>0</v>
      </c>
      <c r="I707" t="n">
        <v>0</v>
      </c>
      <c r="J707" t="n">
        <v>0</v>
      </c>
      <c r="K707" t="n">
        <v>0</v>
      </c>
      <c r="L707" t="n">
        <v>0</v>
      </c>
      <c r="M707" t="n">
        <v>0</v>
      </c>
      <c r="N707" t="n">
        <v>0</v>
      </c>
      <c r="O707" t="n">
        <v>0</v>
      </c>
      <c r="P707" t="n">
        <v>0</v>
      </c>
      <c r="Q707" t="n">
        <v>0</v>
      </c>
      <c r="R707" s="2" t="inlineStr"/>
    </row>
    <row r="708" ht="15" customHeight="1">
      <c r="A708" t="inlineStr">
        <is>
          <t>A 4852-2023</t>
        </is>
      </c>
      <c r="B708" s="1" t="n">
        <v>44957.72496527778</v>
      </c>
      <c r="C708" s="1" t="n">
        <v>46073</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36858-2023</t>
        </is>
      </c>
      <c r="B709" s="1" t="n">
        <v>45154.55184027777</v>
      </c>
      <c r="C709" s="1" t="n">
        <v>46073</v>
      </c>
      <c r="D709" t="inlineStr">
        <is>
          <t>VÄSTMANLANDS LÄN</t>
        </is>
      </c>
      <c r="E709" t="inlineStr">
        <is>
          <t>SALA</t>
        </is>
      </c>
      <c r="G709" t="n">
        <v>2.1</v>
      </c>
      <c r="H709" t="n">
        <v>0</v>
      </c>
      <c r="I709" t="n">
        <v>0</v>
      </c>
      <c r="J709" t="n">
        <v>0</v>
      </c>
      <c r="K709" t="n">
        <v>0</v>
      </c>
      <c r="L709" t="n">
        <v>0</v>
      </c>
      <c r="M709" t="n">
        <v>0</v>
      </c>
      <c r="N709" t="n">
        <v>0</v>
      </c>
      <c r="O709" t="n">
        <v>0</v>
      </c>
      <c r="P709" t="n">
        <v>0</v>
      </c>
      <c r="Q709" t="n">
        <v>0</v>
      </c>
      <c r="R709" s="2" t="inlineStr"/>
    </row>
    <row r="710" ht="15" customHeight="1">
      <c r="A710" t="inlineStr">
        <is>
          <t>A 58701-2021</t>
        </is>
      </c>
      <c r="B710" s="1" t="n">
        <v>44489.46454861111</v>
      </c>
      <c r="C710" s="1" t="n">
        <v>46073</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37337-2024</t>
        </is>
      </c>
      <c r="B711" s="1" t="n">
        <v>45540</v>
      </c>
      <c r="C711" s="1" t="n">
        <v>46073</v>
      </c>
      <c r="D711" t="inlineStr">
        <is>
          <t>VÄSTMANLANDS LÄN</t>
        </is>
      </c>
      <c r="E711" t="inlineStr">
        <is>
          <t>SALA</t>
        </is>
      </c>
      <c r="G711" t="n">
        <v>6.5</v>
      </c>
      <c r="H711" t="n">
        <v>0</v>
      </c>
      <c r="I711" t="n">
        <v>0</v>
      </c>
      <c r="J711" t="n">
        <v>0</v>
      </c>
      <c r="K711" t="n">
        <v>0</v>
      </c>
      <c r="L711" t="n">
        <v>0</v>
      </c>
      <c r="M711" t="n">
        <v>0</v>
      </c>
      <c r="N711" t="n">
        <v>0</v>
      </c>
      <c r="O711" t="n">
        <v>0</v>
      </c>
      <c r="P711" t="n">
        <v>0</v>
      </c>
      <c r="Q711" t="n">
        <v>0</v>
      </c>
      <c r="R711" s="2" t="inlineStr"/>
    </row>
    <row r="712" ht="15" customHeight="1">
      <c r="A712" t="inlineStr">
        <is>
          <t>A 10250-2025</t>
        </is>
      </c>
      <c r="B712" s="1" t="n">
        <v>45720.36165509259</v>
      </c>
      <c r="C712" s="1" t="n">
        <v>46073</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23180-2022</t>
        </is>
      </c>
      <c r="B713" s="1" t="n">
        <v>44719.79344907407</v>
      </c>
      <c r="C713" s="1" t="n">
        <v>46073</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21053-2022</t>
        </is>
      </c>
      <c r="B714" s="1" t="n">
        <v>44704</v>
      </c>
      <c r="C714" s="1" t="n">
        <v>46073</v>
      </c>
      <c r="D714" t="inlineStr">
        <is>
          <t>VÄSTMANLANDS LÄN</t>
        </is>
      </c>
      <c r="E714" t="inlineStr">
        <is>
          <t>SALA</t>
        </is>
      </c>
      <c r="G714" t="n">
        <v>2</v>
      </c>
      <c r="H714" t="n">
        <v>0</v>
      </c>
      <c r="I714" t="n">
        <v>0</v>
      </c>
      <c r="J714" t="n">
        <v>0</v>
      </c>
      <c r="K714" t="n">
        <v>0</v>
      </c>
      <c r="L714" t="n">
        <v>0</v>
      </c>
      <c r="M714" t="n">
        <v>0</v>
      </c>
      <c r="N714" t="n">
        <v>0</v>
      </c>
      <c r="O714" t="n">
        <v>0</v>
      </c>
      <c r="P714" t="n">
        <v>0</v>
      </c>
      <c r="Q714" t="n">
        <v>0</v>
      </c>
      <c r="R714" s="2" t="inlineStr"/>
    </row>
    <row r="715" ht="15" customHeight="1">
      <c r="A715" t="inlineStr">
        <is>
          <t>A 18340-2025</t>
        </is>
      </c>
      <c r="B715" s="1" t="n">
        <v>45762</v>
      </c>
      <c r="C715" s="1" t="n">
        <v>46073</v>
      </c>
      <c r="D715" t="inlineStr">
        <is>
          <t>VÄSTMANLANDS LÄN</t>
        </is>
      </c>
      <c r="E715" t="inlineStr">
        <is>
          <t>SALA</t>
        </is>
      </c>
      <c r="G715" t="n">
        <v>2.1</v>
      </c>
      <c r="H715" t="n">
        <v>0</v>
      </c>
      <c r="I715" t="n">
        <v>0</v>
      </c>
      <c r="J715" t="n">
        <v>0</v>
      </c>
      <c r="K715" t="n">
        <v>0</v>
      </c>
      <c r="L715" t="n">
        <v>0</v>
      </c>
      <c r="M715" t="n">
        <v>0</v>
      </c>
      <c r="N715" t="n">
        <v>0</v>
      </c>
      <c r="O715" t="n">
        <v>0</v>
      </c>
      <c r="P715" t="n">
        <v>0</v>
      </c>
      <c r="Q715" t="n">
        <v>0</v>
      </c>
      <c r="R715" s="2" t="inlineStr"/>
    </row>
    <row r="716" ht="15" customHeight="1">
      <c r="A716" t="inlineStr">
        <is>
          <t>A 16638-2023</t>
        </is>
      </c>
      <c r="B716" s="1" t="n">
        <v>45027</v>
      </c>
      <c r="C716" s="1" t="n">
        <v>46073</v>
      </c>
      <c r="D716" t="inlineStr">
        <is>
          <t>VÄSTMANLANDS LÄN</t>
        </is>
      </c>
      <c r="E716" t="inlineStr">
        <is>
          <t>SALA</t>
        </is>
      </c>
      <c r="G716" t="n">
        <v>14.8</v>
      </c>
      <c r="H716" t="n">
        <v>0</v>
      </c>
      <c r="I716" t="n">
        <v>0</v>
      </c>
      <c r="J716" t="n">
        <v>0</v>
      </c>
      <c r="K716" t="n">
        <v>0</v>
      </c>
      <c r="L716" t="n">
        <v>0</v>
      </c>
      <c r="M716" t="n">
        <v>0</v>
      </c>
      <c r="N716" t="n">
        <v>0</v>
      </c>
      <c r="O716" t="n">
        <v>0</v>
      </c>
      <c r="P716" t="n">
        <v>0</v>
      </c>
      <c r="Q716" t="n">
        <v>0</v>
      </c>
      <c r="R716" s="2" t="inlineStr"/>
    </row>
    <row r="717" ht="15" customHeight="1">
      <c r="A717" t="inlineStr">
        <is>
          <t>A 17117-2023</t>
        </is>
      </c>
      <c r="B717" s="1" t="n">
        <v>45034</v>
      </c>
      <c r="C717" s="1" t="n">
        <v>46073</v>
      </c>
      <c r="D717" t="inlineStr">
        <is>
          <t>VÄSTMANLANDS LÄN</t>
        </is>
      </c>
      <c r="E717" t="inlineStr">
        <is>
          <t>SALA</t>
        </is>
      </c>
      <c r="G717" t="n">
        <v>0.4</v>
      </c>
      <c r="H717" t="n">
        <v>0</v>
      </c>
      <c r="I717" t="n">
        <v>0</v>
      </c>
      <c r="J717" t="n">
        <v>0</v>
      </c>
      <c r="K717" t="n">
        <v>0</v>
      </c>
      <c r="L717" t="n">
        <v>0</v>
      </c>
      <c r="M717" t="n">
        <v>0</v>
      </c>
      <c r="N717" t="n">
        <v>0</v>
      </c>
      <c r="O717" t="n">
        <v>0</v>
      </c>
      <c r="P717" t="n">
        <v>0</v>
      </c>
      <c r="Q717" t="n">
        <v>0</v>
      </c>
      <c r="R717" s="2" t="inlineStr"/>
    </row>
    <row r="718" ht="15" customHeight="1">
      <c r="A718" t="inlineStr">
        <is>
          <t>A 59909-2024</t>
        </is>
      </c>
      <c r="B718" s="1" t="n">
        <v>45641</v>
      </c>
      <c r="C718" s="1" t="n">
        <v>46073</v>
      </c>
      <c r="D718" t="inlineStr">
        <is>
          <t>VÄSTMANLANDS LÄN</t>
        </is>
      </c>
      <c r="E718" t="inlineStr">
        <is>
          <t>SALA</t>
        </is>
      </c>
      <c r="G718" t="n">
        <v>2.1</v>
      </c>
      <c r="H718" t="n">
        <v>0</v>
      </c>
      <c r="I718" t="n">
        <v>0</v>
      </c>
      <c r="J718" t="n">
        <v>0</v>
      </c>
      <c r="K718" t="n">
        <v>0</v>
      </c>
      <c r="L718" t="n">
        <v>0</v>
      </c>
      <c r="M718" t="n">
        <v>0</v>
      </c>
      <c r="N718" t="n">
        <v>0</v>
      </c>
      <c r="O718" t="n">
        <v>0</v>
      </c>
      <c r="P718" t="n">
        <v>0</v>
      </c>
      <c r="Q718" t="n">
        <v>0</v>
      </c>
      <c r="R718" s="2" t="inlineStr"/>
    </row>
    <row r="719" ht="15" customHeight="1">
      <c r="A719" t="inlineStr">
        <is>
          <t>A 30028-2024</t>
        </is>
      </c>
      <c r="B719" s="1" t="n">
        <v>45485</v>
      </c>
      <c r="C719" s="1" t="n">
        <v>46073</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33309-2022</t>
        </is>
      </c>
      <c r="B720" s="1" t="n">
        <v>44788.40986111111</v>
      </c>
      <c r="C720" s="1" t="n">
        <v>46073</v>
      </c>
      <c r="D720" t="inlineStr">
        <is>
          <t>VÄSTMANLANDS LÄN</t>
        </is>
      </c>
      <c r="E720" t="inlineStr">
        <is>
          <t>SALA</t>
        </is>
      </c>
      <c r="G720" t="n">
        <v>2.6</v>
      </c>
      <c r="H720" t="n">
        <v>0</v>
      </c>
      <c r="I720" t="n">
        <v>0</v>
      </c>
      <c r="J720" t="n">
        <v>0</v>
      </c>
      <c r="K720" t="n">
        <v>0</v>
      </c>
      <c r="L720" t="n">
        <v>0</v>
      </c>
      <c r="M720" t="n">
        <v>0</v>
      </c>
      <c r="N720" t="n">
        <v>0</v>
      </c>
      <c r="O720" t="n">
        <v>0</v>
      </c>
      <c r="P720" t="n">
        <v>0</v>
      </c>
      <c r="Q720" t="n">
        <v>0</v>
      </c>
      <c r="R720" s="2" t="inlineStr"/>
    </row>
    <row r="721" ht="15" customHeight="1">
      <c r="A721" t="inlineStr">
        <is>
          <t>A 7377-2023</t>
        </is>
      </c>
      <c r="B721" s="1" t="n">
        <v>44971</v>
      </c>
      <c r="C721" s="1" t="n">
        <v>46073</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27229-2022</t>
        </is>
      </c>
      <c r="B722" s="1" t="n">
        <v>44741</v>
      </c>
      <c r="C722" s="1" t="n">
        <v>46073</v>
      </c>
      <c r="D722" t="inlineStr">
        <is>
          <t>VÄSTMANLANDS LÄN</t>
        </is>
      </c>
      <c r="E722" t="inlineStr">
        <is>
          <t>SALA</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24755-2021</t>
        </is>
      </c>
      <c r="B723" s="1" t="n">
        <v>44340</v>
      </c>
      <c r="C723" s="1" t="n">
        <v>46073</v>
      </c>
      <c r="D723" t="inlineStr">
        <is>
          <t>VÄSTMANLANDS LÄN</t>
        </is>
      </c>
      <c r="E723" t="inlineStr">
        <is>
          <t>SALA</t>
        </is>
      </c>
      <c r="G723" t="n">
        <v>1.2</v>
      </c>
      <c r="H723" t="n">
        <v>0</v>
      </c>
      <c r="I723" t="n">
        <v>0</v>
      </c>
      <c r="J723" t="n">
        <v>0</v>
      </c>
      <c r="K723" t="n">
        <v>0</v>
      </c>
      <c r="L723" t="n">
        <v>0</v>
      </c>
      <c r="M723" t="n">
        <v>0</v>
      </c>
      <c r="N723" t="n">
        <v>0</v>
      </c>
      <c r="O723" t="n">
        <v>0</v>
      </c>
      <c r="P723" t="n">
        <v>0</v>
      </c>
      <c r="Q723" t="n">
        <v>0</v>
      </c>
      <c r="R723" s="2" t="inlineStr"/>
    </row>
    <row r="724" ht="15" customHeight="1">
      <c r="A724" t="inlineStr">
        <is>
          <t>A 34867-2023</t>
        </is>
      </c>
      <c r="B724" s="1" t="n">
        <v>45142.33481481481</v>
      </c>
      <c r="C724" s="1" t="n">
        <v>46073</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25748-2022</t>
        </is>
      </c>
      <c r="B725" s="1" t="n">
        <v>44732</v>
      </c>
      <c r="C725" s="1" t="n">
        <v>46073</v>
      </c>
      <c r="D725" t="inlineStr">
        <is>
          <t>VÄSTMANLANDS LÄN</t>
        </is>
      </c>
      <c r="E725" t="inlineStr">
        <is>
          <t>SALA</t>
        </is>
      </c>
      <c r="G725" t="n">
        <v>7.7</v>
      </c>
      <c r="H725" t="n">
        <v>0</v>
      </c>
      <c r="I725" t="n">
        <v>0</v>
      </c>
      <c r="J725" t="n">
        <v>0</v>
      </c>
      <c r="K725" t="n">
        <v>0</v>
      </c>
      <c r="L725" t="n">
        <v>0</v>
      </c>
      <c r="M725" t="n">
        <v>0</v>
      </c>
      <c r="N725" t="n">
        <v>0</v>
      </c>
      <c r="O725" t="n">
        <v>0</v>
      </c>
      <c r="P725" t="n">
        <v>0</v>
      </c>
      <c r="Q725" t="n">
        <v>0</v>
      </c>
      <c r="R725" s="2" t="inlineStr"/>
    </row>
    <row r="726" ht="15" customHeight="1">
      <c r="A726" t="inlineStr">
        <is>
          <t>A 49512-2024</t>
        </is>
      </c>
      <c r="B726" s="1" t="n">
        <v>45591</v>
      </c>
      <c r="C726" s="1" t="n">
        <v>46073</v>
      </c>
      <c r="D726" t="inlineStr">
        <is>
          <t>VÄSTMANLANDS LÄN</t>
        </is>
      </c>
      <c r="E726" t="inlineStr">
        <is>
          <t>SALA</t>
        </is>
      </c>
      <c r="G726" t="n">
        <v>8.1</v>
      </c>
      <c r="H726" t="n">
        <v>0</v>
      </c>
      <c r="I726" t="n">
        <v>0</v>
      </c>
      <c r="J726" t="n">
        <v>0</v>
      </c>
      <c r="K726" t="n">
        <v>0</v>
      </c>
      <c r="L726" t="n">
        <v>0</v>
      </c>
      <c r="M726" t="n">
        <v>0</v>
      </c>
      <c r="N726" t="n">
        <v>0</v>
      </c>
      <c r="O726" t="n">
        <v>0</v>
      </c>
      <c r="P726" t="n">
        <v>0</v>
      </c>
      <c r="Q726" t="n">
        <v>0</v>
      </c>
      <c r="R726" s="2" t="inlineStr"/>
    </row>
    <row r="727" ht="15" customHeight="1">
      <c r="A727" t="inlineStr">
        <is>
          <t>A 13128-2023</t>
        </is>
      </c>
      <c r="B727" s="1" t="n">
        <v>45002</v>
      </c>
      <c r="C727" s="1" t="n">
        <v>46073</v>
      </c>
      <c r="D727" t="inlineStr">
        <is>
          <t>VÄSTMANLANDS LÄN</t>
        </is>
      </c>
      <c r="E727" t="inlineStr">
        <is>
          <t>SALA</t>
        </is>
      </c>
      <c r="G727" t="n">
        <v>7.9</v>
      </c>
      <c r="H727" t="n">
        <v>0</v>
      </c>
      <c r="I727" t="n">
        <v>0</v>
      </c>
      <c r="J727" t="n">
        <v>0</v>
      </c>
      <c r="K727" t="n">
        <v>0</v>
      </c>
      <c r="L727" t="n">
        <v>0</v>
      </c>
      <c r="M727" t="n">
        <v>0</v>
      </c>
      <c r="N727" t="n">
        <v>0</v>
      </c>
      <c r="O727" t="n">
        <v>0</v>
      </c>
      <c r="P727" t="n">
        <v>0</v>
      </c>
      <c r="Q727" t="n">
        <v>0</v>
      </c>
      <c r="R727" s="2" t="inlineStr"/>
    </row>
    <row r="728" ht="15" customHeight="1">
      <c r="A728" t="inlineStr">
        <is>
          <t>A 37958-2024</t>
        </is>
      </c>
      <c r="B728" s="1" t="n">
        <v>45544</v>
      </c>
      <c r="C728" s="1" t="n">
        <v>46073</v>
      </c>
      <c r="D728" t="inlineStr">
        <is>
          <t>VÄSTMANLANDS LÄN</t>
        </is>
      </c>
      <c r="E728" t="inlineStr">
        <is>
          <t>SALA</t>
        </is>
      </c>
      <c r="G728" t="n">
        <v>5.6</v>
      </c>
      <c r="H728" t="n">
        <v>0</v>
      </c>
      <c r="I728" t="n">
        <v>0</v>
      </c>
      <c r="J728" t="n">
        <v>0</v>
      </c>
      <c r="K728" t="n">
        <v>0</v>
      </c>
      <c r="L728" t="n">
        <v>0</v>
      </c>
      <c r="M728" t="n">
        <v>0</v>
      </c>
      <c r="N728" t="n">
        <v>0</v>
      </c>
      <c r="O728" t="n">
        <v>0</v>
      </c>
      <c r="P728" t="n">
        <v>0</v>
      </c>
      <c r="Q728" t="n">
        <v>0</v>
      </c>
      <c r="R728" s="2" t="inlineStr"/>
    </row>
    <row r="729" ht="15" customHeight="1">
      <c r="A729" t="inlineStr">
        <is>
          <t>A 18431-2023</t>
        </is>
      </c>
      <c r="B729" s="1" t="n">
        <v>45042</v>
      </c>
      <c r="C729" s="1" t="n">
        <v>46073</v>
      </c>
      <c r="D729" t="inlineStr">
        <is>
          <t>VÄSTMANLANDS LÄN</t>
        </is>
      </c>
      <c r="E729" t="inlineStr">
        <is>
          <t>SALA</t>
        </is>
      </c>
      <c r="G729" t="n">
        <v>1.9</v>
      </c>
      <c r="H729" t="n">
        <v>0</v>
      </c>
      <c r="I729" t="n">
        <v>0</v>
      </c>
      <c r="J729" t="n">
        <v>0</v>
      </c>
      <c r="K729" t="n">
        <v>0</v>
      </c>
      <c r="L729" t="n">
        <v>0</v>
      </c>
      <c r="M729" t="n">
        <v>0</v>
      </c>
      <c r="N729" t="n">
        <v>0</v>
      </c>
      <c r="O729" t="n">
        <v>0</v>
      </c>
      <c r="P729" t="n">
        <v>0</v>
      </c>
      <c r="Q729" t="n">
        <v>0</v>
      </c>
      <c r="R729" s="2" t="inlineStr"/>
    </row>
    <row r="730" ht="15" customHeight="1">
      <c r="A730" t="inlineStr">
        <is>
          <t>A 57650-2024</t>
        </is>
      </c>
      <c r="B730" s="1" t="n">
        <v>45630</v>
      </c>
      <c r="C730" s="1" t="n">
        <v>46073</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10255-2024</t>
        </is>
      </c>
      <c r="B731" s="1" t="n">
        <v>45365</v>
      </c>
      <c r="C731" s="1" t="n">
        <v>46073</v>
      </c>
      <c r="D731" t="inlineStr">
        <is>
          <t>VÄSTMANLANDS LÄN</t>
        </is>
      </c>
      <c r="E731" t="inlineStr">
        <is>
          <t>SALA</t>
        </is>
      </c>
      <c r="F731" t="inlineStr">
        <is>
          <t>Kommuner</t>
        </is>
      </c>
      <c r="G731" t="n">
        <v>0.8</v>
      </c>
      <c r="H731" t="n">
        <v>0</v>
      </c>
      <c r="I731" t="n">
        <v>0</v>
      </c>
      <c r="J731" t="n">
        <v>0</v>
      </c>
      <c r="K731" t="n">
        <v>0</v>
      </c>
      <c r="L731" t="n">
        <v>0</v>
      </c>
      <c r="M731" t="n">
        <v>0</v>
      </c>
      <c r="N731" t="n">
        <v>0</v>
      </c>
      <c r="O731" t="n">
        <v>0</v>
      </c>
      <c r="P731" t="n">
        <v>0</v>
      </c>
      <c r="Q731" t="n">
        <v>0</v>
      </c>
      <c r="R731" s="2" t="inlineStr"/>
    </row>
    <row r="732" ht="15" customHeight="1">
      <c r="A732" t="inlineStr">
        <is>
          <t>A 28696-2023</t>
        </is>
      </c>
      <c r="B732" s="1" t="n">
        <v>45103.71759259259</v>
      </c>
      <c r="C732" s="1" t="n">
        <v>46073</v>
      </c>
      <c r="D732" t="inlineStr">
        <is>
          <t>VÄSTMANLANDS LÄN</t>
        </is>
      </c>
      <c r="E732" t="inlineStr">
        <is>
          <t>SALA</t>
        </is>
      </c>
      <c r="F732" t="inlineStr">
        <is>
          <t>Kommuner</t>
        </is>
      </c>
      <c r="G732" t="n">
        <v>5.9</v>
      </c>
      <c r="H732" t="n">
        <v>0</v>
      </c>
      <c r="I732" t="n">
        <v>0</v>
      </c>
      <c r="J732" t="n">
        <v>0</v>
      </c>
      <c r="K732" t="n">
        <v>0</v>
      </c>
      <c r="L732" t="n">
        <v>0</v>
      </c>
      <c r="M732" t="n">
        <v>0</v>
      </c>
      <c r="N732" t="n">
        <v>0</v>
      </c>
      <c r="O732" t="n">
        <v>0</v>
      </c>
      <c r="P732" t="n">
        <v>0</v>
      </c>
      <c r="Q732" t="n">
        <v>0</v>
      </c>
      <c r="R732" s="2" t="inlineStr"/>
    </row>
    <row r="733" ht="15" customHeight="1">
      <c r="A733" t="inlineStr">
        <is>
          <t>A 31072-2021</t>
        </is>
      </c>
      <c r="B733" s="1" t="n">
        <v>44368</v>
      </c>
      <c r="C733" s="1" t="n">
        <v>46073</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16543-2023</t>
        </is>
      </c>
      <c r="B734" s="1" t="n">
        <v>45029</v>
      </c>
      <c r="C734" s="1" t="n">
        <v>46073</v>
      </c>
      <c r="D734" t="inlineStr">
        <is>
          <t>VÄSTMANLANDS LÄN</t>
        </is>
      </c>
      <c r="E734" t="inlineStr">
        <is>
          <t>SALA</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22523-2023</t>
        </is>
      </c>
      <c r="B735" s="1" t="n">
        <v>45069</v>
      </c>
      <c r="C735" s="1" t="n">
        <v>46073</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4663-2022</t>
        </is>
      </c>
      <c r="B736" s="1" t="n">
        <v>44592.45429398148</v>
      </c>
      <c r="C736" s="1" t="n">
        <v>46073</v>
      </c>
      <c r="D736" t="inlineStr">
        <is>
          <t>VÄSTMANLANDS LÄN</t>
        </is>
      </c>
      <c r="E736" t="inlineStr">
        <is>
          <t>SALA</t>
        </is>
      </c>
      <c r="G736" t="n">
        <v>2.5</v>
      </c>
      <c r="H736" t="n">
        <v>0</v>
      </c>
      <c r="I736" t="n">
        <v>0</v>
      </c>
      <c r="J736" t="n">
        <v>0</v>
      </c>
      <c r="K736" t="n">
        <v>0</v>
      </c>
      <c r="L736" t="n">
        <v>0</v>
      </c>
      <c r="M736" t="n">
        <v>0</v>
      </c>
      <c r="N736" t="n">
        <v>0</v>
      </c>
      <c r="O736" t="n">
        <v>0</v>
      </c>
      <c r="P736" t="n">
        <v>0</v>
      </c>
      <c r="Q736" t="n">
        <v>0</v>
      </c>
      <c r="R736" s="2" t="inlineStr"/>
    </row>
    <row r="737" ht="15" customHeight="1">
      <c r="A737" t="inlineStr">
        <is>
          <t>A 6132-2025</t>
        </is>
      </c>
      <c r="B737" s="1" t="n">
        <v>45698</v>
      </c>
      <c r="C737" s="1" t="n">
        <v>46073</v>
      </c>
      <c r="D737" t="inlineStr">
        <is>
          <t>VÄSTMANLANDS LÄN</t>
        </is>
      </c>
      <c r="E737" t="inlineStr">
        <is>
          <t>SALA</t>
        </is>
      </c>
      <c r="F737" t="inlineStr">
        <is>
          <t>Bergvik skog öst AB</t>
        </is>
      </c>
      <c r="G737" t="n">
        <v>1.5</v>
      </c>
      <c r="H737" t="n">
        <v>0</v>
      </c>
      <c r="I737" t="n">
        <v>0</v>
      </c>
      <c r="J737" t="n">
        <v>0</v>
      </c>
      <c r="K737" t="n">
        <v>0</v>
      </c>
      <c r="L737" t="n">
        <v>0</v>
      </c>
      <c r="M737" t="n">
        <v>0</v>
      </c>
      <c r="N737" t="n">
        <v>0</v>
      </c>
      <c r="O737" t="n">
        <v>0</v>
      </c>
      <c r="P737" t="n">
        <v>0</v>
      </c>
      <c r="Q737" t="n">
        <v>0</v>
      </c>
      <c r="R737" s="2" t="inlineStr"/>
    </row>
    <row r="738" ht="15" customHeight="1">
      <c r="A738" t="inlineStr">
        <is>
          <t>A 31859-2023</t>
        </is>
      </c>
      <c r="B738" s="1" t="n">
        <v>45118</v>
      </c>
      <c r="C738" s="1" t="n">
        <v>46073</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c r="U738">
        <f>HYPERLINK("https://klasma.github.io/Logging_1981/knärot/A 31859-2023 karta knärot.png", "A 31859-2023")</f>
        <v/>
      </c>
      <c r="V738">
        <f>HYPERLINK("https://klasma.github.io/Logging_1981/klagomål/A 31859-2023 FSC-klagomål.docx", "A 31859-2023")</f>
        <v/>
      </c>
      <c r="W738">
        <f>HYPERLINK("https://klasma.github.io/Logging_1981/klagomålsmail/A 31859-2023 FSC-klagomål mail.docx", "A 31859-2023")</f>
        <v/>
      </c>
      <c r="X738">
        <f>HYPERLINK("https://klasma.github.io/Logging_1981/tillsyn/A 31859-2023 tillsynsbegäran.docx", "A 31859-2023")</f>
        <v/>
      </c>
      <c r="Y738">
        <f>HYPERLINK("https://klasma.github.io/Logging_1981/tillsynsmail/A 31859-2023 tillsynsbegäran mail.docx", "A 31859-2023")</f>
        <v/>
      </c>
    </row>
    <row r="739" ht="15" customHeight="1">
      <c r="A739" t="inlineStr">
        <is>
          <t>A 61681-2024</t>
        </is>
      </c>
      <c r="B739" s="1" t="n">
        <v>45647</v>
      </c>
      <c r="C739" s="1" t="n">
        <v>46073</v>
      </c>
      <c r="D739" t="inlineStr">
        <is>
          <t>VÄSTMANLANDS LÄN</t>
        </is>
      </c>
      <c r="E739" t="inlineStr">
        <is>
          <t>SALA</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54960-2024</t>
        </is>
      </c>
      <c r="B740" s="1" t="n">
        <v>45619.85208333333</v>
      </c>
      <c r="C740" s="1" t="n">
        <v>46073</v>
      </c>
      <c r="D740" t="inlineStr">
        <is>
          <t>VÄSTMANLANDS LÄN</t>
        </is>
      </c>
      <c r="E740" t="inlineStr">
        <is>
          <t>SALA</t>
        </is>
      </c>
      <c r="G740" t="n">
        <v>2.6</v>
      </c>
      <c r="H740" t="n">
        <v>0</v>
      </c>
      <c r="I740" t="n">
        <v>0</v>
      </c>
      <c r="J740" t="n">
        <v>0</v>
      </c>
      <c r="K740" t="n">
        <v>0</v>
      </c>
      <c r="L740" t="n">
        <v>0</v>
      </c>
      <c r="M740" t="n">
        <v>0</v>
      </c>
      <c r="N740" t="n">
        <v>0</v>
      </c>
      <c r="O740" t="n">
        <v>0</v>
      </c>
      <c r="P740" t="n">
        <v>0</v>
      </c>
      <c r="Q740" t="n">
        <v>0</v>
      </c>
      <c r="R740" s="2" t="inlineStr"/>
    </row>
    <row r="741" ht="15" customHeight="1">
      <c r="A741" t="inlineStr">
        <is>
          <t>A 31082-2021</t>
        </is>
      </c>
      <c r="B741" s="1" t="n">
        <v>44368</v>
      </c>
      <c r="C741" s="1" t="n">
        <v>46073</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20352-2022</t>
        </is>
      </c>
      <c r="B742" s="1" t="n">
        <v>44699.37318287037</v>
      </c>
      <c r="C742" s="1" t="n">
        <v>46073</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27657-2023</t>
        </is>
      </c>
      <c r="B743" s="1" t="n">
        <v>45097.76631944445</v>
      </c>
      <c r="C743" s="1" t="n">
        <v>46073</v>
      </c>
      <c r="D743" t="inlineStr">
        <is>
          <t>VÄSTMANLANDS LÄN</t>
        </is>
      </c>
      <c r="E743" t="inlineStr">
        <is>
          <t>SALA</t>
        </is>
      </c>
      <c r="G743" t="n">
        <v>0.1</v>
      </c>
      <c r="H743" t="n">
        <v>0</v>
      </c>
      <c r="I743" t="n">
        <v>0</v>
      </c>
      <c r="J743" t="n">
        <v>0</v>
      </c>
      <c r="K743" t="n">
        <v>0</v>
      </c>
      <c r="L743" t="n">
        <v>0</v>
      </c>
      <c r="M743" t="n">
        <v>0</v>
      </c>
      <c r="N743" t="n">
        <v>0</v>
      </c>
      <c r="O743" t="n">
        <v>0</v>
      </c>
      <c r="P743" t="n">
        <v>0</v>
      </c>
      <c r="Q743" t="n">
        <v>0</v>
      </c>
      <c r="R743" s="2" t="inlineStr"/>
    </row>
    <row r="744" ht="15" customHeight="1">
      <c r="A744" t="inlineStr">
        <is>
          <t>A 2766-2024</t>
        </is>
      </c>
      <c r="B744" s="1" t="n">
        <v>45314.60950231482</v>
      </c>
      <c r="C744" s="1" t="n">
        <v>46073</v>
      </c>
      <c r="D744" t="inlineStr">
        <is>
          <t>VÄSTMANLANDS LÄN</t>
        </is>
      </c>
      <c r="E744" t="inlineStr">
        <is>
          <t>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60550-2024</t>
        </is>
      </c>
      <c r="B745" s="1" t="n">
        <v>45643</v>
      </c>
      <c r="C745" s="1" t="n">
        <v>46073</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14690-2025</t>
        </is>
      </c>
      <c r="B746" s="1" t="n">
        <v>45742.58212962963</v>
      </c>
      <c r="C746" s="1" t="n">
        <v>46073</v>
      </c>
      <c r="D746" t="inlineStr">
        <is>
          <t>VÄSTMANLANDS LÄN</t>
        </is>
      </c>
      <c r="E746" t="inlineStr">
        <is>
          <t>SALA</t>
        </is>
      </c>
      <c r="G746" t="n">
        <v>3.4</v>
      </c>
      <c r="H746" t="n">
        <v>0</v>
      </c>
      <c r="I746" t="n">
        <v>0</v>
      </c>
      <c r="J746" t="n">
        <v>0</v>
      </c>
      <c r="K746" t="n">
        <v>0</v>
      </c>
      <c r="L746" t="n">
        <v>0</v>
      </c>
      <c r="M746" t="n">
        <v>0</v>
      </c>
      <c r="N746" t="n">
        <v>0</v>
      </c>
      <c r="O746" t="n">
        <v>0</v>
      </c>
      <c r="P746" t="n">
        <v>0</v>
      </c>
      <c r="Q746" t="n">
        <v>0</v>
      </c>
      <c r="R746" s="2" t="inlineStr"/>
    </row>
    <row r="747" ht="15" customHeight="1">
      <c r="A747" t="inlineStr">
        <is>
          <t>A 24175-2024</t>
        </is>
      </c>
      <c r="B747" s="1" t="n">
        <v>45456</v>
      </c>
      <c r="C747" s="1" t="n">
        <v>46073</v>
      </c>
      <c r="D747" t="inlineStr">
        <is>
          <t>VÄSTMANLANDS LÄN</t>
        </is>
      </c>
      <c r="E747" t="inlineStr">
        <is>
          <t>SALA</t>
        </is>
      </c>
      <c r="G747" t="n">
        <v>0.6</v>
      </c>
      <c r="H747" t="n">
        <v>0</v>
      </c>
      <c r="I747" t="n">
        <v>0</v>
      </c>
      <c r="J747" t="n">
        <v>0</v>
      </c>
      <c r="K747" t="n">
        <v>0</v>
      </c>
      <c r="L747" t="n">
        <v>0</v>
      </c>
      <c r="M747" t="n">
        <v>0</v>
      </c>
      <c r="N747" t="n">
        <v>0</v>
      </c>
      <c r="O747" t="n">
        <v>0</v>
      </c>
      <c r="P747" t="n">
        <v>0</v>
      </c>
      <c r="Q747" t="n">
        <v>0</v>
      </c>
      <c r="R747" s="2" t="inlineStr"/>
    </row>
    <row r="748" ht="15" customHeight="1">
      <c r="A748" t="inlineStr">
        <is>
          <t>A 62449-2023</t>
        </is>
      </c>
      <c r="B748" s="1" t="n">
        <v>45268.49008101852</v>
      </c>
      <c r="C748" s="1" t="n">
        <v>46073</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54910-2023</t>
        </is>
      </c>
      <c r="B749" s="1" t="n">
        <v>45229</v>
      </c>
      <c r="C749" s="1" t="n">
        <v>46073</v>
      </c>
      <c r="D749" t="inlineStr">
        <is>
          <t>VÄSTMANLANDS LÄN</t>
        </is>
      </c>
      <c r="E749" t="inlineStr">
        <is>
          <t>SALA</t>
        </is>
      </c>
      <c r="G749" t="n">
        <v>2.4</v>
      </c>
      <c r="H749" t="n">
        <v>0</v>
      </c>
      <c r="I749" t="n">
        <v>0</v>
      </c>
      <c r="J749" t="n">
        <v>0</v>
      </c>
      <c r="K749" t="n">
        <v>0</v>
      </c>
      <c r="L749" t="n">
        <v>0</v>
      </c>
      <c r="M749" t="n">
        <v>0</v>
      </c>
      <c r="N749" t="n">
        <v>0</v>
      </c>
      <c r="O749" t="n">
        <v>0</v>
      </c>
      <c r="P749" t="n">
        <v>0</v>
      </c>
      <c r="Q749" t="n">
        <v>0</v>
      </c>
      <c r="R749" s="2" t="inlineStr"/>
    </row>
    <row r="750" ht="15" customHeight="1">
      <c r="A750" t="inlineStr">
        <is>
          <t>A 19222-2025</t>
        </is>
      </c>
      <c r="B750" s="1" t="n">
        <v>45769</v>
      </c>
      <c r="C750" s="1" t="n">
        <v>46073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19241-2025</t>
        </is>
      </c>
      <c r="B751" s="1" t="n">
        <v>45769</v>
      </c>
      <c r="C751" s="1" t="n">
        <v>46073</v>
      </c>
      <c r="D751" t="inlineStr">
        <is>
          <t>VÄSTMANLANDS LÄN</t>
        </is>
      </c>
      <c r="E751" t="inlineStr">
        <is>
          <t>SALA</t>
        </is>
      </c>
      <c r="G751" t="n">
        <v>3.6</v>
      </c>
      <c r="H751" t="n">
        <v>0</v>
      </c>
      <c r="I751" t="n">
        <v>0</v>
      </c>
      <c r="J751" t="n">
        <v>0</v>
      </c>
      <c r="K751" t="n">
        <v>0</v>
      </c>
      <c r="L751" t="n">
        <v>0</v>
      </c>
      <c r="M751" t="n">
        <v>0</v>
      </c>
      <c r="N751" t="n">
        <v>0</v>
      </c>
      <c r="O751" t="n">
        <v>0</v>
      </c>
      <c r="P751" t="n">
        <v>0</v>
      </c>
      <c r="Q751" t="n">
        <v>0</v>
      </c>
      <c r="R751" s="2" t="inlineStr"/>
    </row>
    <row r="752" ht="15" customHeight="1">
      <c r="A752" t="inlineStr">
        <is>
          <t>A 26416-2023</t>
        </is>
      </c>
      <c r="B752" s="1" t="n">
        <v>45092.38087962963</v>
      </c>
      <c r="C752" s="1" t="n">
        <v>46073</v>
      </c>
      <c r="D752" t="inlineStr">
        <is>
          <t>VÄSTMANLANDS LÄN</t>
        </is>
      </c>
      <c r="E752" t="inlineStr">
        <is>
          <t>SALA</t>
        </is>
      </c>
      <c r="G752" t="n">
        <v>2.9</v>
      </c>
      <c r="H752" t="n">
        <v>0</v>
      </c>
      <c r="I752" t="n">
        <v>0</v>
      </c>
      <c r="J752" t="n">
        <v>0</v>
      </c>
      <c r="K752" t="n">
        <v>0</v>
      </c>
      <c r="L752" t="n">
        <v>0</v>
      </c>
      <c r="M752" t="n">
        <v>0</v>
      </c>
      <c r="N752" t="n">
        <v>0</v>
      </c>
      <c r="O752" t="n">
        <v>0</v>
      </c>
      <c r="P752" t="n">
        <v>0</v>
      </c>
      <c r="Q752" t="n">
        <v>0</v>
      </c>
      <c r="R752" s="2" t="inlineStr"/>
    </row>
    <row r="753" ht="15" customHeight="1">
      <c r="A753" t="inlineStr">
        <is>
          <t>A 26692-2023</t>
        </is>
      </c>
      <c r="B753" s="1" t="n">
        <v>45093.360625</v>
      </c>
      <c r="C753" s="1" t="n">
        <v>46073</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c r="A754" t="inlineStr">
        <is>
          <t>A 15681-2025</t>
        </is>
      </c>
      <c r="B754" s="1" t="n">
        <v>45748.45454861111</v>
      </c>
      <c r="C754" s="1" t="n">
        <v>46073</v>
      </c>
      <c r="D754" t="inlineStr">
        <is>
          <t>VÄSTMANLANDS LÄN</t>
        </is>
      </c>
      <c r="E754" t="inlineStr">
        <is>
          <t>SALA</t>
        </is>
      </c>
      <c r="F754" t="inlineStr">
        <is>
          <t>Bergvik skog öst AB</t>
        </is>
      </c>
      <c r="G754" t="n">
        <v>4.3</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2026-02-20T11:04:48Z</dcterms:created>
  <dcterms:modified xmlns:dcterms="http://purl.org/dc/terms/" xmlns:xsi="http://www.w3.org/2001/XMLSchema-instance" xsi:type="dcterms:W3CDTF">2026-02-20T11:04:49Z</dcterms:modified>
</cp:coreProperties>
</file>