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45646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45646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45646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45646</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45646</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45646</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45646</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45646</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45646</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45646</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45646</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45646</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45646</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45646</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45646</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45646</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45646</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45646</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45646</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45646</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45646</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45646</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45646</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45646</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45646</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45646</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45646</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45646</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45646</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45646</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45646</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45646</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45646</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45646</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39483-2019</t>
        </is>
      </c>
      <c r="B36" s="1" t="n">
        <v>43691</v>
      </c>
      <c r="C36" s="1" t="n">
        <v>45646</v>
      </c>
      <c r="D36" t="inlineStr">
        <is>
          <t>VÄSTMANLANDS LÄN</t>
        </is>
      </c>
      <c r="E36" t="inlineStr">
        <is>
          <t>SALA</t>
        </is>
      </c>
      <c r="G36" t="n">
        <v>4.6</v>
      </c>
      <c r="H36" t="n">
        <v>2</v>
      </c>
      <c r="I36" t="n">
        <v>0</v>
      </c>
      <c r="J36" t="n">
        <v>1</v>
      </c>
      <c r="K36" t="n">
        <v>0</v>
      </c>
      <c r="L36" t="n">
        <v>0</v>
      </c>
      <c r="M36" t="n">
        <v>0</v>
      </c>
      <c r="N36" t="n">
        <v>0</v>
      </c>
      <c r="O36" t="n">
        <v>1</v>
      </c>
      <c r="P36" t="n">
        <v>0</v>
      </c>
      <c r="Q36" t="n">
        <v>2</v>
      </c>
      <c r="R36" s="2" t="inlineStr">
        <is>
          <t>Nordfladdermus
Vattenfladdermus</t>
        </is>
      </c>
      <c r="S36">
        <f>HYPERLINK("https://klasma.github.io/Logging_1981/artfynd/A 39483-2019 artfynd.xlsx", "A 39483-2019")</f>
        <v/>
      </c>
      <c r="T36">
        <f>HYPERLINK("https://klasma.github.io/Logging_1981/kartor/A 39483-2019 karta.png", "A 39483-2019")</f>
        <v/>
      </c>
      <c r="V36">
        <f>HYPERLINK("https://klasma.github.io/Logging_1981/klagomål/A 39483-2019 FSC-klagomål.docx", "A 39483-2019")</f>
        <v/>
      </c>
      <c r="W36">
        <f>HYPERLINK("https://klasma.github.io/Logging_1981/klagomålsmail/A 39483-2019 FSC-klagomål mail.docx", "A 39483-2019")</f>
        <v/>
      </c>
      <c r="X36">
        <f>HYPERLINK("https://klasma.github.io/Logging_1981/tillsyn/A 39483-2019 tillsynsbegäran.docx", "A 39483-2019")</f>
        <v/>
      </c>
      <c r="Y36">
        <f>HYPERLINK("https://klasma.github.io/Logging_1981/tillsynsmail/A 39483-2019 tillsynsbegäran mail.docx", "A 39483-2019")</f>
        <v/>
      </c>
    </row>
    <row r="37" ht="15" customHeight="1">
      <c r="A37" t="inlineStr">
        <is>
          <t>A 59152-2019</t>
        </is>
      </c>
      <c r="B37" s="1" t="n">
        <v>43775</v>
      </c>
      <c r="C37" s="1" t="n">
        <v>45646</v>
      </c>
      <c r="D37" t="inlineStr">
        <is>
          <t>VÄSTMANLANDS LÄN</t>
        </is>
      </c>
      <c r="E37" t="inlineStr">
        <is>
          <t>SALA</t>
        </is>
      </c>
      <c r="F37" t="inlineStr">
        <is>
          <t>Övriga Aktiebolag</t>
        </is>
      </c>
      <c r="G37" t="n">
        <v>4.6</v>
      </c>
      <c r="H37" t="n">
        <v>0</v>
      </c>
      <c r="I37" t="n">
        <v>1</v>
      </c>
      <c r="J37" t="n">
        <v>1</v>
      </c>
      <c r="K37" t="n">
        <v>0</v>
      </c>
      <c r="L37" t="n">
        <v>0</v>
      </c>
      <c r="M37" t="n">
        <v>0</v>
      </c>
      <c r="N37" t="n">
        <v>0</v>
      </c>
      <c r="O37" t="n">
        <v>1</v>
      </c>
      <c r="P37" t="n">
        <v>0</v>
      </c>
      <c r="Q37" t="n">
        <v>2</v>
      </c>
      <c r="R37" s="2" t="inlineStr">
        <is>
          <t>Svart taggsvamp
Vedticka</t>
        </is>
      </c>
      <c r="S37">
        <f>HYPERLINK("https://klasma.github.io/Logging_1981/artfynd/A 59152-2019 artfynd.xlsx", "A 59152-2019")</f>
        <v/>
      </c>
      <c r="T37">
        <f>HYPERLINK("https://klasma.github.io/Logging_1981/kartor/A 59152-2019 karta.png", "A 59152-2019")</f>
        <v/>
      </c>
      <c r="V37">
        <f>HYPERLINK("https://klasma.github.io/Logging_1981/klagomål/A 59152-2019 FSC-klagomål.docx", "A 59152-2019")</f>
        <v/>
      </c>
      <c r="W37">
        <f>HYPERLINK("https://klasma.github.io/Logging_1981/klagomålsmail/A 59152-2019 FSC-klagomål mail.docx", "A 59152-2019")</f>
        <v/>
      </c>
      <c r="X37">
        <f>HYPERLINK("https://klasma.github.io/Logging_1981/tillsyn/A 59152-2019 tillsynsbegäran.docx", "A 59152-2019")</f>
        <v/>
      </c>
      <c r="Y37">
        <f>HYPERLINK("https://klasma.github.io/Logging_1981/tillsynsmail/A 59152-2019 tillsynsbegäran mail.docx", "A 59152-2019")</f>
        <v/>
      </c>
    </row>
    <row r="38" ht="15" customHeight="1">
      <c r="A38" t="inlineStr">
        <is>
          <t>A 32975-2020</t>
        </is>
      </c>
      <c r="B38" s="1" t="n">
        <v>44020</v>
      </c>
      <c r="C38" s="1" t="n">
        <v>45646</v>
      </c>
      <c r="D38" t="inlineStr">
        <is>
          <t>VÄSTMANLANDS LÄN</t>
        </is>
      </c>
      <c r="E38" t="inlineStr">
        <is>
          <t>SALA</t>
        </is>
      </c>
      <c r="G38" t="n">
        <v>10.1</v>
      </c>
      <c r="H38" t="n">
        <v>2</v>
      </c>
      <c r="I38" t="n">
        <v>0</v>
      </c>
      <c r="J38" t="n">
        <v>0</v>
      </c>
      <c r="K38" t="n">
        <v>1</v>
      </c>
      <c r="L38" t="n">
        <v>0</v>
      </c>
      <c r="M38" t="n">
        <v>0</v>
      </c>
      <c r="N38" t="n">
        <v>0</v>
      </c>
      <c r="O38" t="n">
        <v>1</v>
      </c>
      <c r="P38" t="n">
        <v>1</v>
      </c>
      <c r="Q38" t="n">
        <v>2</v>
      </c>
      <c r="R38" s="2" t="inlineStr">
        <is>
          <t>Knärot
Revlummer</t>
        </is>
      </c>
      <c r="S38">
        <f>HYPERLINK("https://klasma.github.io/Logging_1981/artfynd/A 32975-2020 artfynd.xlsx", "A 32975-2020")</f>
        <v/>
      </c>
      <c r="T38">
        <f>HYPERLINK("https://klasma.github.io/Logging_1981/kartor/A 32975-2020 karta.png", "A 32975-2020")</f>
        <v/>
      </c>
      <c r="U38">
        <f>HYPERLINK("https://klasma.github.io/Logging_1981/knärot/A 32975-2020 karta knärot.png", "A 32975-2020")</f>
        <v/>
      </c>
      <c r="V38">
        <f>HYPERLINK("https://klasma.github.io/Logging_1981/klagomål/A 32975-2020 FSC-klagomål.docx", "A 32975-2020")</f>
        <v/>
      </c>
      <c r="W38">
        <f>HYPERLINK("https://klasma.github.io/Logging_1981/klagomålsmail/A 32975-2020 FSC-klagomål mail.docx", "A 32975-2020")</f>
        <v/>
      </c>
      <c r="X38">
        <f>HYPERLINK("https://klasma.github.io/Logging_1981/tillsyn/A 32975-2020 tillsynsbegäran.docx", "A 32975-2020")</f>
        <v/>
      </c>
      <c r="Y38">
        <f>HYPERLINK("https://klasma.github.io/Logging_1981/tillsynsmail/A 32975-2020 tillsynsbegäran mail.docx", "A 32975-2020")</f>
        <v/>
      </c>
    </row>
    <row r="39" ht="15" customHeight="1">
      <c r="A39" t="inlineStr">
        <is>
          <t>A 54555-2021</t>
        </is>
      </c>
      <c r="B39" s="1" t="n">
        <v>44473</v>
      </c>
      <c r="C39" s="1" t="n">
        <v>45646</v>
      </c>
      <c r="D39" t="inlineStr">
        <is>
          <t>VÄSTMANLANDS LÄN</t>
        </is>
      </c>
      <c r="E39" t="inlineStr">
        <is>
          <t>SALA</t>
        </is>
      </c>
      <c r="G39" t="n">
        <v>13</v>
      </c>
      <c r="H39" t="n">
        <v>0</v>
      </c>
      <c r="I39" t="n">
        <v>1</v>
      </c>
      <c r="J39" t="n">
        <v>1</v>
      </c>
      <c r="K39" t="n">
        <v>0</v>
      </c>
      <c r="L39" t="n">
        <v>0</v>
      </c>
      <c r="M39" t="n">
        <v>0</v>
      </c>
      <c r="N39" t="n">
        <v>0</v>
      </c>
      <c r="O39" t="n">
        <v>1</v>
      </c>
      <c r="P39" t="n">
        <v>0</v>
      </c>
      <c r="Q39" t="n">
        <v>2</v>
      </c>
      <c r="R39" s="2" t="inlineStr">
        <is>
          <t>Storgröe
Stubbspretmossa</t>
        </is>
      </c>
      <c r="S39">
        <f>HYPERLINK("https://klasma.github.io/Logging_1981/artfynd/A 54555-2021 artfynd.xlsx", "A 54555-2021")</f>
        <v/>
      </c>
      <c r="T39">
        <f>HYPERLINK("https://klasma.github.io/Logging_1981/kartor/A 54555-2021 karta.png", "A 54555-2021")</f>
        <v/>
      </c>
      <c r="V39">
        <f>HYPERLINK("https://klasma.github.io/Logging_1981/klagomål/A 54555-2021 FSC-klagomål.docx", "A 54555-2021")</f>
        <v/>
      </c>
      <c r="W39">
        <f>HYPERLINK("https://klasma.github.io/Logging_1981/klagomålsmail/A 54555-2021 FSC-klagomål mail.docx", "A 54555-2021")</f>
        <v/>
      </c>
      <c r="X39">
        <f>HYPERLINK("https://klasma.github.io/Logging_1981/tillsyn/A 54555-2021 tillsynsbegäran.docx", "A 54555-2021")</f>
        <v/>
      </c>
      <c r="Y39">
        <f>HYPERLINK("https://klasma.github.io/Logging_1981/tillsynsmail/A 54555-2021 tillsynsbegäran mail.docx", "A 54555-2021")</f>
        <v/>
      </c>
    </row>
    <row r="40" ht="15" customHeight="1">
      <c r="A40" t="inlineStr">
        <is>
          <t>A 73598-2021</t>
        </is>
      </c>
      <c r="B40" s="1" t="n">
        <v>44552</v>
      </c>
      <c r="C40" s="1" t="n">
        <v>45646</v>
      </c>
      <c r="D40" t="inlineStr">
        <is>
          <t>VÄSTMANLANDS LÄN</t>
        </is>
      </c>
      <c r="E40" t="inlineStr">
        <is>
          <t>SALA</t>
        </is>
      </c>
      <c r="G40" t="n">
        <v>1.3</v>
      </c>
      <c r="H40" t="n">
        <v>1</v>
      </c>
      <c r="I40" t="n">
        <v>1</v>
      </c>
      <c r="J40" t="n">
        <v>0</v>
      </c>
      <c r="K40" t="n">
        <v>0</v>
      </c>
      <c r="L40" t="n">
        <v>0</v>
      </c>
      <c r="M40" t="n">
        <v>0</v>
      </c>
      <c r="N40" t="n">
        <v>0</v>
      </c>
      <c r="O40" t="n">
        <v>0</v>
      </c>
      <c r="P40" t="n">
        <v>0</v>
      </c>
      <c r="Q40" t="n">
        <v>2</v>
      </c>
      <c r="R40" s="2" t="inlineStr">
        <is>
          <t>Kryddspindling
Blåsippa</t>
        </is>
      </c>
      <c r="S40">
        <f>HYPERLINK("https://klasma.github.io/Logging_1981/artfynd/A 73598-2021 artfynd.xlsx", "A 73598-2021")</f>
        <v/>
      </c>
      <c r="T40">
        <f>HYPERLINK("https://klasma.github.io/Logging_1981/kartor/A 73598-2021 karta.png", "A 73598-2021")</f>
        <v/>
      </c>
      <c r="V40">
        <f>HYPERLINK("https://klasma.github.io/Logging_1981/klagomål/A 73598-2021 FSC-klagomål.docx", "A 73598-2021")</f>
        <v/>
      </c>
      <c r="W40">
        <f>HYPERLINK("https://klasma.github.io/Logging_1981/klagomålsmail/A 73598-2021 FSC-klagomål mail.docx", "A 73598-2021")</f>
        <v/>
      </c>
      <c r="X40">
        <f>HYPERLINK("https://klasma.github.io/Logging_1981/tillsyn/A 73598-2021 tillsynsbegäran.docx", "A 73598-2021")</f>
        <v/>
      </c>
      <c r="Y40">
        <f>HYPERLINK("https://klasma.github.io/Logging_1981/tillsynsmail/A 73598-2021 tillsynsbegäran mail.docx", "A 73598-2021")</f>
        <v/>
      </c>
    </row>
    <row r="41" ht="15" customHeight="1">
      <c r="A41" t="inlineStr">
        <is>
          <t>A 1500-2022</t>
        </is>
      </c>
      <c r="B41" s="1" t="n">
        <v>44573</v>
      </c>
      <c r="C41" s="1" t="n">
        <v>45646</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40042-2022</t>
        </is>
      </c>
      <c r="B42" s="1" t="n">
        <v>44819</v>
      </c>
      <c r="C42" s="1" t="n">
        <v>45646</v>
      </c>
      <c r="D42" t="inlineStr">
        <is>
          <t>VÄSTMANLANDS LÄN</t>
        </is>
      </c>
      <c r="E42" t="inlineStr">
        <is>
          <t>SALA</t>
        </is>
      </c>
      <c r="G42" t="n">
        <v>1.7</v>
      </c>
      <c r="H42" t="n">
        <v>2</v>
      </c>
      <c r="I42" t="n">
        <v>0</v>
      </c>
      <c r="J42" t="n">
        <v>0</v>
      </c>
      <c r="K42" t="n">
        <v>1</v>
      </c>
      <c r="L42" t="n">
        <v>0</v>
      </c>
      <c r="M42" t="n">
        <v>0</v>
      </c>
      <c r="N42" t="n">
        <v>0</v>
      </c>
      <c r="O42" t="n">
        <v>1</v>
      </c>
      <c r="P42" t="n">
        <v>1</v>
      </c>
      <c r="Q42" t="n">
        <v>2</v>
      </c>
      <c r="R42" s="2" t="inlineStr">
        <is>
          <t>Knärot
Revlummer</t>
        </is>
      </c>
      <c r="S42">
        <f>HYPERLINK("https://klasma.github.io/Logging_1981/artfynd/A 40042-2022 artfynd.xlsx", "A 40042-2022")</f>
        <v/>
      </c>
      <c r="T42">
        <f>HYPERLINK("https://klasma.github.io/Logging_1981/kartor/A 40042-2022 karta.png", "A 40042-2022")</f>
        <v/>
      </c>
      <c r="U42">
        <f>HYPERLINK("https://klasma.github.io/Logging_1981/knärot/A 40042-2022 karta knärot.png", "A 40042-2022")</f>
        <v/>
      </c>
      <c r="V42">
        <f>HYPERLINK("https://klasma.github.io/Logging_1981/klagomål/A 40042-2022 FSC-klagomål.docx", "A 40042-2022")</f>
        <v/>
      </c>
      <c r="W42">
        <f>HYPERLINK("https://klasma.github.io/Logging_1981/klagomålsmail/A 40042-2022 FSC-klagomål mail.docx", "A 40042-2022")</f>
        <v/>
      </c>
      <c r="X42">
        <f>HYPERLINK("https://klasma.github.io/Logging_1981/tillsyn/A 40042-2022 tillsynsbegäran.docx", "A 40042-2022")</f>
        <v/>
      </c>
      <c r="Y42">
        <f>HYPERLINK("https://klasma.github.io/Logging_1981/tillsynsmail/A 40042-2022 tillsynsbegäran mail.docx", "A 40042-2022")</f>
        <v/>
      </c>
    </row>
    <row r="43" ht="15" customHeight="1">
      <c r="A43" t="inlineStr">
        <is>
          <t>A 52909-2022</t>
        </is>
      </c>
      <c r="B43" s="1" t="n">
        <v>44875</v>
      </c>
      <c r="C43" s="1" t="n">
        <v>45646</v>
      </c>
      <c r="D43" t="inlineStr">
        <is>
          <t>VÄSTMANLANDS LÄN</t>
        </is>
      </c>
      <c r="E43" t="inlineStr">
        <is>
          <t>SALA</t>
        </is>
      </c>
      <c r="G43" t="n">
        <v>0.5</v>
      </c>
      <c r="H43" t="n">
        <v>1</v>
      </c>
      <c r="I43" t="n">
        <v>0</v>
      </c>
      <c r="J43" t="n">
        <v>1</v>
      </c>
      <c r="K43" t="n">
        <v>0</v>
      </c>
      <c r="L43" t="n">
        <v>0</v>
      </c>
      <c r="M43" t="n">
        <v>0</v>
      </c>
      <c r="N43" t="n">
        <v>0</v>
      </c>
      <c r="O43" t="n">
        <v>1</v>
      </c>
      <c r="P43" t="n">
        <v>0</v>
      </c>
      <c r="Q43" t="n">
        <v>2</v>
      </c>
      <c r="R43" s="2" t="inlineStr">
        <is>
          <t>Svinrot
Nattviol</t>
        </is>
      </c>
      <c r="S43">
        <f>HYPERLINK("https://klasma.github.io/Logging_1981/artfynd/A 52909-2022 artfynd.xlsx", "A 52909-2022")</f>
        <v/>
      </c>
      <c r="T43">
        <f>HYPERLINK("https://klasma.github.io/Logging_1981/kartor/A 52909-2022 karta.png", "A 52909-2022")</f>
        <v/>
      </c>
      <c r="V43">
        <f>HYPERLINK("https://klasma.github.io/Logging_1981/klagomål/A 52909-2022 FSC-klagomål.docx", "A 52909-2022")</f>
        <v/>
      </c>
      <c r="W43">
        <f>HYPERLINK("https://klasma.github.io/Logging_1981/klagomålsmail/A 52909-2022 FSC-klagomål mail.docx", "A 52909-2022")</f>
        <v/>
      </c>
      <c r="X43">
        <f>HYPERLINK("https://klasma.github.io/Logging_1981/tillsyn/A 52909-2022 tillsynsbegäran.docx", "A 52909-2022")</f>
        <v/>
      </c>
      <c r="Y43">
        <f>HYPERLINK("https://klasma.github.io/Logging_1981/tillsynsmail/A 52909-2022 tillsynsbegäran mail.docx", "A 52909-2022")</f>
        <v/>
      </c>
    </row>
    <row r="44" ht="15" customHeight="1">
      <c r="A44" t="inlineStr">
        <is>
          <t>A 7747-2023</t>
        </is>
      </c>
      <c r="B44" s="1" t="n">
        <v>44973</v>
      </c>
      <c r="C44" s="1" t="n">
        <v>45646</v>
      </c>
      <c r="D44" t="inlineStr">
        <is>
          <t>VÄSTMANLANDS LÄN</t>
        </is>
      </c>
      <c r="E44" t="inlineStr">
        <is>
          <t>SALA</t>
        </is>
      </c>
      <c r="F44" t="inlineStr">
        <is>
          <t>Övriga Aktiebolag</t>
        </is>
      </c>
      <c r="G44" t="n">
        <v>3.1</v>
      </c>
      <c r="H44" t="n">
        <v>1</v>
      </c>
      <c r="I44" t="n">
        <v>0</v>
      </c>
      <c r="J44" t="n">
        <v>2</v>
      </c>
      <c r="K44" t="n">
        <v>0</v>
      </c>
      <c r="L44" t="n">
        <v>0</v>
      </c>
      <c r="M44" t="n">
        <v>0</v>
      </c>
      <c r="N44" t="n">
        <v>0</v>
      </c>
      <c r="O44" t="n">
        <v>2</v>
      </c>
      <c r="P44" t="n">
        <v>0</v>
      </c>
      <c r="Q44" t="n">
        <v>2</v>
      </c>
      <c r="R44" s="2" t="inlineStr">
        <is>
          <t>Mindre timmerman
Talltita</t>
        </is>
      </c>
      <c r="S44">
        <f>HYPERLINK("https://klasma.github.io/Logging_1981/artfynd/A 7747-2023 artfynd.xlsx", "A 7747-2023")</f>
        <v/>
      </c>
      <c r="T44">
        <f>HYPERLINK("https://klasma.github.io/Logging_1981/kartor/A 7747-2023 karta.png", "A 7747-2023")</f>
        <v/>
      </c>
      <c r="V44">
        <f>HYPERLINK("https://klasma.github.io/Logging_1981/klagomål/A 7747-2023 FSC-klagomål.docx", "A 7747-2023")</f>
        <v/>
      </c>
      <c r="W44">
        <f>HYPERLINK("https://klasma.github.io/Logging_1981/klagomålsmail/A 7747-2023 FSC-klagomål mail.docx", "A 7747-2023")</f>
        <v/>
      </c>
      <c r="X44">
        <f>HYPERLINK("https://klasma.github.io/Logging_1981/tillsyn/A 7747-2023 tillsynsbegäran.docx", "A 7747-2023")</f>
        <v/>
      </c>
      <c r="Y44">
        <f>HYPERLINK("https://klasma.github.io/Logging_1981/tillsynsmail/A 7747-2023 tillsynsbegäran mail.docx", "A 7747-2023")</f>
        <v/>
      </c>
      <c r="Z44">
        <f>HYPERLINK("https://klasma.github.io/Logging_1981/fåglar/A 7747-2023 prioriterade fågelarter.docx", "A 7747-2023")</f>
        <v/>
      </c>
    </row>
    <row r="45" ht="15" customHeight="1">
      <c r="A45" t="inlineStr">
        <is>
          <t>A 13029-2023</t>
        </is>
      </c>
      <c r="B45" s="1" t="n">
        <v>45001</v>
      </c>
      <c r="C45" s="1" t="n">
        <v>45646</v>
      </c>
      <c r="D45" t="inlineStr">
        <is>
          <t>VÄSTMANLANDS LÄN</t>
        </is>
      </c>
      <c r="E45" t="inlineStr">
        <is>
          <t>SALA</t>
        </is>
      </c>
      <c r="G45" t="n">
        <v>2</v>
      </c>
      <c r="H45" t="n">
        <v>0</v>
      </c>
      <c r="I45" t="n">
        <v>0</v>
      </c>
      <c r="J45" t="n">
        <v>2</v>
      </c>
      <c r="K45" t="n">
        <v>0</v>
      </c>
      <c r="L45" t="n">
        <v>0</v>
      </c>
      <c r="M45" t="n">
        <v>0</v>
      </c>
      <c r="N45" t="n">
        <v>0</v>
      </c>
      <c r="O45" t="n">
        <v>2</v>
      </c>
      <c r="P45" t="n">
        <v>0</v>
      </c>
      <c r="Q45" t="n">
        <v>2</v>
      </c>
      <c r="R45" s="2" t="inlineStr">
        <is>
          <t>Krusfrö
Linmåra/småsnärjmåra</t>
        </is>
      </c>
      <c r="S45">
        <f>HYPERLINK("https://klasma.github.io/Logging_1981/artfynd/A 13029-2023 artfynd.xlsx", "A 13029-2023")</f>
        <v/>
      </c>
      <c r="T45">
        <f>HYPERLINK("https://klasma.github.io/Logging_1981/kartor/A 13029-2023 karta.png", "A 13029-2023")</f>
        <v/>
      </c>
      <c r="V45">
        <f>HYPERLINK("https://klasma.github.io/Logging_1981/klagomål/A 13029-2023 FSC-klagomål.docx", "A 13029-2023")</f>
        <v/>
      </c>
      <c r="W45">
        <f>HYPERLINK("https://klasma.github.io/Logging_1981/klagomålsmail/A 13029-2023 FSC-klagomål mail.docx", "A 13029-2023")</f>
        <v/>
      </c>
      <c r="X45">
        <f>HYPERLINK("https://klasma.github.io/Logging_1981/tillsyn/A 13029-2023 tillsynsbegäran.docx", "A 13029-2023")</f>
        <v/>
      </c>
      <c r="Y45">
        <f>HYPERLINK("https://klasma.github.io/Logging_1981/tillsynsmail/A 13029-2023 tillsynsbegäran mail.docx", "A 13029-2023")</f>
        <v/>
      </c>
    </row>
    <row r="46" ht="15" customHeight="1">
      <c r="A46" t="inlineStr">
        <is>
          <t>A 27499-2023</t>
        </is>
      </c>
      <c r="B46" s="1" t="n">
        <v>45097</v>
      </c>
      <c r="C46" s="1" t="n">
        <v>45646</v>
      </c>
      <c r="D46" t="inlineStr">
        <is>
          <t>VÄSTMANLANDS LÄN</t>
        </is>
      </c>
      <c r="E46" t="inlineStr">
        <is>
          <t>SALA</t>
        </is>
      </c>
      <c r="G46" t="n">
        <v>9.5</v>
      </c>
      <c r="H46" t="n">
        <v>0</v>
      </c>
      <c r="I46" t="n">
        <v>1</v>
      </c>
      <c r="J46" t="n">
        <v>1</v>
      </c>
      <c r="K46" t="n">
        <v>0</v>
      </c>
      <c r="L46" t="n">
        <v>0</v>
      </c>
      <c r="M46" t="n">
        <v>0</v>
      </c>
      <c r="N46" t="n">
        <v>0</v>
      </c>
      <c r="O46" t="n">
        <v>1</v>
      </c>
      <c r="P46" t="n">
        <v>0</v>
      </c>
      <c r="Q46" t="n">
        <v>2</v>
      </c>
      <c r="R46" s="2" t="inlineStr">
        <is>
          <t>Motaggsvamp
Dropptaggsvamp</t>
        </is>
      </c>
      <c r="S46">
        <f>HYPERLINK("https://klasma.github.io/Logging_1981/artfynd/A 27499-2023 artfynd.xlsx", "A 27499-2023")</f>
        <v/>
      </c>
      <c r="T46">
        <f>HYPERLINK("https://klasma.github.io/Logging_1981/kartor/A 27499-2023 karta.png", "A 27499-2023")</f>
        <v/>
      </c>
      <c r="V46">
        <f>HYPERLINK("https://klasma.github.io/Logging_1981/klagomål/A 27499-2023 FSC-klagomål.docx", "A 27499-2023")</f>
        <v/>
      </c>
      <c r="W46">
        <f>HYPERLINK("https://klasma.github.io/Logging_1981/klagomålsmail/A 27499-2023 FSC-klagomål mail.docx", "A 27499-2023")</f>
        <v/>
      </c>
      <c r="X46">
        <f>HYPERLINK("https://klasma.github.io/Logging_1981/tillsyn/A 27499-2023 tillsynsbegäran.docx", "A 27499-2023")</f>
        <v/>
      </c>
      <c r="Y46">
        <f>HYPERLINK("https://klasma.github.io/Logging_1981/tillsynsmail/A 27499-2023 tillsynsbegäran mail.docx", "A 27499-2023")</f>
        <v/>
      </c>
    </row>
    <row r="47" ht="15" customHeight="1">
      <c r="A47" t="inlineStr">
        <is>
          <t>A 34752-2023</t>
        </is>
      </c>
      <c r="B47" s="1" t="n">
        <v>45141</v>
      </c>
      <c r="C47" s="1" t="n">
        <v>45646</v>
      </c>
      <c r="D47" t="inlineStr">
        <is>
          <t>VÄSTMANLANDS LÄN</t>
        </is>
      </c>
      <c r="E47" t="inlineStr">
        <is>
          <t>SALA</t>
        </is>
      </c>
      <c r="G47" t="n">
        <v>4.9</v>
      </c>
      <c r="H47" t="n">
        <v>1</v>
      </c>
      <c r="I47" t="n">
        <v>0</v>
      </c>
      <c r="J47" t="n">
        <v>0</v>
      </c>
      <c r="K47" t="n">
        <v>2</v>
      </c>
      <c r="L47" t="n">
        <v>0</v>
      </c>
      <c r="M47" t="n">
        <v>0</v>
      </c>
      <c r="N47" t="n">
        <v>0</v>
      </c>
      <c r="O47" t="n">
        <v>2</v>
      </c>
      <c r="P47" t="n">
        <v>2</v>
      </c>
      <c r="Q47" t="n">
        <v>2</v>
      </c>
      <c r="R47" s="2" t="inlineStr">
        <is>
          <t>Knärot
Sprickporing</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row>
    <row r="48" ht="15" customHeight="1">
      <c r="A48" t="inlineStr">
        <is>
          <t>A 59780-2023</t>
        </is>
      </c>
      <c r="B48" s="1" t="n">
        <v>45257</v>
      </c>
      <c r="C48" s="1" t="n">
        <v>45646</v>
      </c>
      <c r="D48" t="inlineStr">
        <is>
          <t>VÄSTMANLANDS LÄN</t>
        </is>
      </c>
      <c r="E48" t="inlineStr">
        <is>
          <t>SALA</t>
        </is>
      </c>
      <c r="G48" t="n">
        <v>5.9</v>
      </c>
      <c r="H48" t="n">
        <v>1</v>
      </c>
      <c r="I48" t="n">
        <v>0</v>
      </c>
      <c r="J48" t="n">
        <v>1</v>
      </c>
      <c r="K48" t="n">
        <v>1</v>
      </c>
      <c r="L48" t="n">
        <v>0</v>
      </c>
      <c r="M48" t="n">
        <v>0</v>
      </c>
      <c r="N48" t="n">
        <v>0</v>
      </c>
      <c r="O48" t="n">
        <v>2</v>
      </c>
      <c r="P48" t="n">
        <v>1</v>
      </c>
      <c r="Q48" t="n">
        <v>2</v>
      </c>
      <c r="R48" s="2" t="inlineStr">
        <is>
          <t>Knärot
Vedtrappmossa</t>
        </is>
      </c>
      <c r="S48">
        <f>HYPERLINK("https://klasma.github.io/Logging_1981/artfynd/A 59780-2023 artfynd.xlsx", "A 59780-2023")</f>
        <v/>
      </c>
      <c r="T48">
        <f>HYPERLINK("https://klasma.github.io/Logging_1981/kartor/A 59780-2023 karta.png", "A 59780-2023")</f>
        <v/>
      </c>
      <c r="U48">
        <f>HYPERLINK("https://klasma.github.io/Logging_1981/knärot/A 59780-2023 karta knärot.png", "A 59780-2023")</f>
        <v/>
      </c>
      <c r="V48">
        <f>HYPERLINK("https://klasma.github.io/Logging_1981/klagomål/A 59780-2023 FSC-klagomål.docx", "A 59780-2023")</f>
        <v/>
      </c>
      <c r="W48">
        <f>HYPERLINK("https://klasma.github.io/Logging_1981/klagomålsmail/A 59780-2023 FSC-klagomål mail.docx", "A 59780-2023")</f>
        <v/>
      </c>
      <c r="X48">
        <f>HYPERLINK("https://klasma.github.io/Logging_1981/tillsyn/A 59780-2023 tillsynsbegäran.docx", "A 59780-2023")</f>
        <v/>
      </c>
      <c r="Y48">
        <f>HYPERLINK("https://klasma.github.io/Logging_1981/tillsynsmail/A 59780-2023 tillsynsbegäran mail.docx", "A 59780-2023")</f>
        <v/>
      </c>
    </row>
    <row r="49" ht="15" customHeight="1">
      <c r="A49" t="inlineStr">
        <is>
          <t>A 4261-2024</t>
        </is>
      </c>
      <c r="B49" s="1" t="n">
        <v>45324</v>
      </c>
      <c r="C49" s="1" t="n">
        <v>45646</v>
      </c>
      <c r="D49" t="inlineStr">
        <is>
          <t>VÄSTMANLANDS LÄN</t>
        </is>
      </c>
      <c r="E49" t="inlineStr">
        <is>
          <t>SALA</t>
        </is>
      </c>
      <c r="G49" t="n">
        <v>5.7</v>
      </c>
      <c r="H49" t="n">
        <v>0</v>
      </c>
      <c r="I49" t="n">
        <v>1</v>
      </c>
      <c r="J49" t="n">
        <v>1</v>
      </c>
      <c r="K49" t="n">
        <v>0</v>
      </c>
      <c r="L49" t="n">
        <v>0</v>
      </c>
      <c r="M49" t="n">
        <v>0</v>
      </c>
      <c r="N49" t="n">
        <v>0</v>
      </c>
      <c r="O49" t="n">
        <v>1</v>
      </c>
      <c r="P49" t="n">
        <v>0</v>
      </c>
      <c r="Q49" t="n">
        <v>2</v>
      </c>
      <c r="R49" s="2" t="inlineStr">
        <is>
          <t>Ullticka
Västlig hakmossa</t>
        </is>
      </c>
      <c r="S49">
        <f>HYPERLINK("https://klasma.github.io/Logging_1981/artfynd/A 4261-2024 artfynd.xlsx", "A 4261-2024")</f>
        <v/>
      </c>
      <c r="T49">
        <f>HYPERLINK("https://klasma.github.io/Logging_1981/kartor/A 4261-2024 karta.png", "A 4261-2024")</f>
        <v/>
      </c>
      <c r="V49">
        <f>HYPERLINK("https://klasma.github.io/Logging_1981/klagomål/A 4261-2024 FSC-klagomål.docx", "A 4261-2024")</f>
        <v/>
      </c>
      <c r="W49">
        <f>HYPERLINK("https://klasma.github.io/Logging_1981/klagomålsmail/A 4261-2024 FSC-klagomål mail.docx", "A 4261-2024")</f>
        <v/>
      </c>
      <c r="X49">
        <f>HYPERLINK("https://klasma.github.io/Logging_1981/tillsyn/A 4261-2024 tillsynsbegäran.docx", "A 4261-2024")</f>
        <v/>
      </c>
      <c r="Y49">
        <f>HYPERLINK("https://klasma.github.io/Logging_1981/tillsynsmail/A 4261-2024 tillsynsbegäran mail.docx", "A 4261-2024")</f>
        <v/>
      </c>
    </row>
    <row r="50" ht="15" customHeight="1">
      <c r="A50" t="inlineStr">
        <is>
          <t>A 9921-2024</t>
        </is>
      </c>
      <c r="B50" s="1" t="n">
        <v>45363</v>
      </c>
      <c r="C50" s="1" t="n">
        <v>45646</v>
      </c>
      <c r="D50" t="inlineStr">
        <is>
          <t>VÄSTMANLANDS LÄN</t>
        </is>
      </c>
      <c r="E50" t="inlineStr">
        <is>
          <t>SALA</t>
        </is>
      </c>
      <c r="G50" t="n">
        <v>5.6</v>
      </c>
      <c r="H50" t="n">
        <v>0</v>
      </c>
      <c r="I50" t="n">
        <v>1</v>
      </c>
      <c r="J50" t="n">
        <v>1</v>
      </c>
      <c r="K50" t="n">
        <v>0</v>
      </c>
      <c r="L50" t="n">
        <v>0</v>
      </c>
      <c r="M50" t="n">
        <v>0</v>
      </c>
      <c r="N50" t="n">
        <v>0</v>
      </c>
      <c r="O50" t="n">
        <v>1</v>
      </c>
      <c r="P50" t="n">
        <v>0</v>
      </c>
      <c r="Q50" t="n">
        <v>2</v>
      </c>
      <c r="R50" s="2" t="inlineStr">
        <is>
          <t>Leptoporus erubescens
Vedticka</t>
        </is>
      </c>
      <c r="S50">
        <f>HYPERLINK("https://klasma.github.io/Logging_1981/artfynd/A 9921-2024 artfynd.xlsx", "A 9921-2024")</f>
        <v/>
      </c>
      <c r="T50">
        <f>HYPERLINK("https://klasma.github.io/Logging_1981/kartor/A 9921-2024 karta.png", "A 9921-2024")</f>
        <v/>
      </c>
      <c r="U50">
        <f>HYPERLINK("https://klasma.github.io/Logging_1981/knärot/A 9921-2024 karta knärot.png", "A 9921-2024")</f>
        <v/>
      </c>
      <c r="V50">
        <f>HYPERLINK("https://klasma.github.io/Logging_1981/klagomål/A 9921-2024 FSC-klagomål.docx", "A 9921-2024")</f>
        <v/>
      </c>
      <c r="W50">
        <f>HYPERLINK("https://klasma.github.io/Logging_1981/klagomålsmail/A 9921-2024 FSC-klagomål mail.docx", "A 9921-2024")</f>
        <v/>
      </c>
      <c r="X50">
        <f>HYPERLINK("https://klasma.github.io/Logging_1981/tillsyn/A 9921-2024 tillsynsbegäran.docx", "A 9921-2024")</f>
        <v/>
      </c>
      <c r="Y50">
        <f>HYPERLINK("https://klasma.github.io/Logging_1981/tillsynsmail/A 9921-2024 tillsynsbegäran mail.docx", "A 9921-2024")</f>
        <v/>
      </c>
    </row>
    <row r="51" ht="15" customHeight="1">
      <c r="A51" t="inlineStr">
        <is>
          <t>A 10552-2024</t>
        </is>
      </c>
      <c r="B51" s="1" t="n">
        <v>45366</v>
      </c>
      <c r="C51" s="1" t="n">
        <v>45646</v>
      </c>
      <c r="D51" t="inlineStr">
        <is>
          <t>VÄSTMANLANDS LÄN</t>
        </is>
      </c>
      <c r="E51" t="inlineStr">
        <is>
          <t>SALA</t>
        </is>
      </c>
      <c r="G51" t="n">
        <v>6.5</v>
      </c>
      <c r="H51" t="n">
        <v>2</v>
      </c>
      <c r="I51" t="n">
        <v>1</v>
      </c>
      <c r="J51" t="n">
        <v>0</v>
      </c>
      <c r="K51" t="n">
        <v>0</v>
      </c>
      <c r="L51" t="n">
        <v>0</v>
      </c>
      <c r="M51" t="n">
        <v>0</v>
      </c>
      <c r="N51" t="n">
        <v>0</v>
      </c>
      <c r="O51" t="n">
        <v>0</v>
      </c>
      <c r="P51" t="n">
        <v>0</v>
      </c>
      <c r="Q51" t="n">
        <v>2</v>
      </c>
      <c r="R51" s="2" t="inlineStr">
        <is>
          <t>Plattlummer
Fläcknycklar</t>
        </is>
      </c>
      <c r="S51">
        <f>HYPERLINK("https://klasma.github.io/Logging_1981/artfynd/A 10552-2024 artfynd.xlsx", "A 10552-2024")</f>
        <v/>
      </c>
      <c r="T51">
        <f>HYPERLINK("https://klasma.github.io/Logging_1981/kartor/A 10552-2024 karta.png", "A 10552-2024")</f>
        <v/>
      </c>
      <c r="V51">
        <f>HYPERLINK("https://klasma.github.io/Logging_1981/klagomål/A 10552-2024 FSC-klagomål.docx", "A 10552-2024")</f>
        <v/>
      </c>
      <c r="W51">
        <f>HYPERLINK("https://klasma.github.io/Logging_1981/klagomålsmail/A 10552-2024 FSC-klagomål mail.docx", "A 10552-2024")</f>
        <v/>
      </c>
      <c r="X51">
        <f>HYPERLINK("https://klasma.github.io/Logging_1981/tillsyn/A 10552-2024 tillsynsbegäran.docx", "A 10552-2024")</f>
        <v/>
      </c>
      <c r="Y51">
        <f>HYPERLINK("https://klasma.github.io/Logging_1981/tillsynsmail/A 10552-2024 tillsynsbegäran mail.docx", "A 10552-2024")</f>
        <v/>
      </c>
    </row>
    <row r="52" ht="15" customHeight="1">
      <c r="A52" t="inlineStr">
        <is>
          <t>A 12444-2024</t>
        </is>
      </c>
      <c r="B52" s="1" t="n">
        <v>45379</v>
      </c>
      <c r="C52" s="1" t="n">
        <v>45646</v>
      </c>
      <c r="D52" t="inlineStr">
        <is>
          <t>VÄSTMANLANDS LÄN</t>
        </is>
      </c>
      <c r="E52" t="inlineStr">
        <is>
          <t>SALA</t>
        </is>
      </c>
      <c r="G52" t="n">
        <v>5.5</v>
      </c>
      <c r="H52" t="n">
        <v>0</v>
      </c>
      <c r="I52" t="n">
        <v>1</v>
      </c>
      <c r="J52" t="n">
        <v>1</v>
      </c>
      <c r="K52" t="n">
        <v>0</v>
      </c>
      <c r="L52" t="n">
        <v>0</v>
      </c>
      <c r="M52" t="n">
        <v>0</v>
      </c>
      <c r="N52" t="n">
        <v>0</v>
      </c>
      <c r="O52" t="n">
        <v>1</v>
      </c>
      <c r="P52" t="n">
        <v>0</v>
      </c>
      <c r="Q52" t="n">
        <v>2</v>
      </c>
      <c r="R52" s="2" t="inlineStr">
        <is>
          <t>Ullticka
Stuplav</t>
        </is>
      </c>
      <c r="S52">
        <f>HYPERLINK("https://klasma.github.io/Logging_1981/artfynd/A 12444-2024 artfynd.xlsx", "A 12444-2024")</f>
        <v/>
      </c>
      <c r="T52">
        <f>HYPERLINK("https://klasma.github.io/Logging_1981/kartor/A 12444-2024 karta.png", "A 12444-2024")</f>
        <v/>
      </c>
      <c r="U52">
        <f>HYPERLINK("https://klasma.github.io/Logging_1981/knärot/A 12444-2024 karta knärot.png", "A 12444-2024")</f>
        <v/>
      </c>
      <c r="V52">
        <f>HYPERLINK("https://klasma.github.io/Logging_1981/klagomål/A 12444-2024 FSC-klagomål.docx", "A 12444-2024")</f>
        <v/>
      </c>
      <c r="W52">
        <f>HYPERLINK("https://klasma.github.io/Logging_1981/klagomålsmail/A 12444-2024 FSC-klagomål mail.docx", "A 12444-2024")</f>
        <v/>
      </c>
      <c r="X52">
        <f>HYPERLINK("https://klasma.github.io/Logging_1981/tillsyn/A 12444-2024 tillsynsbegäran.docx", "A 12444-2024")</f>
        <v/>
      </c>
      <c r="Y52">
        <f>HYPERLINK("https://klasma.github.io/Logging_1981/tillsynsmail/A 12444-2024 tillsynsbegäran mail.docx", "A 12444-2024")</f>
        <v/>
      </c>
    </row>
    <row r="53" ht="15" customHeight="1">
      <c r="A53" t="inlineStr">
        <is>
          <t>A 40493-2024</t>
        </is>
      </c>
      <c r="B53" s="1" t="n">
        <v>45555</v>
      </c>
      <c r="C53" s="1" t="n">
        <v>45646</v>
      </c>
      <c r="D53" t="inlineStr">
        <is>
          <t>VÄSTMANLANDS LÄN</t>
        </is>
      </c>
      <c r="E53" t="inlineStr">
        <is>
          <t>SALA</t>
        </is>
      </c>
      <c r="G53" t="n">
        <v>3.8</v>
      </c>
      <c r="H53" t="n">
        <v>0</v>
      </c>
      <c r="I53" t="n">
        <v>1</v>
      </c>
      <c r="J53" t="n">
        <v>1</v>
      </c>
      <c r="K53" t="n">
        <v>0</v>
      </c>
      <c r="L53" t="n">
        <v>0</v>
      </c>
      <c r="M53" t="n">
        <v>0</v>
      </c>
      <c r="N53" t="n">
        <v>0</v>
      </c>
      <c r="O53" t="n">
        <v>1</v>
      </c>
      <c r="P53" t="n">
        <v>0</v>
      </c>
      <c r="Q53" t="n">
        <v>2</v>
      </c>
      <c r="R53" s="2" t="inlineStr">
        <is>
          <t>Vedskivlav
Dropptaggsvamp</t>
        </is>
      </c>
      <c r="S53">
        <f>HYPERLINK("https://klasma.github.io/Logging_1981/artfynd/A 40493-2024 artfynd.xlsx", "A 40493-2024")</f>
        <v/>
      </c>
      <c r="T53">
        <f>HYPERLINK("https://klasma.github.io/Logging_1981/kartor/A 40493-2024 karta.png", "A 40493-2024")</f>
        <v/>
      </c>
      <c r="V53">
        <f>HYPERLINK("https://klasma.github.io/Logging_1981/klagomål/A 40493-2024 FSC-klagomål.docx", "A 40493-2024")</f>
        <v/>
      </c>
      <c r="W53">
        <f>HYPERLINK("https://klasma.github.io/Logging_1981/klagomålsmail/A 40493-2024 FSC-klagomål mail.docx", "A 40493-2024")</f>
        <v/>
      </c>
      <c r="X53">
        <f>HYPERLINK("https://klasma.github.io/Logging_1981/tillsyn/A 40493-2024 tillsynsbegäran.docx", "A 40493-2024")</f>
        <v/>
      </c>
      <c r="Y53">
        <f>HYPERLINK("https://klasma.github.io/Logging_1981/tillsynsmail/A 40493-2024 tillsynsbegäran mail.docx", "A 40493-2024")</f>
        <v/>
      </c>
    </row>
    <row r="54" ht="15" customHeight="1">
      <c r="A54" t="inlineStr">
        <is>
          <t>A 47716-2019</t>
        </is>
      </c>
      <c r="B54" s="1" t="n">
        <v>43724</v>
      </c>
      <c r="C54" s="1" t="n">
        <v>45646</v>
      </c>
      <c r="D54" t="inlineStr">
        <is>
          <t>VÄSTMANLANDS LÄN</t>
        </is>
      </c>
      <c r="E54" t="inlineStr">
        <is>
          <t>SALA</t>
        </is>
      </c>
      <c r="G54" t="n">
        <v>5</v>
      </c>
      <c r="H54" t="n">
        <v>0</v>
      </c>
      <c r="I54" t="n">
        <v>0</v>
      </c>
      <c r="J54" t="n">
        <v>0</v>
      </c>
      <c r="K54" t="n">
        <v>0</v>
      </c>
      <c r="L54" t="n">
        <v>0</v>
      </c>
      <c r="M54" t="n">
        <v>1</v>
      </c>
      <c r="N54" t="n">
        <v>0</v>
      </c>
      <c r="O54" t="n">
        <v>1</v>
      </c>
      <c r="P54" t="n">
        <v>1</v>
      </c>
      <c r="Q54" t="n">
        <v>1</v>
      </c>
      <c r="R54" s="2" t="inlineStr">
        <is>
          <t>Skogsalm</t>
        </is>
      </c>
      <c r="S54">
        <f>HYPERLINK("https://klasma.github.io/Logging_1981/artfynd/A 47716-2019 artfynd.xlsx", "A 47716-2019")</f>
        <v/>
      </c>
      <c r="T54">
        <f>HYPERLINK("https://klasma.github.io/Logging_1981/kartor/A 47716-2019 karta.png", "A 47716-2019")</f>
        <v/>
      </c>
      <c r="V54">
        <f>HYPERLINK("https://klasma.github.io/Logging_1981/klagomål/A 47716-2019 FSC-klagomål.docx", "A 47716-2019")</f>
        <v/>
      </c>
      <c r="W54">
        <f>HYPERLINK("https://klasma.github.io/Logging_1981/klagomålsmail/A 47716-2019 FSC-klagomål mail.docx", "A 47716-2019")</f>
        <v/>
      </c>
      <c r="X54">
        <f>HYPERLINK("https://klasma.github.io/Logging_1981/tillsyn/A 47716-2019 tillsynsbegäran.docx", "A 47716-2019")</f>
        <v/>
      </c>
      <c r="Y54">
        <f>HYPERLINK("https://klasma.github.io/Logging_1981/tillsynsmail/A 47716-2019 tillsynsbegäran mail.docx", "A 47716-2019")</f>
        <v/>
      </c>
    </row>
    <row r="55" ht="15" customHeight="1">
      <c r="A55" t="inlineStr">
        <is>
          <t>A 52753-2019</t>
        </is>
      </c>
      <c r="B55" s="1" t="n">
        <v>43739</v>
      </c>
      <c r="C55" s="1" t="n">
        <v>45646</v>
      </c>
      <c r="D55" t="inlineStr">
        <is>
          <t>VÄSTMANLANDS LÄN</t>
        </is>
      </c>
      <c r="E55" t="inlineStr">
        <is>
          <t>SALA</t>
        </is>
      </c>
      <c r="G55" t="n">
        <v>4.9</v>
      </c>
      <c r="H55" t="n">
        <v>1</v>
      </c>
      <c r="I55" t="n">
        <v>0</v>
      </c>
      <c r="J55" t="n">
        <v>0</v>
      </c>
      <c r="K55" t="n">
        <v>1</v>
      </c>
      <c r="L55" t="n">
        <v>0</v>
      </c>
      <c r="M55" t="n">
        <v>0</v>
      </c>
      <c r="N55" t="n">
        <v>0</v>
      </c>
      <c r="O55" t="n">
        <v>1</v>
      </c>
      <c r="P55" t="n">
        <v>1</v>
      </c>
      <c r="Q55" t="n">
        <v>1</v>
      </c>
      <c r="R55" s="2" t="inlineStr">
        <is>
          <t>Knärot</t>
        </is>
      </c>
      <c r="S55">
        <f>HYPERLINK("https://klasma.github.io/Logging_1981/artfynd/A 52753-2019 artfynd.xlsx", "A 52753-2019")</f>
        <v/>
      </c>
      <c r="T55">
        <f>HYPERLINK("https://klasma.github.io/Logging_1981/kartor/A 52753-2019 karta.png", "A 52753-2019")</f>
        <v/>
      </c>
      <c r="U55">
        <f>HYPERLINK("https://klasma.github.io/Logging_1981/knärot/A 52753-2019 karta knärot.png", "A 52753-2019")</f>
        <v/>
      </c>
      <c r="V55">
        <f>HYPERLINK("https://klasma.github.io/Logging_1981/klagomål/A 52753-2019 FSC-klagomål.docx", "A 52753-2019")</f>
        <v/>
      </c>
      <c r="W55">
        <f>HYPERLINK("https://klasma.github.io/Logging_1981/klagomålsmail/A 52753-2019 FSC-klagomål mail.docx", "A 52753-2019")</f>
        <v/>
      </c>
      <c r="X55">
        <f>HYPERLINK("https://klasma.github.io/Logging_1981/tillsyn/A 52753-2019 tillsynsbegäran.docx", "A 52753-2019")</f>
        <v/>
      </c>
      <c r="Y55">
        <f>HYPERLINK("https://klasma.github.io/Logging_1981/tillsynsmail/A 52753-2019 tillsynsbegäran mail.docx", "A 52753-2019")</f>
        <v/>
      </c>
    </row>
    <row r="56" ht="15" customHeight="1">
      <c r="A56" t="inlineStr">
        <is>
          <t>A 8432-2020</t>
        </is>
      </c>
      <c r="B56" s="1" t="n">
        <v>43875</v>
      </c>
      <c r="C56" s="1" t="n">
        <v>45646</v>
      </c>
      <c r="D56" t="inlineStr">
        <is>
          <t>VÄSTMANLANDS LÄN</t>
        </is>
      </c>
      <c r="E56" t="inlineStr">
        <is>
          <t>SALA</t>
        </is>
      </c>
      <c r="G56" t="n">
        <v>2</v>
      </c>
      <c r="H56" t="n">
        <v>1</v>
      </c>
      <c r="I56" t="n">
        <v>0</v>
      </c>
      <c r="J56" t="n">
        <v>0</v>
      </c>
      <c r="K56" t="n">
        <v>1</v>
      </c>
      <c r="L56" t="n">
        <v>0</v>
      </c>
      <c r="M56" t="n">
        <v>0</v>
      </c>
      <c r="N56" t="n">
        <v>0</v>
      </c>
      <c r="O56" t="n">
        <v>1</v>
      </c>
      <c r="P56" t="n">
        <v>1</v>
      </c>
      <c r="Q56" t="n">
        <v>1</v>
      </c>
      <c r="R56" s="2" t="inlineStr">
        <is>
          <t>Bombmurkla</t>
        </is>
      </c>
      <c r="S56">
        <f>HYPERLINK("https://klasma.github.io/Logging_1981/artfynd/A 8432-2020 artfynd.xlsx", "A 8432-2020")</f>
        <v/>
      </c>
      <c r="T56">
        <f>HYPERLINK("https://klasma.github.io/Logging_1981/kartor/A 8432-2020 karta.png", "A 8432-2020")</f>
        <v/>
      </c>
      <c r="V56">
        <f>HYPERLINK("https://klasma.github.io/Logging_1981/klagomål/A 8432-2020 FSC-klagomål.docx", "A 8432-2020")</f>
        <v/>
      </c>
      <c r="W56">
        <f>HYPERLINK("https://klasma.github.io/Logging_1981/klagomålsmail/A 8432-2020 FSC-klagomål mail.docx", "A 8432-2020")</f>
        <v/>
      </c>
      <c r="X56">
        <f>HYPERLINK("https://klasma.github.io/Logging_1981/tillsyn/A 8432-2020 tillsynsbegäran.docx", "A 8432-2020")</f>
        <v/>
      </c>
      <c r="Y56">
        <f>HYPERLINK("https://klasma.github.io/Logging_1981/tillsynsmail/A 8432-2020 tillsynsbegäran mail.docx", "A 8432-2020")</f>
        <v/>
      </c>
    </row>
    <row r="57" ht="15" customHeight="1">
      <c r="A57" t="inlineStr">
        <is>
          <t>A 13671-2020</t>
        </is>
      </c>
      <c r="B57" s="1" t="n">
        <v>43903</v>
      </c>
      <c r="C57" s="1" t="n">
        <v>45646</v>
      </c>
      <c r="D57" t="inlineStr">
        <is>
          <t>VÄSTMANLANDS LÄN</t>
        </is>
      </c>
      <c r="E57" t="inlineStr">
        <is>
          <t>SALA</t>
        </is>
      </c>
      <c r="G57" t="n">
        <v>2.5</v>
      </c>
      <c r="H57" t="n">
        <v>1</v>
      </c>
      <c r="I57" t="n">
        <v>0</v>
      </c>
      <c r="J57" t="n">
        <v>0</v>
      </c>
      <c r="K57" t="n">
        <v>0</v>
      </c>
      <c r="L57" t="n">
        <v>0</v>
      </c>
      <c r="M57" t="n">
        <v>0</v>
      </c>
      <c r="N57" t="n">
        <v>0</v>
      </c>
      <c r="O57" t="n">
        <v>0</v>
      </c>
      <c r="P57" t="n">
        <v>0</v>
      </c>
      <c r="Q57" t="n">
        <v>1</v>
      </c>
      <c r="R57" s="2" t="inlineStr">
        <is>
          <t>Revlummer</t>
        </is>
      </c>
      <c r="S57">
        <f>HYPERLINK("https://klasma.github.io/Logging_1981/artfynd/A 13671-2020 artfynd.xlsx", "A 13671-2020")</f>
        <v/>
      </c>
      <c r="T57">
        <f>HYPERLINK("https://klasma.github.io/Logging_1981/kartor/A 13671-2020 karta.png", "A 13671-2020")</f>
        <v/>
      </c>
      <c r="V57">
        <f>HYPERLINK("https://klasma.github.io/Logging_1981/klagomål/A 13671-2020 FSC-klagomål.docx", "A 13671-2020")</f>
        <v/>
      </c>
      <c r="W57">
        <f>HYPERLINK("https://klasma.github.io/Logging_1981/klagomålsmail/A 13671-2020 FSC-klagomål mail.docx", "A 13671-2020")</f>
        <v/>
      </c>
      <c r="X57">
        <f>HYPERLINK("https://klasma.github.io/Logging_1981/tillsyn/A 13671-2020 tillsynsbegäran.docx", "A 13671-2020")</f>
        <v/>
      </c>
      <c r="Y57">
        <f>HYPERLINK("https://klasma.github.io/Logging_1981/tillsynsmail/A 13671-2020 tillsynsbegäran mail.docx", "A 13671-2020")</f>
        <v/>
      </c>
    </row>
    <row r="58" ht="15" customHeight="1">
      <c r="A58" t="inlineStr">
        <is>
          <t>A 39800-2020</t>
        </is>
      </c>
      <c r="B58" s="1" t="n">
        <v>44067</v>
      </c>
      <c r="C58" s="1" t="n">
        <v>45646</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39800-2020 artfynd.xlsx", "A 39800-2020")</f>
        <v/>
      </c>
      <c r="T58">
        <f>HYPERLINK("https://klasma.github.io/Logging_1981/kartor/A 39800-2020 karta.png", "A 39800-2020")</f>
        <v/>
      </c>
      <c r="V58">
        <f>HYPERLINK("https://klasma.github.io/Logging_1981/klagomål/A 39800-2020 FSC-klagomål.docx", "A 39800-2020")</f>
        <v/>
      </c>
      <c r="W58">
        <f>HYPERLINK("https://klasma.github.io/Logging_1981/klagomålsmail/A 39800-2020 FSC-klagomål mail.docx", "A 39800-2020")</f>
        <v/>
      </c>
      <c r="X58">
        <f>HYPERLINK("https://klasma.github.io/Logging_1981/tillsyn/A 39800-2020 tillsynsbegäran.docx", "A 39800-2020")</f>
        <v/>
      </c>
      <c r="Y58">
        <f>HYPERLINK("https://klasma.github.io/Logging_1981/tillsynsmail/A 39800-2020 tillsynsbegäran mail.docx", "A 39800-2020")</f>
        <v/>
      </c>
    </row>
    <row r="59" ht="15" customHeight="1">
      <c r="A59" t="inlineStr">
        <is>
          <t>A 39807-2020</t>
        </is>
      </c>
      <c r="B59" s="1" t="n">
        <v>44067</v>
      </c>
      <c r="C59" s="1" t="n">
        <v>45646</v>
      </c>
      <c r="D59" t="inlineStr">
        <is>
          <t>VÄSTMANLANDS LÄN</t>
        </is>
      </c>
      <c r="E59" t="inlineStr">
        <is>
          <t>SALA</t>
        </is>
      </c>
      <c r="F59" t="inlineStr">
        <is>
          <t>Sveaskog</t>
        </is>
      </c>
      <c r="G59" t="n">
        <v>1.8</v>
      </c>
      <c r="H59" t="n">
        <v>1</v>
      </c>
      <c r="I59" t="n">
        <v>0</v>
      </c>
      <c r="J59" t="n">
        <v>0</v>
      </c>
      <c r="K59" t="n">
        <v>1</v>
      </c>
      <c r="L59" t="n">
        <v>0</v>
      </c>
      <c r="M59" t="n">
        <v>0</v>
      </c>
      <c r="N59" t="n">
        <v>0</v>
      </c>
      <c r="O59" t="n">
        <v>1</v>
      </c>
      <c r="P59" t="n">
        <v>1</v>
      </c>
      <c r="Q59" t="n">
        <v>1</v>
      </c>
      <c r="R59" s="2" t="inlineStr">
        <is>
          <t>Bombmurkla</t>
        </is>
      </c>
      <c r="S59">
        <f>HYPERLINK("https://klasma.github.io/Logging_1981/artfynd/A 39807-2020 artfynd.xlsx", "A 39807-2020")</f>
        <v/>
      </c>
      <c r="T59">
        <f>HYPERLINK("https://klasma.github.io/Logging_1981/kartor/A 39807-2020 karta.png", "A 39807-2020")</f>
        <v/>
      </c>
      <c r="V59">
        <f>HYPERLINK("https://klasma.github.io/Logging_1981/klagomål/A 39807-2020 FSC-klagomål.docx", "A 39807-2020")</f>
        <v/>
      </c>
      <c r="W59">
        <f>HYPERLINK("https://klasma.github.io/Logging_1981/klagomålsmail/A 39807-2020 FSC-klagomål mail.docx", "A 39807-2020")</f>
        <v/>
      </c>
      <c r="X59">
        <f>HYPERLINK("https://klasma.github.io/Logging_1981/tillsyn/A 39807-2020 tillsynsbegäran.docx", "A 39807-2020")</f>
        <v/>
      </c>
      <c r="Y59">
        <f>HYPERLINK("https://klasma.github.io/Logging_1981/tillsynsmail/A 39807-2020 tillsynsbegäran mail.docx", "A 39807-2020")</f>
        <v/>
      </c>
    </row>
    <row r="60" ht="15" customHeight="1">
      <c r="A60" t="inlineStr">
        <is>
          <t>A 42352-2020</t>
        </is>
      </c>
      <c r="B60" s="1" t="n">
        <v>44076</v>
      </c>
      <c r="C60" s="1" t="n">
        <v>45646</v>
      </c>
      <c r="D60" t="inlineStr">
        <is>
          <t>VÄSTMANLANDS LÄN</t>
        </is>
      </c>
      <c r="E60" t="inlineStr">
        <is>
          <t>SALA</t>
        </is>
      </c>
      <c r="G60" t="n">
        <v>8.6</v>
      </c>
      <c r="H60" t="n">
        <v>1</v>
      </c>
      <c r="I60" t="n">
        <v>0</v>
      </c>
      <c r="J60" t="n">
        <v>0</v>
      </c>
      <c r="K60" t="n">
        <v>0</v>
      </c>
      <c r="L60" t="n">
        <v>0</v>
      </c>
      <c r="M60" t="n">
        <v>0</v>
      </c>
      <c r="N60" t="n">
        <v>0</v>
      </c>
      <c r="O60" t="n">
        <v>0</v>
      </c>
      <c r="P60" t="n">
        <v>0</v>
      </c>
      <c r="Q60" t="n">
        <v>1</v>
      </c>
      <c r="R60" s="2" t="inlineStr">
        <is>
          <t>Mattlummer</t>
        </is>
      </c>
      <c r="S60">
        <f>HYPERLINK("https://klasma.github.io/Logging_1981/artfynd/A 42352-2020 artfynd.xlsx", "A 42352-2020")</f>
        <v/>
      </c>
      <c r="T60">
        <f>HYPERLINK("https://klasma.github.io/Logging_1981/kartor/A 42352-2020 karta.png", "A 42352-2020")</f>
        <v/>
      </c>
      <c r="V60">
        <f>HYPERLINK("https://klasma.github.io/Logging_1981/klagomål/A 42352-2020 FSC-klagomål.docx", "A 42352-2020")</f>
        <v/>
      </c>
      <c r="W60">
        <f>HYPERLINK("https://klasma.github.io/Logging_1981/klagomålsmail/A 42352-2020 FSC-klagomål mail.docx", "A 42352-2020")</f>
        <v/>
      </c>
      <c r="X60">
        <f>HYPERLINK("https://klasma.github.io/Logging_1981/tillsyn/A 42352-2020 tillsynsbegäran.docx", "A 42352-2020")</f>
        <v/>
      </c>
      <c r="Y60">
        <f>HYPERLINK("https://klasma.github.io/Logging_1981/tillsynsmail/A 42352-2020 tillsynsbegäran mail.docx", "A 42352-2020")</f>
        <v/>
      </c>
    </row>
    <row r="61" ht="15" customHeight="1">
      <c r="A61" t="inlineStr">
        <is>
          <t>A 56014-2020</t>
        </is>
      </c>
      <c r="B61" s="1" t="n">
        <v>44132</v>
      </c>
      <c r="C61" s="1" t="n">
        <v>45646</v>
      </c>
      <c r="D61" t="inlineStr">
        <is>
          <t>VÄSTMANLANDS LÄN</t>
        </is>
      </c>
      <c r="E61" t="inlineStr">
        <is>
          <t>SALA</t>
        </is>
      </c>
      <c r="G61" t="n">
        <v>5.6</v>
      </c>
      <c r="H61" t="n">
        <v>0</v>
      </c>
      <c r="I61" t="n">
        <v>0</v>
      </c>
      <c r="J61" t="n">
        <v>0</v>
      </c>
      <c r="K61" t="n">
        <v>1</v>
      </c>
      <c r="L61" t="n">
        <v>0</v>
      </c>
      <c r="M61" t="n">
        <v>0</v>
      </c>
      <c r="N61" t="n">
        <v>0</v>
      </c>
      <c r="O61" t="n">
        <v>1</v>
      </c>
      <c r="P61" t="n">
        <v>1</v>
      </c>
      <c r="Q61" t="n">
        <v>1</v>
      </c>
      <c r="R61" s="2" t="inlineStr">
        <is>
          <t>Blackticka</t>
        </is>
      </c>
      <c r="S61">
        <f>HYPERLINK("https://klasma.github.io/Logging_1981/artfynd/A 56014-2020 artfynd.xlsx", "A 56014-2020")</f>
        <v/>
      </c>
      <c r="T61">
        <f>HYPERLINK("https://klasma.github.io/Logging_1981/kartor/A 56014-2020 karta.png", "A 56014-2020")</f>
        <v/>
      </c>
      <c r="V61">
        <f>HYPERLINK("https://klasma.github.io/Logging_1981/klagomål/A 56014-2020 FSC-klagomål.docx", "A 56014-2020")</f>
        <v/>
      </c>
      <c r="W61">
        <f>HYPERLINK("https://klasma.github.io/Logging_1981/klagomålsmail/A 56014-2020 FSC-klagomål mail.docx", "A 56014-2020")</f>
        <v/>
      </c>
      <c r="X61">
        <f>HYPERLINK("https://klasma.github.io/Logging_1981/tillsyn/A 56014-2020 tillsynsbegäran.docx", "A 56014-2020")</f>
        <v/>
      </c>
      <c r="Y61">
        <f>HYPERLINK("https://klasma.github.io/Logging_1981/tillsynsmail/A 56014-2020 tillsynsbegäran mail.docx", "A 56014-2020")</f>
        <v/>
      </c>
    </row>
    <row r="62" ht="15" customHeight="1">
      <c r="A62" t="inlineStr">
        <is>
          <t>A 69362-2020</t>
        </is>
      </c>
      <c r="B62" s="1" t="n">
        <v>44193</v>
      </c>
      <c r="C62" s="1" t="n">
        <v>45646</v>
      </c>
      <c r="D62" t="inlineStr">
        <is>
          <t>VÄSTMANLANDS LÄN</t>
        </is>
      </c>
      <c r="E62" t="inlineStr">
        <is>
          <t>SALA</t>
        </is>
      </c>
      <c r="G62" t="n">
        <v>13.7</v>
      </c>
      <c r="H62" t="n">
        <v>1</v>
      </c>
      <c r="I62" t="n">
        <v>0</v>
      </c>
      <c r="J62" t="n">
        <v>1</v>
      </c>
      <c r="K62" t="n">
        <v>0</v>
      </c>
      <c r="L62" t="n">
        <v>0</v>
      </c>
      <c r="M62" t="n">
        <v>0</v>
      </c>
      <c r="N62" t="n">
        <v>0</v>
      </c>
      <c r="O62" t="n">
        <v>1</v>
      </c>
      <c r="P62" t="n">
        <v>0</v>
      </c>
      <c r="Q62" t="n">
        <v>1</v>
      </c>
      <c r="R62" s="2" t="inlineStr">
        <is>
          <t>Havsörn</t>
        </is>
      </c>
      <c r="S62">
        <f>HYPERLINK("https://klasma.github.io/Logging_1981/artfynd/A 69362-2020 artfynd.xlsx", "A 69362-2020")</f>
        <v/>
      </c>
      <c r="T62">
        <f>HYPERLINK("https://klasma.github.io/Logging_1981/kartor/A 69362-2020 karta.png", "A 69362-2020")</f>
        <v/>
      </c>
      <c r="V62">
        <f>HYPERLINK("https://klasma.github.io/Logging_1981/klagomål/A 69362-2020 FSC-klagomål.docx", "A 69362-2020")</f>
        <v/>
      </c>
      <c r="W62">
        <f>HYPERLINK("https://klasma.github.io/Logging_1981/klagomålsmail/A 69362-2020 FSC-klagomål mail.docx", "A 69362-2020")</f>
        <v/>
      </c>
      <c r="X62">
        <f>HYPERLINK("https://klasma.github.io/Logging_1981/tillsyn/A 69362-2020 tillsynsbegäran.docx", "A 69362-2020")</f>
        <v/>
      </c>
      <c r="Y62">
        <f>HYPERLINK("https://klasma.github.io/Logging_1981/tillsynsmail/A 69362-2020 tillsynsbegäran mail.docx", "A 69362-2020")</f>
        <v/>
      </c>
      <c r="Z62">
        <f>HYPERLINK("https://klasma.github.io/Logging_1981/fåglar/A 69362-2020 prioriterade fågelarter.docx", "A 69362-2020")</f>
        <v/>
      </c>
    </row>
    <row r="63" ht="15" customHeight="1">
      <c r="A63" t="inlineStr">
        <is>
          <t>A 13973-2021</t>
        </is>
      </c>
      <c r="B63" s="1" t="n">
        <v>44277</v>
      </c>
      <c r="C63" s="1" t="n">
        <v>45646</v>
      </c>
      <c r="D63" t="inlineStr">
        <is>
          <t>VÄSTMANLANDS LÄN</t>
        </is>
      </c>
      <c r="E63" t="inlineStr">
        <is>
          <t>SALA</t>
        </is>
      </c>
      <c r="G63" t="n">
        <v>2</v>
      </c>
      <c r="H63" t="n">
        <v>1</v>
      </c>
      <c r="I63" t="n">
        <v>0</v>
      </c>
      <c r="J63" t="n">
        <v>0</v>
      </c>
      <c r="K63" t="n">
        <v>0</v>
      </c>
      <c r="L63" t="n">
        <v>0</v>
      </c>
      <c r="M63" t="n">
        <v>0</v>
      </c>
      <c r="N63" t="n">
        <v>0</v>
      </c>
      <c r="O63" t="n">
        <v>0</v>
      </c>
      <c r="P63" t="n">
        <v>0</v>
      </c>
      <c r="Q63" t="n">
        <v>1</v>
      </c>
      <c r="R63" s="2" t="inlineStr">
        <is>
          <t>Blåsippa</t>
        </is>
      </c>
      <c r="S63">
        <f>HYPERLINK("https://klasma.github.io/Logging_1981/artfynd/A 13973-2021 artfynd.xlsx", "A 13973-2021")</f>
        <v/>
      </c>
      <c r="T63">
        <f>HYPERLINK("https://klasma.github.io/Logging_1981/kartor/A 13973-2021 karta.png", "A 13973-2021")</f>
        <v/>
      </c>
      <c r="V63">
        <f>HYPERLINK("https://klasma.github.io/Logging_1981/klagomål/A 13973-2021 FSC-klagomål.docx", "A 13973-2021")</f>
        <v/>
      </c>
      <c r="W63">
        <f>HYPERLINK("https://klasma.github.io/Logging_1981/klagomålsmail/A 13973-2021 FSC-klagomål mail.docx", "A 13973-2021")</f>
        <v/>
      </c>
      <c r="X63">
        <f>HYPERLINK("https://klasma.github.io/Logging_1981/tillsyn/A 13973-2021 tillsynsbegäran.docx", "A 13973-2021")</f>
        <v/>
      </c>
      <c r="Y63">
        <f>HYPERLINK("https://klasma.github.io/Logging_1981/tillsynsmail/A 13973-2021 tillsynsbegäran mail.docx", "A 13973-2021")</f>
        <v/>
      </c>
    </row>
    <row r="64" ht="15" customHeight="1">
      <c r="A64" t="inlineStr">
        <is>
          <t>A 44970-2021</t>
        </is>
      </c>
      <c r="B64" s="1" t="n">
        <v>44438</v>
      </c>
      <c r="C64" s="1" t="n">
        <v>45646</v>
      </c>
      <c r="D64" t="inlineStr">
        <is>
          <t>VÄSTMANLANDS LÄN</t>
        </is>
      </c>
      <c r="E64" t="inlineStr">
        <is>
          <t>SALA</t>
        </is>
      </c>
      <c r="G64" t="n">
        <v>1.2</v>
      </c>
      <c r="H64" t="n">
        <v>1</v>
      </c>
      <c r="I64" t="n">
        <v>0</v>
      </c>
      <c r="J64" t="n">
        <v>0</v>
      </c>
      <c r="K64" t="n">
        <v>0</v>
      </c>
      <c r="L64" t="n">
        <v>0</v>
      </c>
      <c r="M64" t="n">
        <v>0</v>
      </c>
      <c r="N64" t="n">
        <v>0</v>
      </c>
      <c r="O64" t="n">
        <v>0</v>
      </c>
      <c r="P64" t="n">
        <v>0</v>
      </c>
      <c r="Q64" t="n">
        <v>1</v>
      </c>
      <c r="R64" s="2" t="inlineStr">
        <is>
          <t>Revlummer</t>
        </is>
      </c>
      <c r="S64">
        <f>HYPERLINK("https://klasma.github.io/Logging_1981/artfynd/A 44970-2021 artfynd.xlsx", "A 44970-2021")</f>
        <v/>
      </c>
      <c r="T64">
        <f>HYPERLINK("https://klasma.github.io/Logging_1981/kartor/A 44970-2021 karta.png", "A 44970-2021")</f>
        <v/>
      </c>
      <c r="V64">
        <f>HYPERLINK("https://klasma.github.io/Logging_1981/klagomål/A 44970-2021 FSC-klagomål.docx", "A 44970-2021")</f>
        <v/>
      </c>
      <c r="W64">
        <f>HYPERLINK("https://klasma.github.io/Logging_1981/klagomålsmail/A 44970-2021 FSC-klagomål mail.docx", "A 44970-2021")</f>
        <v/>
      </c>
      <c r="X64">
        <f>HYPERLINK("https://klasma.github.io/Logging_1981/tillsyn/A 44970-2021 tillsynsbegäran.docx", "A 44970-2021")</f>
        <v/>
      </c>
      <c r="Y64">
        <f>HYPERLINK("https://klasma.github.io/Logging_1981/tillsynsmail/A 44970-2021 tillsynsbegäran mail.docx", "A 44970-2021")</f>
        <v/>
      </c>
    </row>
    <row r="65" ht="15" customHeight="1">
      <c r="A65" t="inlineStr">
        <is>
          <t>A 7919-2022</t>
        </is>
      </c>
      <c r="B65" s="1" t="n">
        <v>44608</v>
      </c>
      <c r="C65" s="1" t="n">
        <v>45646</v>
      </c>
      <c r="D65" t="inlineStr">
        <is>
          <t>VÄSTMANLANDS LÄN</t>
        </is>
      </c>
      <c r="E65" t="inlineStr">
        <is>
          <t>SALA</t>
        </is>
      </c>
      <c r="F65" t="inlineStr">
        <is>
          <t>Bergvik skog öst AB</t>
        </is>
      </c>
      <c r="G65" t="n">
        <v>4.5</v>
      </c>
      <c r="H65" t="n">
        <v>1</v>
      </c>
      <c r="I65" t="n">
        <v>0</v>
      </c>
      <c r="J65" t="n">
        <v>1</v>
      </c>
      <c r="K65" t="n">
        <v>0</v>
      </c>
      <c r="L65" t="n">
        <v>0</v>
      </c>
      <c r="M65" t="n">
        <v>0</v>
      </c>
      <c r="N65" t="n">
        <v>0</v>
      </c>
      <c r="O65" t="n">
        <v>1</v>
      </c>
      <c r="P65" t="n">
        <v>0</v>
      </c>
      <c r="Q65" t="n">
        <v>1</v>
      </c>
      <c r="R65" s="2" t="inlineStr">
        <is>
          <t>Ävjepilört</t>
        </is>
      </c>
      <c r="S65">
        <f>HYPERLINK("https://klasma.github.io/Logging_1981/artfynd/A 7919-2022 artfynd.xlsx", "A 7919-2022")</f>
        <v/>
      </c>
      <c r="T65">
        <f>HYPERLINK("https://klasma.github.io/Logging_1981/kartor/A 7919-2022 karta.png", "A 7919-2022")</f>
        <v/>
      </c>
      <c r="V65">
        <f>HYPERLINK("https://klasma.github.io/Logging_1981/klagomål/A 7919-2022 FSC-klagomål.docx", "A 7919-2022")</f>
        <v/>
      </c>
      <c r="W65">
        <f>HYPERLINK("https://klasma.github.io/Logging_1981/klagomålsmail/A 7919-2022 FSC-klagomål mail.docx", "A 7919-2022")</f>
        <v/>
      </c>
      <c r="X65">
        <f>HYPERLINK("https://klasma.github.io/Logging_1981/tillsyn/A 7919-2022 tillsynsbegäran.docx", "A 7919-2022")</f>
        <v/>
      </c>
      <c r="Y65">
        <f>HYPERLINK("https://klasma.github.io/Logging_1981/tillsynsmail/A 7919-2022 tillsynsbegäran mail.docx", "A 7919-2022")</f>
        <v/>
      </c>
    </row>
    <row r="66" ht="15" customHeight="1">
      <c r="A66" t="inlineStr">
        <is>
          <t>A 15988-2022</t>
        </is>
      </c>
      <c r="B66" s="1" t="n">
        <v>44664</v>
      </c>
      <c r="C66" s="1" t="n">
        <v>45646</v>
      </c>
      <c r="D66" t="inlineStr">
        <is>
          <t>VÄSTMANLANDS LÄN</t>
        </is>
      </c>
      <c r="E66" t="inlineStr">
        <is>
          <t>SALA</t>
        </is>
      </c>
      <c r="G66" t="n">
        <v>5</v>
      </c>
      <c r="H66" t="n">
        <v>1</v>
      </c>
      <c r="I66" t="n">
        <v>0</v>
      </c>
      <c r="J66" t="n">
        <v>0</v>
      </c>
      <c r="K66" t="n">
        <v>1</v>
      </c>
      <c r="L66" t="n">
        <v>0</v>
      </c>
      <c r="M66" t="n">
        <v>0</v>
      </c>
      <c r="N66" t="n">
        <v>0</v>
      </c>
      <c r="O66" t="n">
        <v>1</v>
      </c>
      <c r="P66" t="n">
        <v>1</v>
      </c>
      <c r="Q66" t="n">
        <v>1</v>
      </c>
      <c r="R66" s="2" t="inlineStr">
        <is>
          <t>Knärot</t>
        </is>
      </c>
      <c r="S66">
        <f>HYPERLINK("https://klasma.github.io/Logging_1981/artfynd/A 15988-2022 artfynd.xlsx", "A 15988-2022")</f>
        <v/>
      </c>
      <c r="T66">
        <f>HYPERLINK("https://klasma.github.io/Logging_1981/kartor/A 15988-2022 karta.png", "A 15988-2022")</f>
        <v/>
      </c>
      <c r="U66">
        <f>HYPERLINK("https://klasma.github.io/Logging_1981/knärot/A 15988-2022 karta knärot.png", "A 15988-2022")</f>
        <v/>
      </c>
      <c r="V66">
        <f>HYPERLINK("https://klasma.github.io/Logging_1981/klagomål/A 15988-2022 FSC-klagomål.docx", "A 15988-2022")</f>
        <v/>
      </c>
      <c r="W66">
        <f>HYPERLINK("https://klasma.github.io/Logging_1981/klagomålsmail/A 15988-2022 FSC-klagomål mail.docx", "A 15988-2022")</f>
        <v/>
      </c>
      <c r="X66">
        <f>HYPERLINK("https://klasma.github.io/Logging_1981/tillsyn/A 15988-2022 tillsynsbegäran.docx", "A 15988-2022")</f>
        <v/>
      </c>
      <c r="Y66">
        <f>HYPERLINK("https://klasma.github.io/Logging_1981/tillsynsmail/A 15988-2022 tillsynsbegäran mail.docx", "A 15988-2022")</f>
        <v/>
      </c>
    </row>
    <row r="67" ht="15" customHeight="1">
      <c r="A67" t="inlineStr">
        <is>
          <t>A 29985-2022</t>
        </is>
      </c>
      <c r="B67" s="1" t="n">
        <v>44756</v>
      </c>
      <c r="C67" s="1" t="n">
        <v>45646</v>
      </c>
      <c r="D67" t="inlineStr">
        <is>
          <t>VÄSTMANLANDS LÄN</t>
        </is>
      </c>
      <c r="E67" t="inlineStr">
        <is>
          <t>SALA</t>
        </is>
      </c>
      <c r="F67" t="inlineStr">
        <is>
          <t>Kommuner</t>
        </is>
      </c>
      <c r="G67" t="n">
        <v>1</v>
      </c>
      <c r="H67" t="n">
        <v>1</v>
      </c>
      <c r="I67" t="n">
        <v>1</v>
      </c>
      <c r="J67" t="n">
        <v>0</v>
      </c>
      <c r="K67" t="n">
        <v>0</v>
      </c>
      <c r="L67" t="n">
        <v>0</v>
      </c>
      <c r="M67" t="n">
        <v>0</v>
      </c>
      <c r="N67" t="n">
        <v>0</v>
      </c>
      <c r="O67" t="n">
        <v>0</v>
      </c>
      <c r="P67" t="n">
        <v>0</v>
      </c>
      <c r="Q67" t="n">
        <v>1</v>
      </c>
      <c r="R67" s="2" t="inlineStr">
        <is>
          <t>Skogsknipprot</t>
        </is>
      </c>
      <c r="S67">
        <f>HYPERLINK("https://klasma.github.io/Logging_1981/artfynd/A 29985-2022 artfynd.xlsx", "A 29985-2022")</f>
        <v/>
      </c>
      <c r="T67">
        <f>HYPERLINK("https://klasma.github.io/Logging_1981/kartor/A 29985-2022 karta.png", "A 29985-2022")</f>
        <v/>
      </c>
      <c r="V67">
        <f>HYPERLINK("https://klasma.github.io/Logging_1981/klagomål/A 29985-2022 FSC-klagomål.docx", "A 29985-2022")</f>
        <v/>
      </c>
      <c r="W67">
        <f>HYPERLINK("https://klasma.github.io/Logging_1981/klagomålsmail/A 29985-2022 FSC-klagomål mail.docx", "A 29985-2022")</f>
        <v/>
      </c>
      <c r="X67">
        <f>HYPERLINK("https://klasma.github.io/Logging_1981/tillsyn/A 29985-2022 tillsynsbegäran.docx", "A 29985-2022")</f>
        <v/>
      </c>
      <c r="Y67">
        <f>HYPERLINK("https://klasma.github.io/Logging_1981/tillsynsmail/A 29985-2022 tillsynsbegäran mail.docx", "A 29985-2022")</f>
        <v/>
      </c>
    </row>
    <row r="68" ht="15" customHeight="1">
      <c r="A68" t="inlineStr">
        <is>
          <t>A 43705-2022</t>
        </is>
      </c>
      <c r="B68" s="1" t="n">
        <v>44837</v>
      </c>
      <c r="C68" s="1" t="n">
        <v>45646</v>
      </c>
      <c r="D68" t="inlineStr">
        <is>
          <t>VÄSTMANLANDS LÄN</t>
        </is>
      </c>
      <c r="E68" t="inlineStr">
        <is>
          <t>SALA</t>
        </is>
      </c>
      <c r="G68" t="n">
        <v>2.9</v>
      </c>
      <c r="H68" t="n">
        <v>1</v>
      </c>
      <c r="I68" t="n">
        <v>0</v>
      </c>
      <c r="J68" t="n">
        <v>0</v>
      </c>
      <c r="K68" t="n">
        <v>1</v>
      </c>
      <c r="L68" t="n">
        <v>0</v>
      </c>
      <c r="M68" t="n">
        <v>0</v>
      </c>
      <c r="N68" t="n">
        <v>0</v>
      </c>
      <c r="O68" t="n">
        <v>1</v>
      </c>
      <c r="P68" t="n">
        <v>1</v>
      </c>
      <c r="Q68" t="n">
        <v>1</v>
      </c>
      <c r="R68" s="2" t="inlineStr">
        <is>
          <t>Knärot</t>
        </is>
      </c>
      <c r="S68">
        <f>HYPERLINK("https://klasma.github.io/Logging_1981/artfynd/A 43705-2022 artfynd.xlsx", "A 43705-2022")</f>
        <v/>
      </c>
      <c r="T68">
        <f>HYPERLINK("https://klasma.github.io/Logging_1981/kartor/A 43705-2022 karta.png", "A 43705-2022")</f>
        <v/>
      </c>
      <c r="U68">
        <f>HYPERLINK("https://klasma.github.io/Logging_1981/knärot/A 43705-2022 karta knärot.png", "A 43705-2022")</f>
        <v/>
      </c>
      <c r="V68">
        <f>HYPERLINK("https://klasma.github.io/Logging_1981/klagomål/A 43705-2022 FSC-klagomål.docx", "A 43705-2022")</f>
        <v/>
      </c>
      <c r="W68">
        <f>HYPERLINK("https://klasma.github.io/Logging_1981/klagomålsmail/A 43705-2022 FSC-klagomål mail.docx", "A 43705-2022")</f>
        <v/>
      </c>
      <c r="X68">
        <f>HYPERLINK("https://klasma.github.io/Logging_1981/tillsyn/A 43705-2022 tillsynsbegäran.docx", "A 43705-2022")</f>
        <v/>
      </c>
      <c r="Y68">
        <f>HYPERLINK("https://klasma.github.io/Logging_1981/tillsynsmail/A 43705-2022 tillsynsbegäran mail.docx", "A 43705-2022")</f>
        <v/>
      </c>
    </row>
    <row r="69" ht="15" customHeight="1">
      <c r="A69" t="inlineStr">
        <is>
          <t>A 56704-2022</t>
        </is>
      </c>
      <c r="B69" s="1" t="n">
        <v>44893</v>
      </c>
      <c r="C69" s="1" t="n">
        <v>45646</v>
      </c>
      <c r="D69" t="inlineStr">
        <is>
          <t>VÄSTMANLANDS LÄN</t>
        </is>
      </c>
      <c r="E69" t="inlineStr">
        <is>
          <t>SALA</t>
        </is>
      </c>
      <c r="G69" t="n">
        <v>3.2</v>
      </c>
      <c r="H69" t="n">
        <v>1</v>
      </c>
      <c r="I69" t="n">
        <v>0</v>
      </c>
      <c r="J69" t="n">
        <v>0</v>
      </c>
      <c r="K69" t="n">
        <v>1</v>
      </c>
      <c r="L69" t="n">
        <v>0</v>
      </c>
      <c r="M69" t="n">
        <v>0</v>
      </c>
      <c r="N69" t="n">
        <v>0</v>
      </c>
      <c r="O69" t="n">
        <v>1</v>
      </c>
      <c r="P69" t="n">
        <v>1</v>
      </c>
      <c r="Q69" t="n">
        <v>1</v>
      </c>
      <c r="R69" s="2" t="inlineStr">
        <is>
          <t>Knärot</t>
        </is>
      </c>
      <c r="S69">
        <f>HYPERLINK("https://klasma.github.io/Logging_1981/artfynd/A 56704-2022 artfynd.xlsx", "A 56704-2022")</f>
        <v/>
      </c>
      <c r="T69">
        <f>HYPERLINK("https://klasma.github.io/Logging_1981/kartor/A 56704-2022 karta.png", "A 56704-2022")</f>
        <v/>
      </c>
      <c r="U69">
        <f>HYPERLINK("https://klasma.github.io/Logging_1981/knärot/A 56704-2022 karta knärot.png", "A 56704-2022")</f>
        <v/>
      </c>
      <c r="V69">
        <f>HYPERLINK("https://klasma.github.io/Logging_1981/klagomål/A 56704-2022 FSC-klagomål.docx", "A 56704-2022")</f>
        <v/>
      </c>
      <c r="W69">
        <f>HYPERLINK("https://klasma.github.io/Logging_1981/klagomålsmail/A 56704-2022 FSC-klagomål mail.docx", "A 56704-2022")</f>
        <v/>
      </c>
      <c r="X69">
        <f>HYPERLINK("https://klasma.github.io/Logging_1981/tillsyn/A 56704-2022 tillsynsbegäran.docx", "A 56704-2022")</f>
        <v/>
      </c>
      <c r="Y69">
        <f>HYPERLINK("https://klasma.github.io/Logging_1981/tillsynsmail/A 56704-2022 tillsynsbegäran mail.docx", "A 56704-2022")</f>
        <v/>
      </c>
    </row>
    <row r="70" ht="15" customHeight="1">
      <c r="A70" t="inlineStr">
        <is>
          <t>A 7731-2023</t>
        </is>
      </c>
      <c r="B70" s="1" t="n">
        <v>44973</v>
      </c>
      <c r="C70" s="1" t="n">
        <v>45646</v>
      </c>
      <c r="D70" t="inlineStr">
        <is>
          <t>VÄSTMANLANDS LÄN</t>
        </is>
      </c>
      <c r="E70" t="inlineStr">
        <is>
          <t>SALA</t>
        </is>
      </c>
      <c r="F70" t="inlineStr">
        <is>
          <t>Bergvik skog öst AB</t>
        </is>
      </c>
      <c r="G70" t="n">
        <v>1.7</v>
      </c>
      <c r="H70" t="n">
        <v>1</v>
      </c>
      <c r="I70" t="n">
        <v>0</v>
      </c>
      <c r="J70" t="n">
        <v>1</v>
      </c>
      <c r="K70" t="n">
        <v>0</v>
      </c>
      <c r="L70" t="n">
        <v>0</v>
      </c>
      <c r="M70" t="n">
        <v>0</v>
      </c>
      <c r="N70" t="n">
        <v>0</v>
      </c>
      <c r="O70" t="n">
        <v>1</v>
      </c>
      <c r="P70" t="n">
        <v>0</v>
      </c>
      <c r="Q70" t="n">
        <v>1</v>
      </c>
      <c r="R70" s="2" t="inlineStr">
        <is>
          <t>Ävjepilört</t>
        </is>
      </c>
      <c r="S70">
        <f>HYPERLINK("https://klasma.github.io/Logging_1981/artfynd/A 7731-2023 artfynd.xlsx", "A 7731-2023")</f>
        <v/>
      </c>
      <c r="T70">
        <f>HYPERLINK("https://klasma.github.io/Logging_1981/kartor/A 7731-2023 karta.png", "A 7731-2023")</f>
        <v/>
      </c>
      <c r="V70">
        <f>HYPERLINK("https://klasma.github.io/Logging_1981/klagomål/A 7731-2023 FSC-klagomål.docx", "A 7731-2023")</f>
        <v/>
      </c>
      <c r="W70">
        <f>HYPERLINK("https://klasma.github.io/Logging_1981/klagomålsmail/A 7731-2023 FSC-klagomål mail.docx", "A 7731-2023")</f>
        <v/>
      </c>
      <c r="X70">
        <f>HYPERLINK("https://klasma.github.io/Logging_1981/tillsyn/A 7731-2023 tillsynsbegäran.docx", "A 7731-2023")</f>
        <v/>
      </c>
      <c r="Y70">
        <f>HYPERLINK("https://klasma.github.io/Logging_1981/tillsynsmail/A 7731-2023 tillsynsbegäran mail.docx", "A 7731-2023")</f>
        <v/>
      </c>
    </row>
    <row r="71" ht="15" customHeight="1">
      <c r="A71" t="inlineStr">
        <is>
          <t>A 14775-2023</t>
        </is>
      </c>
      <c r="B71" s="1" t="n">
        <v>45014</v>
      </c>
      <c r="C71" s="1" t="n">
        <v>45646</v>
      </c>
      <c r="D71" t="inlineStr">
        <is>
          <t>VÄSTMANLANDS LÄN</t>
        </is>
      </c>
      <c r="E71" t="inlineStr">
        <is>
          <t>SALA</t>
        </is>
      </c>
      <c r="G71" t="n">
        <v>1.3</v>
      </c>
      <c r="H71" t="n">
        <v>1</v>
      </c>
      <c r="I71" t="n">
        <v>0</v>
      </c>
      <c r="J71" t="n">
        <v>0</v>
      </c>
      <c r="K71" t="n">
        <v>1</v>
      </c>
      <c r="L71" t="n">
        <v>0</v>
      </c>
      <c r="M71" t="n">
        <v>0</v>
      </c>
      <c r="N71" t="n">
        <v>0</v>
      </c>
      <c r="O71" t="n">
        <v>1</v>
      </c>
      <c r="P71" t="n">
        <v>1</v>
      </c>
      <c r="Q71" t="n">
        <v>1</v>
      </c>
      <c r="R71" s="2" t="inlineStr">
        <is>
          <t>Knärot</t>
        </is>
      </c>
      <c r="S71">
        <f>HYPERLINK("https://klasma.github.io/Logging_1981/artfynd/A 14775-2023 artfynd.xlsx", "A 14775-2023")</f>
        <v/>
      </c>
      <c r="T71">
        <f>HYPERLINK("https://klasma.github.io/Logging_1981/kartor/A 14775-2023 karta.png", "A 14775-2023")</f>
        <v/>
      </c>
      <c r="U71">
        <f>HYPERLINK("https://klasma.github.io/Logging_1981/knärot/A 14775-2023 karta knärot.png", "A 14775-2023")</f>
        <v/>
      </c>
      <c r="V71">
        <f>HYPERLINK("https://klasma.github.io/Logging_1981/klagomål/A 14775-2023 FSC-klagomål.docx", "A 14775-2023")</f>
        <v/>
      </c>
      <c r="W71">
        <f>HYPERLINK("https://klasma.github.io/Logging_1981/klagomålsmail/A 14775-2023 FSC-klagomål mail.docx", "A 14775-2023")</f>
        <v/>
      </c>
      <c r="X71">
        <f>HYPERLINK("https://klasma.github.io/Logging_1981/tillsyn/A 14775-2023 tillsynsbegäran.docx", "A 14775-2023")</f>
        <v/>
      </c>
      <c r="Y71">
        <f>HYPERLINK("https://klasma.github.io/Logging_1981/tillsynsmail/A 14775-2023 tillsynsbegäran mail.docx", "A 14775-2023")</f>
        <v/>
      </c>
    </row>
    <row r="72" ht="15" customHeight="1">
      <c r="A72" t="inlineStr">
        <is>
          <t>A 29727-2023</t>
        </is>
      </c>
      <c r="B72" s="1" t="n">
        <v>45107</v>
      </c>
      <c r="C72" s="1" t="n">
        <v>45646</v>
      </c>
      <c r="D72" t="inlineStr">
        <is>
          <t>VÄSTMANLANDS LÄN</t>
        </is>
      </c>
      <c r="E72" t="inlineStr">
        <is>
          <t>SALA</t>
        </is>
      </c>
      <c r="G72" t="n">
        <v>1.9</v>
      </c>
      <c r="H72" t="n">
        <v>0</v>
      </c>
      <c r="I72" t="n">
        <v>0</v>
      </c>
      <c r="J72" t="n">
        <v>1</v>
      </c>
      <c r="K72" t="n">
        <v>0</v>
      </c>
      <c r="L72" t="n">
        <v>0</v>
      </c>
      <c r="M72" t="n">
        <v>0</v>
      </c>
      <c r="N72" t="n">
        <v>0</v>
      </c>
      <c r="O72" t="n">
        <v>1</v>
      </c>
      <c r="P72" t="n">
        <v>0</v>
      </c>
      <c r="Q72" t="n">
        <v>1</v>
      </c>
      <c r="R72" s="2" t="inlineStr">
        <is>
          <t>Vedtrappmossa</t>
        </is>
      </c>
      <c r="S72">
        <f>HYPERLINK("https://klasma.github.io/Logging_1981/artfynd/A 29727-2023 artfynd.xlsx", "A 29727-2023")</f>
        <v/>
      </c>
      <c r="T72">
        <f>HYPERLINK("https://klasma.github.io/Logging_1981/kartor/A 29727-2023 karta.png", "A 29727-2023")</f>
        <v/>
      </c>
      <c r="V72">
        <f>HYPERLINK("https://klasma.github.io/Logging_1981/klagomål/A 29727-2023 FSC-klagomål.docx", "A 29727-2023")</f>
        <v/>
      </c>
      <c r="W72">
        <f>HYPERLINK("https://klasma.github.io/Logging_1981/klagomålsmail/A 29727-2023 FSC-klagomål mail.docx", "A 29727-2023")</f>
        <v/>
      </c>
      <c r="X72">
        <f>HYPERLINK("https://klasma.github.io/Logging_1981/tillsyn/A 29727-2023 tillsynsbegäran.docx", "A 29727-2023")</f>
        <v/>
      </c>
      <c r="Y72">
        <f>HYPERLINK("https://klasma.github.io/Logging_1981/tillsynsmail/A 29727-2023 tillsynsbegäran mail.docx", "A 29727-2023")</f>
        <v/>
      </c>
    </row>
    <row r="73" ht="15" customHeight="1">
      <c r="A73" t="inlineStr">
        <is>
          <t>A 31535-2023</t>
        </is>
      </c>
      <c r="B73" s="1" t="n">
        <v>45116</v>
      </c>
      <c r="C73" s="1" t="n">
        <v>45646</v>
      </c>
      <c r="D73" t="inlineStr">
        <is>
          <t>VÄSTMANLANDS LÄN</t>
        </is>
      </c>
      <c r="E73" t="inlineStr">
        <is>
          <t>SALA</t>
        </is>
      </c>
      <c r="G73" t="n">
        <v>0.9</v>
      </c>
      <c r="H73" t="n">
        <v>0</v>
      </c>
      <c r="I73" t="n">
        <v>0</v>
      </c>
      <c r="J73" t="n">
        <v>1</v>
      </c>
      <c r="K73" t="n">
        <v>0</v>
      </c>
      <c r="L73" t="n">
        <v>0</v>
      </c>
      <c r="M73" t="n">
        <v>0</v>
      </c>
      <c r="N73" t="n">
        <v>0</v>
      </c>
      <c r="O73" t="n">
        <v>1</v>
      </c>
      <c r="P73" t="n">
        <v>0</v>
      </c>
      <c r="Q73" t="n">
        <v>1</v>
      </c>
      <c r="R73" s="2" t="inlineStr">
        <is>
          <t>Orange taggsvamp</t>
        </is>
      </c>
      <c r="S73">
        <f>HYPERLINK("https://klasma.github.io/Logging_1981/artfynd/A 31535-2023 artfynd.xlsx", "A 31535-2023")</f>
        <v/>
      </c>
      <c r="T73">
        <f>HYPERLINK("https://klasma.github.io/Logging_1981/kartor/A 31535-2023 karta.png", "A 31535-2023")</f>
        <v/>
      </c>
      <c r="V73">
        <f>HYPERLINK("https://klasma.github.io/Logging_1981/klagomål/A 31535-2023 FSC-klagomål.docx", "A 31535-2023")</f>
        <v/>
      </c>
      <c r="W73">
        <f>HYPERLINK("https://klasma.github.io/Logging_1981/klagomålsmail/A 31535-2023 FSC-klagomål mail.docx", "A 31535-2023")</f>
        <v/>
      </c>
      <c r="X73">
        <f>HYPERLINK("https://klasma.github.io/Logging_1981/tillsyn/A 31535-2023 tillsynsbegäran.docx", "A 31535-2023")</f>
        <v/>
      </c>
      <c r="Y73">
        <f>HYPERLINK("https://klasma.github.io/Logging_1981/tillsynsmail/A 31535-2023 tillsynsbegäran mail.docx", "A 31535-2023")</f>
        <v/>
      </c>
    </row>
    <row r="74" ht="15" customHeight="1">
      <c r="A74" t="inlineStr">
        <is>
          <t>A 43175-2023</t>
        </is>
      </c>
      <c r="B74" s="1" t="n">
        <v>45183</v>
      </c>
      <c r="C74" s="1" t="n">
        <v>45646</v>
      </c>
      <c r="D74" t="inlineStr">
        <is>
          <t>VÄSTMANLANDS LÄN</t>
        </is>
      </c>
      <c r="E74" t="inlineStr">
        <is>
          <t>SALA</t>
        </is>
      </c>
      <c r="G74" t="n">
        <v>5.6</v>
      </c>
      <c r="H74" t="n">
        <v>0</v>
      </c>
      <c r="I74" t="n">
        <v>1</v>
      </c>
      <c r="J74" t="n">
        <v>0</v>
      </c>
      <c r="K74" t="n">
        <v>0</v>
      </c>
      <c r="L74" t="n">
        <v>0</v>
      </c>
      <c r="M74" t="n">
        <v>0</v>
      </c>
      <c r="N74" t="n">
        <v>0</v>
      </c>
      <c r="O74" t="n">
        <v>0</v>
      </c>
      <c r="P74" t="n">
        <v>0</v>
      </c>
      <c r="Q74" t="n">
        <v>1</v>
      </c>
      <c r="R74" s="2" t="inlineStr">
        <is>
          <t>Grönpyrola</t>
        </is>
      </c>
      <c r="S74">
        <f>HYPERLINK("https://klasma.github.io/Logging_1981/artfynd/A 43175-2023 artfynd.xlsx", "A 43175-2023")</f>
        <v/>
      </c>
      <c r="T74">
        <f>HYPERLINK("https://klasma.github.io/Logging_1981/kartor/A 43175-2023 karta.png", "A 43175-2023")</f>
        <v/>
      </c>
      <c r="V74">
        <f>HYPERLINK("https://klasma.github.io/Logging_1981/klagomål/A 43175-2023 FSC-klagomål.docx", "A 43175-2023")</f>
        <v/>
      </c>
      <c r="W74">
        <f>HYPERLINK("https://klasma.github.io/Logging_1981/klagomålsmail/A 43175-2023 FSC-klagomål mail.docx", "A 43175-2023")</f>
        <v/>
      </c>
      <c r="X74">
        <f>HYPERLINK("https://klasma.github.io/Logging_1981/tillsyn/A 43175-2023 tillsynsbegäran.docx", "A 43175-2023")</f>
        <v/>
      </c>
      <c r="Y74">
        <f>HYPERLINK("https://klasma.github.io/Logging_1981/tillsynsmail/A 43175-2023 tillsynsbegäran mail.docx", "A 43175-2023")</f>
        <v/>
      </c>
    </row>
    <row r="75" ht="15" customHeight="1">
      <c r="A75" t="inlineStr">
        <is>
          <t>A 55550-2023</t>
        </is>
      </c>
      <c r="B75" s="1" t="n">
        <v>45232</v>
      </c>
      <c r="C75" s="1" t="n">
        <v>45646</v>
      </c>
      <c r="D75" t="inlineStr">
        <is>
          <t>VÄSTMANLANDS LÄN</t>
        </is>
      </c>
      <c r="E75" t="inlineStr">
        <is>
          <t>SALA</t>
        </is>
      </c>
      <c r="G75" t="n">
        <v>9.9</v>
      </c>
      <c r="H75" t="n">
        <v>1</v>
      </c>
      <c r="I75" t="n">
        <v>0</v>
      </c>
      <c r="J75" t="n">
        <v>0</v>
      </c>
      <c r="K75" t="n">
        <v>1</v>
      </c>
      <c r="L75" t="n">
        <v>0</v>
      </c>
      <c r="M75" t="n">
        <v>0</v>
      </c>
      <c r="N75" t="n">
        <v>0</v>
      </c>
      <c r="O75" t="n">
        <v>1</v>
      </c>
      <c r="P75" t="n">
        <v>1</v>
      </c>
      <c r="Q75" t="n">
        <v>1</v>
      </c>
      <c r="R75" s="2" t="inlineStr">
        <is>
          <t>Knärot</t>
        </is>
      </c>
      <c r="S75">
        <f>HYPERLINK("https://klasma.github.io/Logging_1981/artfynd/A 55550-2023 artfynd.xlsx", "A 55550-2023")</f>
        <v/>
      </c>
      <c r="T75">
        <f>HYPERLINK("https://klasma.github.io/Logging_1981/kartor/A 55550-2023 karta.png", "A 55550-2023")</f>
        <v/>
      </c>
      <c r="U75">
        <f>HYPERLINK("https://klasma.github.io/Logging_1981/knärot/A 55550-2023 karta knärot.png", "A 55550-2023")</f>
        <v/>
      </c>
      <c r="V75">
        <f>HYPERLINK("https://klasma.github.io/Logging_1981/klagomål/A 55550-2023 FSC-klagomål.docx", "A 55550-2023")</f>
        <v/>
      </c>
      <c r="W75">
        <f>HYPERLINK("https://klasma.github.io/Logging_1981/klagomålsmail/A 55550-2023 FSC-klagomål mail.docx", "A 55550-2023")</f>
        <v/>
      </c>
      <c r="X75">
        <f>HYPERLINK("https://klasma.github.io/Logging_1981/tillsyn/A 55550-2023 tillsynsbegäran.docx", "A 55550-2023")</f>
        <v/>
      </c>
      <c r="Y75">
        <f>HYPERLINK("https://klasma.github.io/Logging_1981/tillsynsmail/A 55550-2023 tillsynsbegäran mail.docx", "A 55550-2023")</f>
        <v/>
      </c>
    </row>
    <row r="76" ht="15" customHeight="1">
      <c r="A76" t="inlineStr">
        <is>
          <t>A 3534-2024</t>
        </is>
      </c>
      <c r="B76" s="1" t="n">
        <v>45320</v>
      </c>
      <c r="C76" s="1" t="n">
        <v>45646</v>
      </c>
      <c r="D76" t="inlineStr">
        <is>
          <t>VÄSTMANLANDS LÄN</t>
        </is>
      </c>
      <c r="E76" t="inlineStr">
        <is>
          <t>SALA</t>
        </is>
      </c>
      <c r="G76" t="n">
        <v>1.9</v>
      </c>
      <c r="H76" t="n">
        <v>1</v>
      </c>
      <c r="I76" t="n">
        <v>0</v>
      </c>
      <c r="J76" t="n">
        <v>0</v>
      </c>
      <c r="K76" t="n">
        <v>0</v>
      </c>
      <c r="L76" t="n">
        <v>1</v>
      </c>
      <c r="M76" t="n">
        <v>0</v>
      </c>
      <c r="N76" t="n">
        <v>0</v>
      </c>
      <c r="O76" t="n">
        <v>1</v>
      </c>
      <c r="P76" t="n">
        <v>1</v>
      </c>
      <c r="Q76" t="n">
        <v>1</v>
      </c>
      <c r="R76" s="2" t="inlineStr">
        <is>
          <t>Mosippa</t>
        </is>
      </c>
      <c r="S76">
        <f>HYPERLINK("https://klasma.github.io/Logging_1981/artfynd/A 3534-2024 artfynd.xlsx", "A 3534-2024")</f>
        <v/>
      </c>
      <c r="T76">
        <f>HYPERLINK("https://klasma.github.io/Logging_1981/kartor/A 3534-2024 karta.png", "A 3534-2024")</f>
        <v/>
      </c>
      <c r="V76">
        <f>HYPERLINK("https://klasma.github.io/Logging_1981/klagomål/A 3534-2024 FSC-klagomål.docx", "A 3534-2024")</f>
        <v/>
      </c>
      <c r="W76">
        <f>HYPERLINK("https://klasma.github.io/Logging_1981/klagomålsmail/A 3534-2024 FSC-klagomål mail.docx", "A 3534-2024")</f>
        <v/>
      </c>
      <c r="X76">
        <f>HYPERLINK("https://klasma.github.io/Logging_1981/tillsyn/A 3534-2024 tillsynsbegäran.docx", "A 3534-2024")</f>
        <v/>
      </c>
      <c r="Y76">
        <f>HYPERLINK("https://klasma.github.io/Logging_1981/tillsynsmail/A 3534-2024 tillsynsbegäran mail.docx", "A 3534-2024")</f>
        <v/>
      </c>
    </row>
    <row r="77" ht="15" customHeight="1">
      <c r="A77" t="inlineStr">
        <is>
          <t>A 12434-2024</t>
        </is>
      </c>
      <c r="B77" s="1" t="n">
        <v>45379</v>
      </c>
      <c r="C77" s="1" t="n">
        <v>45646</v>
      </c>
      <c r="D77" t="inlineStr">
        <is>
          <t>VÄSTMANLANDS LÄN</t>
        </is>
      </c>
      <c r="E77" t="inlineStr">
        <is>
          <t>SALA</t>
        </is>
      </c>
      <c r="G77" t="n">
        <v>7.8</v>
      </c>
      <c r="H77" t="n">
        <v>1</v>
      </c>
      <c r="I77" t="n">
        <v>0</v>
      </c>
      <c r="J77" t="n">
        <v>0</v>
      </c>
      <c r="K77" t="n">
        <v>1</v>
      </c>
      <c r="L77" t="n">
        <v>0</v>
      </c>
      <c r="M77" t="n">
        <v>0</v>
      </c>
      <c r="N77" t="n">
        <v>0</v>
      </c>
      <c r="O77" t="n">
        <v>1</v>
      </c>
      <c r="P77" t="n">
        <v>1</v>
      </c>
      <c r="Q77" t="n">
        <v>1</v>
      </c>
      <c r="R77" s="2" t="inlineStr">
        <is>
          <t>Knärot</t>
        </is>
      </c>
      <c r="S77">
        <f>HYPERLINK("https://klasma.github.io/Logging_1981/artfynd/A 12434-2024 artfynd.xlsx", "A 12434-2024")</f>
        <v/>
      </c>
      <c r="T77">
        <f>HYPERLINK("https://klasma.github.io/Logging_1981/kartor/A 12434-2024 karta.png", "A 12434-2024")</f>
        <v/>
      </c>
      <c r="U77">
        <f>HYPERLINK("https://klasma.github.io/Logging_1981/knärot/A 12434-2024 karta knärot.png", "A 12434-2024")</f>
        <v/>
      </c>
      <c r="V77">
        <f>HYPERLINK("https://klasma.github.io/Logging_1981/klagomål/A 12434-2024 FSC-klagomål.docx", "A 12434-2024")</f>
        <v/>
      </c>
      <c r="W77">
        <f>HYPERLINK("https://klasma.github.io/Logging_1981/klagomålsmail/A 12434-2024 FSC-klagomål mail.docx", "A 12434-2024")</f>
        <v/>
      </c>
      <c r="X77">
        <f>HYPERLINK("https://klasma.github.io/Logging_1981/tillsyn/A 12434-2024 tillsynsbegäran.docx", "A 12434-2024")</f>
        <v/>
      </c>
      <c r="Y77">
        <f>HYPERLINK("https://klasma.github.io/Logging_1981/tillsynsmail/A 12434-2024 tillsynsbegäran mail.docx", "A 12434-2024")</f>
        <v/>
      </c>
    </row>
    <row r="78" ht="15" customHeight="1">
      <c r="A78" t="inlineStr">
        <is>
          <t>A 19716-2024</t>
        </is>
      </c>
      <c r="B78" s="1" t="n">
        <v>45432</v>
      </c>
      <c r="C78" s="1" t="n">
        <v>45646</v>
      </c>
      <c r="D78" t="inlineStr">
        <is>
          <t>VÄSTMANLANDS LÄN</t>
        </is>
      </c>
      <c r="E78" t="inlineStr">
        <is>
          <t>SALA</t>
        </is>
      </c>
      <c r="G78" t="n">
        <v>5.5</v>
      </c>
      <c r="H78" t="n">
        <v>1</v>
      </c>
      <c r="I78" t="n">
        <v>0</v>
      </c>
      <c r="J78" t="n">
        <v>0</v>
      </c>
      <c r="K78" t="n">
        <v>0</v>
      </c>
      <c r="L78" t="n">
        <v>0</v>
      </c>
      <c r="M78" t="n">
        <v>0</v>
      </c>
      <c r="N78" t="n">
        <v>0</v>
      </c>
      <c r="O78" t="n">
        <v>0</v>
      </c>
      <c r="P78" t="n">
        <v>0</v>
      </c>
      <c r="Q78" t="n">
        <v>1</v>
      </c>
      <c r="R78" s="2" t="inlineStr">
        <is>
          <t>Fläcknycklar</t>
        </is>
      </c>
      <c r="S78">
        <f>HYPERLINK("https://klasma.github.io/Logging_1981/artfynd/A 19716-2024 artfynd.xlsx", "A 19716-2024")</f>
        <v/>
      </c>
      <c r="T78">
        <f>HYPERLINK("https://klasma.github.io/Logging_1981/kartor/A 19716-2024 karta.png", "A 19716-2024")</f>
        <v/>
      </c>
      <c r="V78">
        <f>HYPERLINK("https://klasma.github.io/Logging_1981/klagomål/A 19716-2024 FSC-klagomål.docx", "A 19716-2024")</f>
        <v/>
      </c>
      <c r="W78">
        <f>HYPERLINK("https://klasma.github.io/Logging_1981/klagomålsmail/A 19716-2024 FSC-klagomål mail.docx", "A 19716-2024")</f>
        <v/>
      </c>
      <c r="X78">
        <f>HYPERLINK("https://klasma.github.io/Logging_1981/tillsyn/A 19716-2024 tillsynsbegäran.docx", "A 19716-2024")</f>
        <v/>
      </c>
      <c r="Y78">
        <f>HYPERLINK("https://klasma.github.io/Logging_1981/tillsynsmail/A 19716-2024 tillsynsbegäran mail.docx", "A 19716-2024")</f>
        <v/>
      </c>
    </row>
    <row r="79" ht="15" customHeight="1">
      <c r="A79" t="inlineStr">
        <is>
          <t>A 22350-2024</t>
        </is>
      </c>
      <c r="B79" s="1" t="n">
        <v>45446</v>
      </c>
      <c r="C79" s="1" t="n">
        <v>45646</v>
      </c>
      <c r="D79" t="inlineStr">
        <is>
          <t>VÄSTMANLANDS LÄN</t>
        </is>
      </c>
      <c r="E79" t="inlineStr">
        <is>
          <t>SALA</t>
        </is>
      </c>
      <c r="G79" t="n">
        <v>1.2</v>
      </c>
      <c r="H79" t="n">
        <v>1</v>
      </c>
      <c r="I79" t="n">
        <v>0</v>
      </c>
      <c r="J79" t="n">
        <v>0</v>
      </c>
      <c r="K79" t="n">
        <v>0</v>
      </c>
      <c r="L79" t="n">
        <v>0</v>
      </c>
      <c r="M79" t="n">
        <v>0</v>
      </c>
      <c r="N79" t="n">
        <v>0</v>
      </c>
      <c r="O79" t="n">
        <v>0</v>
      </c>
      <c r="P79" t="n">
        <v>0</v>
      </c>
      <c r="Q79" t="n">
        <v>1</v>
      </c>
      <c r="R79" s="2" t="inlineStr">
        <is>
          <t>Blåsippa</t>
        </is>
      </c>
      <c r="S79">
        <f>HYPERLINK("https://klasma.github.io/Logging_1981/artfynd/A 22350-2024 artfynd.xlsx", "A 22350-2024")</f>
        <v/>
      </c>
      <c r="T79">
        <f>HYPERLINK("https://klasma.github.io/Logging_1981/kartor/A 22350-2024 karta.png", "A 22350-2024")</f>
        <v/>
      </c>
      <c r="V79">
        <f>HYPERLINK("https://klasma.github.io/Logging_1981/klagomål/A 22350-2024 FSC-klagomål.docx", "A 22350-2024")</f>
        <v/>
      </c>
      <c r="W79">
        <f>HYPERLINK("https://klasma.github.io/Logging_1981/klagomålsmail/A 22350-2024 FSC-klagomål mail.docx", "A 22350-2024")</f>
        <v/>
      </c>
      <c r="X79">
        <f>HYPERLINK("https://klasma.github.io/Logging_1981/tillsyn/A 22350-2024 tillsynsbegäran.docx", "A 22350-2024")</f>
        <v/>
      </c>
      <c r="Y79">
        <f>HYPERLINK("https://klasma.github.io/Logging_1981/tillsynsmail/A 22350-2024 tillsynsbegäran mail.docx", "A 22350-2024")</f>
        <v/>
      </c>
    </row>
    <row r="80" ht="15" customHeight="1">
      <c r="A80" t="inlineStr">
        <is>
          <t>A 27591-2024</t>
        </is>
      </c>
      <c r="B80" s="1" t="n">
        <v>45474</v>
      </c>
      <c r="C80" s="1" t="n">
        <v>45646</v>
      </c>
      <c r="D80" t="inlineStr">
        <is>
          <t>VÄSTMANLANDS LÄN</t>
        </is>
      </c>
      <c r="E80" t="inlineStr">
        <is>
          <t>SALA</t>
        </is>
      </c>
      <c r="G80" t="n">
        <v>5.1</v>
      </c>
      <c r="H80" t="n">
        <v>1</v>
      </c>
      <c r="I80" t="n">
        <v>0</v>
      </c>
      <c r="J80" t="n">
        <v>1</v>
      </c>
      <c r="K80" t="n">
        <v>0</v>
      </c>
      <c r="L80" t="n">
        <v>0</v>
      </c>
      <c r="M80" t="n">
        <v>0</v>
      </c>
      <c r="N80" t="n">
        <v>0</v>
      </c>
      <c r="O80" t="n">
        <v>1</v>
      </c>
      <c r="P80" t="n">
        <v>0</v>
      </c>
      <c r="Q80" t="n">
        <v>1</v>
      </c>
      <c r="R80" s="2" t="inlineStr">
        <is>
          <t>Spillkråka</t>
        </is>
      </c>
      <c r="S80">
        <f>HYPERLINK("https://klasma.github.io/Logging_1981/artfynd/A 27591-2024 artfynd.xlsx", "A 27591-2024")</f>
        <v/>
      </c>
      <c r="T80">
        <f>HYPERLINK("https://klasma.github.io/Logging_1981/kartor/A 27591-2024 karta.png", "A 27591-2024")</f>
        <v/>
      </c>
      <c r="V80">
        <f>HYPERLINK("https://klasma.github.io/Logging_1981/klagomål/A 27591-2024 FSC-klagomål.docx", "A 27591-2024")</f>
        <v/>
      </c>
      <c r="W80">
        <f>HYPERLINK("https://klasma.github.io/Logging_1981/klagomålsmail/A 27591-2024 FSC-klagomål mail.docx", "A 27591-2024")</f>
        <v/>
      </c>
      <c r="X80">
        <f>HYPERLINK("https://klasma.github.io/Logging_1981/tillsyn/A 27591-2024 tillsynsbegäran.docx", "A 27591-2024")</f>
        <v/>
      </c>
      <c r="Y80">
        <f>HYPERLINK("https://klasma.github.io/Logging_1981/tillsynsmail/A 27591-2024 tillsynsbegäran mail.docx", "A 27591-2024")</f>
        <v/>
      </c>
      <c r="Z80">
        <f>HYPERLINK("https://klasma.github.io/Logging_1981/fåglar/A 27591-2024 prioriterade fågelarter.docx", "A 27591-2024")</f>
        <v/>
      </c>
    </row>
    <row r="81" ht="15" customHeight="1">
      <c r="A81" t="inlineStr">
        <is>
          <t>A 41270-2024</t>
        </is>
      </c>
      <c r="B81" s="1" t="n">
        <v>45559</v>
      </c>
      <c r="C81" s="1" t="n">
        <v>45646</v>
      </c>
      <c r="D81" t="inlineStr">
        <is>
          <t>VÄSTMANLANDS LÄN</t>
        </is>
      </c>
      <c r="E81" t="inlineStr">
        <is>
          <t>SALA</t>
        </is>
      </c>
      <c r="G81" t="n">
        <v>15.2</v>
      </c>
      <c r="H81" t="n">
        <v>1</v>
      </c>
      <c r="I81" t="n">
        <v>0</v>
      </c>
      <c r="J81" t="n">
        <v>1</v>
      </c>
      <c r="K81" t="n">
        <v>0</v>
      </c>
      <c r="L81" t="n">
        <v>0</v>
      </c>
      <c r="M81" t="n">
        <v>0</v>
      </c>
      <c r="N81" t="n">
        <v>0</v>
      </c>
      <c r="O81" t="n">
        <v>1</v>
      </c>
      <c r="P81" t="n">
        <v>0</v>
      </c>
      <c r="Q81" t="n">
        <v>1</v>
      </c>
      <c r="R81" s="2" t="inlineStr">
        <is>
          <t>Havsörn</t>
        </is>
      </c>
      <c r="S81">
        <f>HYPERLINK("https://klasma.github.io/Logging_1981/artfynd/A 41270-2024 artfynd.xlsx", "A 41270-2024")</f>
        <v/>
      </c>
      <c r="T81">
        <f>HYPERLINK("https://klasma.github.io/Logging_1981/kartor/A 41270-2024 karta.png", "A 41270-2024")</f>
        <v/>
      </c>
      <c r="V81">
        <f>HYPERLINK("https://klasma.github.io/Logging_1981/klagomål/A 41270-2024 FSC-klagomål.docx", "A 41270-2024")</f>
        <v/>
      </c>
      <c r="W81">
        <f>HYPERLINK("https://klasma.github.io/Logging_1981/klagomålsmail/A 41270-2024 FSC-klagomål mail.docx", "A 41270-2024")</f>
        <v/>
      </c>
      <c r="X81">
        <f>HYPERLINK("https://klasma.github.io/Logging_1981/tillsyn/A 41270-2024 tillsynsbegäran.docx", "A 41270-2024")</f>
        <v/>
      </c>
      <c r="Y81">
        <f>HYPERLINK("https://klasma.github.io/Logging_1981/tillsynsmail/A 41270-2024 tillsynsbegäran mail.docx", "A 41270-2024")</f>
        <v/>
      </c>
      <c r="Z81">
        <f>HYPERLINK("https://klasma.github.io/Logging_1981/fåglar/A 41270-2024 prioriterade fågelarter.docx", "A 41270-2024")</f>
        <v/>
      </c>
    </row>
    <row r="82" ht="15" customHeight="1">
      <c r="A82" t="inlineStr">
        <is>
          <t>A 43068-2024</t>
        </is>
      </c>
      <c r="B82" s="1" t="n">
        <v>45567</v>
      </c>
      <c r="C82" s="1" t="n">
        <v>45646</v>
      </c>
      <c r="D82" t="inlineStr">
        <is>
          <t>VÄSTMANLANDS LÄN</t>
        </is>
      </c>
      <c r="E82" t="inlineStr">
        <is>
          <t>SALA</t>
        </is>
      </c>
      <c r="G82" t="n">
        <v>1.1</v>
      </c>
      <c r="H82" t="n">
        <v>0</v>
      </c>
      <c r="I82" t="n">
        <v>1</v>
      </c>
      <c r="J82" t="n">
        <v>0</v>
      </c>
      <c r="K82" t="n">
        <v>0</v>
      </c>
      <c r="L82" t="n">
        <v>0</v>
      </c>
      <c r="M82" t="n">
        <v>0</v>
      </c>
      <c r="N82" t="n">
        <v>0</v>
      </c>
      <c r="O82" t="n">
        <v>0</v>
      </c>
      <c r="P82" t="n">
        <v>0</v>
      </c>
      <c r="Q82" t="n">
        <v>1</v>
      </c>
      <c r="R82" s="2" t="inlineStr">
        <is>
          <t>Vedticka</t>
        </is>
      </c>
      <c r="S82">
        <f>HYPERLINK("https://klasma.github.io/Logging_1981/artfynd/A 43068-2024 artfynd.xlsx", "A 43068-2024")</f>
        <v/>
      </c>
      <c r="T82">
        <f>HYPERLINK("https://klasma.github.io/Logging_1981/kartor/A 43068-2024 karta.png", "A 43068-2024")</f>
        <v/>
      </c>
      <c r="V82">
        <f>HYPERLINK("https://klasma.github.io/Logging_1981/klagomål/A 43068-2024 FSC-klagomål.docx", "A 43068-2024")</f>
        <v/>
      </c>
      <c r="W82">
        <f>HYPERLINK("https://klasma.github.io/Logging_1981/klagomålsmail/A 43068-2024 FSC-klagomål mail.docx", "A 43068-2024")</f>
        <v/>
      </c>
      <c r="X82">
        <f>HYPERLINK("https://klasma.github.io/Logging_1981/tillsyn/A 43068-2024 tillsynsbegäran.docx", "A 43068-2024")</f>
        <v/>
      </c>
      <c r="Y82">
        <f>HYPERLINK("https://klasma.github.io/Logging_1981/tillsynsmail/A 43068-2024 tillsynsbegäran mail.docx", "A 43068-2024")</f>
        <v/>
      </c>
    </row>
    <row r="83" ht="15" customHeight="1">
      <c r="A83" t="inlineStr">
        <is>
          <t>A 18255-2019</t>
        </is>
      </c>
      <c r="B83" s="1" t="n">
        <v>43558</v>
      </c>
      <c r="C83" s="1" t="n">
        <v>45646</v>
      </c>
      <c r="D83" t="inlineStr">
        <is>
          <t>VÄSTMANLANDS LÄN</t>
        </is>
      </c>
      <c r="E83" t="inlineStr">
        <is>
          <t>SALA</t>
        </is>
      </c>
      <c r="F83" t="inlineStr">
        <is>
          <t>Kommuner</t>
        </is>
      </c>
      <c r="G83" t="n">
        <v>2.2</v>
      </c>
      <c r="H83" t="n">
        <v>0</v>
      </c>
      <c r="I83" t="n">
        <v>0</v>
      </c>
      <c r="J83" t="n">
        <v>0</v>
      </c>
      <c r="K83" t="n">
        <v>0</v>
      </c>
      <c r="L83" t="n">
        <v>0</v>
      </c>
      <c r="M83" t="n">
        <v>0</v>
      </c>
      <c r="N83" t="n">
        <v>0</v>
      </c>
      <c r="O83" t="n">
        <v>0</v>
      </c>
      <c r="P83" t="n">
        <v>0</v>
      </c>
      <c r="Q83" t="n">
        <v>0</v>
      </c>
      <c r="R83" s="2" t="inlineStr"/>
    </row>
    <row r="84" ht="15" customHeight="1">
      <c r="A84" t="inlineStr">
        <is>
          <t>A 18352-2019</t>
        </is>
      </c>
      <c r="B84" s="1" t="n">
        <v>43559</v>
      </c>
      <c r="C84" s="1" t="n">
        <v>45646</v>
      </c>
      <c r="D84" t="inlineStr">
        <is>
          <t>VÄSTMANLANDS LÄN</t>
        </is>
      </c>
      <c r="E84" t="inlineStr">
        <is>
          <t>SALA</t>
        </is>
      </c>
      <c r="F84" t="inlineStr">
        <is>
          <t>Kommuner</t>
        </is>
      </c>
      <c r="G84" t="n">
        <v>1.7</v>
      </c>
      <c r="H84" t="n">
        <v>0</v>
      </c>
      <c r="I84" t="n">
        <v>0</v>
      </c>
      <c r="J84" t="n">
        <v>0</v>
      </c>
      <c r="K84" t="n">
        <v>0</v>
      </c>
      <c r="L84" t="n">
        <v>0</v>
      </c>
      <c r="M84" t="n">
        <v>0</v>
      </c>
      <c r="N84" t="n">
        <v>0</v>
      </c>
      <c r="O84" t="n">
        <v>0</v>
      </c>
      <c r="P84" t="n">
        <v>0</v>
      </c>
      <c r="Q84" t="n">
        <v>0</v>
      </c>
      <c r="R84" s="2" t="inlineStr"/>
    </row>
    <row r="85" ht="15" customHeight="1">
      <c r="A85" t="inlineStr">
        <is>
          <t>A 18791-2019</t>
        </is>
      </c>
      <c r="B85" s="1" t="n">
        <v>43562</v>
      </c>
      <c r="C85" s="1" t="n">
        <v>45646</v>
      </c>
      <c r="D85" t="inlineStr">
        <is>
          <t>VÄSTMANLANDS LÄN</t>
        </is>
      </c>
      <c r="E85" t="inlineStr">
        <is>
          <t>SALA</t>
        </is>
      </c>
      <c r="G85" t="n">
        <v>3.4</v>
      </c>
      <c r="H85" t="n">
        <v>0</v>
      </c>
      <c r="I85" t="n">
        <v>0</v>
      </c>
      <c r="J85" t="n">
        <v>0</v>
      </c>
      <c r="K85" t="n">
        <v>0</v>
      </c>
      <c r="L85" t="n">
        <v>0</v>
      </c>
      <c r="M85" t="n">
        <v>0</v>
      </c>
      <c r="N85" t="n">
        <v>0</v>
      </c>
      <c r="O85" t="n">
        <v>0</v>
      </c>
      <c r="P85" t="n">
        <v>0</v>
      </c>
      <c r="Q85" t="n">
        <v>0</v>
      </c>
      <c r="R85" s="2" t="inlineStr"/>
    </row>
    <row r="86" ht="15" customHeight="1">
      <c r="A86" t="inlineStr">
        <is>
          <t>A 18961-2019</t>
        </is>
      </c>
      <c r="B86" s="1" t="n">
        <v>43563</v>
      </c>
      <c r="C86" s="1" t="n">
        <v>45646</v>
      </c>
      <c r="D86" t="inlineStr">
        <is>
          <t>VÄSTMANLANDS LÄN</t>
        </is>
      </c>
      <c r="E86" t="inlineStr">
        <is>
          <t>SALA</t>
        </is>
      </c>
      <c r="F86" t="inlineStr">
        <is>
          <t>Kommuner</t>
        </is>
      </c>
      <c r="G86" t="n">
        <v>1.5</v>
      </c>
      <c r="H86" t="n">
        <v>0</v>
      </c>
      <c r="I86" t="n">
        <v>0</v>
      </c>
      <c r="J86" t="n">
        <v>0</v>
      </c>
      <c r="K86" t="n">
        <v>0</v>
      </c>
      <c r="L86" t="n">
        <v>0</v>
      </c>
      <c r="M86" t="n">
        <v>0</v>
      </c>
      <c r="N86" t="n">
        <v>0</v>
      </c>
      <c r="O86" t="n">
        <v>0</v>
      </c>
      <c r="P86" t="n">
        <v>0</v>
      </c>
      <c r="Q86" t="n">
        <v>0</v>
      </c>
      <c r="R86" s="2" t="inlineStr"/>
    </row>
    <row r="87" ht="15" customHeight="1">
      <c r="A87" t="inlineStr">
        <is>
          <t>A 19869-2019</t>
        </is>
      </c>
      <c r="B87" s="1" t="n">
        <v>43567</v>
      </c>
      <c r="C87" s="1" t="n">
        <v>45646</v>
      </c>
      <c r="D87" t="inlineStr">
        <is>
          <t>VÄSTMANLANDS LÄN</t>
        </is>
      </c>
      <c r="E87" t="inlineStr">
        <is>
          <t>SALA</t>
        </is>
      </c>
      <c r="G87" t="n">
        <v>1.6</v>
      </c>
      <c r="H87" t="n">
        <v>0</v>
      </c>
      <c r="I87" t="n">
        <v>0</v>
      </c>
      <c r="J87" t="n">
        <v>0</v>
      </c>
      <c r="K87" t="n">
        <v>0</v>
      </c>
      <c r="L87" t="n">
        <v>0</v>
      </c>
      <c r="M87" t="n">
        <v>0</v>
      </c>
      <c r="N87" t="n">
        <v>0</v>
      </c>
      <c r="O87" t="n">
        <v>0</v>
      </c>
      <c r="P87" t="n">
        <v>0</v>
      </c>
      <c r="Q87" t="n">
        <v>0</v>
      </c>
      <c r="R87" s="2" t="inlineStr"/>
    </row>
    <row r="88" ht="15" customHeight="1">
      <c r="A88" t="inlineStr">
        <is>
          <t>A 21985-2019</t>
        </is>
      </c>
      <c r="B88" s="1" t="n">
        <v>43584</v>
      </c>
      <c r="C88" s="1" t="n">
        <v>45646</v>
      </c>
      <c r="D88" t="inlineStr">
        <is>
          <t>VÄSTMANLANDS LÄN</t>
        </is>
      </c>
      <c r="E88" t="inlineStr">
        <is>
          <t>SALA</t>
        </is>
      </c>
      <c r="G88" t="n">
        <v>1.7</v>
      </c>
      <c r="H88" t="n">
        <v>0</v>
      </c>
      <c r="I88" t="n">
        <v>0</v>
      </c>
      <c r="J88" t="n">
        <v>0</v>
      </c>
      <c r="K88" t="n">
        <v>0</v>
      </c>
      <c r="L88" t="n">
        <v>0</v>
      </c>
      <c r="M88" t="n">
        <v>0</v>
      </c>
      <c r="N88" t="n">
        <v>0</v>
      </c>
      <c r="O88" t="n">
        <v>0</v>
      </c>
      <c r="P88" t="n">
        <v>0</v>
      </c>
      <c r="Q88" t="n">
        <v>0</v>
      </c>
      <c r="R88" s="2" t="inlineStr"/>
    </row>
    <row r="89" ht="15" customHeight="1">
      <c r="A89" t="inlineStr">
        <is>
          <t>A 22249-2019</t>
        </is>
      </c>
      <c r="B89" s="1" t="n">
        <v>43585</v>
      </c>
      <c r="C89" s="1" t="n">
        <v>45646</v>
      </c>
      <c r="D89" t="inlineStr">
        <is>
          <t>VÄSTMANLANDS LÄN</t>
        </is>
      </c>
      <c r="E89" t="inlineStr">
        <is>
          <t>SALA</t>
        </is>
      </c>
      <c r="F89" t="inlineStr">
        <is>
          <t>Kommuner</t>
        </is>
      </c>
      <c r="G89" t="n">
        <v>0.8</v>
      </c>
      <c r="H89" t="n">
        <v>0</v>
      </c>
      <c r="I89" t="n">
        <v>0</v>
      </c>
      <c r="J89" t="n">
        <v>0</v>
      </c>
      <c r="K89" t="n">
        <v>0</v>
      </c>
      <c r="L89" t="n">
        <v>0</v>
      </c>
      <c r="M89" t="n">
        <v>0</v>
      </c>
      <c r="N89" t="n">
        <v>0</v>
      </c>
      <c r="O89" t="n">
        <v>0</v>
      </c>
      <c r="P89" t="n">
        <v>0</v>
      </c>
      <c r="Q89" t="n">
        <v>0</v>
      </c>
      <c r="R89" s="2" t="inlineStr"/>
    </row>
    <row r="90" ht="15" customHeight="1">
      <c r="A90" t="inlineStr">
        <is>
          <t>A 22833-2019</t>
        </is>
      </c>
      <c r="B90" s="1" t="n">
        <v>43591</v>
      </c>
      <c r="C90" s="1" t="n">
        <v>45646</v>
      </c>
      <c r="D90" t="inlineStr">
        <is>
          <t>VÄSTMANLANDS LÄN</t>
        </is>
      </c>
      <c r="E90" t="inlineStr">
        <is>
          <t>SALA</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25005-2019</t>
        </is>
      </c>
      <c r="B91" s="1" t="n">
        <v>43602</v>
      </c>
      <c r="C91" s="1" t="n">
        <v>45646</v>
      </c>
      <c r="D91" t="inlineStr">
        <is>
          <t>VÄSTMANLANDS LÄN</t>
        </is>
      </c>
      <c r="E91" t="inlineStr">
        <is>
          <t>SALA</t>
        </is>
      </c>
      <c r="F91" t="inlineStr">
        <is>
          <t>Kommuner</t>
        </is>
      </c>
      <c r="G91" t="n">
        <v>4.3</v>
      </c>
      <c r="H91" t="n">
        <v>0</v>
      </c>
      <c r="I91" t="n">
        <v>0</v>
      </c>
      <c r="J91" t="n">
        <v>0</v>
      </c>
      <c r="K91" t="n">
        <v>0</v>
      </c>
      <c r="L91" t="n">
        <v>0</v>
      </c>
      <c r="M91" t="n">
        <v>0</v>
      </c>
      <c r="N91" t="n">
        <v>0</v>
      </c>
      <c r="O91" t="n">
        <v>0</v>
      </c>
      <c r="P91" t="n">
        <v>0</v>
      </c>
      <c r="Q91" t="n">
        <v>0</v>
      </c>
      <c r="R91" s="2" t="inlineStr"/>
    </row>
    <row r="92" ht="15" customHeight="1">
      <c r="A92" t="inlineStr">
        <is>
          <t>A 25814-2019</t>
        </is>
      </c>
      <c r="B92" s="1" t="n">
        <v>43608</v>
      </c>
      <c r="C92" s="1" t="n">
        <v>45646</v>
      </c>
      <c r="D92" t="inlineStr">
        <is>
          <t>VÄSTMANLANDS LÄN</t>
        </is>
      </c>
      <c r="E92" t="inlineStr">
        <is>
          <t>SALA</t>
        </is>
      </c>
      <c r="G92" t="n">
        <v>2.1</v>
      </c>
      <c r="H92" t="n">
        <v>0</v>
      </c>
      <c r="I92" t="n">
        <v>0</v>
      </c>
      <c r="J92" t="n">
        <v>0</v>
      </c>
      <c r="K92" t="n">
        <v>0</v>
      </c>
      <c r="L92" t="n">
        <v>0</v>
      </c>
      <c r="M92" t="n">
        <v>0</v>
      </c>
      <c r="N92" t="n">
        <v>0</v>
      </c>
      <c r="O92" t="n">
        <v>0</v>
      </c>
      <c r="P92" t="n">
        <v>0</v>
      </c>
      <c r="Q92" t="n">
        <v>0</v>
      </c>
      <c r="R92" s="2" t="inlineStr"/>
    </row>
    <row r="93" ht="15" customHeight="1">
      <c r="A93" t="inlineStr">
        <is>
          <t>A 26861-2019</t>
        </is>
      </c>
      <c r="B93" s="1" t="n">
        <v>43613</v>
      </c>
      <c r="C93" s="1" t="n">
        <v>45646</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27164-2019</t>
        </is>
      </c>
      <c r="B94" s="1" t="n">
        <v>43614</v>
      </c>
      <c r="C94" s="1" t="n">
        <v>45646</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27040-2019</t>
        </is>
      </c>
      <c r="B95" s="1" t="n">
        <v>43614</v>
      </c>
      <c r="C95" s="1" t="n">
        <v>45646</v>
      </c>
      <c r="D95" t="inlineStr">
        <is>
          <t>VÄSTMANLANDS LÄN</t>
        </is>
      </c>
      <c r="E95" t="inlineStr">
        <is>
          <t>SALA</t>
        </is>
      </c>
      <c r="G95" t="n">
        <v>1.4</v>
      </c>
      <c r="H95" t="n">
        <v>0</v>
      </c>
      <c r="I95" t="n">
        <v>0</v>
      </c>
      <c r="J95" t="n">
        <v>0</v>
      </c>
      <c r="K95" t="n">
        <v>0</v>
      </c>
      <c r="L95" t="n">
        <v>0</v>
      </c>
      <c r="M95" t="n">
        <v>0</v>
      </c>
      <c r="N95" t="n">
        <v>0</v>
      </c>
      <c r="O95" t="n">
        <v>0</v>
      </c>
      <c r="P95" t="n">
        <v>0</v>
      </c>
      <c r="Q95" t="n">
        <v>0</v>
      </c>
      <c r="R95" s="2" t="inlineStr"/>
    </row>
    <row r="96" ht="15" customHeight="1">
      <c r="A96" t="inlineStr">
        <is>
          <t>A 28132-2019</t>
        </is>
      </c>
      <c r="B96" s="1" t="n">
        <v>43621</v>
      </c>
      <c r="C96" s="1" t="n">
        <v>45646</v>
      </c>
      <c r="D96" t="inlineStr">
        <is>
          <t>VÄSTMANLANDS LÄN</t>
        </is>
      </c>
      <c r="E96" t="inlineStr">
        <is>
          <t>SALA</t>
        </is>
      </c>
      <c r="G96" t="n">
        <v>2.4</v>
      </c>
      <c r="H96" t="n">
        <v>0</v>
      </c>
      <c r="I96" t="n">
        <v>0</v>
      </c>
      <c r="J96" t="n">
        <v>0</v>
      </c>
      <c r="K96" t="n">
        <v>0</v>
      </c>
      <c r="L96" t="n">
        <v>0</v>
      </c>
      <c r="M96" t="n">
        <v>0</v>
      </c>
      <c r="N96" t="n">
        <v>0</v>
      </c>
      <c r="O96" t="n">
        <v>0</v>
      </c>
      <c r="P96" t="n">
        <v>0</v>
      </c>
      <c r="Q96" t="n">
        <v>0</v>
      </c>
      <c r="R96" s="2" t="inlineStr"/>
    </row>
    <row r="97" ht="15" customHeight="1">
      <c r="A97" t="inlineStr">
        <is>
          <t>A 28143-2019</t>
        </is>
      </c>
      <c r="B97" s="1" t="n">
        <v>43621</v>
      </c>
      <c r="C97" s="1" t="n">
        <v>45646</v>
      </c>
      <c r="D97" t="inlineStr">
        <is>
          <t>VÄSTMANLANDS LÄN</t>
        </is>
      </c>
      <c r="E97" t="inlineStr">
        <is>
          <t>SALA</t>
        </is>
      </c>
      <c r="G97" t="n">
        <v>2.3</v>
      </c>
      <c r="H97" t="n">
        <v>0</v>
      </c>
      <c r="I97" t="n">
        <v>0</v>
      </c>
      <c r="J97" t="n">
        <v>0</v>
      </c>
      <c r="K97" t="n">
        <v>0</v>
      </c>
      <c r="L97" t="n">
        <v>0</v>
      </c>
      <c r="M97" t="n">
        <v>0</v>
      </c>
      <c r="N97" t="n">
        <v>0</v>
      </c>
      <c r="O97" t="n">
        <v>0</v>
      </c>
      <c r="P97" t="n">
        <v>0</v>
      </c>
      <c r="Q97" t="n">
        <v>0</v>
      </c>
      <c r="R97" s="2" t="inlineStr"/>
    </row>
    <row r="98" ht="15" customHeight="1">
      <c r="A98" t="inlineStr">
        <is>
          <t>A 28162-2019</t>
        </is>
      </c>
      <c r="B98" s="1" t="n">
        <v>43621</v>
      </c>
      <c r="C98" s="1" t="n">
        <v>45646</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29023-2019</t>
        </is>
      </c>
      <c r="B99" s="1" t="n">
        <v>43628</v>
      </c>
      <c r="C99" s="1" t="n">
        <v>45646</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29331-2019</t>
        </is>
      </c>
      <c r="B100" s="1" t="n">
        <v>43629</v>
      </c>
      <c r="C100" s="1" t="n">
        <v>45646</v>
      </c>
      <c r="D100" t="inlineStr">
        <is>
          <t>VÄSTMANLANDS LÄN</t>
        </is>
      </c>
      <c r="E100" t="inlineStr">
        <is>
          <t>SALA</t>
        </is>
      </c>
      <c r="G100" t="n">
        <v>5</v>
      </c>
      <c r="H100" t="n">
        <v>0</v>
      </c>
      <c r="I100" t="n">
        <v>0</v>
      </c>
      <c r="J100" t="n">
        <v>0</v>
      </c>
      <c r="K100" t="n">
        <v>0</v>
      </c>
      <c r="L100" t="n">
        <v>0</v>
      </c>
      <c r="M100" t="n">
        <v>0</v>
      </c>
      <c r="N100" t="n">
        <v>0</v>
      </c>
      <c r="O100" t="n">
        <v>0</v>
      </c>
      <c r="P100" t="n">
        <v>0</v>
      </c>
      <c r="Q100" t="n">
        <v>0</v>
      </c>
      <c r="R100" s="2" t="inlineStr"/>
    </row>
    <row r="101" ht="15" customHeight="1">
      <c r="A101" t="inlineStr">
        <is>
          <t>A 31225-2019</t>
        </is>
      </c>
      <c r="B101" s="1" t="n">
        <v>43635</v>
      </c>
      <c r="C101" s="1" t="n">
        <v>45646</v>
      </c>
      <c r="D101" t="inlineStr">
        <is>
          <t>VÄSTMANLANDS LÄN</t>
        </is>
      </c>
      <c r="E101" t="inlineStr">
        <is>
          <t>SALA</t>
        </is>
      </c>
      <c r="G101" t="n">
        <v>1.5</v>
      </c>
      <c r="H101" t="n">
        <v>0</v>
      </c>
      <c r="I101" t="n">
        <v>0</v>
      </c>
      <c r="J101" t="n">
        <v>0</v>
      </c>
      <c r="K101" t="n">
        <v>0</v>
      </c>
      <c r="L101" t="n">
        <v>0</v>
      </c>
      <c r="M101" t="n">
        <v>0</v>
      </c>
      <c r="N101" t="n">
        <v>0</v>
      </c>
      <c r="O101" t="n">
        <v>0</v>
      </c>
      <c r="P101" t="n">
        <v>0</v>
      </c>
      <c r="Q101" t="n">
        <v>0</v>
      </c>
      <c r="R101" s="2" t="inlineStr"/>
    </row>
    <row r="102" ht="15" customHeight="1">
      <c r="A102" t="inlineStr">
        <is>
          <t>A 30974-2019</t>
        </is>
      </c>
      <c r="B102" s="1" t="n">
        <v>43639</v>
      </c>
      <c r="C102" s="1" t="n">
        <v>45646</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34709-2019</t>
        </is>
      </c>
      <c r="B103" s="1" t="n">
        <v>43648</v>
      </c>
      <c r="C103" s="1" t="n">
        <v>45646</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35690-2019</t>
        </is>
      </c>
      <c r="B104" s="1" t="n">
        <v>43664</v>
      </c>
      <c r="C104" s="1" t="n">
        <v>45646</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36142-2019</t>
        </is>
      </c>
      <c r="B105" s="1" t="n">
        <v>43668</v>
      </c>
      <c r="C105" s="1" t="n">
        <v>45646</v>
      </c>
      <c r="D105" t="inlineStr">
        <is>
          <t>VÄSTMANLANDS LÄN</t>
        </is>
      </c>
      <c r="E105" t="inlineStr">
        <is>
          <t>SALA</t>
        </is>
      </c>
      <c r="G105" t="n">
        <v>0.6</v>
      </c>
      <c r="H105" t="n">
        <v>0</v>
      </c>
      <c r="I105" t="n">
        <v>0</v>
      </c>
      <c r="J105" t="n">
        <v>0</v>
      </c>
      <c r="K105" t="n">
        <v>0</v>
      </c>
      <c r="L105" t="n">
        <v>0</v>
      </c>
      <c r="M105" t="n">
        <v>0</v>
      </c>
      <c r="N105" t="n">
        <v>0</v>
      </c>
      <c r="O105" t="n">
        <v>0</v>
      </c>
      <c r="P105" t="n">
        <v>0</v>
      </c>
      <c r="Q105" t="n">
        <v>0</v>
      </c>
      <c r="R105" s="2" t="inlineStr"/>
    </row>
    <row r="106" ht="15" customHeight="1">
      <c r="A106" t="inlineStr">
        <is>
          <t>A 36429-2019</t>
        </is>
      </c>
      <c r="B106" s="1" t="n">
        <v>43670</v>
      </c>
      <c r="C106" s="1" t="n">
        <v>45646</v>
      </c>
      <c r="D106" t="inlineStr">
        <is>
          <t>VÄSTMANLANDS LÄN</t>
        </is>
      </c>
      <c r="E106" t="inlineStr">
        <is>
          <t>SALA</t>
        </is>
      </c>
      <c r="G106" t="n">
        <v>2</v>
      </c>
      <c r="H106" t="n">
        <v>0</v>
      </c>
      <c r="I106" t="n">
        <v>0</v>
      </c>
      <c r="J106" t="n">
        <v>0</v>
      </c>
      <c r="K106" t="n">
        <v>0</v>
      </c>
      <c r="L106" t="n">
        <v>0</v>
      </c>
      <c r="M106" t="n">
        <v>0</v>
      </c>
      <c r="N106" t="n">
        <v>0</v>
      </c>
      <c r="O106" t="n">
        <v>0</v>
      </c>
      <c r="P106" t="n">
        <v>0</v>
      </c>
      <c r="Q106" t="n">
        <v>0</v>
      </c>
      <c r="R106" s="2" t="inlineStr"/>
    </row>
    <row r="107" ht="15" customHeight="1">
      <c r="A107" t="inlineStr">
        <is>
          <t>A 36600-2019</t>
        </is>
      </c>
      <c r="B107" s="1" t="n">
        <v>43671</v>
      </c>
      <c r="C107" s="1" t="n">
        <v>45646</v>
      </c>
      <c r="D107" t="inlineStr">
        <is>
          <t>VÄSTMANLANDS LÄN</t>
        </is>
      </c>
      <c r="E107" t="inlineStr">
        <is>
          <t>SALA</t>
        </is>
      </c>
      <c r="F107" t="inlineStr">
        <is>
          <t>Kyrkan</t>
        </is>
      </c>
      <c r="G107" t="n">
        <v>4.3</v>
      </c>
      <c r="H107" t="n">
        <v>0</v>
      </c>
      <c r="I107" t="n">
        <v>0</v>
      </c>
      <c r="J107" t="n">
        <v>0</v>
      </c>
      <c r="K107" t="n">
        <v>0</v>
      </c>
      <c r="L107" t="n">
        <v>0</v>
      </c>
      <c r="M107" t="n">
        <v>0</v>
      </c>
      <c r="N107" t="n">
        <v>0</v>
      </c>
      <c r="O107" t="n">
        <v>0</v>
      </c>
      <c r="P107" t="n">
        <v>0</v>
      </c>
      <c r="Q107" t="n">
        <v>0</v>
      </c>
      <c r="R107" s="2" t="inlineStr"/>
    </row>
    <row r="108" ht="15" customHeight="1">
      <c r="A108" t="inlineStr">
        <is>
          <t>A 37186-2019</t>
        </is>
      </c>
      <c r="B108" s="1" t="n">
        <v>43677</v>
      </c>
      <c r="C108" s="1" t="n">
        <v>45646</v>
      </c>
      <c r="D108" t="inlineStr">
        <is>
          <t>VÄSTMANLANDS LÄN</t>
        </is>
      </c>
      <c r="E108" t="inlineStr">
        <is>
          <t>SALA</t>
        </is>
      </c>
      <c r="G108" t="n">
        <v>1.8</v>
      </c>
      <c r="H108" t="n">
        <v>0</v>
      </c>
      <c r="I108" t="n">
        <v>0</v>
      </c>
      <c r="J108" t="n">
        <v>0</v>
      </c>
      <c r="K108" t="n">
        <v>0</v>
      </c>
      <c r="L108" t="n">
        <v>0</v>
      </c>
      <c r="M108" t="n">
        <v>0</v>
      </c>
      <c r="N108" t="n">
        <v>0</v>
      </c>
      <c r="O108" t="n">
        <v>0</v>
      </c>
      <c r="P108" t="n">
        <v>0</v>
      </c>
      <c r="Q108" t="n">
        <v>0</v>
      </c>
      <c r="R108" s="2" t="inlineStr"/>
    </row>
    <row r="109" ht="15" customHeight="1">
      <c r="A109" t="inlineStr">
        <is>
          <t>A 37533-2019</t>
        </is>
      </c>
      <c r="B109" s="1" t="n">
        <v>43679</v>
      </c>
      <c r="C109" s="1" t="n">
        <v>45646</v>
      </c>
      <c r="D109" t="inlineStr">
        <is>
          <t>VÄSTMANLANDS LÄN</t>
        </is>
      </c>
      <c r="E109" t="inlineStr">
        <is>
          <t>SALA</t>
        </is>
      </c>
      <c r="G109" t="n">
        <v>7.9</v>
      </c>
      <c r="H109" t="n">
        <v>0</v>
      </c>
      <c r="I109" t="n">
        <v>0</v>
      </c>
      <c r="J109" t="n">
        <v>0</v>
      </c>
      <c r="K109" t="n">
        <v>0</v>
      </c>
      <c r="L109" t="n">
        <v>0</v>
      </c>
      <c r="M109" t="n">
        <v>0</v>
      </c>
      <c r="N109" t="n">
        <v>0</v>
      </c>
      <c r="O109" t="n">
        <v>0</v>
      </c>
      <c r="P109" t="n">
        <v>0</v>
      </c>
      <c r="Q109" t="n">
        <v>0</v>
      </c>
      <c r="R109" s="2" t="inlineStr"/>
    </row>
    <row r="110" ht="15" customHeight="1">
      <c r="A110" t="inlineStr">
        <is>
          <t>A 38645-2019</t>
        </is>
      </c>
      <c r="B110" s="1" t="n">
        <v>43686</v>
      </c>
      <c r="C110" s="1" t="n">
        <v>45646</v>
      </c>
      <c r="D110" t="inlineStr">
        <is>
          <t>VÄSTMANLANDS LÄN</t>
        </is>
      </c>
      <c r="E110" t="inlineStr">
        <is>
          <t>SALA</t>
        </is>
      </c>
      <c r="G110" t="n">
        <v>1.5</v>
      </c>
      <c r="H110" t="n">
        <v>0</v>
      </c>
      <c r="I110" t="n">
        <v>0</v>
      </c>
      <c r="J110" t="n">
        <v>0</v>
      </c>
      <c r="K110" t="n">
        <v>0</v>
      </c>
      <c r="L110" t="n">
        <v>0</v>
      </c>
      <c r="M110" t="n">
        <v>0</v>
      </c>
      <c r="N110" t="n">
        <v>0</v>
      </c>
      <c r="O110" t="n">
        <v>0</v>
      </c>
      <c r="P110" t="n">
        <v>0</v>
      </c>
      <c r="Q110" t="n">
        <v>0</v>
      </c>
      <c r="R110" s="2" t="inlineStr"/>
    </row>
    <row r="111" ht="15" customHeight="1">
      <c r="A111" t="inlineStr">
        <is>
          <t>A 41259-2019</t>
        </is>
      </c>
      <c r="B111" s="1" t="n">
        <v>43698</v>
      </c>
      <c r="C111" s="1" t="n">
        <v>45646</v>
      </c>
      <c r="D111" t="inlineStr">
        <is>
          <t>VÄSTMANLANDS LÄN</t>
        </is>
      </c>
      <c r="E111" t="inlineStr">
        <is>
          <t>SALA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45302-2019</t>
        </is>
      </c>
      <c r="B112" s="1" t="n">
        <v>43707</v>
      </c>
      <c r="C112" s="1" t="n">
        <v>45646</v>
      </c>
      <c r="D112" t="inlineStr">
        <is>
          <t>VÄSTMANLANDS LÄN</t>
        </is>
      </c>
      <c r="E112" t="inlineStr">
        <is>
          <t>SALA</t>
        </is>
      </c>
      <c r="G112" t="n">
        <v>2.1</v>
      </c>
      <c r="H112" t="n">
        <v>0</v>
      </c>
      <c r="I112" t="n">
        <v>0</v>
      </c>
      <c r="J112" t="n">
        <v>0</v>
      </c>
      <c r="K112" t="n">
        <v>0</v>
      </c>
      <c r="L112" t="n">
        <v>0</v>
      </c>
      <c r="M112" t="n">
        <v>0</v>
      </c>
      <c r="N112" t="n">
        <v>0</v>
      </c>
      <c r="O112" t="n">
        <v>0</v>
      </c>
      <c r="P112" t="n">
        <v>0</v>
      </c>
      <c r="Q112" t="n">
        <v>0</v>
      </c>
      <c r="R112" s="2" t="inlineStr"/>
    </row>
    <row r="113" ht="15" customHeight="1">
      <c r="A113" t="inlineStr">
        <is>
          <t>A 46936-2019</t>
        </is>
      </c>
      <c r="B113" s="1" t="n">
        <v>43719</v>
      </c>
      <c r="C113" s="1" t="n">
        <v>45646</v>
      </c>
      <c r="D113" t="inlineStr">
        <is>
          <t>VÄSTMANLANDS LÄN</t>
        </is>
      </c>
      <c r="E113" t="inlineStr">
        <is>
          <t>SALA</t>
        </is>
      </c>
      <c r="G113" t="n">
        <v>4.6</v>
      </c>
      <c r="H113" t="n">
        <v>0</v>
      </c>
      <c r="I113" t="n">
        <v>0</v>
      </c>
      <c r="J113" t="n">
        <v>0</v>
      </c>
      <c r="K113" t="n">
        <v>0</v>
      </c>
      <c r="L113" t="n">
        <v>0</v>
      </c>
      <c r="M113" t="n">
        <v>0</v>
      </c>
      <c r="N113" t="n">
        <v>0</v>
      </c>
      <c r="O113" t="n">
        <v>0</v>
      </c>
      <c r="P113" t="n">
        <v>0</v>
      </c>
      <c r="Q113" t="n">
        <v>0</v>
      </c>
      <c r="R113" s="2" t="inlineStr"/>
    </row>
    <row r="114" ht="15" customHeight="1">
      <c r="A114" t="inlineStr">
        <is>
          <t>A 48617-2019</t>
        </is>
      </c>
      <c r="B114" s="1" t="n">
        <v>43727</v>
      </c>
      <c r="C114" s="1" t="n">
        <v>45646</v>
      </c>
      <c r="D114" t="inlineStr">
        <is>
          <t>VÄSTMANLANDS LÄN</t>
        </is>
      </c>
      <c r="E114" t="inlineStr">
        <is>
          <t>SALA</t>
        </is>
      </c>
      <c r="G114" t="n">
        <v>0.9</v>
      </c>
      <c r="H114" t="n">
        <v>0</v>
      </c>
      <c r="I114" t="n">
        <v>0</v>
      </c>
      <c r="J114" t="n">
        <v>0</v>
      </c>
      <c r="K114" t="n">
        <v>0</v>
      </c>
      <c r="L114" t="n">
        <v>0</v>
      </c>
      <c r="M114" t="n">
        <v>0</v>
      </c>
      <c r="N114" t="n">
        <v>0</v>
      </c>
      <c r="O114" t="n">
        <v>0</v>
      </c>
      <c r="P114" t="n">
        <v>0</v>
      </c>
      <c r="Q114" t="n">
        <v>0</v>
      </c>
      <c r="R114" s="2" t="inlineStr"/>
    </row>
    <row r="115" ht="15" customHeight="1">
      <c r="A115" t="inlineStr">
        <is>
          <t>A 48681-2019</t>
        </is>
      </c>
      <c r="B115" s="1" t="n">
        <v>43728</v>
      </c>
      <c r="C115" s="1" t="n">
        <v>45646</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52756-2019</t>
        </is>
      </c>
      <c r="B116" s="1" t="n">
        <v>43739</v>
      </c>
      <c r="C116" s="1" t="n">
        <v>45646</v>
      </c>
      <c r="D116" t="inlineStr">
        <is>
          <t>VÄSTMANLANDS LÄN</t>
        </is>
      </c>
      <c r="E116" t="inlineStr">
        <is>
          <t>SALA</t>
        </is>
      </c>
      <c r="G116" t="n">
        <v>4.2</v>
      </c>
      <c r="H116" t="n">
        <v>0</v>
      </c>
      <c r="I116" t="n">
        <v>0</v>
      </c>
      <c r="J116" t="n">
        <v>0</v>
      </c>
      <c r="K116" t="n">
        <v>0</v>
      </c>
      <c r="L116" t="n">
        <v>0</v>
      </c>
      <c r="M116" t="n">
        <v>0</v>
      </c>
      <c r="N116" t="n">
        <v>0</v>
      </c>
      <c r="O116" t="n">
        <v>0</v>
      </c>
      <c r="P116" t="n">
        <v>0</v>
      </c>
      <c r="Q116" t="n">
        <v>0</v>
      </c>
      <c r="R116" s="2" t="inlineStr"/>
    </row>
    <row r="117" ht="15" customHeight="1">
      <c r="A117" t="inlineStr">
        <is>
          <t>A 51854-2019</t>
        </is>
      </c>
      <c r="B117" s="1" t="n">
        <v>43741</v>
      </c>
      <c r="C117" s="1" t="n">
        <v>45646</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54393-2019</t>
        </is>
      </c>
      <c r="B118" s="1" t="n">
        <v>43746</v>
      </c>
      <c r="C118" s="1" t="n">
        <v>45646</v>
      </c>
      <c r="D118" t="inlineStr">
        <is>
          <t>VÄSTMANLANDS LÄN</t>
        </is>
      </c>
      <c r="E118" t="inlineStr">
        <is>
          <t>SALA</t>
        </is>
      </c>
      <c r="G118" t="n">
        <v>3.2</v>
      </c>
      <c r="H118" t="n">
        <v>0</v>
      </c>
      <c r="I118" t="n">
        <v>0</v>
      </c>
      <c r="J118" t="n">
        <v>0</v>
      </c>
      <c r="K118" t="n">
        <v>0</v>
      </c>
      <c r="L118" t="n">
        <v>0</v>
      </c>
      <c r="M118" t="n">
        <v>0</v>
      </c>
      <c r="N118" t="n">
        <v>0</v>
      </c>
      <c r="O118" t="n">
        <v>0</v>
      </c>
      <c r="P118" t="n">
        <v>0</v>
      </c>
      <c r="Q118" t="n">
        <v>0</v>
      </c>
      <c r="R118" s="2" t="inlineStr"/>
    </row>
    <row r="119" ht="15" customHeight="1">
      <c r="A119" t="inlineStr">
        <is>
          <t>A 54069-2019</t>
        </is>
      </c>
      <c r="B119" s="1" t="n">
        <v>43752</v>
      </c>
      <c r="C119" s="1" t="n">
        <v>45646</v>
      </c>
      <c r="D119" t="inlineStr">
        <is>
          <t>VÄSTMANLANDS LÄN</t>
        </is>
      </c>
      <c r="E119" t="inlineStr">
        <is>
          <t>SALA</t>
        </is>
      </c>
      <c r="G119" t="n">
        <v>3.5</v>
      </c>
      <c r="H119" t="n">
        <v>0</v>
      </c>
      <c r="I119" t="n">
        <v>0</v>
      </c>
      <c r="J119" t="n">
        <v>0</v>
      </c>
      <c r="K119" t="n">
        <v>0</v>
      </c>
      <c r="L119" t="n">
        <v>0</v>
      </c>
      <c r="M119" t="n">
        <v>0</v>
      </c>
      <c r="N119" t="n">
        <v>0</v>
      </c>
      <c r="O119" t="n">
        <v>0</v>
      </c>
      <c r="P119" t="n">
        <v>0</v>
      </c>
      <c r="Q119" t="n">
        <v>0</v>
      </c>
      <c r="R119" s="2" t="inlineStr"/>
    </row>
    <row r="120" ht="15" customHeight="1">
      <c r="A120" t="inlineStr">
        <is>
          <t>A 57743-2019</t>
        </is>
      </c>
      <c r="B120" s="1" t="n">
        <v>43768</v>
      </c>
      <c r="C120" s="1" t="n">
        <v>45646</v>
      </c>
      <c r="D120" t="inlineStr">
        <is>
          <t>VÄSTMANLANDS LÄN</t>
        </is>
      </c>
      <c r="E120" t="inlineStr">
        <is>
          <t>SALA</t>
        </is>
      </c>
      <c r="G120" t="n">
        <v>3.8</v>
      </c>
      <c r="H120" t="n">
        <v>0</v>
      </c>
      <c r="I120" t="n">
        <v>0</v>
      </c>
      <c r="J120" t="n">
        <v>0</v>
      </c>
      <c r="K120" t="n">
        <v>0</v>
      </c>
      <c r="L120" t="n">
        <v>0</v>
      </c>
      <c r="M120" t="n">
        <v>0</v>
      </c>
      <c r="N120" t="n">
        <v>0</v>
      </c>
      <c r="O120" t="n">
        <v>0</v>
      </c>
      <c r="P120" t="n">
        <v>0</v>
      </c>
      <c r="Q120" t="n">
        <v>0</v>
      </c>
      <c r="R120" s="2" t="inlineStr"/>
    </row>
    <row r="121" ht="15" customHeight="1">
      <c r="A121" t="inlineStr">
        <is>
          <t>A 58003-2019</t>
        </is>
      </c>
      <c r="B121" s="1" t="n">
        <v>43769</v>
      </c>
      <c r="C121" s="1" t="n">
        <v>45646</v>
      </c>
      <c r="D121" t="inlineStr">
        <is>
          <t>VÄSTMANLANDS LÄN</t>
        </is>
      </c>
      <c r="E121" t="inlineStr">
        <is>
          <t>SALA</t>
        </is>
      </c>
      <c r="G121" t="n">
        <v>1.3</v>
      </c>
      <c r="H121" t="n">
        <v>0</v>
      </c>
      <c r="I121" t="n">
        <v>0</v>
      </c>
      <c r="J121" t="n">
        <v>0</v>
      </c>
      <c r="K121" t="n">
        <v>0</v>
      </c>
      <c r="L121" t="n">
        <v>0</v>
      </c>
      <c r="M121" t="n">
        <v>0</v>
      </c>
      <c r="N121" t="n">
        <v>0</v>
      </c>
      <c r="O121" t="n">
        <v>0</v>
      </c>
      <c r="P121" t="n">
        <v>0</v>
      </c>
      <c r="Q121" t="n">
        <v>0</v>
      </c>
      <c r="R121" s="2" t="inlineStr"/>
    </row>
    <row r="122" ht="15" customHeight="1">
      <c r="A122" t="inlineStr">
        <is>
          <t>A 58027-2019</t>
        </is>
      </c>
      <c r="B122" s="1" t="n">
        <v>43769</v>
      </c>
      <c r="C122" s="1" t="n">
        <v>45646</v>
      </c>
      <c r="D122" t="inlineStr">
        <is>
          <t>VÄSTMANLANDS LÄN</t>
        </is>
      </c>
      <c r="E122" t="inlineStr">
        <is>
          <t>SALA</t>
        </is>
      </c>
      <c r="G122" t="n">
        <v>2.4</v>
      </c>
      <c r="H122" t="n">
        <v>0</v>
      </c>
      <c r="I122" t="n">
        <v>0</v>
      </c>
      <c r="J122" t="n">
        <v>0</v>
      </c>
      <c r="K122" t="n">
        <v>0</v>
      </c>
      <c r="L122" t="n">
        <v>0</v>
      </c>
      <c r="M122" t="n">
        <v>0</v>
      </c>
      <c r="N122" t="n">
        <v>0</v>
      </c>
      <c r="O122" t="n">
        <v>0</v>
      </c>
      <c r="P122" t="n">
        <v>0</v>
      </c>
      <c r="Q122" t="n">
        <v>0</v>
      </c>
      <c r="R122" s="2" t="inlineStr"/>
    </row>
    <row r="123" ht="15" customHeight="1">
      <c r="A123" t="inlineStr">
        <is>
          <t>A 58681-2019</t>
        </is>
      </c>
      <c r="B123" s="1" t="n">
        <v>43773</v>
      </c>
      <c r="C123" s="1" t="n">
        <v>45646</v>
      </c>
      <c r="D123" t="inlineStr">
        <is>
          <t>VÄSTMANLANDS LÄN</t>
        </is>
      </c>
      <c r="E123" t="inlineStr">
        <is>
          <t>SALA</t>
        </is>
      </c>
      <c r="G123" t="n">
        <v>3</v>
      </c>
      <c r="H123" t="n">
        <v>0</v>
      </c>
      <c r="I123" t="n">
        <v>0</v>
      </c>
      <c r="J123" t="n">
        <v>0</v>
      </c>
      <c r="K123" t="n">
        <v>0</v>
      </c>
      <c r="L123" t="n">
        <v>0</v>
      </c>
      <c r="M123" t="n">
        <v>0</v>
      </c>
      <c r="N123" t="n">
        <v>0</v>
      </c>
      <c r="O123" t="n">
        <v>0</v>
      </c>
      <c r="P123" t="n">
        <v>0</v>
      </c>
      <c r="Q123" t="n">
        <v>0</v>
      </c>
      <c r="R123" s="2" t="inlineStr"/>
    </row>
    <row r="124" ht="15" customHeight="1">
      <c r="A124" t="inlineStr">
        <is>
          <t>A 58917-2019</t>
        </is>
      </c>
      <c r="B124" s="1" t="n">
        <v>43774</v>
      </c>
      <c r="C124" s="1" t="n">
        <v>45646</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59147-2019</t>
        </is>
      </c>
      <c r="B125" s="1" t="n">
        <v>43775</v>
      </c>
      <c r="C125" s="1" t="n">
        <v>45646</v>
      </c>
      <c r="D125" t="inlineStr">
        <is>
          <t>VÄSTMANLANDS LÄN</t>
        </is>
      </c>
      <c r="E125" t="inlineStr">
        <is>
          <t>SALA</t>
        </is>
      </c>
      <c r="F125" t="inlineStr">
        <is>
          <t>Övriga Aktiebolag</t>
        </is>
      </c>
      <c r="G125" t="n">
        <v>69.8</v>
      </c>
      <c r="H125" t="n">
        <v>0</v>
      </c>
      <c r="I125" t="n">
        <v>0</v>
      </c>
      <c r="J125" t="n">
        <v>0</v>
      </c>
      <c r="K125" t="n">
        <v>0</v>
      </c>
      <c r="L125" t="n">
        <v>0</v>
      </c>
      <c r="M125" t="n">
        <v>0</v>
      </c>
      <c r="N125" t="n">
        <v>0</v>
      </c>
      <c r="O125" t="n">
        <v>0</v>
      </c>
      <c r="P125" t="n">
        <v>0</v>
      </c>
      <c r="Q125" t="n">
        <v>0</v>
      </c>
      <c r="R125" s="2" t="inlineStr"/>
    </row>
    <row r="126" ht="15" customHeight="1">
      <c r="A126" t="inlineStr">
        <is>
          <t>A 60007-2019</t>
        </is>
      </c>
      <c r="B126" s="1" t="n">
        <v>43777</v>
      </c>
      <c r="C126" s="1" t="n">
        <v>45646</v>
      </c>
      <c r="D126" t="inlineStr">
        <is>
          <t>VÄSTMANLANDS LÄN</t>
        </is>
      </c>
      <c r="E126" t="inlineStr">
        <is>
          <t>SALA</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60012-2019</t>
        </is>
      </c>
      <c r="B127" s="1" t="n">
        <v>43777</v>
      </c>
      <c r="C127" s="1" t="n">
        <v>45646</v>
      </c>
      <c r="D127" t="inlineStr">
        <is>
          <t>VÄSTMANLANDS LÄN</t>
        </is>
      </c>
      <c r="E127" t="inlineStr">
        <is>
          <t>SALA</t>
        </is>
      </c>
      <c r="F127" t="inlineStr">
        <is>
          <t>Kyrkan</t>
        </is>
      </c>
      <c r="G127" t="n">
        <v>1.5</v>
      </c>
      <c r="H127" t="n">
        <v>0</v>
      </c>
      <c r="I127" t="n">
        <v>0</v>
      </c>
      <c r="J127" t="n">
        <v>0</v>
      </c>
      <c r="K127" t="n">
        <v>0</v>
      </c>
      <c r="L127" t="n">
        <v>0</v>
      </c>
      <c r="M127" t="n">
        <v>0</v>
      </c>
      <c r="N127" t="n">
        <v>0</v>
      </c>
      <c r="O127" t="n">
        <v>0</v>
      </c>
      <c r="P127" t="n">
        <v>0</v>
      </c>
      <c r="Q127" t="n">
        <v>0</v>
      </c>
      <c r="R127" s="2" t="inlineStr"/>
    </row>
    <row r="128" ht="15" customHeight="1">
      <c r="A128" t="inlineStr">
        <is>
          <t>A 61270-2019</t>
        </is>
      </c>
      <c r="B128" s="1" t="n">
        <v>43783</v>
      </c>
      <c r="C128" s="1" t="n">
        <v>45646</v>
      </c>
      <c r="D128" t="inlineStr">
        <is>
          <t>VÄSTMANLANDS LÄN</t>
        </is>
      </c>
      <c r="E128" t="inlineStr">
        <is>
          <t>SALA</t>
        </is>
      </c>
      <c r="G128" t="n">
        <v>3.3</v>
      </c>
      <c r="H128" t="n">
        <v>0</v>
      </c>
      <c r="I128" t="n">
        <v>0</v>
      </c>
      <c r="J128" t="n">
        <v>0</v>
      </c>
      <c r="K128" t="n">
        <v>0</v>
      </c>
      <c r="L128" t="n">
        <v>0</v>
      </c>
      <c r="M128" t="n">
        <v>0</v>
      </c>
      <c r="N128" t="n">
        <v>0</v>
      </c>
      <c r="O128" t="n">
        <v>0</v>
      </c>
      <c r="P128" t="n">
        <v>0</v>
      </c>
      <c r="Q128" t="n">
        <v>0</v>
      </c>
      <c r="R128" s="2" t="inlineStr"/>
    </row>
    <row r="129" ht="15" customHeight="1">
      <c r="A129" t="inlineStr">
        <is>
          <t>A 61394-2019</t>
        </is>
      </c>
      <c r="B129" s="1" t="n">
        <v>43783</v>
      </c>
      <c r="C129" s="1" t="n">
        <v>45646</v>
      </c>
      <c r="D129" t="inlineStr">
        <is>
          <t>VÄSTMANLANDS LÄN</t>
        </is>
      </c>
      <c r="E129" t="inlineStr">
        <is>
          <t>SALA</t>
        </is>
      </c>
      <c r="G129" t="n">
        <v>7.8</v>
      </c>
      <c r="H129" t="n">
        <v>0</v>
      </c>
      <c r="I129" t="n">
        <v>0</v>
      </c>
      <c r="J129" t="n">
        <v>0</v>
      </c>
      <c r="K129" t="n">
        <v>0</v>
      </c>
      <c r="L129" t="n">
        <v>0</v>
      </c>
      <c r="M129" t="n">
        <v>0</v>
      </c>
      <c r="N129" t="n">
        <v>0</v>
      </c>
      <c r="O129" t="n">
        <v>0</v>
      </c>
      <c r="P129" t="n">
        <v>0</v>
      </c>
      <c r="Q129" t="n">
        <v>0</v>
      </c>
      <c r="R129" s="2" t="inlineStr"/>
    </row>
    <row r="130" ht="15" customHeight="1">
      <c r="A130" t="inlineStr">
        <is>
          <t>A 61758-2019</t>
        </is>
      </c>
      <c r="B130" s="1" t="n">
        <v>43784</v>
      </c>
      <c r="C130" s="1" t="n">
        <v>45646</v>
      </c>
      <c r="D130" t="inlineStr">
        <is>
          <t>VÄSTMANLANDS LÄN</t>
        </is>
      </c>
      <c r="E130" t="inlineStr">
        <is>
          <t>SALA</t>
        </is>
      </c>
      <c r="G130" t="n">
        <v>1.3</v>
      </c>
      <c r="H130" t="n">
        <v>0</v>
      </c>
      <c r="I130" t="n">
        <v>0</v>
      </c>
      <c r="J130" t="n">
        <v>0</v>
      </c>
      <c r="K130" t="n">
        <v>0</v>
      </c>
      <c r="L130" t="n">
        <v>0</v>
      </c>
      <c r="M130" t="n">
        <v>0</v>
      </c>
      <c r="N130" t="n">
        <v>0</v>
      </c>
      <c r="O130" t="n">
        <v>0</v>
      </c>
      <c r="P130" t="n">
        <v>0</v>
      </c>
      <c r="Q130" t="n">
        <v>0</v>
      </c>
      <c r="R130" s="2" t="inlineStr"/>
    </row>
    <row r="131" ht="15" customHeight="1">
      <c r="A131" t="inlineStr">
        <is>
          <t>A 62390-2019</t>
        </is>
      </c>
      <c r="B131" s="1" t="n">
        <v>43788</v>
      </c>
      <c r="C131" s="1" t="n">
        <v>45646</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64164-2019</t>
        </is>
      </c>
      <c r="B132" s="1" t="n">
        <v>43791</v>
      </c>
      <c r="C132" s="1" t="n">
        <v>45646</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63369-2019</t>
        </is>
      </c>
      <c r="B133" s="1" t="n">
        <v>43794</v>
      </c>
      <c r="C133" s="1" t="n">
        <v>45646</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63498-2019</t>
        </is>
      </c>
      <c r="B134" s="1" t="n">
        <v>43794</v>
      </c>
      <c r="C134" s="1" t="n">
        <v>45646</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64090-2019</t>
        </is>
      </c>
      <c r="B135" s="1" t="n">
        <v>43796</v>
      </c>
      <c r="C135" s="1" t="n">
        <v>45646</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64092-2019</t>
        </is>
      </c>
      <c r="B136" s="1" t="n">
        <v>43796</v>
      </c>
      <c r="C136" s="1" t="n">
        <v>45646</v>
      </c>
      <c r="D136" t="inlineStr">
        <is>
          <t>VÄSTMANLANDS LÄN</t>
        </is>
      </c>
      <c r="E136" t="inlineStr">
        <is>
          <t>SALA</t>
        </is>
      </c>
      <c r="G136" t="n">
        <v>1.1</v>
      </c>
      <c r="H136" t="n">
        <v>0</v>
      </c>
      <c r="I136" t="n">
        <v>0</v>
      </c>
      <c r="J136" t="n">
        <v>0</v>
      </c>
      <c r="K136" t="n">
        <v>0</v>
      </c>
      <c r="L136" t="n">
        <v>0</v>
      </c>
      <c r="M136" t="n">
        <v>0</v>
      </c>
      <c r="N136" t="n">
        <v>0</v>
      </c>
      <c r="O136" t="n">
        <v>0</v>
      </c>
      <c r="P136" t="n">
        <v>0</v>
      </c>
      <c r="Q136" t="n">
        <v>0</v>
      </c>
      <c r="R136" s="2" t="inlineStr"/>
    </row>
    <row r="137" ht="15" customHeight="1">
      <c r="A137" t="inlineStr">
        <is>
          <t>A 65021-2019</t>
        </is>
      </c>
      <c r="B137" s="1" t="n">
        <v>43801</v>
      </c>
      <c r="C137" s="1" t="n">
        <v>45646</v>
      </c>
      <c r="D137" t="inlineStr">
        <is>
          <t>VÄSTMANLANDS LÄN</t>
        </is>
      </c>
      <c r="E137" t="inlineStr">
        <is>
          <t>SALA</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66089-2019</t>
        </is>
      </c>
      <c r="B138" s="1" t="n">
        <v>43807</v>
      </c>
      <c r="C138" s="1" t="n">
        <v>45646</v>
      </c>
      <c r="D138" t="inlineStr">
        <is>
          <t>VÄSTMANLANDS LÄN</t>
        </is>
      </c>
      <c r="E138" t="inlineStr">
        <is>
          <t>SALA</t>
        </is>
      </c>
      <c r="G138" t="n">
        <v>17.1</v>
      </c>
      <c r="H138" t="n">
        <v>0</v>
      </c>
      <c r="I138" t="n">
        <v>0</v>
      </c>
      <c r="J138" t="n">
        <v>0</v>
      </c>
      <c r="K138" t="n">
        <v>0</v>
      </c>
      <c r="L138" t="n">
        <v>0</v>
      </c>
      <c r="M138" t="n">
        <v>0</v>
      </c>
      <c r="N138" t="n">
        <v>0</v>
      </c>
      <c r="O138" t="n">
        <v>0</v>
      </c>
      <c r="P138" t="n">
        <v>0</v>
      </c>
      <c r="Q138" t="n">
        <v>0</v>
      </c>
      <c r="R138" s="2" t="inlineStr"/>
    </row>
    <row r="139" ht="15" customHeight="1">
      <c r="A139" t="inlineStr">
        <is>
          <t>A 66216-2019</t>
        </is>
      </c>
      <c r="B139" s="1" t="n">
        <v>43808</v>
      </c>
      <c r="C139" s="1" t="n">
        <v>45646</v>
      </c>
      <c r="D139" t="inlineStr">
        <is>
          <t>VÄSTMANLANDS LÄN</t>
        </is>
      </c>
      <c r="E139" t="inlineStr">
        <is>
          <t>SALA</t>
        </is>
      </c>
      <c r="F139" t="inlineStr">
        <is>
          <t>Kommuner</t>
        </is>
      </c>
      <c r="G139" t="n">
        <v>3.7</v>
      </c>
      <c r="H139" t="n">
        <v>0</v>
      </c>
      <c r="I139" t="n">
        <v>0</v>
      </c>
      <c r="J139" t="n">
        <v>0</v>
      </c>
      <c r="K139" t="n">
        <v>0</v>
      </c>
      <c r="L139" t="n">
        <v>0</v>
      </c>
      <c r="M139" t="n">
        <v>0</v>
      </c>
      <c r="N139" t="n">
        <v>0</v>
      </c>
      <c r="O139" t="n">
        <v>0</v>
      </c>
      <c r="P139" t="n">
        <v>0</v>
      </c>
      <c r="Q139" t="n">
        <v>0</v>
      </c>
      <c r="R139" s="2" t="inlineStr"/>
    </row>
    <row r="140" ht="15" customHeight="1">
      <c r="A140" t="inlineStr">
        <is>
          <t>A 67360-2019</t>
        </is>
      </c>
      <c r="B140" s="1" t="n">
        <v>43812</v>
      </c>
      <c r="C140" s="1" t="n">
        <v>45646</v>
      </c>
      <c r="D140" t="inlineStr">
        <is>
          <t>VÄSTMANLANDS LÄN</t>
        </is>
      </c>
      <c r="E140" t="inlineStr">
        <is>
          <t>SALA</t>
        </is>
      </c>
      <c r="G140" t="n">
        <v>4.9</v>
      </c>
      <c r="H140" t="n">
        <v>0</v>
      </c>
      <c r="I140" t="n">
        <v>0</v>
      </c>
      <c r="J140" t="n">
        <v>0</v>
      </c>
      <c r="K140" t="n">
        <v>0</v>
      </c>
      <c r="L140" t="n">
        <v>0</v>
      </c>
      <c r="M140" t="n">
        <v>0</v>
      </c>
      <c r="N140" t="n">
        <v>0</v>
      </c>
      <c r="O140" t="n">
        <v>0</v>
      </c>
      <c r="P140" t="n">
        <v>0</v>
      </c>
      <c r="Q140" t="n">
        <v>0</v>
      </c>
      <c r="R140" s="2" t="inlineStr"/>
    </row>
    <row r="141" ht="15" customHeight="1">
      <c r="A141" t="inlineStr">
        <is>
          <t>A 68398-2019</t>
        </is>
      </c>
      <c r="B141" s="1" t="n">
        <v>43818</v>
      </c>
      <c r="C141" s="1" t="n">
        <v>45646</v>
      </c>
      <c r="D141" t="inlineStr">
        <is>
          <t>VÄSTMANLANDS LÄN</t>
        </is>
      </c>
      <c r="E141" t="inlineStr">
        <is>
          <t>SALA</t>
        </is>
      </c>
      <c r="G141" t="n">
        <v>1.4</v>
      </c>
      <c r="H141" t="n">
        <v>0</v>
      </c>
      <c r="I141" t="n">
        <v>0</v>
      </c>
      <c r="J141" t="n">
        <v>0</v>
      </c>
      <c r="K141" t="n">
        <v>0</v>
      </c>
      <c r="L141" t="n">
        <v>0</v>
      </c>
      <c r="M141" t="n">
        <v>0</v>
      </c>
      <c r="N141" t="n">
        <v>0</v>
      </c>
      <c r="O141" t="n">
        <v>0</v>
      </c>
      <c r="P141" t="n">
        <v>0</v>
      </c>
      <c r="Q141" t="n">
        <v>0</v>
      </c>
      <c r="R141" s="2" t="inlineStr"/>
    </row>
    <row r="142" ht="15" customHeight="1">
      <c r="A142" t="inlineStr">
        <is>
          <t>A 68394-2019</t>
        </is>
      </c>
      <c r="B142" s="1" t="n">
        <v>43818</v>
      </c>
      <c r="C142" s="1" t="n">
        <v>45646</v>
      </c>
      <c r="D142" t="inlineStr">
        <is>
          <t>VÄSTMANLANDS LÄN</t>
        </is>
      </c>
      <c r="E142" t="inlineStr">
        <is>
          <t>SALA</t>
        </is>
      </c>
      <c r="G142" t="n">
        <v>1.6</v>
      </c>
      <c r="H142" t="n">
        <v>0</v>
      </c>
      <c r="I142" t="n">
        <v>0</v>
      </c>
      <c r="J142" t="n">
        <v>0</v>
      </c>
      <c r="K142" t="n">
        <v>0</v>
      </c>
      <c r="L142" t="n">
        <v>0</v>
      </c>
      <c r="M142" t="n">
        <v>0</v>
      </c>
      <c r="N142" t="n">
        <v>0</v>
      </c>
      <c r="O142" t="n">
        <v>0</v>
      </c>
      <c r="P142" t="n">
        <v>0</v>
      </c>
      <c r="Q142" t="n">
        <v>0</v>
      </c>
      <c r="R142" s="2" t="inlineStr"/>
    </row>
    <row r="143" ht="15" customHeight="1">
      <c r="A143" t="inlineStr">
        <is>
          <t>A 1465-2020</t>
        </is>
      </c>
      <c r="B143" s="1" t="n">
        <v>43822</v>
      </c>
      <c r="C143" s="1" t="n">
        <v>45646</v>
      </c>
      <c r="D143" t="inlineStr">
        <is>
          <t>VÄSTMANLANDS LÄN</t>
        </is>
      </c>
      <c r="E143" t="inlineStr">
        <is>
          <t>SALA</t>
        </is>
      </c>
      <c r="G143" t="n">
        <v>4.1</v>
      </c>
      <c r="H143" t="n">
        <v>0</v>
      </c>
      <c r="I143" t="n">
        <v>0</v>
      </c>
      <c r="J143" t="n">
        <v>0</v>
      </c>
      <c r="K143" t="n">
        <v>0</v>
      </c>
      <c r="L143" t="n">
        <v>0</v>
      </c>
      <c r="M143" t="n">
        <v>0</v>
      </c>
      <c r="N143" t="n">
        <v>0</v>
      </c>
      <c r="O143" t="n">
        <v>0</v>
      </c>
      <c r="P143" t="n">
        <v>0</v>
      </c>
      <c r="Q143" t="n">
        <v>0</v>
      </c>
      <c r="R143" s="2" t="inlineStr"/>
    </row>
    <row r="144" ht="15" customHeight="1">
      <c r="A144" t="inlineStr">
        <is>
          <t>A 63-2020</t>
        </is>
      </c>
      <c r="B144" s="1" t="n">
        <v>43832</v>
      </c>
      <c r="C144" s="1" t="n">
        <v>45646</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151-2020</t>
        </is>
      </c>
      <c r="B145" s="1" t="n">
        <v>43833</v>
      </c>
      <c r="C145" s="1" t="n">
        <v>45646</v>
      </c>
      <c r="D145" t="inlineStr">
        <is>
          <t>VÄSTMANLANDS LÄN</t>
        </is>
      </c>
      <c r="E145" t="inlineStr">
        <is>
          <t>SALA</t>
        </is>
      </c>
      <c r="F145" t="inlineStr">
        <is>
          <t>Kyrkan</t>
        </is>
      </c>
      <c r="G145" t="n">
        <v>6.5</v>
      </c>
      <c r="H145" t="n">
        <v>0</v>
      </c>
      <c r="I145" t="n">
        <v>0</v>
      </c>
      <c r="J145" t="n">
        <v>0</v>
      </c>
      <c r="K145" t="n">
        <v>0</v>
      </c>
      <c r="L145" t="n">
        <v>0</v>
      </c>
      <c r="M145" t="n">
        <v>0</v>
      </c>
      <c r="N145" t="n">
        <v>0</v>
      </c>
      <c r="O145" t="n">
        <v>0</v>
      </c>
      <c r="P145" t="n">
        <v>0</v>
      </c>
      <c r="Q145" t="n">
        <v>0</v>
      </c>
      <c r="R145" s="2" t="inlineStr"/>
    </row>
    <row r="146" ht="15" customHeight="1">
      <c r="A146" t="inlineStr">
        <is>
          <t>A 161-2020</t>
        </is>
      </c>
      <c r="B146" s="1" t="n">
        <v>43833</v>
      </c>
      <c r="C146" s="1" t="n">
        <v>45646</v>
      </c>
      <c r="D146" t="inlineStr">
        <is>
          <t>VÄSTMANLANDS LÄN</t>
        </is>
      </c>
      <c r="E146" t="inlineStr">
        <is>
          <t>SALA</t>
        </is>
      </c>
      <c r="F146" t="inlineStr">
        <is>
          <t>Kyrkan</t>
        </is>
      </c>
      <c r="G146" t="n">
        <v>1.6</v>
      </c>
      <c r="H146" t="n">
        <v>0</v>
      </c>
      <c r="I146" t="n">
        <v>0</v>
      </c>
      <c r="J146" t="n">
        <v>0</v>
      </c>
      <c r="K146" t="n">
        <v>0</v>
      </c>
      <c r="L146" t="n">
        <v>0</v>
      </c>
      <c r="M146" t="n">
        <v>0</v>
      </c>
      <c r="N146" t="n">
        <v>0</v>
      </c>
      <c r="O146" t="n">
        <v>0</v>
      </c>
      <c r="P146" t="n">
        <v>0</v>
      </c>
      <c r="Q146" t="n">
        <v>0</v>
      </c>
      <c r="R146" s="2" t="inlineStr"/>
    </row>
    <row r="147" ht="15" customHeight="1">
      <c r="A147" t="inlineStr">
        <is>
          <t>A 297-2020</t>
        </is>
      </c>
      <c r="B147" s="1" t="n">
        <v>43837</v>
      </c>
      <c r="C147" s="1" t="n">
        <v>45646</v>
      </c>
      <c r="D147" t="inlineStr">
        <is>
          <t>VÄSTMANLANDS LÄN</t>
        </is>
      </c>
      <c r="E147" t="inlineStr">
        <is>
          <t>SALA</t>
        </is>
      </c>
      <c r="F147" t="inlineStr">
        <is>
          <t>Kyrkan</t>
        </is>
      </c>
      <c r="G147" t="n">
        <v>0.3</v>
      </c>
      <c r="H147" t="n">
        <v>0</v>
      </c>
      <c r="I147" t="n">
        <v>0</v>
      </c>
      <c r="J147" t="n">
        <v>0</v>
      </c>
      <c r="K147" t="n">
        <v>0</v>
      </c>
      <c r="L147" t="n">
        <v>0</v>
      </c>
      <c r="M147" t="n">
        <v>0</v>
      </c>
      <c r="N147" t="n">
        <v>0</v>
      </c>
      <c r="O147" t="n">
        <v>0</v>
      </c>
      <c r="P147" t="n">
        <v>0</v>
      </c>
      <c r="Q147" t="n">
        <v>0</v>
      </c>
      <c r="R147" s="2" t="inlineStr"/>
    </row>
    <row r="148" ht="15" customHeight="1">
      <c r="A148" t="inlineStr">
        <is>
          <t>A 496-2020</t>
        </is>
      </c>
      <c r="B148" s="1" t="n">
        <v>43837</v>
      </c>
      <c r="C148" s="1" t="n">
        <v>45646</v>
      </c>
      <c r="D148" t="inlineStr">
        <is>
          <t>VÄSTMANLANDS LÄN</t>
        </is>
      </c>
      <c r="E148" t="inlineStr">
        <is>
          <t>SALA</t>
        </is>
      </c>
      <c r="G148" t="n">
        <v>1.3</v>
      </c>
      <c r="H148" t="n">
        <v>0</v>
      </c>
      <c r="I148" t="n">
        <v>0</v>
      </c>
      <c r="J148" t="n">
        <v>0</v>
      </c>
      <c r="K148" t="n">
        <v>0</v>
      </c>
      <c r="L148" t="n">
        <v>0</v>
      </c>
      <c r="M148" t="n">
        <v>0</v>
      </c>
      <c r="N148" t="n">
        <v>0</v>
      </c>
      <c r="O148" t="n">
        <v>0</v>
      </c>
      <c r="P148" t="n">
        <v>0</v>
      </c>
      <c r="Q148" t="n">
        <v>0</v>
      </c>
      <c r="R148" s="2" t="inlineStr"/>
    </row>
    <row r="149" ht="15" customHeight="1">
      <c r="A149" t="inlineStr">
        <is>
          <t>A 1005-2020</t>
        </is>
      </c>
      <c r="B149" s="1" t="n">
        <v>43839</v>
      </c>
      <c r="C149" s="1" t="n">
        <v>45646</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1272-2020</t>
        </is>
      </c>
      <c r="B150" s="1" t="n">
        <v>43841</v>
      </c>
      <c r="C150" s="1" t="n">
        <v>45646</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1346-2020</t>
        </is>
      </c>
      <c r="B151" s="1" t="n">
        <v>43843</v>
      </c>
      <c r="C151" s="1" t="n">
        <v>45646</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3935-2020</t>
        </is>
      </c>
      <c r="B152" s="1" t="n">
        <v>43846</v>
      </c>
      <c r="C152" s="1" t="n">
        <v>45646</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2588-2020</t>
        </is>
      </c>
      <c r="B153" s="1" t="n">
        <v>43847</v>
      </c>
      <c r="C153" s="1" t="n">
        <v>45646</v>
      </c>
      <c r="D153" t="inlineStr">
        <is>
          <t>VÄSTMANLANDS LÄN</t>
        </is>
      </c>
      <c r="E153" t="inlineStr">
        <is>
          <t>SALA</t>
        </is>
      </c>
      <c r="G153" t="n">
        <v>1.8</v>
      </c>
      <c r="H153" t="n">
        <v>0</v>
      </c>
      <c r="I153" t="n">
        <v>0</v>
      </c>
      <c r="J153" t="n">
        <v>0</v>
      </c>
      <c r="K153" t="n">
        <v>0</v>
      </c>
      <c r="L153" t="n">
        <v>0</v>
      </c>
      <c r="M153" t="n">
        <v>0</v>
      </c>
      <c r="N153" t="n">
        <v>0</v>
      </c>
      <c r="O153" t="n">
        <v>0</v>
      </c>
      <c r="P153" t="n">
        <v>0</v>
      </c>
      <c r="Q153" t="n">
        <v>0</v>
      </c>
      <c r="R153" s="2" t="inlineStr"/>
    </row>
    <row r="154" ht="15" customHeight="1">
      <c r="A154" t="inlineStr">
        <is>
          <t>A 4630-2020</t>
        </is>
      </c>
      <c r="B154" s="1" t="n">
        <v>43851</v>
      </c>
      <c r="C154" s="1" t="n">
        <v>45646</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3590-2020</t>
        </is>
      </c>
      <c r="B155" s="1" t="n">
        <v>43853</v>
      </c>
      <c r="C155" s="1" t="n">
        <v>45646</v>
      </c>
      <c r="D155" t="inlineStr">
        <is>
          <t>VÄSTMANLANDS LÄN</t>
        </is>
      </c>
      <c r="E155" t="inlineStr">
        <is>
          <t>SALA</t>
        </is>
      </c>
      <c r="G155" t="n">
        <v>0.4</v>
      </c>
      <c r="H155" t="n">
        <v>0</v>
      </c>
      <c r="I155" t="n">
        <v>0</v>
      </c>
      <c r="J155" t="n">
        <v>0</v>
      </c>
      <c r="K155" t="n">
        <v>0</v>
      </c>
      <c r="L155" t="n">
        <v>0</v>
      </c>
      <c r="M155" t="n">
        <v>0</v>
      </c>
      <c r="N155" t="n">
        <v>0</v>
      </c>
      <c r="O155" t="n">
        <v>0</v>
      </c>
      <c r="P155" t="n">
        <v>0</v>
      </c>
      <c r="Q155" t="n">
        <v>0</v>
      </c>
      <c r="R155" s="2" t="inlineStr"/>
    </row>
    <row r="156" ht="15" customHeight="1">
      <c r="A156" t="inlineStr">
        <is>
          <t>A 4866-2020</t>
        </is>
      </c>
      <c r="B156" s="1" t="n">
        <v>43859</v>
      </c>
      <c r="C156" s="1" t="n">
        <v>45646</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5201-2020</t>
        </is>
      </c>
      <c r="B157" s="1" t="n">
        <v>43860</v>
      </c>
      <c r="C157" s="1" t="n">
        <v>45646</v>
      </c>
      <c r="D157" t="inlineStr">
        <is>
          <t>VÄSTMANLANDS LÄN</t>
        </is>
      </c>
      <c r="E157" t="inlineStr">
        <is>
          <t>SALA</t>
        </is>
      </c>
      <c r="F157" t="inlineStr">
        <is>
          <t>Kyrkan</t>
        </is>
      </c>
      <c r="G157" t="n">
        <v>5</v>
      </c>
      <c r="H157" t="n">
        <v>0</v>
      </c>
      <c r="I157" t="n">
        <v>0</v>
      </c>
      <c r="J157" t="n">
        <v>0</v>
      </c>
      <c r="K157" t="n">
        <v>0</v>
      </c>
      <c r="L157" t="n">
        <v>0</v>
      </c>
      <c r="M157" t="n">
        <v>0</v>
      </c>
      <c r="N157" t="n">
        <v>0</v>
      </c>
      <c r="O157" t="n">
        <v>0</v>
      </c>
      <c r="P157" t="n">
        <v>0</v>
      </c>
      <c r="Q157" t="n">
        <v>0</v>
      </c>
      <c r="R157" s="2" t="inlineStr"/>
    </row>
    <row r="158" ht="15" customHeight="1">
      <c r="A158" t="inlineStr">
        <is>
          <t>A 5163-2020</t>
        </is>
      </c>
      <c r="B158" s="1" t="n">
        <v>43860</v>
      </c>
      <c r="C158" s="1" t="n">
        <v>45646</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5191-2020</t>
        </is>
      </c>
      <c r="B159" s="1" t="n">
        <v>43860</v>
      </c>
      <c r="C159" s="1" t="n">
        <v>45646</v>
      </c>
      <c r="D159" t="inlineStr">
        <is>
          <t>VÄSTMANLANDS LÄN</t>
        </is>
      </c>
      <c r="E159" t="inlineStr">
        <is>
          <t>SALA</t>
        </is>
      </c>
      <c r="F159" t="inlineStr">
        <is>
          <t>Kyrkan</t>
        </is>
      </c>
      <c r="G159" t="n">
        <v>10.9</v>
      </c>
      <c r="H159" t="n">
        <v>0</v>
      </c>
      <c r="I159" t="n">
        <v>0</v>
      </c>
      <c r="J159" t="n">
        <v>0</v>
      </c>
      <c r="K159" t="n">
        <v>0</v>
      </c>
      <c r="L159" t="n">
        <v>0</v>
      </c>
      <c r="M159" t="n">
        <v>0</v>
      </c>
      <c r="N159" t="n">
        <v>0</v>
      </c>
      <c r="O159" t="n">
        <v>0</v>
      </c>
      <c r="P159" t="n">
        <v>0</v>
      </c>
      <c r="Q159" t="n">
        <v>0</v>
      </c>
      <c r="R159" s="2" t="inlineStr"/>
    </row>
    <row r="160" ht="15" customHeight="1">
      <c r="A160" t="inlineStr">
        <is>
          <t>A 5320-2020</t>
        </is>
      </c>
      <c r="B160" s="1" t="n">
        <v>43860</v>
      </c>
      <c r="C160" s="1" t="n">
        <v>45646</v>
      </c>
      <c r="D160" t="inlineStr">
        <is>
          <t>VÄSTMANLANDS LÄN</t>
        </is>
      </c>
      <c r="E160" t="inlineStr">
        <is>
          <t>SALA</t>
        </is>
      </c>
      <c r="G160" t="n">
        <v>3.1</v>
      </c>
      <c r="H160" t="n">
        <v>0</v>
      </c>
      <c r="I160" t="n">
        <v>0</v>
      </c>
      <c r="J160" t="n">
        <v>0</v>
      </c>
      <c r="K160" t="n">
        <v>0</v>
      </c>
      <c r="L160" t="n">
        <v>0</v>
      </c>
      <c r="M160" t="n">
        <v>0</v>
      </c>
      <c r="N160" t="n">
        <v>0</v>
      </c>
      <c r="O160" t="n">
        <v>0</v>
      </c>
      <c r="P160" t="n">
        <v>0</v>
      </c>
      <c r="Q160" t="n">
        <v>0</v>
      </c>
      <c r="R160" s="2" t="inlineStr"/>
    </row>
    <row r="161" ht="15" customHeight="1">
      <c r="A161" t="inlineStr">
        <is>
          <t>A 5587-2020</t>
        </is>
      </c>
      <c r="B161" s="1" t="n">
        <v>43861</v>
      </c>
      <c r="C161" s="1" t="n">
        <v>45646</v>
      </c>
      <c r="D161" t="inlineStr">
        <is>
          <t>VÄSTMANLANDS LÄN</t>
        </is>
      </c>
      <c r="E161" t="inlineStr">
        <is>
          <t>SALA</t>
        </is>
      </c>
      <c r="G161" t="n">
        <v>9.6</v>
      </c>
      <c r="H161" t="n">
        <v>0</v>
      </c>
      <c r="I161" t="n">
        <v>0</v>
      </c>
      <c r="J161" t="n">
        <v>0</v>
      </c>
      <c r="K161" t="n">
        <v>0</v>
      </c>
      <c r="L161" t="n">
        <v>0</v>
      </c>
      <c r="M161" t="n">
        <v>0</v>
      </c>
      <c r="N161" t="n">
        <v>0</v>
      </c>
      <c r="O161" t="n">
        <v>0</v>
      </c>
      <c r="P161" t="n">
        <v>0</v>
      </c>
      <c r="Q161" t="n">
        <v>0</v>
      </c>
      <c r="R161" s="2" t="inlineStr"/>
    </row>
    <row r="162" ht="15" customHeight="1">
      <c r="A162" t="inlineStr">
        <is>
          <t>A 5750-2020</t>
        </is>
      </c>
      <c r="B162" s="1" t="n">
        <v>43864</v>
      </c>
      <c r="C162" s="1" t="n">
        <v>45646</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6185-2020</t>
        </is>
      </c>
      <c r="B163" s="1" t="n">
        <v>43865</v>
      </c>
      <c r="C163" s="1" t="n">
        <v>45646</v>
      </c>
      <c r="D163" t="inlineStr">
        <is>
          <t>VÄSTMANLANDS LÄN</t>
        </is>
      </c>
      <c r="E163" t="inlineStr">
        <is>
          <t>SALA</t>
        </is>
      </c>
      <c r="G163" t="n">
        <v>1.4</v>
      </c>
      <c r="H163" t="n">
        <v>0</v>
      </c>
      <c r="I163" t="n">
        <v>0</v>
      </c>
      <c r="J163" t="n">
        <v>0</v>
      </c>
      <c r="K163" t="n">
        <v>0</v>
      </c>
      <c r="L163" t="n">
        <v>0</v>
      </c>
      <c r="M163" t="n">
        <v>0</v>
      </c>
      <c r="N163" t="n">
        <v>0</v>
      </c>
      <c r="O163" t="n">
        <v>0</v>
      </c>
      <c r="P163" t="n">
        <v>0</v>
      </c>
      <c r="Q163" t="n">
        <v>0</v>
      </c>
      <c r="R163" s="2" t="inlineStr"/>
    </row>
    <row r="164" ht="15" customHeight="1">
      <c r="A164" t="inlineStr">
        <is>
          <t>A 7190-2020</t>
        </is>
      </c>
      <c r="B164" s="1" t="n">
        <v>43868</v>
      </c>
      <c r="C164" s="1" t="n">
        <v>45646</v>
      </c>
      <c r="D164" t="inlineStr">
        <is>
          <t>VÄSTMANLANDS LÄN</t>
        </is>
      </c>
      <c r="E164" t="inlineStr">
        <is>
          <t>SALA</t>
        </is>
      </c>
      <c r="G164" t="n">
        <v>4.5</v>
      </c>
      <c r="H164" t="n">
        <v>0</v>
      </c>
      <c r="I164" t="n">
        <v>0</v>
      </c>
      <c r="J164" t="n">
        <v>0</v>
      </c>
      <c r="K164" t="n">
        <v>0</v>
      </c>
      <c r="L164" t="n">
        <v>0</v>
      </c>
      <c r="M164" t="n">
        <v>0</v>
      </c>
      <c r="N164" t="n">
        <v>0</v>
      </c>
      <c r="O164" t="n">
        <v>0</v>
      </c>
      <c r="P164" t="n">
        <v>0</v>
      </c>
      <c r="Q164" t="n">
        <v>0</v>
      </c>
      <c r="R164" s="2" t="inlineStr"/>
    </row>
    <row r="165" ht="15" customHeight="1">
      <c r="A165" t="inlineStr">
        <is>
          <t>A 10010-2020</t>
        </is>
      </c>
      <c r="B165" s="1" t="n">
        <v>43882</v>
      </c>
      <c r="C165" s="1" t="n">
        <v>45646</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10276-2020</t>
        </is>
      </c>
      <c r="B166" s="1" t="n">
        <v>43885</v>
      </c>
      <c r="C166" s="1" t="n">
        <v>45646</v>
      </c>
      <c r="D166" t="inlineStr">
        <is>
          <t>VÄSTMANLANDS LÄN</t>
        </is>
      </c>
      <c r="E166" t="inlineStr">
        <is>
          <t>SALA</t>
        </is>
      </c>
      <c r="G166" t="n">
        <v>1.3</v>
      </c>
      <c r="H166" t="n">
        <v>0</v>
      </c>
      <c r="I166" t="n">
        <v>0</v>
      </c>
      <c r="J166" t="n">
        <v>0</v>
      </c>
      <c r="K166" t="n">
        <v>0</v>
      </c>
      <c r="L166" t="n">
        <v>0</v>
      </c>
      <c r="M166" t="n">
        <v>0</v>
      </c>
      <c r="N166" t="n">
        <v>0</v>
      </c>
      <c r="O166" t="n">
        <v>0</v>
      </c>
      <c r="P166" t="n">
        <v>0</v>
      </c>
      <c r="Q166" t="n">
        <v>0</v>
      </c>
      <c r="R166" s="2" t="inlineStr"/>
    </row>
    <row r="167" ht="15" customHeight="1">
      <c r="A167" t="inlineStr">
        <is>
          <t>A 10811-2020</t>
        </is>
      </c>
      <c r="B167" s="1" t="n">
        <v>43888</v>
      </c>
      <c r="C167" s="1" t="n">
        <v>45646</v>
      </c>
      <c r="D167" t="inlineStr">
        <is>
          <t>VÄSTMANLANDS LÄN</t>
        </is>
      </c>
      <c r="E167" t="inlineStr">
        <is>
          <t>SALA</t>
        </is>
      </c>
      <c r="G167" t="n">
        <v>3.9</v>
      </c>
      <c r="H167" t="n">
        <v>0</v>
      </c>
      <c r="I167" t="n">
        <v>0</v>
      </c>
      <c r="J167" t="n">
        <v>0</v>
      </c>
      <c r="K167" t="n">
        <v>0</v>
      </c>
      <c r="L167" t="n">
        <v>0</v>
      </c>
      <c r="M167" t="n">
        <v>0</v>
      </c>
      <c r="N167" t="n">
        <v>0</v>
      </c>
      <c r="O167" t="n">
        <v>0</v>
      </c>
      <c r="P167" t="n">
        <v>0</v>
      </c>
      <c r="Q167" t="n">
        <v>0</v>
      </c>
      <c r="R167" s="2" t="inlineStr"/>
    </row>
    <row r="168" ht="15" customHeight="1">
      <c r="A168" t="inlineStr">
        <is>
          <t>A 14110-2020</t>
        </is>
      </c>
      <c r="B168" s="1" t="n">
        <v>43900</v>
      </c>
      <c r="C168" s="1" t="n">
        <v>45646</v>
      </c>
      <c r="D168" t="inlineStr">
        <is>
          <t>VÄSTMANLANDS LÄN</t>
        </is>
      </c>
      <c r="E168" t="inlineStr">
        <is>
          <t>SALA</t>
        </is>
      </c>
      <c r="G168" t="n">
        <v>2.5</v>
      </c>
      <c r="H168" t="n">
        <v>0</v>
      </c>
      <c r="I168" t="n">
        <v>0</v>
      </c>
      <c r="J168" t="n">
        <v>0</v>
      </c>
      <c r="K168" t="n">
        <v>0</v>
      </c>
      <c r="L168" t="n">
        <v>0</v>
      </c>
      <c r="M168" t="n">
        <v>0</v>
      </c>
      <c r="N168" t="n">
        <v>0</v>
      </c>
      <c r="O168" t="n">
        <v>0</v>
      </c>
      <c r="P168" t="n">
        <v>0</v>
      </c>
      <c r="Q168" t="n">
        <v>0</v>
      </c>
      <c r="R168" s="2" t="inlineStr"/>
    </row>
    <row r="169" ht="15" customHeight="1">
      <c r="A169" t="inlineStr">
        <is>
          <t>A 13643-2020</t>
        </is>
      </c>
      <c r="B169" s="1" t="n">
        <v>43903</v>
      </c>
      <c r="C169" s="1" t="n">
        <v>45646</v>
      </c>
      <c r="D169" t="inlineStr">
        <is>
          <t>VÄSTMANLANDS LÄN</t>
        </is>
      </c>
      <c r="E169" t="inlineStr">
        <is>
          <t>SALA</t>
        </is>
      </c>
      <c r="G169" t="n">
        <v>2.3</v>
      </c>
      <c r="H169" t="n">
        <v>0</v>
      </c>
      <c r="I169" t="n">
        <v>0</v>
      </c>
      <c r="J169" t="n">
        <v>0</v>
      </c>
      <c r="K169" t="n">
        <v>0</v>
      </c>
      <c r="L169" t="n">
        <v>0</v>
      </c>
      <c r="M169" t="n">
        <v>0</v>
      </c>
      <c r="N169" t="n">
        <v>0</v>
      </c>
      <c r="O169" t="n">
        <v>0</v>
      </c>
      <c r="P169" t="n">
        <v>0</v>
      </c>
      <c r="Q169" t="n">
        <v>0</v>
      </c>
      <c r="R169" s="2" t="inlineStr"/>
    </row>
    <row r="170" ht="15" customHeight="1">
      <c r="A170" t="inlineStr">
        <is>
          <t>A 13936-2020</t>
        </is>
      </c>
      <c r="B170" s="1" t="n">
        <v>43903</v>
      </c>
      <c r="C170" s="1" t="n">
        <v>45646</v>
      </c>
      <c r="D170" t="inlineStr">
        <is>
          <t>VÄSTMANLANDS LÄN</t>
        </is>
      </c>
      <c r="E170" t="inlineStr">
        <is>
          <t>SALA</t>
        </is>
      </c>
      <c r="G170" t="n">
        <v>1.7</v>
      </c>
      <c r="H170" t="n">
        <v>0</v>
      </c>
      <c r="I170" t="n">
        <v>0</v>
      </c>
      <c r="J170" t="n">
        <v>0</v>
      </c>
      <c r="K170" t="n">
        <v>0</v>
      </c>
      <c r="L170" t="n">
        <v>0</v>
      </c>
      <c r="M170" t="n">
        <v>0</v>
      </c>
      <c r="N170" t="n">
        <v>0</v>
      </c>
      <c r="O170" t="n">
        <v>0</v>
      </c>
      <c r="P170" t="n">
        <v>0</v>
      </c>
      <c r="Q170" t="n">
        <v>0</v>
      </c>
      <c r="R170" s="2" t="inlineStr"/>
    </row>
    <row r="171" ht="15" customHeight="1">
      <c r="A171" t="inlineStr">
        <is>
          <t>A 14049-2020</t>
        </is>
      </c>
      <c r="B171" s="1" t="n">
        <v>43906</v>
      </c>
      <c r="C171" s="1" t="n">
        <v>45646</v>
      </c>
      <c r="D171" t="inlineStr">
        <is>
          <t>VÄSTMANLANDS LÄN</t>
        </is>
      </c>
      <c r="E171" t="inlineStr">
        <is>
          <t>SALA</t>
        </is>
      </c>
      <c r="G171" t="n">
        <v>4.4</v>
      </c>
      <c r="H171" t="n">
        <v>0</v>
      </c>
      <c r="I171" t="n">
        <v>0</v>
      </c>
      <c r="J171" t="n">
        <v>0</v>
      </c>
      <c r="K171" t="n">
        <v>0</v>
      </c>
      <c r="L171" t="n">
        <v>0</v>
      </c>
      <c r="M171" t="n">
        <v>0</v>
      </c>
      <c r="N171" t="n">
        <v>0</v>
      </c>
      <c r="O171" t="n">
        <v>0</v>
      </c>
      <c r="P171" t="n">
        <v>0</v>
      </c>
      <c r="Q171" t="n">
        <v>0</v>
      </c>
      <c r="R171" s="2" t="inlineStr"/>
    </row>
    <row r="172" ht="15" customHeight="1">
      <c r="A172" t="inlineStr">
        <is>
          <t>A 14542-2020</t>
        </is>
      </c>
      <c r="B172" s="1" t="n">
        <v>43908</v>
      </c>
      <c r="C172" s="1" t="n">
        <v>45646</v>
      </c>
      <c r="D172" t="inlineStr">
        <is>
          <t>VÄSTMANLANDS LÄN</t>
        </is>
      </c>
      <c r="E172" t="inlineStr">
        <is>
          <t>SALA</t>
        </is>
      </c>
      <c r="G172" t="n">
        <v>4.1</v>
      </c>
      <c r="H172" t="n">
        <v>0</v>
      </c>
      <c r="I172" t="n">
        <v>0</v>
      </c>
      <c r="J172" t="n">
        <v>0</v>
      </c>
      <c r="K172" t="n">
        <v>0</v>
      </c>
      <c r="L172" t="n">
        <v>0</v>
      </c>
      <c r="M172" t="n">
        <v>0</v>
      </c>
      <c r="N172" t="n">
        <v>0</v>
      </c>
      <c r="O172" t="n">
        <v>0</v>
      </c>
      <c r="P172" t="n">
        <v>0</v>
      </c>
      <c r="Q172" t="n">
        <v>0</v>
      </c>
      <c r="R172" s="2" t="inlineStr"/>
    </row>
    <row r="173" ht="15" customHeight="1">
      <c r="A173" t="inlineStr">
        <is>
          <t>A 16480-2020</t>
        </is>
      </c>
      <c r="B173" s="1" t="n">
        <v>43914</v>
      </c>
      <c r="C173" s="1" t="n">
        <v>45646</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15850-2020</t>
        </is>
      </c>
      <c r="B174" s="1" t="n">
        <v>43915</v>
      </c>
      <c r="C174" s="1" t="n">
        <v>45646</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15748-2020</t>
        </is>
      </c>
      <c r="B175" s="1" t="n">
        <v>43915</v>
      </c>
      <c r="C175" s="1" t="n">
        <v>45646</v>
      </c>
      <c r="D175" t="inlineStr">
        <is>
          <t>VÄSTMANLANDS LÄN</t>
        </is>
      </c>
      <c r="E175" t="inlineStr">
        <is>
          <t>SALA</t>
        </is>
      </c>
      <c r="G175" t="n">
        <v>2.4</v>
      </c>
      <c r="H175" t="n">
        <v>0</v>
      </c>
      <c r="I175" t="n">
        <v>0</v>
      </c>
      <c r="J175" t="n">
        <v>0</v>
      </c>
      <c r="K175" t="n">
        <v>0</v>
      </c>
      <c r="L175" t="n">
        <v>0</v>
      </c>
      <c r="M175" t="n">
        <v>0</v>
      </c>
      <c r="N175" t="n">
        <v>0</v>
      </c>
      <c r="O175" t="n">
        <v>0</v>
      </c>
      <c r="P175" t="n">
        <v>0</v>
      </c>
      <c r="Q175" t="n">
        <v>0</v>
      </c>
      <c r="R175" s="2" t="inlineStr"/>
    </row>
    <row r="176" ht="15" customHeight="1">
      <c r="A176" t="inlineStr">
        <is>
          <t>A 16093-2020</t>
        </is>
      </c>
      <c r="B176" s="1" t="n">
        <v>43916</v>
      </c>
      <c r="C176" s="1" t="n">
        <v>45646</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17139-2020</t>
        </is>
      </c>
      <c r="B177" s="1" t="n">
        <v>43922</v>
      </c>
      <c r="C177" s="1" t="n">
        <v>45646</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17205-2020</t>
        </is>
      </c>
      <c r="B178" s="1" t="n">
        <v>43922</v>
      </c>
      <c r="C178" s="1" t="n">
        <v>45646</v>
      </c>
      <c r="D178" t="inlineStr">
        <is>
          <t>VÄSTMANLANDS LÄN</t>
        </is>
      </c>
      <c r="E178" t="inlineStr">
        <is>
          <t>SALA</t>
        </is>
      </c>
      <c r="G178" t="n">
        <v>3.2</v>
      </c>
      <c r="H178" t="n">
        <v>0</v>
      </c>
      <c r="I178" t="n">
        <v>0</v>
      </c>
      <c r="J178" t="n">
        <v>0</v>
      </c>
      <c r="K178" t="n">
        <v>0</v>
      </c>
      <c r="L178" t="n">
        <v>0</v>
      </c>
      <c r="M178" t="n">
        <v>0</v>
      </c>
      <c r="N178" t="n">
        <v>0</v>
      </c>
      <c r="O178" t="n">
        <v>0</v>
      </c>
      <c r="P178" t="n">
        <v>0</v>
      </c>
      <c r="Q178" t="n">
        <v>0</v>
      </c>
      <c r="R178" s="2" t="inlineStr"/>
    </row>
    <row r="179" ht="15" customHeight="1">
      <c r="A179" t="inlineStr">
        <is>
          <t>A 17355-2020</t>
        </is>
      </c>
      <c r="B179" s="1" t="n">
        <v>43923</v>
      </c>
      <c r="C179" s="1" t="n">
        <v>45646</v>
      </c>
      <c r="D179" t="inlineStr">
        <is>
          <t>VÄSTMANLANDS LÄN</t>
        </is>
      </c>
      <c r="E179" t="inlineStr">
        <is>
          <t>SALA</t>
        </is>
      </c>
      <c r="G179" t="n">
        <v>0.4</v>
      </c>
      <c r="H179" t="n">
        <v>0</v>
      </c>
      <c r="I179" t="n">
        <v>0</v>
      </c>
      <c r="J179" t="n">
        <v>0</v>
      </c>
      <c r="K179" t="n">
        <v>0</v>
      </c>
      <c r="L179" t="n">
        <v>0</v>
      </c>
      <c r="M179" t="n">
        <v>0</v>
      </c>
      <c r="N179" t="n">
        <v>0</v>
      </c>
      <c r="O179" t="n">
        <v>0</v>
      </c>
      <c r="P179" t="n">
        <v>0</v>
      </c>
      <c r="Q179" t="n">
        <v>0</v>
      </c>
      <c r="R179" s="2" t="inlineStr"/>
    </row>
    <row r="180" ht="15" customHeight="1">
      <c r="A180" t="inlineStr">
        <is>
          <t>A 17492-2020</t>
        </is>
      </c>
      <c r="B180" s="1" t="n">
        <v>43923</v>
      </c>
      <c r="C180" s="1" t="n">
        <v>45646</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17919-2020</t>
        </is>
      </c>
      <c r="B181" s="1" t="n">
        <v>43924</v>
      </c>
      <c r="C181" s="1" t="n">
        <v>45646</v>
      </c>
      <c r="D181" t="inlineStr">
        <is>
          <t>VÄSTMANLANDS LÄN</t>
        </is>
      </c>
      <c r="E181" t="inlineStr">
        <is>
          <t>SALA</t>
        </is>
      </c>
      <c r="G181" t="n">
        <v>2.6</v>
      </c>
      <c r="H181" t="n">
        <v>0</v>
      </c>
      <c r="I181" t="n">
        <v>0</v>
      </c>
      <c r="J181" t="n">
        <v>0</v>
      </c>
      <c r="K181" t="n">
        <v>0</v>
      </c>
      <c r="L181" t="n">
        <v>0</v>
      </c>
      <c r="M181" t="n">
        <v>0</v>
      </c>
      <c r="N181" t="n">
        <v>0</v>
      </c>
      <c r="O181" t="n">
        <v>0</v>
      </c>
      <c r="P181" t="n">
        <v>0</v>
      </c>
      <c r="Q181" t="n">
        <v>0</v>
      </c>
      <c r="R181" s="2" t="inlineStr"/>
    </row>
    <row r="182" ht="15" customHeight="1">
      <c r="A182" t="inlineStr">
        <is>
          <t>A 18772-2020</t>
        </is>
      </c>
      <c r="B182" s="1" t="n">
        <v>43930</v>
      </c>
      <c r="C182" s="1" t="n">
        <v>45646</v>
      </c>
      <c r="D182" t="inlineStr">
        <is>
          <t>VÄSTMANLANDS LÄN</t>
        </is>
      </c>
      <c r="E182" t="inlineStr">
        <is>
          <t>SALA</t>
        </is>
      </c>
      <c r="G182" t="n">
        <v>3.5</v>
      </c>
      <c r="H182" t="n">
        <v>0</v>
      </c>
      <c r="I182" t="n">
        <v>0</v>
      </c>
      <c r="J182" t="n">
        <v>0</v>
      </c>
      <c r="K182" t="n">
        <v>0</v>
      </c>
      <c r="L182" t="n">
        <v>0</v>
      </c>
      <c r="M182" t="n">
        <v>0</v>
      </c>
      <c r="N182" t="n">
        <v>0</v>
      </c>
      <c r="O182" t="n">
        <v>0</v>
      </c>
      <c r="P182" t="n">
        <v>0</v>
      </c>
      <c r="Q182" t="n">
        <v>0</v>
      </c>
      <c r="R182" s="2" t="inlineStr"/>
    </row>
    <row r="183" ht="15" customHeight="1">
      <c r="A183" t="inlineStr">
        <is>
          <t>A 19071-2020</t>
        </is>
      </c>
      <c r="B183" s="1" t="n">
        <v>43936</v>
      </c>
      <c r="C183" s="1" t="n">
        <v>45646</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19480-2020</t>
        </is>
      </c>
      <c r="B184" s="1" t="n">
        <v>43936</v>
      </c>
      <c r="C184" s="1" t="n">
        <v>45646</v>
      </c>
      <c r="D184" t="inlineStr">
        <is>
          <t>VÄSTMANLANDS LÄN</t>
        </is>
      </c>
      <c r="E184" t="inlineStr">
        <is>
          <t>SALA</t>
        </is>
      </c>
      <c r="G184" t="n">
        <v>4.8</v>
      </c>
      <c r="H184" t="n">
        <v>0</v>
      </c>
      <c r="I184" t="n">
        <v>0</v>
      </c>
      <c r="J184" t="n">
        <v>0</v>
      </c>
      <c r="K184" t="n">
        <v>0</v>
      </c>
      <c r="L184" t="n">
        <v>0</v>
      </c>
      <c r="M184" t="n">
        <v>0</v>
      </c>
      <c r="N184" t="n">
        <v>0</v>
      </c>
      <c r="O184" t="n">
        <v>0</v>
      </c>
      <c r="P184" t="n">
        <v>0</v>
      </c>
      <c r="Q184" t="n">
        <v>0</v>
      </c>
      <c r="R184" s="2" t="inlineStr"/>
    </row>
    <row r="185" ht="15" customHeight="1">
      <c r="A185" t="inlineStr">
        <is>
          <t>A 22305-2020</t>
        </is>
      </c>
      <c r="B185" s="1" t="n">
        <v>43957</v>
      </c>
      <c r="C185" s="1" t="n">
        <v>45646</v>
      </c>
      <c r="D185" t="inlineStr">
        <is>
          <t>VÄSTMANLANDS LÄN</t>
        </is>
      </c>
      <c r="E185" t="inlineStr">
        <is>
          <t>SALA</t>
        </is>
      </c>
      <c r="G185" t="n">
        <v>2.9</v>
      </c>
      <c r="H185" t="n">
        <v>0</v>
      </c>
      <c r="I185" t="n">
        <v>0</v>
      </c>
      <c r="J185" t="n">
        <v>0</v>
      </c>
      <c r="K185" t="n">
        <v>0</v>
      </c>
      <c r="L185" t="n">
        <v>0</v>
      </c>
      <c r="M185" t="n">
        <v>0</v>
      </c>
      <c r="N185" t="n">
        <v>0</v>
      </c>
      <c r="O185" t="n">
        <v>0</v>
      </c>
      <c r="P185" t="n">
        <v>0</v>
      </c>
      <c r="Q185" t="n">
        <v>0</v>
      </c>
      <c r="R185" s="2" t="inlineStr"/>
    </row>
    <row r="186" ht="15" customHeight="1">
      <c r="A186" t="inlineStr">
        <is>
          <t>A 22058-2020</t>
        </is>
      </c>
      <c r="B186" s="1" t="n">
        <v>43959</v>
      </c>
      <c r="C186" s="1" t="n">
        <v>45646</v>
      </c>
      <c r="D186" t="inlineStr">
        <is>
          <t>VÄSTMANLANDS LÄN</t>
        </is>
      </c>
      <c r="E186" t="inlineStr">
        <is>
          <t>SALA</t>
        </is>
      </c>
      <c r="G186" t="n">
        <v>3.1</v>
      </c>
      <c r="H186" t="n">
        <v>0</v>
      </c>
      <c r="I186" t="n">
        <v>0</v>
      </c>
      <c r="J186" t="n">
        <v>0</v>
      </c>
      <c r="K186" t="n">
        <v>0</v>
      </c>
      <c r="L186" t="n">
        <v>0</v>
      </c>
      <c r="M186" t="n">
        <v>0</v>
      </c>
      <c r="N186" t="n">
        <v>0</v>
      </c>
      <c r="O186" t="n">
        <v>0</v>
      </c>
      <c r="P186" t="n">
        <v>0</v>
      </c>
      <c r="Q186" t="n">
        <v>0</v>
      </c>
      <c r="R186" s="2" t="inlineStr"/>
    </row>
    <row r="187" ht="15" customHeight="1">
      <c r="A187" t="inlineStr">
        <is>
          <t>A 24235-2020</t>
        </is>
      </c>
      <c r="B187" s="1" t="n">
        <v>43976</v>
      </c>
      <c r="C187" s="1" t="n">
        <v>45646</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24763-2020</t>
        </is>
      </c>
      <c r="B188" s="1" t="n">
        <v>43978</v>
      </c>
      <c r="C188" s="1" t="n">
        <v>45646</v>
      </c>
      <c r="D188" t="inlineStr">
        <is>
          <t>VÄSTMANLANDS LÄN</t>
        </is>
      </c>
      <c r="E188" t="inlineStr">
        <is>
          <t>SALA</t>
        </is>
      </c>
      <c r="G188" t="n">
        <v>3.6</v>
      </c>
      <c r="H188" t="n">
        <v>0</v>
      </c>
      <c r="I188" t="n">
        <v>0</v>
      </c>
      <c r="J188" t="n">
        <v>0</v>
      </c>
      <c r="K188" t="n">
        <v>0</v>
      </c>
      <c r="L188" t="n">
        <v>0</v>
      </c>
      <c r="M188" t="n">
        <v>0</v>
      </c>
      <c r="N188" t="n">
        <v>0</v>
      </c>
      <c r="O188" t="n">
        <v>0</v>
      </c>
      <c r="P188" t="n">
        <v>0</v>
      </c>
      <c r="Q188" t="n">
        <v>0</v>
      </c>
      <c r="R188" s="2" t="inlineStr"/>
    </row>
    <row r="189" ht="15" customHeight="1">
      <c r="A189" t="inlineStr">
        <is>
          <t>A 26098-2020</t>
        </is>
      </c>
      <c r="B189" s="1" t="n">
        <v>43985</v>
      </c>
      <c r="C189" s="1" t="n">
        <v>45646</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26425-2020</t>
        </is>
      </c>
      <c r="B190" s="1" t="n">
        <v>43987</v>
      </c>
      <c r="C190" s="1" t="n">
        <v>45646</v>
      </c>
      <c r="D190" t="inlineStr">
        <is>
          <t>VÄSTMANLANDS LÄN</t>
        </is>
      </c>
      <c r="E190" t="inlineStr">
        <is>
          <t>SALA</t>
        </is>
      </c>
      <c r="G190" t="n">
        <v>6.3</v>
      </c>
      <c r="H190" t="n">
        <v>0</v>
      </c>
      <c r="I190" t="n">
        <v>0</v>
      </c>
      <c r="J190" t="n">
        <v>0</v>
      </c>
      <c r="K190" t="n">
        <v>0</v>
      </c>
      <c r="L190" t="n">
        <v>0</v>
      </c>
      <c r="M190" t="n">
        <v>0</v>
      </c>
      <c r="N190" t="n">
        <v>0</v>
      </c>
      <c r="O190" t="n">
        <v>0</v>
      </c>
      <c r="P190" t="n">
        <v>0</v>
      </c>
      <c r="Q190" t="n">
        <v>0</v>
      </c>
      <c r="R190" s="2" t="inlineStr"/>
    </row>
    <row r="191" ht="15" customHeight="1">
      <c r="A191" t="inlineStr">
        <is>
          <t>A 26937-2020</t>
        </is>
      </c>
      <c r="B191" s="1" t="n">
        <v>43990</v>
      </c>
      <c r="C191" s="1" t="n">
        <v>45646</v>
      </c>
      <c r="D191" t="inlineStr">
        <is>
          <t>VÄSTMANLANDS LÄN</t>
        </is>
      </c>
      <c r="E191" t="inlineStr">
        <is>
          <t>SALA</t>
        </is>
      </c>
      <c r="F191" t="inlineStr">
        <is>
          <t>Bergvik skog öst AB</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27730-2020</t>
        </is>
      </c>
      <c r="B192" s="1" t="n">
        <v>43994</v>
      </c>
      <c r="C192" s="1" t="n">
        <v>45646</v>
      </c>
      <c r="D192" t="inlineStr">
        <is>
          <t>VÄSTMANLANDS LÄN</t>
        </is>
      </c>
      <c r="E192" t="inlineStr">
        <is>
          <t>SALA</t>
        </is>
      </c>
      <c r="G192" t="n">
        <v>2.1</v>
      </c>
      <c r="H192" t="n">
        <v>0</v>
      </c>
      <c r="I192" t="n">
        <v>0</v>
      </c>
      <c r="J192" t="n">
        <v>0</v>
      </c>
      <c r="K192" t="n">
        <v>0</v>
      </c>
      <c r="L192" t="n">
        <v>0</v>
      </c>
      <c r="M192" t="n">
        <v>0</v>
      </c>
      <c r="N192" t="n">
        <v>0</v>
      </c>
      <c r="O192" t="n">
        <v>0</v>
      </c>
      <c r="P192" t="n">
        <v>0</v>
      </c>
      <c r="Q192" t="n">
        <v>0</v>
      </c>
      <c r="R192" s="2" t="inlineStr"/>
    </row>
    <row r="193" ht="15" customHeight="1">
      <c r="A193" t="inlineStr">
        <is>
          <t>A 29845-2020</t>
        </is>
      </c>
      <c r="B193" s="1" t="n">
        <v>44005</v>
      </c>
      <c r="C193" s="1" t="n">
        <v>45646</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29821-2020</t>
        </is>
      </c>
      <c r="B194" s="1" t="n">
        <v>44005</v>
      </c>
      <c r="C194" s="1" t="n">
        <v>45646</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29925-2020</t>
        </is>
      </c>
      <c r="B195" s="1" t="n">
        <v>44006</v>
      </c>
      <c r="C195" s="1" t="n">
        <v>45646</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30327-2020</t>
        </is>
      </c>
      <c r="B196" s="1" t="n">
        <v>44007</v>
      </c>
      <c r="C196" s="1" t="n">
        <v>45646</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32371-2020</t>
        </is>
      </c>
      <c r="B197" s="1" t="n">
        <v>44018</v>
      </c>
      <c r="C197" s="1" t="n">
        <v>45646</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32367-2020</t>
        </is>
      </c>
      <c r="B198" s="1" t="n">
        <v>44018</v>
      </c>
      <c r="C198" s="1" t="n">
        <v>45646</v>
      </c>
      <c r="D198" t="inlineStr">
        <is>
          <t>VÄSTMANLANDS LÄN</t>
        </is>
      </c>
      <c r="E198" t="inlineStr">
        <is>
          <t>SALA</t>
        </is>
      </c>
      <c r="G198" t="n">
        <v>1.5</v>
      </c>
      <c r="H198" t="n">
        <v>0</v>
      </c>
      <c r="I198" t="n">
        <v>0</v>
      </c>
      <c r="J198" t="n">
        <v>0</v>
      </c>
      <c r="K198" t="n">
        <v>0</v>
      </c>
      <c r="L198" t="n">
        <v>0</v>
      </c>
      <c r="M198" t="n">
        <v>0</v>
      </c>
      <c r="N198" t="n">
        <v>0</v>
      </c>
      <c r="O198" t="n">
        <v>0</v>
      </c>
      <c r="P198" t="n">
        <v>0</v>
      </c>
      <c r="Q198" t="n">
        <v>0</v>
      </c>
      <c r="R198" s="2" t="inlineStr"/>
    </row>
    <row r="199" ht="15" customHeight="1">
      <c r="A199" t="inlineStr">
        <is>
          <t>A 32368-2020</t>
        </is>
      </c>
      <c r="B199" s="1" t="n">
        <v>44018</v>
      </c>
      <c r="C199" s="1" t="n">
        <v>45646</v>
      </c>
      <c r="D199" t="inlineStr">
        <is>
          <t>VÄSTMANLANDS LÄN</t>
        </is>
      </c>
      <c r="E199" t="inlineStr">
        <is>
          <t>SALA</t>
        </is>
      </c>
      <c r="G199" t="n">
        <v>3.4</v>
      </c>
      <c r="H199" t="n">
        <v>0</v>
      </c>
      <c r="I199" t="n">
        <v>0</v>
      </c>
      <c r="J199" t="n">
        <v>0</v>
      </c>
      <c r="K199" t="n">
        <v>0</v>
      </c>
      <c r="L199" t="n">
        <v>0</v>
      </c>
      <c r="M199" t="n">
        <v>0</v>
      </c>
      <c r="N199" t="n">
        <v>0</v>
      </c>
      <c r="O199" t="n">
        <v>0</v>
      </c>
      <c r="P199" t="n">
        <v>0</v>
      </c>
      <c r="Q199" t="n">
        <v>0</v>
      </c>
      <c r="R199" s="2" t="inlineStr"/>
    </row>
    <row r="200" ht="15" customHeight="1">
      <c r="A200" t="inlineStr">
        <is>
          <t>A 32377-2020</t>
        </is>
      </c>
      <c r="B200" s="1" t="n">
        <v>44018</v>
      </c>
      <c r="C200" s="1" t="n">
        <v>45646</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33181-2020</t>
        </is>
      </c>
      <c r="B201" s="1" t="n">
        <v>44021</v>
      </c>
      <c r="C201" s="1" t="n">
        <v>45646</v>
      </c>
      <c r="D201" t="inlineStr">
        <is>
          <t>VÄSTMANLANDS LÄN</t>
        </is>
      </c>
      <c r="E201" t="inlineStr">
        <is>
          <t>SALA</t>
        </is>
      </c>
      <c r="G201" t="n">
        <v>2.8</v>
      </c>
      <c r="H201" t="n">
        <v>0</v>
      </c>
      <c r="I201" t="n">
        <v>0</v>
      </c>
      <c r="J201" t="n">
        <v>0</v>
      </c>
      <c r="K201" t="n">
        <v>0</v>
      </c>
      <c r="L201" t="n">
        <v>0</v>
      </c>
      <c r="M201" t="n">
        <v>0</v>
      </c>
      <c r="N201" t="n">
        <v>0</v>
      </c>
      <c r="O201" t="n">
        <v>0</v>
      </c>
      <c r="P201" t="n">
        <v>0</v>
      </c>
      <c r="Q201" t="n">
        <v>0</v>
      </c>
      <c r="R201" s="2" t="inlineStr"/>
    </row>
    <row r="202" ht="15" customHeight="1">
      <c r="A202" t="inlineStr">
        <is>
          <t>A 34430-2020</t>
        </is>
      </c>
      <c r="B202" s="1" t="n">
        <v>44032</v>
      </c>
      <c r="C202" s="1" t="n">
        <v>45646</v>
      </c>
      <c r="D202" t="inlineStr">
        <is>
          <t>VÄSTMANLANDS LÄN</t>
        </is>
      </c>
      <c r="E202" t="inlineStr">
        <is>
          <t>SALA</t>
        </is>
      </c>
      <c r="G202" t="n">
        <v>4.7</v>
      </c>
      <c r="H202" t="n">
        <v>0</v>
      </c>
      <c r="I202" t="n">
        <v>0</v>
      </c>
      <c r="J202" t="n">
        <v>0</v>
      </c>
      <c r="K202" t="n">
        <v>0</v>
      </c>
      <c r="L202" t="n">
        <v>0</v>
      </c>
      <c r="M202" t="n">
        <v>0</v>
      </c>
      <c r="N202" t="n">
        <v>0</v>
      </c>
      <c r="O202" t="n">
        <v>0</v>
      </c>
      <c r="P202" t="n">
        <v>0</v>
      </c>
      <c r="Q202" t="n">
        <v>0</v>
      </c>
      <c r="R202" s="2" t="inlineStr"/>
    </row>
    <row r="203" ht="15" customHeight="1">
      <c r="A203" t="inlineStr">
        <is>
          <t>A 34429-2020</t>
        </is>
      </c>
      <c r="B203" s="1" t="n">
        <v>44032</v>
      </c>
      <c r="C203" s="1" t="n">
        <v>45646</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37008-2020</t>
        </is>
      </c>
      <c r="B204" s="1" t="n">
        <v>44054</v>
      </c>
      <c r="C204" s="1" t="n">
        <v>45646</v>
      </c>
      <c r="D204" t="inlineStr">
        <is>
          <t>VÄSTMANLANDS LÄN</t>
        </is>
      </c>
      <c r="E204" t="inlineStr">
        <is>
          <t>SALA</t>
        </is>
      </c>
      <c r="F204" t="inlineStr">
        <is>
          <t>Kommuner</t>
        </is>
      </c>
      <c r="G204" t="n">
        <v>5.5</v>
      </c>
      <c r="H204" t="n">
        <v>0</v>
      </c>
      <c r="I204" t="n">
        <v>0</v>
      </c>
      <c r="J204" t="n">
        <v>0</v>
      </c>
      <c r="K204" t="n">
        <v>0</v>
      </c>
      <c r="L204" t="n">
        <v>0</v>
      </c>
      <c r="M204" t="n">
        <v>0</v>
      </c>
      <c r="N204" t="n">
        <v>0</v>
      </c>
      <c r="O204" t="n">
        <v>0</v>
      </c>
      <c r="P204" t="n">
        <v>0</v>
      </c>
      <c r="Q204" t="n">
        <v>0</v>
      </c>
      <c r="R204" s="2" t="inlineStr"/>
    </row>
    <row r="205" ht="15" customHeight="1">
      <c r="A205" t="inlineStr">
        <is>
          <t>A 37098-2020</t>
        </is>
      </c>
      <c r="B205" s="1" t="n">
        <v>44054</v>
      </c>
      <c r="C205" s="1" t="n">
        <v>45646</v>
      </c>
      <c r="D205" t="inlineStr">
        <is>
          <t>VÄSTMANLANDS LÄN</t>
        </is>
      </c>
      <c r="E205" t="inlineStr">
        <is>
          <t>SALA</t>
        </is>
      </c>
      <c r="F205" t="inlineStr">
        <is>
          <t>Kommuner</t>
        </is>
      </c>
      <c r="G205" t="n">
        <v>3.8</v>
      </c>
      <c r="H205" t="n">
        <v>0</v>
      </c>
      <c r="I205" t="n">
        <v>0</v>
      </c>
      <c r="J205" t="n">
        <v>0</v>
      </c>
      <c r="K205" t="n">
        <v>0</v>
      </c>
      <c r="L205" t="n">
        <v>0</v>
      </c>
      <c r="M205" t="n">
        <v>0</v>
      </c>
      <c r="N205" t="n">
        <v>0</v>
      </c>
      <c r="O205" t="n">
        <v>0</v>
      </c>
      <c r="P205" t="n">
        <v>0</v>
      </c>
      <c r="Q205" t="n">
        <v>0</v>
      </c>
      <c r="R205" s="2" t="inlineStr"/>
    </row>
    <row r="206" ht="15" customHeight="1">
      <c r="A206" t="inlineStr">
        <is>
          <t>A 37150-2020</t>
        </is>
      </c>
      <c r="B206" s="1" t="n">
        <v>44054</v>
      </c>
      <c r="C206" s="1" t="n">
        <v>45646</v>
      </c>
      <c r="D206" t="inlineStr">
        <is>
          <t>VÄSTMANLANDS LÄN</t>
        </is>
      </c>
      <c r="E206" t="inlineStr">
        <is>
          <t>SALA</t>
        </is>
      </c>
      <c r="F206" t="inlineStr">
        <is>
          <t>Kommuner</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38579-2020</t>
        </is>
      </c>
      <c r="B207" s="1" t="n">
        <v>44061</v>
      </c>
      <c r="C207" s="1" t="n">
        <v>45646</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38713-2020</t>
        </is>
      </c>
      <c r="B208" s="1" t="n">
        <v>44061</v>
      </c>
      <c r="C208" s="1" t="n">
        <v>45646</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39519-2020</t>
        </is>
      </c>
      <c r="B209" s="1" t="n">
        <v>44064</v>
      </c>
      <c r="C209" s="1" t="n">
        <v>45646</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39818-2020</t>
        </is>
      </c>
      <c r="B210" s="1" t="n">
        <v>44067</v>
      </c>
      <c r="C210" s="1" t="n">
        <v>45646</v>
      </c>
      <c r="D210" t="inlineStr">
        <is>
          <t>VÄSTMANLANDS LÄN</t>
        </is>
      </c>
      <c r="E210" t="inlineStr">
        <is>
          <t>SALA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41493-2020</t>
        </is>
      </c>
      <c r="B211" s="1" t="n">
        <v>44074</v>
      </c>
      <c r="C211" s="1" t="n">
        <v>45646</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41485-2020</t>
        </is>
      </c>
      <c r="B212" s="1" t="n">
        <v>44074</v>
      </c>
      <c r="C212" s="1" t="n">
        <v>45646</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42344-2020</t>
        </is>
      </c>
      <c r="B213" s="1" t="n">
        <v>44076</v>
      </c>
      <c r="C213" s="1" t="n">
        <v>45646</v>
      </c>
      <c r="D213" t="inlineStr">
        <is>
          <t>VÄSTMANLANDS LÄN</t>
        </is>
      </c>
      <c r="E213" t="inlineStr">
        <is>
          <t>SALA</t>
        </is>
      </c>
      <c r="G213" t="n">
        <v>5.1</v>
      </c>
      <c r="H213" t="n">
        <v>0</v>
      </c>
      <c r="I213" t="n">
        <v>0</v>
      </c>
      <c r="J213" t="n">
        <v>0</v>
      </c>
      <c r="K213" t="n">
        <v>0</v>
      </c>
      <c r="L213" t="n">
        <v>0</v>
      </c>
      <c r="M213" t="n">
        <v>0</v>
      </c>
      <c r="N213" t="n">
        <v>0</v>
      </c>
      <c r="O213" t="n">
        <v>0</v>
      </c>
      <c r="P213" t="n">
        <v>0</v>
      </c>
      <c r="Q213" t="n">
        <v>0</v>
      </c>
      <c r="R213" s="2" t="inlineStr"/>
    </row>
    <row r="214" ht="15" customHeight="1">
      <c r="A214" t="inlineStr">
        <is>
          <t>A 42345-2020</t>
        </is>
      </c>
      <c r="B214" s="1" t="n">
        <v>44076</v>
      </c>
      <c r="C214" s="1" t="n">
        <v>45646</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42346-2020</t>
        </is>
      </c>
      <c r="B215" s="1" t="n">
        <v>44076</v>
      </c>
      <c r="C215" s="1" t="n">
        <v>45646</v>
      </c>
      <c r="D215" t="inlineStr">
        <is>
          <t>VÄSTMANLANDS LÄN</t>
        </is>
      </c>
      <c r="E215" t="inlineStr">
        <is>
          <t>SALA</t>
        </is>
      </c>
      <c r="G215" t="n">
        <v>1.7</v>
      </c>
      <c r="H215" t="n">
        <v>0</v>
      </c>
      <c r="I215" t="n">
        <v>0</v>
      </c>
      <c r="J215" t="n">
        <v>0</v>
      </c>
      <c r="K215" t="n">
        <v>0</v>
      </c>
      <c r="L215" t="n">
        <v>0</v>
      </c>
      <c r="M215" t="n">
        <v>0</v>
      </c>
      <c r="N215" t="n">
        <v>0</v>
      </c>
      <c r="O215" t="n">
        <v>0</v>
      </c>
      <c r="P215" t="n">
        <v>0</v>
      </c>
      <c r="Q215" t="n">
        <v>0</v>
      </c>
      <c r="R215" s="2" t="inlineStr"/>
    </row>
    <row r="216" ht="15" customHeight="1">
      <c r="A216" t="inlineStr">
        <is>
          <t>A 43349-2020</t>
        </is>
      </c>
      <c r="B216" s="1" t="n">
        <v>44081</v>
      </c>
      <c r="C216" s="1" t="n">
        <v>45646</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44652-2020</t>
        </is>
      </c>
      <c r="B217" s="1" t="n">
        <v>44085</v>
      </c>
      <c r="C217" s="1" t="n">
        <v>45646</v>
      </c>
      <c r="D217" t="inlineStr">
        <is>
          <t>VÄSTMANLANDS LÄN</t>
        </is>
      </c>
      <c r="E217" t="inlineStr">
        <is>
          <t>SALA</t>
        </is>
      </c>
      <c r="G217" t="n">
        <v>1.8</v>
      </c>
      <c r="H217" t="n">
        <v>0</v>
      </c>
      <c r="I217" t="n">
        <v>0</v>
      </c>
      <c r="J217" t="n">
        <v>0</v>
      </c>
      <c r="K217" t="n">
        <v>0</v>
      </c>
      <c r="L217" t="n">
        <v>0</v>
      </c>
      <c r="M217" t="n">
        <v>0</v>
      </c>
      <c r="N217" t="n">
        <v>0</v>
      </c>
      <c r="O217" t="n">
        <v>0</v>
      </c>
      <c r="P217" t="n">
        <v>0</v>
      </c>
      <c r="Q217" t="n">
        <v>0</v>
      </c>
      <c r="R217" s="2" t="inlineStr"/>
    </row>
    <row r="218" ht="15" customHeight="1">
      <c r="A218" t="inlineStr">
        <is>
          <t>A 44950-2020</t>
        </is>
      </c>
      <c r="B218" s="1" t="n">
        <v>44088</v>
      </c>
      <c r="C218" s="1" t="n">
        <v>45646</v>
      </c>
      <c r="D218" t="inlineStr">
        <is>
          <t>VÄSTMANLANDS LÄN</t>
        </is>
      </c>
      <c r="E218" t="inlineStr">
        <is>
          <t>SALA</t>
        </is>
      </c>
      <c r="G218" t="n">
        <v>9</v>
      </c>
      <c r="H218" t="n">
        <v>0</v>
      </c>
      <c r="I218" t="n">
        <v>0</v>
      </c>
      <c r="J218" t="n">
        <v>0</v>
      </c>
      <c r="K218" t="n">
        <v>0</v>
      </c>
      <c r="L218" t="n">
        <v>0</v>
      </c>
      <c r="M218" t="n">
        <v>0</v>
      </c>
      <c r="N218" t="n">
        <v>0</v>
      </c>
      <c r="O218" t="n">
        <v>0</v>
      </c>
      <c r="P218" t="n">
        <v>0</v>
      </c>
      <c r="Q218" t="n">
        <v>0</v>
      </c>
      <c r="R218" s="2" t="inlineStr"/>
    </row>
    <row r="219" ht="15" customHeight="1">
      <c r="A219" t="inlineStr">
        <is>
          <t>A 46965-2020</t>
        </is>
      </c>
      <c r="B219" s="1" t="n">
        <v>44096</v>
      </c>
      <c r="C219" s="1" t="n">
        <v>45646</v>
      </c>
      <c r="D219" t="inlineStr">
        <is>
          <t>VÄSTMANLANDS LÄN</t>
        </is>
      </c>
      <c r="E219" t="inlineStr">
        <is>
          <t>SALA</t>
        </is>
      </c>
      <c r="G219" t="n">
        <v>0.4</v>
      </c>
      <c r="H219" t="n">
        <v>0</v>
      </c>
      <c r="I219" t="n">
        <v>0</v>
      </c>
      <c r="J219" t="n">
        <v>0</v>
      </c>
      <c r="K219" t="n">
        <v>0</v>
      </c>
      <c r="L219" t="n">
        <v>0</v>
      </c>
      <c r="M219" t="n">
        <v>0</v>
      </c>
      <c r="N219" t="n">
        <v>0</v>
      </c>
      <c r="O219" t="n">
        <v>0</v>
      </c>
      <c r="P219" t="n">
        <v>0</v>
      </c>
      <c r="Q219" t="n">
        <v>0</v>
      </c>
      <c r="R219" s="2" t="inlineStr"/>
    </row>
    <row r="220" ht="15" customHeight="1">
      <c r="A220" t="inlineStr">
        <is>
          <t>A 47054-2020</t>
        </is>
      </c>
      <c r="B220" s="1" t="n">
        <v>44096</v>
      </c>
      <c r="C220" s="1" t="n">
        <v>45646</v>
      </c>
      <c r="D220" t="inlineStr">
        <is>
          <t>VÄSTMANLANDS LÄN</t>
        </is>
      </c>
      <c r="E220" t="inlineStr">
        <is>
          <t>SALA</t>
        </is>
      </c>
      <c r="F220" t="inlineStr">
        <is>
          <t>Kommuner</t>
        </is>
      </c>
      <c r="G220" t="n">
        <v>1.1</v>
      </c>
      <c r="H220" t="n">
        <v>0</v>
      </c>
      <c r="I220" t="n">
        <v>0</v>
      </c>
      <c r="J220" t="n">
        <v>0</v>
      </c>
      <c r="K220" t="n">
        <v>0</v>
      </c>
      <c r="L220" t="n">
        <v>0</v>
      </c>
      <c r="M220" t="n">
        <v>0</v>
      </c>
      <c r="N220" t="n">
        <v>0</v>
      </c>
      <c r="O220" t="n">
        <v>0</v>
      </c>
      <c r="P220" t="n">
        <v>0</v>
      </c>
      <c r="Q220" t="n">
        <v>0</v>
      </c>
      <c r="R220" s="2" t="inlineStr"/>
    </row>
    <row r="221" ht="15" customHeight="1">
      <c r="A221" t="inlineStr">
        <is>
          <t>A 47208-2020</t>
        </is>
      </c>
      <c r="B221" s="1" t="n">
        <v>44097</v>
      </c>
      <c r="C221" s="1" t="n">
        <v>45646</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50559-2020</t>
        </is>
      </c>
      <c r="B222" s="1" t="n">
        <v>44110</v>
      </c>
      <c r="C222" s="1" t="n">
        <v>45646</v>
      </c>
      <c r="D222" t="inlineStr">
        <is>
          <t>VÄSTMANLANDS LÄN</t>
        </is>
      </c>
      <c r="E222" t="inlineStr">
        <is>
          <t>SALA</t>
        </is>
      </c>
      <c r="G222" t="n">
        <v>1.4</v>
      </c>
      <c r="H222" t="n">
        <v>0</v>
      </c>
      <c r="I222" t="n">
        <v>0</v>
      </c>
      <c r="J222" t="n">
        <v>0</v>
      </c>
      <c r="K222" t="n">
        <v>0</v>
      </c>
      <c r="L222" t="n">
        <v>0</v>
      </c>
      <c r="M222" t="n">
        <v>0</v>
      </c>
      <c r="N222" t="n">
        <v>0</v>
      </c>
      <c r="O222" t="n">
        <v>0</v>
      </c>
      <c r="P222" t="n">
        <v>0</v>
      </c>
      <c r="Q222" t="n">
        <v>0</v>
      </c>
      <c r="R222" s="2" t="inlineStr"/>
    </row>
    <row r="223" ht="15" customHeight="1">
      <c r="A223" t="inlineStr">
        <is>
          <t>A 50801-2020</t>
        </is>
      </c>
      <c r="B223" s="1" t="n">
        <v>44111</v>
      </c>
      <c r="C223" s="1" t="n">
        <v>45646</v>
      </c>
      <c r="D223" t="inlineStr">
        <is>
          <t>VÄSTMANLANDS LÄN</t>
        </is>
      </c>
      <c r="E223" t="inlineStr">
        <is>
          <t>SALA</t>
        </is>
      </c>
      <c r="G223" t="n">
        <v>1.1</v>
      </c>
      <c r="H223" t="n">
        <v>0</v>
      </c>
      <c r="I223" t="n">
        <v>0</v>
      </c>
      <c r="J223" t="n">
        <v>0</v>
      </c>
      <c r="K223" t="n">
        <v>0</v>
      </c>
      <c r="L223" t="n">
        <v>0</v>
      </c>
      <c r="M223" t="n">
        <v>0</v>
      </c>
      <c r="N223" t="n">
        <v>0</v>
      </c>
      <c r="O223" t="n">
        <v>0</v>
      </c>
      <c r="P223" t="n">
        <v>0</v>
      </c>
      <c r="Q223" t="n">
        <v>0</v>
      </c>
      <c r="R223" s="2" t="inlineStr"/>
    </row>
    <row r="224" ht="15" customHeight="1">
      <c r="A224" t="inlineStr">
        <is>
          <t>A 50818-2020</t>
        </is>
      </c>
      <c r="B224" s="1" t="n">
        <v>44111</v>
      </c>
      <c r="C224" s="1" t="n">
        <v>45646</v>
      </c>
      <c r="D224" t="inlineStr">
        <is>
          <t>VÄSTMANLANDS LÄN</t>
        </is>
      </c>
      <c r="E224" t="inlineStr">
        <is>
          <t>SALA</t>
        </is>
      </c>
      <c r="G224" t="n">
        <v>0.4</v>
      </c>
      <c r="H224" t="n">
        <v>0</v>
      </c>
      <c r="I224" t="n">
        <v>0</v>
      </c>
      <c r="J224" t="n">
        <v>0</v>
      </c>
      <c r="K224" t="n">
        <v>0</v>
      </c>
      <c r="L224" t="n">
        <v>0</v>
      </c>
      <c r="M224" t="n">
        <v>0</v>
      </c>
      <c r="N224" t="n">
        <v>0</v>
      </c>
      <c r="O224" t="n">
        <v>0</v>
      </c>
      <c r="P224" t="n">
        <v>0</v>
      </c>
      <c r="Q224" t="n">
        <v>0</v>
      </c>
      <c r="R224" s="2" t="inlineStr"/>
    </row>
    <row r="225" ht="15" customHeight="1">
      <c r="A225" t="inlineStr">
        <is>
          <t>A 54322-2020</t>
        </is>
      </c>
      <c r="B225" s="1" t="n">
        <v>44126</v>
      </c>
      <c r="C225" s="1" t="n">
        <v>45646</v>
      </c>
      <c r="D225" t="inlineStr">
        <is>
          <t>VÄSTMANLANDS LÄN</t>
        </is>
      </c>
      <c r="E225" t="inlineStr">
        <is>
          <t>SALA</t>
        </is>
      </c>
      <c r="G225" t="n">
        <v>2</v>
      </c>
      <c r="H225" t="n">
        <v>0</v>
      </c>
      <c r="I225" t="n">
        <v>0</v>
      </c>
      <c r="J225" t="n">
        <v>0</v>
      </c>
      <c r="K225" t="n">
        <v>0</v>
      </c>
      <c r="L225" t="n">
        <v>0</v>
      </c>
      <c r="M225" t="n">
        <v>0</v>
      </c>
      <c r="N225" t="n">
        <v>0</v>
      </c>
      <c r="O225" t="n">
        <v>0</v>
      </c>
      <c r="P225" t="n">
        <v>0</v>
      </c>
      <c r="Q225" t="n">
        <v>0</v>
      </c>
      <c r="R225" s="2" t="inlineStr"/>
    </row>
    <row r="226" ht="15" customHeight="1">
      <c r="A226" t="inlineStr">
        <is>
          <t>A 54923-2020</t>
        </is>
      </c>
      <c r="B226" s="1" t="n">
        <v>44127</v>
      </c>
      <c r="C226" s="1" t="n">
        <v>45646</v>
      </c>
      <c r="D226" t="inlineStr">
        <is>
          <t>VÄSTMANLANDS LÄN</t>
        </is>
      </c>
      <c r="E226" t="inlineStr">
        <is>
          <t>SALA</t>
        </is>
      </c>
      <c r="G226" t="n">
        <v>4.9</v>
      </c>
      <c r="H226" t="n">
        <v>0</v>
      </c>
      <c r="I226" t="n">
        <v>0</v>
      </c>
      <c r="J226" t="n">
        <v>0</v>
      </c>
      <c r="K226" t="n">
        <v>0</v>
      </c>
      <c r="L226" t="n">
        <v>0</v>
      </c>
      <c r="M226" t="n">
        <v>0</v>
      </c>
      <c r="N226" t="n">
        <v>0</v>
      </c>
      <c r="O226" t="n">
        <v>0</v>
      </c>
      <c r="P226" t="n">
        <v>0</v>
      </c>
      <c r="Q226" t="n">
        <v>0</v>
      </c>
      <c r="R226" s="2" t="inlineStr"/>
    </row>
    <row r="227" ht="15" customHeight="1">
      <c r="A227" t="inlineStr">
        <is>
          <t>A 54931-2020</t>
        </is>
      </c>
      <c r="B227" s="1" t="n">
        <v>44127</v>
      </c>
      <c r="C227" s="1" t="n">
        <v>45646</v>
      </c>
      <c r="D227" t="inlineStr">
        <is>
          <t>VÄSTMANLANDS LÄN</t>
        </is>
      </c>
      <c r="E227" t="inlineStr">
        <is>
          <t>SALA</t>
        </is>
      </c>
      <c r="G227" t="n">
        <v>7</v>
      </c>
      <c r="H227" t="n">
        <v>0</v>
      </c>
      <c r="I227" t="n">
        <v>0</v>
      </c>
      <c r="J227" t="n">
        <v>0</v>
      </c>
      <c r="K227" t="n">
        <v>0</v>
      </c>
      <c r="L227" t="n">
        <v>0</v>
      </c>
      <c r="M227" t="n">
        <v>0</v>
      </c>
      <c r="N227" t="n">
        <v>0</v>
      </c>
      <c r="O227" t="n">
        <v>0</v>
      </c>
      <c r="P227" t="n">
        <v>0</v>
      </c>
      <c r="Q227" t="n">
        <v>0</v>
      </c>
      <c r="R227" s="2" t="inlineStr"/>
    </row>
    <row r="228" ht="15" customHeight="1">
      <c r="A228" t="inlineStr">
        <is>
          <t>A 55439-2020</t>
        </is>
      </c>
      <c r="B228" s="1" t="n">
        <v>44130</v>
      </c>
      <c r="C228" s="1" t="n">
        <v>45646</v>
      </c>
      <c r="D228" t="inlineStr">
        <is>
          <t>VÄSTMANLANDS LÄN</t>
        </is>
      </c>
      <c r="E228" t="inlineStr">
        <is>
          <t>SALA</t>
        </is>
      </c>
      <c r="G228" t="n">
        <v>4.3</v>
      </c>
      <c r="H228" t="n">
        <v>0</v>
      </c>
      <c r="I228" t="n">
        <v>0</v>
      </c>
      <c r="J228" t="n">
        <v>0</v>
      </c>
      <c r="K228" t="n">
        <v>0</v>
      </c>
      <c r="L228" t="n">
        <v>0</v>
      </c>
      <c r="M228" t="n">
        <v>0</v>
      </c>
      <c r="N228" t="n">
        <v>0</v>
      </c>
      <c r="O228" t="n">
        <v>0</v>
      </c>
      <c r="P228" t="n">
        <v>0</v>
      </c>
      <c r="Q228" t="n">
        <v>0</v>
      </c>
      <c r="R228" s="2" t="inlineStr"/>
    </row>
    <row r="229" ht="15" customHeight="1">
      <c r="A229" t="inlineStr">
        <is>
          <t>A 55881-2020</t>
        </is>
      </c>
      <c r="B229" s="1" t="n">
        <v>44132</v>
      </c>
      <c r="C229" s="1" t="n">
        <v>45646</v>
      </c>
      <c r="D229" t="inlineStr">
        <is>
          <t>VÄSTMANLANDS LÄN</t>
        </is>
      </c>
      <c r="E229" t="inlineStr">
        <is>
          <t>SALA</t>
        </is>
      </c>
      <c r="G229" t="n">
        <v>3</v>
      </c>
      <c r="H229" t="n">
        <v>0</v>
      </c>
      <c r="I229" t="n">
        <v>0</v>
      </c>
      <c r="J229" t="n">
        <v>0</v>
      </c>
      <c r="K229" t="n">
        <v>0</v>
      </c>
      <c r="L229" t="n">
        <v>0</v>
      </c>
      <c r="M229" t="n">
        <v>0</v>
      </c>
      <c r="N229" t="n">
        <v>0</v>
      </c>
      <c r="O229" t="n">
        <v>0</v>
      </c>
      <c r="P229" t="n">
        <v>0</v>
      </c>
      <c r="Q229" t="n">
        <v>0</v>
      </c>
      <c r="R229" s="2" t="inlineStr"/>
    </row>
    <row r="230" ht="15" customHeight="1">
      <c r="A230" t="inlineStr">
        <is>
          <t>A 56134-2020</t>
        </is>
      </c>
      <c r="B230" s="1" t="n">
        <v>44132</v>
      </c>
      <c r="C230" s="1" t="n">
        <v>45646</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56098-2020</t>
        </is>
      </c>
      <c r="B231" s="1" t="n">
        <v>44132</v>
      </c>
      <c r="C231" s="1" t="n">
        <v>45646</v>
      </c>
      <c r="D231" t="inlineStr">
        <is>
          <t>VÄSTMANLANDS LÄN</t>
        </is>
      </c>
      <c r="E231" t="inlineStr">
        <is>
          <t>SALA</t>
        </is>
      </c>
      <c r="G231" t="n">
        <v>1.9</v>
      </c>
      <c r="H231" t="n">
        <v>0</v>
      </c>
      <c r="I231" t="n">
        <v>0</v>
      </c>
      <c r="J231" t="n">
        <v>0</v>
      </c>
      <c r="K231" t="n">
        <v>0</v>
      </c>
      <c r="L231" t="n">
        <v>0</v>
      </c>
      <c r="M231" t="n">
        <v>0</v>
      </c>
      <c r="N231" t="n">
        <v>0</v>
      </c>
      <c r="O231" t="n">
        <v>0</v>
      </c>
      <c r="P231" t="n">
        <v>0</v>
      </c>
      <c r="Q231" t="n">
        <v>0</v>
      </c>
      <c r="R231" s="2" t="inlineStr"/>
    </row>
    <row r="232" ht="15" customHeight="1">
      <c r="A232" t="inlineStr">
        <is>
          <t>A 57800-2020</t>
        </is>
      </c>
      <c r="B232" s="1" t="n">
        <v>44141</v>
      </c>
      <c r="C232" s="1" t="n">
        <v>45646</v>
      </c>
      <c r="D232" t="inlineStr">
        <is>
          <t>VÄSTMANLANDS LÄN</t>
        </is>
      </c>
      <c r="E232" t="inlineStr">
        <is>
          <t>SALA</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58314-2020</t>
        </is>
      </c>
      <c r="B233" s="1" t="n">
        <v>44145</v>
      </c>
      <c r="C233" s="1" t="n">
        <v>45646</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58781-2020</t>
        </is>
      </c>
      <c r="B234" s="1" t="n">
        <v>44146</v>
      </c>
      <c r="C234" s="1" t="n">
        <v>45646</v>
      </c>
      <c r="D234" t="inlineStr">
        <is>
          <t>VÄSTMANLANDS LÄN</t>
        </is>
      </c>
      <c r="E234" t="inlineStr">
        <is>
          <t>SALA</t>
        </is>
      </c>
      <c r="G234" t="n">
        <v>1.2</v>
      </c>
      <c r="H234" t="n">
        <v>0</v>
      </c>
      <c r="I234" t="n">
        <v>0</v>
      </c>
      <c r="J234" t="n">
        <v>0</v>
      </c>
      <c r="K234" t="n">
        <v>0</v>
      </c>
      <c r="L234" t="n">
        <v>0</v>
      </c>
      <c r="M234" t="n">
        <v>0</v>
      </c>
      <c r="N234" t="n">
        <v>0</v>
      </c>
      <c r="O234" t="n">
        <v>0</v>
      </c>
      <c r="P234" t="n">
        <v>0</v>
      </c>
      <c r="Q234" t="n">
        <v>0</v>
      </c>
      <c r="R234" s="2" t="inlineStr"/>
    </row>
    <row r="235" ht="15" customHeight="1">
      <c r="A235" t="inlineStr">
        <is>
          <t>A 58912-2020</t>
        </is>
      </c>
      <c r="B235" s="1" t="n">
        <v>44146</v>
      </c>
      <c r="C235" s="1" t="n">
        <v>45646</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61415-2020</t>
        </is>
      </c>
      <c r="B236" s="1" t="n">
        <v>44156</v>
      </c>
      <c r="C236" s="1" t="n">
        <v>45646</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62275-2020</t>
        </is>
      </c>
      <c r="B237" s="1" t="n">
        <v>44158</v>
      </c>
      <c r="C237" s="1" t="n">
        <v>45646</v>
      </c>
      <c r="D237" t="inlineStr">
        <is>
          <t>VÄSTMANLANDS LÄN</t>
        </is>
      </c>
      <c r="E237" t="inlineStr">
        <is>
          <t>SALA</t>
        </is>
      </c>
      <c r="G237" t="n">
        <v>4.9</v>
      </c>
      <c r="H237" t="n">
        <v>0</v>
      </c>
      <c r="I237" t="n">
        <v>0</v>
      </c>
      <c r="J237" t="n">
        <v>0</v>
      </c>
      <c r="K237" t="n">
        <v>0</v>
      </c>
      <c r="L237" t="n">
        <v>0</v>
      </c>
      <c r="M237" t="n">
        <v>0</v>
      </c>
      <c r="N237" t="n">
        <v>0</v>
      </c>
      <c r="O237" t="n">
        <v>0</v>
      </c>
      <c r="P237" t="n">
        <v>0</v>
      </c>
      <c r="Q237" t="n">
        <v>0</v>
      </c>
      <c r="R237" s="2" t="inlineStr"/>
    </row>
    <row r="238" ht="15" customHeight="1">
      <c r="A238" t="inlineStr">
        <is>
          <t>A 62680-2020</t>
        </is>
      </c>
      <c r="B238" s="1" t="n">
        <v>44161</v>
      </c>
      <c r="C238" s="1" t="n">
        <v>45646</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64940-2020</t>
        </is>
      </c>
      <c r="B239" s="1" t="n">
        <v>44172</v>
      </c>
      <c r="C239" s="1" t="n">
        <v>45646</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66821-2020</t>
        </is>
      </c>
      <c r="B240" s="1" t="n">
        <v>44179</v>
      </c>
      <c r="C240" s="1" t="n">
        <v>45646</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68113-2020</t>
        </is>
      </c>
      <c r="B241" s="1" t="n">
        <v>44182</v>
      </c>
      <c r="C241" s="1" t="n">
        <v>45646</v>
      </c>
      <c r="D241" t="inlineStr">
        <is>
          <t>VÄSTMANLANDS LÄN</t>
        </is>
      </c>
      <c r="E241" t="inlineStr">
        <is>
          <t>SALA</t>
        </is>
      </c>
      <c r="G241" t="n">
        <v>3.6</v>
      </c>
      <c r="H241" t="n">
        <v>0</v>
      </c>
      <c r="I241" t="n">
        <v>0</v>
      </c>
      <c r="J241" t="n">
        <v>0</v>
      </c>
      <c r="K241" t="n">
        <v>0</v>
      </c>
      <c r="L241" t="n">
        <v>0</v>
      </c>
      <c r="M241" t="n">
        <v>0</v>
      </c>
      <c r="N241" t="n">
        <v>0</v>
      </c>
      <c r="O241" t="n">
        <v>0</v>
      </c>
      <c r="P241" t="n">
        <v>0</v>
      </c>
      <c r="Q241" t="n">
        <v>0</v>
      </c>
      <c r="R241" s="2" t="inlineStr"/>
    </row>
    <row r="242" ht="15" customHeight="1">
      <c r="A242" t="inlineStr">
        <is>
          <t>A 69194-2020</t>
        </is>
      </c>
      <c r="B242" s="1" t="n">
        <v>44191</v>
      </c>
      <c r="C242" s="1" t="n">
        <v>45646</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69192-2020</t>
        </is>
      </c>
      <c r="B243" s="1" t="n">
        <v>44191</v>
      </c>
      <c r="C243" s="1" t="n">
        <v>45646</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69195-2020</t>
        </is>
      </c>
      <c r="B244" s="1" t="n">
        <v>44191</v>
      </c>
      <c r="C244" s="1" t="n">
        <v>45646</v>
      </c>
      <c r="D244" t="inlineStr">
        <is>
          <t>VÄSTMANLANDS LÄN</t>
        </is>
      </c>
      <c r="E244" t="inlineStr">
        <is>
          <t>SALA</t>
        </is>
      </c>
      <c r="G244" t="n">
        <v>1</v>
      </c>
      <c r="H244" t="n">
        <v>0</v>
      </c>
      <c r="I244" t="n">
        <v>0</v>
      </c>
      <c r="J244" t="n">
        <v>0</v>
      </c>
      <c r="K244" t="n">
        <v>0</v>
      </c>
      <c r="L244" t="n">
        <v>0</v>
      </c>
      <c r="M244" t="n">
        <v>0</v>
      </c>
      <c r="N244" t="n">
        <v>0</v>
      </c>
      <c r="O244" t="n">
        <v>0</v>
      </c>
      <c r="P244" t="n">
        <v>0</v>
      </c>
      <c r="Q244" t="n">
        <v>0</v>
      </c>
      <c r="R244" s="2" t="inlineStr"/>
    </row>
    <row r="245" ht="15" customHeight="1">
      <c r="A245" t="inlineStr">
        <is>
          <t>A 69319-2020</t>
        </is>
      </c>
      <c r="B245" s="1" t="n">
        <v>44193</v>
      </c>
      <c r="C245" s="1" t="n">
        <v>45646</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69318-2020</t>
        </is>
      </c>
      <c r="B246" s="1" t="n">
        <v>44193</v>
      </c>
      <c r="C246" s="1" t="n">
        <v>45646</v>
      </c>
      <c r="D246" t="inlineStr">
        <is>
          <t>VÄSTMANLANDS LÄN</t>
        </is>
      </c>
      <c r="E246" t="inlineStr">
        <is>
          <t>SALA</t>
        </is>
      </c>
      <c r="G246" t="n">
        <v>2.2</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45646</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45646</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45646</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45646</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45646</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45646</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45646</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45646</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45646</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45646</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45646</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45646</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45646</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45646</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45646</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45646</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45646</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45646</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45646</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45646</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45646</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45646</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45646</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45646</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45646</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45646</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45646</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45646</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45646</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45646</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45646</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45646</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45646</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45646</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45646</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45646</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45646</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45646</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45646</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45646</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45646</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45646</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45646</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45646</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45646</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45646</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45646</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45646</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45646</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45646</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45646</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45646</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45646</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45646</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45646</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45646</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45646</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45646</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45646</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45646</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45646</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45646</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45646</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45646</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45646</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45646</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45646</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45646</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45646</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45646</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45646</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45646</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45646</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45646</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45646</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45646</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45646</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45646</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45646</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45646</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45646</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45646</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45646</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45646</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45646</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45646</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45646</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45646</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45646</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45646</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45646</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45646</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45646</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45646</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45646</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45646</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45646</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45646</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45646</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45646</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45646</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45646</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45646</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45646</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45646</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45646</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45646</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45646</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45646</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45646</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45646</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45646</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45646</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45646</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45646</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45646</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45646</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45646</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45646</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45646</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45646</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45646</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45646</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45646</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45646</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45646</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45646</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45646</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45646</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45646</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45646</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45646</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45646</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45646</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45646</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45646</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45646</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45646</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45646</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45646</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45646</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45646</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45646</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45646</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45646</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45646</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45646</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45646</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45646</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45646</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45646</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45646</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45646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45646</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45646</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45646</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45646</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45646</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45646</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45646</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45646</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45646</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45646</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45646</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45646</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45646</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45646</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45646</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45646</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45646</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45646</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45646</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45646</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45646</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45646</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45646</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45646</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45646</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45646</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45646</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45646</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45646</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45646</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45646</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45646</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45646</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45646</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45646</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45646</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45646</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45646</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45646</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45646</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45646</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45646</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45646</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45646</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45646</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45646</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45646</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45646</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45646</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45646</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45646</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45646</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45646</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45646</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45646</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45646</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45646</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45646</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45646</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45646</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45646</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45646</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45646</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45646</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45646</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45646</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45646</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45646</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45646</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45646</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45646</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45646</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45646</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45646</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45646</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45646</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45646</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45646</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45646</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45646</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45646</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45646</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45646</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45646</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45646</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45646</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45646</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45646</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45646</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45646</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45646</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45646</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45646</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45646</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45646</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45646</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45646</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45646</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45646</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45646</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45646</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45646</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45646</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45646</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45646</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45646</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45646</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45646</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45646</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45646</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45646</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45646</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45646</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45646</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45646</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45646</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45646</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45646</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45646</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45646</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45646</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45646</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45646</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45646</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45646</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45646</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45646</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45646</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45646</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45646</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45646</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45646</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45646</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45646</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45646</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45646</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45646</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45646</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45646</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45646</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45646</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45646</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45646</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45646</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45646</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45646</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45646</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45646</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45646</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45646</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45646</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45646</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45646</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45646</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45646</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45646</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45646</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45646</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45646</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45646</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45646</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45646</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45646</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45646</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45646</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45646</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45646</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45646</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45646</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45646</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45646</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45646</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45646</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45646</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45646</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45646</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45646</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45646</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45646</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45646</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45646</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45646</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45646</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45646</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45646</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45646</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45646</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45646</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45646</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45646</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45646</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45646</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45646</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45646</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45646</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45646</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45646</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45646</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45646</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45646</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45646</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45646</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45646</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45646</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45646</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45646</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45646</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45646</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45646</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45646</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45646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45646</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45646</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45646</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45646</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45646</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45646</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45646</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45646</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45646</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45646</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45646</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45646</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45646</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45646</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45646</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45646</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45646</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45646</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45646</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45646</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45646</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45646</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45646</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45646</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45646</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45646</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45646</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45646</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45646</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45646</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45646</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45646</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45646</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45646</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45646</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45646</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45646</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45646</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45646</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45646</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45646</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45646</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45646</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45646</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45646</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45646</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45646</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45646</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45646</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45646</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45646</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45646</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45646</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45646</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45646</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45646</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45646</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45646</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45646</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45646</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45646</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45646</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45646</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45646</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45646</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45646</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45646</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45646</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45646</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45646</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45646</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45646</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45646</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45646</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45646</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45646</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45646</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45646</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45646</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45646</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45646</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45646</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45646</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45646</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45646</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45646</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45646</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45646</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45646</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45646</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45646</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45646</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45646</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45646</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45646</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45646</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45646</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45646</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45646</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45646</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45646</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45646</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45646</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45646</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45646</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45646</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45646</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45646</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45646</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45646</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45646</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45646</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45646</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45646</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45646</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45646</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45646</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45646</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45646</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45646</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45646</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45646</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45646</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45646</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45646</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45646</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45646</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45646</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45646</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45646</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45646</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45646</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45646</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45646</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45646</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45646</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45646</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45646</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45646</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45646</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45646</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45646</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45646</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45646</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45646</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45646</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45646</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45646</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45646</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45646</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45646</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45646</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45646</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45646</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45646</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45646</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45646</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45646</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45646</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45646</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45646</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45646</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45646</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45646</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45646</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45646</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45646</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45646</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45646</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45646</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45646</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45646</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45646</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45646</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45646</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45646</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45646</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45646</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45646</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45646</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45646</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45646</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45646</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45646</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45646</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45646</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45646</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45646</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45646</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45646</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45646</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45646</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45646</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45646</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45646</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45646</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45646</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45646</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45646</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45646</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45646</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45646</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45646</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45646</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45646</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45646</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45646</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45646</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45646</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45646</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45646</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45646</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45646</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45646</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45646</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45646</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45646</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45646</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45646</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45646</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45646</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45646</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45646</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45646</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45646</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45646</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45646</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45646</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45646</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45646</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45646</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45646</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45646</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45646</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c r="U844">
        <f>HYPERLINK("https://klasma.github.io/Logging_1981/knärot/A 61525-2023 karta knärot.png", "A 61525-2023")</f>
        <v/>
      </c>
      <c r="V844">
        <f>HYPERLINK("https://klasma.github.io/Logging_1981/klagomål/A 61525-2023 FSC-klagomål.docx", "A 61525-2023")</f>
        <v/>
      </c>
      <c r="W844">
        <f>HYPERLINK("https://klasma.github.io/Logging_1981/klagomålsmail/A 61525-2023 FSC-klagomål mail.docx", "A 61525-2023")</f>
        <v/>
      </c>
      <c r="X844">
        <f>HYPERLINK("https://klasma.github.io/Logging_1981/tillsyn/A 61525-2023 tillsynsbegäran.docx", "A 61525-2023")</f>
        <v/>
      </c>
      <c r="Y844">
        <f>HYPERLINK("https://klasma.github.io/Logging_1981/tillsynsmail/A 61525-2023 tillsynsbegäran mail.docx", "A 61525-2023")</f>
        <v/>
      </c>
    </row>
    <row r="845" ht="15" customHeight="1">
      <c r="A845" t="inlineStr">
        <is>
          <t>A 62449-2023</t>
        </is>
      </c>
      <c r="B845" s="1" t="n">
        <v>45268</v>
      </c>
      <c r="C845" s="1" t="n">
        <v>45646</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45646</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45646</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45646</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45646</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45646</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45646</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45646</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45646</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45646</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45646</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45646</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45646</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45646</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45646</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45646</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45646</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45646</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45646</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45646</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45646</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45646</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45646</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45646</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45646</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45646</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45646</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45646</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45646</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45646</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45646</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45646</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45646</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45646</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45646</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45646</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45646</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45646</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45646</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45646</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45646</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45646</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45646</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45646</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45646</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45646</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45646</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45646</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45646</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45646</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45646</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45646</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45646</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45646</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45646</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45646</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45646</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45646</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45646</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45646</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45646</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45646</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45646</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45646</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45646</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45646</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45646</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45646</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45646</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45646</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45646</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45646</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45646</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45646</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45646</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45646</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45646</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45646</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45646</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45646</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45646</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45646</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45646</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45646</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45646</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45646</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45646</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45646</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45646</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45646</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45646</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45646</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45646</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45646</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45646</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45646</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45646</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45646</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45646</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45646</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45646</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45646</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45646</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45646</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45646</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45646</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45646</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45646</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45646</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45646</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45646</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45646</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45646</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45646</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45646</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45646</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45646</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45646</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45646</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45646</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45646</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45646</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45646</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45646</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45646</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45646</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45646</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45646</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45646</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45646</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45646</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45646</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45646</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45646</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45646</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45646</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45646</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45646</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45646</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45646</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45646</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45646</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45646</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45646</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45646</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45646</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45646</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45646</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45646</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45646</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45646</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45646</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45646</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45646</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45646</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45646</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45646</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45646</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45646</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45646</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45646</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45646</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45646</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45646</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45646</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45646</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45646</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45646</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45646</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45646</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45646</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45646</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45646</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45646</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45646</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45646</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45646</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45646</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45646</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45646</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45646</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45646</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45646</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45646</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45646</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45646</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45646</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45646</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45646</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45646</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45646</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45646</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45646</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45646</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45646</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45646</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45646</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45646</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45646</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45646</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45646</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45646</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45646</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45646</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45646</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45646</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45646</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45646</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45646</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45646</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45646</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45646</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45646</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45646</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45646</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45646</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45646</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45646</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45646</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45646</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45646</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45646</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45646</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45646</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45646</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45646</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45646</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45646</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45646</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45646</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45646</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45646</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45646</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45646</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45646</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45646</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45646</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45646</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45646</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45646</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45646</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45646</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45646</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45646</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45646</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45646</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45646</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45646</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45646</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45646</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52827-2024</t>
        </is>
      </c>
      <c r="B1095" s="1" t="n">
        <v>45610</v>
      </c>
      <c r="C1095" s="1" t="n">
        <v>45646</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45646</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45646</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45646</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45646</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45646</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54347-2024</t>
        </is>
      </c>
      <c r="B1101" s="1" t="n">
        <v>45617</v>
      </c>
      <c r="C1101" s="1" t="n">
        <v>45646</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54329-2024</t>
        </is>
      </c>
      <c r="B1102" s="1" t="n">
        <v>45617</v>
      </c>
      <c r="C1102" s="1" t="n">
        <v>45646</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45646</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54768-2024</t>
        </is>
      </c>
      <c r="B1104" s="1" t="n">
        <v>45618</v>
      </c>
      <c r="C1104" s="1" t="n">
        <v>45646</v>
      </c>
      <c r="D1104" t="inlineStr">
        <is>
          <t>VÄSTMANLANDS LÄN</t>
        </is>
      </c>
      <c r="E1104" t="inlineStr">
        <is>
          <t>SALA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54774-2024</t>
        </is>
      </c>
      <c r="B1105" s="1" t="n">
        <v>45618</v>
      </c>
      <c r="C1105" s="1" t="n">
        <v>45646</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54782-2024</t>
        </is>
      </c>
      <c r="B1106" s="1" t="n">
        <v>45618</v>
      </c>
      <c r="C1106" s="1" t="n">
        <v>45646</v>
      </c>
      <c r="D1106" t="inlineStr">
        <is>
          <t>VÄSTMANLANDS LÄN</t>
        </is>
      </c>
      <c r="E1106" t="inlineStr">
        <is>
          <t>SALA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54835-2024</t>
        </is>
      </c>
      <c r="B1107" s="1" t="n">
        <v>45618</v>
      </c>
      <c r="C1107" s="1" t="n">
        <v>45646</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55065-2024</t>
        </is>
      </c>
      <c r="B1108" s="1" t="n">
        <v>45618</v>
      </c>
      <c r="C1108" s="1" t="n">
        <v>45646</v>
      </c>
      <c r="D1108" t="inlineStr">
        <is>
          <t>VÄSTMANLANDS LÄN</t>
        </is>
      </c>
      <c r="E1108" t="inlineStr">
        <is>
          <t>SALA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55107-2024</t>
        </is>
      </c>
      <c r="B1109" s="1" t="n">
        <v>45618</v>
      </c>
      <c r="C1109" s="1" t="n">
        <v>45646</v>
      </c>
      <c r="D1109" t="inlineStr">
        <is>
          <t>VÄSTMANLANDS LÄN</t>
        </is>
      </c>
      <c r="E1109" t="inlineStr">
        <is>
          <t>SALA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54771-2024</t>
        </is>
      </c>
      <c r="B1110" s="1" t="n">
        <v>45618</v>
      </c>
      <c r="C1110" s="1" t="n">
        <v>45646</v>
      </c>
      <c r="D1110" t="inlineStr">
        <is>
          <t>VÄSTMANLANDS LÄN</t>
        </is>
      </c>
      <c r="E1110" t="inlineStr">
        <is>
          <t>SALA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45646</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45646</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54959-2024</t>
        </is>
      </c>
      <c r="B1113" s="1" t="n">
        <v>45619</v>
      </c>
      <c r="C1113" s="1" t="n">
        <v>45646</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54960-2024</t>
        </is>
      </c>
      <c r="B1114" s="1" t="n">
        <v>45619</v>
      </c>
      <c r="C1114" s="1" t="n">
        <v>45646</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45646</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45646</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56540-2024</t>
        </is>
      </c>
      <c r="B1117" s="1" t="n">
        <v>45625</v>
      </c>
      <c r="C1117" s="1" t="n">
        <v>45646</v>
      </c>
      <c r="D1117" t="inlineStr">
        <is>
          <t>VÄSTMANLANDS LÄN</t>
        </is>
      </c>
      <c r="E1117" t="inlineStr">
        <is>
          <t>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56548-2024</t>
        </is>
      </c>
      <c r="B1118" s="1" t="n">
        <v>45625</v>
      </c>
      <c r="C1118" s="1" t="n">
        <v>45646</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45646</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56688-2024</t>
        </is>
      </c>
      <c r="B1120" s="1" t="n">
        <v>45627</v>
      </c>
      <c r="C1120" s="1" t="n">
        <v>45646</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56687-2024</t>
        </is>
      </c>
      <c r="B1121" s="1" t="n">
        <v>45627</v>
      </c>
      <c r="C1121" s="1" t="n">
        <v>45646</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56689-2024</t>
        </is>
      </c>
      <c r="B1122" s="1" t="n">
        <v>45627</v>
      </c>
      <c r="C1122" s="1" t="n">
        <v>45646</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45646</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45646</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45646</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45646</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45646</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45646</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45646</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58711-2024</t>
        </is>
      </c>
      <c r="B1130" s="1" t="n">
        <v>45635</v>
      </c>
      <c r="C1130" s="1" t="n">
        <v>45646</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58651-2024</t>
        </is>
      </c>
      <c r="B1131" s="1" t="n">
        <v>45635</v>
      </c>
      <c r="C1131" s="1" t="n">
        <v>45646</v>
      </c>
      <c r="D1131" t="inlineStr">
        <is>
          <t>VÄSTMANLANDS LÄN</t>
        </is>
      </c>
      <c r="E1131" t="inlineStr">
        <is>
          <t>SALA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58655-2024</t>
        </is>
      </c>
      <c r="B1132" s="1" t="n">
        <v>45635</v>
      </c>
      <c r="C1132" s="1" t="n">
        <v>45646</v>
      </c>
      <c r="D1132" t="inlineStr">
        <is>
          <t>VÄSTMANLANDS LÄN</t>
        </is>
      </c>
      <c r="E1132" t="inlineStr">
        <is>
          <t>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59860-2024</t>
        </is>
      </c>
      <c r="B1133" s="1" t="n">
        <v>45638</v>
      </c>
      <c r="C1133" s="1" t="n">
        <v>45646</v>
      </c>
      <c r="D1133" t="inlineStr">
        <is>
          <t>VÄSTMANLANDS LÄN</t>
        </is>
      </c>
      <c r="E1133" t="inlineStr">
        <is>
          <t>SALA</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59909-2024</t>
        </is>
      </c>
      <c r="B1134" s="1" t="n">
        <v>45641</v>
      </c>
      <c r="C1134" s="1" t="n">
        <v>45646</v>
      </c>
      <c r="D1134" t="inlineStr">
        <is>
          <t>VÄSTMANLANDS LÄN</t>
        </is>
      </c>
      <c r="E1134" t="inlineStr">
        <is>
          <t>SALA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60036-2024</t>
        </is>
      </c>
      <c r="B1135" s="1" t="n">
        <v>45642</v>
      </c>
      <c r="C1135" s="1" t="n">
        <v>45646</v>
      </c>
      <c r="D1135" t="inlineStr">
        <is>
          <t>VÄSTMANLANDS LÄN</t>
        </is>
      </c>
      <c r="E1135" t="inlineStr">
        <is>
          <t>SALA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60034-2024</t>
        </is>
      </c>
      <c r="B1136" s="1" t="n">
        <v>45642</v>
      </c>
      <c r="C1136" s="1" t="n">
        <v>45646</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60328-2024</t>
        </is>
      </c>
      <c r="B1137" s="1" t="n">
        <v>45643</v>
      </c>
      <c r="C1137" s="1" t="n">
        <v>45646</v>
      </c>
      <c r="D1137" t="inlineStr">
        <is>
          <t>VÄSTMANLANDS LÄN</t>
        </is>
      </c>
      <c r="E1137" t="inlineStr">
        <is>
          <t>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60541-2024</t>
        </is>
      </c>
      <c r="B1138" s="1" t="n">
        <v>45643</v>
      </c>
      <c r="C1138" s="1" t="n">
        <v>45646</v>
      </c>
      <c r="D1138" t="inlineStr">
        <is>
          <t>VÄSTMANLANDS LÄN</t>
        </is>
      </c>
      <c r="E1138" t="inlineStr">
        <is>
          <t>SALA</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60545-2024</t>
        </is>
      </c>
      <c r="B1139" s="1" t="n">
        <v>45643</v>
      </c>
      <c r="C1139" s="1" t="n">
        <v>45646</v>
      </c>
      <c r="D1139" t="inlineStr">
        <is>
          <t>VÄSTMANLANDS LÄN</t>
        </is>
      </c>
      <c r="E1139" t="inlineStr">
        <is>
          <t>SALA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60548-2024</t>
        </is>
      </c>
      <c r="B1140" s="1" t="n">
        <v>45643</v>
      </c>
      <c r="C1140" s="1" t="n">
        <v>45646</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60547-2024</t>
        </is>
      </c>
      <c r="B1141" s="1" t="n">
        <v>45643</v>
      </c>
      <c r="C1141" s="1" t="n">
        <v>45646</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45646</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60818-2024</t>
        </is>
      </c>
      <c r="B1143" s="1" t="n">
        <v>45644</v>
      </c>
      <c r="C1143" s="1" t="n">
        <v>45646</v>
      </c>
      <c r="D1143" t="inlineStr">
        <is>
          <t>VÄSTMANLANDS LÄN</t>
        </is>
      </c>
      <c r="E1143" t="inlineStr">
        <is>
          <t>SALA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60852-2024</t>
        </is>
      </c>
      <c r="B1144" s="1" t="n">
        <v>45644</v>
      </c>
      <c r="C1144" s="1" t="n">
        <v>45646</v>
      </c>
      <c r="D1144" t="inlineStr">
        <is>
          <t>VÄSTMANLANDS LÄN</t>
        </is>
      </c>
      <c r="E1144" t="inlineStr">
        <is>
          <t>SALA</t>
        </is>
      </c>
      <c r="G1144" t="n">
        <v>7.6</v>
      </c>
      <c r="H1144" t="n">
        <v>0</v>
      </c>
      <c r="I1144" t="n">
        <v>0</v>
      </c>
      <c r="J1144" t="n">
        <v>0</v>
      </c>
      <c r="K1144" t="n">
        <v>0</v>
      </c>
      <c r="L1144" t="n">
        <v>0</v>
      </c>
      <c r="M1144" t="n">
        <v>0</v>
      </c>
      <c r="N1144" t="n">
        <v>0</v>
      </c>
      <c r="O1144" t="n">
        <v>0</v>
      </c>
      <c r="P1144" t="n">
        <v>0</v>
      </c>
      <c r="Q1144" t="n">
        <v>0</v>
      </c>
      <c r="R1144" s="2" t="inlineStr"/>
    </row>
    <row r="1145">
      <c r="A1145" t="inlineStr">
        <is>
          <t>A 60823-2024</t>
        </is>
      </c>
      <c r="B1145" s="1" t="n">
        <v>45644</v>
      </c>
      <c r="C1145" s="1" t="n">
        <v>45646</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2024-12-20T15:16:06Z</dcterms:created>
  <dcterms:modified xmlns:dcterms="http://purl.org/dc/terms/" xmlns:xsi="http://www.w3.org/2001/XMLSchema-instance" xsi:type="dcterms:W3CDTF">2024-12-20T15:16:07Z</dcterms:modified>
</cp:coreProperties>
</file>