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46026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46026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46026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46026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46026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46026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46026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46026</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46026</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46026</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46026</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46026</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46026</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46026</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46026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46026</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46026</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53019-2024</t>
        </is>
      </c>
      <c r="B19" s="1" t="n">
        <v>45610</v>
      </c>
      <c r="C19" s="1" t="n">
        <v>46026</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46026</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46026</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46026</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46026</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46026</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46026</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46026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46026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46026</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12444-2024</t>
        </is>
      </c>
      <c r="B29" s="1" t="n">
        <v>45379.46285879629</v>
      </c>
      <c r="C29" s="1" t="n">
        <v>46026</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13029-2023</t>
        </is>
      </c>
      <c r="B30" s="1" t="n">
        <v>45001</v>
      </c>
      <c r="C30" s="1" t="n">
        <v>46026</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59826-2025</t>
        </is>
      </c>
      <c r="B31" s="1" t="n">
        <v>45992.65416666667</v>
      </c>
      <c r="C31" s="1" t="n">
        <v>46026</v>
      </c>
      <c r="D31" t="inlineStr">
        <is>
          <t>VÄSTMANLANDS LÄN</t>
        </is>
      </c>
      <c r="E31" t="inlineStr">
        <is>
          <t>SALA</t>
        </is>
      </c>
      <c r="G31" t="n">
        <v>2.7</v>
      </c>
      <c r="H31" t="n">
        <v>0</v>
      </c>
      <c r="I31" t="n">
        <v>1</v>
      </c>
      <c r="J31" t="n">
        <v>1</v>
      </c>
      <c r="K31" t="n">
        <v>0</v>
      </c>
      <c r="L31" t="n">
        <v>0</v>
      </c>
      <c r="M31" t="n">
        <v>0</v>
      </c>
      <c r="N31" t="n">
        <v>0</v>
      </c>
      <c r="O31" t="n">
        <v>1</v>
      </c>
      <c r="P31" t="n">
        <v>0</v>
      </c>
      <c r="Q31" t="n">
        <v>2</v>
      </c>
      <c r="R31" s="2" t="inlineStr">
        <is>
          <t>Motaggsvamp
Gullgröppa</t>
        </is>
      </c>
      <c r="S31">
        <f>HYPERLINK("https://klasma.github.io/Logging_1981/artfynd/A 59826-2025 artfynd.xlsx", "A 59826-2025")</f>
        <v/>
      </c>
      <c r="T31">
        <f>HYPERLINK("https://klasma.github.io/Logging_1981/kartor/A 59826-2025 karta.png", "A 59826-2025")</f>
        <v/>
      </c>
      <c r="V31">
        <f>HYPERLINK("https://klasma.github.io/Logging_1981/klagomål/A 59826-2025 FSC-klagomål.docx", "A 59826-2025")</f>
        <v/>
      </c>
      <c r="W31">
        <f>HYPERLINK("https://klasma.github.io/Logging_1981/klagomålsmail/A 59826-2025 FSC-klagomål mail.docx", "A 59826-2025")</f>
        <v/>
      </c>
      <c r="X31">
        <f>HYPERLINK("https://klasma.github.io/Logging_1981/tillsyn/A 59826-2025 tillsynsbegäran.docx", "A 59826-2025")</f>
        <v/>
      </c>
      <c r="Y31">
        <f>HYPERLINK("https://klasma.github.io/Logging_1981/tillsynsmail/A 59826-2025 tillsynsbegäran mail.docx", "A 59826-2025")</f>
        <v/>
      </c>
    </row>
    <row r="32" ht="15" customHeight="1">
      <c r="A32" t="inlineStr">
        <is>
          <t>A 53048-2025</t>
        </is>
      </c>
      <c r="B32" s="1" t="n">
        <v>45958.36018518519</v>
      </c>
      <c r="C32" s="1" t="n">
        <v>46026</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46026</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1500-2022</t>
        </is>
      </c>
      <c r="B34" s="1" t="n">
        <v>44573.54357638889</v>
      </c>
      <c r="C34" s="1" t="n">
        <v>46026</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46026</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24872-2025</t>
        </is>
      </c>
      <c r="B36" s="1" t="n">
        <v>45799.49038194444</v>
      </c>
      <c r="C36" s="1" t="n">
        <v>46026</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46026</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46026</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46026</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56704-2022</t>
        </is>
      </c>
      <c r="B40" s="1" t="n">
        <v>44893.78075231481</v>
      </c>
      <c r="C40" s="1" t="n">
        <v>46026</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43175-2023</t>
        </is>
      </c>
      <c r="B41" s="1" t="n">
        <v>45183</v>
      </c>
      <c r="C41" s="1" t="n">
        <v>46026</v>
      </c>
      <c r="D41" t="inlineStr">
        <is>
          <t>VÄSTMANLANDS LÄN</t>
        </is>
      </c>
      <c r="E41" t="inlineStr">
        <is>
          <t>SALA</t>
        </is>
      </c>
      <c r="G41" t="n">
        <v>5.6</v>
      </c>
      <c r="H41" t="n">
        <v>0</v>
      </c>
      <c r="I41" t="n">
        <v>1</v>
      </c>
      <c r="J41" t="n">
        <v>0</v>
      </c>
      <c r="K41" t="n">
        <v>0</v>
      </c>
      <c r="L41" t="n">
        <v>0</v>
      </c>
      <c r="M41" t="n">
        <v>0</v>
      </c>
      <c r="N41" t="n">
        <v>0</v>
      </c>
      <c r="O41" t="n">
        <v>0</v>
      </c>
      <c r="P41" t="n">
        <v>0</v>
      </c>
      <c r="Q41" t="n">
        <v>1</v>
      </c>
      <c r="R41" s="2" t="inlineStr">
        <is>
          <t>Grönpyrola</t>
        </is>
      </c>
      <c r="S41">
        <f>HYPERLINK("https://klasma.github.io/Logging_1981/artfynd/A 43175-2023 artfynd.xlsx", "A 43175-2023")</f>
        <v/>
      </c>
      <c r="T41">
        <f>HYPERLINK("https://klasma.github.io/Logging_1981/kartor/A 43175-2023 karta.png", "A 43175-2023")</f>
        <v/>
      </c>
      <c r="V41">
        <f>HYPERLINK("https://klasma.github.io/Logging_1981/klagomål/A 43175-2023 FSC-klagomål.docx", "A 43175-2023")</f>
        <v/>
      </c>
      <c r="W41">
        <f>HYPERLINK("https://klasma.github.io/Logging_1981/klagomålsmail/A 43175-2023 FSC-klagomål mail.docx", "A 43175-2023")</f>
        <v/>
      </c>
      <c r="X41">
        <f>HYPERLINK("https://klasma.github.io/Logging_1981/tillsyn/A 43175-2023 tillsynsbegäran.docx", "A 43175-2023")</f>
        <v/>
      </c>
      <c r="Y41">
        <f>HYPERLINK("https://klasma.github.io/Logging_1981/tillsynsmail/A 43175-2023 tillsynsbegäran mail.docx", "A 43175-2023")</f>
        <v/>
      </c>
    </row>
    <row r="42" ht="15" customHeight="1">
      <c r="A42" t="inlineStr">
        <is>
          <t>A 38255-2025</t>
        </is>
      </c>
      <c r="B42" s="1" t="n">
        <v>45883.38020833334</v>
      </c>
      <c r="C42" s="1" t="n">
        <v>46026</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60852-2024</t>
        </is>
      </c>
      <c r="B43" s="1" t="n">
        <v>45644</v>
      </c>
      <c r="C43" s="1" t="n">
        <v>46026</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41270-2024</t>
        </is>
      </c>
      <c r="B44" s="1" t="n">
        <v>45559</v>
      </c>
      <c r="C44" s="1" t="n">
        <v>46026</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43068-2024</t>
        </is>
      </c>
      <c r="B45" s="1" t="n">
        <v>45567</v>
      </c>
      <c r="C45" s="1" t="n">
        <v>46026</v>
      </c>
      <c r="D45" t="inlineStr">
        <is>
          <t>VÄSTMANLANDS LÄN</t>
        </is>
      </c>
      <c r="E45" t="inlineStr">
        <is>
          <t>SALA</t>
        </is>
      </c>
      <c r="G45" t="n">
        <v>1.1</v>
      </c>
      <c r="H45" t="n">
        <v>0</v>
      </c>
      <c r="I45" t="n">
        <v>1</v>
      </c>
      <c r="J45" t="n">
        <v>0</v>
      </c>
      <c r="K45" t="n">
        <v>0</v>
      </c>
      <c r="L45" t="n">
        <v>0</v>
      </c>
      <c r="M45" t="n">
        <v>0</v>
      </c>
      <c r="N45" t="n">
        <v>0</v>
      </c>
      <c r="O45" t="n">
        <v>0</v>
      </c>
      <c r="P45" t="n">
        <v>0</v>
      </c>
      <c r="Q45" t="n">
        <v>1</v>
      </c>
      <c r="R45" s="2" t="inlineStr">
        <is>
          <t>Vedticka</t>
        </is>
      </c>
      <c r="S45">
        <f>HYPERLINK("https://klasma.github.io/Logging_1981/artfynd/A 43068-2024 artfynd.xlsx", "A 43068-2024")</f>
        <v/>
      </c>
      <c r="T45">
        <f>HYPERLINK("https://klasma.github.io/Logging_1981/kartor/A 43068-2024 karta.png", "A 43068-2024")</f>
        <v/>
      </c>
      <c r="V45">
        <f>HYPERLINK("https://klasma.github.io/Logging_1981/klagomål/A 43068-2024 FSC-klagomål.docx", "A 43068-2024")</f>
        <v/>
      </c>
      <c r="W45">
        <f>HYPERLINK("https://klasma.github.io/Logging_1981/klagomålsmail/A 43068-2024 FSC-klagomål mail.docx", "A 43068-2024")</f>
        <v/>
      </c>
      <c r="X45">
        <f>HYPERLINK("https://klasma.github.io/Logging_1981/tillsyn/A 43068-2024 tillsynsbegäran.docx", "A 43068-2024")</f>
        <v/>
      </c>
      <c r="Y45">
        <f>HYPERLINK("https://klasma.github.io/Logging_1981/tillsynsmail/A 43068-2024 tillsynsbegäran mail.docx", "A 43068-2024")</f>
        <v/>
      </c>
    </row>
    <row r="46" ht="15" customHeight="1">
      <c r="A46" t="inlineStr">
        <is>
          <t>A 32594-2025</t>
        </is>
      </c>
      <c r="B46" s="1" t="n">
        <v>45838</v>
      </c>
      <c r="C46" s="1" t="n">
        <v>46026</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7731-2023</t>
        </is>
      </c>
      <c r="B47" s="1" t="n">
        <v>44973</v>
      </c>
      <c r="C47" s="1" t="n">
        <v>46026</v>
      </c>
      <c r="D47" t="inlineStr">
        <is>
          <t>VÄSTMANLANDS LÄN</t>
        </is>
      </c>
      <c r="E47" t="inlineStr">
        <is>
          <t>SALA</t>
        </is>
      </c>
      <c r="F47" t="inlineStr">
        <is>
          <t>Bergvik skog öst AB</t>
        </is>
      </c>
      <c r="G47" t="n">
        <v>1.7</v>
      </c>
      <c r="H47" t="n">
        <v>1</v>
      </c>
      <c r="I47" t="n">
        <v>0</v>
      </c>
      <c r="J47" t="n">
        <v>1</v>
      </c>
      <c r="K47" t="n">
        <v>0</v>
      </c>
      <c r="L47" t="n">
        <v>0</v>
      </c>
      <c r="M47" t="n">
        <v>0</v>
      </c>
      <c r="N47" t="n">
        <v>0</v>
      </c>
      <c r="O47" t="n">
        <v>1</v>
      </c>
      <c r="P47" t="n">
        <v>0</v>
      </c>
      <c r="Q47" t="n">
        <v>1</v>
      </c>
      <c r="R47" s="2" t="inlineStr">
        <is>
          <t>Ävjepilört</t>
        </is>
      </c>
      <c r="S47">
        <f>HYPERLINK("https://klasma.github.io/Logging_1981/artfynd/A 7731-2023 artfynd.xlsx", "A 7731-2023")</f>
        <v/>
      </c>
      <c r="T47">
        <f>HYPERLINK("https://klasma.github.io/Logging_1981/kartor/A 7731-2023 karta.png", "A 7731-2023")</f>
        <v/>
      </c>
      <c r="V47">
        <f>HYPERLINK("https://klasma.github.io/Logging_1981/klagomål/A 7731-2023 FSC-klagomål.docx", "A 7731-2023")</f>
        <v/>
      </c>
      <c r="W47">
        <f>HYPERLINK("https://klasma.github.io/Logging_1981/klagomålsmail/A 7731-2023 FSC-klagomål mail.docx", "A 7731-2023")</f>
        <v/>
      </c>
      <c r="X47">
        <f>HYPERLINK("https://klasma.github.io/Logging_1981/tillsyn/A 7731-2023 tillsynsbegäran.docx", "A 7731-2023")</f>
        <v/>
      </c>
      <c r="Y47">
        <f>HYPERLINK("https://klasma.github.io/Logging_1981/tillsynsmail/A 7731-2023 tillsynsbegäran mail.docx", "A 7731-2023")</f>
        <v/>
      </c>
    </row>
    <row r="48" ht="15" customHeight="1">
      <c r="A48" t="inlineStr">
        <is>
          <t>A 12509-2023</t>
        </is>
      </c>
      <c r="B48" s="1" t="n">
        <v>44999.95988425926</v>
      </c>
      <c r="C48" s="1" t="n">
        <v>46026</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22350-2024</t>
        </is>
      </c>
      <c r="B49" s="1" t="n">
        <v>45446</v>
      </c>
      <c r="C49" s="1" t="n">
        <v>46026</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48705-2025</t>
        </is>
      </c>
      <c r="B50" s="1" t="n">
        <v>45936.62290509259</v>
      </c>
      <c r="C50" s="1" t="n">
        <v>46026</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50268-2025</t>
        </is>
      </c>
      <c r="B51" s="1" t="n">
        <v>45944.35162037037</v>
      </c>
      <c r="C51" s="1" t="n">
        <v>46026</v>
      </c>
      <c r="D51" t="inlineStr">
        <is>
          <t>VÄSTMANLANDS LÄN</t>
        </is>
      </c>
      <c r="E51" t="inlineStr">
        <is>
          <t>SALA</t>
        </is>
      </c>
      <c r="G51" t="n">
        <v>0.7</v>
      </c>
      <c r="H51" t="n">
        <v>1</v>
      </c>
      <c r="I51" t="n">
        <v>0</v>
      </c>
      <c r="J51" t="n">
        <v>0</v>
      </c>
      <c r="K51" t="n">
        <v>0</v>
      </c>
      <c r="L51" t="n">
        <v>0</v>
      </c>
      <c r="M51" t="n">
        <v>0</v>
      </c>
      <c r="N51" t="n">
        <v>0</v>
      </c>
      <c r="O51" t="n">
        <v>0</v>
      </c>
      <c r="P51" t="n">
        <v>0</v>
      </c>
      <c r="Q51" t="n">
        <v>1</v>
      </c>
      <c r="R51" s="2" t="inlineStr">
        <is>
          <t>Fläcknycklar</t>
        </is>
      </c>
      <c r="S51">
        <f>HYPERLINK("https://klasma.github.io/Logging_1981/artfynd/A 50268-2025 artfynd.xlsx", "A 50268-2025")</f>
        <v/>
      </c>
      <c r="T51">
        <f>HYPERLINK("https://klasma.github.io/Logging_1981/kartor/A 50268-2025 karta.png", "A 50268-2025")</f>
        <v/>
      </c>
      <c r="V51">
        <f>HYPERLINK("https://klasma.github.io/Logging_1981/klagomål/A 50268-2025 FSC-klagomål.docx", "A 50268-2025")</f>
        <v/>
      </c>
      <c r="W51">
        <f>HYPERLINK("https://klasma.github.io/Logging_1981/klagomålsmail/A 50268-2025 FSC-klagomål mail.docx", "A 50268-2025")</f>
        <v/>
      </c>
      <c r="X51">
        <f>HYPERLINK("https://klasma.github.io/Logging_1981/tillsyn/A 50268-2025 tillsynsbegäran.docx", "A 50268-2025")</f>
        <v/>
      </c>
      <c r="Y51">
        <f>HYPERLINK("https://klasma.github.io/Logging_1981/tillsynsmail/A 50268-2025 tillsynsbegäran mail.docx", "A 50268-2025")</f>
        <v/>
      </c>
    </row>
    <row r="52" ht="15" customHeight="1">
      <c r="A52" t="inlineStr">
        <is>
          <t>A 14775-2023</t>
        </is>
      </c>
      <c r="B52" s="1" t="n">
        <v>45014</v>
      </c>
      <c r="C52" s="1" t="n">
        <v>46026</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14775-2023 artfynd.xlsx", "A 14775-2023")</f>
        <v/>
      </c>
      <c r="T52">
        <f>HYPERLINK("https://klasma.github.io/Logging_1981/kartor/A 14775-2023 karta.png", "A 14775-2023")</f>
        <v/>
      </c>
      <c r="U52">
        <f>HYPERLINK("https://klasma.github.io/Logging_1981/knärot/A 14775-2023 karta knärot.png", "A 14775-2023")</f>
        <v/>
      </c>
      <c r="V52">
        <f>HYPERLINK("https://klasma.github.io/Logging_1981/klagomål/A 14775-2023 FSC-klagomål.docx", "A 14775-2023")</f>
        <v/>
      </c>
      <c r="W52">
        <f>HYPERLINK("https://klasma.github.io/Logging_1981/klagomålsmail/A 14775-2023 FSC-klagomål mail.docx", "A 14775-2023")</f>
        <v/>
      </c>
      <c r="X52">
        <f>HYPERLINK("https://klasma.github.io/Logging_1981/tillsyn/A 14775-2023 tillsynsbegäran.docx", "A 14775-2023")</f>
        <v/>
      </c>
      <c r="Y52">
        <f>HYPERLINK("https://klasma.github.io/Logging_1981/tillsynsmail/A 14775-2023 tillsynsbegäran mail.docx", "A 14775-2023")</f>
        <v/>
      </c>
    </row>
    <row r="53" ht="15" customHeight="1">
      <c r="A53" t="inlineStr">
        <is>
          <t>A 19361-2025</t>
        </is>
      </c>
      <c r="B53" s="1" t="n">
        <v>45769.63357638889</v>
      </c>
      <c r="C53" s="1" t="n">
        <v>46026</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46026</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53052-2025</t>
        </is>
      </c>
      <c r="B55" s="1" t="n">
        <v>45958.36266203703</v>
      </c>
      <c r="C55" s="1" t="n">
        <v>46026</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37166-2024</t>
        </is>
      </c>
      <c r="B56" s="1" t="n">
        <v>45539</v>
      </c>
      <c r="C56" s="1" t="n">
        <v>46026</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55995-2025</t>
        </is>
      </c>
      <c r="B57" s="1" t="n">
        <v>45973.56733796297</v>
      </c>
      <c r="C57" s="1" t="n">
        <v>46026</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29985-2022</t>
        </is>
      </c>
      <c r="B58" s="1" t="n">
        <v>44756</v>
      </c>
      <c r="C58" s="1" t="n">
        <v>46026</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46026</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46026</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46026</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46026</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46026</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66561-2021</t>
        </is>
      </c>
      <c r="B64" s="1" t="n">
        <v>44519.41648148148</v>
      </c>
      <c r="C64" s="1" t="n">
        <v>46026</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46026</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46026</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46026</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46026</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46026</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46026</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46026</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46026</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46026</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46026</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46026</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46026</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46026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46026</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46026</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46026</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46026</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46026</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46026</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46026</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46026</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43103-2022</t>
        </is>
      </c>
      <c r="B86" s="1" t="n">
        <v>44833.68795138889</v>
      </c>
      <c r="C86" s="1" t="n">
        <v>46026</v>
      </c>
      <c r="D86" t="inlineStr">
        <is>
          <t>VÄSTMANLANDS LÄN</t>
        </is>
      </c>
      <c r="E86" t="inlineStr">
        <is>
          <t>SALA</t>
        </is>
      </c>
      <c r="G86" t="n">
        <v>0.6</v>
      </c>
      <c r="H86" t="n">
        <v>0</v>
      </c>
      <c r="I86" t="n">
        <v>0</v>
      </c>
      <c r="J86" t="n">
        <v>0</v>
      </c>
      <c r="K86" t="n">
        <v>0</v>
      </c>
      <c r="L86" t="n">
        <v>0</v>
      </c>
      <c r="M86" t="n">
        <v>0</v>
      </c>
      <c r="N86" t="n">
        <v>0</v>
      </c>
      <c r="O86" t="n">
        <v>0</v>
      </c>
      <c r="P86" t="n">
        <v>0</v>
      </c>
      <c r="Q86" t="n">
        <v>0</v>
      </c>
      <c r="R86" s="2" t="inlineStr"/>
    </row>
    <row r="87" ht="15" customHeight="1">
      <c r="A87" t="inlineStr">
        <is>
          <t>A 4281-2022</t>
        </is>
      </c>
      <c r="B87" s="1" t="n">
        <v>44588</v>
      </c>
      <c r="C87" s="1" t="n">
        <v>46026</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47701-2021</t>
        </is>
      </c>
      <c r="B88" s="1" t="n">
        <v>44448</v>
      </c>
      <c r="C88" s="1" t="n">
        <v>46026</v>
      </c>
      <c r="D88" t="inlineStr">
        <is>
          <t>VÄSTMANLANDS LÄN</t>
        </is>
      </c>
      <c r="E88" t="inlineStr">
        <is>
          <t>SALA</t>
        </is>
      </c>
      <c r="G88" t="n">
        <v>2.3</v>
      </c>
      <c r="H88" t="n">
        <v>0</v>
      </c>
      <c r="I88" t="n">
        <v>0</v>
      </c>
      <c r="J88" t="n">
        <v>0</v>
      </c>
      <c r="K88" t="n">
        <v>0</v>
      </c>
      <c r="L88" t="n">
        <v>0</v>
      </c>
      <c r="M88" t="n">
        <v>0</v>
      </c>
      <c r="N88" t="n">
        <v>0</v>
      </c>
      <c r="O88" t="n">
        <v>0</v>
      </c>
      <c r="P88" t="n">
        <v>0</v>
      </c>
      <c r="Q88" t="n">
        <v>0</v>
      </c>
      <c r="R88" s="2" t="inlineStr"/>
    </row>
    <row r="89" ht="15" customHeight="1">
      <c r="A89" t="inlineStr">
        <is>
          <t>A 3050-2022</t>
        </is>
      </c>
      <c r="B89" s="1" t="n">
        <v>44582</v>
      </c>
      <c r="C89" s="1" t="n">
        <v>46026</v>
      </c>
      <c r="D89" t="inlineStr">
        <is>
          <t>VÄSTMANLANDS LÄN</t>
        </is>
      </c>
      <c r="E89" t="inlineStr">
        <is>
          <t>SALA</t>
        </is>
      </c>
      <c r="G89" t="n">
        <v>0.5</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46026</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46026</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46026</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46026</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46026</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46026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46026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46026</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46026</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46026</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46026</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46026</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46026</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46026</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46026</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46026</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46026</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46026</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46026</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46026</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46026</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46026</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46026</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46026</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46026</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46026</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46026</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46026</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46026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46026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46026</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46026</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46026</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46026</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46026</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46026</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46026</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46026</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46026</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46026</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46026</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46026</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46026</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46026</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46026</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46026</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46026</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46026</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46026</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46026</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46026</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46026</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46026</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46026</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46026</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46026</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46026</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46026</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46026</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46026</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46026</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46026</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46026</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46026</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46026</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46026</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46026</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46026</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46026</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46026</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46026</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46026</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46026</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46026</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46026</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46026</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46026</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46026</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46026</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46026</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46026</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46026</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46026</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46026</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46026</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46026</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46026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46026</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46026</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46026</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15354-2021</t>
        </is>
      </c>
      <c r="B180" s="1" t="n">
        <v>44284</v>
      </c>
      <c r="C180" s="1" t="n">
        <v>46026</v>
      </c>
      <c r="D180" t="inlineStr">
        <is>
          <t>VÄSTMANLANDS LÄN</t>
        </is>
      </c>
      <c r="E180" t="inlineStr">
        <is>
          <t>SALA</t>
        </is>
      </c>
      <c r="F180" t="inlineStr">
        <is>
          <t>Kyrkan</t>
        </is>
      </c>
      <c r="G180" t="n">
        <v>8.5</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46026</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16651-2021</t>
        </is>
      </c>
      <c r="B182" s="1" t="n">
        <v>44294.50096064815</v>
      </c>
      <c r="C182" s="1" t="n">
        <v>46026</v>
      </c>
      <c r="D182" t="inlineStr">
        <is>
          <t>VÄSTMANLANDS LÄN</t>
        </is>
      </c>
      <c r="E182" t="inlineStr">
        <is>
          <t>SALA</t>
        </is>
      </c>
      <c r="G182" t="n">
        <v>7.7</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46026</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6134-2024</t>
        </is>
      </c>
      <c r="B184" s="1" t="n">
        <v>45337</v>
      </c>
      <c r="C184" s="1" t="n">
        <v>46026</v>
      </c>
      <c r="D184" t="inlineStr">
        <is>
          <t>VÄSTMANLANDS LÄN</t>
        </is>
      </c>
      <c r="E184" t="inlineStr">
        <is>
          <t>SALA</t>
        </is>
      </c>
      <c r="G184" t="n">
        <v>1.8</v>
      </c>
      <c r="H184" t="n">
        <v>0</v>
      </c>
      <c r="I184" t="n">
        <v>0</v>
      </c>
      <c r="J184" t="n">
        <v>0</v>
      </c>
      <c r="K184" t="n">
        <v>0</v>
      </c>
      <c r="L184" t="n">
        <v>0</v>
      </c>
      <c r="M184" t="n">
        <v>0</v>
      </c>
      <c r="N184" t="n">
        <v>0</v>
      </c>
      <c r="O184" t="n">
        <v>0</v>
      </c>
      <c r="P184" t="n">
        <v>0</v>
      </c>
      <c r="Q184" t="n">
        <v>0</v>
      </c>
      <c r="R184" s="2" t="inlineStr"/>
    </row>
    <row r="185" ht="15" customHeight="1">
      <c r="A185" t="inlineStr">
        <is>
          <t>A 39597-2022</t>
        </is>
      </c>
      <c r="B185" s="1" t="n">
        <v>44818</v>
      </c>
      <c r="C185" s="1" t="n">
        <v>46026</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25860-2024</t>
        </is>
      </c>
      <c r="B186" s="1" t="n">
        <v>45467.46278935186</v>
      </c>
      <c r="C186" s="1" t="n">
        <v>46026</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22026-2021</t>
        </is>
      </c>
      <c r="B187" s="1" t="n">
        <v>44323</v>
      </c>
      <c r="C187" s="1" t="n">
        <v>46026</v>
      </c>
      <c r="D187" t="inlineStr">
        <is>
          <t>VÄSTMANLANDS LÄN</t>
        </is>
      </c>
      <c r="E187" t="inlineStr">
        <is>
          <t>SALA</t>
        </is>
      </c>
      <c r="G187" t="n">
        <v>2.9</v>
      </c>
      <c r="H187" t="n">
        <v>0</v>
      </c>
      <c r="I187" t="n">
        <v>0</v>
      </c>
      <c r="J187" t="n">
        <v>0</v>
      </c>
      <c r="K187" t="n">
        <v>0</v>
      </c>
      <c r="L187" t="n">
        <v>0</v>
      </c>
      <c r="M187" t="n">
        <v>0</v>
      </c>
      <c r="N187" t="n">
        <v>0</v>
      </c>
      <c r="O187" t="n">
        <v>0</v>
      </c>
      <c r="P187" t="n">
        <v>0</v>
      </c>
      <c r="Q187" t="n">
        <v>0</v>
      </c>
      <c r="R187" s="2" t="inlineStr"/>
    </row>
    <row r="188" ht="15" customHeight="1">
      <c r="A188" t="inlineStr">
        <is>
          <t>A 40597-2022</t>
        </is>
      </c>
      <c r="B188" s="1" t="n">
        <v>44823.84862268518</v>
      </c>
      <c r="C188" s="1" t="n">
        <v>46026</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18713-2025</t>
        </is>
      </c>
      <c r="B189" s="1" t="n">
        <v>45763</v>
      </c>
      <c r="C189" s="1" t="n">
        <v>46026</v>
      </c>
      <c r="D189" t="inlineStr">
        <is>
          <t>VÄSTMANLANDS LÄN</t>
        </is>
      </c>
      <c r="E189" t="inlineStr">
        <is>
          <t>SALA</t>
        </is>
      </c>
      <c r="F189" t="inlineStr">
        <is>
          <t>Bergvik skog öst AB</t>
        </is>
      </c>
      <c r="G189" t="n">
        <v>11.6</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46026</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7196-2025</t>
        </is>
      </c>
      <c r="B191" s="1" t="n">
        <v>45702</v>
      </c>
      <c r="C191" s="1" t="n">
        <v>46026</v>
      </c>
      <c r="D191" t="inlineStr">
        <is>
          <t>VÄSTMANLANDS LÄN</t>
        </is>
      </c>
      <c r="E191" t="inlineStr">
        <is>
          <t>SALA</t>
        </is>
      </c>
      <c r="G191" t="n">
        <v>1.3</v>
      </c>
      <c r="H191" t="n">
        <v>0</v>
      </c>
      <c r="I191" t="n">
        <v>0</v>
      </c>
      <c r="J191" t="n">
        <v>0</v>
      </c>
      <c r="K191" t="n">
        <v>0</v>
      </c>
      <c r="L191" t="n">
        <v>0</v>
      </c>
      <c r="M191" t="n">
        <v>0</v>
      </c>
      <c r="N191" t="n">
        <v>0</v>
      </c>
      <c r="O191" t="n">
        <v>0</v>
      </c>
      <c r="P191" t="n">
        <v>0</v>
      </c>
      <c r="Q191" t="n">
        <v>0</v>
      </c>
      <c r="R191" s="2" t="inlineStr"/>
    </row>
    <row r="192" ht="15" customHeight="1">
      <c r="A192" t="inlineStr">
        <is>
          <t>A 6183-2025</t>
        </is>
      </c>
      <c r="B192" s="1" t="n">
        <v>45698</v>
      </c>
      <c r="C192" s="1" t="n">
        <v>46026</v>
      </c>
      <c r="D192" t="inlineStr">
        <is>
          <t>VÄSTMANLANDS LÄN</t>
        </is>
      </c>
      <c r="E192" t="inlineStr">
        <is>
          <t>SALA</t>
        </is>
      </c>
      <c r="F192" t="inlineStr">
        <is>
          <t>Bergvik skog öst AB</t>
        </is>
      </c>
      <c r="G192" t="n">
        <v>2.3</v>
      </c>
      <c r="H192" t="n">
        <v>0</v>
      </c>
      <c r="I192" t="n">
        <v>0</v>
      </c>
      <c r="J192" t="n">
        <v>0</v>
      </c>
      <c r="K192" t="n">
        <v>0</v>
      </c>
      <c r="L192" t="n">
        <v>0</v>
      </c>
      <c r="M192" t="n">
        <v>0</v>
      </c>
      <c r="N192" t="n">
        <v>0</v>
      </c>
      <c r="O192" t="n">
        <v>0</v>
      </c>
      <c r="P192" t="n">
        <v>0</v>
      </c>
      <c r="Q192" t="n">
        <v>0</v>
      </c>
      <c r="R192" s="2" t="inlineStr"/>
    </row>
    <row r="193" ht="15" customHeight="1">
      <c r="A193" t="inlineStr">
        <is>
          <t>A 19803-2024</t>
        </is>
      </c>
      <c r="B193" s="1" t="n">
        <v>45432</v>
      </c>
      <c r="C193" s="1" t="n">
        <v>46026</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40871-2021</t>
        </is>
      </c>
      <c r="B194" s="1" t="n">
        <v>44421</v>
      </c>
      <c r="C194" s="1" t="n">
        <v>46026</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63933-2023</t>
        </is>
      </c>
      <c r="B195" s="1" t="n">
        <v>45278</v>
      </c>
      <c r="C195" s="1" t="n">
        <v>46026</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46026</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1118-2024</t>
        </is>
      </c>
      <c r="B197" s="1" t="n">
        <v>45302</v>
      </c>
      <c r="C197" s="1" t="n">
        <v>46026</v>
      </c>
      <c r="D197" t="inlineStr">
        <is>
          <t>VÄSTMANLANDS LÄN</t>
        </is>
      </c>
      <c r="E197" t="inlineStr">
        <is>
          <t>SALA</t>
        </is>
      </c>
      <c r="G197" t="n">
        <v>1.9</v>
      </c>
      <c r="H197" t="n">
        <v>0</v>
      </c>
      <c r="I197" t="n">
        <v>0</v>
      </c>
      <c r="J197" t="n">
        <v>0</v>
      </c>
      <c r="K197" t="n">
        <v>0</v>
      </c>
      <c r="L197" t="n">
        <v>0</v>
      </c>
      <c r="M197" t="n">
        <v>0</v>
      </c>
      <c r="N197" t="n">
        <v>0</v>
      </c>
      <c r="O197" t="n">
        <v>0</v>
      </c>
      <c r="P197" t="n">
        <v>0</v>
      </c>
      <c r="Q197" t="n">
        <v>0</v>
      </c>
      <c r="R197" s="2" t="inlineStr"/>
    </row>
    <row r="198" ht="15" customHeight="1">
      <c r="A198" t="inlineStr">
        <is>
          <t>A 39439-2021</t>
        </is>
      </c>
      <c r="B198" s="1" t="n">
        <v>44414</v>
      </c>
      <c r="C198" s="1" t="n">
        <v>46026</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37190-2024</t>
        </is>
      </c>
      <c r="B199" s="1" t="n">
        <v>45539</v>
      </c>
      <c r="C199" s="1" t="n">
        <v>46026</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30971-2022</t>
        </is>
      </c>
      <c r="B200" s="1" t="n">
        <v>44768.46725694444</v>
      </c>
      <c r="C200" s="1" t="n">
        <v>46026</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54959-2024</t>
        </is>
      </c>
      <c r="B201" s="1" t="n">
        <v>45619</v>
      </c>
      <c r="C201" s="1" t="n">
        <v>46026</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11389-2024</t>
        </is>
      </c>
      <c r="B202" s="1" t="n">
        <v>45372.45016203704</v>
      </c>
      <c r="C202" s="1" t="n">
        <v>46026</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56706-2022</t>
        </is>
      </c>
      <c r="B203" s="1" t="n">
        <v>44893.78893518518</v>
      </c>
      <c r="C203" s="1" t="n">
        <v>46026</v>
      </c>
      <c r="D203" t="inlineStr">
        <is>
          <t>VÄSTMANLANDS LÄN</t>
        </is>
      </c>
      <c r="E203" t="inlineStr">
        <is>
          <t>SALA</t>
        </is>
      </c>
      <c r="G203" t="n">
        <v>4.5</v>
      </c>
      <c r="H203" t="n">
        <v>0</v>
      </c>
      <c r="I203" t="n">
        <v>0</v>
      </c>
      <c r="J203" t="n">
        <v>0</v>
      </c>
      <c r="K203" t="n">
        <v>0</v>
      </c>
      <c r="L203" t="n">
        <v>0</v>
      </c>
      <c r="M203" t="n">
        <v>0</v>
      </c>
      <c r="N203" t="n">
        <v>0</v>
      </c>
      <c r="O203" t="n">
        <v>0</v>
      </c>
      <c r="P203" t="n">
        <v>0</v>
      </c>
      <c r="Q203" t="n">
        <v>0</v>
      </c>
      <c r="R203" s="2" t="inlineStr"/>
    </row>
    <row r="204" ht="15" customHeight="1">
      <c r="A204" t="inlineStr">
        <is>
          <t>A 56707-2022</t>
        </is>
      </c>
      <c r="B204" s="1" t="n">
        <v>44893.79412037037</v>
      </c>
      <c r="C204" s="1" t="n">
        <v>46026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2900-2023</t>
        </is>
      </c>
      <c r="B205" s="1" t="n">
        <v>44943</v>
      </c>
      <c r="C205" s="1" t="n">
        <v>46026</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60730-2023</t>
        </is>
      </c>
      <c r="B206" s="1" t="n">
        <v>45260</v>
      </c>
      <c r="C206" s="1" t="n">
        <v>46026</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60731-2023</t>
        </is>
      </c>
      <c r="B207" s="1" t="n">
        <v>45260</v>
      </c>
      <c r="C207" s="1" t="n">
        <v>46026</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35976-2024</t>
        </is>
      </c>
      <c r="B208" s="1" t="n">
        <v>45533.49555555556</v>
      </c>
      <c r="C208" s="1" t="n">
        <v>46026</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71471-2021</t>
        </is>
      </c>
      <c r="B209" s="1" t="n">
        <v>44540.53421296296</v>
      </c>
      <c r="C209" s="1" t="n">
        <v>46026</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56547-2022</t>
        </is>
      </c>
      <c r="B210" s="1" t="n">
        <v>44893.48284722222</v>
      </c>
      <c r="C210" s="1" t="n">
        <v>46026</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8775-2024</t>
        </is>
      </c>
      <c r="B211" s="1" t="n">
        <v>45356</v>
      </c>
      <c r="C211" s="1" t="n">
        <v>46026</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39011-2023</t>
        </is>
      </c>
      <c r="B212" s="1" t="n">
        <v>45162</v>
      </c>
      <c r="C212" s="1" t="n">
        <v>46026</v>
      </c>
      <c r="D212" t="inlineStr">
        <is>
          <t>VÄSTMANLANDS LÄN</t>
        </is>
      </c>
      <c r="E212" t="inlineStr">
        <is>
          <t>SALA</t>
        </is>
      </c>
      <c r="G212" t="n">
        <v>1.6</v>
      </c>
      <c r="H212" t="n">
        <v>0</v>
      </c>
      <c r="I212" t="n">
        <v>0</v>
      </c>
      <c r="J212" t="n">
        <v>0</v>
      </c>
      <c r="K212" t="n">
        <v>0</v>
      </c>
      <c r="L212" t="n">
        <v>0</v>
      </c>
      <c r="M212" t="n">
        <v>0</v>
      </c>
      <c r="N212" t="n">
        <v>0</v>
      </c>
      <c r="O212" t="n">
        <v>0</v>
      </c>
      <c r="P212" t="n">
        <v>0</v>
      </c>
      <c r="Q212" t="n">
        <v>0</v>
      </c>
      <c r="R212" s="2" t="inlineStr"/>
    </row>
    <row r="213" ht="15" customHeight="1">
      <c r="A213" t="inlineStr">
        <is>
          <t>A 45313-2024</t>
        </is>
      </c>
      <c r="B213" s="1" t="n">
        <v>45576</v>
      </c>
      <c r="C213" s="1" t="n">
        <v>46026</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56535-2022</t>
        </is>
      </c>
      <c r="B214" s="1" t="n">
        <v>44893.47173611111</v>
      </c>
      <c r="C214" s="1" t="n">
        <v>46026</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47909-2022</t>
        </is>
      </c>
      <c r="B215" s="1" t="n">
        <v>44855</v>
      </c>
      <c r="C215" s="1" t="n">
        <v>46026</v>
      </c>
      <c r="D215" t="inlineStr">
        <is>
          <t>VÄSTMANLANDS LÄN</t>
        </is>
      </c>
      <c r="E215" t="inlineStr">
        <is>
          <t>SALA</t>
        </is>
      </c>
      <c r="F215" t="inlineStr">
        <is>
          <t>Bergvik skog öst AB</t>
        </is>
      </c>
      <c r="G215" t="n">
        <v>2</v>
      </c>
      <c r="H215" t="n">
        <v>0</v>
      </c>
      <c r="I215" t="n">
        <v>0</v>
      </c>
      <c r="J215" t="n">
        <v>0</v>
      </c>
      <c r="K215" t="n">
        <v>0</v>
      </c>
      <c r="L215" t="n">
        <v>0</v>
      </c>
      <c r="M215" t="n">
        <v>0</v>
      </c>
      <c r="N215" t="n">
        <v>0</v>
      </c>
      <c r="O215" t="n">
        <v>0</v>
      </c>
      <c r="P215" t="n">
        <v>0</v>
      </c>
      <c r="Q215" t="n">
        <v>0</v>
      </c>
      <c r="R215" s="2" t="inlineStr"/>
    </row>
    <row r="216" ht="15" customHeight="1">
      <c r="A216" t="inlineStr">
        <is>
          <t>A 56687-2024</t>
        </is>
      </c>
      <c r="B216" s="1" t="n">
        <v>45627.63271990741</v>
      </c>
      <c r="C216" s="1" t="n">
        <v>46026</v>
      </c>
      <c r="D216" t="inlineStr">
        <is>
          <t>VÄSTMANLANDS LÄN</t>
        </is>
      </c>
      <c r="E216" t="inlineStr">
        <is>
          <t>SALA</t>
        </is>
      </c>
      <c r="G216" t="n">
        <v>1.2</v>
      </c>
      <c r="H216" t="n">
        <v>0</v>
      </c>
      <c r="I216" t="n">
        <v>0</v>
      </c>
      <c r="J216" t="n">
        <v>0</v>
      </c>
      <c r="K216" t="n">
        <v>0</v>
      </c>
      <c r="L216" t="n">
        <v>0</v>
      </c>
      <c r="M216" t="n">
        <v>0</v>
      </c>
      <c r="N216" t="n">
        <v>0</v>
      </c>
      <c r="O216" t="n">
        <v>0</v>
      </c>
      <c r="P216" t="n">
        <v>0</v>
      </c>
      <c r="Q216" t="n">
        <v>0</v>
      </c>
      <c r="R216" s="2" t="inlineStr"/>
    </row>
    <row r="217" ht="15" customHeight="1">
      <c r="A217" t="inlineStr">
        <is>
          <t>A 52630-2022</t>
        </is>
      </c>
      <c r="B217" s="1" t="n">
        <v>44874</v>
      </c>
      <c r="C217" s="1" t="n">
        <v>46026</v>
      </c>
      <c r="D217" t="inlineStr">
        <is>
          <t>VÄSTMANLANDS LÄN</t>
        </is>
      </c>
      <c r="E217" t="inlineStr">
        <is>
          <t>SALA</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56916-2022</t>
        </is>
      </c>
      <c r="B218" s="1" t="n">
        <v>44888</v>
      </c>
      <c r="C218" s="1" t="n">
        <v>46026</v>
      </c>
      <c r="D218" t="inlineStr">
        <is>
          <t>VÄSTMANLANDS LÄN</t>
        </is>
      </c>
      <c r="E218" t="inlineStr">
        <is>
          <t>SALA</t>
        </is>
      </c>
      <c r="G218" t="n">
        <v>1.7</v>
      </c>
      <c r="H218" t="n">
        <v>0</v>
      </c>
      <c r="I218" t="n">
        <v>0</v>
      </c>
      <c r="J218" t="n">
        <v>0</v>
      </c>
      <c r="K218" t="n">
        <v>0</v>
      </c>
      <c r="L218" t="n">
        <v>0</v>
      </c>
      <c r="M218" t="n">
        <v>0</v>
      </c>
      <c r="N218" t="n">
        <v>0</v>
      </c>
      <c r="O218" t="n">
        <v>0</v>
      </c>
      <c r="P218" t="n">
        <v>0</v>
      </c>
      <c r="Q218" t="n">
        <v>0</v>
      </c>
      <c r="R218" s="2" t="inlineStr"/>
    </row>
    <row r="219" ht="15" customHeight="1">
      <c r="A219" t="inlineStr">
        <is>
          <t>A 61715-2024</t>
        </is>
      </c>
      <c r="B219" s="1" t="n">
        <v>45648.89519675926</v>
      </c>
      <c r="C219" s="1" t="n">
        <v>46026</v>
      </c>
      <c r="D219" t="inlineStr">
        <is>
          <t>VÄSTMANLANDS LÄN</t>
        </is>
      </c>
      <c r="E219" t="inlineStr">
        <is>
          <t>SALA</t>
        </is>
      </c>
      <c r="G219" t="n">
        <v>2.5</v>
      </c>
      <c r="H219" t="n">
        <v>0</v>
      </c>
      <c r="I219" t="n">
        <v>0</v>
      </c>
      <c r="J219" t="n">
        <v>0</v>
      </c>
      <c r="K219" t="n">
        <v>0</v>
      </c>
      <c r="L219" t="n">
        <v>0</v>
      </c>
      <c r="M219" t="n">
        <v>0</v>
      </c>
      <c r="N219" t="n">
        <v>0</v>
      </c>
      <c r="O219" t="n">
        <v>0</v>
      </c>
      <c r="P219" t="n">
        <v>0</v>
      </c>
      <c r="Q219" t="n">
        <v>0</v>
      </c>
      <c r="R219" s="2" t="inlineStr"/>
    </row>
    <row r="220" ht="15" customHeight="1">
      <c r="A220" t="inlineStr">
        <is>
          <t>A 16404-2022</t>
        </is>
      </c>
      <c r="B220" s="1" t="n">
        <v>44671</v>
      </c>
      <c r="C220" s="1" t="n">
        <v>46026</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10559-2024</t>
        </is>
      </c>
      <c r="B221" s="1" t="n">
        <v>45366</v>
      </c>
      <c r="C221" s="1" t="n">
        <v>46026</v>
      </c>
      <c r="D221" t="inlineStr">
        <is>
          <t>VÄSTMANLANDS LÄN</t>
        </is>
      </c>
      <c r="E221" t="inlineStr">
        <is>
          <t>SALA</t>
        </is>
      </c>
      <c r="G221" t="n">
        <v>0.3</v>
      </c>
      <c r="H221" t="n">
        <v>0</v>
      </c>
      <c r="I221" t="n">
        <v>0</v>
      </c>
      <c r="J221" t="n">
        <v>0</v>
      </c>
      <c r="K221" t="n">
        <v>0</v>
      </c>
      <c r="L221" t="n">
        <v>0</v>
      </c>
      <c r="M221" t="n">
        <v>0</v>
      </c>
      <c r="N221" t="n">
        <v>0</v>
      </c>
      <c r="O221" t="n">
        <v>0</v>
      </c>
      <c r="P221" t="n">
        <v>0</v>
      </c>
      <c r="Q221" t="n">
        <v>0</v>
      </c>
      <c r="R221" s="2" t="inlineStr"/>
    </row>
    <row r="222" ht="15" customHeight="1">
      <c r="A222" t="inlineStr">
        <is>
          <t>A 6097-2022</t>
        </is>
      </c>
      <c r="B222" s="1" t="n">
        <v>44599</v>
      </c>
      <c r="C222" s="1" t="n">
        <v>46026</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60545-2024</t>
        </is>
      </c>
      <c r="B223" s="1" t="n">
        <v>45643</v>
      </c>
      <c r="C223" s="1" t="n">
        <v>46026</v>
      </c>
      <c r="D223" t="inlineStr">
        <is>
          <t>VÄSTMANLANDS LÄN</t>
        </is>
      </c>
      <c r="E223" t="inlineStr">
        <is>
          <t>SALA</t>
        </is>
      </c>
      <c r="G223" t="n">
        <v>3.3</v>
      </c>
      <c r="H223" t="n">
        <v>0</v>
      </c>
      <c r="I223" t="n">
        <v>0</v>
      </c>
      <c r="J223" t="n">
        <v>0</v>
      </c>
      <c r="K223" t="n">
        <v>0</v>
      </c>
      <c r="L223" t="n">
        <v>0</v>
      </c>
      <c r="M223" t="n">
        <v>0</v>
      </c>
      <c r="N223" t="n">
        <v>0</v>
      </c>
      <c r="O223" t="n">
        <v>0</v>
      </c>
      <c r="P223" t="n">
        <v>0</v>
      </c>
      <c r="Q223" t="n">
        <v>0</v>
      </c>
      <c r="R223" s="2" t="inlineStr"/>
    </row>
    <row r="224" ht="15" customHeight="1">
      <c r="A224" t="inlineStr">
        <is>
          <t>A 60547-2024</t>
        </is>
      </c>
      <c r="B224" s="1" t="n">
        <v>45643</v>
      </c>
      <c r="C224" s="1" t="n">
        <v>46026</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1196-2023</t>
        </is>
      </c>
      <c r="B225" s="1" t="n">
        <v>44935.82290509259</v>
      </c>
      <c r="C225" s="1" t="n">
        <v>46026</v>
      </c>
      <c r="D225" t="inlineStr">
        <is>
          <t>VÄSTMANLANDS LÄN</t>
        </is>
      </c>
      <c r="E225" t="inlineStr">
        <is>
          <t>SALA</t>
        </is>
      </c>
      <c r="G225" t="n">
        <v>4.1</v>
      </c>
      <c r="H225" t="n">
        <v>0</v>
      </c>
      <c r="I225" t="n">
        <v>0</v>
      </c>
      <c r="J225" t="n">
        <v>0</v>
      </c>
      <c r="K225" t="n">
        <v>0</v>
      </c>
      <c r="L225" t="n">
        <v>0</v>
      </c>
      <c r="M225" t="n">
        <v>0</v>
      </c>
      <c r="N225" t="n">
        <v>0</v>
      </c>
      <c r="O225" t="n">
        <v>0</v>
      </c>
      <c r="P225" t="n">
        <v>0</v>
      </c>
      <c r="Q225" t="n">
        <v>0</v>
      </c>
      <c r="R225" s="2" t="inlineStr"/>
    </row>
    <row r="226" ht="15" customHeight="1">
      <c r="A226" t="inlineStr">
        <is>
          <t>A 15965-2024</t>
        </is>
      </c>
      <c r="B226" s="1" t="n">
        <v>45405.55740740741</v>
      </c>
      <c r="C226" s="1" t="n">
        <v>46026</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73835-2021</t>
        </is>
      </c>
      <c r="B227" s="1" t="n">
        <v>44552.92112268518</v>
      </c>
      <c r="C227" s="1" t="n">
        <v>46026</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62651-2022</t>
        </is>
      </c>
      <c r="B228" s="1" t="n">
        <v>44917</v>
      </c>
      <c r="C228" s="1" t="n">
        <v>46026</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54836-2024</t>
        </is>
      </c>
      <c r="B229" s="1" t="n">
        <v>45618</v>
      </c>
      <c r="C229" s="1" t="n">
        <v>46026</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13987-2023</t>
        </is>
      </c>
      <c r="B230" s="1" t="n">
        <v>45007</v>
      </c>
      <c r="C230" s="1" t="n">
        <v>46026</v>
      </c>
      <c r="D230" t="inlineStr">
        <is>
          <t>VÄSTMANLANDS LÄN</t>
        </is>
      </c>
      <c r="E230" t="inlineStr">
        <is>
          <t>SALA</t>
        </is>
      </c>
      <c r="G230" t="n">
        <v>3.2</v>
      </c>
      <c r="H230" t="n">
        <v>0</v>
      </c>
      <c r="I230" t="n">
        <v>0</v>
      </c>
      <c r="J230" t="n">
        <v>0</v>
      </c>
      <c r="K230" t="n">
        <v>0</v>
      </c>
      <c r="L230" t="n">
        <v>0</v>
      </c>
      <c r="M230" t="n">
        <v>0</v>
      </c>
      <c r="N230" t="n">
        <v>0</v>
      </c>
      <c r="O230" t="n">
        <v>0</v>
      </c>
      <c r="P230" t="n">
        <v>0</v>
      </c>
      <c r="Q230" t="n">
        <v>0</v>
      </c>
      <c r="R230" s="2" t="inlineStr"/>
    </row>
    <row r="231" ht="15" customHeight="1">
      <c r="A231" t="inlineStr">
        <is>
          <t>A 13990-2023</t>
        </is>
      </c>
      <c r="B231" s="1" t="n">
        <v>45007</v>
      </c>
      <c r="C231" s="1" t="n">
        <v>46026</v>
      </c>
      <c r="D231" t="inlineStr">
        <is>
          <t>VÄSTMANLANDS LÄN</t>
        </is>
      </c>
      <c r="E231" t="inlineStr">
        <is>
          <t>SALA</t>
        </is>
      </c>
      <c r="G231" t="n">
        <v>2.6</v>
      </c>
      <c r="H231" t="n">
        <v>0</v>
      </c>
      <c r="I231" t="n">
        <v>0</v>
      </c>
      <c r="J231" t="n">
        <v>0</v>
      </c>
      <c r="K231" t="n">
        <v>0</v>
      </c>
      <c r="L231" t="n">
        <v>0</v>
      </c>
      <c r="M231" t="n">
        <v>0</v>
      </c>
      <c r="N231" t="n">
        <v>0</v>
      </c>
      <c r="O231" t="n">
        <v>0</v>
      </c>
      <c r="P231" t="n">
        <v>0</v>
      </c>
      <c r="Q231" t="n">
        <v>0</v>
      </c>
      <c r="R231" s="2" t="inlineStr"/>
    </row>
    <row r="232" ht="15" customHeight="1">
      <c r="A232" t="inlineStr">
        <is>
          <t>A 60379-2022</t>
        </is>
      </c>
      <c r="B232" s="1" t="n">
        <v>44910</v>
      </c>
      <c r="C232" s="1" t="n">
        <v>46026</v>
      </c>
      <c r="D232" t="inlineStr">
        <is>
          <t>VÄSTMANLANDS LÄN</t>
        </is>
      </c>
      <c r="E232" t="inlineStr">
        <is>
          <t>SALA</t>
        </is>
      </c>
      <c r="F232" t="inlineStr">
        <is>
          <t>Kyrkan</t>
        </is>
      </c>
      <c r="G232" t="n">
        <v>2.5</v>
      </c>
      <c r="H232" t="n">
        <v>0</v>
      </c>
      <c r="I232" t="n">
        <v>0</v>
      </c>
      <c r="J232" t="n">
        <v>0</v>
      </c>
      <c r="K232" t="n">
        <v>0</v>
      </c>
      <c r="L232" t="n">
        <v>0</v>
      </c>
      <c r="M232" t="n">
        <v>0</v>
      </c>
      <c r="N232" t="n">
        <v>0</v>
      </c>
      <c r="O232" t="n">
        <v>0</v>
      </c>
      <c r="P232" t="n">
        <v>0</v>
      </c>
      <c r="Q232" t="n">
        <v>0</v>
      </c>
      <c r="R232" s="2" t="inlineStr"/>
    </row>
    <row r="233" ht="15" customHeight="1">
      <c r="A233" t="inlineStr">
        <is>
          <t>A 51464-2024</t>
        </is>
      </c>
      <c r="B233" s="1" t="n">
        <v>45604.49768518518</v>
      </c>
      <c r="C233" s="1" t="n">
        <v>46026</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1638-2023</t>
        </is>
      </c>
      <c r="B234" s="1" t="n">
        <v>44937</v>
      </c>
      <c r="C234" s="1" t="n">
        <v>46026</v>
      </c>
      <c r="D234" t="inlineStr">
        <is>
          <t>VÄSTMANLANDS LÄN</t>
        </is>
      </c>
      <c r="E234" t="inlineStr">
        <is>
          <t>SALA</t>
        </is>
      </c>
      <c r="G234" t="n">
        <v>3.1</v>
      </c>
      <c r="H234" t="n">
        <v>0</v>
      </c>
      <c r="I234" t="n">
        <v>0</v>
      </c>
      <c r="J234" t="n">
        <v>0</v>
      </c>
      <c r="K234" t="n">
        <v>0</v>
      </c>
      <c r="L234" t="n">
        <v>0</v>
      </c>
      <c r="M234" t="n">
        <v>0</v>
      </c>
      <c r="N234" t="n">
        <v>0</v>
      </c>
      <c r="O234" t="n">
        <v>0</v>
      </c>
      <c r="P234" t="n">
        <v>0</v>
      </c>
      <c r="Q234" t="n">
        <v>0</v>
      </c>
      <c r="R234" s="2" t="inlineStr"/>
    </row>
    <row r="235" ht="15" customHeight="1">
      <c r="A235" t="inlineStr">
        <is>
          <t>A 7953-2024</t>
        </is>
      </c>
      <c r="B235" s="1" t="n">
        <v>45350</v>
      </c>
      <c r="C235" s="1" t="n">
        <v>46026</v>
      </c>
      <c r="D235" t="inlineStr">
        <is>
          <t>VÄSTMANLANDS LÄN</t>
        </is>
      </c>
      <c r="E235" t="inlineStr">
        <is>
          <t>SALA</t>
        </is>
      </c>
      <c r="G235" t="n">
        <v>2.6</v>
      </c>
      <c r="H235" t="n">
        <v>0</v>
      </c>
      <c r="I235" t="n">
        <v>0</v>
      </c>
      <c r="J235" t="n">
        <v>0</v>
      </c>
      <c r="K235" t="n">
        <v>0</v>
      </c>
      <c r="L235" t="n">
        <v>0</v>
      </c>
      <c r="M235" t="n">
        <v>0</v>
      </c>
      <c r="N235" t="n">
        <v>0</v>
      </c>
      <c r="O235" t="n">
        <v>0</v>
      </c>
      <c r="P235" t="n">
        <v>0</v>
      </c>
      <c r="Q235" t="n">
        <v>0</v>
      </c>
      <c r="R235" s="2" t="inlineStr"/>
    </row>
    <row r="236" ht="15" customHeight="1">
      <c r="A236" t="inlineStr">
        <is>
          <t>A 1128-2025</t>
        </is>
      </c>
      <c r="B236" s="1" t="n">
        <v>45666.68469907407</v>
      </c>
      <c r="C236" s="1" t="n">
        <v>46026</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43176-2023</t>
        </is>
      </c>
      <c r="B237" s="1" t="n">
        <v>45183</v>
      </c>
      <c r="C237" s="1" t="n">
        <v>46026</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5477-2024</t>
        </is>
      </c>
      <c r="B238" s="1" t="n">
        <v>45333.67833333334</v>
      </c>
      <c r="C238" s="1" t="n">
        <v>46026</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26507-2023</t>
        </is>
      </c>
      <c r="B239" s="1" t="n">
        <v>45092</v>
      </c>
      <c r="C239" s="1" t="n">
        <v>46026</v>
      </c>
      <c r="D239" t="inlineStr">
        <is>
          <t>VÄSTMANLANDS LÄN</t>
        </is>
      </c>
      <c r="E239" t="inlineStr">
        <is>
          <t>SALA</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6032-2025</t>
        </is>
      </c>
      <c r="B240" s="1" t="n">
        <v>45695.6371875</v>
      </c>
      <c r="C240" s="1" t="n">
        <v>46026</v>
      </c>
      <c r="D240" t="inlineStr">
        <is>
          <t>VÄSTMANLANDS LÄN</t>
        </is>
      </c>
      <c r="E240" t="inlineStr">
        <is>
          <t>SALA</t>
        </is>
      </c>
      <c r="F240" t="inlineStr">
        <is>
          <t>Bergvik skog öst AB</t>
        </is>
      </c>
      <c r="G240" t="n">
        <v>8.1</v>
      </c>
      <c r="H240" t="n">
        <v>0</v>
      </c>
      <c r="I240" t="n">
        <v>0</v>
      </c>
      <c r="J240" t="n">
        <v>0</v>
      </c>
      <c r="K240" t="n">
        <v>0</v>
      </c>
      <c r="L240" t="n">
        <v>0</v>
      </c>
      <c r="M240" t="n">
        <v>0</v>
      </c>
      <c r="N240" t="n">
        <v>0</v>
      </c>
      <c r="O240" t="n">
        <v>0</v>
      </c>
      <c r="P240" t="n">
        <v>0</v>
      </c>
      <c r="Q240" t="n">
        <v>0</v>
      </c>
      <c r="R240" s="2" t="inlineStr"/>
    </row>
    <row r="241" ht="15" customHeight="1">
      <c r="A241" t="inlineStr">
        <is>
          <t>A 28632-2025</t>
        </is>
      </c>
      <c r="B241" s="1" t="n">
        <v>45819.62344907408</v>
      </c>
      <c r="C241" s="1" t="n">
        <v>46026</v>
      </c>
      <c r="D241" t="inlineStr">
        <is>
          <t>VÄSTMANLANDS LÄN</t>
        </is>
      </c>
      <c r="E241" t="inlineStr">
        <is>
          <t>SALA</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28628-2025</t>
        </is>
      </c>
      <c r="B242" s="1" t="n">
        <v>45819.62158564815</v>
      </c>
      <c r="C242" s="1" t="n">
        <v>46026</v>
      </c>
      <c r="D242" t="inlineStr">
        <is>
          <t>VÄSTMANLANDS LÄN</t>
        </is>
      </c>
      <c r="E242" t="inlineStr">
        <is>
          <t>SALA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34814-2021</t>
        </is>
      </c>
      <c r="B243" s="1" t="n">
        <v>44383</v>
      </c>
      <c r="C243" s="1" t="n">
        <v>46026</v>
      </c>
      <c r="D243" t="inlineStr">
        <is>
          <t>VÄSTMANLANDS LÄN</t>
        </is>
      </c>
      <c r="E243" t="inlineStr">
        <is>
          <t>SALA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28630-2025</t>
        </is>
      </c>
      <c r="B244" s="1" t="n">
        <v>45819.62274305556</v>
      </c>
      <c r="C244" s="1" t="n">
        <v>46026</v>
      </c>
      <c r="D244" t="inlineStr">
        <is>
          <t>VÄSTMANLANDS LÄN</t>
        </is>
      </c>
      <c r="E244" t="inlineStr">
        <is>
          <t>SALA</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28837-2025</t>
        </is>
      </c>
      <c r="B245" s="1" t="n">
        <v>45820.56243055555</v>
      </c>
      <c r="C245" s="1" t="n">
        <v>46026</v>
      </c>
      <c r="D245" t="inlineStr">
        <is>
          <t>VÄSTMANLANDS LÄN</t>
        </is>
      </c>
      <c r="E245" t="inlineStr">
        <is>
          <t>SALA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28849-2025</t>
        </is>
      </c>
      <c r="B246" s="1" t="n">
        <v>45820</v>
      </c>
      <c r="C246" s="1" t="n">
        <v>46026</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54118-2023</t>
        </is>
      </c>
      <c r="B247" s="1" t="n">
        <v>45232</v>
      </c>
      <c r="C247" s="1" t="n">
        <v>46026</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35462-2024</t>
        </is>
      </c>
      <c r="B248" s="1" t="n">
        <v>45531</v>
      </c>
      <c r="C248" s="1" t="n">
        <v>46026</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29085-2025</t>
        </is>
      </c>
      <c r="B249" s="1" t="n">
        <v>45821</v>
      </c>
      <c r="C249" s="1" t="n">
        <v>46026</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36393-2023</t>
        </is>
      </c>
      <c r="B250" s="1" t="n">
        <v>45152</v>
      </c>
      <c r="C250" s="1" t="n">
        <v>46026</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45790-2023</t>
        </is>
      </c>
      <c r="B251" s="1" t="n">
        <v>45195.45958333334</v>
      </c>
      <c r="C251" s="1" t="n">
        <v>46026</v>
      </c>
      <c r="D251" t="inlineStr">
        <is>
          <t>VÄSTMANLANDS LÄN</t>
        </is>
      </c>
      <c r="E251" t="inlineStr">
        <is>
          <t>SALA</t>
        </is>
      </c>
      <c r="G251" t="n">
        <v>5.7</v>
      </c>
      <c r="H251" t="n">
        <v>0</v>
      </c>
      <c r="I251" t="n">
        <v>0</v>
      </c>
      <c r="J251" t="n">
        <v>0</v>
      </c>
      <c r="K251" t="n">
        <v>0</v>
      </c>
      <c r="L251" t="n">
        <v>0</v>
      </c>
      <c r="M251" t="n">
        <v>0</v>
      </c>
      <c r="N251" t="n">
        <v>0</v>
      </c>
      <c r="O251" t="n">
        <v>0</v>
      </c>
      <c r="P251" t="n">
        <v>0</v>
      </c>
      <c r="Q251" t="n">
        <v>0</v>
      </c>
      <c r="R251" s="2" t="inlineStr"/>
    </row>
    <row r="252" ht="15" customHeight="1">
      <c r="A252" t="inlineStr">
        <is>
          <t>A 56949-2023</t>
        </is>
      </c>
      <c r="B252" s="1" t="n">
        <v>45244.61589120371</v>
      </c>
      <c r="C252" s="1" t="n">
        <v>46026</v>
      </c>
      <c r="D252" t="inlineStr">
        <is>
          <t>VÄSTMANLANDS LÄN</t>
        </is>
      </c>
      <c r="E252" t="inlineStr">
        <is>
          <t>SALA</t>
        </is>
      </c>
      <c r="G252" t="n">
        <v>4.7</v>
      </c>
      <c r="H252" t="n">
        <v>0</v>
      </c>
      <c r="I252" t="n">
        <v>0</v>
      </c>
      <c r="J252" t="n">
        <v>0</v>
      </c>
      <c r="K252" t="n">
        <v>0</v>
      </c>
      <c r="L252" t="n">
        <v>0</v>
      </c>
      <c r="M252" t="n">
        <v>0</v>
      </c>
      <c r="N252" t="n">
        <v>0</v>
      </c>
      <c r="O252" t="n">
        <v>0</v>
      </c>
      <c r="P252" t="n">
        <v>0</v>
      </c>
      <c r="Q252" t="n">
        <v>0</v>
      </c>
      <c r="R252" s="2" t="inlineStr"/>
    </row>
    <row r="253" ht="15" customHeight="1">
      <c r="A253" t="inlineStr">
        <is>
          <t>A 60541-2024</t>
        </is>
      </c>
      <c r="B253" s="1" t="n">
        <v>45643</v>
      </c>
      <c r="C253" s="1" t="n">
        <v>46026</v>
      </c>
      <c r="D253" t="inlineStr">
        <is>
          <t>VÄSTMANLANDS LÄN</t>
        </is>
      </c>
      <c r="E253" t="inlineStr">
        <is>
          <t>SALA</t>
        </is>
      </c>
      <c r="G253" t="n">
        <v>10.6</v>
      </c>
      <c r="H253" t="n">
        <v>0</v>
      </c>
      <c r="I253" t="n">
        <v>0</v>
      </c>
      <c r="J253" t="n">
        <v>0</v>
      </c>
      <c r="K253" t="n">
        <v>0</v>
      </c>
      <c r="L253" t="n">
        <v>0</v>
      </c>
      <c r="M253" t="n">
        <v>0</v>
      </c>
      <c r="N253" t="n">
        <v>0</v>
      </c>
      <c r="O253" t="n">
        <v>0</v>
      </c>
      <c r="P253" t="n">
        <v>0</v>
      </c>
      <c r="Q253" t="n">
        <v>0</v>
      </c>
      <c r="R253" s="2" t="inlineStr"/>
    </row>
    <row r="254" ht="15" customHeight="1">
      <c r="A254" t="inlineStr">
        <is>
          <t>A 29826-2025</t>
        </is>
      </c>
      <c r="B254" s="1" t="n">
        <v>45825.85761574074</v>
      </c>
      <c r="C254" s="1" t="n">
        <v>46026</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40214-2023</t>
        </is>
      </c>
      <c r="B255" s="1" t="n">
        <v>45169.45173611111</v>
      </c>
      <c r="C255" s="1" t="n">
        <v>46026</v>
      </c>
      <c r="D255" t="inlineStr">
        <is>
          <t>VÄSTMANLANDS LÄN</t>
        </is>
      </c>
      <c r="E255" t="inlineStr">
        <is>
          <t>SALA</t>
        </is>
      </c>
      <c r="G255" t="n">
        <v>5.5</v>
      </c>
      <c r="H255" t="n">
        <v>0</v>
      </c>
      <c r="I255" t="n">
        <v>0</v>
      </c>
      <c r="J255" t="n">
        <v>0</v>
      </c>
      <c r="K255" t="n">
        <v>0</v>
      </c>
      <c r="L255" t="n">
        <v>0</v>
      </c>
      <c r="M255" t="n">
        <v>0</v>
      </c>
      <c r="N255" t="n">
        <v>0</v>
      </c>
      <c r="O255" t="n">
        <v>0</v>
      </c>
      <c r="P255" t="n">
        <v>0</v>
      </c>
      <c r="Q255" t="n">
        <v>0</v>
      </c>
      <c r="R255" s="2" t="inlineStr"/>
    </row>
    <row r="256" ht="15" customHeight="1">
      <c r="A256" t="inlineStr">
        <is>
          <t>A 39182-2025</t>
        </is>
      </c>
      <c r="B256" s="1" t="n">
        <v>45888.66204861111</v>
      </c>
      <c r="C256" s="1" t="n">
        <v>46026</v>
      </c>
      <c r="D256" t="inlineStr">
        <is>
          <t>VÄSTMANLANDS LÄN</t>
        </is>
      </c>
      <c r="E256" t="inlineStr">
        <is>
          <t>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35016-2024</t>
        </is>
      </c>
      <c r="B257" s="1" t="n">
        <v>45527.59115740741</v>
      </c>
      <c r="C257" s="1" t="n">
        <v>46026</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29691-2025</t>
        </is>
      </c>
      <c r="B258" s="1" t="n">
        <v>45825.53645833334</v>
      </c>
      <c r="C258" s="1" t="n">
        <v>46026</v>
      </c>
      <c r="D258" t="inlineStr">
        <is>
          <t>VÄSTMANLANDS LÄN</t>
        </is>
      </c>
      <c r="E258" t="inlineStr">
        <is>
          <t>SALA</t>
        </is>
      </c>
      <c r="G258" t="n">
        <v>0.7</v>
      </c>
      <c r="H258" t="n">
        <v>0</v>
      </c>
      <c r="I258" t="n">
        <v>0</v>
      </c>
      <c r="J258" t="n">
        <v>0</v>
      </c>
      <c r="K258" t="n">
        <v>0</v>
      </c>
      <c r="L258" t="n">
        <v>0</v>
      </c>
      <c r="M258" t="n">
        <v>0</v>
      </c>
      <c r="N258" t="n">
        <v>0</v>
      </c>
      <c r="O258" t="n">
        <v>0</v>
      </c>
      <c r="P258" t="n">
        <v>0</v>
      </c>
      <c r="Q258" t="n">
        <v>0</v>
      </c>
      <c r="R258" s="2" t="inlineStr"/>
    </row>
    <row r="259" ht="15" customHeight="1">
      <c r="A259" t="inlineStr">
        <is>
          <t>A 37612-2024</t>
        </is>
      </c>
      <c r="B259" s="1" t="n">
        <v>45541</v>
      </c>
      <c r="C259" s="1" t="n">
        <v>46026</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37615-2024</t>
        </is>
      </c>
      <c r="B260" s="1" t="n">
        <v>45541.50673611111</v>
      </c>
      <c r="C260" s="1" t="n">
        <v>46026</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5728-2022</t>
        </is>
      </c>
      <c r="B261" s="1" t="n">
        <v>44596.42082175926</v>
      </c>
      <c r="C261" s="1" t="n">
        <v>46026</v>
      </c>
      <c r="D261" t="inlineStr">
        <is>
          <t>VÄSTMANLANDS LÄN</t>
        </is>
      </c>
      <c r="E261" t="inlineStr">
        <is>
          <t>SALA</t>
        </is>
      </c>
      <c r="G261" t="n">
        <v>1.7</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46026</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46279-2021</t>
        </is>
      </c>
      <c r="B263" s="1" t="n">
        <v>44442.57797453704</v>
      </c>
      <c r="C263" s="1" t="n">
        <v>46026</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19751-2022</t>
        </is>
      </c>
      <c r="B264" s="1" t="n">
        <v>44694</v>
      </c>
      <c r="C264" s="1" t="n">
        <v>46026</v>
      </c>
      <c r="D264" t="inlineStr">
        <is>
          <t>VÄSTMANLANDS LÄN</t>
        </is>
      </c>
      <c r="E264" t="inlineStr">
        <is>
          <t>SALA</t>
        </is>
      </c>
      <c r="G264" t="n">
        <v>2.7</v>
      </c>
      <c r="H264" t="n">
        <v>0</v>
      </c>
      <c r="I264" t="n">
        <v>0</v>
      </c>
      <c r="J264" t="n">
        <v>0</v>
      </c>
      <c r="K264" t="n">
        <v>0</v>
      </c>
      <c r="L264" t="n">
        <v>0</v>
      </c>
      <c r="M264" t="n">
        <v>0</v>
      </c>
      <c r="N264" t="n">
        <v>0</v>
      </c>
      <c r="O264" t="n">
        <v>0</v>
      </c>
      <c r="P264" t="n">
        <v>0</v>
      </c>
      <c r="Q264" t="n">
        <v>0</v>
      </c>
      <c r="R264" s="2" t="inlineStr"/>
    </row>
    <row r="265" ht="15" customHeight="1">
      <c r="A265" t="inlineStr">
        <is>
          <t>A 31864-2025</t>
        </is>
      </c>
      <c r="B265" s="1" t="n">
        <v>45834.63819444444</v>
      </c>
      <c r="C265" s="1" t="n">
        <v>46026</v>
      </c>
      <c r="D265" t="inlineStr">
        <is>
          <t>VÄSTMANLANDS LÄN</t>
        </is>
      </c>
      <c r="E265" t="inlineStr">
        <is>
          <t>SALA</t>
        </is>
      </c>
      <c r="G265" t="n">
        <v>6.3</v>
      </c>
      <c r="H265" t="n">
        <v>0</v>
      </c>
      <c r="I265" t="n">
        <v>0</v>
      </c>
      <c r="J265" t="n">
        <v>0</v>
      </c>
      <c r="K265" t="n">
        <v>0</v>
      </c>
      <c r="L265" t="n">
        <v>0</v>
      </c>
      <c r="M265" t="n">
        <v>0</v>
      </c>
      <c r="N265" t="n">
        <v>0</v>
      </c>
      <c r="O265" t="n">
        <v>0</v>
      </c>
      <c r="P265" t="n">
        <v>0</v>
      </c>
      <c r="Q265" t="n">
        <v>0</v>
      </c>
      <c r="R265" s="2" t="inlineStr"/>
    </row>
    <row r="266" ht="15" customHeight="1">
      <c r="A266" t="inlineStr">
        <is>
          <t>A 39167-2025</t>
        </is>
      </c>
      <c r="B266" s="1" t="n">
        <v>45888</v>
      </c>
      <c r="C266" s="1" t="n">
        <v>46026</v>
      </c>
      <c r="D266" t="inlineStr">
        <is>
          <t>VÄSTMANLANDS LÄN</t>
        </is>
      </c>
      <c r="E266" t="inlineStr">
        <is>
          <t>SALA</t>
        </is>
      </c>
      <c r="G266" t="n">
        <v>5.5</v>
      </c>
      <c r="H266" t="n">
        <v>0</v>
      </c>
      <c r="I266" t="n">
        <v>0</v>
      </c>
      <c r="J266" t="n">
        <v>0</v>
      </c>
      <c r="K266" t="n">
        <v>0</v>
      </c>
      <c r="L266" t="n">
        <v>0</v>
      </c>
      <c r="M266" t="n">
        <v>0</v>
      </c>
      <c r="N266" t="n">
        <v>0</v>
      </c>
      <c r="O266" t="n">
        <v>0</v>
      </c>
      <c r="P266" t="n">
        <v>0</v>
      </c>
      <c r="Q266" t="n">
        <v>0</v>
      </c>
      <c r="R266" s="2" t="inlineStr"/>
    </row>
    <row r="267" ht="15" customHeight="1">
      <c r="A267" t="inlineStr">
        <is>
          <t>A 52498-2022</t>
        </is>
      </c>
      <c r="B267" s="1" t="n">
        <v>44874.50152777778</v>
      </c>
      <c r="C267" s="1" t="n">
        <v>46026</v>
      </c>
      <c r="D267" t="inlineStr">
        <is>
          <t>VÄSTMANLANDS LÄN</t>
        </is>
      </c>
      <c r="E267" t="inlineStr">
        <is>
          <t>SALA</t>
        </is>
      </c>
      <c r="G267" t="n">
        <v>2.1</v>
      </c>
      <c r="H267" t="n">
        <v>0</v>
      </c>
      <c r="I267" t="n">
        <v>0</v>
      </c>
      <c r="J267" t="n">
        <v>0</v>
      </c>
      <c r="K267" t="n">
        <v>0</v>
      </c>
      <c r="L267" t="n">
        <v>0</v>
      </c>
      <c r="M267" t="n">
        <v>0</v>
      </c>
      <c r="N267" t="n">
        <v>0</v>
      </c>
      <c r="O267" t="n">
        <v>0</v>
      </c>
      <c r="P267" t="n">
        <v>0</v>
      </c>
      <c r="Q267" t="n">
        <v>0</v>
      </c>
      <c r="R267" s="2" t="inlineStr"/>
    </row>
    <row r="268" ht="15" customHeight="1">
      <c r="A268" t="inlineStr">
        <is>
          <t>A 6312-2025</t>
        </is>
      </c>
      <c r="B268" s="1" t="n">
        <v>45698</v>
      </c>
      <c r="C268" s="1" t="n">
        <v>46026</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55035-2023</t>
        </is>
      </c>
      <c r="B269" s="1" t="n">
        <v>45229</v>
      </c>
      <c r="C269" s="1" t="n">
        <v>46026</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4736-2021</t>
        </is>
      </c>
      <c r="B270" s="1" t="n">
        <v>44225</v>
      </c>
      <c r="C270" s="1" t="n">
        <v>46026</v>
      </c>
      <c r="D270" t="inlineStr">
        <is>
          <t>VÄSTMANLANDS LÄN</t>
        </is>
      </c>
      <c r="E270" t="inlineStr">
        <is>
          <t>SALA</t>
        </is>
      </c>
      <c r="G270" t="n">
        <v>4.2</v>
      </c>
      <c r="H270" t="n">
        <v>0</v>
      </c>
      <c r="I270" t="n">
        <v>0</v>
      </c>
      <c r="J270" t="n">
        <v>0</v>
      </c>
      <c r="K270" t="n">
        <v>0</v>
      </c>
      <c r="L270" t="n">
        <v>0</v>
      </c>
      <c r="M270" t="n">
        <v>0</v>
      </c>
      <c r="N270" t="n">
        <v>0</v>
      </c>
      <c r="O270" t="n">
        <v>0</v>
      </c>
      <c r="P270" t="n">
        <v>0</v>
      </c>
      <c r="Q270" t="n">
        <v>0</v>
      </c>
      <c r="R270" s="2" t="inlineStr"/>
    </row>
    <row r="271" ht="15" customHeight="1">
      <c r="A271" t="inlineStr">
        <is>
          <t>A 30874-2025</t>
        </is>
      </c>
      <c r="B271" s="1" t="n">
        <v>45832.34430555555</v>
      </c>
      <c r="C271" s="1" t="n">
        <v>46026</v>
      </c>
      <c r="D271" t="inlineStr">
        <is>
          <t>VÄSTMANLANDS LÄN</t>
        </is>
      </c>
      <c r="E271" t="inlineStr">
        <is>
          <t>SALA</t>
        </is>
      </c>
      <c r="G271" t="n">
        <v>8.4</v>
      </c>
      <c r="H271" t="n">
        <v>0</v>
      </c>
      <c r="I271" t="n">
        <v>0</v>
      </c>
      <c r="J271" t="n">
        <v>0</v>
      </c>
      <c r="K271" t="n">
        <v>0</v>
      </c>
      <c r="L271" t="n">
        <v>0</v>
      </c>
      <c r="M271" t="n">
        <v>0</v>
      </c>
      <c r="N271" t="n">
        <v>0</v>
      </c>
      <c r="O271" t="n">
        <v>0</v>
      </c>
      <c r="P271" t="n">
        <v>0</v>
      </c>
      <c r="Q271" t="n">
        <v>0</v>
      </c>
      <c r="R271" s="2" t="inlineStr"/>
    </row>
    <row r="272" ht="15" customHeight="1">
      <c r="A272" t="inlineStr">
        <is>
          <t>A 40556-2025</t>
        </is>
      </c>
      <c r="B272" s="1" t="n">
        <v>45896.44944444444</v>
      </c>
      <c r="C272" s="1" t="n">
        <v>46026</v>
      </c>
      <c r="D272" t="inlineStr">
        <is>
          <t>VÄSTMANLANDS LÄN</t>
        </is>
      </c>
      <c r="E272" t="inlineStr">
        <is>
          <t>SALA</t>
        </is>
      </c>
      <c r="G272" t="n">
        <v>1.9</v>
      </c>
      <c r="H272" t="n">
        <v>0</v>
      </c>
      <c r="I272" t="n">
        <v>0</v>
      </c>
      <c r="J272" t="n">
        <v>0</v>
      </c>
      <c r="K272" t="n">
        <v>0</v>
      </c>
      <c r="L272" t="n">
        <v>0</v>
      </c>
      <c r="M272" t="n">
        <v>0</v>
      </c>
      <c r="N272" t="n">
        <v>0</v>
      </c>
      <c r="O272" t="n">
        <v>0</v>
      </c>
      <c r="P272" t="n">
        <v>0</v>
      </c>
      <c r="Q272" t="n">
        <v>0</v>
      </c>
      <c r="R272" s="2" t="inlineStr"/>
    </row>
    <row r="273" ht="15" customHeight="1">
      <c r="A273" t="inlineStr">
        <is>
          <t>A 40559-2025</t>
        </is>
      </c>
      <c r="B273" s="1" t="n">
        <v>45896.45037037037</v>
      </c>
      <c r="C273" s="1" t="n">
        <v>46026</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52500-2024</t>
        </is>
      </c>
      <c r="B274" s="1" t="n">
        <v>45609</v>
      </c>
      <c r="C274" s="1" t="n">
        <v>46026</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30899-2025</t>
        </is>
      </c>
      <c r="B275" s="1" t="n">
        <v>45832.35767361111</v>
      </c>
      <c r="C275" s="1" t="n">
        <v>46026</v>
      </c>
      <c r="D275" t="inlineStr">
        <is>
          <t>VÄSTMANLANDS LÄN</t>
        </is>
      </c>
      <c r="E275" t="inlineStr">
        <is>
          <t>SALA</t>
        </is>
      </c>
      <c r="G275" t="n">
        <v>3.1</v>
      </c>
      <c r="H275" t="n">
        <v>0</v>
      </c>
      <c r="I275" t="n">
        <v>0</v>
      </c>
      <c r="J275" t="n">
        <v>0</v>
      </c>
      <c r="K275" t="n">
        <v>0</v>
      </c>
      <c r="L275" t="n">
        <v>0</v>
      </c>
      <c r="M275" t="n">
        <v>0</v>
      </c>
      <c r="N275" t="n">
        <v>0</v>
      </c>
      <c r="O275" t="n">
        <v>0</v>
      </c>
      <c r="P275" t="n">
        <v>0</v>
      </c>
      <c r="Q275" t="n">
        <v>0</v>
      </c>
      <c r="R275" s="2" t="inlineStr"/>
    </row>
    <row r="276" ht="15" customHeight="1">
      <c r="A276" t="inlineStr">
        <is>
          <t>A 40620-2025</t>
        </is>
      </c>
      <c r="B276" s="1" t="n">
        <v>45896.58609953704</v>
      </c>
      <c r="C276" s="1" t="n">
        <v>46026</v>
      </c>
      <c r="D276" t="inlineStr">
        <is>
          <t>VÄSTMANLANDS LÄN</t>
        </is>
      </c>
      <c r="E276" t="inlineStr">
        <is>
          <t>SALA</t>
        </is>
      </c>
      <c r="G276" t="n">
        <v>6.7</v>
      </c>
      <c r="H276" t="n">
        <v>0</v>
      </c>
      <c r="I276" t="n">
        <v>0</v>
      </c>
      <c r="J276" t="n">
        <v>0</v>
      </c>
      <c r="K276" t="n">
        <v>0</v>
      </c>
      <c r="L276" t="n">
        <v>0</v>
      </c>
      <c r="M276" t="n">
        <v>0</v>
      </c>
      <c r="N276" t="n">
        <v>0</v>
      </c>
      <c r="O276" t="n">
        <v>0</v>
      </c>
      <c r="P276" t="n">
        <v>0</v>
      </c>
      <c r="Q276" t="n">
        <v>0</v>
      </c>
      <c r="R276" s="2" t="inlineStr"/>
    </row>
    <row r="277" ht="15" customHeight="1">
      <c r="A277" t="inlineStr">
        <is>
          <t>A 30866-2025</t>
        </is>
      </c>
      <c r="B277" s="1" t="n">
        <v>45832.3246875</v>
      </c>
      <c r="C277" s="1" t="n">
        <v>46026</v>
      </c>
      <c r="D277" t="inlineStr">
        <is>
          <t>VÄSTMANLANDS LÄN</t>
        </is>
      </c>
      <c r="E277" t="inlineStr">
        <is>
          <t>SALA</t>
        </is>
      </c>
      <c r="G277" t="n">
        <v>14.3</v>
      </c>
      <c r="H277" t="n">
        <v>0</v>
      </c>
      <c r="I277" t="n">
        <v>0</v>
      </c>
      <c r="J277" t="n">
        <v>0</v>
      </c>
      <c r="K277" t="n">
        <v>0</v>
      </c>
      <c r="L277" t="n">
        <v>0</v>
      </c>
      <c r="M277" t="n">
        <v>0</v>
      </c>
      <c r="N277" t="n">
        <v>0</v>
      </c>
      <c r="O277" t="n">
        <v>0</v>
      </c>
      <c r="P277" t="n">
        <v>0</v>
      </c>
      <c r="Q277" t="n">
        <v>0</v>
      </c>
      <c r="R277" s="2" t="inlineStr"/>
    </row>
    <row r="278" ht="15" customHeight="1">
      <c r="A278" t="inlineStr">
        <is>
          <t>A 7950-2025</t>
        </is>
      </c>
      <c r="B278" s="1" t="n">
        <v>45707.41799768519</v>
      </c>
      <c r="C278" s="1" t="n">
        <v>46026</v>
      </c>
      <c r="D278" t="inlineStr">
        <is>
          <t>VÄSTMANLANDS LÄN</t>
        </is>
      </c>
      <c r="E278" t="inlineStr">
        <is>
          <t>SALA</t>
        </is>
      </c>
      <c r="G278" t="n">
        <v>3.2</v>
      </c>
      <c r="H278" t="n">
        <v>0</v>
      </c>
      <c r="I278" t="n">
        <v>0</v>
      </c>
      <c r="J278" t="n">
        <v>0</v>
      </c>
      <c r="K278" t="n">
        <v>0</v>
      </c>
      <c r="L278" t="n">
        <v>0</v>
      </c>
      <c r="M278" t="n">
        <v>0</v>
      </c>
      <c r="N278" t="n">
        <v>0</v>
      </c>
      <c r="O278" t="n">
        <v>0</v>
      </c>
      <c r="P278" t="n">
        <v>0</v>
      </c>
      <c r="Q278" t="n">
        <v>0</v>
      </c>
      <c r="R278" s="2" t="inlineStr"/>
    </row>
    <row r="279" ht="15" customHeight="1">
      <c r="A279" t="inlineStr">
        <is>
          <t>A 10812-2021</t>
        </is>
      </c>
      <c r="B279" s="1" t="n">
        <v>44259</v>
      </c>
      <c r="C279" s="1" t="n">
        <v>46026</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10154-2021</t>
        </is>
      </c>
      <c r="B280" s="1" t="n">
        <v>44256</v>
      </c>
      <c r="C280" s="1" t="n">
        <v>46026</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41230-2025</t>
        </is>
      </c>
      <c r="B281" s="1" t="n">
        <v>45898</v>
      </c>
      <c r="C281" s="1" t="n">
        <v>46026</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31065-2025</t>
        </is>
      </c>
      <c r="B282" s="1" t="n">
        <v>45832.57571759259</v>
      </c>
      <c r="C282" s="1" t="n">
        <v>46026</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16328-2025</t>
        </is>
      </c>
      <c r="B283" s="1" t="n">
        <v>45751</v>
      </c>
      <c r="C283" s="1" t="n">
        <v>46026</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41431-2025</t>
        </is>
      </c>
      <c r="B284" s="1" t="n">
        <v>45901.39347222223</v>
      </c>
      <c r="C284" s="1" t="n">
        <v>46026</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41414-2025</t>
        </is>
      </c>
      <c r="B285" s="1" t="n">
        <v>45901.360625</v>
      </c>
      <c r="C285" s="1" t="n">
        <v>46026</v>
      </c>
      <c r="D285" t="inlineStr">
        <is>
          <t>VÄSTMANLANDS LÄN</t>
        </is>
      </c>
      <c r="E285" t="inlineStr">
        <is>
          <t>SALA</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53164-2024</t>
        </is>
      </c>
      <c r="B286" s="1" t="n">
        <v>45611.64887731482</v>
      </c>
      <c r="C286" s="1" t="n">
        <v>46026</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31612-2025</t>
        </is>
      </c>
      <c r="B287" s="1" t="n">
        <v>45833.80056712963</v>
      </c>
      <c r="C287" s="1" t="n">
        <v>46026</v>
      </c>
      <c r="D287" t="inlineStr">
        <is>
          <t>VÄSTMANLANDS LÄN</t>
        </is>
      </c>
      <c r="E287" t="inlineStr">
        <is>
          <t>SALA</t>
        </is>
      </c>
      <c r="G287" t="n">
        <v>6.3</v>
      </c>
      <c r="H287" t="n">
        <v>0</v>
      </c>
      <c r="I287" t="n">
        <v>0</v>
      </c>
      <c r="J287" t="n">
        <v>0</v>
      </c>
      <c r="K287" t="n">
        <v>0</v>
      </c>
      <c r="L287" t="n">
        <v>0</v>
      </c>
      <c r="M287" t="n">
        <v>0</v>
      </c>
      <c r="N287" t="n">
        <v>0</v>
      </c>
      <c r="O287" t="n">
        <v>0</v>
      </c>
      <c r="P287" t="n">
        <v>0</v>
      </c>
      <c r="Q287" t="n">
        <v>0</v>
      </c>
      <c r="R287" s="2" t="inlineStr"/>
    </row>
    <row r="288" ht="15" customHeight="1">
      <c r="A288" t="inlineStr">
        <is>
          <t>A 31609-2024</t>
        </is>
      </c>
      <c r="B288" s="1" t="n">
        <v>45506</v>
      </c>
      <c r="C288" s="1" t="n">
        <v>46026</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61717-2024</t>
        </is>
      </c>
      <c r="B289" s="1" t="n">
        <v>45648</v>
      </c>
      <c r="C289" s="1" t="n">
        <v>46026</v>
      </c>
      <c r="D289" t="inlineStr">
        <is>
          <t>VÄSTMANLANDS LÄN</t>
        </is>
      </c>
      <c r="E289" t="inlineStr">
        <is>
          <t>SALA</t>
        </is>
      </c>
      <c r="G289" t="n">
        <v>3.7</v>
      </c>
      <c r="H289" t="n">
        <v>0</v>
      </c>
      <c r="I289" t="n">
        <v>0</v>
      </c>
      <c r="J289" t="n">
        <v>0</v>
      </c>
      <c r="K289" t="n">
        <v>0</v>
      </c>
      <c r="L289" t="n">
        <v>0</v>
      </c>
      <c r="M289" t="n">
        <v>0</v>
      </c>
      <c r="N289" t="n">
        <v>0</v>
      </c>
      <c r="O289" t="n">
        <v>0</v>
      </c>
      <c r="P289" t="n">
        <v>0</v>
      </c>
      <c r="Q289" t="n">
        <v>0</v>
      </c>
      <c r="R289" s="2" t="inlineStr"/>
    </row>
    <row r="290" ht="15" customHeight="1">
      <c r="A290" t="inlineStr">
        <is>
          <t>A 31748-2025</t>
        </is>
      </c>
      <c r="B290" s="1" t="n">
        <v>45834</v>
      </c>
      <c r="C290" s="1" t="n">
        <v>46026</v>
      </c>
      <c r="D290" t="inlineStr">
        <is>
          <t>VÄSTMANLANDS LÄN</t>
        </is>
      </c>
      <c r="E290" t="inlineStr">
        <is>
          <t>SALA</t>
        </is>
      </c>
      <c r="G290" t="n">
        <v>2</v>
      </c>
      <c r="H290" t="n">
        <v>0</v>
      </c>
      <c r="I290" t="n">
        <v>0</v>
      </c>
      <c r="J290" t="n">
        <v>0</v>
      </c>
      <c r="K290" t="n">
        <v>0</v>
      </c>
      <c r="L290" t="n">
        <v>0</v>
      </c>
      <c r="M290" t="n">
        <v>0</v>
      </c>
      <c r="N290" t="n">
        <v>0</v>
      </c>
      <c r="O290" t="n">
        <v>0</v>
      </c>
      <c r="P290" t="n">
        <v>0</v>
      </c>
      <c r="Q290" t="n">
        <v>0</v>
      </c>
      <c r="R290" s="2" t="inlineStr"/>
    </row>
    <row r="291" ht="15" customHeight="1">
      <c r="A291" t="inlineStr">
        <is>
          <t>A 31288-2025</t>
        </is>
      </c>
      <c r="B291" s="1" t="n">
        <v>45833</v>
      </c>
      <c r="C291" s="1" t="n">
        <v>46026</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31771-2025</t>
        </is>
      </c>
      <c r="B292" s="1" t="n">
        <v>45834.50910879629</v>
      </c>
      <c r="C292" s="1" t="n">
        <v>46026</v>
      </c>
      <c r="D292" t="inlineStr">
        <is>
          <t>VÄSTMANLANDS LÄN</t>
        </is>
      </c>
      <c r="E292" t="inlineStr">
        <is>
          <t>SALA</t>
        </is>
      </c>
      <c r="G292" t="n">
        <v>5.1</v>
      </c>
      <c r="H292" t="n">
        <v>0</v>
      </c>
      <c r="I292" t="n">
        <v>0</v>
      </c>
      <c r="J292" t="n">
        <v>0</v>
      </c>
      <c r="K292" t="n">
        <v>0</v>
      </c>
      <c r="L292" t="n">
        <v>0</v>
      </c>
      <c r="M292" t="n">
        <v>0</v>
      </c>
      <c r="N292" t="n">
        <v>0</v>
      </c>
      <c r="O292" t="n">
        <v>0</v>
      </c>
      <c r="P292" t="n">
        <v>0</v>
      </c>
      <c r="Q292" t="n">
        <v>0</v>
      </c>
      <c r="R292" s="2" t="inlineStr"/>
    </row>
    <row r="293" ht="15" customHeight="1">
      <c r="A293" t="inlineStr">
        <is>
          <t>A 31554-2025</t>
        </is>
      </c>
      <c r="B293" s="1" t="n">
        <v>45833</v>
      </c>
      <c r="C293" s="1" t="n">
        <v>46026</v>
      </c>
      <c r="D293" t="inlineStr">
        <is>
          <t>VÄSTMANLANDS LÄN</t>
        </is>
      </c>
      <c r="E293" t="inlineStr">
        <is>
          <t>SALA</t>
        </is>
      </c>
      <c r="G293" t="n">
        <v>1.5</v>
      </c>
      <c r="H293" t="n">
        <v>0</v>
      </c>
      <c r="I293" t="n">
        <v>0</v>
      </c>
      <c r="J293" t="n">
        <v>0</v>
      </c>
      <c r="K293" t="n">
        <v>0</v>
      </c>
      <c r="L293" t="n">
        <v>0</v>
      </c>
      <c r="M293" t="n">
        <v>0</v>
      </c>
      <c r="N293" t="n">
        <v>0</v>
      </c>
      <c r="O293" t="n">
        <v>0</v>
      </c>
      <c r="P293" t="n">
        <v>0</v>
      </c>
      <c r="Q293" t="n">
        <v>0</v>
      </c>
      <c r="R293" s="2" t="inlineStr"/>
    </row>
    <row r="294" ht="15" customHeight="1">
      <c r="A294" t="inlineStr">
        <is>
          <t>A 31762-2025</t>
        </is>
      </c>
      <c r="B294" s="1" t="n">
        <v>45834.49288194445</v>
      </c>
      <c r="C294" s="1" t="n">
        <v>46026</v>
      </c>
      <c r="D294" t="inlineStr">
        <is>
          <t>VÄSTMANLANDS LÄN</t>
        </is>
      </c>
      <c r="E294" t="inlineStr">
        <is>
          <t>SALA</t>
        </is>
      </c>
      <c r="G294" t="n">
        <v>5.9</v>
      </c>
      <c r="H294" t="n">
        <v>0</v>
      </c>
      <c r="I294" t="n">
        <v>0</v>
      </c>
      <c r="J294" t="n">
        <v>0</v>
      </c>
      <c r="K294" t="n">
        <v>0</v>
      </c>
      <c r="L294" t="n">
        <v>0</v>
      </c>
      <c r="M294" t="n">
        <v>0</v>
      </c>
      <c r="N294" t="n">
        <v>0</v>
      </c>
      <c r="O294" t="n">
        <v>0</v>
      </c>
      <c r="P294" t="n">
        <v>0</v>
      </c>
      <c r="Q294" t="n">
        <v>0</v>
      </c>
      <c r="R294" s="2" t="inlineStr"/>
    </row>
    <row r="295" ht="15" customHeight="1">
      <c r="A295" t="inlineStr">
        <is>
          <t>A 31608-2025</t>
        </is>
      </c>
      <c r="B295" s="1" t="n">
        <v>45833</v>
      </c>
      <c r="C295" s="1" t="n">
        <v>46026</v>
      </c>
      <c r="D295" t="inlineStr">
        <is>
          <t>VÄSTMANLANDS LÄN</t>
        </is>
      </c>
      <c r="E295" t="inlineStr">
        <is>
          <t>SALA</t>
        </is>
      </c>
      <c r="G295" t="n">
        <v>6.1</v>
      </c>
      <c r="H295" t="n">
        <v>0</v>
      </c>
      <c r="I295" t="n">
        <v>0</v>
      </c>
      <c r="J295" t="n">
        <v>0</v>
      </c>
      <c r="K295" t="n">
        <v>0</v>
      </c>
      <c r="L295" t="n">
        <v>0</v>
      </c>
      <c r="M295" t="n">
        <v>0</v>
      </c>
      <c r="N295" t="n">
        <v>0</v>
      </c>
      <c r="O295" t="n">
        <v>0</v>
      </c>
      <c r="P295" t="n">
        <v>0</v>
      </c>
      <c r="Q295" t="n">
        <v>0</v>
      </c>
      <c r="R295" s="2" t="inlineStr"/>
    </row>
    <row r="296" ht="15" customHeight="1">
      <c r="A296" t="inlineStr">
        <is>
          <t>A 31610-2025</t>
        </is>
      </c>
      <c r="B296" s="1" t="n">
        <v>45833.78650462963</v>
      </c>
      <c r="C296" s="1" t="n">
        <v>46026</v>
      </c>
      <c r="D296" t="inlineStr">
        <is>
          <t>VÄSTMANLANDS LÄN</t>
        </is>
      </c>
      <c r="E296" t="inlineStr">
        <is>
          <t>SALA</t>
        </is>
      </c>
      <c r="G296" t="n">
        <v>8</v>
      </c>
      <c r="H296" t="n">
        <v>0</v>
      </c>
      <c r="I296" t="n">
        <v>0</v>
      </c>
      <c r="J296" t="n">
        <v>0</v>
      </c>
      <c r="K296" t="n">
        <v>0</v>
      </c>
      <c r="L296" t="n">
        <v>0</v>
      </c>
      <c r="M296" t="n">
        <v>0</v>
      </c>
      <c r="N296" t="n">
        <v>0</v>
      </c>
      <c r="O296" t="n">
        <v>0</v>
      </c>
      <c r="P296" t="n">
        <v>0</v>
      </c>
      <c r="Q296" t="n">
        <v>0</v>
      </c>
      <c r="R296" s="2" t="inlineStr"/>
    </row>
    <row r="297" ht="15" customHeight="1">
      <c r="A297" t="inlineStr">
        <is>
          <t>A 31296-2025</t>
        </is>
      </c>
      <c r="B297" s="1" t="n">
        <v>45833.36765046296</v>
      </c>
      <c r="C297" s="1" t="n">
        <v>46026</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35410-2022</t>
        </is>
      </c>
      <c r="B298" s="1" t="n">
        <v>44798.62576388889</v>
      </c>
      <c r="C298" s="1" t="n">
        <v>46026</v>
      </c>
      <c r="D298" t="inlineStr">
        <is>
          <t>VÄSTMANLANDS LÄN</t>
        </is>
      </c>
      <c r="E298" t="inlineStr">
        <is>
          <t>SALA</t>
        </is>
      </c>
      <c r="G298" t="n">
        <v>1.6</v>
      </c>
      <c r="H298" t="n">
        <v>0</v>
      </c>
      <c r="I298" t="n">
        <v>0</v>
      </c>
      <c r="J298" t="n">
        <v>0</v>
      </c>
      <c r="K298" t="n">
        <v>0</v>
      </c>
      <c r="L298" t="n">
        <v>0</v>
      </c>
      <c r="M298" t="n">
        <v>0</v>
      </c>
      <c r="N298" t="n">
        <v>0</v>
      </c>
      <c r="O298" t="n">
        <v>0</v>
      </c>
      <c r="P298" t="n">
        <v>0</v>
      </c>
      <c r="Q298" t="n">
        <v>0</v>
      </c>
      <c r="R298" s="2" t="inlineStr"/>
    </row>
    <row r="299" ht="15" customHeight="1">
      <c r="A299" t="inlineStr">
        <is>
          <t>A 31573-2025</t>
        </is>
      </c>
      <c r="B299" s="1" t="n">
        <v>45833</v>
      </c>
      <c r="C299" s="1" t="n">
        <v>46026</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21968-2024</t>
        </is>
      </c>
      <c r="B300" s="1" t="n">
        <v>45443</v>
      </c>
      <c r="C300" s="1" t="n">
        <v>46026</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32201-2025</t>
        </is>
      </c>
      <c r="B301" s="1" t="n">
        <v>45835</v>
      </c>
      <c r="C301" s="1" t="n">
        <v>46026</v>
      </c>
      <c r="D301" t="inlineStr">
        <is>
          <t>VÄSTMANLANDS LÄN</t>
        </is>
      </c>
      <c r="E301" t="inlineStr">
        <is>
          <t>SALA</t>
        </is>
      </c>
      <c r="F301" t="inlineStr">
        <is>
          <t>Bergvik skog öst AB</t>
        </is>
      </c>
      <c r="G301" t="n">
        <v>1.8</v>
      </c>
      <c r="H301" t="n">
        <v>0</v>
      </c>
      <c r="I301" t="n">
        <v>0</v>
      </c>
      <c r="J301" t="n">
        <v>0</v>
      </c>
      <c r="K301" t="n">
        <v>0</v>
      </c>
      <c r="L301" t="n">
        <v>0</v>
      </c>
      <c r="M301" t="n">
        <v>0</v>
      </c>
      <c r="N301" t="n">
        <v>0</v>
      </c>
      <c r="O301" t="n">
        <v>0</v>
      </c>
      <c r="P301" t="n">
        <v>0</v>
      </c>
      <c r="Q301" t="n">
        <v>0</v>
      </c>
      <c r="R301" s="2" t="inlineStr"/>
    </row>
    <row r="302" ht="15" customHeight="1">
      <c r="A302" t="inlineStr">
        <is>
          <t>A 42421-2025</t>
        </is>
      </c>
      <c r="B302" s="1" t="n">
        <v>45905.40067129629</v>
      </c>
      <c r="C302" s="1" t="n">
        <v>46026</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32205-2025</t>
        </is>
      </c>
      <c r="B303" s="1" t="n">
        <v>45835</v>
      </c>
      <c r="C303" s="1" t="n">
        <v>46026</v>
      </c>
      <c r="D303" t="inlineStr">
        <is>
          <t>VÄSTMANLANDS LÄN</t>
        </is>
      </c>
      <c r="E303" t="inlineStr">
        <is>
          <t>SALA</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32210-2025</t>
        </is>
      </c>
      <c r="B304" s="1" t="n">
        <v>45835</v>
      </c>
      <c r="C304" s="1" t="n">
        <v>46026</v>
      </c>
      <c r="D304" t="inlineStr">
        <is>
          <t>VÄSTMANLANDS LÄN</t>
        </is>
      </c>
      <c r="E304" t="inlineStr">
        <is>
          <t>SALA</t>
        </is>
      </c>
      <c r="F304" t="inlineStr">
        <is>
          <t>Bergvik skog öst AB</t>
        </is>
      </c>
      <c r="G304" t="n">
        <v>1.5</v>
      </c>
      <c r="H304" t="n">
        <v>0</v>
      </c>
      <c r="I304" t="n">
        <v>0</v>
      </c>
      <c r="J304" t="n">
        <v>0</v>
      </c>
      <c r="K304" t="n">
        <v>0</v>
      </c>
      <c r="L304" t="n">
        <v>0</v>
      </c>
      <c r="M304" t="n">
        <v>0</v>
      </c>
      <c r="N304" t="n">
        <v>0</v>
      </c>
      <c r="O304" t="n">
        <v>0</v>
      </c>
      <c r="P304" t="n">
        <v>0</v>
      </c>
      <c r="Q304" t="n">
        <v>0</v>
      </c>
      <c r="R304" s="2" t="inlineStr"/>
    </row>
    <row r="305" ht="15" customHeight="1">
      <c r="A305" t="inlineStr">
        <is>
          <t>A 21159-2022</t>
        </is>
      </c>
      <c r="B305" s="1" t="n">
        <v>44704</v>
      </c>
      <c r="C305" s="1" t="n">
        <v>46026</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43028-2025</t>
        </is>
      </c>
      <c r="B306" s="1" t="n">
        <v>45909.53472222222</v>
      </c>
      <c r="C306" s="1" t="n">
        <v>46026</v>
      </c>
      <c r="D306" t="inlineStr">
        <is>
          <t>VÄSTMANLANDS LÄN</t>
        </is>
      </c>
      <c r="E306" t="inlineStr">
        <is>
          <t>SALA</t>
        </is>
      </c>
      <c r="G306" t="n">
        <v>3.8</v>
      </c>
      <c r="H306" t="n">
        <v>0</v>
      </c>
      <c r="I306" t="n">
        <v>0</v>
      </c>
      <c r="J306" t="n">
        <v>0</v>
      </c>
      <c r="K306" t="n">
        <v>0</v>
      </c>
      <c r="L306" t="n">
        <v>0</v>
      </c>
      <c r="M306" t="n">
        <v>0</v>
      </c>
      <c r="N306" t="n">
        <v>0</v>
      </c>
      <c r="O306" t="n">
        <v>0</v>
      </c>
      <c r="P306" t="n">
        <v>0</v>
      </c>
      <c r="Q306" t="n">
        <v>0</v>
      </c>
      <c r="R306" s="2" t="inlineStr"/>
    </row>
    <row r="307" ht="15" customHeight="1">
      <c r="A307" t="inlineStr">
        <is>
          <t>A 32286-2025</t>
        </is>
      </c>
      <c r="B307" s="1" t="n">
        <v>45835</v>
      </c>
      <c r="C307" s="1" t="n">
        <v>46026</v>
      </c>
      <c r="D307" t="inlineStr">
        <is>
          <t>VÄSTMANLANDS LÄN</t>
        </is>
      </c>
      <c r="E307" t="inlineStr">
        <is>
          <t>SALA</t>
        </is>
      </c>
      <c r="G307" t="n">
        <v>6.4</v>
      </c>
      <c r="H307" t="n">
        <v>0</v>
      </c>
      <c r="I307" t="n">
        <v>0</v>
      </c>
      <c r="J307" t="n">
        <v>0</v>
      </c>
      <c r="K307" t="n">
        <v>0</v>
      </c>
      <c r="L307" t="n">
        <v>0</v>
      </c>
      <c r="M307" t="n">
        <v>0</v>
      </c>
      <c r="N307" t="n">
        <v>0</v>
      </c>
      <c r="O307" t="n">
        <v>0</v>
      </c>
      <c r="P307" t="n">
        <v>0</v>
      </c>
      <c r="Q307" t="n">
        <v>0</v>
      </c>
      <c r="R307" s="2" t="inlineStr"/>
    </row>
    <row r="308" ht="15" customHeight="1">
      <c r="A308" t="inlineStr">
        <is>
          <t>A 43328-2025</t>
        </is>
      </c>
      <c r="B308" s="1" t="n">
        <v>45910</v>
      </c>
      <c r="C308" s="1" t="n">
        <v>46026</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43031-2025</t>
        </is>
      </c>
      <c r="B309" s="1" t="n">
        <v>45909.53856481481</v>
      </c>
      <c r="C309" s="1" t="n">
        <v>46026</v>
      </c>
      <c r="D309" t="inlineStr">
        <is>
          <t>VÄSTMANLANDS LÄN</t>
        </is>
      </c>
      <c r="E309" t="inlineStr">
        <is>
          <t>SALA</t>
        </is>
      </c>
      <c r="G309" t="n">
        <v>0.2</v>
      </c>
      <c r="H309" t="n">
        <v>0</v>
      </c>
      <c r="I309" t="n">
        <v>0</v>
      </c>
      <c r="J309" t="n">
        <v>0</v>
      </c>
      <c r="K309" t="n">
        <v>0</v>
      </c>
      <c r="L309" t="n">
        <v>0</v>
      </c>
      <c r="M309" t="n">
        <v>0</v>
      </c>
      <c r="N309" t="n">
        <v>0</v>
      </c>
      <c r="O309" t="n">
        <v>0</v>
      </c>
      <c r="P309" t="n">
        <v>0</v>
      </c>
      <c r="Q309" t="n">
        <v>0</v>
      </c>
      <c r="R309" s="2" t="inlineStr"/>
    </row>
    <row r="310" ht="15" customHeight="1">
      <c r="A310" t="inlineStr">
        <is>
          <t>A 41292-2021</t>
        </is>
      </c>
      <c r="B310" s="1" t="n">
        <v>44424</v>
      </c>
      <c r="C310" s="1" t="n">
        <v>46026</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60328-2024</t>
        </is>
      </c>
      <c r="B311" s="1" t="n">
        <v>45643.38416666666</v>
      </c>
      <c r="C311" s="1" t="n">
        <v>46026</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17495-2024</t>
        </is>
      </c>
      <c r="B312" s="1" t="n">
        <v>45415</v>
      </c>
      <c r="C312" s="1" t="n">
        <v>46026</v>
      </c>
      <c r="D312" t="inlineStr">
        <is>
          <t>VÄSTMANLANDS LÄN</t>
        </is>
      </c>
      <c r="E312" t="inlineStr">
        <is>
          <t>SALA</t>
        </is>
      </c>
      <c r="G312" t="n">
        <v>3.1</v>
      </c>
      <c r="H312" t="n">
        <v>0</v>
      </c>
      <c r="I312" t="n">
        <v>0</v>
      </c>
      <c r="J312" t="n">
        <v>0</v>
      </c>
      <c r="K312" t="n">
        <v>0</v>
      </c>
      <c r="L312" t="n">
        <v>0</v>
      </c>
      <c r="M312" t="n">
        <v>0</v>
      </c>
      <c r="N312" t="n">
        <v>0</v>
      </c>
      <c r="O312" t="n">
        <v>0</v>
      </c>
      <c r="P312" t="n">
        <v>0</v>
      </c>
      <c r="Q312" t="n">
        <v>0</v>
      </c>
      <c r="R312" s="2" t="inlineStr"/>
    </row>
    <row r="313" ht="15" customHeight="1">
      <c r="A313" t="inlineStr">
        <is>
          <t>A 37263-2025</t>
        </is>
      </c>
      <c r="B313" s="1" t="n">
        <v>45876.4584837963</v>
      </c>
      <c r="C313" s="1" t="n">
        <v>46026</v>
      </c>
      <c r="D313" t="inlineStr">
        <is>
          <t>VÄSTMANLANDS LÄN</t>
        </is>
      </c>
      <c r="E313" t="inlineStr">
        <is>
          <t>SALA</t>
        </is>
      </c>
      <c r="G313" t="n">
        <v>2.3</v>
      </c>
      <c r="H313" t="n">
        <v>0</v>
      </c>
      <c r="I313" t="n">
        <v>0</v>
      </c>
      <c r="J313" t="n">
        <v>0</v>
      </c>
      <c r="K313" t="n">
        <v>0</v>
      </c>
      <c r="L313" t="n">
        <v>0</v>
      </c>
      <c r="M313" t="n">
        <v>0</v>
      </c>
      <c r="N313" t="n">
        <v>0</v>
      </c>
      <c r="O313" t="n">
        <v>0</v>
      </c>
      <c r="P313" t="n">
        <v>0</v>
      </c>
      <c r="Q313" t="n">
        <v>0</v>
      </c>
      <c r="R313" s="2" t="inlineStr"/>
    </row>
    <row r="314" ht="15" customHeight="1">
      <c r="A314" t="inlineStr">
        <is>
          <t>A 40554-2025</t>
        </is>
      </c>
      <c r="B314" s="1" t="n">
        <v>45896.44506944445</v>
      </c>
      <c r="C314" s="1" t="n">
        <v>46026</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43129-2025</t>
        </is>
      </c>
      <c r="B315" s="1" t="n">
        <v>45909</v>
      </c>
      <c r="C315" s="1" t="n">
        <v>46026</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43130-2025</t>
        </is>
      </c>
      <c r="B316" s="1" t="n">
        <v>45909</v>
      </c>
      <c r="C316" s="1" t="n">
        <v>46026</v>
      </c>
      <c r="D316" t="inlineStr">
        <is>
          <t>VÄSTMANLANDS LÄN</t>
        </is>
      </c>
      <c r="E316" t="inlineStr">
        <is>
          <t>SALA</t>
        </is>
      </c>
      <c r="G316" t="n">
        <v>0.9</v>
      </c>
      <c r="H316" t="n">
        <v>0</v>
      </c>
      <c r="I316" t="n">
        <v>0</v>
      </c>
      <c r="J316" t="n">
        <v>0</v>
      </c>
      <c r="K316" t="n">
        <v>0</v>
      </c>
      <c r="L316" t="n">
        <v>0</v>
      </c>
      <c r="M316" t="n">
        <v>0</v>
      </c>
      <c r="N316" t="n">
        <v>0</v>
      </c>
      <c r="O316" t="n">
        <v>0</v>
      </c>
      <c r="P316" t="n">
        <v>0</v>
      </c>
      <c r="Q316" t="n">
        <v>0</v>
      </c>
      <c r="R316" s="2" t="inlineStr"/>
    </row>
    <row r="317" ht="15" customHeight="1">
      <c r="A317" t="inlineStr">
        <is>
          <t>A 43128-2025</t>
        </is>
      </c>
      <c r="B317" s="1" t="n">
        <v>45909</v>
      </c>
      <c r="C317" s="1" t="n">
        <v>46026</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32207-2025</t>
        </is>
      </c>
      <c r="B318" s="1" t="n">
        <v>45835</v>
      </c>
      <c r="C318" s="1" t="n">
        <v>46026</v>
      </c>
      <c r="D318" t="inlineStr">
        <is>
          <t>VÄSTMANLANDS LÄN</t>
        </is>
      </c>
      <c r="E318" t="inlineStr">
        <is>
          <t>SALA</t>
        </is>
      </c>
      <c r="F318" t="inlineStr">
        <is>
          <t>Bergvik skog öst AB</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43127-2025</t>
        </is>
      </c>
      <c r="B319" s="1" t="n">
        <v>45909</v>
      </c>
      <c r="C319" s="1" t="n">
        <v>46026</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6088-2021</t>
        </is>
      </c>
      <c r="B320" s="1" t="n">
        <v>44232</v>
      </c>
      <c r="C320" s="1" t="n">
        <v>46026</v>
      </c>
      <c r="D320" t="inlineStr">
        <is>
          <t>VÄSTMANLANDS LÄN</t>
        </is>
      </c>
      <c r="E320" t="inlineStr">
        <is>
          <t>SALA</t>
        </is>
      </c>
      <c r="G320" t="n">
        <v>0.2</v>
      </c>
      <c r="H320" t="n">
        <v>0</v>
      </c>
      <c r="I320" t="n">
        <v>0</v>
      </c>
      <c r="J320" t="n">
        <v>0</v>
      </c>
      <c r="K320" t="n">
        <v>0</v>
      </c>
      <c r="L320" t="n">
        <v>0</v>
      </c>
      <c r="M320" t="n">
        <v>0</v>
      </c>
      <c r="N320" t="n">
        <v>0</v>
      </c>
      <c r="O320" t="n">
        <v>0</v>
      </c>
      <c r="P320" t="n">
        <v>0</v>
      </c>
      <c r="Q320" t="n">
        <v>0</v>
      </c>
      <c r="R320" s="2" t="inlineStr"/>
    </row>
    <row r="321" ht="15" customHeight="1">
      <c r="A321" t="inlineStr">
        <is>
          <t>A 33273-2023</t>
        </is>
      </c>
      <c r="B321" s="1" t="n">
        <v>45127</v>
      </c>
      <c r="C321" s="1" t="n">
        <v>46026</v>
      </c>
      <c r="D321" t="inlineStr">
        <is>
          <t>VÄSTMANLANDS LÄN</t>
        </is>
      </c>
      <c r="E321" t="inlineStr">
        <is>
          <t>SALA</t>
        </is>
      </c>
      <c r="G321" t="n">
        <v>2.6</v>
      </c>
      <c r="H321" t="n">
        <v>0</v>
      </c>
      <c r="I321" t="n">
        <v>0</v>
      </c>
      <c r="J321" t="n">
        <v>0</v>
      </c>
      <c r="K321" t="n">
        <v>0</v>
      </c>
      <c r="L321" t="n">
        <v>0</v>
      </c>
      <c r="M321" t="n">
        <v>0</v>
      </c>
      <c r="N321" t="n">
        <v>0</v>
      </c>
      <c r="O321" t="n">
        <v>0</v>
      </c>
      <c r="P321" t="n">
        <v>0</v>
      </c>
      <c r="Q321" t="n">
        <v>0</v>
      </c>
      <c r="R321" s="2" t="inlineStr"/>
    </row>
    <row r="322" ht="15" customHeight="1">
      <c r="A322" t="inlineStr">
        <is>
          <t>A 32902-2025</t>
        </is>
      </c>
      <c r="B322" s="1" t="n">
        <v>45839</v>
      </c>
      <c r="C322" s="1" t="n">
        <v>46026</v>
      </c>
      <c r="D322" t="inlineStr">
        <is>
          <t>VÄSTMANLANDS LÄN</t>
        </is>
      </c>
      <c r="E322" t="inlineStr">
        <is>
          <t>SALA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52827-2024</t>
        </is>
      </c>
      <c r="B323" s="1" t="n">
        <v>45610</v>
      </c>
      <c r="C323" s="1" t="n">
        <v>46026</v>
      </c>
      <c r="D323" t="inlineStr">
        <is>
          <t>VÄSTMANLANDS LÄN</t>
        </is>
      </c>
      <c r="E323" t="inlineStr">
        <is>
          <t>SALA</t>
        </is>
      </c>
      <c r="G323" t="n">
        <v>0.2</v>
      </c>
      <c r="H323" t="n">
        <v>0</v>
      </c>
      <c r="I323" t="n">
        <v>0</v>
      </c>
      <c r="J323" t="n">
        <v>0</v>
      </c>
      <c r="K323" t="n">
        <v>0</v>
      </c>
      <c r="L323" t="n">
        <v>0</v>
      </c>
      <c r="M323" t="n">
        <v>0</v>
      </c>
      <c r="N323" t="n">
        <v>0</v>
      </c>
      <c r="O323" t="n">
        <v>0</v>
      </c>
      <c r="P323" t="n">
        <v>0</v>
      </c>
      <c r="Q323" t="n">
        <v>0</v>
      </c>
      <c r="R323" s="2" t="inlineStr"/>
    </row>
    <row r="324" ht="15" customHeight="1">
      <c r="A324" t="inlineStr">
        <is>
          <t>A 53166-2024</t>
        </is>
      </c>
      <c r="B324" s="1" t="n">
        <v>45611</v>
      </c>
      <c r="C324" s="1" t="n">
        <v>46026</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11244-2024</t>
        </is>
      </c>
      <c r="B325" s="1" t="n">
        <v>45371</v>
      </c>
      <c r="C325" s="1" t="n">
        <v>46026</v>
      </c>
      <c r="D325" t="inlineStr">
        <is>
          <t>VÄSTMANLANDS LÄN</t>
        </is>
      </c>
      <c r="E325" t="inlineStr">
        <is>
          <t>SALA</t>
        </is>
      </c>
      <c r="G325" t="n">
        <v>1.2</v>
      </c>
      <c r="H325" t="n">
        <v>0</v>
      </c>
      <c r="I325" t="n">
        <v>0</v>
      </c>
      <c r="J325" t="n">
        <v>0</v>
      </c>
      <c r="K325" t="n">
        <v>0</v>
      </c>
      <c r="L325" t="n">
        <v>0</v>
      </c>
      <c r="M325" t="n">
        <v>0</v>
      </c>
      <c r="N325" t="n">
        <v>0</v>
      </c>
      <c r="O325" t="n">
        <v>0</v>
      </c>
      <c r="P325" t="n">
        <v>0</v>
      </c>
      <c r="Q325" t="n">
        <v>0</v>
      </c>
      <c r="R325" s="2" t="inlineStr"/>
    </row>
    <row r="326" ht="15" customHeight="1">
      <c r="A326" t="inlineStr">
        <is>
          <t>A 44100-2025</t>
        </is>
      </c>
      <c r="B326" s="1" t="n">
        <v>45915.56707175926</v>
      </c>
      <c r="C326" s="1" t="n">
        <v>46026</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62654-2022</t>
        </is>
      </c>
      <c r="B327" s="1" t="n">
        <v>44917</v>
      </c>
      <c r="C327" s="1" t="n">
        <v>46026</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row>
    <row r="328" ht="15" customHeight="1">
      <c r="A328" t="inlineStr">
        <is>
          <t>A 6135-2023</t>
        </is>
      </c>
      <c r="B328" s="1" t="n">
        <v>44964.62628472222</v>
      </c>
      <c r="C328" s="1" t="n">
        <v>46026</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53864-2022</t>
        </is>
      </c>
      <c r="B329" s="1" t="n">
        <v>44880.64016203704</v>
      </c>
      <c r="C329" s="1" t="n">
        <v>46026</v>
      </c>
      <c r="D329" t="inlineStr">
        <is>
          <t>VÄSTMANLANDS LÄN</t>
        </is>
      </c>
      <c r="E329" t="inlineStr">
        <is>
          <t>SALA</t>
        </is>
      </c>
      <c r="G329" t="n">
        <v>5.9</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45916.65517361111</v>
      </c>
      <c r="C330" s="1" t="n">
        <v>46026</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44524-2025</t>
        </is>
      </c>
      <c r="B331" s="1" t="n">
        <v>45916.72920138889</v>
      </c>
      <c r="C331" s="1" t="n">
        <v>46026</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27255-2023</t>
        </is>
      </c>
      <c r="B332" s="1" t="n">
        <v>45096</v>
      </c>
      <c r="C332" s="1" t="n">
        <v>46026</v>
      </c>
      <c r="D332" t="inlineStr">
        <is>
          <t>VÄSTMANLANDS LÄN</t>
        </is>
      </c>
      <c r="E332" t="inlineStr">
        <is>
          <t>SALA</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43122-2025</t>
        </is>
      </c>
      <c r="B333" s="1" t="n">
        <v>45909</v>
      </c>
      <c r="C333" s="1" t="n">
        <v>46026</v>
      </c>
      <c r="D333" t="inlineStr">
        <is>
          <t>VÄSTMANLANDS LÄN</t>
        </is>
      </c>
      <c r="E333" t="inlineStr">
        <is>
          <t>SALA</t>
        </is>
      </c>
      <c r="G333" t="n">
        <v>3.2</v>
      </c>
      <c r="H333" t="n">
        <v>0</v>
      </c>
      <c r="I333" t="n">
        <v>0</v>
      </c>
      <c r="J333" t="n">
        <v>0</v>
      </c>
      <c r="K333" t="n">
        <v>0</v>
      </c>
      <c r="L333" t="n">
        <v>0</v>
      </c>
      <c r="M333" t="n">
        <v>0</v>
      </c>
      <c r="N333" t="n">
        <v>0</v>
      </c>
      <c r="O333" t="n">
        <v>0</v>
      </c>
      <c r="P333" t="n">
        <v>0</v>
      </c>
      <c r="Q333" t="n">
        <v>0</v>
      </c>
      <c r="R333" s="2" t="inlineStr"/>
    </row>
    <row r="334" ht="15" customHeight="1">
      <c r="A334" t="inlineStr">
        <is>
          <t>A 60034-2024</t>
        </is>
      </c>
      <c r="B334" s="1" t="n">
        <v>45642.46261574074</v>
      </c>
      <c r="C334" s="1" t="n">
        <v>46026</v>
      </c>
      <c r="D334" t="inlineStr">
        <is>
          <t>VÄSTMANLANDS LÄN</t>
        </is>
      </c>
      <c r="E334" t="inlineStr">
        <is>
          <t>SALA</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3810-2023</t>
        </is>
      </c>
      <c r="B335" s="1" t="n">
        <v>44951.60454861111</v>
      </c>
      <c r="C335" s="1" t="n">
        <v>46026</v>
      </c>
      <c r="D335" t="inlineStr">
        <is>
          <t>VÄSTMANLANDS LÄN</t>
        </is>
      </c>
      <c r="E335" t="inlineStr">
        <is>
          <t>SALA</t>
        </is>
      </c>
      <c r="G335" t="n">
        <v>4.2</v>
      </c>
      <c r="H335" t="n">
        <v>0</v>
      </c>
      <c r="I335" t="n">
        <v>0</v>
      </c>
      <c r="J335" t="n">
        <v>0</v>
      </c>
      <c r="K335" t="n">
        <v>0</v>
      </c>
      <c r="L335" t="n">
        <v>0</v>
      </c>
      <c r="M335" t="n">
        <v>0</v>
      </c>
      <c r="N335" t="n">
        <v>0</v>
      </c>
      <c r="O335" t="n">
        <v>0</v>
      </c>
      <c r="P335" t="n">
        <v>0</v>
      </c>
      <c r="Q335" t="n">
        <v>0</v>
      </c>
      <c r="R335" s="2" t="inlineStr"/>
    </row>
    <row r="336" ht="15" customHeight="1">
      <c r="A336" t="inlineStr">
        <is>
          <t>A 52503-2024</t>
        </is>
      </c>
      <c r="B336" s="1" t="n">
        <v>45609.58806712963</v>
      </c>
      <c r="C336" s="1" t="n">
        <v>46026</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45371-2025</t>
        </is>
      </c>
      <c r="B337" s="1" t="n">
        <v>45922.39001157408</v>
      </c>
      <c r="C337" s="1" t="n">
        <v>46026</v>
      </c>
      <c r="D337" t="inlineStr">
        <is>
          <t>VÄSTMANLANDS LÄN</t>
        </is>
      </c>
      <c r="E337" t="inlineStr">
        <is>
          <t>SALA</t>
        </is>
      </c>
      <c r="G337" t="n">
        <v>2.1</v>
      </c>
      <c r="H337" t="n">
        <v>0</v>
      </c>
      <c r="I337" t="n">
        <v>0</v>
      </c>
      <c r="J337" t="n">
        <v>0</v>
      </c>
      <c r="K337" t="n">
        <v>0</v>
      </c>
      <c r="L337" t="n">
        <v>0</v>
      </c>
      <c r="M337" t="n">
        <v>0</v>
      </c>
      <c r="N337" t="n">
        <v>0</v>
      </c>
      <c r="O337" t="n">
        <v>0</v>
      </c>
      <c r="P337" t="n">
        <v>0</v>
      </c>
      <c r="Q337" t="n">
        <v>0</v>
      </c>
      <c r="R337" s="2" t="inlineStr"/>
    </row>
    <row r="338" ht="15" customHeight="1">
      <c r="A338" t="inlineStr">
        <is>
          <t>A 2521-2025</t>
        </is>
      </c>
      <c r="B338" s="1" t="n">
        <v>45674</v>
      </c>
      <c r="C338" s="1" t="n">
        <v>46026</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45177-2025</t>
        </is>
      </c>
      <c r="B339" s="1" t="n">
        <v>45919.52444444445</v>
      </c>
      <c r="C339" s="1" t="n">
        <v>46026</v>
      </c>
      <c r="D339" t="inlineStr">
        <is>
          <t>VÄSTMANLANDS LÄN</t>
        </is>
      </c>
      <c r="E339" t="inlineStr">
        <is>
          <t>SALA</t>
        </is>
      </c>
      <c r="G339" t="n">
        <v>2.4</v>
      </c>
      <c r="H339" t="n">
        <v>0</v>
      </c>
      <c r="I339" t="n">
        <v>0</v>
      </c>
      <c r="J339" t="n">
        <v>0</v>
      </c>
      <c r="K339" t="n">
        <v>0</v>
      </c>
      <c r="L339" t="n">
        <v>0</v>
      </c>
      <c r="M339" t="n">
        <v>0</v>
      </c>
      <c r="N339" t="n">
        <v>0</v>
      </c>
      <c r="O339" t="n">
        <v>0</v>
      </c>
      <c r="P339" t="n">
        <v>0</v>
      </c>
      <c r="Q339" t="n">
        <v>0</v>
      </c>
      <c r="R339" s="2" t="inlineStr"/>
    </row>
    <row r="340" ht="15" customHeight="1">
      <c r="A340" t="inlineStr">
        <is>
          <t>A 31000-2022</t>
        </is>
      </c>
      <c r="B340" s="1" t="n">
        <v>44768</v>
      </c>
      <c r="C340" s="1" t="n">
        <v>46026</v>
      </c>
      <c r="D340" t="inlineStr">
        <is>
          <t>VÄSTMANLANDS LÄN</t>
        </is>
      </c>
      <c r="E340" t="inlineStr">
        <is>
          <t>SALA</t>
        </is>
      </c>
      <c r="G340" t="n">
        <v>5.7</v>
      </c>
      <c r="H340" t="n">
        <v>0</v>
      </c>
      <c r="I340" t="n">
        <v>0</v>
      </c>
      <c r="J340" t="n">
        <v>0</v>
      </c>
      <c r="K340" t="n">
        <v>0</v>
      </c>
      <c r="L340" t="n">
        <v>0</v>
      </c>
      <c r="M340" t="n">
        <v>0</v>
      </c>
      <c r="N340" t="n">
        <v>0</v>
      </c>
      <c r="O340" t="n">
        <v>0</v>
      </c>
      <c r="P340" t="n">
        <v>0</v>
      </c>
      <c r="Q340" t="n">
        <v>0</v>
      </c>
      <c r="R340" s="2" t="inlineStr"/>
    </row>
    <row r="341" ht="15" customHeight="1">
      <c r="A341" t="inlineStr">
        <is>
          <t>A 34069-2025</t>
        </is>
      </c>
      <c r="B341" s="1" t="n">
        <v>45845.43560185185</v>
      </c>
      <c r="C341" s="1" t="n">
        <v>46026</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c r="U341">
        <f>HYPERLINK("https://klasma.github.io/Logging_1981/knärot/A 34069-2025 karta knärot.png", "A 34069-2025")</f>
        <v/>
      </c>
      <c r="V341">
        <f>HYPERLINK("https://klasma.github.io/Logging_1981/klagomål/A 34069-2025 FSC-klagomål.docx", "A 34069-2025")</f>
        <v/>
      </c>
      <c r="W341">
        <f>HYPERLINK("https://klasma.github.io/Logging_1981/klagomålsmail/A 34069-2025 FSC-klagomål mail.docx", "A 34069-2025")</f>
        <v/>
      </c>
      <c r="X341">
        <f>HYPERLINK("https://klasma.github.io/Logging_1981/tillsyn/A 34069-2025 tillsynsbegäran.docx", "A 34069-2025")</f>
        <v/>
      </c>
      <c r="Y341">
        <f>HYPERLINK("https://klasma.github.io/Logging_1981/tillsynsmail/A 34069-2025 tillsynsbegäran mail.docx", "A 34069-2025")</f>
        <v/>
      </c>
    </row>
    <row r="342" ht="15" customHeight="1">
      <c r="A342" t="inlineStr">
        <is>
          <t>A 45914-2025</t>
        </is>
      </c>
      <c r="B342" s="1" t="n">
        <v>45923.82582175926</v>
      </c>
      <c r="C342" s="1" t="n">
        <v>46026</v>
      </c>
      <c r="D342" t="inlineStr">
        <is>
          <t>VÄSTMANLANDS LÄN</t>
        </is>
      </c>
      <c r="E342" t="inlineStr">
        <is>
          <t>SALA</t>
        </is>
      </c>
      <c r="F342" t="inlineStr">
        <is>
          <t>Kommuner</t>
        </is>
      </c>
      <c r="G342" t="n">
        <v>18.2</v>
      </c>
      <c r="H342" t="n">
        <v>0</v>
      </c>
      <c r="I342" t="n">
        <v>0</v>
      </c>
      <c r="J342" t="n">
        <v>0</v>
      </c>
      <c r="K342" t="n">
        <v>0</v>
      </c>
      <c r="L342" t="n">
        <v>0</v>
      </c>
      <c r="M342" t="n">
        <v>0</v>
      </c>
      <c r="N342" t="n">
        <v>0</v>
      </c>
      <c r="O342" t="n">
        <v>0</v>
      </c>
      <c r="P342" t="n">
        <v>0</v>
      </c>
      <c r="Q342" t="n">
        <v>0</v>
      </c>
      <c r="R342" s="2" t="inlineStr"/>
    </row>
    <row r="343" ht="15" customHeight="1">
      <c r="A343" t="inlineStr">
        <is>
          <t>A 45909-2025</t>
        </is>
      </c>
      <c r="B343" s="1" t="n">
        <v>45923.75078703704</v>
      </c>
      <c r="C343" s="1" t="n">
        <v>46026</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46597-2025</t>
        </is>
      </c>
      <c r="B344" s="1" t="n">
        <v>45926.40113425926</v>
      </c>
      <c r="C344" s="1" t="n">
        <v>46026</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31950-2023</t>
        </is>
      </c>
      <c r="B345" s="1" t="n">
        <v>45107</v>
      </c>
      <c r="C345" s="1" t="n">
        <v>46026</v>
      </c>
      <c r="D345" t="inlineStr">
        <is>
          <t>VÄSTMANLANDS LÄN</t>
        </is>
      </c>
      <c r="E345" t="inlineStr">
        <is>
          <t>SALA</t>
        </is>
      </c>
      <c r="G345" t="n">
        <v>0.1</v>
      </c>
      <c r="H345" t="n">
        <v>0</v>
      </c>
      <c r="I345" t="n">
        <v>0</v>
      </c>
      <c r="J345" t="n">
        <v>0</v>
      </c>
      <c r="K345" t="n">
        <v>0</v>
      </c>
      <c r="L345" t="n">
        <v>0</v>
      </c>
      <c r="M345" t="n">
        <v>0</v>
      </c>
      <c r="N345" t="n">
        <v>0</v>
      </c>
      <c r="O345" t="n">
        <v>0</v>
      </c>
      <c r="P345" t="n">
        <v>0</v>
      </c>
      <c r="Q345" t="n">
        <v>0</v>
      </c>
      <c r="R345" s="2" t="inlineStr"/>
    </row>
    <row r="346" ht="15" customHeight="1">
      <c r="A346" t="inlineStr">
        <is>
          <t>A 16693-2023</t>
        </is>
      </c>
      <c r="B346" s="1" t="n">
        <v>45028</v>
      </c>
      <c r="C346" s="1" t="n">
        <v>46026</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23182-2022</t>
        </is>
      </c>
      <c r="B347" s="1" t="n">
        <v>44719.79707175926</v>
      </c>
      <c r="C347" s="1" t="n">
        <v>46026</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57371-2022</t>
        </is>
      </c>
      <c r="B348" s="1" t="n">
        <v>44896.43832175926</v>
      </c>
      <c r="C348" s="1" t="n">
        <v>46026</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46661-2025</t>
        </is>
      </c>
      <c r="B349" s="1" t="n">
        <v>45926</v>
      </c>
      <c r="C349" s="1" t="n">
        <v>46026</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15744-2025</t>
        </is>
      </c>
      <c r="B350" s="1" t="n">
        <v>45748</v>
      </c>
      <c r="C350" s="1" t="n">
        <v>46026</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56548-2024</t>
        </is>
      </c>
      <c r="B351" s="1" t="n">
        <v>45625</v>
      </c>
      <c r="C351" s="1" t="n">
        <v>46026</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47086-2022</t>
        </is>
      </c>
      <c r="B352" s="1" t="n">
        <v>44852</v>
      </c>
      <c r="C352" s="1" t="n">
        <v>46026</v>
      </c>
      <c r="D352" t="inlineStr">
        <is>
          <t>VÄSTMANLANDS LÄN</t>
        </is>
      </c>
      <c r="E352" t="inlineStr">
        <is>
          <t>SALA</t>
        </is>
      </c>
      <c r="G352" t="n">
        <v>12.5</v>
      </c>
      <c r="H352" t="n">
        <v>0</v>
      </c>
      <c r="I352" t="n">
        <v>0</v>
      </c>
      <c r="J352" t="n">
        <v>0</v>
      </c>
      <c r="K352" t="n">
        <v>0</v>
      </c>
      <c r="L352" t="n">
        <v>0</v>
      </c>
      <c r="M352" t="n">
        <v>0</v>
      </c>
      <c r="N352" t="n">
        <v>0</v>
      </c>
      <c r="O352" t="n">
        <v>0</v>
      </c>
      <c r="P352" t="n">
        <v>0</v>
      </c>
      <c r="Q352" t="n">
        <v>0</v>
      </c>
      <c r="R352" s="2" t="inlineStr"/>
    </row>
    <row r="353" ht="15" customHeight="1">
      <c r="A353" t="inlineStr">
        <is>
          <t>A 46915-2025</t>
        </is>
      </c>
      <c r="B353" s="1" t="n">
        <v>45929.42114583333</v>
      </c>
      <c r="C353" s="1" t="n">
        <v>46026</v>
      </c>
      <c r="D353" t="inlineStr">
        <is>
          <t>VÄSTMANLANDS LÄN</t>
        </is>
      </c>
      <c r="E353" t="inlineStr">
        <is>
          <t>SALA</t>
        </is>
      </c>
      <c r="G353" t="n">
        <v>1.5</v>
      </c>
      <c r="H353" t="n">
        <v>0</v>
      </c>
      <c r="I353" t="n">
        <v>0</v>
      </c>
      <c r="J353" t="n">
        <v>0</v>
      </c>
      <c r="K353" t="n">
        <v>0</v>
      </c>
      <c r="L353" t="n">
        <v>0</v>
      </c>
      <c r="M353" t="n">
        <v>0</v>
      </c>
      <c r="N353" t="n">
        <v>0</v>
      </c>
      <c r="O353" t="n">
        <v>0</v>
      </c>
      <c r="P353" t="n">
        <v>0</v>
      </c>
      <c r="Q353" t="n">
        <v>0</v>
      </c>
      <c r="R353" s="2" t="inlineStr"/>
    </row>
    <row r="354" ht="15" customHeight="1">
      <c r="A354" t="inlineStr">
        <is>
          <t>A 48057-2025</t>
        </is>
      </c>
      <c r="B354" s="1" t="n">
        <v>45932.67947916667</v>
      </c>
      <c r="C354" s="1" t="n">
        <v>46026</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47577-2025</t>
        </is>
      </c>
      <c r="B355" s="1" t="n">
        <v>45931.4047337963</v>
      </c>
      <c r="C355" s="1" t="n">
        <v>46026</v>
      </c>
      <c r="D355" t="inlineStr">
        <is>
          <t>VÄSTMANLANDS LÄN</t>
        </is>
      </c>
      <c r="E355" t="inlineStr">
        <is>
          <t>SALA</t>
        </is>
      </c>
      <c r="G355" t="n">
        <v>3.7</v>
      </c>
      <c r="H355" t="n">
        <v>0</v>
      </c>
      <c r="I355" t="n">
        <v>0</v>
      </c>
      <c r="J355" t="n">
        <v>0</v>
      </c>
      <c r="K355" t="n">
        <v>0</v>
      </c>
      <c r="L355" t="n">
        <v>0</v>
      </c>
      <c r="M355" t="n">
        <v>0</v>
      </c>
      <c r="N355" t="n">
        <v>0</v>
      </c>
      <c r="O355" t="n">
        <v>0</v>
      </c>
      <c r="P355" t="n">
        <v>0</v>
      </c>
      <c r="Q355" t="n">
        <v>0</v>
      </c>
      <c r="R355" s="2" t="inlineStr"/>
    </row>
    <row r="356" ht="15" customHeight="1">
      <c r="A356" t="inlineStr">
        <is>
          <t>A 988-2025</t>
        </is>
      </c>
      <c r="B356" s="1" t="n">
        <v>45666.44038194444</v>
      </c>
      <c r="C356" s="1" t="n">
        <v>46026</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5032-2025</t>
        </is>
      </c>
      <c r="B357" s="1" t="n">
        <v>45691</v>
      </c>
      <c r="C357" s="1" t="n">
        <v>46026</v>
      </c>
      <c r="D357" t="inlineStr">
        <is>
          <t>VÄSTMANLANDS LÄN</t>
        </is>
      </c>
      <c r="E357" t="inlineStr">
        <is>
          <t>SALA</t>
        </is>
      </c>
      <c r="G357" t="n">
        <v>0.9</v>
      </c>
      <c r="H357" t="n">
        <v>0</v>
      </c>
      <c r="I357" t="n">
        <v>0</v>
      </c>
      <c r="J357" t="n">
        <v>0</v>
      </c>
      <c r="K357" t="n">
        <v>0</v>
      </c>
      <c r="L357" t="n">
        <v>0</v>
      </c>
      <c r="M357" t="n">
        <v>0</v>
      </c>
      <c r="N357" t="n">
        <v>0</v>
      </c>
      <c r="O357" t="n">
        <v>0</v>
      </c>
      <c r="P357" t="n">
        <v>0</v>
      </c>
      <c r="Q357" t="n">
        <v>0</v>
      </c>
      <c r="R357" s="2" t="inlineStr"/>
    </row>
    <row r="358" ht="15" customHeight="1">
      <c r="A358" t="inlineStr">
        <is>
          <t>A 48710-2025</t>
        </is>
      </c>
      <c r="B358" s="1" t="n">
        <v>45936.63184027778</v>
      </c>
      <c r="C358" s="1" t="n">
        <v>46026</v>
      </c>
      <c r="D358" t="inlineStr">
        <is>
          <t>VÄSTMANLANDS LÄN</t>
        </is>
      </c>
      <c r="E358" t="inlineStr">
        <is>
          <t>SALA</t>
        </is>
      </c>
      <c r="G358" t="n">
        <v>2.7</v>
      </c>
      <c r="H358" t="n">
        <v>0</v>
      </c>
      <c r="I358" t="n">
        <v>0</v>
      </c>
      <c r="J358" t="n">
        <v>0</v>
      </c>
      <c r="K358" t="n">
        <v>0</v>
      </c>
      <c r="L358" t="n">
        <v>0</v>
      </c>
      <c r="M358" t="n">
        <v>0</v>
      </c>
      <c r="N358" t="n">
        <v>0</v>
      </c>
      <c r="O358" t="n">
        <v>0</v>
      </c>
      <c r="P358" t="n">
        <v>0</v>
      </c>
      <c r="Q358" t="n">
        <v>0</v>
      </c>
      <c r="R358" s="2" t="inlineStr"/>
    </row>
    <row r="359" ht="15" customHeight="1">
      <c r="A359" t="inlineStr">
        <is>
          <t>A 66908-2021</t>
        </is>
      </c>
      <c r="B359" s="1" t="n">
        <v>44522</v>
      </c>
      <c r="C359" s="1" t="n">
        <v>46026</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11696-2025</t>
        </is>
      </c>
      <c r="B360" s="1" t="n">
        <v>45727</v>
      </c>
      <c r="C360" s="1" t="n">
        <v>46026</v>
      </c>
      <c r="D360" t="inlineStr">
        <is>
          <t>VÄSTMANLANDS LÄN</t>
        </is>
      </c>
      <c r="E360" t="inlineStr">
        <is>
          <t>SALA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46026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13746-2025</t>
        </is>
      </c>
      <c r="B362" s="1" t="n">
        <v>45737.40944444444</v>
      </c>
      <c r="C362" s="1" t="n">
        <v>46026</v>
      </c>
      <c r="D362" t="inlineStr">
        <is>
          <t>VÄSTMANLANDS LÄN</t>
        </is>
      </c>
      <c r="E362" t="inlineStr">
        <is>
          <t>SALA</t>
        </is>
      </c>
      <c r="G362" t="n">
        <v>2.1</v>
      </c>
      <c r="H362" t="n">
        <v>0</v>
      </c>
      <c r="I362" t="n">
        <v>0</v>
      </c>
      <c r="J362" t="n">
        <v>0</v>
      </c>
      <c r="K362" t="n">
        <v>0</v>
      </c>
      <c r="L362" t="n">
        <v>0</v>
      </c>
      <c r="M362" t="n">
        <v>0</v>
      </c>
      <c r="N362" t="n">
        <v>0</v>
      </c>
      <c r="O362" t="n">
        <v>0</v>
      </c>
      <c r="P362" t="n">
        <v>0</v>
      </c>
      <c r="Q362" t="n">
        <v>0</v>
      </c>
      <c r="R362" s="2" t="inlineStr"/>
    </row>
    <row r="363" ht="15" customHeight="1">
      <c r="A363" t="inlineStr">
        <is>
          <t>A 48910-2025</t>
        </is>
      </c>
      <c r="B363" s="1" t="n">
        <v>45937.48649305556</v>
      </c>
      <c r="C363" s="1" t="n">
        <v>46026</v>
      </c>
      <c r="D363" t="inlineStr">
        <is>
          <t>VÄSTMANLANDS LÄN</t>
        </is>
      </c>
      <c r="E363" t="inlineStr">
        <is>
          <t>SALA</t>
        </is>
      </c>
      <c r="G363" t="n">
        <v>7.8</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46026</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49640-2025</t>
        </is>
      </c>
      <c r="B365" s="1" t="n">
        <v>45939.61459490741</v>
      </c>
      <c r="C365" s="1" t="n">
        <v>46026</v>
      </c>
      <c r="D365" t="inlineStr">
        <is>
          <t>VÄSTMANLANDS LÄN</t>
        </is>
      </c>
      <c r="E365" t="inlineStr">
        <is>
          <t>SALA</t>
        </is>
      </c>
      <c r="F365" t="inlineStr">
        <is>
          <t>Kommuner</t>
        </is>
      </c>
      <c r="G365" t="n">
        <v>18.8</v>
      </c>
      <c r="H365" t="n">
        <v>0</v>
      </c>
      <c r="I365" t="n">
        <v>0</v>
      </c>
      <c r="J365" t="n">
        <v>0</v>
      </c>
      <c r="K365" t="n">
        <v>0</v>
      </c>
      <c r="L365" t="n">
        <v>0</v>
      </c>
      <c r="M365" t="n">
        <v>0</v>
      </c>
      <c r="N365" t="n">
        <v>0</v>
      </c>
      <c r="O365" t="n">
        <v>0</v>
      </c>
      <c r="P365" t="n">
        <v>0</v>
      </c>
      <c r="Q365" t="n">
        <v>0</v>
      </c>
      <c r="R365" s="2" t="inlineStr"/>
    </row>
    <row r="366" ht="15" customHeight="1">
      <c r="A366" t="inlineStr">
        <is>
          <t>A 23222-2023</t>
        </is>
      </c>
      <c r="B366" s="1" t="n">
        <v>45075</v>
      </c>
      <c r="C366" s="1" t="n">
        <v>46026</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23224-2023</t>
        </is>
      </c>
      <c r="B367" s="1" t="n">
        <v>45075.65040509259</v>
      </c>
      <c r="C367" s="1" t="n">
        <v>46026</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50479-2022</t>
        </is>
      </c>
      <c r="B368" s="1" t="n">
        <v>44861</v>
      </c>
      <c r="C368" s="1" t="n">
        <v>46026</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14919-2025</t>
        </is>
      </c>
      <c r="B369" s="1" t="n">
        <v>45743.54256944444</v>
      </c>
      <c r="C369" s="1" t="n">
        <v>46026</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14920-2025</t>
        </is>
      </c>
      <c r="B370" s="1" t="n">
        <v>45743</v>
      </c>
      <c r="C370" s="1" t="n">
        <v>46026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49585-2025</t>
        </is>
      </c>
      <c r="B371" s="1" t="n">
        <v>45939.5043287037</v>
      </c>
      <c r="C371" s="1" t="n">
        <v>46026</v>
      </c>
      <c r="D371" t="inlineStr">
        <is>
          <t>VÄSTMANLANDS LÄN</t>
        </is>
      </c>
      <c r="E371" t="inlineStr">
        <is>
          <t>SALA</t>
        </is>
      </c>
      <c r="G371" t="n">
        <v>2.2</v>
      </c>
      <c r="H371" t="n">
        <v>0</v>
      </c>
      <c r="I371" t="n">
        <v>0</v>
      </c>
      <c r="J371" t="n">
        <v>0</v>
      </c>
      <c r="K371" t="n">
        <v>0</v>
      </c>
      <c r="L371" t="n">
        <v>0</v>
      </c>
      <c r="M371" t="n">
        <v>0</v>
      </c>
      <c r="N371" t="n">
        <v>0</v>
      </c>
      <c r="O371" t="n">
        <v>0</v>
      </c>
      <c r="P371" t="n">
        <v>0</v>
      </c>
      <c r="Q371" t="n">
        <v>0</v>
      </c>
      <c r="R371" s="2" t="inlineStr"/>
    </row>
    <row r="372" ht="15" customHeight="1">
      <c r="A372" t="inlineStr">
        <is>
          <t>A 58282-2025</t>
        </is>
      </c>
      <c r="B372" s="1" t="n">
        <v>45985.44309027777</v>
      </c>
      <c r="C372" s="1" t="n">
        <v>46026</v>
      </c>
      <c r="D372" t="inlineStr">
        <is>
          <t>VÄSTMANLANDS LÄN</t>
        </is>
      </c>
      <c r="E372" t="inlineStr">
        <is>
          <t>SALA</t>
        </is>
      </c>
      <c r="G372" t="n">
        <v>8.9</v>
      </c>
      <c r="H372" t="n">
        <v>0</v>
      </c>
      <c r="I372" t="n">
        <v>0</v>
      </c>
      <c r="J372" t="n">
        <v>0</v>
      </c>
      <c r="K372" t="n">
        <v>0</v>
      </c>
      <c r="L372" t="n">
        <v>0</v>
      </c>
      <c r="M372" t="n">
        <v>0</v>
      </c>
      <c r="N372" t="n">
        <v>0</v>
      </c>
      <c r="O372" t="n">
        <v>0</v>
      </c>
      <c r="P372" t="n">
        <v>0</v>
      </c>
      <c r="Q372" t="n">
        <v>0</v>
      </c>
      <c r="R372" s="2" t="inlineStr"/>
    </row>
    <row r="373" ht="15" customHeight="1">
      <c r="A373" t="inlineStr">
        <is>
          <t>A 35715-2025</t>
        </is>
      </c>
      <c r="B373" s="1" t="n">
        <v>45860.42148148148</v>
      </c>
      <c r="C373" s="1" t="n">
        <v>46026</v>
      </c>
      <c r="D373" t="inlineStr">
        <is>
          <t>VÄSTMANLANDS LÄN</t>
        </is>
      </c>
      <c r="E373" t="inlineStr">
        <is>
          <t>SALA</t>
        </is>
      </c>
      <c r="G373" t="n">
        <v>3.8</v>
      </c>
      <c r="H373" t="n">
        <v>0</v>
      </c>
      <c r="I373" t="n">
        <v>0</v>
      </c>
      <c r="J373" t="n">
        <v>0</v>
      </c>
      <c r="K373" t="n">
        <v>0</v>
      </c>
      <c r="L373" t="n">
        <v>0</v>
      </c>
      <c r="M373" t="n">
        <v>0</v>
      </c>
      <c r="N373" t="n">
        <v>0</v>
      </c>
      <c r="O373" t="n">
        <v>0</v>
      </c>
      <c r="P373" t="n">
        <v>0</v>
      </c>
      <c r="Q373" t="n">
        <v>0</v>
      </c>
      <c r="R373" s="2" t="inlineStr"/>
    </row>
    <row r="374" ht="15" customHeight="1">
      <c r="A374" t="inlineStr">
        <is>
          <t>A 13855-2023</t>
        </is>
      </c>
      <c r="B374" s="1" t="n">
        <v>45007</v>
      </c>
      <c r="C374" s="1" t="n">
        <v>46026</v>
      </c>
      <c r="D374" t="inlineStr">
        <is>
          <t>VÄSTMANLANDS LÄN</t>
        </is>
      </c>
      <c r="E374" t="inlineStr">
        <is>
          <t>SALA</t>
        </is>
      </c>
      <c r="G374" t="n">
        <v>2.9</v>
      </c>
      <c r="H374" t="n">
        <v>0</v>
      </c>
      <c r="I374" t="n">
        <v>0</v>
      </c>
      <c r="J374" t="n">
        <v>0</v>
      </c>
      <c r="K374" t="n">
        <v>0</v>
      </c>
      <c r="L374" t="n">
        <v>0</v>
      </c>
      <c r="M374" t="n">
        <v>0</v>
      </c>
      <c r="N374" t="n">
        <v>0</v>
      </c>
      <c r="O374" t="n">
        <v>0</v>
      </c>
      <c r="P374" t="n">
        <v>0</v>
      </c>
      <c r="Q374" t="n">
        <v>0</v>
      </c>
      <c r="R374" s="2" t="inlineStr"/>
    </row>
    <row r="375" ht="15" customHeight="1">
      <c r="A375" t="inlineStr">
        <is>
          <t>A 58357-2025</t>
        </is>
      </c>
      <c r="B375" s="1" t="n">
        <v>45985.51518518518</v>
      </c>
      <c r="C375" s="1" t="n">
        <v>46026</v>
      </c>
      <c r="D375" t="inlineStr">
        <is>
          <t>VÄSTMANLANDS LÄN</t>
        </is>
      </c>
      <c r="E375" t="inlineStr">
        <is>
          <t>SALA</t>
        </is>
      </c>
      <c r="G375" t="n">
        <v>3</v>
      </c>
      <c r="H375" t="n">
        <v>0</v>
      </c>
      <c r="I375" t="n">
        <v>0</v>
      </c>
      <c r="J375" t="n">
        <v>0</v>
      </c>
      <c r="K375" t="n">
        <v>0</v>
      </c>
      <c r="L375" t="n">
        <v>0</v>
      </c>
      <c r="M375" t="n">
        <v>0</v>
      </c>
      <c r="N375" t="n">
        <v>0</v>
      </c>
      <c r="O375" t="n">
        <v>0</v>
      </c>
      <c r="P375" t="n">
        <v>0</v>
      </c>
      <c r="Q375" t="n">
        <v>0</v>
      </c>
      <c r="R375" s="2" t="inlineStr"/>
    </row>
    <row r="376" ht="15" customHeight="1">
      <c r="A376" t="inlineStr">
        <is>
          <t>A 58364-2025</t>
        </is>
      </c>
      <c r="B376" s="1" t="n">
        <v>45985.5228125</v>
      </c>
      <c r="C376" s="1" t="n">
        <v>46026</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35651-2025</t>
        </is>
      </c>
      <c r="B377" s="1" t="n">
        <v>45859.52435185185</v>
      </c>
      <c r="C377" s="1" t="n">
        <v>46026</v>
      </c>
      <c r="D377" t="inlineStr">
        <is>
          <t>VÄSTMANLANDS LÄN</t>
        </is>
      </c>
      <c r="E377" t="inlineStr">
        <is>
          <t>SALA</t>
        </is>
      </c>
      <c r="G377" t="n">
        <v>6.3</v>
      </c>
      <c r="H377" t="n">
        <v>0</v>
      </c>
      <c r="I377" t="n">
        <v>0</v>
      </c>
      <c r="J377" t="n">
        <v>0</v>
      </c>
      <c r="K377" t="n">
        <v>0</v>
      </c>
      <c r="L377" t="n">
        <v>0</v>
      </c>
      <c r="M377" t="n">
        <v>0</v>
      </c>
      <c r="N377" t="n">
        <v>0</v>
      </c>
      <c r="O377" t="n">
        <v>0</v>
      </c>
      <c r="P377" t="n">
        <v>0</v>
      </c>
      <c r="Q377" t="n">
        <v>0</v>
      </c>
      <c r="R377" s="2" t="inlineStr"/>
    </row>
    <row r="378" ht="15" customHeight="1">
      <c r="A378" t="inlineStr">
        <is>
          <t>A 35775-2025</t>
        </is>
      </c>
      <c r="B378" s="1" t="n">
        <v>45860</v>
      </c>
      <c r="C378" s="1" t="n">
        <v>46026</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35774-2025</t>
        </is>
      </c>
      <c r="B379" s="1" t="n">
        <v>45860.68780092592</v>
      </c>
      <c r="C379" s="1" t="n">
        <v>46026</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35776-2025</t>
        </is>
      </c>
      <c r="B380" s="1" t="n">
        <v>45860.69211805556</v>
      </c>
      <c r="C380" s="1" t="n">
        <v>46026</v>
      </c>
      <c r="D380" t="inlineStr">
        <is>
          <t>VÄSTMANLANDS LÄN</t>
        </is>
      </c>
      <c r="E380" t="inlineStr">
        <is>
          <t>SALA</t>
        </is>
      </c>
      <c r="G380" t="n">
        <v>14.2</v>
      </c>
      <c r="H380" t="n">
        <v>0</v>
      </c>
      <c r="I380" t="n">
        <v>0</v>
      </c>
      <c r="J380" t="n">
        <v>0</v>
      </c>
      <c r="K380" t="n">
        <v>0</v>
      </c>
      <c r="L380" t="n">
        <v>0</v>
      </c>
      <c r="M380" t="n">
        <v>0</v>
      </c>
      <c r="N380" t="n">
        <v>0</v>
      </c>
      <c r="O380" t="n">
        <v>0</v>
      </c>
      <c r="P380" t="n">
        <v>0</v>
      </c>
      <c r="Q380" t="n">
        <v>0</v>
      </c>
      <c r="R380" s="2" t="inlineStr"/>
    </row>
    <row r="381" ht="15" customHeight="1">
      <c r="A381" t="inlineStr">
        <is>
          <t>A 35779-2025</t>
        </is>
      </c>
      <c r="B381" s="1" t="n">
        <v>45860.69495370371</v>
      </c>
      <c r="C381" s="1" t="n">
        <v>46026</v>
      </c>
      <c r="D381" t="inlineStr">
        <is>
          <t>VÄSTMANLANDS LÄN</t>
        </is>
      </c>
      <c r="E381" t="inlineStr">
        <is>
          <t>SALA</t>
        </is>
      </c>
      <c r="G381" t="n">
        <v>2.4</v>
      </c>
      <c r="H381" t="n">
        <v>0</v>
      </c>
      <c r="I381" t="n">
        <v>0</v>
      </c>
      <c r="J381" t="n">
        <v>0</v>
      </c>
      <c r="K381" t="n">
        <v>0</v>
      </c>
      <c r="L381" t="n">
        <v>0</v>
      </c>
      <c r="M381" t="n">
        <v>0</v>
      </c>
      <c r="N381" t="n">
        <v>0</v>
      </c>
      <c r="O381" t="n">
        <v>0</v>
      </c>
      <c r="P381" t="n">
        <v>0</v>
      </c>
      <c r="Q381" t="n">
        <v>0</v>
      </c>
      <c r="R381" s="2" t="inlineStr"/>
    </row>
    <row r="382" ht="15" customHeight="1">
      <c r="A382" t="inlineStr">
        <is>
          <t>A 50128-2025</t>
        </is>
      </c>
      <c r="B382" s="1" t="n">
        <v>45943.55318287037</v>
      </c>
      <c r="C382" s="1" t="n">
        <v>46026</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18877-2023</t>
        </is>
      </c>
      <c r="B383" s="1" t="n">
        <v>45044</v>
      </c>
      <c r="C383" s="1" t="n">
        <v>46026</v>
      </c>
      <c r="D383" t="inlineStr">
        <is>
          <t>VÄSTMANLANDS LÄN</t>
        </is>
      </c>
      <c r="E383" t="inlineStr">
        <is>
          <t>SALA</t>
        </is>
      </c>
      <c r="F383" t="inlineStr">
        <is>
          <t>Kommuner</t>
        </is>
      </c>
      <c r="G383" t="n">
        <v>4.4</v>
      </c>
      <c r="H383" t="n">
        <v>0</v>
      </c>
      <c r="I383" t="n">
        <v>0</v>
      </c>
      <c r="J383" t="n">
        <v>0</v>
      </c>
      <c r="K383" t="n">
        <v>0</v>
      </c>
      <c r="L383" t="n">
        <v>0</v>
      </c>
      <c r="M383" t="n">
        <v>0</v>
      </c>
      <c r="N383" t="n">
        <v>0</v>
      </c>
      <c r="O383" t="n">
        <v>0</v>
      </c>
      <c r="P383" t="n">
        <v>0</v>
      </c>
      <c r="Q383" t="n">
        <v>0</v>
      </c>
      <c r="R383" s="2" t="inlineStr"/>
    </row>
    <row r="384" ht="15" customHeight="1">
      <c r="A384" t="inlineStr">
        <is>
          <t>A 55556-2023</t>
        </is>
      </c>
      <c r="B384" s="1" t="n">
        <v>45232</v>
      </c>
      <c r="C384" s="1" t="n">
        <v>46026</v>
      </c>
      <c r="D384" t="inlineStr">
        <is>
          <t>VÄSTMANLANDS LÄN</t>
        </is>
      </c>
      <c r="E384" t="inlineStr">
        <is>
          <t>SALA</t>
        </is>
      </c>
      <c r="G384" t="n">
        <v>1.3</v>
      </c>
      <c r="H384" t="n">
        <v>0</v>
      </c>
      <c r="I384" t="n">
        <v>0</v>
      </c>
      <c r="J384" t="n">
        <v>0</v>
      </c>
      <c r="K384" t="n">
        <v>0</v>
      </c>
      <c r="L384" t="n">
        <v>0</v>
      </c>
      <c r="M384" t="n">
        <v>0</v>
      </c>
      <c r="N384" t="n">
        <v>0</v>
      </c>
      <c r="O384" t="n">
        <v>0</v>
      </c>
      <c r="P384" t="n">
        <v>0</v>
      </c>
      <c r="Q384" t="n">
        <v>0</v>
      </c>
      <c r="R384" s="2" t="inlineStr"/>
    </row>
    <row r="385" ht="15" customHeight="1">
      <c r="A385" t="inlineStr">
        <is>
          <t>A 34494-2023</t>
        </is>
      </c>
      <c r="B385" s="1" t="n">
        <v>45133</v>
      </c>
      <c r="C385" s="1" t="n">
        <v>46026</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58359-2025</t>
        </is>
      </c>
      <c r="B386" s="1" t="n">
        <v>45985.51594907408</v>
      </c>
      <c r="C386" s="1" t="n">
        <v>46026</v>
      </c>
      <c r="D386" t="inlineStr">
        <is>
          <t>VÄSTMANLANDS LÄN</t>
        </is>
      </c>
      <c r="E386" t="inlineStr">
        <is>
          <t>SALA</t>
        </is>
      </c>
      <c r="G386" t="n">
        <v>3.7</v>
      </c>
      <c r="H386" t="n">
        <v>0</v>
      </c>
      <c r="I386" t="n">
        <v>0</v>
      </c>
      <c r="J386" t="n">
        <v>0</v>
      </c>
      <c r="K386" t="n">
        <v>0</v>
      </c>
      <c r="L386" t="n">
        <v>0</v>
      </c>
      <c r="M386" t="n">
        <v>0</v>
      </c>
      <c r="N386" t="n">
        <v>0</v>
      </c>
      <c r="O386" t="n">
        <v>0</v>
      </c>
      <c r="P386" t="n">
        <v>0</v>
      </c>
      <c r="Q386" t="n">
        <v>0</v>
      </c>
      <c r="R386" s="2" t="inlineStr"/>
    </row>
    <row r="387" ht="15" customHeight="1">
      <c r="A387" t="inlineStr">
        <is>
          <t>A 36049-2025</t>
        </is>
      </c>
      <c r="B387" s="1" t="n">
        <v>45866.37065972222</v>
      </c>
      <c r="C387" s="1" t="n">
        <v>46026</v>
      </c>
      <c r="D387" t="inlineStr">
        <is>
          <t>VÄSTMANLANDS LÄN</t>
        </is>
      </c>
      <c r="E387" t="inlineStr">
        <is>
          <t>SALA</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13752-2025</t>
        </is>
      </c>
      <c r="B388" s="1" t="n">
        <v>45737.41416666667</v>
      </c>
      <c r="C388" s="1" t="n">
        <v>46026</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58365-2025</t>
        </is>
      </c>
      <c r="B389" s="1" t="n">
        <v>45985.52288194445</v>
      </c>
      <c r="C389" s="1" t="n">
        <v>46026</v>
      </c>
      <c r="D389" t="inlineStr">
        <is>
          <t>VÄSTMANLANDS LÄN</t>
        </is>
      </c>
      <c r="E389" t="inlineStr">
        <is>
          <t>SALA</t>
        </is>
      </c>
      <c r="G389" t="n">
        <v>3.9</v>
      </c>
      <c r="H389" t="n">
        <v>0</v>
      </c>
      <c r="I389" t="n">
        <v>0</v>
      </c>
      <c r="J389" t="n">
        <v>0</v>
      </c>
      <c r="K389" t="n">
        <v>0</v>
      </c>
      <c r="L389" t="n">
        <v>0</v>
      </c>
      <c r="M389" t="n">
        <v>0</v>
      </c>
      <c r="N389" t="n">
        <v>0</v>
      </c>
      <c r="O389" t="n">
        <v>0</v>
      </c>
      <c r="P389" t="n">
        <v>0</v>
      </c>
      <c r="Q389" t="n">
        <v>0</v>
      </c>
      <c r="R389" s="2" t="inlineStr"/>
    </row>
    <row r="390" ht="15" customHeight="1">
      <c r="A390" t="inlineStr">
        <is>
          <t>A 50249-2025</t>
        </is>
      </c>
      <c r="B390" s="1" t="n">
        <v>45944.31508101852</v>
      </c>
      <c r="C390" s="1" t="n">
        <v>46026</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36031-2025</t>
        </is>
      </c>
      <c r="B391" s="1" t="n">
        <v>45865.46111111111</v>
      </c>
      <c r="C391" s="1" t="n">
        <v>46026</v>
      </c>
      <c r="D391" t="inlineStr">
        <is>
          <t>VÄSTMANLANDS LÄN</t>
        </is>
      </c>
      <c r="E391" t="inlineStr">
        <is>
          <t>SALA</t>
        </is>
      </c>
      <c r="G391" t="n">
        <v>7.2</v>
      </c>
      <c r="H391" t="n">
        <v>0</v>
      </c>
      <c r="I391" t="n">
        <v>0</v>
      </c>
      <c r="J391" t="n">
        <v>0</v>
      </c>
      <c r="K391" t="n">
        <v>0</v>
      </c>
      <c r="L391" t="n">
        <v>0</v>
      </c>
      <c r="M391" t="n">
        <v>0</v>
      </c>
      <c r="N391" t="n">
        <v>0</v>
      </c>
      <c r="O391" t="n">
        <v>0</v>
      </c>
      <c r="P391" t="n">
        <v>0</v>
      </c>
      <c r="Q391" t="n">
        <v>0</v>
      </c>
      <c r="R391" s="2" t="inlineStr"/>
    </row>
    <row r="392" ht="15" customHeight="1">
      <c r="A392" t="inlineStr">
        <is>
          <t>A 36060-2025</t>
        </is>
      </c>
      <c r="B392" s="1" t="n">
        <v>45866.39469907407</v>
      </c>
      <c r="C392" s="1" t="n">
        <v>46026</v>
      </c>
      <c r="D392" t="inlineStr">
        <is>
          <t>VÄSTMANLANDS LÄN</t>
        </is>
      </c>
      <c r="E392" t="inlineStr">
        <is>
          <t>SALA</t>
        </is>
      </c>
      <c r="F392" t="inlineStr">
        <is>
          <t>Kommuner</t>
        </is>
      </c>
      <c r="G392" t="n">
        <v>4.3</v>
      </c>
      <c r="H392" t="n">
        <v>0</v>
      </c>
      <c r="I392" t="n">
        <v>0</v>
      </c>
      <c r="J392" t="n">
        <v>0</v>
      </c>
      <c r="K392" t="n">
        <v>0</v>
      </c>
      <c r="L392" t="n">
        <v>0</v>
      </c>
      <c r="M392" t="n">
        <v>0</v>
      </c>
      <c r="N392" t="n">
        <v>0</v>
      </c>
      <c r="O392" t="n">
        <v>0</v>
      </c>
      <c r="P392" t="n">
        <v>0</v>
      </c>
      <c r="Q392" t="n">
        <v>0</v>
      </c>
      <c r="R392" s="2" t="inlineStr"/>
    </row>
    <row r="393" ht="15" customHeight="1">
      <c r="A393" t="inlineStr">
        <is>
          <t>A 50119-2025</t>
        </is>
      </c>
      <c r="B393" s="1" t="n">
        <v>45943.54883101852</v>
      </c>
      <c r="C393" s="1" t="n">
        <v>46026</v>
      </c>
      <c r="D393" t="inlineStr">
        <is>
          <t>VÄSTMANLANDS LÄN</t>
        </is>
      </c>
      <c r="E393" t="inlineStr">
        <is>
          <t>SALA</t>
        </is>
      </c>
      <c r="G393" t="n">
        <v>3.3</v>
      </c>
      <c r="H393" t="n">
        <v>0</v>
      </c>
      <c r="I393" t="n">
        <v>0</v>
      </c>
      <c r="J393" t="n">
        <v>0</v>
      </c>
      <c r="K393" t="n">
        <v>0</v>
      </c>
      <c r="L393" t="n">
        <v>0</v>
      </c>
      <c r="M393" t="n">
        <v>0</v>
      </c>
      <c r="N393" t="n">
        <v>0</v>
      </c>
      <c r="O393" t="n">
        <v>0</v>
      </c>
      <c r="P393" t="n">
        <v>0</v>
      </c>
      <c r="Q393" t="n">
        <v>0</v>
      </c>
      <c r="R393" s="2" t="inlineStr"/>
    </row>
    <row r="394" ht="15" customHeight="1">
      <c r="A394" t="inlineStr">
        <is>
          <t>A 19398-2025</t>
        </is>
      </c>
      <c r="B394" s="1" t="n">
        <v>45769</v>
      </c>
      <c r="C394" s="1" t="n">
        <v>46026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50059-2025</t>
        </is>
      </c>
      <c r="B395" s="1" t="n">
        <v>45943.44125</v>
      </c>
      <c r="C395" s="1" t="n">
        <v>46026</v>
      </c>
      <c r="D395" t="inlineStr">
        <is>
          <t>VÄSTMANLANDS LÄN</t>
        </is>
      </c>
      <c r="E395" t="inlineStr">
        <is>
          <t>SALA</t>
        </is>
      </c>
      <c r="G395" t="n">
        <v>4.4</v>
      </c>
      <c r="H395" t="n">
        <v>0</v>
      </c>
      <c r="I395" t="n">
        <v>0</v>
      </c>
      <c r="J395" t="n">
        <v>0</v>
      </c>
      <c r="K395" t="n">
        <v>0</v>
      </c>
      <c r="L395" t="n">
        <v>0</v>
      </c>
      <c r="M395" t="n">
        <v>0</v>
      </c>
      <c r="N395" t="n">
        <v>0</v>
      </c>
      <c r="O395" t="n">
        <v>0</v>
      </c>
      <c r="P395" t="n">
        <v>0</v>
      </c>
      <c r="Q395" t="n">
        <v>0</v>
      </c>
      <c r="R395" s="2" t="inlineStr"/>
    </row>
    <row r="396" ht="15" customHeight="1">
      <c r="A396" t="inlineStr">
        <is>
          <t>A 36032-2025</t>
        </is>
      </c>
      <c r="B396" s="1" t="n">
        <v>45865.48740740741</v>
      </c>
      <c r="C396" s="1" t="n">
        <v>46026</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36043-2025</t>
        </is>
      </c>
      <c r="B397" s="1" t="n">
        <v>45866.35333333333</v>
      </c>
      <c r="C397" s="1" t="n">
        <v>46026</v>
      </c>
      <c r="D397" t="inlineStr">
        <is>
          <t>VÄSTMANLANDS LÄN</t>
        </is>
      </c>
      <c r="E397" t="inlineStr">
        <is>
          <t>SALA</t>
        </is>
      </c>
      <c r="F397" t="inlineStr">
        <is>
          <t>Kommuner</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36045-2025</t>
        </is>
      </c>
      <c r="B398" s="1" t="n">
        <v>45866.36200231482</v>
      </c>
      <c r="C398" s="1" t="n">
        <v>46026</v>
      </c>
      <c r="D398" t="inlineStr">
        <is>
          <t>VÄSTMANLANDS LÄN</t>
        </is>
      </c>
      <c r="E398" t="inlineStr">
        <is>
          <t>SALA</t>
        </is>
      </c>
      <c r="F398" t="inlineStr">
        <is>
          <t>Kommuner</t>
        </is>
      </c>
      <c r="G398" t="n">
        <v>1.7</v>
      </c>
      <c r="H398" t="n">
        <v>0</v>
      </c>
      <c r="I398" t="n">
        <v>0</v>
      </c>
      <c r="J398" t="n">
        <v>0</v>
      </c>
      <c r="K398" t="n">
        <v>0</v>
      </c>
      <c r="L398" t="n">
        <v>0</v>
      </c>
      <c r="M398" t="n">
        <v>0</v>
      </c>
      <c r="N398" t="n">
        <v>0</v>
      </c>
      <c r="O398" t="n">
        <v>0</v>
      </c>
      <c r="P398" t="n">
        <v>0</v>
      </c>
      <c r="Q398" t="n">
        <v>0</v>
      </c>
      <c r="R398" s="2" t="inlineStr"/>
    </row>
    <row r="399" ht="15" customHeight="1">
      <c r="A399" t="inlineStr">
        <is>
          <t>A 22921-2023</t>
        </is>
      </c>
      <c r="B399" s="1" t="n">
        <v>45070</v>
      </c>
      <c r="C399" s="1" t="n">
        <v>46026</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16133-2025</t>
        </is>
      </c>
      <c r="B400" s="1" t="n">
        <v>45750</v>
      </c>
      <c r="C400" s="1" t="n">
        <v>46026</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17985-2025</t>
        </is>
      </c>
      <c r="B401" s="1" t="n">
        <v>45761</v>
      </c>
      <c r="C401" s="1" t="n">
        <v>46026</v>
      </c>
      <c r="D401" t="inlineStr">
        <is>
          <t>VÄSTMANLANDS LÄN</t>
        </is>
      </c>
      <c r="E401" t="inlineStr">
        <is>
          <t>SALA</t>
        </is>
      </c>
      <c r="G401" t="n">
        <v>12.5</v>
      </c>
      <c r="H401" t="n">
        <v>0</v>
      </c>
      <c r="I401" t="n">
        <v>0</v>
      </c>
      <c r="J401" t="n">
        <v>0</v>
      </c>
      <c r="K401" t="n">
        <v>0</v>
      </c>
      <c r="L401" t="n">
        <v>0</v>
      </c>
      <c r="M401" t="n">
        <v>0</v>
      </c>
      <c r="N401" t="n">
        <v>0</v>
      </c>
      <c r="O401" t="n">
        <v>0</v>
      </c>
      <c r="P401" t="n">
        <v>0</v>
      </c>
      <c r="Q401" t="n">
        <v>0</v>
      </c>
      <c r="R401" s="2" t="inlineStr"/>
    </row>
    <row r="402" ht="15" customHeight="1">
      <c r="A402" t="inlineStr">
        <is>
          <t>A 31869-2025</t>
        </is>
      </c>
      <c r="B402" s="1" t="n">
        <v>45834.64555555556</v>
      </c>
      <c r="C402" s="1" t="n">
        <v>46026</v>
      </c>
      <c r="D402" t="inlineStr">
        <is>
          <t>VÄSTMANLANDS LÄN</t>
        </is>
      </c>
      <c r="E402" t="inlineStr">
        <is>
          <t>SALA</t>
        </is>
      </c>
      <c r="G402" t="n">
        <v>17.5</v>
      </c>
      <c r="H402" t="n">
        <v>0</v>
      </c>
      <c r="I402" t="n">
        <v>0</v>
      </c>
      <c r="J402" t="n">
        <v>0</v>
      </c>
      <c r="K402" t="n">
        <v>0</v>
      </c>
      <c r="L402" t="n">
        <v>0</v>
      </c>
      <c r="M402" t="n">
        <v>0</v>
      </c>
      <c r="N402" t="n">
        <v>0</v>
      </c>
      <c r="O402" t="n">
        <v>0</v>
      </c>
      <c r="P402" t="n">
        <v>0</v>
      </c>
      <c r="Q402" t="n">
        <v>0</v>
      </c>
      <c r="R402" s="2" t="inlineStr"/>
    </row>
    <row r="403" ht="15" customHeight="1">
      <c r="A403" t="inlineStr">
        <is>
          <t>A 31863-2025</t>
        </is>
      </c>
      <c r="B403" s="1" t="n">
        <v>45834.63303240741</v>
      </c>
      <c r="C403" s="1" t="n">
        <v>46026</v>
      </c>
      <c r="D403" t="inlineStr">
        <is>
          <t>VÄSTMANLANDS LÄN</t>
        </is>
      </c>
      <c r="E403" t="inlineStr">
        <is>
          <t>SALA</t>
        </is>
      </c>
      <c r="G403" t="n">
        <v>2.5</v>
      </c>
      <c r="H403" t="n">
        <v>0</v>
      </c>
      <c r="I403" t="n">
        <v>0</v>
      </c>
      <c r="J403" t="n">
        <v>0</v>
      </c>
      <c r="K403" t="n">
        <v>0</v>
      </c>
      <c r="L403" t="n">
        <v>0</v>
      </c>
      <c r="M403" t="n">
        <v>0</v>
      </c>
      <c r="N403" t="n">
        <v>0</v>
      </c>
      <c r="O403" t="n">
        <v>0</v>
      </c>
      <c r="P403" t="n">
        <v>0</v>
      </c>
      <c r="Q403" t="n">
        <v>0</v>
      </c>
      <c r="R403" s="2" t="inlineStr"/>
    </row>
    <row r="404" ht="15" customHeight="1">
      <c r="A404" t="inlineStr">
        <is>
          <t>A 6127-2025</t>
        </is>
      </c>
      <c r="B404" s="1" t="n">
        <v>45698</v>
      </c>
      <c r="C404" s="1" t="n">
        <v>46026</v>
      </c>
      <c r="D404" t="inlineStr">
        <is>
          <t>VÄSTMANLANDS LÄN</t>
        </is>
      </c>
      <c r="E404" t="inlineStr">
        <is>
          <t>SALA</t>
        </is>
      </c>
      <c r="F404" t="inlineStr">
        <is>
          <t>Bergvik skog öst AB</t>
        </is>
      </c>
      <c r="G404" t="n">
        <v>4.3</v>
      </c>
      <c r="H404" t="n">
        <v>0</v>
      </c>
      <c r="I404" t="n">
        <v>0</v>
      </c>
      <c r="J404" t="n">
        <v>0</v>
      </c>
      <c r="K404" t="n">
        <v>0</v>
      </c>
      <c r="L404" t="n">
        <v>0</v>
      </c>
      <c r="M404" t="n">
        <v>0</v>
      </c>
      <c r="N404" t="n">
        <v>0</v>
      </c>
      <c r="O404" t="n">
        <v>0</v>
      </c>
      <c r="P404" t="n">
        <v>0</v>
      </c>
      <c r="Q404" t="n">
        <v>0</v>
      </c>
      <c r="R404" s="2" t="inlineStr"/>
    </row>
    <row r="405" ht="15" customHeight="1">
      <c r="A405" t="inlineStr">
        <is>
          <t>A 15272-2025</t>
        </is>
      </c>
      <c r="B405" s="1" t="n">
        <v>45744</v>
      </c>
      <c r="C405" s="1" t="n">
        <v>46026</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17766-2025</t>
        </is>
      </c>
      <c r="B406" s="1" t="n">
        <v>45758</v>
      </c>
      <c r="C406" s="1" t="n">
        <v>46026</v>
      </c>
      <c r="D406" t="inlineStr">
        <is>
          <t>VÄSTMANLANDS LÄN</t>
        </is>
      </c>
      <c r="E406" t="inlineStr">
        <is>
          <t>SALA</t>
        </is>
      </c>
      <c r="G406" t="n">
        <v>16.5</v>
      </c>
      <c r="H406" t="n">
        <v>0</v>
      </c>
      <c r="I406" t="n">
        <v>0</v>
      </c>
      <c r="J406" t="n">
        <v>0</v>
      </c>
      <c r="K406" t="n">
        <v>0</v>
      </c>
      <c r="L406" t="n">
        <v>0</v>
      </c>
      <c r="M406" t="n">
        <v>0</v>
      </c>
      <c r="N406" t="n">
        <v>0</v>
      </c>
      <c r="O406" t="n">
        <v>0</v>
      </c>
      <c r="P406" t="n">
        <v>0</v>
      </c>
      <c r="Q406" t="n">
        <v>0</v>
      </c>
      <c r="R406" s="2" t="inlineStr"/>
    </row>
    <row r="407" ht="15" customHeight="1">
      <c r="A407" t="inlineStr">
        <is>
          <t>A 7664-2023</t>
        </is>
      </c>
      <c r="B407" s="1" t="n">
        <v>44972</v>
      </c>
      <c r="C407" s="1" t="n">
        <v>46026</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3546-2025</t>
        </is>
      </c>
      <c r="B408" s="1" t="n">
        <v>45680</v>
      </c>
      <c r="C408" s="1" t="n">
        <v>46026</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24248-2023</t>
        </is>
      </c>
      <c r="B409" s="1" t="n">
        <v>45079</v>
      </c>
      <c r="C409" s="1" t="n">
        <v>46026</v>
      </c>
      <c r="D409" t="inlineStr">
        <is>
          <t>VÄSTMANLANDS LÄN</t>
        </is>
      </c>
      <c r="E409" t="inlineStr">
        <is>
          <t>SALA</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38195-2021</t>
        </is>
      </c>
      <c r="B410" s="1" t="n">
        <v>44405</v>
      </c>
      <c r="C410" s="1" t="n">
        <v>46026</v>
      </c>
      <c r="D410" t="inlineStr">
        <is>
          <t>VÄSTMANLANDS LÄN</t>
        </is>
      </c>
      <c r="E410" t="inlineStr">
        <is>
          <t>SALA</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27228-2023</t>
        </is>
      </c>
      <c r="B411" s="1" t="n">
        <v>45096.59189814814</v>
      </c>
      <c r="C411" s="1" t="n">
        <v>46026</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59817-2025</t>
        </is>
      </c>
      <c r="B412" s="1" t="n">
        <v>45992.63711805556</v>
      </c>
      <c r="C412" s="1" t="n">
        <v>46026</v>
      </c>
      <c r="D412" t="inlineStr">
        <is>
          <t>VÄSTMANLANDS LÄN</t>
        </is>
      </c>
      <c r="E412" t="inlineStr">
        <is>
          <t>SALA</t>
        </is>
      </c>
      <c r="G412" t="n">
        <v>6.9</v>
      </c>
      <c r="H412" t="n">
        <v>0</v>
      </c>
      <c r="I412" t="n">
        <v>0</v>
      </c>
      <c r="J412" t="n">
        <v>0</v>
      </c>
      <c r="K412" t="n">
        <v>0</v>
      </c>
      <c r="L412" t="n">
        <v>0</v>
      </c>
      <c r="M412" t="n">
        <v>0</v>
      </c>
      <c r="N412" t="n">
        <v>0</v>
      </c>
      <c r="O412" t="n">
        <v>0</v>
      </c>
      <c r="P412" t="n">
        <v>0</v>
      </c>
      <c r="Q412" t="n">
        <v>0</v>
      </c>
      <c r="R412" s="2" t="inlineStr"/>
    </row>
    <row r="413" ht="15" customHeight="1">
      <c r="A413" t="inlineStr">
        <is>
          <t>A 51247-2025</t>
        </is>
      </c>
      <c r="B413" s="1" t="n">
        <v>45947.86487268518</v>
      </c>
      <c r="C413" s="1" t="n">
        <v>46026</v>
      </c>
      <c r="D413" t="inlineStr">
        <is>
          <t>VÄSTMANLANDS LÄN</t>
        </is>
      </c>
      <c r="E413" t="inlineStr">
        <is>
          <t>SALA</t>
        </is>
      </c>
      <c r="G413" t="n">
        <v>10.4</v>
      </c>
      <c r="H413" t="n">
        <v>0</v>
      </c>
      <c r="I413" t="n">
        <v>0</v>
      </c>
      <c r="J413" t="n">
        <v>0</v>
      </c>
      <c r="K413" t="n">
        <v>0</v>
      </c>
      <c r="L413" t="n">
        <v>0</v>
      </c>
      <c r="M413" t="n">
        <v>0</v>
      </c>
      <c r="N413" t="n">
        <v>0</v>
      </c>
      <c r="O413" t="n">
        <v>0</v>
      </c>
      <c r="P413" t="n">
        <v>0</v>
      </c>
      <c r="Q413" t="n">
        <v>0</v>
      </c>
      <c r="R413" s="2" t="inlineStr"/>
    </row>
    <row r="414" ht="15" customHeight="1">
      <c r="A414" t="inlineStr">
        <is>
          <t>A 59385-2025</t>
        </is>
      </c>
      <c r="B414" s="1" t="n">
        <v>45989.45746527778</v>
      </c>
      <c r="C414" s="1" t="n">
        <v>46026</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53838-2022</t>
        </is>
      </c>
      <c r="B415" s="1" t="n">
        <v>44880.59363425926</v>
      </c>
      <c r="C415" s="1" t="n">
        <v>46026</v>
      </c>
      <c r="D415" t="inlineStr">
        <is>
          <t>VÄSTMANLANDS LÄN</t>
        </is>
      </c>
      <c r="E415" t="inlineStr">
        <is>
          <t>SALA</t>
        </is>
      </c>
      <c r="G415" t="n">
        <v>3.9</v>
      </c>
      <c r="H415" t="n">
        <v>0</v>
      </c>
      <c r="I415" t="n">
        <v>0</v>
      </c>
      <c r="J415" t="n">
        <v>0</v>
      </c>
      <c r="K415" t="n">
        <v>0</v>
      </c>
      <c r="L415" t="n">
        <v>0</v>
      </c>
      <c r="M415" t="n">
        <v>0</v>
      </c>
      <c r="N415" t="n">
        <v>0</v>
      </c>
      <c r="O415" t="n">
        <v>0</v>
      </c>
      <c r="P415" t="n">
        <v>0</v>
      </c>
      <c r="Q415" t="n">
        <v>0</v>
      </c>
      <c r="R415" s="2" t="inlineStr"/>
    </row>
    <row r="416" ht="15" customHeight="1">
      <c r="A416" t="inlineStr">
        <is>
          <t>A 59390-2025</t>
        </is>
      </c>
      <c r="B416" s="1" t="n">
        <v>45989.4640162037</v>
      </c>
      <c r="C416" s="1" t="n">
        <v>46026</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59926-2025</t>
        </is>
      </c>
      <c r="B417" s="1" t="n">
        <v>45993.39221064815</v>
      </c>
      <c r="C417" s="1" t="n">
        <v>46026</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60241-2025</t>
        </is>
      </c>
      <c r="B418" s="1" t="n">
        <v>45994.58454861111</v>
      </c>
      <c r="C418" s="1" t="n">
        <v>46026</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51626-2025</t>
        </is>
      </c>
      <c r="B419" s="1" t="n">
        <v>45951.41769675926</v>
      </c>
      <c r="C419" s="1" t="n">
        <v>46026</v>
      </c>
      <c r="D419" t="inlineStr">
        <is>
          <t>VÄSTMANLANDS LÄN</t>
        </is>
      </c>
      <c r="E419" t="inlineStr">
        <is>
          <t>SALA</t>
        </is>
      </c>
      <c r="G419" t="n">
        <v>2.6</v>
      </c>
      <c r="H419" t="n">
        <v>0</v>
      </c>
      <c r="I419" t="n">
        <v>0</v>
      </c>
      <c r="J419" t="n">
        <v>0</v>
      </c>
      <c r="K419" t="n">
        <v>0</v>
      </c>
      <c r="L419" t="n">
        <v>0</v>
      </c>
      <c r="M419" t="n">
        <v>0</v>
      </c>
      <c r="N419" t="n">
        <v>0</v>
      </c>
      <c r="O419" t="n">
        <v>0</v>
      </c>
      <c r="P419" t="n">
        <v>0</v>
      </c>
      <c r="Q419" t="n">
        <v>0</v>
      </c>
      <c r="R419" s="2" t="inlineStr"/>
    </row>
    <row r="420" ht="15" customHeight="1">
      <c r="A420" t="inlineStr">
        <is>
          <t>A 51690-2025</t>
        </is>
      </c>
      <c r="B420" s="1" t="n">
        <v>45951.53462962963</v>
      </c>
      <c r="C420" s="1" t="n">
        <v>46026</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25260-2023</t>
        </is>
      </c>
      <c r="B421" s="1" t="n">
        <v>45086</v>
      </c>
      <c r="C421" s="1" t="n">
        <v>46026</v>
      </c>
      <c r="D421" t="inlineStr">
        <is>
          <t>VÄSTMANLANDS LÄN</t>
        </is>
      </c>
      <c r="E421" t="inlineStr">
        <is>
          <t>SALA</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60017-2025</t>
        </is>
      </c>
      <c r="B422" s="1" t="n">
        <v>45993.59998842593</v>
      </c>
      <c r="C422" s="1" t="n">
        <v>46026</v>
      </c>
      <c r="D422" t="inlineStr">
        <is>
          <t>VÄSTMANLANDS LÄN</t>
        </is>
      </c>
      <c r="E422" t="inlineStr">
        <is>
          <t>SALA</t>
        </is>
      </c>
      <c r="G422" t="n">
        <v>4.4</v>
      </c>
      <c r="H422" t="n">
        <v>0</v>
      </c>
      <c r="I422" t="n">
        <v>0</v>
      </c>
      <c r="J422" t="n">
        <v>0</v>
      </c>
      <c r="K422" t="n">
        <v>0</v>
      </c>
      <c r="L422" t="n">
        <v>0</v>
      </c>
      <c r="M422" t="n">
        <v>0</v>
      </c>
      <c r="N422" t="n">
        <v>0</v>
      </c>
      <c r="O422" t="n">
        <v>0</v>
      </c>
      <c r="P422" t="n">
        <v>0</v>
      </c>
      <c r="Q422" t="n">
        <v>0</v>
      </c>
      <c r="R422" s="2" t="inlineStr"/>
    </row>
    <row r="423" ht="15" customHeight="1">
      <c r="A423" t="inlineStr">
        <is>
          <t>A 37017-2025</t>
        </is>
      </c>
      <c r="B423" s="1" t="n">
        <v>45874</v>
      </c>
      <c r="C423" s="1" t="n">
        <v>46026</v>
      </c>
      <c r="D423" t="inlineStr">
        <is>
          <t>VÄSTMANLANDS LÄN</t>
        </is>
      </c>
      <c r="E423" t="inlineStr">
        <is>
          <t>SALA</t>
        </is>
      </c>
      <c r="G423" t="n">
        <v>11.1</v>
      </c>
      <c r="H423" t="n">
        <v>0</v>
      </c>
      <c r="I423" t="n">
        <v>0</v>
      </c>
      <c r="J423" t="n">
        <v>0</v>
      </c>
      <c r="K423" t="n">
        <v>0</v>
      </c>
      <c r="L423" t="n">
        <v>0</v>
      </c>
      <c r="M423" t="n">
        <v>0</v>
      </c>
      <c r="N423" t="n">
        <v>0</v>
      </c>
      <c r="O423" t="n">
        <v>0</v>
      </c>
      <c r="P423" t="n">
        <v>0</v>
      </c>
      <c r="Q423" t="n">
        <v>0</v>
      </c>
      <c r="R423" s="2" t="inlineStr"/>
    </row>
    <row r="424" ht="15" customHeight="1">
      <c r="A424" t="inlineStr">
        <is>
          <t>A 51809-2025</t>
        </is>
      </c>
      <c r="B424" s="1" t="n">
        <v>45951.80116898148</v>
      </c>
      <c r="C424" s="1" t="n">
        <v>46026</v>
      </c>
      <c r="D424" t="inlineStr">
        <is>
          <t>VÄSTMANLANDS LÄN</t>
        </is>
      </c>
      <c r="E424" t="inlineStr">
        <is>
          <t>SALA</t>
        </is>
      </c>
      <c r="F424" t="inlineStr">
        <is>
          <t>Kommuner</t>
        </is>
      </c>
      <c r="G424" t="n">
        <v>3.5</v>
      </c>
      <c r="H424" t="n">
        <v>0</v>
      </c>
      <c r="I424" t="n">
        <v>0</v>
      </c>
      <c r="J424" t="n">
        <v>0</v>
      </c>
      <c r="K424" t="n">
        <v>0</v>
      </c>
      <c r="L424" t="n">
        <v>0</v>
      </c>
      <c r="M424" t="n">
        <v>0</v>
      </c>
      <c r="N424" t="n">
        <v>0</v>
      </c>
      <c r="O424" t="n">
        <v>0</v>
      </c>
      <c r="P424" t="n">
        <v>0</v>
      </c>
      <c r="Q424" t="n">
        <v>0</v>
      </c>
      <c r="R424" s="2" t="inlineStr"/>
    </row>
    <row r="425" ht="15" customHeight="1">
      <c r="A425" t="inlineStr">
        <is>
          <t>A 16769-2024</t>
        </is>
      </c>
      <c r="B425" s="1" t="n">
        <v>45411.38738425926</v>
      </c>
      <c r="C425" s="1" t="n">
        <v>46026</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59870-2025</t>
        </is>
      </c>
      <c r="B426" s="1" t="n">
        <v>45992.92226851852</v>
      </c>
      <c r="C426" s="1" t="n">
        <v>46026</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60254-2025</t>
        </is>
      </c>
      <c r="B427" s="1" t="n">
        <v>45994.60146990741</v>
      </c>
      <c r="C427" s="1" t="n">
        <v>46026</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60249-2023</t>
        </is>
      </c>
      <c r="B428" s="1" t="n">
        <v>45258</v>
      </c>
      <c r="C428" s="1" t="n">
        <v>46026</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14271-2025</t>
        </is>
      </c>
      <c r="B429" s="1" t="n">
        <v>45740.64129629629</v>
      </c>
      <c r="C429" s="1" t="n">
        <v>46026</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60258-2025</t>
        </is>
      </c>
      <c r="B430" s="1" t="n">
        <v>45994.6064699074</v>
      </c>
      <c r="C430" s="1" t="n">
        <v>46026</v>
      </c>
      <c r="D430" t="inlineStr">
        <is>
          <t>VÄSTMANLANDS LÄN</t>
        </is>
      </c>
      <c r="E430" t="inlineStr">
        <is>
          <t>SALA</t>
        </is>
      </c>
      <c r="G430" t="n">
        <v>2.2</v>
      </c>
      <c r="H430" t="n">
        <v>0</v>
      </c>
      <c r="I430" t="n">
        <v>0</v>
      </c>
      <c r="J430" t="n">
        <v>0</v>
      </c>
      <c r="K430" t="n">
        <v>0</v>
      </c>
      <c r="L430" t="n">
        <v>0</v>
      </c>
      <c r="M430" t="n">
        <v>0</v>
      </c>
      <c r="N430" t="n">
        <v>0</v>
      </c>
      <c r="O430" t="n">
        <v>0</v>
      </c>
      <c r="P430" t="n">
        <v>0</v>
      </c>
      <c r="Q430" t="n">
        <v>0</v>
      </c>
      <c r="R430" s="2" t="inlineStr"/>
    </row>
    <row r="431" ht="15" customHeight="1">
      <c r="A431" t="inlineStr">
        <is>
          <t>A 69232-2021</t>
        </is>
      </c>
      <c r="B431" s="1" t="n">
        <v>44531.39696759259</v>
      </c>
      <c r="C431" s="1" t="n">
        <v>46026</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51803-2025</t>
        </is>
      </c>
      <c r="B432" s="1" t="n">
        <v>45951.76818287037</v>
      </c>
      <c r="C432" s="1" t="n">
        <v>46026</v>
      </c>
      <c r="D432" t="inlineStr">
        <is>
          <t>VÄSTMANLANDS LÄN</t>
        </is>
      </c>
      <c r="E432" t="inlineStr">
        <is>
          <t>SALA</t>
        </is>
      </c>
      <c r="F432" t="inlineStr">
        <is>
          <t>Kommuner</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51805-2025</t>
        </is>
      </c>
      <c r="B433" s="1" t="n">
        <v>45951.78359953704</v>
      </c>
      <c r="C433" s="1" t="n">
        <v>46026</v>
      </c>
      <c r="D433" t="inlineStr">
        <is>
          <t>VÄSTMANLANDS LÄN</t>
        </is>
      </c>
      <c r="E433" t="inlineStr">
        <is>
          <t>SALA</t>
        </is>
      </c>
      <c r="F433" t="inlineStr">
        <is>
          <t>Kommuner</t>
        </is>
      </c>
      <c r="G433" t="n">
        <v>1.3</v>
      </c>
      <c r="H433" t="n">
        <v>0</v>
      </c>
      <c r="I433" t="n">
        <v>0</v>
      </c>
      <c r="J433" t="n">
        <v>0</v>
      </c>
      <c r="K433" t="n">
        <v>0</v>
      </c>
      <c r="L433" t="n">
        <v>0</v>
      </c>
      <c r="M433" t="n">
        <v>0</v>
      </c>
      <c r="N433" t="n">
        <v>0</v>
      </c>
      <c r="O433" t="n">
        <v>0</v>
      </c>
      <c r="P433" t="n">
        <v>0</v>
      </c>
      <c r="Q433" t="n">
        <v>0</v>
      </c>
      <c r="R433" s="2" t="inlineStr"/>
    </row>
    <row r="434" ht="15" customHeight="1">
      <c r="A434" t="inlineStr">
        <is>
          <t>A 37103-2025</t>
        </is>
      </c>
      <c r="B434" s="1" t="n">
        <v>45875.47743055555</v>
      </c>
      <c r="C434" s="1" t="n">
        <v>46026</v>
      </c>
      <c r="D434" t="inlineStr">
        <is>
          <t>VÄSTMANLANDS LÄN</t>
        </is>
      </c>
      <c r="E434" t="inlineStr">
        <is>
          <t>SALA</t>
        </is>
      </c>
      <c r="G434" t="n">
        <v>1.9</v>
      </c>
      <c r="H434" t="n">
        <v>0</v>
      </c>
      <c r="I434" t="n">
        <v>0</v>
      </c>
      <c r="J434" t="n">
        <v>0</v>
      </c>
      <c r="K434" t="n">
        <v>0</v>
      </c>
      <c r="L434" t="n">
        <v>0</v>
      </c>
      <c r="M434" t="n">
        <v>0</v>
      </c>
      <c r="N434" t="n">
        <v>0</v>
      </c>
      <c r="O434" t="n">
        <v>0</v>
      </c>
      <c r="P434" t="n">
        <v>0</v>
      </c>
      <c r="Q434" t="n">
        <v>0</v>
      </c>
      <c r="R434" s="2" t="inlineStr"/>
    </row>
    <row r="435" ht="15" customHeight="1">
      <c r="A435" t="inlineStr">
        <is>
          <t>A 60259-2025</t>
        </is>
      </c>
      <c r="B435" s="1" t="n">
        <v>45994.60913194445</v>
      </c>
      <c r="C435" s="1" t="n">
        <v>46026</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37246-2025</t>
        </is>
      </c>
      <c r="B436" s="1" t="n">
        <v>45876.39435185185</v>
      </c>
      <c r="C436" s="1" t="n">
        <v>46026</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60246-2025</t>
        </is>
      </c>
      <c r="B437" s="1" t="n">
        <v>45994.58931712963</v>
      </c>
      <c r="C437" s="1" t="n">
        <v>46026</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51804-2025</t>
        </is>
      </c>
      <c r="B438" s="1" t="n">
        <v>45951.77697916667</v>
      </c>
      <c r="C438" s="1" t="n">
        <v>46026</v>
      </c>
      <c r="D438" t="inlineStr">
        <is>
          <t>VÄSTMANLANDS LÄN</t>
        </is>
      </c>
      <c r="E438" t="inlineStr">
        <is>
          <t>SALA</t>
        </is>
      </c>
      <c r="F438" t="inlineStr">
        <is>
          <t>Kommuner</t>
        </is>
      </c>
      <c r="G438" t="n">
        <v>2</v>
      </c>
      <c r="H438" t="n">
        <v>0</v>
      </c>
      <c r="I438" t="n">
        <v>0</v>
      </c>
      <c r="J438" t="n">
        <v>0</v>
      </c>
      <c r="K438" t="n">
        <v>0</v>
      </c>
      <c r="L438" t="n">
        <v>0</v>
      </c>
      <c r="M438" t="n">
        <v>0</v>
      </c>
      <c r="N438" t="n">
        <v>0</v>
      </c>
      <c r="O438" t="n">
        <v>0</v>
      </c>
      <c r="P438" t="n">
        <v>0</v>
      </c>
      <c r="Q438" t="n">
        <v>0</v>
      </c>
      <c r="R438" s="2" t="inlineStr"/>
    </row>
    <row r="439" ht="15" customHeight="1">
      <c r="A439" t="inlineStr">
        <is>
          <t>A 51808-2025</t>
        </is>
      </c>
      <c r="B439" s="1" t="n">
        <v>45951.79302083333</v>
      </c>
      <c r="C439" s="1" t="n">
        <v>46026</v>
      </c>
      <c r="D439" t="inlineStr">
        <is>
          <t>VÄSTMANLANDS LÄN</t>
        </is>
      </c>
      <c r="E439" t="inlineStr">
        <is>
          <t>SALA</t>
        </is>
      </c>
      <c r="F439" t="inlineStr">
        <is>
          <t>Kommuner</t>
        </is>
      </c>
      <c r="G439" t="n">
        <v>3</v>
      </c>
      <c r="H439" t="n">
        <v>0</v>
      </c>
      <c r="I439" t="n">
        <v>0</v>
      </c>
      <c r="J439" t="n">
        <v>0</v>
      </c>
      <c r="K439" t="n">
        <v>0</v>
      </c>
      <c r="L439" t="n">
        <v>0</v>
      </c>
      <c r="M439" t="n">
        <v>0</v>
      </c>
      <c r="N439" t="n">
        <v>0</v>
      </c>
      <c r="O439" t="n">
        <v>0</v>
      </c>
      <c r="P439" t="n">
        <v>0</v>
      </c>
      <c r="Q439" t="n">
        <v>0</v>
      </c>
      <c r="R439" s="2" t="inlineStr"/>
    </row>
    <row r="440" ht="15" customHeight="1">
      <c r="A440" t="inlineStr">
        <is>
          <t>A 51764-2025</t>
        </is>
      </c>
      <c r="B440" s="1" t="n">
        <v>45951.63636574074</v>
      </c>
      <c r="C440" s="1" t="n">
        <v>46026</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28328-2023</t>
        </is>
      </c>
      <c r="B441" s="1" t="n">
        <v>45099.71063657408</v>
      </c>
      <c r="C441" s="1" t="n">
        <v>46026</v>
      </c>
      <c r="D441" t="inlineStr">
        <is>
          <t>VÄSTMANLANDS LÄN</t>
        </is>
      </c>
      <c r="E441" t="inlineStr">
        <is>
          <t>SALA</t>
        </is>
      </c>
      <c r="G441" t="n">
        <v>1.8</v>
      </c>
      <c r="H441" t="n">
        <v>0</v>
      </c>
      <c r="I441" t="n">
        <v>0</v>
      </c>
      <c r="J441" t="n">
        <v>0</v>
      </c>
      <c r="K441" t="n">
        <v>0</v>
      </c>
      <c r="L441" t="n">
        <v>0</v>
      </c>
      <c r="M441" t="n">
        <v>0</v>
      </c>
      <c r="N441" t="n">
        <v>0</v>
      </c>
      <c r="O441" t="n">
        <v>0</v>
      </c>
      <c r="P441" t="n">
        <v>0</v>
      </c>
      <c r="Q441" t="n">
        <v>0</v>
      </c>
      <c r="R441" s="2" t="inlineStr"/>
    </row>
    <row r="442" ht="15" customHeight="1">
      <c r="A442" t="inlineStr">
        <is>
          <t>A 60629-2025</t>
        </is>
      </c>
      <c r="B442" s="1" t="n">
        <v>45996.41972222222</v>
      </c>
      <c r="C442" s="1" t="n">
        <v>46026</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40085-2024</t>
        </is>
      </c>
      <c r="B443" s="1" t="n">
        <v>45554</v>
      </c>
      <c r="C443" s="1" t="n">
        <v>46026</v>
      </c>
      <c r="D443" t="inlineStr">
        <is>
          <t>VÄSTMANLANDS LÄN</t>
        </is>
      </c>
      <c r="E443" t="inlineStr">
        <is>
          <t>SALA</t>
        </is>
      </c>
      <c r="G443" t="n">
        <v>2.8</v>
      </c>
      <c r="H443" t="n">
        <v>0</v>
      </c>
      <c r="I443" t="n">
        <v>0</v>
      </c>
      <c r="J443" t="n">
        <v>0</v>
      </c>
      <c r="K443" t="n">
        <v>0</v>
      </c>
      <c r="L443" t="n">
        <v>0</v>
      </c>
      <c r="M443" t="n">
        <v>0</v>
      </c>
      <c r="N443" t="n">
        <v>0</v>
      </c>
      <c r="O443" t="n">
        <v>0</v>
      </c>
      <c r="P443" t="n">
        <v>0</v>
      </c>
      <c r="Q443" t="n">
        <v>0</v>
      </c>
      <c r="R443" s="2" t="inlineStr"/>
    </row>
    <row r="444" ht="15" customHeight="1">
      <c r="A444" t="inlineStr">
        <is>
          <t>A 17722-2025</t>
        </is>
      </c>
      <c r="B444" s="1" t="n">
        <v>45758</v>
      </c>
      <c r="C444" s="1" t="n">
        <v>46026</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18158-2025</t>
        </is>
      </c>
      <c r="B445" s="1" t="n">
        <v>45761</v>
      </c>
      <c r="C445" s="1" t="n">
        <v>46026</v>
      </c>
      <c r="D445" t="inlineStr">
        <is>
          <t>VÄSTMANLANDS LÄN</t>
        </is>
      </c>
      <c r="E445" t="inlineStr">
        <is>
          <t>SALA</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49661-2024</t>
        </is>
      </c>
      <c r="B446" s="1" t="n">
        <v>45596</v>
      </c>
      <c r="C446" s="1" t="n">
        <v>46026</v>
      </c>
      <c r="D446" t="inlineStr">
        <is>
          <t>VÄSTMANLANDS LÄN</t>
        </is>
      </c>
      <c r="E446" t="inlineStr">
        <is>
          <t>SALA</t>
        </is>
      </c>
      <c r="G446" t="n">
        <v>6.7</v>
      </c>
      <c r="H446" t="n">
        <v>0</v>
      </c>
      <c r="I446" t="n">
        <v>0</v>
      </c>
      <c r="J446" t="n">
        <v>0</v>
      </c>
      <c r="K446" t="n">
        <v>0</v>
      </c>
      <c r="L446" t="n">
        <v>0</v>
      </c>
      <c r="M446" t="n">
        <v>0</v>
      </c>
      <c r="N446" t="n">
        <v>0</v>
      </c>
      <c r="O446" t="n">
        <v>0</v>
      </c>
      <c r="P446" t="n">
        <v>0</v>
      </c>
      <c r="Q446" t="n">
        <v>0</v>
      </c>
      <c r="R446" s="2" t="inlineStr"/>
    </row>
    <row r="447" ht="15" customHeight="1">
      <c r="A447" t="inlineStr">
        <is>
          <t>A 37590-2025</t>
        </is>
      </c>
      <c r="B447" s="1" t="n">
        <v>45880.41138888889</v>
      </c>
      <c r="C447" s="1" t="n">
        <v>46026</v>
      </c>
      <c r="D447" t="inlineStr">
        <is>
          <t>VÄSTMANLANDS LÄN</t>
        </is>
      </c>
      <c r="E447" t="inlineStr">
        <is>
          <t>SALA</t>
        </is>
      </c>
      <c r="G447" t="n">
        <v>2.2</v>
      </c>
      <c r="H447" t="n">
        <v>0</v>
      </c>
      <c r="I447" t="n">
        <v>0</v>
      </c>
      <c r="J447" t="n">
        <v>0</v>
      </c>
      <c r="K447" t="n">
        <v>0</v>
      </c>
      <c r="L447" t="n">
        <v>0</v>
      </c>
      <c r="M447" t="n">
        <v>0</v>
      </c>
      <c r="N447" t="n">
        <v>0</v>
      </c>
      <c r="O447" t="n">
        <v>0</v>
      </c>
      <c r="P447" t="n">
        <v>0</v>
      </c>
      <c r="Q447" t="n">
        <v>0</v>
      </c>
      <c r="R447" s="2" t="inlineStr"/>
    </row>
    <row r="448" ht="15" customHeight="1">
      <c r="A448" t="inlineStr">
        <is>
          <t>A 37593-2025</t>
        </is>
      </c>
      <c r="B448" s="1" t="n">
        <v>45880.41325231481</v>
      </c>
      <c r="C448" s="1" t="n">
        <v>46026</v>
      </c>
      <c r="D448" t="inlineStr">
        <is>
          <t>VÄSTMANLANDS LÄN</t>
        </is>
      </c>
      <c r="E448" t="inlineStr">
        <is>
          <t>SALA</t>
        </is>
      </c>
      <c r="G448" t="n">
        <v>1.4</v>
      </c>
      <c r="H448" t="n">
        <v>0</v>
      </c>
      <c r="I448" t="n">
        <v>0</v>
      </c>
      <c r="J448" t="n">
        <v>0</v>
      </c>
      <c r="K448" t="n">
        <v>0</v>
      </c>
      <c r="L448" t="n">
        <v>0</v>
      </c>
      <c r="M448" t="n">
        <v>0</v>
      </c>
      <c r="N448" t="n">
        <v>0</v>
      </c>
      <c r="O448" t="n">
        <v>0</v>
      </c>
      <c r="P448" t="n">
        <v>0</v>
      </c>
      <c r="Q448" t="n">
        <v>0</v>
      </c>
      <c r="R448" s="2" t="inlineStr"/>
    </row>
    <row r="449" ht="15" customHeight="1">
      <c r="A449" t="inlineStr">
        <is>
          <t>A 35519-2024</t>
        </is>
      </c>
      <c r="B449" s="1" t="n">
        <v>45531</v>
      </c>
      <c r="C449" s="1" t="n">
        <v>46026</v>
      </c>
      <c r="D449" t="inlineStr">
        <is>
          <t>VÄSTMANLANDS LÄN</t>
        </is>
      </c>
      <c r="E449" t="inlineStr">
        <is>
          <t>SALA</t>
        </is>
      </c>
      <c r="G449" t="n">
        <v>1.8</v>
      </c>
      <c r="H449" t="n">
        <v>0</v>
      </c>
      <c r="I449" t="n">
        <v>0</v>
      </c>
      <c r="J449" t="n">
        <v>0</v>
      </c>
      <c r="K449" t="n">
        <v>0</v>
      </c>
      <c r="L449" t="n">
        <v>0</v>
      </c>
      <c r="M449" t="n">
        <v>0</v>
      </c>
      <c r="N449" t="n">
        <v>0</v>
      </c>
      <c r="O449" t="n">
        <v>0</v>
      </c>
      <c r="P449" t="n">
        <v>0</v>
      </c>
      <c r="Q449" t="n">
        <v>0</v>
      </c>
      <c r="R449" s="2" t="inlineStr"/>
    </row>
    <row r="450" ht="15" customHeight="1">
      <c r="A450" t="inlineStr">
        <is>
          <t>A 54347-2024</t>
        </is>
      </c>
      <c r="B450" s="1" t="n">
        <v>45617.39325231482</v>
      </c>
      <c r="C450" s="1" t="n">
        <v>46026</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13022-2023</t>
        </is>
      </c>
      <c r="B451" s="1" t="n">
        <v>45002.33291666667</v>
      </c>
      <c r="C451" s="1" t="n">
        <v>46026</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35003-2024</t>
        </is>
      </c>
      <c r="B452" s="1" t="n">
        <v>45527.56790509259</v>
      </c>
      <c r="C452" s="1" t="n">
        <v>46026</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43359-2024</t>
        </is>
      </c>
      <c r="B453" s="1" t="n">
        <v>45568.57724537037</v>
      </c>
      <c r="C453" s="1" t="n">
        <v>46026</v>
      </c>
      <c r="D453" t="inlineStr">
        <is>
          <t>VÄSTMANLANDS LÄN</t>
        </is>
      </c>
      <c r="E453" t="inlineStr">
        <is>
          <t>SALA</t>
        </is>
      </c>
      <c r="G453" t="n">
        <v>1.6</v>
      </c>
      <c r="H453" t="n">
        <v>0</v>
      </c>
      <c r="I453" t="n">
        <v>0</v>
      </c>
      <c r="J453" t="n">
        <v>0</v>
      </c>
      <c r="K453" t="n">
        <v>0</v>
      </c>
      <c r="L453" t="n">
        <v>0</v>
      </c>
      <c r="M453" t="n">
        <v>0</v>
      </c>
      <c r="N453" t="n">
        <v>0</v>
      </c>
      <c r="O453" t="n">
        <v>0</v>
      </c>
      <c r="P453" t="n">
        <v>0</v>
      </c>
      <c r="Q453" t="n">
        <v>0</v>
      </c>
      <c r="R453" s="2" t="inlineStr"/>
    </row>
    <row r="454" ht="15" customHeight="1">
      <c r="A454" t="inlineStr">
        <is>
          <t>A 29972-2025</t>
        </is>
      </c>
      <c r="B454" s="1" t="n">
        <v>45826</v>
      </c>
      <c r="C454" s="1" t="n">
        <v>46026</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66307-2021</t>
        </is>
      </c>
      <c r="B455" s="1" t="n">
        <v>44518.48670138889</v>
      </c>
      <c r="C455" s="1" t="n">
        <v>46026</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6030-2024</t>
        </is>
      </c>
      <c r="B456" s="1" t="n">
        <v>45336.62782407407</v>
      </c>
      <c r="C456" s="1" t="n">
        <v>46026</v>
      </c>
      <c r="D456" t="inlineStr">
        <is>
          <t>VÄSTMANLANDS LÄN</t>
        </is>
      </c>
      <c r="E456" t="inlineStr">
        <is>
          <t>SALA</t>
        </is>
      </c>
      <c r="G456" t="n">
        <v>3.9</v>
      </c>
      <c r="H456" t="n">
        <v>0</v>
      </c>
      <c r="I456" t="n">
        <v>0</v>
      </c>
      <c r="J456" t="n">
        <v>0</v>
      </c>
      <c r="K456" t="n">
        <v>0</v>
      </c>
      <c r="L456" t="n">
        <v>0</v>
      </c>
      <c r="M456" t="n">
        <v>0</v>
      </c>
      <c r="N456" t="n">
        <v>0</v>
      </c>
      <c r="O456" t="n">
        <v>0</v>
      </c>
      <c r="P456" t="n">
        <v>0</v>
      </c>
      <c r="Q456" t="n">
        <v>0</v>
      </c>
      <c r="R456" s="2" t="inlineStr"/>
    </row>
    <row r="457" ht="15" customHeight="1">
      <c r="A457" t="inlineStr">
        <is>
          <t>A 26761-2023</t>
        </is>
      </c>
      <c r="B457" s="1" t="n">
        <v>45093</v>
      </c>
      <c r="C457" s="1" t="n">
        <v>46026</v>
      </c>
      <c r="D457" t="inlineStr">
        <is>
          <t>VÄSTMANLANDS LÄN</t>
        </is>
      </c>
      <c r="E457" t="inlineStr">
        <is>
          <t>SALA</t>
        </is>
      </c>
      <c r="G457" t="n">
        <v>4.3</v>
      </c>
      <c r="H457" t="n">
        <v>0</v>
      </c>
      <c r="I457" t="n">
        <v>0</v>
      </c>
      <c r="J457" t="n">
        <v>0</v>
      </c>
      <c r="K457" t="n">
        <v>0</v>
      </c>
      <c r="L457" t="n">
        <v>0</v>
      </c>
      <c r="M457" t="n">
        <v>0</v>
      </c>
      <c r="N457" t="n">
        <v>0</v>
      </c>
      <c r="O457" t="n">
        <v>0</v>
      </c>
      <c r="P457" t="n">
        <v>0</v>
      </c>
      <c r="Q457" t="n">
        <v>0</v>
      </c>
      <c r="R457" s="2" t="inlineStr"/>
    </row>
    <row r="458" ht="15" customHeight="1">
      <c r="A458" t="inlineStr">
        <is>
          <t>A 61892-2021</t>
        </is>
      </c>
      <c r="B458" s="1" t="n">
        <v>44502</v>
      </c>
      <c r="C458" s="1" t="n">
        <v>46026</v>
      </c>
      <c r="D458" t="inlineStr">
        <is>
          <t>VÄSTMANLANDS LÄN</t>
        </is>
      </c>
      <c r="E458" t="inlineStr">
        <is>
          <t>SALA</t>
        </is>
      </c>
      <c r="G458" t="n">
        <v>1.4</v>
      </c>
      <c r="H458" t="n">
        <v>0</v>
      </c>
      <c r="I458" t="n">
        <v>0</v>
      </c>
      <c r="J458" t="n">
        <v>0</v>
      </c>
      <c r="K458" t="n">
        <v>0</v>
      </c>
      <c r="L458" t="n">
        <v>0</v>
      </c>
      <c r="M458" t="n">
        <v>0</v>
      </c>
      <c r="N458" t="n">
        <v>0</v>
      </c>
      <c r="O458" t="n">
        <v>0</v>
      </c>
      <c r="P458" t="n">
        <v>0</v>
      </c>
      <c r="Q458" t="n">
        <v>0</v>
      </c>
      <c r="R458" s="2" t="inlineStr"/>
    </row>
    <row r="459" ht="15" customHeight="1">
      <c r="A459" t="inlineStr">
        <is>
          <t>A 53744-2025</t>
        </is>
      </c>
      <c r="B459" s="1" t="n">
        <v>45960.64863425926</v>
      </c>
      <c r="C459" s="1" t="n">
        <v>46026</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53725-2025</t>
        </is>
      </c>
      <c r="B460" s="1" t="n">
        <v>45960.63394675926</v>
      </c>
      <c r="C460" s="1" t="n">
        <v>46026</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61522-2025</t>
        </is>
      </c>
      <c r="B461" s="1" t="n">
        <v>46001.68684027778</v>
      </c>
      <c r="C461" s="1" t="n">
        <v>46026</v>
      </c>
      <c r="D461" t="inlineStr">
        <is>
          <t>VÄSTMANLANDS LÄN</t>
        </is>
      </c>
      <c r="E461" t="inlineStr">
        <is>
          <t>SALA</t>
        </is>
      </c>
      <c r="G461" t="n">
        <v>5.7</v>
      </c>
      <c r="H461" t="n">
        <v>0</v>
      </c>
      <c r="I461" t="n">
        <v>0</v>
      </c>
      <c r="J461" t="n">
        <v>0</v>
      </c>
      <c r="K461" t="n">
        <v>0</v>
      </c>
      <c r="L461" t="n">
        <v>0</v>
      </c>
      <c r="M461" t="n">
        <v>0</v>
      </c>
      <c r="N461" t="n">
        <v>0</v>
      </c>
      <c r="O461" t="n">
        <v>0</v>
      </c>
      <c r="P461" t="n">
        <v>0</v>
      </c>
      <c r="Q461" t="n">
        <v>0</v>
      </c>
      <c r="R461" s="2" t="inlineStr"/>
    </row>
    <row r="462" ht="15" customHeight="1">
      <c r="A462" t="inlineStr">
        <is>
          <t>A 7772-2023</t>
        </is>
      </c>
      <c r="B462" s="1" t="n">
        <v>44973.40076388889</v>
      </c>
      <c r="C462" s="1" t="n">
        <v>46026</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53724-2025</t>
        </is>
      </c>
      <c r="B463" s="1" t="n">
        <v>45960.63174768518</v>
      </c>
      <c r="C463" s="1" t="n">
        <v>46026</v>
      </c>
      <c r="D463" t="inlineStr">
        <is>
          <t>VÄSTMANLANDS LÄN</t>
        </is>
      </c>
      <c r="E463" t="inlineStr">
        <is>
          <t>SALA</t>
        </is>
      </c>
      <c r="G463" t="n">
        <v>2.8</v>
      </c>
      <c r="H463" t="n">
        <v>0</v>
      </c>
      <c r="I463" t="n">
        <v>0</v>
      </c>
      <c r="J463" t="n">
        <v>0</v>
      </c>
      <c r="K463" t="n">
        <v>0</v>
      </c>
      <c r="L463" t="n">
        <v>0</v>
      </c>
      <c r="M463" t="n">
        <v>0</v>
      </c>
      <c r="N463" t="n">
        <v>0</v>
      </c>
      <c r="O463" t="n">
        <v>0</v>
      </c>
      <c r="P463" t="n">
        <v>0</v>
      </c>
      <c r="Q463" t="n">
        <v>0</v>
      </c>
      <c r="R463" s="2" t="inlineStr"/>
    </row>
    <row r="464" ht="15" customHeight="1">
      <c r="A464" t="inlineStr">
        <is>
          <t>A 73673-2021</t>
        </is>
      </c>
      <c r="B464" s="1" t="n">
        <v>44552.46501157407</v>
      </c>
      <c r="C464" s="1" t="n">
        <v>46026</v>
      </c>
      <c r="D464" t="inlineStr">
        <is>
          <t>VÄSTMANLANDS LÄN</t>
        </is>
      </c>
      <c r="E464" t="inlineStr">
        <is>
          <t>SALA</t>
        </is>
      </c>
      <c r="G464" t="n">
        <v>11.4</v>
      </c>
      <c r="H464" t="n">
        <v>0</v>
      </c>
      <c r="I464" t="n">
        <v>0</v>
      </c>
      <c r="J464" t="n">
        <v>0</v>
      </c>
      <c r="K464" t="n">
        <v>0</v>
      </c>
      <c r="L464" t="n">
        <v>0</v>
      </c>
      <c r="M464" t="n">
        <v>0</v>
      </c>
      <c r="N464" t="n">
        <v>0</v>
      </c>
      <c r="O464" t="n">
        <v>0</v>
      </c>
      <c r="P464" t="n">
        <v>0</v>
      </c>
      <c r="Q464" t="n">
        <v>0</v>
      </c>
      <c r="R464" s="2" t="inlineStr"/>
    </row>
    <row r="465" ht="15" customHeight="1">
      <c r="A465" t="inlineStr">
        <is>
          <t>A 38574-2025</t>
        </is>
      </c>
      <c r="B465" s="1" t="n">
        <v>45884.46390046296</v>
      </c>
      <c r="C465" s="1" t="n">
        <v>46026</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16651-2021</t>
        </is>
      </c>
      <c r="B466" s="1" t="n">
        <v>44294.50096064815</v>
      </c>
      <c r="C466" s="1" t="n">
        <v>46026</v>
      </c>
      <c r="D466" t="inlineStr">
        <is>
          <t>VÄSTMANLANDS LÄN</t>
        </is>
      </c>
      <c r="E466" t="inlineStr">
        <is>
          <t>SALA</t>
        </is>
      </c>
      <c r="G466" t="n">
        <v>7.7</v>
      </c>
      <c r="H466" t="n">
        <v>0</v>
      </c>
      <c r="I466" t="n">
        <v>0</v>
      </c>
      <c r="J466" t="n">
        <v>0</v>
      </c>
      <c r="K466" t="n">
        <v>0</v>
      </c>
      <c r="L466" t="n">
        <v>0</v>
      </c>
      <c r="M466" t="n">
        <v>0</v>
      </c>
      <c r="N466" t="n">
        <v>0</v>
      </c>
      <c r="O466" t="n">
        <v>0</v>
      </c>
      <c r="P466" t="n">
        <v>0</v>
      </c>
      <c r="Q466" t="n">
        <v>0</v>
      </c>
      <c r="R466" s="2" t="inlineStr"/>
    </row>
    <row r="467" ht="15" customHeight="1">
      <c r="A467" t="inlineStr">
        <is>
          <t>A 38294-2025</t>
        </is>
      </c>
      <c r="B467" s="1" t="n">
        <v>45883.44854166666</v>
      </c>
      <c r="C467" s="1" t="n">
        <v>46026</v>
      </c>
      <c r="D467" t="inlineStr">
        <is>
          <t>VÄSTMANLANDS LÄN</t>
        </is>
      </c>
      <c r="E467" t="inlineStr">
        <is>
          <t>SALA</t>
        </is>
      </c>
      <c r="G467" t="n">
        <v>1.5</v>
      </c>
      <c r="H467" t="n">
        <v>0</v>
      </c>
      <c r="I467" t="n">
        <v>0</v>
      </c>
      <c r="J467" t="n">
        <v>0</v>
      </c>
      <c r="K467" t="n">
        <v>0</v>
      </c>
      <c r="L467" t="n">
        <v>0</v>
      </c>
      <c r="M467" t="n">
        <v>0</v>
      </c>
      <c r="N467" t="n">
        <v>0</v>
      </c>
      <c r="O467" t="n">
        <v>0</v>
      </c>
      <c r="P467" t="n">
        <v>0</v>
      </c>
      <c r="Q467" t="n">
        <v>0</v>
      </c>
      <c r="R467" s="2" t="inlineStr"/>
    </row>
    <row r="468" ht="15" customHeight="1">
      <c r="A468" t="inlineStr">
        <is>
          <t>A 38636-2024</t>
        </is>
      </c>
      <c r="B468" s="1" t="n">
        <v>45546</v>
      </c>
      <c r="C468" s="1" t="n">
        <v>46026</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42416-2022</t>
        </is>
      </c>
      <c r="B469" s="1" t="n">
        <v>44831</v>
      </c>
      <c r="C469" s="1" t="n">
        <v>46026</v>
      </c>
      <c r="D469" t="inlineStr">
        <is>
          <t>VÄSTMANLANDS LÄN</t>
        </is>
      </c>
      <c r="E469" t="inlineStr">
        <is>
          <t>SALA</t>
        </is>
      </c>
      <c r="G469" t="n">
        <v>2.2</v>
      </c>
      <c r="H469" t="n">
        <v>0</v>
      </c>
      <c r="I469" t="n">
        <v>0</v>
      </c>
      <c r="J469" t="n">
        <v>0</v>
      </c>
      <c r="K469" t="n">
        <v>0</v>
      </c>
      <c r="L469" t="n">
        <v>0</v>
      </c>
      <c r="M469" t="n">
        <v>0</v>
      </c>
      <c r="N469" t="n">
        <v>0</v>
      </c>
      <c r="O469" t="n">
        <v>0</v>
      </c>
      <c r="P469" t="n">
        <v>0</v>
      </c>
      <c r="Q469" t="n">
        <v>0</v>
      </c>
      <c r="R469" s="2" t="inlineStr"/>
    </row>
    <row r="470" ht="15" customHeight="1">
      <c r="A470" t="inlineStr">
        <is>
          <t>A 19381-2025</t>
        </is>
      </c>
      <c r="B470" s="1" t="n">
        <v>45769</v>
      </c>
      <c r="C470" s="1" t="n">
        <v>46026</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48688-2024</t>
        </is>
      </c>
      <c r="B471" s="1" t="n">
        <v>45593.50541666667</v>
      </c>
      <c r="C471" s="1" t="n">
        <v>46026</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54201-2025</t>
        </is>
      </c>
      <c r="B472" s="1" t="n">
        <v>45964.58055555556</v>
      </c>
      <c r="C472" s="1" t="n">
        <v>46026</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45187-2024</t>
        </is>
      </c>
      <c r="B473" s="1" t="n">
        <v>45575</v>
      </c>
      <c r="C473" s="1" t="n">
        <v>46026</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15968-2024</t>
        </is>
      </c>
      <c r="B474" s="1" t="n">
        <v>45405.56021990741</v>
      </c>
      <c r="C474" s="1" t="n">
        <v>46026</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3733-2023</t>
        </is>
      </c>
      <c r="B475" s="1" t="n">
        <v>44951.42501157407</v>
      </c>
      <c r="C475" s="1" t="n">
        <v>46026</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54344-2025</t>
        </is>
      </c>
      <c r="B476" s="1" t="n">
        <v>45965.36462962963</v>
      </c>
      <c r="C476" s="1" t="n">
        <v>46026</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44544-2024</t>
        </is>
      </c>
      <c r="B477" s="1" t="n">
        <v>45574.46119212963</v>
      </c>
      <c r="C477" s="1" t="n">
        <v>46026</v>
      </c>
      <c r="D477" t="inlineStr">
        <is>
          <t>VÄSTMANLANDS LÄN</t>
        </is>
      </c>
      <c r="E477" t="inlineStr">
        <is>
          <t>SALA</t>
        </is>
      </c>
      <c r="G477" t="n">
        <v>3.3</v>
      </c>
      <c r="H477" t="n">
        <v>0</v>
      </c>
      <c r="I477" t="n">
        <v>0</v>
      </c>
      <c r="J477" t="n">
        <v>0</v>
      </c>
      <c r="K477" t="n">
        <v>0</v>
      </c>
      <c r="L477" t="n">
        <v>0</v>
      </c>
      <c r="M477" t="n">
        <v>0</v>
      </c>
      <c r="N477" t="n">
        <v>0</v>
      </c>
      <c r="O477" t="n">
        <v>0</v>
      </c>
      <c r="P477" t="n">
        <v>0</v>
      </c>
      <c r="Q477" t="n">
        <v>0</v>
      </c>
      <c r="R477" s="2" t="inlineStr"/>
    </row>
    <row r="478" ht="15" customHeight="1">
      <c r="A478" t="inlineStr">
        <is>
          <t>A 62523-2025</t>
        </is>
      </c>
      <c r="B478" s="1" t="n">
        <v>46007.61512731481</v>
      </c>
      <c r="C478" s="1" t="n">
        <v>46026</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64729-2023</t>
        </is>
      </c>
      <c r="B479" s="1" t="n">
        <v>45281</v>
      </c>
      <c r="C479" s="1" t="n">
        <v>46026</v>
      </c>
      <c r="D479" t="inlineStr">
        <is>
          <t>VÄSTMANLANDS LÄN</t>
        </is>
      </c>
      <c r="E479" t="inlineStr">
        <is>
          <t>SALA</t>
        </is>
      </c>
      <c r="G479" t="n">
        <v>1.8</v>
      </c>
      <c r="H479" t="n">
        <v>0</v>
      </c>
      <c r="I479" t="n">
        <v>0</v>
      </c>
      <c r="J479" t="n">
        <v>0</v>
      </c>
      <c r="K479" t="n">
        <v>0</v>
      </c>
      <c r="L479" t="n">
        <v>0</v>
      </c>
      <c r="M479" t="n">
        <v>0</v>
      </c>
      <c r="N479" t="n">
        <v>0</v>
      </c>
      <c r="O479" t="n">
        <v>0</v>
      </c>
      <c r="P479" t="n">
        <v>0</v>
      </c>
      <c r="Q479" t="n">
        <v>0</v>
      </c>
      <c r="R479" s="2" t="inlineStr"/>
    </row>
    <row r="480" ht="15" customHeight="1">
      <c r="A480" t="inlineStr">
        <is>
          <t>A 54590-2025</t>
        </is>
      </c>
      <c r="B480" s="1" t="n">
        <v>45965.74199074074</v>
      </c>
      <c r="C480" s="1" t="n">
        <v>46026</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68864-2021</t>
        </is>
      </c>
      <c r="B481" s="1" t="n">
        <v>44530</v>
      </c>
      <c r="C481" s="1" t="n">
        <v>46026</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63046-2025</t>
        </is>
      </c>
      <c r="B482" s="1" t="n">
        <v>46009.62373842593</v>
      </c>
      <c r="C482" s="1" t="n">
        <v>46026</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64925-2023</t>
        </is>
      </c>
      <c r="B483" s="1" t="n">
        <v>45282</v>
      </c>
      <c r="C483" s="1" t="n">
        <v>46026</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48570-2024</t>
        </is>
      </c>
      <c r="B484" s="1" t="n">
        <v>45591</v>
      </c>
      <c r="C484" s="1" t="n">
        <v>46026</v>
      </c>
      <c r="D484" t="inlineStr">
        <is>
          <t>VÄSTMANLANDS LÄN</t>
        </is>
      </c>
      <c r="E484" t="inlineStr">
        <is>
          <t>SALA</t>
        </is>
      </c>
      <c r="G484" t="n">
        <v>3</v>
      </c>
      <c r="H484" t="n">
        <v>0</v>
      </c>
      <c r="I484" t="n">
        <v>0</v>
      </c>
      <c r="J484" t="n">
        <v>0</v>
      </c>
      <c r="K484" t="n">
        <v>0</v>
      </c>
      <c r="L484" t="n">
        <v>0</v>
      </c>
      <c r="M484" t="n">
        <v>0</v>
      </c>
      <c r="N484" t="n">
        <v>0</v>
      </c>
      <c r="O484" t="n">
        <v>0</v>
      </c>
      <c r="P484" t="n">
        <v>0</v>
      </c>
      <c r="Q484" t="n">
        <v>0</v>
      </c>
      <c r="R484" s="2" t="inlineStr"/>
    </row>
    <row r="485" ht="15" customHeight="1">
      <c r="A485" t="inlineStr">
        <is>
          <t>A 54893-2025</t>
        </is>
      </c>
      <c r="B485" s="1" t="n">
        <v>45967.36383101852</v>
      </c>
      <c r="C485" s="1" t="n">
        <v>46026</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61517-2024</t>
        </is>
      </c>
      <c r="B486" s="1" t="n">
        <v>45645</v>
      </c>
      <c r="C486" s="1" t="n">
        <v>46026</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16760-2024</t>
        </is>
      </c>
      <c r="B487" s="1" t="n">
        <v>45411</v>
      </c>
      <c r="C487" s="1" t="n">
        <v>46026</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63051-2025</t>
        </is>
      </c>
      <c r="B488" s="1" t="n">
        <v>46009.63134259259</v>
      </c>
      <c r="C488" s="1" t="n">
        <v>46026</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63269-2025</t>
        </is>
      </c>
      <c r="B489" s="1" t="n">
        <v>46010.56664351852</v>
      </c>
      <c r="C489" s="1" t="n">
        <v>46026</v>
      </c>
      <c r="D489" t="inlineStr">
        <is>
          <t>VÄSTMANLANDS LÄN</t>
        </is>
      </c>
      <c r="E489" t="inlineStr">
        <is>
          <t>SALA</t>
        </is>
      </c>
      <c r="G489" t="n">
        <v>6.4</v>
      </c>
      <c r="H489" t="n">
        <v>0</v>
      </c>
      <c r="I489" t="n">
        <v>0</v>
      </c>
      <c r="J489" t="n">
        <v>0</v>
      </c>
      <c r="K489" t="n">
        <v>0</v>
      </c>
      <c r="L489" t="n">
        <v>0</v>
      </c>
      <c r="M489" t="n">
        <v>0</v>
      </c>
      <c r="N489" t="n">
        <v>0</v>
      </c>
      <c r="O489" t="n">
        <v>0</v>
      </c>
      <c r="P489" t="n">
        <v>0</v>
      </c>
      <c r="Q489" t="n">
        <v>0</v>
      </c>
      <c r="R489" s="2" t="inlineStr"/>
    </row>
    <row r="490" ht="15" customHeight="1">
      <c r="A490" t="inlineStr">
        <is>
          <t>A 63055-2025</t>
        </is>
      </c>
      <c r="B490" s="1" t="n">
        <v>46009.63619212963</v>
      </c>
      <c r="C490" s="1" t="n">
        <v>46026</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63353-2025</t>
        </is>
      </c>
      <c r="B491" s="1" t="n">
        <v>46010.66670138889</v>
      </c>
      <c r="C491" s="1" t="n">
        <v>46026</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54603-2024</t>
        </is>
      </c>
      <c r="B492" s="1" t="n">
        <v>45617.68224537037</v>
      </c>
      <c r="C492" s="1" t="n">
        <v>46026</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19033-2025</t>
        </is>
      </c>
      <c r="B493" s="1" t="n">
        <v>45764.65796296296</v>
      </c>
      <c r="C493" s="1" t="n">
        <v>46026</v>
      </c>
      <c r="D493" t="inlineStr">
        <is>
          <t>VÄSTMANLANDS LÄN</t>
        </is>
      </c>
      <c r="E493" t="inlineStr">
        <is>
          <t>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18762-2024</t>
        </is>
      </c>
      <c r="B494" s="1" t="n">
        <v>45426.55240740741</v>
      </c>
      <c r="C494" s="1" t="n">
        <v>46026</v>
      </c>
      <c r="D494" t="inlineStr">
        <is>
          <t>VÄSTMANLANDS LÄN</t>
        </is>
      </c>
      <c r="E494" t="inlineStr">
        <is>
          <t>SALA</t>
        </is>
      </c>
      <c r="G494" t="n">
        <v>6.2</v>
      </c>
      <c r="H494" t="n">
        <v>0</v>
      </c>
      <c r="I494" t="n">
        <v>0</v>
      </c>
      <c r="J494" t="n">
        <v>0</v>
      </c>
      <c r="K494" t="n">
        <v>0</v>
      </c>
      <c r="L494" t="n">
        <v>0</v>
      </c>
      <c r="M494" t="n">
        <v>0</v>
      </c>
      <c r="N494" t="n">
        <v>0</v>
      </c>
      <c r="O494" t="n">
        <v>0</v>
      </c>
      <c r="P494" t="n">
        <v>0</v>
      </c>
      <c r="Q494" t="n">
        <v>0</v>
      </c>
      <c r="R494" s="2" t="inlineStr"/>
    </row>
    <row r="495" ht="15" customHeight="1">
      <c r="A495" t="inlineStr">
        <is>
          <t>A 17120-2023</t>
        </is>
      </c>
      <c r="B495" s="1" t="n">
        <v>45034</v>
      </c>
      <c r="C495" s="1" t="n">
        <v>46026</v>
      </c>
      <c r="D495" t="inlineStr">
        <is>
          <t>VÄSTMANLANDS LÄN</t>
        </is>
      </c>
      <c r="E495" t="inlineStr">
        <is>
          <t>SALA</t>
        </is>
      </c>
      <c r="G495" t="n">
        <v>0.1</v>
      </c>
      <c r="H495" t="n">
        <v>0</v>
      </c>
      <c r="I495" t="n">
        <v>0</v>
      </c>
      <c r="J495" t="n">
        <v>0</v>
      </c>
      <c r="K495" t="n">
        <v>0</v>
      </c>
      <c r="L495" t="n">
        <v>0</v>
      </c>
      <c r="M495" t="n">
        <v>0</v>
      </c>
      <c r="N495" t="n">
        <v>0</v>
      </c>
      <c r="O495" t="n">
        <v>0</v>
      </c>
      <c r="P495" t="n">
        <v>0</v>
      </c>
      <c r="Q495" t="n">
        <v>0</v>
      </c>
      <c r="R495" s="2" t="inlineStr"/>
    </row>
    <row r="496" ht="15" customHeight="1">
      <c r="A496" t="inlineStr">
        <is>
          <t>A 42938-2023</t>
        </is>
      </c>
      <c r="B496" s="1" t="n">
        <v>45179</v>
      </c>
      <c r="C496" s="1" t="n">
        <v>46026</v>
      </c>
      <c r="D496" t="inlineStr">
        <is>
          <t>VÄSTMANLANDS LÄN</t>
        </is>
      </c>
      <c r="E496" t="inlineStr">
        <is>
          <t>SALA</t>
        </is>
      </c>
      <c r="G496" t="n">
        <v>10.9</v>
      </c>
      <c r="H496" t="n">
        <v>0</v>
      </c>
      <c r="I496" t="n">
        <v>0</v>
      </c>
      <c r="J496" t="n">
        <v>0</v>
      </c>
      <c r="K496" t="n">
        <v>0</v>
      </c>
      <c r="L496" t="n">
        <v>0</v>
      </c>
      <c r="M496" t="n">
        <v>0</v>
      </c>
      <c r="N496" t="n">
        <v>0</v>
      </c>
      <c r="O496" t="n">
        <v>0</v>
      </c>
      <c r="P496" t="n">
        <v>0</v>
      </c>
      <c r="Q496" t="n">
        <v>0</v>
      </c>
      <c r="R496" s="2" t="inlineStr"/>
    </row>
    <row r="497" ht="15" customHeight="1">
      <c r="A497" t="inlineStr">
        <is>
          <t>A 42984-2023</t>
        </is>
      </c>
      <c r="B497" s="1" t="n">
        <v>45179</v>
      </c>
      <c r="C497" s="1" t="n">
        <v>46026</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15972-2024</t>
        </is>
      </c>
      <c r="B498" s="1" t="n">
        <v>45405.56498842593</v>
      </c>
      <c r="C498" s="1" t="n">
        <v>46026</v>
      </c>
      <c r="D498" t="inlineStr">
        <is>
          <t>VÄSTMANLANDS LÄN</t>
        </is>
      </c>
      <c r="E498" t="inlineStr">
        <is>
          <t>SALA</t>
        </is>
      </c>
      <c r="G498" t="n">
        <v>1.8</v>
      </c>
      <c r="H498" t="n">
        <v>0</v>
      </c>
      <c r="I498" t="n">
        <v>0</v>
      </c>
      <c r="J498" t="n">
        <v>0</v>
      </c>
      <c r="K498" t="n">
        <v>0</v>
      </c>
      <c r="L498" t="n">
        <v>0</v>
      </c>
      <c r="M498" t="n">
        <v>0</v>
      </c>
      <c r="N498" t="n">
        <v>0</v>
      </c>
      <c r="O498" t="n">
        <v>0</v>
      </c>
      <c r="P498" t="n">
        <v>0</v>
      </c>
      <c r="Q498" t="n">
        <v>0</v>
      </c>
      <c r="R498" s="2" t="inlineStr"/>
    </row>
    <row r="499" ht="15" customHeight="1">
      <c r="A499" t="inlineStr">
        <is>
          <t>A 39714-2023</t>
        </is>
      </c>
      <c r="B499" s="1" t="n">
        <v>45167.62133101852</v>
      </c>
      <c r="C499" s="1" t="n">
        <v>46026</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55760-2025</t>
        </is>
      </c>
      <c r="B500" s="1" t="n">
        <v>45972</v>
      </c>
      <c r="C500" s="1" t="n">
        <v>46026</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33527-2023</t>
        </is>
      </c>
      <c r="B501" s="1" t="n">
        <v>45131</v>
      </c>
      <c r="C501" s="1" t="n">
        <v>46026</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10913-2025</t>
        </is>
      </c>
      <c r="B502" s="1" t="n">
        <v>45722.73423611111</v>
      </c>
      <c r="C502" s="1" t="n">
        <v>46026</v>
      </c>
      <c r="D502" t="inlineStr">
        <is>
          <t>VÄSTMANLANDS LÄN</t>
        </is>
      </c>
      <c r="E502" t="inlineStr">
        <is>
          <t>SALA</t>
        </is>
      </c>
      <c r="G502" t="n">
        <v>7.6</v>
      </c>
      <c r="H502" t="n">
        <v>0</v>
      </c>
      <c r="I502" t="n">
        <v>0</v>
      </c>
      <c r="J502" t="n">
        <v>0</v>
      </c>
      <c r="K502" t="n">
        <v>0</v>
      </c>
      <c r="L502" t="n">
        <v>0</v>
      </c>
      <c r="M502" t="n">
        <v>0</v>
      </c>
      <c r="N502" t="n">
        <v>0</v>
      </c>
      <c r="O502" t="n">
        <v>0</v>
      </c>
      <c r="P502" t="n">
        <v>0</v>
      </c>
      <c r="Q502" t="n">
        <v>0</v>
      </c>
      <c r="R502" s="2" t="inlineStr"/>
    </row>
    <row r="503" ht="15" customHeight="1">
      <c r="A503" t="inlineStr">
        <is>
          <t>A 58107-2021</t>
        </is>
      </c>
      <c r="B503" s="1" t="n">
        <v>44487</v>
      </c>
      <c r="C503" s="1" t="n">
        <v>46026</v>
      </c>
      <c r="D503" t="inlineStr">
        <is>
          <t>VÄSTMANLANDS LÄN</t>
        </is>
      </c>
      <c r="E503" t="inlineStr">
        <is>
          <t>SALA</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55997-2025</t>
        </is>
      </c>
      <c r="B504" s="1" t="n">
        <v>45973.56833333334</v>
      </c>
      <c r="C504" s="1" t="n">
        <v>46026</v>
      </c>
      <c r="D504" t="inlineStr">
        <is>
          <t>VÄSTMANLANDS LÄN</t>
        </is>
      </c>
      <c r="E504" t="inlineStr">
        <is>
          <t>SALA</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2927-2024</t>
        </is>
      </c>
      <c r="B505" s="1" t="n">
        <v>45315.58989583333</v>
      </c>
      <c r="C505" s="1" t="n">
        <v>46026</v>
      </c>
      <c r="D505" t="inlineStr">
        <is>
          <t>VÄSTMANLANDS LÄN</t>
        </is>
      </c>
      <c r="E505" t="inlineStr">
        <is>
          <t>SALA</t>
        </is>
      </c>
      <c r="G505" t="n">
        <v>2.5</v>
      </c>
      <c r="H505" t="n">
        <v>0</v>
      </c>
      <c r="I505" t="n">
        <v>0</v>
      </c>
      <c r="J505" t="n">
        <v>0</v>
      </c>
      <c r="K505" t="n">
        <v>0</v>
      </c>
      <c r="L505" t="n">
        <v>0</v>
      </c>
      <c r="M505" t="n">
        <v>0</v>
      </c>
      <c r="N505" t="n">
        <v>0</v>
      </c>
      <c r="O505" t="n">
        <v>0</v>
      </c>
      <c r="P505" t="n">
        <v>0</v>
      </c>
      <c r="Q505" t="n">
        <v>0</v>
      </c>
      <c r="R505" s="2" t="inlineStr"/>
    </row>
    <row r="506" ht="15" customHeight="1">
      <c r="A506" t="inlineStr">
        <is>
          <t>A 37183-2024</t>
        </is>
      </c>
      <c r="B506" s="1" t="n">
        <v>45539</v>
      </c>
      <c r="C506" s="1" t="n">
        <v>46026</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55714-2025</t>
        </is>
      </c>
      <c r="B507" s="1" t="n">
        <v>45972.49131944445</v>
      </c>
      <c r="C507" s="1" t="n">
        <v>46026</v>
      </c>
      <c r="D507" t="inlineStr">
        <is>
          <t>VÄSTMANLANDS LÄN</t>
        </is>
      </c>
      <c r="E507" t="inlineStr">
        <is>
          <t>SALA</t>
        </is>
      </c>
      <c r="G507" t="n">
        <v>6.6</v>
      </c>
      <c r="H507" t="n">
        <v>0</v>
      </c>
      <c r="I507" t="n">
        <v>0</v>
      </c>
      <c r="J507" t="n">
        <v>0</v>
      </c>
      <c r="K507" t="n">
        <v>0</v>
      </c>
      <c r="L507" t="n">
        <v>0</v>
      </c>
      <c r="M507" t="n">
        <v>0</v>
      </c>
      <c r="N507" t="n">
        <v>0</v>
      </c>
      <c r="O507" t="n">
        <v>0</v>
      </c>
      <c r="P507" t="n">
        <v>0</v>
      </c>
      <c r="Q507" t="n">
        <v>0</v>
      </c>
      <c r="R507" s="2" t="inlineStr"/>
    </row>
    <row r="508" ht="15" customHeight="1">
      <c r="A508" t="inlineStr">
        <is>
          <t>A 56614-2025</t>
        </is>
      </c>
      <c r="B508" s="1" t="n">
        <v>45975.59288194445</v>
      </c>
      <c r="C508" s="1" t="n">
        <v>46026</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54199-2024</t>
        </is>
      </c>
      <c r="B509" s="1" t="n">
        <v>45616.64703703704</v>
      </c>
      <c r="C509" s="1" t="n">
        <v>46026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56611-2025</t>
        </is>
      </c>
      <c r="B510" s="1" t="n">
        <v>45975</v>
      </c>
      <c r="C510" s="1" t="n">
        <v>46026</v>
      </c>
      <c r="D510" t="inlineStr">
        <is>
          <t>VÄSTMANLANDS LÄN</t>
        </is>
      </c>
      <c r="E510" t="inlineStr">
        <is>
          <t>SALA</t>
        </is>
      </c>
      <c r="G510" t="n">
        <v>2.8</v>
      </c>
      <c r="H510" t="n">
        <v>0</v>
      </c>
      <c r="I510" t="n">
        <v>0</v>
      </c>
      <c r="J510" t="n">
        <v>0</v>
      </c>
      <c r="K510" t="n">
        <v>0</v>
      </c>
      <c r="L510" t="n">
        <v>0</v>
      </c>
      <c r="M510" t="n">
        <v>0</v>
      </c>
      <c r="N510" t="n">
        <v>0</v>
      </c>
      <c r="O510" t="n">
        <v>0</v>
      </c>
      <c r="P510" t="n">
        <v>0</v>
      </c>
      <c r="Q510" t="n">
        <v>0</v>
      </c>
      <c r="R510" s="2" t="inlineStr"/>
    </row>
    <row r="511" ht="15" customHeight="1">
      <c r="A511" t="inlineStr">
        <is>
          <t>A 60548-2024</t>
        </is>
      </c>
      <c r="B511" s="1" t="n">
        <v>45643.80978009259</v>
      </c>
      <c r="C511" s="1" t="n">
        <v>46026</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57014-2025</t>
        </is>
      </c>
      <c r="B512" s="1" t="n">
        <v>45978</v>
      </c>
      <c r="C512" s="1" t="n">
        <v>46026</v>
      </c>
      <c r="D512" t="inlineStr">
        <is>
          <t>VÄSTMANLANDS LÄN</t>
        </is>
      </c>
      <c r="E512" t="inlineStr">
        <is>
          <t>SALA</t>
        </is>
      </c>
      <c r="G512" t="n">
        <v>2.2</v>
      </c>
      <c r="H512" t="n">
        <v>0</v>
      </c>
      <c r="I512" t="n">
        <v>0</v>
      </c>
      <c r="J512" t="n">
        <v>0</v>
      </c>
      <c r="K512" t="n">
        <v>0</v>
      </c>
      <c r="L512" t="n">
        <v>0</v>
      </c>
      <c r="M512" t="n">
        <v>0</v>
      </c>
      <c r="N512" t="n">
        <v>0</v>
      </c>
      <c r="O512" t="n">
        <v>0</v>
      </c>
      <c r="P512" t="n">
        <v>0</v>
      </c>
      <c r="Q512" t="n">
        <v>0</v>
      </c>
      <c r="R512" s="2" t="inlineStr"/>
    </row>
    <row r="513" ht="15" customHeight="1">
      <c r="A513" t="inlineStr">
        <is>
          <t>A 56502-2025</t>
        </is>
      </c>
      <c r="B513" s="1" t="n">
        <v>45975</v>
      </c>
      <c r="C513" s="1" t="n">
        <v>46026</v>
      </c>
      <c r="D513" t="inlineStr">
        <is>
          <t>VÄSTMANLANDS LÄN</t>
        </is>
      </c>
      <c r="E513" t="inlineStr">
        <is>
          <t>SALA</t>
        </is>
      </c>
      <c r="F513" t="inlineStr">
        <is>
          <t>Sveaskog</t>
        </is>
      </c>
      <c r="G513" t="n">
        <v>1.9</v>
      </c>
      <c r="H513" t="n">
        <v>0</v>
      </c>
      <c r="I513" t="n">
        <v>0</v>
      </c>
      <c r="J513" t="n">
        <v>0</v>
      </c>
      <c r="K513" t="n">
        <v>0</v>
      </c>
      <c r="L513" t="n">
        <v>0</v>
      </c>
      <c r="M513" t="n">
        <v>0</v>
      </c>
      <c r="N513" t="n">
        <v>0</v>
      </c>
      <c r="O513" t="n">
        <v>0</v>
      </c>
      <c r="P513" t="n">
        <v>0</v>
      </c>
      <c r="Q513" t="n">
        <v>0</v>
      </c>
      <c r="R513" s="2" t="inlineStr"/>
    </row>
    <row r="514" ht="15" customHeight="1">
      <c r="A514" t="inlineStr">
        <is>
          <t>A 56593-2025</t>
        </is>
      </c>
      <c r="B514" s="1" t="n">
        <v>45975</v>
      </c>
      <c r="C514" s="1" t="n">
        <v>46026</v>
      </c>
      <c r="D514" t="inlineStr">
        <is>
          <t>VÄSTMANLANDS LÄN</t>
        </is>
      </c>
      <c r="E514" t="inlineStr">
        <is>
          <t>SALA</t>
        </is>
      </c>
      <c r="F514" t="inlineStr">
        <is>
          <t>Kyrkan</t>
        </is>
      </c>
      <c r="G514" t="n">
        <v>0.1</v>
      </c>
      <c r="H514" t="n">
        <v>0</v>
      </c>
      <c r="I514" t="n">
        <v>0</v>
      </c>
      <c r="J514" t="n">
        <v>0</v>
      </c>
      <c r="K514" t="n">
        <v>0</v>
      </c>
      <c r="L514" t="n">
        <v>0</v>
      </c>
      <c r="M514" t="n">
        <v>0</v>
      </c>
      <c r="N514" t="n">
        <v>0</v>
      </c>
      <c r="O514" t="n">
        <v>0</v>
      </c>
      <c r="P514" t="n">
        <v>0</v>
      </c>
      <c r="Q514" t="n">
        <v>0</v>
      </c>
      <c r="R514" s="2" t="inlineStr"/>
    </row>
    <row r="515" ht="15" customHeight="1">
      <c r="A515" t="inlineStr">
        <is>
          <t>A 63749-2025</t>
        </is>
      </c>
      <c r="B515" s="1" t="n">
        <v>46017.75243055556</v>
      </c>
      <c r="C515" s="1" t="n">
        <v>46026</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56645-2025</t>
        </is>
      </c>
      <c r="B516" s="1" t="n">
        <v>45975.63063657407</v>
      </c>
      <c r="C516" s="1" t="n">
        <v>46026</v>
      </c>
      <c r="D516" t="inlineStr">
        <is>
          <t>VÄSTMANLANDS LÄN</t>
        </is>
      </c>
      <c r="E516" t="inlineStr">
        <is>
          <t>SALA</t>
        </is>
      </c>
      <c r="F516" t="inlineStr">
        <is>
          <t>Bergvik skog öst AB</t>
        </is>
      </c>
      <c r="G516" t="n">
        <v>5.3</v>
      </c>
      <c r="H516" t="n">
        <v>0</v>
      </c>
      <c r="I516" t="n">
        <v>0</v>
      </c>
      <c r="J516" t="n">
        <v>0</v>
      </c>
      <c r="K516" t="n">
        <v>0</v>
      </c>
      <c r="L516" t="n">
        <v>0</v>
      </c>
      <c r="M516" t="n">
        <v>0</v>
      </c>
      <c r="N516" t="n">
        <v>0</v>
      </c>
      <c r="O516" t="n">
        <v>0</v>
      </c>
      <c r="P516" t="n">
        <v>0</v>
      </c>
      <c r="Q516" t="n">
        <v>0</v>
      </c>
      <c r="R516" s="2" t="inlineStr"/>
    </row>
    <row r="517" ht="15" customHeight="1">
      <c r="A517" t="inlineStr">
        <is>
          <t>A 63748-2025</t>
        </is>
      </c>
      <c r="B517" s="1" t="n">
        <v>46017.71640046296</v>
      </c>
      <c r="C517" s="1" t="n">
        <v>46026</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57895-2024</t>
        </is>
      </c>
      <c r="B518" s="1" t="n">
        <v>45631</v>
      </c>
      <c r="C518" s="1" t="n">
        <v>46026</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31597-2024</t>
        </is>
      </c>
      <c r="B519" s="1" t="n">
        <v>45506</v>
      </c>
      <c r="C519" s="1" t="n">
        <v>46026</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17458-2024</t>
        </is>
      </c>
      <c r="B520" s="1" t="n">
        <v>45415</v>
      </c>
      <c r="C520" s="1" t="n">
        <v>46026</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56543-2024</t>
        </is>
      </c>
      <c r="B521" s="1" t="n">
        <v>45625</v>
      </c>
      <c r="C521" s="1" t="n">
        <v>46026</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57412-2025</t>
        </is>
      </c>
      <c r="B522" s="1" t="n">
        <v>45980.44883101852</v>
      </c>
      <c r="C522" s="1" t="n">
        <v>46026</v>
      </c>
      <c r="D522" t="inlineStr">
        <is>
          <t>VÄSTMANLANDS LÄN</t>
        </is>
      </c>
      <c r="E522" t="inlineStr">
        <is>
          <t>SALA</t>
        </is>
      </c>
      <c r="F522" t="inlineStr">
        <is>
          <t>Bergvik skog öst AB</t>
        </is>
      </c>
      <c r="G522" t="n">
        <v>4.5</v>
      </c>
      <c r="H522" t="n">
        <v>0</v>
      </c>
      <c r="I522" t="n">
        <v>0</v>
      </c>
      <c r="J522" t="n">
        <v>0</v>
      </c>
      <c r="K522" t="n">
        <v>0</v>
      </c>
      <c r="L522" t="n">
        <v>0</v>
      </c>
      <c r="M522" t="n">
        <v>0</v>
      </c>
      <c r="N522" t="n">
        <v>0</v>
      </c>
      <c r="O522" t="n">
        <v>0</v>
      </c>
      <c r="P522" t="n">
        <v>0</v>
      </c>
      <c r="Q522" t="n">
        <v>0</v>
      </c>
      <c r="R522" s="2" t="inlineStr"/>
    </row>
    <row r="523" ht="15" customHeight="1">
      <c r="A523" t="inlineStr">
        <is>
          <t>A 57414-2025</t>
        </is>
      </c>
      <c r="B523" s="1" t="n">
        <v>45980.45003472222</v>
      </c>
      <c r="C523" s="1" t="n">
        <v>46026</v>
      </c>
      <c r="D523" t="inlineStr">
        <is>
          <t>VÄSTMANLANDS LÄN</t>
        </is>
      </c>
      <c r="E523" t="inlineStr">
        <is>
          <t>SALA</t>
        </is>
      </c>
      <c r="F523" t="inlineStr">
        <is>
          <t>Bergvik skog öst AB</t>
        </is>
      </c>
      <c r="G523" t="n">
        <v>2</v>
      </c>
      <c r="H523" t="n">
        <v>0</v>
      </c>
      <c r="I523" t="n">
        <v>0</v>
      </c>
      <c r="J523" t="n">
        <v>0</v>
      </c>
      <c r="K523" t="n">
        <v>0</v>
      </c>
      <c r="L523" t="n">
        <v>0</v>
      </c>
      <c r="M523" t="n">
        <v>0</v>
      </c>
      <c r="N523" t="n">
        <v>0</v>
      </c>
      <c r="O523" t="n">
        <v>0</v>
      </c>
      <c r="P523" t="n">
        <v>0</v>
      </c>
      <c r="Q523" t="n">
        <v>0</v>
      </c>
      <c r="R523" s="2" t="inlineStr"/>
    </row>
    <row r="524" ht="15" customHeight="1">
      <c r="A524" t="inlineStr">
        <is>
          <t>A 57415-2025</t>
        </is>
      </c>
      <c r="B524" s="1" t="n">
        <v>45980.45099537037</v>
      </c>
      <c r="C524" s="1" t="n">
        <v>46026</v>
      </c>
      <c r="D524" t="inlineStr">
        <is>
          <t>VÄSTMANLANDS LÄN</t>
        </is>
      </c>
      <c r="E524" t="inlineStr">
        <is>
          <t>SALA</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28661-2024</t>
        </is>
      </c>
      <c r="B525" s="1" t="n">
        <v>45478</v>
      </c>
      <c r="C525" s="1" t="n">
        <v>46026</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2529-2022</t>
        </is>
      </c>
      <c r="B526" s="1" t="n">
        <v>44579.86452546297</v>
      </c>
      <c r="C526" s="1" t="n">
        <v>46026</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56540-2024</t>
        </is>
      </c>
      <c r="B527" s="1" t="n">
        <v>45625</v>
      </c>
      <c r="C527" s="1" t="n">
        <v>46026</v>
      </c>
      <c r="D527" t="inlineStr">
        <is>
          <t>VÄSTMANLANDS LÄN</t>
        </is>
      </c>
      <c r="E527" t="inlineStr">
        <is>
          <t>SALA</t>
        </is>
      </c>
      <c r="G527" t="n">
        <v>1.8</v>
      </c>
      <c r="H527" t="n">
        <v>0</v>
      </c>
      <c r="I527" t="n">
        <v>0</v>
      </c>
      <c r="J527" t="n">
        <v>0</v>
      </c>
      <c r="K527" t="n">
        <v>0</v>
      </c>
      <c r="L527" t="n">
        <v>0</v>
      </c>
      <c r="M527" t="n">
        <v>0</v>
      </c>
      <c r="N527" t="n">
        <v>0</v>
      </c>
      <c r="O527" t="n">
        <v>0</v>
      </c>
      <c r="P527" t="n">
        <v>0</v>
      </c>
      <c r="Q527" t="n">
        <v>0</v>
      </c>
      <c r="R527" s="2" t="inlineStr"/>
    </row>
    <row r="528" ht="15" customHeight="1">
      <c r="A528" t="inlineStr">
        <is>
          <t>A 31599-2024</t>
        </is>
      </c>
      <c r="B528" s="1" t="n">
        <v>45506</v>
      </c>
      <c r="C528" s="1" t="n">
        <v>46026</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31601-2024</t>
        </is>
      </c>
      <c r="B529" s="1" t="n">
        <v>45506</v>
      </c>
      <c r="C529" s="1" t="n">
        <v>46026</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31608-2024</t>
        </is>
      </c>
      <c r="B530" s="1" t="n">
        <v>45506</v>
      </c>
      <c r="C530" s="1" t="n">
        <v>46026</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31612-2024</t>
        </is>
      </c>
      <c r="B531" s="1" t="n">
        <v>45506</v>
      </c>
      <c r="C531" s="1" t="n">
        <v>46026</v>
      </c>
      <c r="D531" t="inlineStr">
        <is>
          <t>VÄSTMANLANDS LÄN</t>
        </is>
      </c>
      <c r="E531" t="inlineStr">
        <is>
          <t>SALA</t>
        </is>
      </c>
      <c r="G531" t="n">
        <v>3.2</v>
      </c>
      <c r="H531" t="n">
        <v>0</v>
      </c>
      <c r="I531" t="n">
        <v>0</v>
      </c>
      <c r="J531" t="n">
        <v>0</v>
      </c>
      <c r="K531" t="n">
        <v>0</v>
      </c>
      <c r="L531" t="n">
        <v>0</v>
      </c>
      <c r="M531" t="n">
        <v>0</v>
      </c>
      <c r="N531" t="n">
        <v>0</v>
      </c>
      <c r="O531" t="n">
        <v>0</v>
      </c>
      <c r="P531" t="n">
        <v>0</v>
      </c>
      <c r="Q531" t="n">
        <v>0</v>
      </c>
      <c r="R531" s="2" t="inlineStr"/>
    </row>
    <row r="532" ht="15" customHeight="1">
      <c r="A532" t="inlineStr">
        <is>
          <t>A 10579-2022</t>
        </is>
      </c>
      <c r="B532" s="1" t="n">
        <v>44624</v>
      </c>
      <c r="C532" s="1" t="n">
        <v>46026</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64693-2023</t>
        </is>
      </c>
      <c r="B533" s="1" t="n">
        <v>45281.63850694444</v>
      </c>
      <c r="C533" s="1" t="n">
        <v>46026</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64695-2023</t>
        </is>
      </c>
      <c r="B534" s="1" t="n">
        <v>45281.64099537037</v>
      </c>
      <c r="C534" s="1" t="n">
        <v>46026</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55784-2024</t>
        </is>
      </c>
      <c r="B535" s="1" t="n">
        <v>45623</v>
      </c>
      <c r="C535" s="1" t="n">
        <v>46026</v>
      </c>
      <c r="D535" t="inlineStr">
        <is>
          <t>VÄSTMANLANDS LÄN</t>
        </is>
      </c>
      <c r="E535" t="inlineStr">
        <is>
          <t>SALA</t>
        </is>
      </c>
      <c r="F535" t="inlineStr">
        <is>
          <t>Bergvik skog öst AB</t>
        </is>
      </c>
      <c r="G535" t="n">
        <v>28.4</v>
      </c>
      <c r="H535" t="n">
        <v>0</v>
      </c>
      <c r="I535" t="n">
        <v>0</v>
      </c>
      <c r="J535" t="n">
        <v>0</v>
      </c>
      <c r="K535" t="n">
        <v>0</v>
      </c>
      <c r="L535" t="n">
        <v>0</v>
      </c>
      <c r="M535" t="n">
        <v>0</v>
      </c>
      <c r="N535" t="n">
        <v>0</v>
      </c>
      <c r="O535" t="n">
        <v>0</v>
      </c>
      <c r="P535" t="n">
        <v>0</v>
      </c>
      <c r="Q535" t="n">
        <v>0</v>
      </c>
      <c r="R535" s="2" t="inlineStr"/>
    </row>
    <row r="536" ht="15" customHeight="1">
      <c r="A536" t="inlineStr">
        <is>
          <t>A 29542-2023</t>
        </is>
      </c>
      <c r="B536" s="1" t="n">
        <v>45098</v>
      </c>
      <c r="C536" s="1" t="n">
        <v>46026</v>
      </c>
      <c r="D536" t="inlineStr">
        <is>
          <t>VÄSTMANLANDS LÄN</t>
        </is>
      </c>
      <c r="E536" t="inlineStr">
        <is>
          <t>SALA</t>
        </is>
      </c>
      <c r="G536" t="n">
        <v>4.8</v>
      </c>
      <c r="H536" t="n">
        <v>0</v>
      </c>
      <c r="I536" t="n">
        <v>0</v>
      </c>
      <c r="J536" t="n">
        <v>0</v>
      </c>
      <c r="K536" t="n">
        <v>0</v>
      </c>
      <c r="L536" t="n">
        <v>0</v>
      </c>
      <c r="M536" t="n">
        <v>0</v>
      </c>
      <c r="N536" t="n">
        <v>0</v>
      </c>
      <c r="O536" t="n">
        <v>0</v>
      </c>
      <c r="P536" t="n">
        <v>0</v>
      </c>
      <c r="Q536" t="n">
        <v>0</v>
      </c>
      <c r="R536" s="2" t="inlineStr"/>
    </row>
    <row r="537" ht="15" customHeight="1">
      <c r="A537" t="inlineStr">
        <is>
          <t>A 27038-2023</t>
        </is>
      </c>
      <c r="B537" s="1" t="n">
        <v>45095</v>
      </c>
      <c r="C537" s="1" t="n">
        <v>46026</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17051-2025</t>
        </is>
      </c>
      <c r="B538" s="1" t="n">
        <v>45755</v>
      </c>
      <c r="C538" s="1" t="n">
        <v>46026</v>
      </c>
      <c r="D538" t="inlineStr">
        <is>
          <t>VÄSTMANLANDS LÄN</t>
        </is>
      </c>
      <c r="E538" t="inlineStr">
        <is>
          <t>SALA</t>
        </is>
      </c>
      <c r="G538" t="n">
        <v>2.9</v>
      </c>
      <c r="H538" t="n">
        <v>0</v>
      </c>
      <c r="I538" t="n">
        <v>0</v>
      </c>
      <c r="J538" t="n">
        <v>0</v>
      </c>
      <c r="K538" t="n">
        <v>0</v>
      </c>
      <c r="L538" t="n">
        <v>0</v>
      </c>
      <c r="M538" t="n">
        <v>0</v>
      </c>
      <c r="N538" t="n">
        <v>0</v>
      </c>
      <c r="O538" t="n">
        <v>0</v>
      </c>
      <c r="P538" t="n">
        <v>0</v>
      </c>
      <c r="Q538" t="n">
        <v>0</v>
      </c>
      <c r="R538" s="2" t="inlineStr"/>
    </row>
    <row r="539" ht="15" customHeight="1">
      <c r="A539" t="inlineStr">
        <is>
          <t>A 8285-2025</t>
        </is>
      </c>
      <c r="B539" s="1" t="n">
        <v>45708</v>
      </c>
      <c r="C539" s="1" t="n">
        <v>46026</v>
      </c>
      <c r="D539" t="inlineStr">
        <is>
          <t>VÄSTMANLANDS LÄN</t>
        </is>
      </c>
      <c r="E539" t="inlineStr">
        <is>
          <t>SALA</t>
        </is>
      </c>
      <c r="G539" t="n">
        <v>5.7</v>
      </c>
      <c r="H539" t="n">
        <v>0</v>
      </c>
      <c r="I539" t="n">
        <v>0</v>
      </c>
      <c r="J539" t="n">
        <v>0</v>
      </c>
      <c r="K539" t="n">
        <v>0</v>
      </c>
      <c r="L539" t="n">
        <v>0</v>
      </c>
      <c r="M539" t="n">
        <v>0</v>
      </c>
      <c r="N539" t="n">
        <v>0</v>
      </c>
      <c r="O539" t="n">
        <v>0</v>
      </c>
      <c r="P539" t="n">
        <v>0</v>
      </c>
      <c r="Q539" t="n">
        <v>0</v>
      </c>
      <c r="R539" s="2" t="inlineStr"/>
    </row>
    <row r="540" ht="15" customHeight="1">
      <c r="A540" t="inlineStr">
        <is>
          <t>A 14010-2021</t>
        </is>
      </c>
      <c r="B540" s="1" t="n">
        <v>44277.63396990741</v>
      </c>
      <c r="C540" s="1" t="n">
        <v>46026</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22019-2021</t>
        </is>
      </c>
      <c r="B541" s="1" t="n">
        <v>44323</v>
      </c>
      <c r="C541" s="1" t="n">
        <v>46026</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57404-2024</t>
        </is>
      </c>
      <c r="B542" s="1" t="n">
        <v>45629.71967592592</v>
      </c>
      <c r="C542" s="1" t="n">
        <v>46026</v>
      </c>
      <c r="D542" t="inlineStr">
        <is>
          <t>VÄSTMANLANDS LÄN</t>
        </is>
      </c>
      <c r="E542" t="inlineStr">
        <is>
          <t>SALA</t>
        </is>
      </c>
      <c r="G542" t="n">
        <v>0.3</v>
      </c>
      <c r="H542" t="n">
        <v>0</v>
      </c>
      <c r="I542" t="n">
        <v>0</v>
      </c>
      <c r="J542" t="n">
        <v>0</v>
      </c>
      <c r="K542" t="n">
        <v>0</v>
      </c>
      <c r="L542" t="n">
        <v>0</v>
      </c>
      <c r="M542" t="n">
        <v>0</v>
      </c>
      <c r="N542" t="n">
        <v>0</v>
      </c>
      <c r="O542" t="n">
        <v>0</v>
      </c>
      <c r="P542" t="n">
        <v>0</v>
      </c>
      <c r="Q542" t="n">
        <v>0</v>
      </c>
      <c r="R542" s="2" t="inlineStr"/>
    </row>
    <row r="543" ht="15" customHeight="1">
      <c r="A543" t="inlineStr">
        <is>
          <t>A 21777-2022</t>
        </is>
      </c>
      <c r="B543" s="1" t="n">
        <v>44708.48194444444</v>
      </c>
      <c r="C543" s="1" t="n">
        <v>46026</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17866-2025</t>
        </is>
      </c>
      <c r="B544" s="1" t="n">
        <v>45758</v>
      </c>
      <c r="C544" s="1" t="n">
        <v>46026</v>
      </c>
      <c r="D544" t="inlineStr">
        <is>
          <t>VÄSTMANLANDS LÄN</t>
        </is>
      </c>
      <c r="E544" t="inlineStr">
        <is>
          <t>SALA</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33732-2023</t>
        </is>
      </c>
      <c r="B545" s="1" t="n">
        <v>45133.32409722222</v>
      </c>
      <c r="C545" s="1" t="n">
        <v>46026</v>
      </c>
      <c r="D545" t="inlineStr">
        <is>
          <t>VÄSTMANLANDS LÄN</t>
        </is>
      </c>
      <c r="E545" t="inlineStr">
        <is>
          <t>SALA</t>
        </is>
      </c>
      <c r="G545" t="n">
        <v>2</v>
      </c>
      <c r="H545" t="n">
        <v>0</v>
      </c>
      <c r="I545" t="n">
        <v>0</v>
      </c>
      <c r="J545" t="n">
        <v>0</v>
      </c>
      <c r="K545" t="n">
        <v>0</v>
      </c>
      <c r="L545" t="n">
        <v>0</v>
      </c>
      <c r="M545" t="n">
        <v>0</v>
      </c>
      <c r="N545" t="n">
        <v>0</v>
      </c>
      <c r="O545" t="n">
        <v>0</v>
      </c>
      <c r="P545" t="n">
        <v>0</v>
      </c>
      <c r="Q545" t="n">
        <v>0</v>
      </c>
      <c r="R545" s="2" t="inlineStr"/>
    </row>
    <row r="546" ht="15" customHeight="1">
      <c r="A546" t="inlineStr">
        <is>
          <t>A 7166-2025</t>
        </is>
      </c>
      <c r="B546" s="1" t="n">
        <v>45702</v>
      </c>
      <c r="C546" s="1" t="n">
        <v>46026</v>
      </c>
      <c r="D546" t="inlineStr">
        <is>
          <t>VÄSTMANLANDS LÄN</t>
        </is>
      </c>
      <c r="E546" t="inlineStr">
        <is>
          <t>SALA</t>
        </is>
      </c>
      <c r="G546" t="n">
        <v>6.1</v>
      </c>
      <c r="H546" t="n">
        <v>0</v>
      </c>
      <c r="I546" t="n">
        <v>0</v>
      </c>
      <c r="J546" t="n">
        <v>0</v>
      </c>
      <c r="K546" t="n">
        <v>0</v>
      </c>
      <c r="L546" t="n">
        <v>0</v>
      </c>
      <c r="M546" t="n">
        <v>0</v>
      </c>
      <c r="N546" t="n">
        <v>0</v>
      </c>
      <c r="O546" t="n">
        <v>0</v>
      </c>
      <c r="P546" t="n">
        <v>0</v>
      </c>
      <c r="Q546" t="n">
        <v>0</v>
      </c>
      <c r="R546" s="2" t="inlineStr"/>
    </row>
    <row r="547" ht="15" customHeight="1">
      <c r="A547" t="inlineStr">
        <is>
          <t>A 44857-2023</t>
        </is>
      </c>
      <c r="B547" s="1" t="n">
        <v>45190.58479166667</v>
      </c>
      <c r="C547" s="1" t="n">
        <v>46026</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46352-2023</t>
        </is>
      </c>
      <c r="B548" s="1" t="n">
        <v>45192</v>
      </c>
      <c r="C548" s="1" t="n">
        <v>46026</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22397-2022</t>
        </is>
      </c>
      <c r="B549" s="1" t="n">
        <v>44713</v>
      </c>
      <c r="C549" s="1" t="n">
        <v>46026</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27424-2023</t>
        </is>
      </c>
      <c r="B550" s="1" t="n">
        <v>45097.37690972222</v>
      </c>
      <c r="C550" s="1" t="n">
        <v>46026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7469-2025</t>
        </is>
      </c>
      <c r="B551" s="1" t="n">
        <v>45705</v>
      </c>
      <c r="C551" s="1" t="n">
        <v>46026</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6691-2025</t>
        </is>
      </c>
      <c r="B552" s="1" t="n">
        <v>45700.50625</v>
      </c>
      <c r="C552" s="1" t="n">
        <v>46026</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60036-2024</t>
        </is>
      </c>
      <c r="B553" s="1" t="n">
        <v>45642.46434027778</v>
      </c>
      <c r="C553" s="1" t="n">
        <v>46026</v>
      </c>
      <c r="D553" t="inlineStr">
        <is>
          <t>VÄSTMANLANDS LÄN</t>
        </is>
      </c>
      <c r="E553" t="inlineStr">
        <is>
          <t>SALA</t>
        </is>
      </c>
      <c r="G553" t="n">
        <v>2.5</v>
      </c>
      <c r="H553" t="n">
        <v>0</v>
      </c>
      <c r="I553" t="n">
        <v>0</v>
      </c>
      <c r="J553" t="n">
        <v>0</v>
      </c>
      <c r="K553" t="n">
        <v>0</v>
      </c>
      <c r="L553" t="n">
        <v>0</v>
      </c>
      <c r="M553" t="n">
        <v>0</v>
      </c>
      <c r="N553" t="n">
        <v>0</v>
      </c>
      <c r="O553" t="n">
        <v>0</v>
      </c>
      <c r="P553" t="n">
        <v>0</v>
      </c>
      <c r="Q553" t="n">
        <v>0</v>
      </c>
      <c r="R553" s="2" t="inlineStr"/>
    </row>
    <row r="554" ht="15" customHeight="1">
      <c r="A554" t="inlineStr">
        <is>
          <t>A 43188-2023</t>
        </is>
      </c>
      <c r="B554" s="1" t="n">
        <v>45183</v>
      </c>
      <c r="C554" s="1" t="n">
        <v>46026</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43205-2023</t>
        </is>
      </c>
      <c r="B555" s="1" t="n">
        <v>45183</v>
      </c>
      <c r="C555" s="1" t="n">
        <v>46026</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28827-2022</t>
        </is>
      </c>
      <c r="B556" s="1" t="n">
        <v>44749.45561342593</v>
      </c>
      <c r="C556" s="1" t="n">
        <v>46026</v>
      </c>
      <c r="D556" t="inlineStr">
        <is>
          <t>VÄSTMANLANDS LÄN</t>
        </is>
      </c>
      <c r="E556" t="inlineStr">
        <is>
          <t>SALA</t>
        </is>
      </c>
      <c r="F556" t="inlineStr">
        <is>
          <t>Kommuner</t>
        </is>
      </c>
      <c r="G556" t="n">
        <v>11.9</v>
      </c>
      <c r="H556" t="n">
        <v>0</v>
      </c>
      <c r="I556" t="n">
        <v>0</v>
      </c>
      <c r="J556" t="n">
        <v>0</v>
      </c>
      <c r="K556" t="n">
        <v>0</v>
      </c>
      <c r="L556" t="n">
        <v>0</v>
      </c>
      <c r="M556" t="n">
        <v>0</v>
      </c>
      <c r="N556" t="n">
        <v>0</v>
      </c>
      <c r="O556" t="n">
        <v>0</v>
      </c>
      <c r="P556" t="n">
        <v>0</v>
      </c>
      <c r="Q556" t="n">
        <v>0</v>
      </c>
      <c r="R556" s="2" t="inlineStr"/>
    </row>
    <row r="557" ht="15" customHeight="1">
      <c r="A557" t="inlineStr">
        <is>
          <t>A 15756-2025</t>
        </is>
      </c>
      <c r="B557" s="1" t="n">
        <v>45748.56810185185</v>
      </c>
      <c r="C557" s="1" t="n">
        <v>46026</v>
      </c>
      <c r="D557" t="inlineStr">
        <is>
          <t>VÄSTMANLANDS LÄN</t>
        </is>
      </c>
      <c r="E557" t="inlineStr">
        <is>
          <t>SALA</t>
        </is>
      </c>
      <c r="F557" t="inlineStr">
        <is>
          <t>Bergvik skog öst AB</t>
        </is>
      </c>
      <c r="G557" t="n">
        <v>0.8</v>
      </c>
      <c r="H557" t="n">
        <v>0</v>
      </c>
      <c r="I557" t="n">
        <v>0</v>
      </c>
      <c r="J557" t="n">
        <v>0</v>
      </c>
      <c r="K557" t="n">
        <v>0</v>
      </c>
      <c r="L557" t="n">
        <v>0</v>
      </c>
      <c r="M557" t="n">
        <v>0</v>
      </c>
      <c r="N557" t="n">
        <v>0</v>
      </c>
      <c r="O557" t="n">
        <v>0</v>
      </c>
      <c r="P557" t="n">
        <v>0</v>
      </c>
      <c r="Q557" t="n">
        <v>0</v>
      </c>
      <c r="R557" s="2" t="inlineStr"/>
    </row>
    <row r="558" ht="15" customHeight="1">
      <c r="A558" t="inlineStr">
        <is>
          <t>A 19243-2025</t>
        </is>
      </c>
      <c r="B558" s="1" t="n">
        <v>45769</v>
      </c>
      <c r="C558" s="1" t="n">
        <v>46026</v>
      </c>
      <c r="D558" t="inlineStr">
        <is>
          <t>VÄSTMANLANDS LÄN</t>
        </is>
      </c>
      <c r="E558" t="inlineStr">
        <is>
          <t>SALA</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59297-2023</t>
        </is>
      </c>
      <c r="B559" s="1" t="n">
        <v>45253</v>
      </c>
      <c r="C559" s="1" t="n">
        <v>46026</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6136-2025</t>
        </is>
      </c>
      <c r="B560" s="1" t="n">
        <v>45698.37601851852</v>
      </c>
      <c r="C560" s="1" t="n">
        <v>46026</v>
      </c>
      <c r="D560" t="inlineStr">
        <is>
          <t>VÄSTMANLANDS LÄN</t>
        </is>
      </c>
      <c r="E560" t="inlineStr">
        <is>
          <t>SALA</t>
        </is>
      </c>
      <c r="F560" t="inlineStr">
        <is>
          <t>Bergvik skog öst AB</t>
        </is>
      </c>
      <c r="G560" t="n">
        <v>2.2</v>
      </c>
      <c r="H560" t="n">
        <v>0</v>
      </c>
      <c r="I560" t="n">
        <v>0</v>
      </c>
      <c r="J560" t="n">
        <v>0</v>
      </c>
      <c r="K560" t="n">
        <v>0</v>
      </c>
      <c r="L560" t="n">
        <v>0</v>
      </c>
      <c r="M560" t="n">
        <v>0</v>
      </c>
      <c r="N560" t="n">
        <v>0</v>
      </c>
      <c r="O560" t="n">
        <v>0</v>
      </c>
      <c r="P560" t="n">
        <v>0</v>
      </c>
      <c r="Q560" t="n">
        <v>0</v>
      </c>
      <c r="R560" s="2" t="inlineStr"/>
    </row>
    <row r="561" ht="15" customHeight="1">
      <c r="A561" t="inlineStr">
        <is>
          <t>A 6190-2025</t>
        </is>
      </c>
      <c r="B561" s="1" t="n">
        <v>45698</v>
      </c>
      <c r="C561" s="1" t="n">
        <v>46026</v>
      </c>
      <c r="D561" t="inlineStr">
        <is>
          <t>VÄSTMANLANDS LÄN</t>
        </is>
      </c>
      <c r="E561" t="inlineStr">
        <is>
          <t>SALA</t>
        </is>
      </c>
      <c r="F561" t="inlineStr">
        <is>
          <t>Bergvik skog öst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28863-2022</t>
        </is>
      </c>
      <c r="B562" s="1" t="n">
        <v>44749.50649305555</v>
      </c>
      <c r="C562" s="1" t="n">
        <v>46026</v>
      </c>
      <c r="D562" t="inlineStr">
        <is>
          <t>VÄSTMANLANDS LÄN</t>
        </is>
      </c>
      <c r="E562" t="inlineStr">
        <is>
          <t>SALA</t>
        </is>
      </c>
      <c r="G562" t="n">
        <v>1.6</v>
      </c>
      <c r="H562" t="n">
        <v>0</v>
      </c>
      <c r="I562" t="n">
        <v>0</v>
      </c>
      <c r="J562" t="n">
        <v>0</v>
      </c>
      <c r="K562" t="n">
        <v>0</v>
      </c>
      <c r="L562" t="n">
        <v>0</v>
      </c>
      <c r="M562" t="n">
        <v>0</v>
      </c>
      <c r="N562" t="n">
        <v>0</v>
      </c>
      <c r="O562" t="n">
        <v>0</v>
      </c>
      <c r="P562" t="n">
        <v>0</v>
      </c>
      <c r="Q562" t="n">
        <v>0</v>
      </c>
      <c r="R562" s="2" t="inlineStr"/>
    </row>
    <row r="563" ht="15" customHeight="1">
      <c r="A563" t="inlineStr">
        <is>
          <t>A 25541-2024</t>
        </is>
      </c>
      <c r="B563" s="1" t="n">
        <v>45463.56337962963</v>
      </c>
      <c r="C563" s="1" t="n">
        <v>46026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29213-2022</t>
        </is>
      </c>
      <c r="B564" s="1" t="n">
        <v>44750.57474537037</v>
      </c>
      <c r="C564" s="1" t="n">
        <v>46026</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56964-2023</t>
        </is>
      </c>
      <c r="B565" s="1" t="n">
        <v>45244.63140046296</v>
      </c>
      <c r="C565" s="1" t="n">
        <v>46026</v>
      </c>
      <c r="D565" t="inlineStr">
        <is>
          <t>VÄSTMANLANDS LÄN</t>
        </is>
      </c>
      <c r="E565" t="inlineStr">
        <is>
          <t>SALA</t>
        </is>
      </c>
      <c r="G565" t="n">
        <v>4.6</v>
      </c>
      <c r="H565" t="n">
        <v>0</v>
      </c>
      <c r="I565" t="n">
        <v>0</v>
      </c>
      <c r="J565" t="n">
        <v>0</v>
      </c>
      <c r="K565" t="n">
        <v>0</v>
      </c>
      <c r="L565" t="n">
        <v>0</v>
      </c>
      <c r="M565" t="n">
        <v>0</v>
      </c>
      <c r="N565" t="n">
        <v>0</v>
      </c>
      <c r="O565" t="n">
        <v>0</v>
      </c>
      <c r="P565" t="n">
        <v>0</v>
      </c>
      <c r="Q565" t="n">
        <v>0</v>
      </c>
      <c r="R565" s="2" t="inlineStr"/>
    </row>
    <row r="566" ht="15" customHeight="1">
      <c r="A566" t="inlineStr">
        <is>
          <t>A 1555-2024</t>
        </is>
      </c>
      <c r="B566" s="1" t="n">
        <v>45306</v>
      </c>
      <c r="C566" s="1" t="n">
        <v>46026</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13188-2025</t>
        </is>
      </c>
      <c r="B567" s="1" t="n">
        <v>45735.39246527778</v>
      </c>
      <c r="C567" s="1" t="n">
        <v>46026</v>
      </c>
      <c r="D567" t="inlineStr">
        <is>
          <t>VÄSTMANLANDS LÄN</t>
        </is>
      </c>
      <c r="E567" t="inlineStr">
        <is>
          <t>SALA</t>
        </is>
      </c>
      <c r="F567" t="inlineStr">
        <is>
          <t>Naturvårdsverket</t>
        </is>
      </c>
      <c r="G567" t="n">
        <v>18.4</v>
      </c>
      <c r="H567" t="n">
        <v>0</v>
      </c>
      <c r="I567" t="n">
        <v>0</v>
      </c>
      <c r="J567" t="n">
        <v>0</v>
      </c>
      <c r="K567" t="n">
        <v>0</v>
      </c>
      <c r="L567" t="n">
        <v>0</v>
      </c>
      <c r="M567" t="n">
        <v>0</v>
      </c>
      <c r="N567" t="n">
        <v>0</v>
      </c>
      <c r="O567" t="n">
        <v>0</v>
      </c>
      <c r="P567" t="n">
        <v>0</v>
      </c>
      <c r="Q567" t="n">
        <v>0</v>
      </c>
      <c r="R567" s="2" t="inlineStr"/>
    </row>
    <row r="568" ht="15" customHeight="1">
      <c r="A568" t="inlineStr">
        <is>
          <t>A 7197-2025</t>
        </is>
      </c>
      <c r="B568" s="1" t="n">
        <v>45702</v>
      </c>
      <c r="C568" s="1" t="n">
        <v>46026</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15099-2025</t>
        </is>
      </c>
      <c r="B569" s="1" t="n">
        <v>45744.3434837963</v>
      </c>
      <c r="C569" s="1" t="n">
        <v>46026</v>
      </c>
      <c r="D569" t="inlineStr">
        <is>
          <t>VÄSTMANLANDS LÄN</t>
        </is>
      </c>
      <c r="E569" t="inlineStr">
        <is>
          <t>SALA</t>
        </is>
      </c>
      <c r="F569" t="inlineStr">
        <is>
          <t>Sveaskog</t>
        </is>
      </c>
      <c r="G569" t="n">
        <v>14.4</v>
      </c>
      <c r="H569" t="n">
        <v>0</v>
      </c>
      <c r="I569" t="n">
        <v>0</v>
      </c>
      <c r="J569" t="n">
        <v>0</v>
      </c>
      <c r="K569" t="n">
        <v>0</v>
      </c>
      <c r="L569" t="n">
        <v>0</v>
      </c>
      <c r="M569" t="n">
        <v>0</v>
      </c>
      <c r="N569" t="n">
        <v>0</v>
      </c>
      <c r="O569" t="n">
        <v>0</v>
      </c>
      <c r="P569" t="n">
        <v>0</v>
      </c>
      <c r="Q569" t="n">
        <v>0</v>
      </c>
      <c r="R569" s="2" t="inlineStr"/>
    </row>
    <row r="570" ht="15" customHeight="1">
      <c r="A570" t="inlineStr">
        <is>
          <t>A 2928-2024</t>
        </is>
      </c>
      <c r="B570" s="1" t="n">
        <v>45315.59041666667</v>
      </c>
      <c r="C570" s="1" t="n">
        <v>46026</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9962-2025</t>
        </is>
      </c>
      <c r="B571" s="1" t="n">
        <v>45719.37072916667</v>
      </c>
      <c r="C571" s="1" t="n">
        <v>46026</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14024-2025</t>
        </is>
      </c>
      <c r="B572" s="1" t="n">
        <v>45740.34650462963</v>
      </c>
      <c r="C572" s="1" t="n">
        <v>46026</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3551-2024</t>
        </is>
      </c>
      <c r="B573" s="1" t="n">
        <v>45320.61099537037</v>
      </c>
      <c r="C573" s="1" t="n">
        <v>46026</v>
      </c>
      <c r="D573" t="inlineStr">
        <is>
          <t>VÄSTMANLANDS LÄN</t>
        </is>
      </c>
      <c r="E573" t="inlineStr">
        <is>
          <t>SALA</t>
        </is>
      </c>
      <c r="F573" t="inlineStr">
        <is>
          <t>Kommuner</t>
        </is>
      </c>
      <c r="G573" t="n">
        <v>6</v>
      </c>
      <c r="H573" t="n">
        <v>0</v>
      </c>
      <c r="I573" t="n">
        <v>0</v>
      </c>
      <c r="J573" t="n">
        <v>0</v>
      </c>
      <c r="K573" t="n">
        <v>0</v>
      </c>
      <c r="L573" t="n">
        <v>0</v>
      </c>
      <c r="M573" t="n">
        <v>0</v>
      </c>
      <c r="N573" t="n">
        <v>0</v>
      </c>
      <c r="O573" t="n">
        <v>0</v>
      </c>
      <c r="P573" t="n">
        <v>0</v>
      </c>
      <c r="Q573" t="n">
        <v>0</v>
      </c>
      <c r="R573" s="2" t="inlineStr"/>
    </row>
    <row r="574" ht="15" customHeight="1">
      <c r="A574" t="inlineStr">
        <is>
          <t>A 62635-2022</t>
        </is>
      </c>
      <c r="B574" s="1" t="n">
        <v>44917</v>
      </c>
      <c r="C574" s="1" t="n">
        <v>46026</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19304-2025</t>
        </is>
      </c>
      <c r="B575" s="1" t="n">
        <v>45769</v>
      </c>
      <c r="C575" s="1" t="n">
        <v>46026</v>
      </c>
      <c r="D575" t="inlineStr">
        <is>
          <t>VÄSTMANLANDS LÄN</t>
        </is>
      </c>
      <c r="E575" t="inlineStr">
        <is>
          <t>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56057-2023</t>
        </is>
      </c>
      <c r="B576" s="1" t="n">
        <v>45233</v>
      </c>
      <c r="C576" s="1" t="n">
        <v>46026</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55024-2023</t>
        </is>
      </c>
      <c r="B577" s="1" t="n">
        <v>45229</v>
      </c>
      <c r="C577" s="1" t="n">
        <v>46026</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55032-2023</t>
        </is>
      </c>
      <c r="B578" s="1" t="n">
        <v>45229</v>
      </c>
      <c r="C578" s="1" t="n">
        <v>46026</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29248-2022</t>
        </is>
      </c>
      <c r="B579" s="1" t="n">
        <v>44750</v>
      </c>
      <c r="C579" s="1" t="n">
        <v>46026</v>
      </c>
      <c r="D579" t="inlineStr">
        <is>
          <t>VÄSTMANLANDS LÄN</t>
        </is>
      </c>
      <c r="E579" t="inlineStr">
        <is>
          <t>SALA</t>
        </is>
      </c>
      <c r="G579" t="n">
        <v>1.6</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44904.48502314815</v>
      </c>
      <c r="C580" s="1" t="n">
        <v>46026</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39451-2022</t>
        </is>
      </c>
      <c r="B581" s="1" t="n">
        <v>44818.36606481481</v>
      </c>
      <c r="C581" s="1" t="n">
        <v>46026</v>
      </c>
      <c r="D581" t="inlineStr">
        <is>
          <t>VÄSTMANLANDS LÄN</t>
        </is>
      </c>
      <c r="E581" t="inlineStr">
        <is>
          <t>SALA</t>
        </is>
      </c>
      <c r="G581" t="n">
        <v>9.4</v>
      </c>
      <c r="H581" t="n">
        <v>0</v>
      </c>
      <c r="I581" t="n">
        <v>0</v>
      </c>
      <c r="J581" t="n">
        <v>0</v>
      </c>
      <c r="K581" t="n">
        <v>0</v>
      </c>
      <c r="L581" t="n">
        <v>0</v>
      </c>
      <c r="M581" t="n">
        <v>0</v>
      </c>
      <c r="N581" t="n">
        <v>0</v>
      </c>
      <c r="O581" t="n">
        <v>0</v>
      </c>
      <c r="P581" t="n">
        <v>0</v>
      </c>
      <c r="Q581" t="n">
        <v>0</v>
      </c>
      <c r="R581" s="2" t="inlineStr"/>
    </row>
    <row r="582" ht="15" customHeight="1">
      <c r="A582" t="inlineStr">
        <is>
          <t>A 11631-2023</t>
        </is>
      </c>
      <c r="B582" s="1" t="n">
        <v>44994.44001157407</v>
      </c>
      <c r="C582" s="1" t="n">
        <v>46026</v>
      </c>
      <c r="D582" t="inlineStr">
        <is>
          <t>VÄSTMANLANDS LÄN</t>
        </is>
      </c>
      <c r="E582" t="inlineStr">
        <is>
          <t>SALA</t>
        </is>
      </c>
      <c r="F582" t="inlineStr">
        <is>
          <t>Kommuner</t>
        </is>
      </c>
      <c r="G582" t="n">
        <v>1.9</v>
      </c>
      <c r="H582" t="n">
        <v>0</v>
      </c>
      <c r="I582" t="n">
        <v>0</v>
      </c>
      <c r="J582" t="n">
        <v>0</v>
      </c>
      <c r="K582" t="n">
        <v>0</v>
      </c>
      <c r="L582" t="n">
        <v>0</v>
      </c>
      <c r="M582" t="n">
        <v>0</v>
      </c>
      <c r="N582" t="n">
        <v>0</v>
      </c>
      <c r="O582" t="n">
        <v>0</v>
      </c>
      <c r="P582" t="n">
        <v>0</v>
      </c>
      <c r="Q582" t="n">
        <v>0</v>
      </c>
      <c r="R582" s="2" t="inlineStr"/>
    </row>
    <row r="583" ht="15" customHeight="1">
      <c r="A583" t="inlineStr">
        <is>
          <t>A 62648-2022</t>
        </is>
      </c>
      <c r="B583" s="1" t="n">
        <v>44917</v>
      </c>
      <c r="C583" s="1" t="n">
        <v>46026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1934-2023</t>
        </is>
      </c>
      <c r="B584" s="1" t="n">
        <v>44939.43024305555</v>
      </c>
      <c r="C584" s="1" t="n">
        <v>46026</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11927-2025</t>
        </is>
      </c>
      <c r="B585" s="1" t="n">
        <v>45728.5137962963</v>
      </c>
      <c r="C585" s="1" t="n">
        <v>46026</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60823-2024</t>
        </is>
      </c>
      <c r="B586" s="1" t="n">
        <v>45644</v>
      </c>
      <c r="C586" s="1" t="n">
        <v>46026</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96-2024</t>
        </is>
      </c>
      <c r="B587" s="1" t="n">
        <v>45293.85872685185</v>
      </c>
      <c r="C587" s="1" t="n">
        <v>46026</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23374-2023</t>
        </is>
      </c>
      <c r="B588" s="1" t="n">
        <v>45076.4399537037</v>
      </c>
      <c r="C588" s="1" t="n">
        <v>46026</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61874-2021</t>
        </is>
      </c>
      <c r="B589" s="1" t="n">
        <v>44502</v>
      </c>
      <c r="C589" s="1" t="n">
        <v>46026</v>
      </c>
      <c r="D589" t="inlineStr">
        <is>
          <t>VÄSTMANLANDS LÄN</t>
        </is>
      </c>
      <c r="E589" t="inlineStr">
        <is>
          <t>SALA</t>
        </is>
      </c>
      <c r="F589" t="inlineStr">
        <is>
          <t>Kyrkan</t>
        </is>
      </c>
      <c r="G589" t="n">
        <v>1.3</v>
      </c>
      <c r="H589" t="n">
        <v>0</v>
      </c>
      <c r="I589" t="n">
        <v>0</v>
      </c>
      <c r="J589" t="n">
        <v>0</v>
      </c>
      <c r="K589" t="n">
        <v>0</v>
      </c>
      <c r="L589" t="n">
        <v>0</v>
      </c>
      <c r="M589" t="n">
        <v>0</v>
      </c>
      <c r="N589" t="n">
        <v>0</v>
      </c>
      <c r="O589" t="n">
        <v>0</v>
      </c>
      <c r="P589" t="n">
        <v>0</v>
      </c>
      <c r="Q589" t="n">
        <v>0</v>
      </c>
      <c r="R589" s="2" t="inlineStr"/>
    </row>
    <row r="590" ht="15" customHeight="1">
      <c r="A590" t="inlineStr">
        <is>
          <t>A 9856-2022</t>
        </is>
      </c>
      <c r="B590" s="1" t="n">
        <v>44620</v>
      </c>
      <c r="C590" s="1" t="n">
        <v>46026</v>
      </c>
      <c r="D590" t="inlineStr">
        <is>
          <t>VÄSTMANLANDS LÄN</t>
        </is>
      </c>
      <c r="E590" t="inlineStr">
        <is>
          <t>SALA</t>
        </is>
      </c>
      <c r="G590" t="n">
        <v>2.4</v>
      </c>
      <c r="H590" t="n">
        <v>0</v>
      </c>
      <c r="I590" t="n">
        <v>0</v>
      </c>
      <c r="J590" t="n">
        <v>0</v>
      </c>
      <c r="K590" t="n">
        <v>0</v>
      </c>
      <c r="L590" t="n">
        <v>0</v>
      </c>
      <c r="M590" t="n">
        <v>0</v>
      </c>
      <c r="N590" t="n">
        <v>0</v>
      </c>
      <c r="O590" t="n">
        <v>0</v>
      </c>
      <c r="P590" t="n">
        <v>0</v>
      </c>
      <c r="Q590" t="n">
        <v>0</v>
      </c>
      <c r="R590" s="2" t="inlineStr"/>
    </row>
    <row r="591" ht="15" customHeight="1">
      <c r="A591" t="inlineStr">
        <is>
          <t>A 16159-2024</t>
        </is>
      </c>
      <c r="B591" s="1" t="n">
        <v>45406</v>
      </c>
      <c r="C591" s="1" t="n">
        <v>46026</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50241-2023</t>
        </is>
      </c>
      <c r="B592" s="1" t="n">
        <v>45216</v>
      </c>
      <c r="C592" s="1" t="n">
        <v>46026</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3332-2024</t>
        </is>
      </c>
      <c r="B593" s="1" t="n">
        <v>45317</v>
      </c>
      <c r="C593" s="1" t="n">
        <v>46026</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35637-2022</t>
        </is>
      </c>
      <c r="B594" s="1" t="n">
        <v>44799.55194444444</v>
      </c>
      <c r="C594" s="1" t="n">
        <v>46026</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57883-2024</t>
        </is>
      </c>
      <c r="B595" s="1" t="n">
        <v>45630</v>
      </c>
      <c r="C595" s="1" t="n">
        <v>46026</v>
      </c>
      <c r="D595" t="inlineStr">
        <is>
          <t>VÄSTMANLANDS LÄN</t>
        </is>
      </c>
      <c r="E595" t="inlineStr">
        <is>
          <t>SALA</t>
        </is>
      </c>
      <c r="G595" t="n">
        <v>5.4</v>
      </c>
      <c r="H595" t="n">
        <v>0</v>
      </c>
      <c r="I595" t="n">
        <v>0</v>
      </c>
      <c r="J595" t="n">
        <v>0</v>
      </c>
      <c r="K595" t="n">
        <v>0</v>
      </c>
      <c r="L595" t="n">
        <v>0</v>
      </c>
      <c r="M595" t="n">
        <v>0</v>
      </c>
      <c r="N595" t="n">
        <v>0</v>
      </c>
      <c r="O595" t="n">
        <v>0</v>
      </c>
      <c r="P595" t="n">
        <v>0</v>
      </c>
      <c r="Q595" t="n">
        <v>0</v>
      </c>
      <c r="R595" s="2" t="inlineStr"/>
    </row>
    <row r="596" ht="15" customHeight="1">
      <c r="A596" t="inlineStr">
        <is>
          <t>A 50876-2023</t>
        </is>
      </c>
      <c r="B596" s="1" t="n">
        <v>45211</v>
      </c>
      <c r="C596" s="1" t="n">
        <v>46026</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37624-2024</t>
        </is>
      </c>
      <c r="B597" s="1" t="n">
        <v>45541</v>
      </c>
      <c r="C597" s="1" t="n">
        <v>46026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40398-2021</t>
        </is>
      </c>
      <c r="B598" s="1" t="n">
        <v>44419</v>
      </c>
      <c r="C598" s="1" t="n">
        <v>46026</v>
      </c>
      <c r="D598" t="inlineStr">
        <is>
          <t>VÄSTMANLANDS LÄN</t>
        </is>
      </c>
      <c r="E598" t="inlineStr">
        <is>
          <t>SALA</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6351-2023</t>
        </is>
      </c>
      <c r="B599" s="1" t="n">
        <v>44965</v>
      </c>
      <c r="C599" s="1" t="n">
        <v>46026</v>
      </c>
      <c r="D599" t="inlineStr">
        <is>
          <t>VÄSTMANLANDS LÄN</t>
        </is>
      </c>
      <c r="E599" t="inlineStr">
        <is>
          <t>SALA</t>
        </is>
      </c>
      <c r="F599" t="inlineStr">
        <is>
          <t>Kommuner</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27262-2024</t>
        </is>
      </c>
      <c r="B600" s="1" t="n">
        <v>45471</v>
      </c>
      <c r="C600" s="1" t="n">
        <v>46026</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15584-2021</t>
        </is>
      </c>
      <c r="B601" s="1" t="n">
        <v>44285</v>
      </c>
      <c r="C601" s="1" t="n">
        <v>46026</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23119-2022</t>
        </is>
      </c>
      <c r="B602" s="1" t="n">
        <v>44719.56697916667</v>
      </c>
      <c r="C602" s="1" t="n">
        <v>46026</v>
      </c>
      <c r="D602" t="inlineStr">
        <is>
          <t>VÄSTMANLANDS LÄN</t>
        </is>
      </c>
      <c r="E602" t="inlineStr">
        <is>
          <t>SALA</t>
        </is>
      </c>
      <c r="G602" t="n">
        <v>7</v>
      </c>
      <c r="H602" t="n">
        <v>0</v>
      </c>
      <c r="I602" t="n">
        <v>0</v>
      </c>
      <c r="J602" t="n">
        <v>0</v>
      </c>
      <c r="K602" t="n">
        <v>0</v>
      </c>
      <c r="L602" t="n">
        <v>0</v>
      </c>
      <c r="M602" t="n">
        <v>0</v>
      </c>
      <c r="N602" t="n">
        <v>0</v>
      </c>
      <c r="O602" t="n">
        <v>0</v>
      </c>
      <c r="P602" t="n">
        <v>0</v>
      </c>
      <c r="Q602" t="n">
        <v>0</v>
      </c>
      <c r="R602" s="2" t="inlineStr"/>
    </row>
    <row r="603" ht="15" customHeight="1">
      <c r="A603" t="inlineStr">
        <is>
          <t>A 43751-2021</t>
        </is>
      </c>
      <c r="B603" s="1" t="n">
        <v>44433</v>
      </c>
      <c r="C603" s="1" t="n">
        <v>46026</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44907.45679398148</v>
      </c>
      <c r="C604" s="1" t="n">
        <v>46026</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73673-2021</t>
        </is>
      </c>
      <c r="B605" s="1" t="n">
        <v>44552.46501157407</v>
      </c>
      <c r="C605" s="1" t="n">
        <v>46026</v>
      </c>
      <c r="D605" t="inlineStr">
        <is>
          <t>VÄSTMANLANDS LÄN</t>
        </is>
      </c>
      <c r="E605" t="inlineStr">
        <is>
          <t>SALA</t>
        </is>
      </c>
      <c r="G605" t="n">
        <v>11.4</v>
      </c>
      <c r="H605" t="n">
        <v>0</v>
      </c>
      <c r="I605" t="n">
        <v>0</v>
      </c>
      <c r="J605" t="n">
        <v>0</v>
      </c>
      <c r="K605" t="n">
        <v>0</v>
      </c>
      <c r="L605" t="n">
        <v>0</v>
      </c>
      <c r="M605" t="n">
        <v>0</v>
      </c>
      <c r="N605" t="n">
        <v>0</v>
      </c>
      <c r="O605" t="n">
        <v>0</v>
      </c>
      <c r="P605" t="n">
        <v>0</v>
      </c>
      <c r="Q605" t="n">
        <v>0</v>
      </c>
      <c r="R605" s="2" t="inlineStr"/>
    </row>
    <row r="606" ht="15" customHeight="1">
      <c r="A606" t="inlineStr">
        <is>
          <t>A 4853-2023</t>
        </is>
      </c>
      <c r="B606" s="1" t="n">
        <v>44957.73234953704</v>
      </c>
      <c r="C606" s="1" t="n">
        <v>46026</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1993-2022</t>
        </is>
      </c>
      <c r="B607" s="1" t="n">
        <v>44575</v>
      </c>
      <c r="C607" s="1" t="n">
        <v>46026</v>
      </c>
      <c r="D607" t="inlineStr">
        <is>
          <t>VÄSTMANLANDS LÄN</t>
        </is>
      </c>
      <c r="E607" t="inlineStr">
        <is>
          <t>SALA</t>
        </is>
      </c>
      <c r="G607" t="n">
        <v>1.6</v>
      </c>
      <c r="H607" t="n">
        <v>0</v>
      </c>
      <c r="I607" t="n">
        <v>0</v>
      </c>
      <c r="J607" t="n">
        <v>0</v>
      </c>
      <c r="K607" t="n">
        <v>0</v>
      </c>
      <c r="L607" t="n">
        <v>0</v>
      </c>
      <c r="M607" t="n">
        <v>0</v>
      </c>
      <c r="N607" t="n">
        <v>0</v>
      </c>
      <c r="O607" t="n">
        <v>0</v>
      </c>
      <c r="P607" t="n">
        <v>0</v>
      </c>
      <c r="Q607" t="n">
        <v>0</v>
      </c>
      <c r="R607" s="2" t="inlineStr"/>
    </row>
    <row r="608" ht="15" customHeight="1">
      <c r="A608" t="inlineStr">
        <is>
          <t>A 1793-2023</t>
        </is>
      </c>
      <c r="B608" s="1" t="n">
        <v>44937</v>
      </c>
      <c r="C608" s="1" t="n">
        <v>46026</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42447-2022</t>
        </is>
      </c>
      <c r="B609" s="1" t="n">
        <v>44831</v>
      </c>
      <c r="C609" s="1" t="n">
        <v>46026</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11183-2023</t>
        </is>
      </c>
      <c r="B610" s="1" t="n">
        <v>44992.57782407408</v>
      </c>
      <c r="C610" s="1" t="n">
        <v>46026</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11190-2023</t>
        </is>
      </c>
      <c r="B611" s="1" t="n">
        <v>44992</v>
      </c>
      <c r="C611" s="1" t="n">
        <v>46026</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31950-2023</t>
        </is>
      </c>
      <c r="B612" s="1" t="n">
        <v>45107</v>
      </c>
      <c r="C612" s="1" t="n">
        <v>46026</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48710-2024</t>
        </is>
      </c>
      <c r="B613" s="1" t="n">
        <v>45593.53636574074</v>
      </c>
      <c r="C613" s="1" t="n">
        <v>46026</v>
      </c>
      <c r="D613" t="inlineStr">
        <is>
          <t>VÄSTMANLANDS LÄN</t>
        </is>
      </c>
      <c r="E613" t="inlineStr">
        <is>
          <t>SALA</t>
        </is>
      </c>
      <c r="G613" t="n">
        <v>6.5</v>
      </c>
      <c r="H613" t="n">
        <v>0</v>
      </c>
      <c r="I613" t="n">
        <v>0</v>
      </c>
      <c r="J613" t="n">
        <v>0</v>
      </c>
      <c r="K613" t="n">
        <v>0</v>
      </c>
      <c r="L613" t="n">
        <v>0</v>
      </c>
      <c r="M613" t="n">
        <v>0</v>
      </c>
      <c r="N613" t="n">
        <v>0</v>
      </c>
      <c r="O613" t="n">
        <v>0</v>
      </c>
      <c r="P613" t="n">
        <v>0</v>
      </c>
      <c r="Q613" t="n">
        <v>0</v>
      </c>
      <c r="R613" s="2" t="inlineStr"/>
    </row>
    <row r="614" ht="15" customHeight="1">
      <c r="A614" t="inlineStr">
        <is>
          <t>A 23406-2024</t>
        </is>
      </c>
      <c r="B614" s="1" t="n">
        <v>45453.58296296297</v>
      </c>
      <c r="C614" s="1" t="n">
        <v>46026</v>
      </c>
      <c r="D614" t="inlineStr">
        <is>
          <t>VÄSTMANLANDS LÄN</t>
        </is>
      </c>
      <c r="E614" t="inlineStr">
        <is>
          <t>SALA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12246-2023</t>
        </is>
      </c>
      <c r="B615" s="1" t="n">
        <v>44995</v>
      </c>
      <c r="C615" s="1" t="n">
        <v>46026</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48571-2024</t>
        </is>
      </c>
      <c r="B616" s="1" t="n">
        <v>45591</v>
      </c>
      <c r="C616" s="1" t="n">
        <v>46026</v>
      </c>
      <c r="D616" t="inlineStr">
        <is>
          <t>VÄSTMANLANDS LÄN</t>
        </is>
      </c>
      <c r="E616" t="inlineStr">
        <is>
          <t>SALA</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43362-2023</t>
        </is>
      </c>
      <c r="B617" s="1" t="n">
        <v>45183</v>
      </c>
      <c r="C617" s="1" t="n">
        <v>46026</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16767-2024</t>
        </is>
      </c>
      <c r="B618" s="1" t="n">
        <v>45411.38171296296</v>
      </c>
      <c r="C618" s="1" t="n">
        <v>46026</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31470-2021</t>
        </is>
      </c>
      <c r="B619" s="1" t="n">
        <v>44369</v>
      </c>
      <c r="C619" s="1" t="n">
        <v>46026</v>
      </c>
      <c r="D619" t="inlineStr">
        <is>
          <t>VÄSTMANLANDS LÄN</t>
        </is>
      </c>
      <c r="E619" t="inlineStr">
        <is>
          <t>SALA</t>
        </is>
      </c>
      <c r="F619" t="inlineStr">
        <is>
          <t>Sveaskog</t>
        </is>
      </c>
      <c r="G619" t="n">
        <v>2.1</v>
      </c>
      <c r="H619" t="n">
        <v>0</v>
      </c>
      <c r="I619" t="n">
        <v>0</v>
      </c>
      <c r="J619" t="n">
        <v>0</v>
      </c>
      <c r="K619" t="n">
        <v>0</v>
      </c>
      <c r="L619" t="n">
        <v>0</v>
      </c>
      <c r="M619" t="n">
        <v>0</v>
      </c>
      <c r="N619" t="n">
        <v>0</v>
      </c>
      <c r="O619" t="n">
        <v>0</v>
      </c>
      <c r="P619" t="n">
        <v>0</v>
      </c>
      <c r="Q619" t="n">
        <v>0</v>
      </c>
      <c r="R619" s="2" t="inlineStr"/>
    </row>
    <row r="620" ht="15" customHeight="1">
      <c r="A620" t="inlineStr">
        <is>
          <t>A 18461-2024</t>
        </is>
      </c>
      <c r="B620" s="1" t="n">
        <v>45425.47435185185</v>
      </c>
      <c r="C620" s="1" t="n">
        <v>46026</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29230-2022</t>
        </is>
      </c>
      <c r="B621" s="1" t="n">
        <v>44750</v>
      </c>
      <c r="C621" s="1" t="n">
        <v>46026</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9335-2022</t>
        </is>
      </c>
      <c r="B622" s="1" t="n">
        <v>44616.56579861111</v>
      </c>
      <c r="C622" s="1" t="n">
        <v>46026</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47479-2024</t>
        </is>
      </c>
      <c r="B623" s="1" t="n">
        <v>45587</v>
      </c>
      <c r="C623" s="1" t="n">
        <v>46026</v>
      </c>
      <c r="D623" t="inlineStr">
        <is>
          <t>VÄSTMANLANDS LÄN</t>
        </is>
      </c>
      <c r="E623" t="inlineStr">
        <is>
          <t>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19065-2022</t>
        </is>
      </c>
      <c r="B624" s="1" t="n">
        <v>44691.44309027777</v>
      </c>
      <c r="C624" s="1" t="n">
        <v>46026</v>
      </c>
      <c r="D624" t="inlineStr">
        <is>
          <t>VÄSTMANLANDS LÄN</t>
        </is>
      </c>
      <c r="E624" t="inlineStr">
        <is>
          <t>SALA</t>
        </is>
      </c>
      <c r="G624" t="n">
        <v>3.4</v>
      </c>
      <c r="H624" t="n">
        <v>0</v>
      </c>
      <c r="I624" t="n">
        <v>0</v>
      </c>
      <c r="J624" t="n">
        <v>0</v>
      </c>
      <c r="K624" t="n">
        <v>0</v>
      </c>
      <c r="L624" t="n">
        <v>0</v>
      </c>
      <c r="M624" t="n">
        <v>0</v>
      </c>
      <c r="N624" t="n">
        <v>0</v>
      </c>
      <c r="O624" t="n">
        <v>0</v>
      </c>
      <c r="P624" t="n">
        <v>0</v>
      </c>
      <c r="Q624" t="n">
        <v>0</v>
      </c>
      <c r="R624" s="2" t="inlineStr"/>
    </row>
    <row r="625" ht="15" customHeight="1">
      <c r="A625" t="inlineStr">
        <is>
          <t>A 22961-2023</t>
        </is>
      </c>
      <c r="B625" s="1" t="n">
        <v>45072</v>
      </c>
      <c r="C625" s="1" t="n">
        <v>46026</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22963-2023</t>
        </is>
      </c>
      <c r="B626" s="1" t="n">
        <v>45072</v>
      </c>
      <c r="C626" s="1" t="n">
        <v>46026</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10585-2022</t>
        </is>
      </c>
      <c r="B627" s="1" t="n">
        <v>44624</v>
      </c>
      <c r="C627" s="1" t="n">
        <v>46026</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69236-2021</t>
        </is>
      </c>
      <c r="B628" s="1" t="n">
        <v>44531.4047337963</v>
      </c>
      <c r="C628" s="1" t="n">
        <v>46026</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48117-2024</t>
        </is>
      </c>
      <c r="B629" s="1" t="n">
        <v>45589</v>
      </c>
      <c r="C629" s="1" t="n">
        <v>46026</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12225-2023</t>
        </is>
      </c>
      <c r="B630" s="1" t="n">
        <v>44995</v>
      </c>
      <c r="C630" s="1" t="n">
        <v>46026</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12252-2023</t>
        </is>
      </c>
      <c r="B631" s="1" t="n">
        <v>44995</v>
      </c>
      <c r="C631" s="1" t="n">
        <v>46026</v>
      </c>
      <c r="D631" t="inlineStr">
        <is>
          <t>VÄSTMANLANDS LÄN</t>
        </is>
      </c>
      <c r="E631" t="inlineStr">
        <is>
          <t>SALA</t>
        </is>
      </c>
      <c r="G631" t="n">
        <v>2.6</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46026</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18100-2023</t>
        </is>
      </c>
      <c r="B633" s="1" t="n">
        <v>45040</v>
      </c>
      <c r="C633" s="1" t="n">
        <v>46026</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13471-2025</t>
        </is>
      </c>
      <c r="B634" s="1" t="n">
        <v>45736.40579861111</v>
      </c>
      <c r="C634" s="1" t="n">
        <v>46026</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26854-2024</t>
        </is>
      </c>
      <c r="B635" s="1" t="n">
        <v>45470</v>
      </c>
      <c r="C635" s="1" t="n">
        <v>46026</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37602-2024</t>
        </is>
      </c>
      <c r="B636" s="1" t="n">
        <v>45541</v>
      </c>
      <c r="C636" s="1" t="n">
        <v>46026</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1985-2022</t>
        </is>
      </c>
      <c r="B637" s="1" t="n">
        <v>44575</v>
      </c>
      <c r="C637" s="1" t="n">
        <v>46026</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6308-2021</t>
        </is>
      </c>
      <c r="B638" s="1" t="n">
        <v>44235</v>
      </c>
      <c r="C638" s="1" t="n">
        <v>46026</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21455-2023</t>
        </is>
      </c>
      <c r="B639" s="1" t="n">
        <v>45058</v>
      </c>
      <c r="C639" s="1" t="n">
        <v>46026</v>
      </c>
      <c r="D639" t="inlineStr">
        <is>
          <t>VÄSTMANLANDS LÄN</t>
        </is>
      </c>
      <c r="E639" t="inlineStr">
        <is>
          <t>SALA</t>
        </is>
      </c>
      <c r="G639" t="n">
        <v>6.4</v>
      </c>
      <c r="H639" t="n">
        <v>0</v>
      </c>
      <c r="I639" t="n">
        <v>0</v>
      </c>
      <c r="J639" t="n">
        <v>0</v>
      </c>
      <c r="K639" t="n">
        <v>0</v>
      </c>
      <c r="L639" t="n">
        <v>0</v>
      </c>
      <c r="M639" t="n">
        <v>0</v>
      </c>
      <c r="N639" t="n">
        <v>0</v>
      </c>
      <c r="O639" t="n">
        <v>0</v>
      </c>
      <c r="P639" t="n">
        <v>0</v>
      </c>
      <c r="Q639" t="n">
        <v>0</v>
      </c>
      <c r="R639" s="2" t="inlineStr"/>
    </row>
    <row r="640" ht="15" customHeight="1">
      <c r="A640" t="inlineStr">
        <is>
          <t>A 4797-2023</t>
        </is>
      </c>
      <c r="B640" s="1" t="n">
        <v>44957</v>
      </c>
      <c r="C640" s="1" t="n">
        <v>46026</v>
      </c>
      <c r="D640" t="inlineStr">
        <is>
          <t>VÄSTMANLANDS LÄN</t>
        </is>
      </c>
      <c r="E640" t="inlineStr">
        <is>
          <t>SALA</t>
        </is>
      </c>
      <c r="G640" t="n">
        <v>5.7</v>
      </c>
      <c r="H640" t="n">
        <v>0</v>
      </c>
      <c r="I640" t="n">
        <v>0</v>
      </c>
      <c r="J640" t="n">
        <v>0</v>
      </c>
      <c r="K640" t="n">
        <v>0</v>
      </c>
      <c r="L640" t="n">
        <v>0</v>
      </c>
      <c r="M640" t="n">
        <v>0</v>
      </c>
      <c r="N640" t="n">
        <v>0</v>
      </c>
      <c r="O640" t="n">
        <v>0</v>
      </c>
      <c r="P640" t="n">
        <v>0</v>
      </c>
      <c r="Q640" t="n">
        <v>0</v>
      </c>
      <c r="R640" s="2" t="inlineStr"/>
    </row>
    <row r="641" ht="15" customHeight="1">
      <c r="A641" t="inlineStr">
        <is>
          <t>A 4852-2023</t>
        </is>
      </c>
      <c r="B641" s="1" t="n">
        <v>44957.72496527778</v>
      </c>
      <c r="C641" s="1" t="n">
        <v>46026</v>
      </c>
      <c r="D641" t="inlineStr">
        <is>
          <t>VÄSTMANLANDS LÄN</t>
        </is>
      </c>
      <c r="E641" t="inlineStr">
        <is>
          <t>SALA</t>
        </is>
      </c>
      <c r="G641" t="n">
        <v>2</v>
      </c>
      <c r="H641" t="n">
        <v>0</v>
      </c>
      <c r="I641" t="n">
        <v>0</v>
      </c>
      <c r="J641" t="n">
        <v>0</v>
      </c>
      <c r="K641" t="n">
        <v>0</v>
      </c>
      <c r="L641" t="n">
        <v>0</v>
      </c>
      <c r="M641" t="n">
        <v>0</v>
      </c>
      <c r="N641" t="n">
        <v>0</v>
      </c>
      <c r="O641" t="n">
        <v>0</v>
      </c>
      <c r="P641" t="n">
        <v>0</v>
      </c>
      <c r="Q641" t="n">
        <v>0</v>
      </c>
      <c r="R641" s="2" t="inlineStr"/>
    </row>
    <row r="642" ht="15" customHeight="1">
      <c r="A642" t="inlineStr">
        <is>
          <t>A 36858-2023</t>
        </is>
      </c>
      <c r="B642" s="1" t="n">
        <v>45154.55184027777</v>
      </c>
      <c r="C642" s="1" t="n">
        <v>46026</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58701-2021</t>
        </is>
      </c>
      <c r="B643" s="1" t="n">
        <v>44489.46454861111</v>
      </c>
      <c r="C643" s="1" t="n">
        <v>46026</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37337-2024</t>
        </is>
      </c>
      <c r="B644" s="1" t="n">
        <v>45540</v>
      </c>
      <c r="C644" s="1" t="n">
        <v>46026</v>
      </c>
      <c r="D644" t="inlineStr">
        <is>
          <t>VÄSTMANLANDS LÄN</t>
        </is>
      </c>
      <c r="E644" t="inlineStr">
        <is>
          <t>SALA</t>
        </is>
      </c>
      <c r="G644" t="n">
        <v>6.5</v>
      </c>
      <c r="H644" t="n">
        <v>0</v>
      </c>
      <c r="I644" t="n">
        <v>0</v>
      </c>
      <c r="J644" t="n">
        <v>0</v>
      </c>
      <c r="K644" t="n">
        <v>0</v>
      </c>
      <c r="L644" t="n">
        <v>0</v>
      </c>
      <c r="M644" t="n">
        <v>0</v>
      </c>
      <c r="N644" t="n">
        <v>0</v>
      </c>
      <c r="O644" t="n">
        <v>0</v>
      </c>
      <c r="P644" t="n">
        <v>0</v>
      </c>
      <c r="Q644" t="n">
        <v>0</v>
      </c>
      <c r="R644" s="2" t="inlineStr"/>
    </row>
    <row r="645" ht="15" customHeight="1">
      <c r="A645" t="inlineStr">
        <is>
          <t>A 10250-2025</t>
        </is>
      </c>
      <c r="B645" s="1" t="n">
        <v>45720.36165509259</v>
      </c>
      <c r="C645" s="1" t="n">
        <v>46026</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23180-2022</t>
        </is>
      </c>
      <c r="B646" s="1" t="n">
        <v>44719.79344907407</v>
      </c>
      <c r="C646" s="1" t="n">
        <v>46026</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21053-2022</t>
        </is>
      </c>
      <c r="B647" s="1" t="n">
        <v>44704</v>
      </c>
      <c r="C647" s="1" t="n">
        <v>46026</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18340-2025</t>
        </is>
      </c>
      <c r="B648" s="1" t="n">
        <v>45762</v>
      </c>
      <c r="C648" s="1" t="n">
        <v>46026</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16638-2023</t>
        </is>
      </c>
      <c r="B649" s="1" t="n">
        <v>45027</v>
      </c>
      <c r="C649" s="1" t="n">
        <v>46026</v>
      </c>
      <c r="D649" t="inlineStr">
        <is>
          <t>VÄSTMANLANDS LÄN</t>
        </is>
      </c>
      <c r="E649" t="inlineStr">
        <is>
          <t>SALA</t>
        </is>
      </c>
      <c r="G649" t="n">
        <v>14.8</v>
      </c>
      <c r="H649" t="n">
        <v>0</v>
      </c>
      <c r="I649" t="n">
        <v>0</v>
      </c>
      <c r="J649" t="n">
        <v>0</v>
      </c>
      <c r="K649" t="n">
        <v>0</v>
      </c>
      <c r="L649" t="n">
        <v>0</v>
      </c>
      <c r="M649" t="n">
        <v>0</v>
      </c>
      <c r="N649" t="n">
        <v>0</v>
      </c>
      <c r="O649" t="n">
        <v>0</v>
      </c>
      <c r="P649" t="n">
        <v>0</v>
      </c>
      <c r="Q649" t="n">
        <v>0</v>
      </c>
      <c r="R649" s="2" t="inlineStr"/>
    </row>
    <row r="650" ht="15" customHeight="1">
      <c r="A650" t="inlineStr">
        <is>
          <t>A 17117-2023</t>
        </is>
      </c>
      <c r="B650" s="1" t="n">
        <v>45034</v>
      </c>
      <c r="C650" s="1" t="n">
        <v>46026</v>
      </c>
      <c r="D650" t="inlineStr">
        <is>
          <t>VÄSTMANLANDS LÄN</t>
        </is>
      </c>
      <c r="E650" t="inlineStr">
        <is>
          <t>SALA</t>
        </is>
      </c>
      <c r="G650" t="n">
        <v>0.4</v>
      </c>
      <c r="H650" t="n">
        <v>0</v>
      </c>
      <c r="I650" t="n">
        <v>0</v>
      </c>
      <c r="J650" t="n">
        <v>0</v>
      </c>
      <c r="K650" t="n">
        <v>0</v>
      </c>
      <c r="L650" t="n">
        <v>0</v>
      </c>
      <c r="M650" t="n">
        <v>0</v>
      </c>
      <c r="N650" t="n">
        <v>0</v>
      </c>
      <c r="O650" t="n">
        <v>0</v>
      </c>
      <c r="P650" t="n">
        <v>0</v>
      </c>
      <c r="Q650" t="n">
        <v>0</v>
      </c>
      <c r="R650" s="2" t="inlineStr"/>
    </row>
    <row r="651" ht="15" customHeight="1">
      <c r="A651" t="inlineStr">
        <is>
          <t>A 59909-2024</t>
        </is>
      </c>
      <c r="B651" s="1" t="n">
        <v>45641</v>
      </c>
      <c r="C651" s="1" t="n">
        <v>46026</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30028-2024</t>
        </is>
      </c>
      <c r="B652" s="1" t="n">
        <v>45485</v>
      </c>
      <c r="C652" s="1" t="n">
        <v>46026</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33309-2022</t>
        </is>
      </c>
      <c r="B653" s="1" t="n">
        <v>44788.40986111111</v>
      </c>
      <c r="C653" s="1" t="n">
        <v>46026</v>
      </c>
      <c r="D653" t="inlineStr">
        <is>
          <t>VÄSTMANLANDS LÄN</t>
        </is>
      </c>
      <c r="E653" t="inlineStr">
        <is>
          <t>SALA</t>
        </is>
      </c>
      <c r="G653" t="n">
        <v>2.6</v>
      </c>
      <c r="H653" t="n">
        <v>0</v>
      </c>
      <c r="I653" t="n">
        <v>0</v>
      </c>
      <c r="J653" t="n">
        <v>0</v>
      </c>
      <c r="K653" t="n">
        <v>0</v>
      </c>
      <c r="L653" t="n">
        <v>0</v>
      </c>
      <c r="M653" t="n">
        <v>0</v>
      </c>
      <c r="N653" t="n">
        <v>0</v>
      </c>
      <c r="O653" t="n">
        <v>0</v>
      </c>
      <c r="P653" t="n">
        <v>0</v>
      </c>
      <c r="Q653" t="n">
        <v>0</v>
      </c>
      <c r="R653" s="2" t="inlineStr"/>
    </row>
    <row r="654" ht="15" customHeight="1">
      <c r="A654" t="inlineStr">
        <is>
          <t>A 7377-2023</t>
        </is>
      </c>
      <c r="B654" s="1" t="n">
        <v>44971</v>
      </c>
      <c r="C654" s="1" t="n">
        <v>46026</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27229-2022</t>
        </is>
      </c>
      <c r="B655" s="1" t="n">
        <v>44741</v>
      </c>
      <c r="C655" s="1" t="n">
        <v>46026</v>
      </c>
      <c r="D655" t="inlineStr">
        <is>
          <t>VÄSTMANLANDS LÄN</t>
        </is>
      </c>
      <c r="E655" t="inlineStr">
        <is>
          <t>SALA</t>
        </is>
      </c>
      <c r="F655" t="inlineStr">
        <is>
          <t>Kommuner</t>
        </is>
      </c>
      <c r="G655" t="n">
        <v>1.4</v>
      </c>
      <c r="H655" t="n">
        <v>0</v>
      </c>
      <c r="I655" t="n">
        <v>0</v>
      </c>
      <c r="J655" t="n">
        <v>0</v>
      </c>
      <c r="K655" t="n">
        <v>0</v>
      </c>
      <c r="L655" t="n">
        <v>0</v>
      </c>
      <c r="M655" t="n">
        <v>0</v>
      </c>
      <c r="N655" t="n">
        <v>0</v>
      </c>
      <c r="O655" t="n">
        <v>0</v>
      </c>
      <c r="P655" t="n">
        <v>0</v>
      </c>
      <c r="Q655" t="n">
        <v>0</v>
      </c>
      <c r="R655" s="2" t="inlineStr"/>
    </row>
    <row r="656" ht="15" customHeight="1">
      <c r="A656" t="inlineStr">
        <is>
          <t>A 24755-2021</t>
        </is>
      </c>
      <c r="B656" s="1" t="n">
        <v>44340</v>
      </c>
      <c r="C656" s="1" t="n">
        <v>46026</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34867-2023</t>
        </is>
      </c>
      <c r="B657" s="1" t="n">
        <v>45142.33481481481</v>
      </c>
      <c r="C657" s="1" t="n">
        <v>46026</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25748-2022</t>
        </is>
      </c>
      <c r="B658" s="1" t="n">
        <v>44732</v>
      </c>
      <c r="C658" s="1" t="n">
        <v>46026</v>
      </c>
      <c r="D658" t="inlineStr">
        <is>
          <t>VÄSTMANLANDS LÄN</t>
        </is>
      </c>
      <c r="E658" t="inlineStr">
        <is>
          <t>SALA</t>
        </is>
      </c>
      <c r="G658" t="n">
        <v>7.7</v>
      </c>
      <c r="H658" t="n">
        <v>0</v>
      </c>
      <c r="I658" t="n">
        <v>0</v>
      </c>
      <c r="J658" t="n">
        <v>0</v>
      </c>
      <c r="K658" t="n">
        <v>0</v>
      </c>
      <c r="L658" t="n">
        <v>0</v>
      </c>
      <c r="M658" t="n">
        <v>0</v>
      </c>
      <c r="N658" t="n">
        <v>0</v>
      </c>
      <c r="O658" t="n">
        <v>0</v>
      </c>
      <c r="P658" t="n">
        <v>0</v>
      </c>
      <c r="Q658" t="n">
        <v>0</v>
      </c>
      <c r="R658" s="2" t="inlineStr"/>
    </row>
    <row r="659" ht="15" customHeight="1">
      <c r="A659" t="inlineStr">
        <is>
          <t>A 49512-2024</t>
        </is>
      </c>
      <c r="B659" s="1" t="n">
        <v>45591</v>
      </c>
      <c r="C659" s="1" t="n">
        <v>46026</v>
      </c>
      <c r="D659" t="inlineStr">
        <is>
          <t>VÄSTMANLANDS LÄN</t>
        </is>
      </c>
      <c r="E659" t="inlineStr">
        <is>
          <t>SALA</t>
        </is>
      </c>
      <c r="G659" t="n">
        <v>8.1</v>
      </c>
      <c r="H659" t="n">
        <v>0</v>
      </c>
      <c r="I659" t="n">
        <v>0</v>
      </c>
      <c r="J659" t="n">
        <v>0</v>
      </c>
      <c r="K659" t="n">
        <v>0</v>
      </c>
      <c r="L659" t="n">
        <v>0</v>
      </c>
      <c r="M659" t="n">
        <v>0</v>
      </c>
      <c r="N659" t="n">
        <v>0</v>
      </c>
      <c r="O659" t="n">
        <v>0</v>
      </c>
      <c r="P659" t="n">
        <v>0</v>
      </c>
      <c r="Q659" t="n">
        <v>0</v>
      </c>
      <c r="R659" s="2" t="inlineStr"/>
    </row>
    <row r="660" ht="15" customHeight="1">
      <c r="A660" t="inlineStr">
        <is>
          <t>A 13128-2023</t>
        </is>
      </c>
      <c r="B660" s="1" t="n">
        <v>45002</v>
      </c>
      <c r="C660" s="1" t="n">
        <v>46026</v>
      </c>
      <c r="D660" t="inlineStr">
        <is>
          <t>VÄSTMANLANDS LÄN</t>
        </is>
      </c>
      <c r="E660" t="inlineStr">
        <is>
          <t>SALA</t>
        </is>
      </c>
      <c r="G660" t="n">
        <v>7.9</v>
      </c>
      <c r="H660" t="n">
        <v>0</v>
      </c>
      <c r="I660" t="n">
        <v>0</v>
      </c>
      <c r="J660" t="n">
        <v>0</v>
      </c>
      <c r="K660" t="n">
        <v>0</v>
      </c>
      <c r="L660" t="n">
        <v>0</v>
      </c>
      <c r="M660" t="n">
        <v>0</v>
      </c>
      <c r="N660" t="n">
        <v>0</v>
      </c>
      <c r="O660" t="n">
        <v>0</v>
      </c>
      <c r="P660" t="n">
        <v>0</v>
      </c>
      <c r="Q660" t="n">
        <v>0</v>
      </c>
      <c r="R660" s="2" t="inlineStr"/>
    </row>
    <row r="661" ht="15" customHeight="1">
      <c r="A661" t="inlineStr">
        <is>
          <t>A 37958-2024</t>
        </is>
      </c>
      <c r="B661" s="1" t="n">
        <v>45544</v>
      </c>
      <c r="C661" s="1" t="n">
        <v>46026</v>
      </c>
      <c r="D661" t="inlineStr">
        <is>
          <t>VÄSTMANLANDS LÄN</t>
        </is>
      </c>
      <c r="E661" t="inlineStr">
        <is>
          <t>SALA</t>
        </is>
      </c>
      <c r="G661" t="n">
        <v>5.6</v>
      </c>
      <c r="H661" t="n">
        <v>0</v>
      </c>
      <c r="I661" t="n">
        <v>0</v>
      </c>
      <c r="J661" t="n">
        <v>0</v>
      </c>
      <c r="K661" t="n">
        <v>0</v>
      </c>
      <c r="L661" t="n">
        <v>0</v>
      </c>
      <c r="M661" t="n">
        <v>0</v>
      </c>
      <c r="N661" t="n">
        <v>0</v>
      </c>
      <c r="O661" t="n">
        <v>0</v>
      </c>
      <c r="P661" t="n">
        <v>0</v>
      </c>
      <c r="Q661" t="n">
        <v>0</v>
      </c>
      <c r="R661" s="2" t="inlineStr"/>
    </row>
    <row r="662" ht="15" customHeight="1">
      <c r="A662" t="inlineStr">
        <is>
          <t>A 18431-2023</t>
        </is>
      </c>
      <c r="B662" s="1" t="n">
        <v>45042</v>
      </c>
      <c r="C662" s="1" t="n">
        <v>46026</v>
      </c>
      <c r="D662" t="inlineStr">
        <is>
          <t>VÄSTMANLANDS LÄN</t>
        </is>
      </c>
      <c r="E662" t="inlineStr">
        <is>
          <t>SALA</t>
        </is>
      </c>
      <c r="G662" t="n">
        <v>1.9</v>
      </c>
      <c r="H662" t="n">
        <v>0</v>
      </c>
      <c r="I662" t="n">
        <v>0</v>
      </c>
      <c r="J662" t="n">
        <v>0</v>
      </c>
      <c r="K662" t="n">
        <v>0</v>
      </c>
      <c r="L662" t="n">
        <v>0</v>
      </c>
      <c r="M662" t="n">
        <v>0</v>
      </c>
      <c r="N662" t="n">
        <v>0</v>
      </c>
      <c r="O662" t="n">
        <v>0</v>
      </c>
      <c r="P662" t="n">
        <v>0</v>
      </c>
      <c r="Q662" t="n">
        <v>0</v>
      </c>
      <c r="R662" s="2" t="inlineStr"/>
    </row>
    <row r="663" ht="15" customHeight="1">
      <c r="A663" t="inlineStr">
        <is>
          <t>A 57650-2024</t>
        </is>
      </c>
      <c r="B663" s="1" t="n">
        <v>45630</v>
      </c>
      <c r="C663" s="1" t="n">
        <v>46026</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10255-2024</t>
        </is>
      </c>
      <c r="B664" s="1" t="n">
        <v>45365</v>
      </c>
      <c r="C664" s="1" t="n">
        <v>46026</v>
      </c>
      <c r="D664" t="inlineStr">
        <is>
          <t>VÄSTMANLANDS LÄN</t>
        </is>
      </c>
      <c r="E664" t="inlineStr">
        <is>
          <t>SALA</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28696-2023</t>
        </is>
      </c>
      <c r="B665" s="1" t="n">
        <v>45103.71759259259</v>
      </c>
      <c r="C665" s="1" t="n">
        <v>46026</v>
      </c>
      <c r="D665" t="inlineStr">
        <is>
          <t>VÄSTMANLANDS LÄN</t>
        </is>
      </c>
      <c r="E665" t="inlineStr">
        <is>
          <t>SALA</t>
        </is>
      </c>
      <c r="F665" t="inlineStr">
        <is>
          <t>Kommuner</t>
        </is>
      </c>
      <c r="G665" t="n">
        <v>5.9</v>
      </c>
      <c r="H665" t="n">
        <v>0</v>
      </c>
      <c r="I665" t="n">
        <v>0</v>
      </c>
      <c r="J665" t="n">
        <v>0</v>
      </c>
      <c r="K665" t="n">
        <v>0</v>
      </c>
      <c r="L665" t="n">
        <v>0</v>
      </c>
      <c r="M665" t="n">
        <v>0</v>
      </c>
      <c r="N665" t="n">
        <v>0</v>
      </c>
      <c r="O665" t="n">
        <v>0</v>
      </c>
      <c r="P665" t="n">
        <v>0</v>
      </c>
      <c r="Q665" t="n">
        <v>0</v>
      </c>
      <c r="R665" s="2" t="inlineStr"/>
    </row>
    <row r="666" ht="15" customHeight="1">
      <c r="A666" t="inlineStr">
        <is>
          <t>A 31072-2021</t>
        </is>
      </c>
      <c r="B666" s="1" t="n">
        <v>44368</v>
      </c>
      <c r="C666" s="1" t="n">
        <v>46026</v>
      </c>
      <c r="D666" t="inlineStr">
        <is>
          <t>VÄSTMANLANDS LÄN</t>
        </is>
      </c>
      <c r="E666" t="inlineStr">
        <is>
          <t>SALA</t>
        </is>
      </c>
      <c r="G666" t="n">
        <v>1.1</v>
      </c>
      <c r="H666" t="n">
        <v>0</v>
      </c>
      <c r="I666" t="n">
        <v>0</v>
      </c>
      <c r="J666" t="n">
        <v>0</v>
      </c>
      <c r="K666" t="n">
        <v>0</v>
      </c>
      <c r="L666" t="n">
        <v>0</v>
      </c>
      <c r="M666" t="n">
        <v>0</v>
      </c>
      <c r="N666" t="n">
        <v>0</v>
      </c>
      <c r="O666" t="n">
        <v>0</v>
      </c>
      <c r="P666" t="n">
        <v>0</v>
      </c>
      <c r="Q666" t="n">
        <v>0</v>
      </c>
      <c r="R666" s="2" t="inlineStr"/>
    </row>
    <row r="667" ht="15" customHeight="1">
      <c r="A667" t="inlineStr">
        <is>
          <t>A 16543-2023</t>
        </is>
      </c>
      <c r="B667" s="1" t="n">
        <v>45029</v>
      </c>
      <c r="C667" s="1" t="n">
        <v>46026</v>
      </c>
      <c r="D667" t="inlineStr">
        <is>
          <t>VÄSTMANLANDS LÄN</t>
        </is>
      </c>
      <c r="E667" t="inlineStr">
        <is>
          <t>SALA</t>
        </is>
      </c>
      <c r="F667" t="inlineStr">
        <is>
          <t>Sveaskog</t>
        </is>
      </c>
      <c r="G667" t="n">
        <v>1.9</v>
      </c>
      <c r="H667" t="n">
        <v>0</v>
      </c>
      <c r="I667" t="n">
        <v>0</v>
      </c>
      <c r="J667" t="n">
        <v>0</v>
      </c>
      <c r="K667" t="n">
        <v>0</v>
      </c>
      <c r="L667" t="n">
        <v>0</v>
      </c>
      <c r="M667" t="n">
        <v>0</v>
      </c>
      <c r="N667" t="n">
        <v>0</v>
      </c>
      <c r="O667" t="n">
        <v>0</v>
      </c>
      <c r="P667" t="n">
        <v>0</v>
      </c>
      <c r="Q667" t="n">
        <v>0</v>
      </c>
      <c r="R667" s="2" t="inlineStr"/>
    </row>
    <row r="668" ht="15" customHeight="1">
      <c r="A668" t="inlineStr">
        <is>
          <t>A 22523-2023</t>
        </is>
      </c>
      <c r="B668" s="1" t="n">
        <v>45069</v>
      </c>
      <c r="C668" s="1" t="n">
        <v>46026</v>
      </c>
      <c r="D668" t="inlineStr">
        <is>
          <t>VÄSTMANLANDS LÄN</t>
        </is>
      </c>
      <c r="E668" t="inlineStr">
        <is>
          <t>SALA</t>
        </is>
      </c>
      <c r="G668" t="n">
        <v>2.4</v>
      </c>
      <c r="H668" t="n">
        <v>0</v>
      </c>
      <c r="I668" t="n">
        <v>0</v>
      </c>
      <c r="J668" t="n">
        <v>0</v>
      </c>
      <c r="K668" t="n">
        <v>0</v>
      </c>
      <c r="L668" t="n">
        <v>0</v>
      </c>
      <c r="M668" t="n">
        <v>0</v>
      </c>
      <c r="N668" t="n">
        <v>0</v>
      </c>
      <c r="O668" t="n">
        <v>0</v>
      </c>
      <c r="P668" t="n">
        <v>0</v>
      </c>
      <c r="Q668" t="n">
        <v>0</v>
      </c>
      <c r="R668" s="2" t="inlineStr"/>
    </row>
    <row r="669" ht="15" customHeight="1">
      <c r="A669" t="inlineStr">
        <is>
          <t>A 4663-2022</t>
        </is>
      </c>
      <c r="B669" s="1" t="n">
        <v>44592.45429398148</v>
      </c>
      <c r="C669" s="1" t="n">
        <v>46026</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6132-2025</t>
        </is>
      </c>
      <c r="B670" s="1" t="n">
        <v>45698</v>
      </c>
      <c r="C670" s="1" t="n">
        <v>46026</v>
      </c>
      <c r="D670" t="inlineStr">
        <is>
          <t>VÄSTMANLANDS LÄN</t>
        </is>
      </c>
      <c r="E670" t="inlineStr">
        <is>
          <t>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31859-2023</t>
        </is>
      </c>
      <c r="B671" s="1" t="n">
        <v>45118</v>
      </c>
      <c r="C671" s="1" t="n">
        <v>46026</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c r="U671">
        <f>HYPERLINK("https://klasma.github.io/Logging_1981/knärot/A 31859-2023 karta knärot.png", "A 31859-2023")</f>
        <v/>
      </c>
      <c r="V671">
        <f>HYPERLINK("https://klasma.github.io/Logging_1981/klagomål/A 31859-2023 FSC-klagomål.docx", "A 31859-2023")</f>
        <v/>
      </c>
      <c r="W671">
        <f>HYPERLINK("https://klasma.github.io/Logging_1981/klagomålsmail/A 31859-2023 FSC-klagomål mail.docx", "A 31859-2023")</f>
        <v/>
      </c>
      <c r="X671">
        <f>HYPERLINK("https://klasma.github.io/Logging_1981/tillsyn/A 31859-2023 tillsynsbegäran.docx", "A 31859-2023")</f>
        <v/>
      </c>
      <c r="Y671">
        <f>HYPERLINK("https://klasma.github.io/Logging_1981/tillsynsmail/A 31859-2023 tillsynsbegäran mail.docx", "A 31859-2023")</f>
        <v/>
      </c>
    </row>
    <row r="672" ht="15" customHeight="1">
      <c r="A672" t="inlineStr">
        <is>
          <t>A 61681-2024</t>
        </is>
      </c>
      <c r="B672" s="1" t="n">
        <v>45647</v>
      </c>
      <c r="C672" s="1" t="n">
        <v>46026</v>
      </c>
      <c r="D672" t="inlineStr">
        <is>
          <t>VÄSTMANLANDS LÄN</t>
        </is>
      </c>
      <c r="E672" t="inlineStr">
        <is>
          <t>SALA</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54960-2024</t>
        </is>
      </c>
      <c r="B673" s="1" t="n">
        <v>45619.85208333333</v>
      </c>
      <c r="C673" s="1" t="n">
        <v>46026</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31082-2021</t>
        </is>
      </c>
      <c r="B674" s="1" t="n">
        <v>44368</v>
      </c>
      <c r="C674" s="1" t="n">
        <v>46026</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20352-2022</t>
        </is>
      </c>
      <c r="B675" s="1" t="n">
        <v>44699.37318287037</v>
      </c>
      <c r="C675" s="1" t="n">
        <v>46026</v>
      </c>
      <c r="D675" t="inlineStr">
        <is>
          <t>VÄSTMANLANDS LÄN</t>
        </is>
      </c>
      <c r="E675" t="inlineStr">
        <is>
          <t>SALA</t>
        </is>
      </c>
      <c r="G675" t="n">
        <v>1.3</v>
      </c>
      <c r="H675" t="n">
        <v>0</v>
      </c>
      <c r="I675" t="n">
        <v>0</v>
      </c>
      <c r="J675" t="n">
        <v>0</v>
      </c>
      <c r="K675" t="n">
        <v>0</v>
      </c>
      <c r="L675" t="n">
        <v>0</v>
      </c>
      <c r="M675" t="n">
        <v>0</v>
      </c>
      <c r="N675" t="n">
        <v>0</v>
      </c>
      <c r="O675" t="n">
        <v>0</v>
      </c>
      <c r="P675" t="n">
        <v>0</v>
      </c>
      <c r="Q675" t="n">
        <v>0</v>
      </c>
      <c r="R675" s="2" t="inlineStr"/>
    </row>
    <row r="676" ht="15" customHeight="1">
      <c r="A676" t="inlineStr">
        <is>
          <t>A 27657-2023</t>
        </is>
      </c>
      <c r="B676" s="1" t="n">
        <v>45097.76631944445</v>
      </c>
      <c r="C676" s="1" t="n">
        <v>46026</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2766-2024</t>
        </is>
      </c>
      <c r="B677" s="1" t="n">
        <v>45314.60950231482</v>
      </c>
      <c r="C677" s="1" t="n">
        <v>46026</v>
      </c>
      <c r="D677" t="inlineStr">
        <is>
          <t>VÄSTMANLANDS LÄN</t>
        </is>
      </c>
      <c r="E677" t="inlineStr">
        <is>
          <t>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60550-2024</t>
        </is>
      </c>
      <c r="B678" s="1" t="n">
        <v>45643</v>
      </c>
      <c r="C678" s="1" t="n">
        <v>46026</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14690-2025</t>
        </is>
      </c>
      <c r="B679" s="1" t="n">
        <v>45742.58212962963</v>
      </c>
      <c r="C679" s="1" t="n">
        <v>46026</v>
      </c>
      <c r="D679" t="inlineStr">
        <is>
          <t>VÄSTMANLANDS LÄN</t>
        </is>
      </c>
      <c r="E679" t="inlineStr">
        <is>
          <t>SALA</t>
        </is>
      </c>
      <c r="G679" t="n">
        <v>3.4</v>
      </c>
      <c r="H679" t="n">
        <v>0</v>
      </c>
      <c r="I679" t="n">
        <v>0</v>
      </c>
      <c r="J679" t="n">
        <v>0</v>
      </c>
      <c r="K679" t="n">
        <v>0</v>
      </c>
      <c r="L679" t="n">
        <v>0</v>
      </c>
      <c r="M679" t="n">
        <v>0</v>
      </c>
      <c r="N679" t="n">
        <v>0</v>
      </c>
      <c r="O679" t="n">
        <v>0</v>
      </c>
      <c r="P679" t="n">
        <v>0</v>
      </c>
      <c r="Q679" t="n">
        <v>0</v>
      </c>
      <c r="R679" s="2" t="inlineStr"/>
    </row>
    <row r="680" ht="15" customHeight="1">
      <c r="A680" t="inlineStr">
        <is>
          <t>A 24175-2024</t>
        </is>
      </c>
      <c r="B680" s="1" t="n">
        <v>45456</v>
      </c>
      <c r="C680" s="1" t="n">
        <v>46026</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62449-2023</t>
        </is>
      </c>
      <c r="B681" s="1" t="n">
        <v>45268.49008101852</v>
      </c>
      <c r="C681" s="1" t="n">
        <v>46026</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54910-2023</t>
        </is>
      </c>
      <c r="B682" s="1" t="n">
        <v>45229</v>
      </c>
      <c r="C682" s="1" t="n">
        <v>46026</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19222-2025</t>
        </is>
      </c>
      <c r="B683" s="1" t="n">
        <v>45769</v>
      </c>
      <c r="C683" s="1" t="n">
        <v>46026</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19241-2025</t>
        </is>
      </c>
      <c r="B684" s="1" t="n">
        <v>45769</v>
      </c>
      <c r="C684" s="1" t="n">
        <v>46026</v>
      </c>
      <c r="D684" t="inlineStr">
        <is>
          <t>VÄSTMANLANDS LÄN</t>
        </is>
      </c>
      <c r="E684" t="inlineStr">
        <is>
          <t>SALA</t>
        </is>
      </c>
      <c r="G684" t="n">
        <v>3.6</v>
      </c>
      <c r="H684" t="n">
        <v>0</v>
      </c>
      <c r="I684" t="n">
        <v>0</v>
      </c>
      <c r="J684" t="n">
        <v>0</v>
      </c>
      <c r="K684" t="n">
        <v>0</v>
      </c>
      <c r="L684" t="n">
        <v>0</v>
      </c>
      <c r="M684" t="n">
        <v>0</v>
      </c>
      <c r="N684" t="n">
        <v>0</v>
      </c>
      <c r="O684" t="n">
        <v>0</v>
      </c>
      <c r="P684" t="n">
        <v>0</v>
      </c>
      <c r="Q684" t="n">
        <v>0</v>
      </c>
      <c r="R684" s="2" t="inlineStr"/>
    </row>
    <row r="685" ht="15" customHeight="1">
      <c r="A685" t="inlineStr">
        <is>
          <t>A 26416-2023</t>
        </is>
      </c>
      <c r="B685" s="1" t="n">
        <v>45092.38087962963</v>
      </c>
      <c r="C685" s="1" t="n">
        <v>46026</v>
      </c>
      <c r="D685" t="inlineStr">
        <is>
          <t>VÄSTMANLANDS LÄN</t>
        </is>
      </c>
      <c r="E685" t="inlineStr">
        <is>
          <t>SALA</t>
        </is>
      </c>
      <c r="G685" t="n">
        <v>2.9</v>
      </c>
      <c r="H685" t="n">
        <v>0</v>
      </c>
      <c r="I685" t="n">
        <v>0</v>
      </c>
      <c r="J685" t="n">
        <v>0</v>
      </c>
      <c r="K685" t="n">
        <v>0</v>
      </c>
      <c r="L685" t="n">
        <v>0</v>
      </c>
      <c r="M685" t="n">
        <v>0</v>
      </c>
      <c r="N685" t="n">
        <v>0</v>
      </c>
      <c r="O685" t="n">
        <v>0</v>
      </c>
      <c r="P685" t="n">
        <v>0</v>
      </c>
      <c r="Q685" t="n">
        <v>0</v>
      </c>
      <c r="R685" s="2" t="inlineStr"/>
    </row>
    <row r="686" ht="15" customHeight="1">
      <c r="A686" t="inlineStr">
        <is>
          <t>A 26692-2023</t>
        </is>
      </c>
      <c r="B686" s="1" t="n">
        <v>45093.360625</v>
      </c>
      <c r="C686" s="1" t="n">
        <v>46026</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15681-2025</t>
        </is>
      </c>
      <c r="B687" s="1" t="n">
        <v>45748.45454861111</v>
      </c>
      <c r="C687" s="1" t="n">
        <v>46026</v>
      </c>
      <c r="D687" t="inlineStr">
        <is>
          <t>VÄSTMANLANDS LÄN</t>
        </is>
      </c>
      <c r="E687" t="inlineStr">
        <is>
          <t>SALA</t>
        </is>
      </c>
      <c r="F687" t="inlineStr">
        <is>
          <t>Bergvik skog öst AB</t>
        </is>
      </c>
      <c r="G687" t="n">
        <v>4.3</v>
      </c>
      <c r="H687" t="n">
        <v>0</v>
      </c>
      <c r="I687" t="n">
        <v>0</v>
      </c>
      <c r="J687" t="n">
        <v>0</v>
      </c>
      <c r="K687" t="n">
        <v>0</v>
      </c>
      <c r="L687" t="n">
        <v>0</v>
      </c>
      <c r="M687" t="n">
        <v>0</v>
      </c>
      <c r="N687" t="n">
        <v>0</v>
      </c>
      <c r="O687" t="n">
        <v>0</v>
      </c>
      <c r="P687" t="n">
        <v>0</v>
      </c>
      <c r="Q687" t="n">
        <v>0</v>
      </c>
      <c r="R687" s="2" t="inlineStr"/>
    </row>
    <row r="688" ht="15" customHeight="1">
      <c r="A688" t="inlineStr">
        <is>
          <t>A 2925-2024</t>
        </is>
      </c>
      <c r="B688" s="1" t="n">
        <v>45315.58909722222</v>
      </c>
      <c r="C688" s="1" t="n">
        <v>46026</v>
      </c>
      <c r="D688" t="inlineStr">
        <is>
          <t>VÄSTMANLANDS LÄN</t>
        </is>
      </c>
      <c r="E688" t="inlineStr">
        <is>
          <t>SALA</t>
        </is>
      </c>
      <c r="G688" t="n">
        <v>1.3</v>
      </c>
      <c r="H688" t="n">
        <v>0</v>
      </c>
      <c r="I688" t="n">
        <v>0</v>
      </c>
      <c r="J688" t="n">
        <v>0</v>
      </c>
      <c r="K688" t="n">
        <v>0</v>
      </c>
      <c r="L688" t="n">
        <v>0</v>
      </c>
      <c r="M688" t="n">
        <v>0</v>
      </c>
      <c r="N688" t="n">
        <v>0</v>
      </c>
      <c r="O688" t="n">
        <v>0</v>
      </c>
      <c r="P688" t="n">
        <v>0</v>
      </c>
      <c r="Q688" t="n">
        <v>0</v>
      </c>
      <c r="R688" s="2" t="inlineStr"/>
    </row>
    <row r="689" ht="15" customHeight="1">
      <c r="A689" t="inlineStr">
        <is>
          <t>A 44746-2024</t>
        </is>
      </c>
      <c r="B689" s="1" t="n">
        <v>45574.59813657407</v>
      </c>
      <c r="C689" s="1" t="n">
        <v>46026</v>
      </c>
      <c r="D689" t="inlineStr">
        <is>
          <t>VÄSTMANLANDS LÄN</t>
        </is>
      </c>
      <c r="E689" t="inlineStr">
        <is>
          <t>SALA</t>
        </is>
      </c>
      <c r="G689" t="n">
        <v>6.7</v>
      </c>
      <c r="H689" t="n">
        <v>0</v>
      </c>
      <c r="I689" t="n">
        <v>0</v>
      </c>
      <c r="J689" t="n">
        <v>0</v>
      </c>
      <c r="K689" t="n">
        <v>0</v>
      </c>
      <c r="L689" t="n">
        <v>0</v>
      </c>
      <c r="M689" t="n">
        <v>0</v>
      </c>
      <c r="N689" t="n">
        <v>0</v>
      </c>
      <c r="O689" t="n">
        <v>0</v>
      </c>
      <c r="P689" t="n">
        <v>0</v>
      </c>
      <c r="Q689" t="n">
        <v>0</v>
      </c>
      <c r="R689" s="2" t="inlineStr"/>
    </row>
    <row r="690" ht="15" customHeight="1">
      <c r="A690" t="inlineStr">
        <is>
          <t>A 44713-2023</t>
        </is>
      </c>
      <c r="B690" s="1" t="n">
        <v>45184</v>
      </c>
      <c r="C690" s="1" t="n">
        <v>46026</v>
      </c>
      <c r="D690" t="inlineStr">
        <is>
          <t>VÄSTMANLANDS LÄN</t>
        </is>
      </c>
      <c r="E690" t="inlineStr">
        <is>
          <t>SALA</t>
        </is>
      </c>
      <c r="F690" t="inlineStr">
        <is>
          <t>Kyrkan</t>
        </is>
      </c>
      <c r="G690" t="n">
        <v>7.6</v>
      </c>
      <c r="H690" t="n">
        <v>0</v>
      </c>
      <c r="I690" t="n">
        <v>0</v>
      </c>
      <c r="J690" t="n">
        <v>0</v>
      </c>
      <c r="K690" t="n">
        <v>0</v>
      </c>
      <c r="L690" t="n">
        <v>0</v>
      </c>
      <c r="M690" t="n">
        <v>0</v>
      </c>
      <c r="N690" t="n">
        <v>0</v>
      </c>
      <c r="O690" t="n">
        <v>0</v>
      </c>
      <c r="P690" t="n">
        <v>0</v>
      </c>
      <c r="Q690" t="n">
        <v>0</v>
      </c>
      <c r="R690" s="2" t="inlineStr"/>
    </row>
    <row r="691" ht="15" customHeight="1">
      <c r="A691" t="inlineStr">
        <is>
          <t>A 23431-2024</t>
        </is>
      </c>
      <c r="B691" s="1" t="n">
        <v>45453</v>
      </c>
      <c r="C691" s="1" t="n">
        <v>46026</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21168-2025</t>
        </is>
      </c>
      <c r="B692" s="1" t="n">
        <v>45777</v>
      </c>
      <c r="C692" s="1" t="n">
        <v>46026</v>
      </c>
      <c r="D692" t="inlineStr">
        <is>
          <t>VÄSTMANLANDS LÄN</t>
        </is>
      </c>
      <c r="E692" t="inlineStr">
        <is>
          <t>SALA</t>
        </is>
      </c>
      <c r="G692" t="n">
        <v>4.5</v>
      </c>
      <c r="H692" t="n">
        <v>0</v>
      </c>
      <c r="I692" t="n">
        <v>0</v>
      </c>
      <c r="J692" t="n">
        <v>0</v>
      </c>
      <c r="K692" t="n">
        <v>0</v>
      </c>
      <c r="L692" t="n">
        <v>0</v>
      </c>
      <c r="M692" t="n">
        <v>0</v>
      </c>
      <c r="N692" t="n">
        <v>0</v>
      </c>
      <c r="O692" t="n">
        <v>0</v>
      </c>
      <c r="P692" t="n">
        <v>0</v>
      </c>
      <c r="Q692" t="n">
        <v>0</v>
      </c>
      <c r="R692" s="2" t="inlineStr"/>
    </row>
    <row r="693" ht="15" customHeight="1">
      <c r="A693" t="inlineStr">
        <is>
          <t>A 21751-2025</t>
        </is>
      </c>
      <c r="B693" s="1" t="n">
        <v>45783.61372685185</v>
      </c>
      <c r="C693" s="1" t="n">
        <v>46026</v>
      </c>
      <c r="D693" t="inlineStr">
        <is>
          <t>VÄSTMANLANDS LÄN</t>
        </is>
      </c>
      <c r="E693" t="inlineStr">
        <is>
          <t>SALA</t>
        </is>
      </c>
      <c r="G693" t="n">
        <v>1</v>
      </c>
      <c r="H693" t="n">
        <v>0</v>
      </c>
      <c r="I693" t="n">
        <v>0</v>
      </c>
      <c r="J693" t="n">
        <v>0</v>
      </c>
      <c r="K693" t="n">
        <v>0</v>
      </c>
      <c r="L693" t="n">
        <v>0</v>
      </c>
      <c r="M693" t="n">
        <v>0</v>
      </c>
      <c r="N693" t="n">
        <v>0</v>
      </c>
      <c r="O693" t="n">
        <v>0</v>
      </c>
      <c r="P693" t="n">
        <v>0</v>
      </c>
      <c r="Q693" t="n">
        <v>0</v>
      </c>
      <c r="R693" s="2" t="inlineStr"/>
    </row>
    <row r="694" ht="15" customHeight="1">
      <c r="A694" t="inlineStr">
        <is>
          <t>A 21754-2025</t>
        </is>
      </c>
      <c r="B694" s="1" t="n">
        <v>45783.61837962963</v>
      </c>
      <c r="C694" s="1" t="n">
        <v>46026</v>
      </c>
      <c r="D694" t="inlineStr">
        <is>
          <t>VÄSTMANLANDS LÄN</t>
        </is>
      </c>
      <c r="E694" t="inlineStr">
        <is>
          <t>SALA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37587-2024</t>
        </is>
      </c>
      <c r="B695" s="1" t="n">
        <v>45541</v>
      </c>
      <c r="C695" s="1" t="n">
        <v>46026</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22353-2025</t>
        </is>
      </c>
      <c r="B696" s="1" t="n">
        <v>45786</v>
      </c>
      <c r="C696" s="1" t="n">
        <v>46026</v>
      </c>
      <c r="D696" t="inlineStr">
        <is>
          <t>VÄSTMANLANDS LÄN</t>
        </is>
      </c>
      <c r="E696" t="inlineStr">
        <is>
          <t>SALA</t>
        </is>
      </c>
      <c r="G696" t="n">
        <v>2.5</v>
      </c>
      <c r="H696" t="n">
        <v>0</v>
      </c>
      <c r="I696" t="n">
        <v>0</v>
      </c>
      <c r="J696" t="n">
        <v>0</v>
      </c>
      <c r="K696" t="n">
        <v>0</v>
      </c>
      <c r="L696" t="n">
        <v>0</v>
      </c>
      <c r="M696" t="n">
        <v>0</v>
      </c>
      <c r="N696" t="n">
        <v>0</v>
      </c>
      <c r="O696" t="n">
        <v>0</v>
      </c>
      <c r="P696" t="n">
        <v>0</v>
      </c>
      <c r="Q696" t="n">
        <v>0</v>
      </c>
      <c r="R696" s="2" t="inlineStr"/>
    </row>
    <row r="697" ht="15" customHeight="1">
      <c r="A697" t="inlineStr">
        <is>
          <t>A 64724-2023</t>
        </is>
      </c>
      <c r="B697" s="1" t="n">
        <v>45281.7602662037</v>
      </c>
      <c r="C697" s="1" t="n">
        <v>46026</v>
      </c>
      <c r="D697" t="inlineStr">
        <is>
          <t>VÄSTMANLANDS LÄN</t>
        </is>
      </c>
      <c r="E697" t="inlineStr">
        <is>
          <t>SALA</t>
        </is>
      </c>
      <c r="G697" t="n">
        <v>2.3</v>
      </c>
      <c r="H697" t="n">
        <v>0</v>
      </c>
      <c r="I697" t="n">
        <v>0</v>
      </c>
      <c r="J697" t="n">
        <v>0</v>
      </c>
      <c r="K697" t="n">
        <v>0</v>
      </c>
      <c r="L697" t="n">
        <v>0</v>
      </c>
      <c r="M697" t="n">
        <v>0</v>
      </c>
      <c r="N697" t="n">
        <v>0</v>
      </c>
      <c r="O697" t="n">
        <v>0</v>
      </c>
      <c r="P697" t="n">
        <v>0</v>
      </c>
      <c r="Q697" t="n">
        <v>0</v>
      </c>
      <c r="R697" s="2" t="inlineStr"/>
    </row>
    <row r="698" ht="15" customHeight="1">
      <c r="A698" t="inlineStr">
        <is>
          <t>A 22370-2025</t>
        </is>
      </c>
      <c r="B698" s="1" t="n">
        <v>45786</v>
      </c>
      <c r="C698" s="1" t="n">
        <v>46026</v>
      </c>
      <c r="D698" t="inlineStr">
        <is>
          <t>VÄSTMANLANDS LÄN</t>
        </is>
      </c>
      <c r="E698" t="inlineStr">
        <is>
          <t>SALA</t>
        </is>
      </c>
      <c r="G698" t="n">
        <v>3.2</v>
      </c>
      <c r="H698" t="n">
        <v>0</v>
      </c>
      <c r="I698" t="n">
        <v>0</v>
      </c>
      <c r="J698" t="n">
        <v>0</v>
      </c>
      <c r="K698" t="n">
        <v>0</v>
      </c>
      <c r="L698" t="n">
        <v>0</v>
      </c>
      <c r="M698" t="n">
        <v>0</v>
      </c>
      <c r="N698" t="n">
        <v>0</v>
      </c>
      <c r="O698" t="n">
        <v>0</v>
      </c>
      <c r="P698" t="n">
        <v>0</v>
      </c>
      <c r="Q698" t="n">
        <v>0</v>
      </c>
      <c r="R698" s="2" t="inlineStr"/>
    </row>
    <row r="699" ht="15" customHeight="1">
      <c r="A699" t="inlineStr">
        <is>
          <t>A 22383-2025</t>
        </is>
      </c>
      <c r="B699" s="1" t="n">
        <v>45786</v>
      </c>
      <c r="C699" s="1" t="n">
        <v>46026</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7176-2023</t>
        </is>
      </c>
      <c r="B700" s="1" t="n">
        <v>44970</v>
      </c>
      <c r="C700" s="1" t="n">
        <v>46026</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22624-2025</t>
        </is>
      </c>
      <c r="B701" s="1" t="n">
        <v>45789.43327546296</v>
      </c>
      <c r="C701" s="1" t="n">
        <v>46026</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31405-2024</t>
        </is>
      </c>
      <c r="B702" s="1" t="n">
        <v>45505.5490625</v>
      </c>
      <c r="C702" s="1" t="n">
        <v>46026</v>
      </c>
      <c r="D702" t="inlineStr">
        <is>
          <t>VÄSTMANLANDS LÄN</t>
        </is>
      </c>
      <c r="E702" t="inlineStr">
        <is>
          <t>SALA</t>
        </is>
      </c>
      <c r="G702" t="n">
        <v>5.2</v>
      </c>
      <c r="H702" t="n">
        <v>0</v>
      </c>
      <c r="I702" t="n">
        <v>0</v>
      </c>
      <c r="J702" t="n">
        <v>0</v>
      </c>
      <c r="K702" t="n">
        <v>0</v>
      </c>
      <c r="L702" t="n">
        <v>0</v>
      </c>
      <c r="M702" t="n">
        <v>0</v>
      </c>
      <c r="N702" t="n">
        <v>0</v>
      </c>
      <c r="O702" t="n">
        <v>0</v>
      </c>
      <c r="P702" t="n">
        <v>0</v>
      </c>
      <c r="Q702" t="n">
        <v>0</v>
      </c>
      <c r="R702" s="2" t="inlineStr"/>
    </row>
    <row r="703" ht="15" customHeight="1">
      <c r="A703" t="inlineStr">
        <is>
          <t>A 22616-2025</t>
        </is>
      </c>
      <c r="B703" s="1" t="n">
        <v>45789.42752314815</v>
      </c>
      <c r="C703" s="1" t="n">
        <v>46026</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43600-2024</t>
        </is>
      </c>
      <c r="B704" s="1" t="n">
        <v>45569</v>
      </c>
      <c r="C704" s="1" t="n">
        <v>46026</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13130-2025</t>
        </is>
      </c>
      <c r="B705" s="1" t="n">
        <v>45734</v>
      </c>
      <c r="C705" s="1" t="n">
        <v>46026</v>
      </c>
      <c r="D705" t="inlineStr">
        <is>
          <t>VÄSTMANLANDS LÄN</t>
        </is>
      </c>
      <c r="E705" t="inlineStr">
        <is>
          <t>SALA</t>
        </is>
      </c>
      <c r="G705" t="n">
        <v>1.5</v>
      </c>
      <c r="H705" t="n">
        <v>0</v>
      </c>
      <c r="I705" t="n">
        <v>0</v>
      </c>
      <c r="J705" t="n">
        <v>0</v>
      </c>
      <c r="K705" t="n">
        <v>0</v>
      </c>
      <c r="L705" t="n">
        <v>0</v>
      </c>
      <c r="M705" t="n">
        <v>0</v>
      </c>
      <c r="N705" t="n">
        <v>0</v>
      </c>
      <c r="O705" t="n">
        <v>0</v>
      </c>
      <c r="P705" t="n">
        <v>0</v>
      </c>
      <c r="Q705" t="n">
        <v>0</v>
      </c>
      <c r="R705" s="2" t="inlineStr"/>
    </row>
    <row r="706" ht="15" customHeight="1">
      <c r="A706" t="inlineStr">
        <is>
          <t>A 24169-2025</t>
        </is>
      </c>
      <c r="B706" s="1" t="n">
        <v>45796</v>
      </c>
      <c r="C706" s="1" t="n">
        <v>46026</v>
      </c>
      <c r="D706" t="inlineStr">
        <is>
          <t>VÄSTMANLANDS LÄN</t>
        </is>
      </c>
      <c r="E706" t="inlineStr">
        <is>
          <t>SALA</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22126-2025</t>
        </is>
      </c>
      <c r="B707" s="1" t="n">
        <v>45785</v>
      </c>
      <c r="C707" s="1" t="n">
        <v>46026</v>
      </c>
      <c r="D707" t="inlineStr">
        <is>
          <t>VÄSTMANLANDS LÄN</t>
        </is>
      </c>
      <c r="E707" t="inlineStr">
        <is>
          <t>SALA</t>
        </is>
      </c>
      <c r="G707" t="n">
        <v>10.6</v>
      </c>
      <c r="H707" t="n">
        <v>0</v>
      </c>
      <c r="I707" t="n">
        <v>0</v>
      </c>
      <c r="J707" t="n">
        <v>0</v>
      </c>
      <c r="K707" t="n">
        <v>0</v>
      </c>
      <c r="L707" t="n">
        <v>0</v>
      </c>
      <c r="M707" t="n">
        <v>0</v>
      </c>
      <c r="N707" t="n">
        <v>0</v>
      </c>
      <c r="O707" t="n">
        <v>0</v>
      </c>
      <c r="P707" t="n">
        <v>0</v>
      </c>
      <c r="Q707" t="n">
        <v>0</v>
      </c>
      <c r="R707" s="2" t="inlineStr"/>
    </row>
    <row r="708" ht="15" customHeight="1">
      <c r="A708" t="inlineStr">
        <is>
          <t>A 23810-2025</t>
        </is>
      </c>
      <c r="B708" s="1" t="n">
        <v>45793.56989583333</v>
      </c>
      <c r="C708" s="1" t="n">
        <v>46026</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24944-2023</t>
        </is>
      </c>
      <c r="B709" s="1" t="n">
        <v>45085</v>
      </c>
      <c r="C709" s="1" t="n">
        <v>46026</v>
      </c>
      <c r="D709" t="inlineStr">
        <is>
          <t>VÄSTMANLANDS LÄN</t>
        </is>
      </c>
      <c r="E709" t="inlineStr">
        <is>
          <t>SALA</t>
        </is>
      </c>
      <c r="G709" t="n">
        <v>3.8</v>
      </c>
      <c r="H709" t="n">
        <v>0</v>
      </c>
      <c r="I709" t="n">
        <v>0</v>
      </c>
      <c r="J709" t="n">
        <v>0</v>
      </c>
      <c r="K709" t="n">
        <v>0</v>
      </c>
      <c r="L709" t="n">
        <v>0</v>
      </c>
      <c r="M709" t="n">
        <v>0</v>
      </c>
      <c r="N709" t="n">
        <v>0</v>
      </c>
      <c r="O709" t="n">
        <v>0</v>
      </c>
      <c r="P709" t="n">
        <v>0</v>
      </c>
      <c r="Q709" t="n">
        <v>0</v>
      </c>
      <c r="R709" s="2" t="inlineStr"/>
    </row>
    <row r="710" ht="15" customHeight="1">
      <c r="A710" t="inlineStr">
        <is>
          <t>A 23804-2025</t>
        </is>
      </c>
      <c r="B710" s="1" t="n">
        <v>45793.55995370371</v>
      </c>
      <c r="C710" s="1" t="n">
        <v>46026</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11210-2025</t>
        </is>
      </c>
      <c r="B711" s="1" t="n">
        <v>45726</v>
      </c>
      <c r="C711" s="1" t="n">
        <v>46026</v>
      </c>
      <c r="D711" t="inlineStr">
        <is>
          <t>VÄSTMANLANDS LÄN</t>
        </is>
      </c>
      <c r="E711" t="inlineStr">
        <is>
          <t>SALA</t>
        </is>
      </c>
      <c r="G711" t="n">
        <v>4.1</v>
      </c>
      <c r="H711" t="n">
        <v>0</v>
      </c>
      <c r="I711" t="n">
        <v>0</v>
      </c>
      <c r="J711" t="n">
        <v>0</v>
      </c>
      <c r="K711" t="n">
        <v>0</v>
      </c>
      <c r="L711" t="n">
        <v>0</v>
      </c>
      <c r="M711" t="n">
        <v>0</v>
      </c>
      <c r="N711" t="n">
        <v>0</v>
      </c>
      <c r="O711" t="n">
        <v>0</v>
      </c>
      <c r="P711" t="n">
        <v>0</v>
      </c>
      <c r="Q711" t="n">
        <v>0</v>
      </c>
      <c r="R711" s="2" t="inlineStr"/>
    </row>
    <row r="712" ht="15" customHeight="1">
      <c r="A712" t="inlineStr">
        <is>
          <t>A 19297-2025</t>
        </is>
      </c>
      <c r="B712" s="1" t="n">
        <v>45769.56261574074</v>
      </c>
      <c r="C712" s="1" t="n">
        <v>46026</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24460-2025</t>
        </is>
      </c>
      <c r="B713" s="1" t="n">
        <v>45798</v>
      </c>
      <c r="C713" s="1" t="n">
        <v>46026</v>
      </c>
      <c r="D713" t="inlineStr">
        <is>
          <t>VÄSTMANLANDS LÄN</t>
        </is>
      </c>
      <c r="E713" t="inlineStr">
        <is>
          <t>SALA</t>
        </is>
      </c>
      <c r="F713" t="inlineStr">
        <is>
          <t>Bergvik skog öst AB</t>
        </is>
      </c>
      <c r="G713" t="n">
        <v>2.6</v>
      </c>
      <c r="H713" t="n">
        <v>0</v>
      </c>
      <c r="I713" t="n">
        <v>0</v>
      </c>
      <c r="J713" t="n">
        <v>0</v>
      </c>
      <c r="K713" t="n">
        <v>0</v>
      </c>
      <c r="L713" t="n">
        <v>0</v>
      </c>
      <c r="M713" t="n">
        <v>0</v>
      </c>
      <c r="N713" t="n">
        <v>0</v>
      </c>
      <c r="O713" t="n">
        <v>0</v>
      </c>
      <c r="P713" t="n">
        <v>0</v>
      </c>
      <c r="Q713" t="n">
        <v>0</v>
      </c>
      <c r="R713" s="2" t="inlineStr"/>
    </row>
    <row r="714" ht="15" customHeight="1">
      <c r="A714" t="inlineStr">
        <is>
          <t>A 55065-2024</t>
        </is>
      </c>
      <c r="B714" s="1" t="n">
        <v>45618</v>
      </c>
      <c r="C714" s="1" t="n">
        <v>46026</v>
      </c>
      <c r="D714" t="inlineStr">
        <is>
          <t>VÄSTMANLANDS LÄN</t>
        </is>
      </c>
      <c r="E714" t="inlineStr">
        <is>
          <t>SALA</t>
        </is>
      </c>
      <c r="G714" t="n">
        <v>3.5</v>
      </c>
      <c r="H714" t="n">
        <v>0</v>
      </c>
      <c r="I714" t="n">
        <v>0</v>
      </c>
      <c r="J714" t="n">
        <v>0</v>
      </c>
      <c r="K714" t="n">
        <v>0</v>
      </c>
      <c r="L714" t="n">
        <v>0</v>
      </c>
      <c r="M714" t="n">
        <v>0</v>
      </c>
      <c r="N714" t="n">
        <v>0</v>
      </c>
      <c r="O714" t="n">
        <v>0</v>
      </c>
      <c r="P714" t="n">
        <v>0</v>
      </c>
      <c r="Q714" t="n">
        <v>0</v>
      </c>
      <c r="R714" s="2" t="inlineStr"/>
    </row>
    <row r="715" ht="15" customHeight="1">
      <c r="A715" t="inlineStr">
        <is>
          <t>A 24463-2025</t>
        </is>
      </c>
      <c r="B715" s="1" t="n">
        <v>45798</v>
      </c>
      <c r="C715" s="1" t="n">
        <v>46026</v>
      </c>
      <c r="D715" t="inlineStr">
        <is>
          <t>VÄSTMANLANDS LÄN</t>
        </is>
      </c>
      <c r="E715" t="inlineStr">
        <is>
          <t>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24907-2025</t>
        </is>
      </c>
      <c r="B716" s="1" t="n">
        <v>45799</v>
      </c>
      <c r="C716" s="1" t="n">
        <v>46026</v>
      </c>
      <c r="D716" t="inlineStr">
        <is>
          <t>VÄSTMANLANDS LÄN</t>
        </is>
      </c>
      <c r="E716" t="inlineStr">
        <is>
          <t>SALA</t>
        </is>
      </c>
      <c r="G716" t="n">
        <v>3.5</v>
      </c>
      <c r="H716" t="n">
        <v>0</v>
      </c>
      <c r="I716" t="n">
        <v>0</v>
      </c>
      <c r="J716" t="n">
        <v>0</v>
      </c>
      <c r="K716" t="n">
        <v>0</v>
      </c>
      <c r="L716" t="n">
        <v>0</v>
      </c>
      <c r="M716" t="n">
        <v>0</v>
      </c>
      <c r="N716" t="n">
        <v>0</v>
      </c>
      <c r="O716" t="n">
        <v>0</v>
      </c>
      <c r="P716" t="n">
        <v>0</v>
      </c>
      <c r="Q716" t="n">
        <v>0</v>
      </c>
      <c r="R716" s="2" t="inlineStr"/>
    </row>
    <row r="717" ht="15" customHeight="1">
      <c r="A717" t="inlineStr">
        <is>
          <t>A 24910-2025</t>
        </is>
      </c>
      <c r="B717" s="1" t="n">
        <v>45799.53775462963</v>
      </c>
      <c r="C717" s="1" t="n">
        <v>46026</v>
      </c>
      <c r="D717" t="inlineStr">
        <is>
          <t>VÄSTMANLANDS LÄN</t>
        </is>
      </c>
      <c r="E717" t="inlineStr">
        <is>
          <t>SALA</t>
        </is>
      </c>
      <c r="G717" t="n">
        <v>3.5</v>
      </c>
      <c r="H717" t="n">
        <v>0</v>
      </c>
      <c r="I717" t="n">
        <v>0</v>
      </c>
      <c r="J717" t="n">
        <v>0</v>
      </c>
      <c r="K717" t="n">
        <v>0</v>
      </c>
      <c r="L717" t="n">
        <v>0</v>
      </c>
      <c r="M717" t="n">
        <v>0</v>
      </c>
      <c r="N717" t="n">
        <v>0</v>
      </c>
      <c r="O717" t="n">
        <v>0</v>
      </c>
      <c r="P717" t="n">
        <v>0</v>
      </c>
      <c r="Q717" t="n">
        <v>0</v>
      </c>
      <c r="R717" s="2" t="inlineStr"/>
    </row>
    <row r="718" ht="15" customHeight="1">
      <c r="A718" t="inlineStr">
        <is>
          <t>A 10909-2024</t>
        </is>
      </c>
      <c r="B718" s="1" t="n">
        <v>45370</v>
      </c>
      <c r="C718" s="1" t="n">
        <v>46026</v>
      </c>
      <c r="D718" t="inlineStr">
        <is>
          <t>VÄSTMANLANDS LÄN</t>
        </is>
      </c>
      <c r="E718" t="inlineStr">
        <is>
          <t>SALA</t>
        </is>
      </c>
      <c r="G718" t="n">
        <v>3.3</v>
      </c>
      <c r="H718" t="n">
        <v>0</v>
      </c>
      <c r="I718" t="n">
        <v>0</v>
      </c>
      <c r="J718" t="n">
        <v>0</v>
      </c>
      <c r="K718" t="n">
        <v>0</v>
      </c>
      <c r="L718" t="n">
        <v>0</v>
      </c>
      <c r="M718" t="n">
        <v>0</v>
      </c>
      <c r="N718" t="n">
        <v>0</v>
      </c>
      <c r="O718" t="n">
        <v>0</v>
      </c>
      <c r="P718" t="n">
        <v>0</v>
      </c>
      <c r="Q718" t="n">
        <v>0</v>
      </c>
      <c r="R718" s="2" t="inlineStr"/>
    </row>
    <row r="719" ht="15" customHeight="1">
      <c r="A719" t="inlineStr">
        <is>
          <t>A 26661-2025</t>
        </is>
      </c>
      <c r="B719" s="1" t="n">
        <v>45810</v>
      </c>
      <c r="C719" s="1" t="n">
        <v>46026</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28193-2025</t>
        </is>
      </c>
      <c r="B720" s="1" t="n">
        <v>45818.425625</v>
      </c>
      <c r="C720" s="1" t="n">
        <v>46026</v>
      </c>
      <c r="D720" t="inlineStr">
        <is>
          <t>VÄSTMANLANDS LÄN</t>
        </is>
      </c>
      <c r="E720" t="inlineStr">
        <is>
          <t>SALA</t>
        </is>
      </c>
      <c r="G720" t="n">
        <v>1.8</v>
      </c>
      <c r="H720" t="n">
        <v>0</v>
      </c>
      <c r="I720" t="n">
        <v>0</v>
      </c>
      <c r="J720" t="n">
        <v>0</v>
      </c>
      <c r="K720" t="n">
        <v>0</v>
      </c>
      <c r="L720" t="n">
        <v>0</v>
      </c>
      <c r="M720" t="n">
        <v>0</v>
      </c>
      <c r="N720" t="n">
        <v>0</v>
      </c>
      <c r="O720" t="n">
        <v>0</v>
      </c>
      <c r="P720" t="n">
        <v>0</v>
      </c>
      <c r="Q720" t="n">
        <v>0</v>
      </c>
      <c r="R720" s="2" t="inlineStr"/>
    </row>
    <row r="721" ht="15" customHeight="1">
      <c r="A721" t="inlineStr">
        <is>
          <t>A 27981-2025</t>
        </is>
      </c>
      <c r="B721" s="1" t="n">
        <v>45817.57471064815</v>
      </c>
      <c r="C721" s="1" t="n">
        <v>46026</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28278-2025</t>
        </is>
      </c>
      <c r="B722" s="1" t="n">
        <v>45818.58454861111</v>
      </c>
      <c r="C722" s="1" t="n">
        <v>46026</v>
      </c>
      <c r="D722" t="inlineStr">
        <is>
          <t>VÄSTMANLANDS LÄN</t>
        </is>
      </c>
      <c r="E722" t="inlineStr">
        <is>
          <t>SALA</t>
        </is>
      </c>
      <c r="G722" t="n">
        <v>7.6</v>
      </c>
      <c r="H722" t="n">
        <v>0</v>
      </c>
      <c r="I722" t="n">
        <v>0</v>
      </c>
      <c r="J722" t="n">
        <v>0</v>
      </c>
      <c r="K722" t="n">
        <v>0</v>
      </c>
      <c r="L722" t="n">
        <v>0</v>
      </c>
      <c r="M722" t="n">
        <v>0</v>
      </c>
      <c r="N722" t="n">
        <v>0</v>
      </c>
      <c r="O722" t="n">
        <v>0</v>
      </c>
      <c r="P722" t="n">
        <v>0</v>
      </c>
      <c r="Q722" t="n">
        <v>0</v>
      </c>
      <c r="R722" s="2" t="inlineStr"/>
    </row>
    <row r="723" ht="15" customHeight="1">
      <c r="A723" t="inlineStr">
        <is>
          <t>A 27989-2025</t>
        </is>
      </c>
      <c r="B723" s="1" t="n">
        <v>45817.58716435185</v>
      </c>
      <c r="C723" s="1" t="n">
        <v>46026</v>
      </c>
      <c r="D723" t="inlineStr">
        <is>
          <t>VÄSTMANLANDS LÄN</t>
        </is>
      </c>
      <c r="E723" t="inlineStr">
        <is>
          <t>SALA</t>
        </is>
      </c>
      <c r="G723" t="n">
        <v>1.9</v>
      </c>
      <c r="H723" t="n">
        <v>0</v>
      </c>
      <c r="I723" t="n">
        <v>0</v>
      </c>
      <c r="J723" t="n">
        <v>0</v>
      </c>
      <c r="K723" t="n">
        <v>0</v>
      </c>
      <c r="L723" t="n">
        <v>0</v>
      </c>
      <c r="M723" t="n">
        <v>0</v>
      </c>
      <c r="N723" t="n">
        <v>0</v>
      </c>
      <c r="O723" t="n">
        <v>0</v>
      </c>
      <c r="P723" t="n">
        <v>0</v>
      </c>
      <c r="Q723" t="n">
        <v>0</v>
      </c>
      <c r="R723" s="2" t="inlineStr"/>
    </row>
    <row r="724">
      <c r="A724" t="inlineStr">
        <is>
          <t>A 28284-2025</t>
        </is>
      </c>
      <c r="B724" s="1" t="n">
        <v>45818.58893518519</v>
      </c>
      <c r="C724" s="1" t="n">
        <v>46026</v>
      </c>
      <c r="D724" t="inlineStr">
        <is>
          <t>VÄSTMANLANDS LÄN</t>
        </is>
      </c>
      <c r="E724" t="inlineStr">
        <is>
          <t>SALA</t>
        </is>
      </c>
      <c r="G724" t="n">
        <v>2.4</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2026-01-04T11:44:34Z</dcterms:created>
  <dcterms:modified xmlns:dcterms="http://purl.org/dc/terms/" xmlns:xsi="http://www.w3.org/2001/XMLSchema-instance" xsi:type="dcterms:W3CDTF">2026-01-04T11:44:35Z</dcterms:modified>
</cp:coreProperties>
</file>