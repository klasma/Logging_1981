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45912</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45912</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45912</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45912</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45912</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45912</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45912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45912</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45912</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45912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45912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40895-2025</t>
        </is>
      </c>
      <c r="B21" s="1" t="n">
        <v>45897.61241898148</v>
      </c>
      <c r="C21" s="1" t="n">
        <v>45912</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4264-2024</t>
        </is>
      </c>
      <c r="B22" s="1" t="n">
        <v>45324</v>
      </c>
      <c r="C22" s="1" t="n">
        <v>45912</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45912</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45912</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45912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45912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45912</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45912</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45912</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45912</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45912</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45912</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45912</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45912</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45912</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45912</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45912</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45912</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22950-2025</t>
        </is>
      </c>
      <c r="B40" s="1" t="n">
        <v>45790.50728009259</v>
      </c>
      <c r="C40" s="1" t="n">
        <v>45912</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29727-2023</t>
        </is>
      </c>
      <c r="B41" s="1" t="n">
        <v>45107</v>
      </c>
      <c r="C41" s="1" t="n">
        <v>45912</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41270-2024</t>
        </is>
      </c>
      <c r="B42" s="1" t="n">
        <v>45559</v>
      </c>
      <c r="C42" s="1" t="n">
        <v>45912</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14775-2023</t>
        </is>
      </c>
      <c r="B43" s="1" t="n">
        <v>45014</v>
      </c>
      <c r="C43" s="1" t="n">
        <v>45912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45912</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45912</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38255-2025</t>
        </is>
      </c>
      <c r="B46" s="1" t="n">
        <v>45883.38020833334</v>
      </c>
      <c r="C46" s="1" t="n">
        <v>45912</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22350-2024</t>
        </is>
      </c>
      <c r="B47" s="1" t="n">
        <v>45446</v>
      </c>
      <c r="C47" s="1" t="n">
        <v>45912</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19361-2025</t>
        </is>
      </c>
      <c r="B48" s="1" t="n">
        <v>45769.63357638889</v>
      </c>
      <c r="C48" s="1" t="n">
        <v>45912</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45912</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56014-2020</t>
        </is>
      </c>
      <c r="B50" s="1" t="n">
        <v>44132</v>
      </c>
      <c r="C50" s="1" t="n">
        <v>45912</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43068-2024</t>
        </is>
      </c>
      <c r="B51" s="1" t="n">
        <v>45567</v>
      </c>
      <c r="C51" s="1" t="n">
        <v>45912</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43175-2023</t>
        </is>
      </c>
      <c r="B52" s="1" t="n">
        <v>45183</v>
      </c>
      <c r="C52" s="1" t="n">
        <v>45912</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60852-2024</t>
        </is>
      </c>
      <c r="B53" s="1" t="n">
        <v>45644</v>
      </c>
      <c r="C53" s="1" t="n">
        <v>45912</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7919-2022</t>
        </is>
      </c>
      <c r="B54" s="1" t="n">
        <v>44608</v>
      </c>
      <c r="C54" s="1" t="n">
        <v>45912</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45912</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45912</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45912</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55550-2023</t>
        </is>
      </c>
      <c r="B58" s="1" t="n">
        <v>45232</v>
      </c>
      <c r="C58" s="1" t="n">
        <v>45912</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58314-2020</t>
        </is>
      </c>
      <c r="B59" s="1" t="n">
        <v>44145</v>
      </c>
      <c r="C59" s="1" t="n">
        <v>45912</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45912</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45912</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45912</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45912</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45912</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45912</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45912</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45912</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45912</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47683-2021</t>
        </is>
      </c>
      <c r="B70" s="1" t="n">
        <v>44448</v>
      </c>
      <c r="C70" s="1" t="n">
        <v>45912</v>
      </c>
      <c r="D70" t="inlineStr">
        <is>
          <t>VÄSTMANLANDS LÄN</t>
        </is>
      </c>
      <c r="E70" t="inlineStr">
        <is>
          <t>SALA</t>
        </is>
      </c>
      <c r="G70" t="n">
        <v>0.7</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45912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45912</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45912</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45912</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45912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45912</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45912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45912</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45912</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45912</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45912</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45912</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45912</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45912</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45912</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45912</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45912</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45912</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45912</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45912</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45912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45912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45912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45912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45912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45912</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45912</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45912</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45912</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45912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45912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45912</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45912</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45912</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45912</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45912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45912</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45912</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45912</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45912</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45912</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45912</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45912</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45912</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45912</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45912</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45912</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45912</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45912</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45912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45912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45912</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45912</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30170-2021</t>
        </is>
      </c>
      <c r="B125" s="1" t="n">
        <v>44363</v>
      </c>
      <c r="C125" s="1" t="n">
        <v>45912</v>
      </c>
      <c r="D125" t="inlineStr">
        <is>
          <t>VÄSTMANLANDS LÄN</t>
        </is>
      </c>
      <c r="E125" t="inlineStr">
        <is>
          <t>SALA</t>
        </is>
      </c>
      <c r="G125" t="n">
        <v>7.2</v>
      </c>
      <c r="H125" t="n">
        <v>0</v>
      </c>
      <c r="I125" t="n">
        <v>0</v>
      </c>
      <c r="J125" t="n">
        <v>0</v>
      </c>
      <c r="K125" t="n">
        <v>0</v>
      </c>
      <c r="L125" t="n">
        <v>0</v>
      </c>
      <c r="M125" t="n">
        <v>0</v>
      </c>
      <c r="N125" t="n">
        <v>0</v>
      </c>
      <c r="O125" t="n">
        <v>0</v>
      </c>
      <c r="P125" t="n">
        <v>0</v>
      </c>
      <c r="Q125" t="n">
        <v>0</v>
      </c>
      <c r="R125" s="2" t="inlineStr"/>
    </row>
    <row r="126" ht="15" customHeight="1">
      <c r="A126" t="inlineStr">
        <is>
          <t>A 44950-2020</t>
        </is>
      </c>
      <c r="B126" s="1" t="n">
        <v>44088</v>
      </c>
      <c r="C126" s="1" t="n">
        <v>45912</v>
      </c>
      <c r="D126" t="inlineStr">
        <is>
          <t>VÄSTMANLANDS LÄN</t>
        </is>
      </c>
      <c r="E126" t="inlineStr">
        <is>
          <t>SALA</t>
        </is>
      </c>
      <c r="G126" t="n">
        <v>9</v>
      </c>
      <c r="H126" t="n">
        <v>0</v>
      </c>
      <c r="I126" t="n">
        <v>0</v>
      </c>
      <c r="J126" t="n">
        <v>0</v>
      </c>
      <c r="K126" t="n">
        <v>0</v>
      </c>
      <c r="L126" t="n">
        <v>0</v>
      </c>
      <c r="M126" t="n">
        <v>0</v>
      </c>
      <c r="N126" t="n">
        <v>0</v>
      </c>
      <c r="O126" t="n">
        <v>0</v>
      </c>
      <c r="P126" t="n">
        <v>0</v>
      </c>
      <c r="Q126" t="n">
        <v>0</v>
      </c>
      <c r="R126" s="2" t="inlineStr"/>
    </row>
    <row r="127" ht="15" customHeight="1">
      <c r="A127" t="inlineStr">
        <is>
          <t>A 57517-2021</t>
        </is>
      </c>
      <c r="B127" s="1" t="n">
        <v>44483</v>
      </c>
      <c r="C127" s="1" t="n">
        <v>45912</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26575-2021</t>
        </is>
      </c>
      <c r="B128" s="1" t="n">
        <v>44348</v>
      </c>
      <c r="C128" s="1" t="n">
        <v>45912</v>
      </c>
      <c r="D128" t="inlineStr">
        <is>
          <t>VÄSTMANLANDS LÄN</t>
        </is>
      </c>
      <c r="E128" t="inlineStr">
        <is>
          <t>SALA</t>
        </is>
      </c>
      <c r="G128" t="n">
        <v>2.7</v>
      </c>
      <c r="H128" t="n">
        <v>0</v>
      </c>
      <c r="I128" t="n">
        <v>0</v>
      </c>
      <c r="J128" t="n">
        <v>0</v>
      </c>
      <c r="K128" t="n">
        <v>0</v>
      </c>
      <c r="L128" t="n">
        <v>0</v>
      </c>
      <c r="M128" t="n">
        <v>0</v>
      </c>
      <c r="N128" t="n">
        <v>0</v>
      </c>
      <c r="O128" t="n">
        <v>0</v>
      </c>
      <c r="P128" t="n">
        <v>0</v>
      </c>
      <c r="Q128" t="n">
        <v>0</v>
      </c>
      <c r="R128" s="2" t="inlineStr"/>
    </row>
    <row r="129" ht="15" customHeight="1">
      <c r="A129" t="inlineStr">
        <is>
          <t>A 29235-2022</t>
        </is>
      </c>
      <c r="B129" s="1" t="n">
        <v>44750</v>
      </c>
      <c r="C129" s="1" t="n">
        <v>45912</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45912</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45912</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66508-2021</t>
        </is>
      </c>
      <c r="B132" s="1" t="n">
        <v>44519.33401620371</v>
      </c>
      <c r="C132" s="1" t="n">
        <v>45912</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31452-2021</t>
        </is>
      </c>
      <c r="B133" s="1" t="n">
        <v>44369</v>
      </c>
      <c r="C133" s="1" t="n">
        <v>45912</v>
      </c>
      <c r="D133" t="inlineStr">
        <is>
          <t>VÄSTMANLANDS LÄN</t>
        </is>
      </c>
      <c r="E133" t="inlineStr">
        <is>
          <t>SALA</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9075-2022</t>
        </is>
      </c>
      <c r="B134" s="1" t="n">
        <v>44615.47800925926</v>
      </c>
      <c r="C134" s="1" t="n">
        <v>45912</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45912</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45912</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65353-2021</t>
        </is>
      </c>
      <c r="B137" s="1" t="n">
        <v>44515</v>
      </c>
      <c r="C137" s="1" t="n">
        <v>45912</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29002-2022</t>
        </is>
      </c>
      <c r="B138" s="1" t="n">
        <v>44749</v>
      </c>
      <c r="C138" s="1" t="n">
        <v>45912</v>
      </c>
      <c r="D138" t="inlineStr">
        <is>
          <t>VÄSTMANLANDS LÄN</t>
        </is>
      </c>
      <c r="E138" t="inlineStr">
        <is>
          <t>SALA</t>
        </is>
      </c>
      <c r="G138" t="n">
        <v>5.4</v>
      </c>
      <c r="H138" t="n">
        <v>0</v>
      </c>
      <c r="I138" t="n">
        <v>0</v>
      </c>
      <c r="J138" t="n">
        <v>0</v>
      </c>
      <c r="K138" t="n">
        <v>0</v>
      </c>
      <c r="L138" t="n">
        <v>0</v>
      </c>
      <c r="M138" t="n">
        <v>0</v>
      </c>
      <c r="N138" t="n">
        <v>0</v>
      </c>
      <c r="O138" t="n">
        <v>0</v>
      </c>
      <c r="P138" t="n">
        <v>0</v>
      </c>
      <c r="Q138" t="n">
        <v>0</v>
      </c>
      <c r="R138" s="2" t="inlineStr"/>
    </row>
    <row r="139" ht="15" customHeight="1">
      <c r="A139" t="inlineStr">
        <is>
          <t>A 23181-2022</t>
        </is>
      </c>
      <c r="B139" s="1" t="n">
        <v>44719.79537037037</v>
      </c>
      <c r="C139" s="1" t="n">
        <v>45912</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65860-2021</t>
        </is>
      </c>
      <c r="B140" s="1" t="n">
        <v>44517.38163194444</v>
      </c>
      <c r="C140" s="1" t="n">
        <v>45912</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22575-2022</t>
        </is>
      </c>
      <c r="B141" s="1" t="n">
        <v>44713</v>
      </c>
      <c r="C141" s="1" t="n">
        <v>45912</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41876-2022</t>
        </is>
      </c>
      <c r="B142" s="1" t="n">
        <v>44829.97008101852</v>
      </c>
      <c r="C142" s="1" t="n">
        <v>45912</v>
      </c>
      <c r="D142" t="inlineStr">
        <is>
          <t>VÄSTMANLANDS LÄN</t>
        </is>
      </c>
      <c r="E142" t="inlineStr">
        <is>
          <t>SALA</t>
        </is>
      </c>
      <c r="G142" t="n">
        <v>3.6</v>
      </c>
      <c r="H142" t="n">
        <v>0</v>
      </c>
      <c r="I142" t="n">
        <v>0</v>
      </c>
      <c r="J142" t="n">
        <v>0</v>
      </c>
      <c r="K142" t="n">
        <v>0</v>
      </c>
      <c r="L142" t="n">
        <v>0</v>
      </c>
      <c r="M142" t="n">
        <v>0</v>
      </c>
      <c r="N142" t="n">
        <v>0</v>
      </c>
      <c r="O142" t="n">
        <v>0</v>
      </c>
      <c r="P142" t="n">
        <v>0</v>
      </c>
      <c r="Q142" t="n">
        <v>0</v>
      </c>
      <c r="R142" s="2" t="inlineStr"/>
    </row>
    <row r="143" ht="15" customHeight="1">
      <c r="A143" t="inlineStr">
        <is>
          <t>A 67958-2021</t>
        </is>
      </c>
      <c r="B143" s="1" t="n">
        <v>44525</v>
      </c>
      <c r="C143" s="1" t="n">
        <v>45912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67965-2021</t>
        </is>
      </c>
      <c r="B144" s="1" t="n">
        <v>44525</v>
      </c>
      <c r="C144" s="1" t="n">
        <v>45912</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40094-2022</t>
        </is>
      </c>
      <c r="B145" s="1" t="n">
        <v>44819</v>
      </c>
      <c r="C145" s="1" t="n">
        <v>45912</v>
      </c>
      <c r="D145" t="inlineStr">
        <is>
          <t>VÄSTMANLANDS LÄN</t>
        </is>
      </c>
      <c r="E145" t="inlineStr">
        <is>
          <t>SALA</t>
        </is>
      </c>
      <c r="G145" t="n">
        <v>1.7</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45912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45015-2022</t>
        </is>
      </c>
      <c r="B147" s="1" t="n">
        <v>44841.63766203704</v>
      </c>
      <c r="C147" s="1" t="n">
        <v>45912</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58912-2020</t>
        </is>
      </c>
      <c r="B148" s="1" t="n">
        <v>44146</v>
      </c>
      <c r="C148" s="1" t="n">
        <v>45912</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45912</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8130-2022</t>
        </is>
      </c>
      <c r="B150" s="1" t="n">
        <v>44609.5984837963</v>
      </c>
      <c r="C150" s="1" t="n">
        <v>45912</v>
      </c>
      <c r="D150" t="inlineStr">
        <is>
          <t>VÄSTMANLANDS LÄN</t>
        </is>
      </c>
      <c r="E150" t="inlineStr">
        <is>
          <t>SALA</t>
        </is>
      </c>
      <c r="G150" t="n">
        <v>3.5</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45912</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14047-2021</t>
        </is>
      </c>
      <c r="B152" s="1" t="n">
        <v>44277</v>
      </c>
      <c r="C152" s="1" t="n">
        <v>45912</v>
      </c>
      <c r="D152" t="inlineStr">
        <is>
          <t>VÄSTMANLANDS LÄN</t>
        </is>
      </c>
      <c r="E152" t="inlineStr">
        <is>
          <t>SALA</t>
        </is>
      </c>
      <c r="F152" t="inlineStr">
        <is>
          <t>Kyrkan</t>
        </is>
      </c>
      <c r="G152" t="n">
        <v>0.7</v>
      </c>
      <c r="H152" t="n">
        <v>0</v>
      </c>
      <c r="I152" t="n">
        <v>0</v>
      </c>
      <c r="J152" t="n">
        <v>0</v>
      </c>
      <c r="K152" t="n">
        <v>0</v>
      </c>
      <c r="L152" t="n">
        <v>0</v>
      </c>
      <c r="M152" t="n">
        <v>0</v>
      </c>
      <c r="N152" t="n">
        <v>0</v>
      </c>
      <c r="O152" t="n">
        <v>0</v>
      </c>
      <c r="P152" t="n">
        <v>0</v>
      </c>
      <c r="Q152" t="n">
        <v>0</v>
      </c>
      <c r="R152" s="2" t="inlineStr"/>
    </row>
    <row r="153" ht="15" customHeight="1">
      <c r="A153" t="inlineStr">
        <is>
          <t>A 65818-2021</t>
        </is>
      </c>
      <c r="B153" s="1" t="n">
        <v>44517</v>
      </c>
      <c r="C153" s="1" t="n">
        <v>45912</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69192-2020</t>
        </is>
      </c>
      <c r="B154" s="1" t="n">
        <v>44191</v>
      </c>
      <c r="C154" s="1" t="n">
        <v>45912</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53630-2022</t>
        </is>
      </c>
      <c r="B155" s="1" t="n">
        <v>44879.87533564815</v>
      </c>
      <c r="C155" s="1" t="n">
        <v>45912</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53735-2022</t>
        </is>
      </c>
      <c r="B156" s="1" t="n">
        <v>44880.42752314815</v>
      </c>
      <c r="C156" s="1" t="n">
        <v>45912</v>
      </c>
      <c r="D156" t="inlineStr">
        <is>
          <t>VÄSTMANLANDS LÄN</t>
        </is>
      </c>
      <c r="E156" t="inlineStr">
        <is>
          <t>SALA</t>
        </is>
      </c>
      <c r="F156" t="inlineStr">
        <is>
          <t>Bergvik skog öst AB</t>
        </is>
      </c>
      <c r="G156" t="n">
        <v>1.8</v>
      </c>
      <c r="H156" t="n">
        <v>0</v>
      </c>
      <c r="I156" t="n">
        <v>0</v>
      </c>
      <c r="J156" t="n">
        <v>0</v>
      </c>
      <c r="K156" t="n">
        <v>0</v>
      </c>
      <c r="L156" t="n">
        <v>0</v>
      </c>
      <c r="M156" t="n">
        <v>0</v>
      </c>
      <c r="N156" t="n">
        <v>0</v>
      </c>
      <c r="O156" t="n">
        <v>0</v>
      </c>
      <c r="P156" t="n">
        <v>0</v>
      </c>
      <c r="Q156" t="n">
        <v>0</v>
      </c>
      <c r="R156" s="2" t="inlineStr"/>
    </row>
    <row r="157" ht="15" customHeight="1">
      <c r="A157" t="inlineStr">
        <is>
          <t>A 55881-2020</t>
        </is>
      </c>
      <c r="B157" s="1" t="n">
        <v>44132</v>
      </c>
      <c r="C157" s="1" t="n">
        <v>45912</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10168-2022</t>
        </is>
      </c>
      <c r="B158" s="1" t="n">
        <v>44622.37693287037</v>
      </c>
      <c r="C158" s="1" t="n">
        <v>45912</v>
      </c>
      <c r="D158" t="inlineStr">
        <is>
          <t>VÄSTMANLANDS LÄN</t>
        </is>
      </c>
      <c r="E158" t="inlineStr">
        <is>
          <t>SALA</t>
        </is>
      </c>
      <c r="G158" t="n">
        <v>2.1</v>
      </c>
      <c r="H158" t="n">
        <v>0</v>
      </c>
      <c r="I158" t="n">
        <v>0</v>
      </c>
      <c r="J158" t="n">
        <v>0</v>
      </c>
      <c r="K158" t="n">
        <v>0</v>
      </c>
      <c r="L158" t="n">
        <v>0</v>
      </c>
      <c r="M158" t="n">
        <v>0</v>
      </c>
      <c r="N158" t="n">
        <v>0</v>
      </c>
      <c r="O158" t="n">
        <v>0</v>
      </c>
      <c r="P158" t="n">
        <v>0</v>
      </c>
      <c r="Q158" t="n">
        <v>0</v>
      </c>
      <c r="R158" s="2" t="inlineStr"/>
    </row>
    <row r="159" ht="15" customHeight="1">
      <c r="A159" t="inlineStr">
        <is>
          <t>A 9050-2022</t>
        </is>
      </c>
      <c r="B159" s="1" t="n">
        <v>44615.45451388889</v>
      </c>
      <c r="C159" s="1" t="n">
        <v>45912</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65856-2021</t>
        </is>
      </c>
      <c r="B160" s="1" t="n">
        <v>44517</v>
      </c>
      <c r="C160" s="1" t="n">
        <v>45912</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49254-2022</t>
        </is>
      </c>
      <c r="B161" s="1" t="n">
        <v>44861</v>
      </c>
      <c r="C161" s="1" t="n">
        <v>45912</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72405-2021</t>
        </is>
      </c>
      <c r="B162" s="1" t="n">
        <v>44545</v>
      </c>
      <c r="C162" s="1" t="n">
        <v>45912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47054-2020</t>
        </is>
      </c>
      <c r="B163" s="1" t="n">
        <v>44096</v>
      </c>
      <c r="C163" s="1" t="n">
        <v>45912</v>
      </c>
      <c r="D163" t="inlineStr">
        <is>
          <t>VÄSTMANLANDS LÄN</t>
        </is>
      </c>
      <c r="E163" t="inlineStr">
        <is>
          <t>SALA</t>
        </is>
      </c>
      <c r="F163" t="inlineStr">
        <is>
          <t>Kommuner</t>
        </is>
      </c>
      <c r="G163" t="n">
        <v>1.1</v>
      </c>
      <c r="H163" t="n">
        <v>0</v>
      </c>
      <c r="I163" t="n">
        <v>0</v>
      </c>
      <c r="J163" t="n">
        <v>0</v>
      </c>
      <c r="K163" t="n">
        <v>0</v>
      </c>
      <c r="L163" t="n">
        <v>0</v>
      </c>
      <c r="M163" t="n">
        <v>0</v>
      </c>
      <c r="N163" t="n">
        <v>0</v>
      </c>
      <c r="O163" t="n">
        <v>0</v>
      </c>
      <c r="P163" t="n">
        <v>0</v>
      </c>
      <c r="Q163" t="n">
        <v>0</v>
      </c>
      <c r="R163" s="2" t="inlineStr"/>
    </row>
    <row r="164" ht="15" customHeight="1">
      <c r="A164" t="inlineStr">
        <is>
          <t>A 11370-2022</t>
        </is>
      </c>
      <c r="B164" s="1" t="n">
        <v>44630</v>
      </c>
      <c r="C164" s="1" t="n">
        <v>45912</v>
      </c>
      <c r="D164" t="inlineStr">
        <is>
          <t>VÄSTMANLANDS LÄN</t>
        </is>
      </c>
      <c r="E164" t="inlineStr">
        <is>
          <t>SALA</t>
        </is>
      </c>
      <c r="G164" t="n">
        <v>4.3</v>
      </c>
      <c r="H164" t="n">
        <v>0</v>
      </c>
      <c r="I164" t="n">
        <v>0</v>
      </c>
      <c r="J164" t="n">
        <v>0</v>
      </c>
      <c r="K164" t="n">
        <v>0</v>
      </c>
      <c r="L164" t="n">
        <v>0</v>
      </c>
      <c r="M164" t="n">
        <v>0</v>
      </c>
      <c r="N164" t="n">
        <v>0</v>
      </c>
      <c r="O164" t="n">
        <v>0</v>
      </c>
      <c r="P164" t="n">
        <v>0</v>
      </c>
      <c r="Q164" t="n">
        <v>0</v>
      </c>
      <c r="R164" s="2" t="inlineStr"/>
    </row>
    <row r="165" ht="15" customHeight="1">
      <c r="A165" t="inlineStr">
        <is>
          <t>A 44224-2022</t>
        </is>
      </c>
      <c r="B165" s="1" t="n">
        <v>44839.506875</v>
      </c>
      <c r="C165" s="1" t="n">
        <v>45912</v>
      </c>
      <c r="D165" t="inlineStr">
        <is>
          <t>VÄSTMANLANDS LÄN</t>
        </is>
      </c>
      <c r="E165" t="inlineStr">
        <is>
          <t>SALA</t>
        </is>
      </c>
      <c r="G165" t="n">
        <v>2.1</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45912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58781-2020</t>
        </is>
      </c>
      <c r="B167" s="1" t="n">
        <v>44146</v>
      </c>
      <c r="C167" s="1" t="n">
        <v>45912</v>
      </c>
      <c r="D167" t="inlineStr">
        <is>
          <t>VÄSTMANLANDS LÄN</t>
        </is>
      </c>
      <c r="E167" t="inlineStr">
        <is>
          <t>SALA</t>
        </is>
      </c>
      <c r="G167" t="n">
        <v>1.2</v>
      </c>
      <c r="H167" t="n">
        <v>0</v>
      </c>
      <c r="I167" t="n">
        <v>0</v>
      </c>
      <c r="J167" t="n">
        <v>0</v>
      </c>
      <c r="K167" t="n">
        <v>0</v>
      </c>
      <c r="L167" t="n">
        <v>0</v>
      </c>
      <c r="M167" t="n">
        <v>0</v>
      </c>
      <c r="N167" t="n">
        <v>0</v>
      </c>
      <c r="O167" t="n">
        <v>0</v>
      </c>
      <c r="P167" t="n">
        <v>0</v>
      </c>
      <c r="Q167" t="n">
        <v>0</v>
      </c>
      <c r="R167" s="2" t="inlineStr"/>
    </row>
    <row r="168" ht="15" customHeight="1">
      <c r="A168" t="inlineStr">
        <is>
          <t>A 25603-2022</t>
        </is>
      </c>
      <c r="B168" s="1" t="n">
        <v>44732</v>
      </c>
      <c r="C168" s="1" t="n">
        <v>45912</v>
      </c>
      <c r="D168" t="inlineStr">
        <is>
          <t>VÄSTMANLANDS LÄN</t>
        </is>
      </c>
      <c r="E168" t="inlineStr">
        <is>
          <t>SALA</t>
        </is>
      </c>
      <c r="G168" t="n">
        <v>2</v>
      </c>
      <c r="H168" t="n">
        <v>0</v>
      </c>
      <c r="I168" t="n">
        <v>0</v>
      </c>
      <c r="J168" t="n">
        <v>0</v>
      </c>
      <c r="K168" t="n">
        <v>0</v>
      </c>
      <c r="L168" t="n">
        <v>0</v>
      </c>
      <c r="M168" t="n">
        <v>0</v>
      </c>
      <c r="N168" t="n">
        <v>0</v>
      </c>
      <c r="O168" t="n">
        <v>0</v>
      </c>
      <c r="P168" t="n">
        <v>0</v>
      </c>
      <c r="Q168" t="n">
        <v>0</v>
      </c>
      <c r="R168" s="2" t="inlineStr"/>
    </row>
    <row r="169" ht="15" customHeight="1">
      <c r="A169" t="inlineStr">
        <is>
          <t>A 47208-2020</t>
        </is>
      </c>
      <c r="B169" s="1" t="n">
        <v>44097.41038194444</v>
      </c>
      <c r="C169" s="1" t="n">
        <v>45912</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67962-2021</t>
        </is>
      </c>
      <c r="B170" s="1" t="n">
        <v>44525</v>
      </c>
      <c r="C170" s="1" t="n">
        <v>45912</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73519-2021</t>
        </is>
      </c>
      <c r="B171" s="1" t="n">
        <v>44551</v>
      </c>
      <c r="C171" s="1" t="n">
        <v>45912</v>
      </c>
      <c r="D171" t="inlineStr">
        <is>
          <t>VÄSTMANLANDS LÄN</t>
        </is>
      </c>
      <c r="E171" t="inlineStr">
        <is>
          <t>SALA</t>
        </is>
      </c>
      <c r="G171" t="n">
        <v>0.3</v>
      </c>
      <c r="H171" t="n">
        <v>0</v>
      </c>
      <c r="I171" t="n">
        <v>0</v>
      </c>
      <c r="J171" t="n">
        <v>0</v>
      </c>
      <c r="K171" t="n">
        <v>0</v>
      </c>
      <c r="L171" t="n">
        <v>0</v>
      </c>
      <c r="M171" t="n">
        <v>0</v>
      </c>
      <c r="N171" t="n">
        <v>0</v>
      </c>
      <c r="O171" t="n">
        <v>0</v>
      </c>
      <c r="P171" t="n">
        <v>0</v>
      </c>
      <c r="Q171" t="n">
        <v>0</v>
      </c>
      <c r="R171" s="2" t="inlineStr"/>
    </row>
    <row r="172" ht="15" customHeight="1">
      <c r="A172" t="inlineStr">
        <is>
          <t>A 53628-2022</t>
        </is>
      </c>
      <c r="B172" s="1" t="n">
        <v>44879.87171296297</v>
      </c>
      <c r="C172" s="1" t="n">
        <v>45912</v>
      </c>
      <c r="D172" t="inlineStr">
        <is>
          <t>VÄSTMANLANDS LÄN</t>
        </is>
      </c>
      <c r="E172" t="inlineStr">
        <is>
          <t>SALA</t>
        </is>
      </c>
      <c r="G172" t="n">
        <v>2.7</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45912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37881-2021</t>
        </is>
      </c>
      <c r="B174" s="1" t="n">
        <v>44403</v>
      </c>
      <c r="C174" s="1" t="n">
        <v>45912</v>
      </c>
      <c r="D174" t="inlineStr">
        <is>
          <t>VÄSTMANLANDS LÄN</t>
        </is>
      </c>
      <c r="E174" t="inlineStr">
        <is>
          <t>SALA</t>
        </is>
      </c>
      <c r="G174" t="n">
        <v>4.6</v>
      </c>
      <c r="H174" t="n">
        <v>0</v>
      </c>
      <c r="I174" t="n">
        <v>0</v>
      </c>
      <c r="J174" t="n">
        <v>0</v>
      </c>
      <c r="K174" t="n">
        <v>0</v>
      </c>
      <c r="L174" t="n">
        <v>0</v>
      </c>
      <c r="M174" t="n">
        <v>0</v>
      </c>
      <c r="N174" t="n">
        <v>0</v>
      </c>
      <c r="O174" t="n">
        <v>0</v>
      </c>
      <c r="P174" t="n">
        <v>0</v>
      </c>
      <c r="Q174" t="n">
        <v>0</v>
      </c>
      <c r="R174" s="2" t="inlineStr"/>
    </row>
    <row r="175" ht="15" customHeight="1">
      <c r="A175" t="inlineStr">
        <is>
          <t>A 72805-2021</t>
        </is>
      </c>
      <c r="B175" s="1" t="n">
        <v>44546</v>
      </c>
      <c r="C175" s="1" t="n">
        <v>45912</v>
      </c>
      <c r="D175" t="inlineStr">
        <is>
          <t>VÄSTMANLANDS LÄN</t>
        </is>
      </c>
      <c r="E175" t="inlineStr">
        <is>
          <t>SALA</t>
        </is>
      </c>
      <c r="G175" t="n">
        <v>7.8</v>
      </c>
      <c r="H175" t="n">
        <v>0</v>
      </c>
      <c r="I175" t="n">
        <v>0</v>
      </c>
      <c r="J175" t="n">
        <v>0</v>
      </c>
      <c r="K175" t="n">
        <v>0</v>
      </c>
      <c r="L175" t="n">
        <v>0</v>
      </c>
      <c r="M175" t="n">
        <v>0</v>
      </c>
      <c r="N175" t="n">
        <v>0</v>
      </c>
      <c r="O175" t="n">
        <v>0</v>
      </c>
      <c r="P175" t="n">
        <v>0</v>
      </c>
      <c r="Q175" t="n">
        <v>0</v>
      </c>
      <c r="R175" s="2" t="inlineStr"/>
    </row>
    <row r="176" ht="15" customHeight="1">
      <c r="A176" t="inlineStr">
        <is>
          <t>A 72808-2021</t>
        </is>
      </c>
      <c r="B176" s="1" t="n">
        <v>44546</v>
      </c>
      <c r="C176" s="1" t="n">
        <v>45912</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45912</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61415-2020</t>
        </is>
      </c>
      <c r="B178" s="1" t="n">
        <v>44156</v>
      </c>
      <c r="C178" s="1" t="n">
        <v>45912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23847-2022</t>
        </is>
      </c>
      <c r="B179" s="1" t="n">
        <v>44722</v>
      </c>
      <c r="C179" s="1" t="n">
        <v>45912</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40113-2022</t>
        </is>
      </c>
      <c r="B180" s="1" t="n">
        <v>44819</v>
      </c>
      <c r="C180" s="1" t="n">
        <v>45912</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24882-2022</t>
        </is>
      </c>
      <c r="B181" s="1" t="n">
        <v>44728.56488425926</v>
      </c>
      <c r="C181" s="1" t="n">
        <v>45912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64932-2021</t>
        </is>
      </c>
      <c r="B182" s="1" t="n">
        <v>44512</v>
      </c>
      <c r="C182" s="1" t="n">
        <v>45912</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30915-2021</t>
        </is>
      </c>
      <c r="B183" s="1" t="n">
        <v>44365</v>
      </c>
      <c r="C183" s="1" t="n">
        <v>45912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30918-2021</t>
        </is>
      </c>
      <c r="B184" s="1" t="n">
        <v>44365.60569444444</v>
      </c>
      <c r="C184" s="1" t="n">
        <v>45912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22562-2022</t>
        </is>
      </c>
      <c r="B185" s="1" t="n">
        <v>44713</v>
      </c>
      <c r="C185" s="1" t="n">
        <v>45912</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29233-2022</t>
        </is>
      </c>
      <c r="B186" s="1" t="n">
        <v>44750</v>
      </c>
      <c r="C186" s="1" t="n">
        <v>45912</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30904-2021</t>
        </is>
      </c>
      <c r="B187" s="1" t="n">
        <v>44365.5983449074</v>
      </c>
      <c r="C187" s="1" t="n">
        <v>45912</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45912</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70218-2021</t>
        </is>
      </c>
      <c r="B189" s="1" t="n">
        <v>44535.6571412037</v>
      </c>
      <c r="C189" s="1" t="n">
        <v>45912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43176-2023</t>
        </is>
      </c>
      <c r="B190" s="1" t="n">
        <v>45183</v>
      </c>
      <c r="C190" s="1" t="n">
        <v>45912</v>
      </c>
      <c r="D190" t="inlineStr">
        <is>
          <t>VÄSTMANLANDS LÄN</t>
        </is>
      </c>
      <c r="E190" t="inlineStr">
        <is>
          <t>SALA</t>
        </is>
      </c>
      <c r="G190" t="n">
        <v>1.2</v>
      </c>
      <c r="H190" t="n">
        <v>0</v>
      </c>
      <c r="I190" t="n">
        <v>0</v>
      </c>
      <c r="J190" t="n">
        <v>0</v>
      </c>
      <c r="K190" t="n">
        <v>0</v>
      </c>
      <c r="L190" t="n">
        <v>0</v>
      </c>
      <c r="M190" t="n">
        <v>0</v>
      </c>
      <c r="N190" t="n">
        <v>0</v>
      </c>
      <c r="O190" t="n">
        <v>0</v>
      </c>
      <c r="P190" t="n">
        <v>0</v>
      </c>
      <c r="Q190" t="n">
        <v>0</v>
      </c>
      <c r="R190" s="2" t="inlineStr"/>
    </row>
    <row r="191" ht="15" customHeight="1">
      <c r="A191" t="inlineStr">
        <is>
          <t>A 37624-2024</t>
        </is>
      </c>
      <c r="B191" s="1" t="n">
        <v>45541</v>
      </c>
      <c r="C191" s="1" t="n">
        <v>45912</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57895-2024</t>
        </is>
      </c>
      <c r="B192" s="1" t="n">
        <v>45631</v>
      </c>
      <c r="C192" s="1" t="n">
        <v>45912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45912</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47086-2022</t>
        </is>
      </c>
      <c r="B194" s="1" t="n">
        <v>44852</v>
      </c>
      <c r="C194" s="1" t="n">
        <v>45912</v>
      </c>
      <c r="D194" t="inlineStr">
        <is>
          <t>VÄSTMANLANDS LÄN</t>
        </is>
      </c>
      <c r="E194" t="inlineStr">
        <is>
          <t>SALA</t>
        </is>
      </c>
      <c r="G194" t="n">
        <v>12.5</v>
      </c>
      <c r="H194" t="n">
        <v>0</v>
      </c>
      <c r="I194" t="n">
        <v>0</v>
      </c>
      <c r="J194" t="n">
        <v>0</v>
      </c>
      <c r="K194" t="n">
        <v>0</v>
      </c>
      <c r="L194" t="n">
        <v>0</v>
      </c>
      <c r="M194" t="n">
        <v>0</v>
      </c>
      <c r="N194" t="n">
        <v>0</v>
      </c>
      <c r="O194" t="n">
        <v>0</v>
      </c>
      <c r="P194" t="n">
        <v>0</v>
      </c>
      <c r="Q194" t="n">
        <v>0</v>
      </c>
      <c r="R194" s="2" t="inlineStr"/>
    </row>
    <row r="195" ht="15" customHeight="1">
      <c r="A195" t="inlineStr">
        <is>
          <t>A 3204-2022</t>
        </is>
      </c>
      <c r="B195" s="1" t="n">
        <v>44582</v>
      </c>
      <c r="C195" s="1" t="n">
        <v>45912</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14010-2021</t>
        </is>
      </c>
      <c r="B196" s="1" t="n">
        <v>44277.63396990741</v>
      </c>
      <c r="C196" s="1" t="n">
        <v>45912</v>
      </c>
      <c r="D196" t="inlineStr">
        <is>
          <t>VÄSTMANLANDS LÄN</t>
        </is>
      </c>
      <c r="E196" t="inlineStr">
        <is>
          <t>SALA</t>
        </is>
      </c>
      <c r="G196" t="n">
        <v>3.5</v>
      </c>
      <c r="H196" t="n">
        <v>0</v>
      </c>
      <c r="I196" t="n">
        <v>0</v>
      </c>
      <c r="J196" t="n">
        <v>0</v>
      </c>
      <c r="K196" t="n">
        <v>0</v>
      </c>
      <c r="L196" t="n">
        <v>0</v>
      </c>
      <c r="M196" t="n">
        <v>0</v>
      </c>
      <c r="N196" t="n">
        <v>0</v>
      </c>
      <c r="O196" t="n">
        <v>0</v>
      </c>
      <c r="P196" t="n">
        <v>0</v>
      </c>
      <c r="Q196" t="n">
        <v>0</v>
      </c>
      <c r="R196" s="2" t="inlineStr"/>
    </row>
    <row r="197" ht="15" customHeight="1">
      <c r="A197" t="inlineStr">
        <is>
          <t>A 12246-2023</t>
        </is>
      </c>
      <c r="B197" s="1" t="n">
        <v>44995</v>
      </c>
      <c r="C197" s="1" t="n">
        <v>45912</v>
      </c>
      <c r="D197" t="inlineStr">
        <is>
          <t>VÄSTMANLANDS LÄN</t>
        </is>
      </c>
      <c r="E197" t="inlineStr">
        <is>
          <t>SALA</t>
        </is>
      </c>
      <c r="G197" t="n">
        <v>2.4</v>
      </c>
      <c r="H197" t="n">
        <v>0</v>
      </c>
      <c r="I197" t="n">
        <v>0</v>
      </c>
      <c r="J197" t="n">
        <v>0</v>
      </c>
      <c r="K197" t="n">
        <v>0</v>
      </c>
      <c r="L197" t="n">
        <v>0</v>
      </c>
      <c r="M197" t="n">
        <v>0</v>
      </c>
      <c r="N197" t="n">
        <v>0</v>
      </c>
      <c r="O197" t="n">
        <v>0</v>
      </c>
      <c r="P197" t="n">
        <v>0</v>
      </c>
      <c r="Q197" t="n">
        <v>0</v>
      </c>
      <c r="R197" s="2" t="inlineStr"/>
    </row>
    <row r="198" ht="15" customHeight="1">
      <c r="A198" t="inlineStr">
        <is>
          <t>A 54768-2024</t>
        </is>
      </c>
      <c r="B198" s="1" t="n">
        <v>45618</v>
      </c>
      <c r="C198" s="1" t="n">
        <v>45912</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26570-2021</t>
        </is>
      </c>
      <c r="B199" s="1" t="n">
        <v>44348</v>
      </c>
      <c r="C199" s="1" t="n">
        <v>45912</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45912</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13188-2025</t>
        </is>
      </c>
      <c r="B201" s="1" t="n">
        <v>45735.39246527778</v>
      </c>
      <c r="C201" s="1" t="n">
        <v>45912</v>
      </c>
      <c r="D201" t="inlineStr">
        <is>
          <t>VÄSTMANLANDS LÄN</t>
        </is>
      </c>
      <c r="E201" t="inlineStr">
        <is>
          <t>SALA</t>
        </is>
      </c>
      <c r="F201" t="inlineStr">
        <is>
          <t>Naturvårdsverket</t>
        </is>
      </c>
      <c r="G201" t="n">
        <v>18.4</v>
      </c>
      <c r="H201" t="n">
        <v>0</v>
      </c>
      <c r="I201" t="n">
        <v>0</v>
      </c>
      <c r="J201" t="n">
        <v>0</v>
      </c>
      <c r="K201" t="n">
        <v>0</v>
      </c>
      <c r="L201" t="n">
        <v>0</v>
      </c>
      <c r="M201" t="n">
        <v>0</v>
      </c>
      <c r="N201" t="n">
        <v>0</v>
      </c>
      <c r="O201" t="n">
        <v>0</v>
      </c>
      <c r="P201" t="n">
        <v>0</v>
      </c>
      <c r="Q201" t="n">
        <v>0</v>
      </c>
      <c r="R201" s="2" t="inlineStr"/>
    </row>
    <row r="202" ht="15" customHeight="1">
      <c r="A202" t="inlineStr">
        <is>
          <t>A 42447-2022</t>
        </is>
      </c>
      <c r="B202" s="1" t="n">
        <v>44831</v>
      </c>
      <c r="C202" s="1" t="n">
        <v>45912</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56687-2024</t>
        </is>
      </c>
      <c r="B203" s="1" t="n">
        <v>45627.63271990741</v>
      </c>
      <c r="C203" s="1" t="n">
        <v>45912</v>
      </c>
      <c r="D203" t="inlineStr">
        <is>
          <t>VÄSTMANLANDS LÄN</t>
        </is>
      </c>
      <c r="E203" t="inlineStr">
        <is>
          <t>SALA</t>
        </is>
      </c>
      <c r="G203" t="n">
        <v>1.2</v>
      </c>
      <c r="H203" t="n">
        <v>0</v>
      </c>
      <c r="I203" t="n">
        <v>0</v>
      </c>
      <c r="J203" t="n">
        <v>0</v>
      </c>
      <c r="K203" t="n">
        <v>0</v>
      </c>
      <c r="L203" t="n">
        <v>0</v>
      </c>
      <c r="M203" t="n">
        <v>0</v>
      </c>
      <c r="N203" t="n">
        <v>0</v>
      </c>
      <c r="O203" t="n">
        <v>0</v>
      </c>
      <c r="P203" t="n">
        <v>0</v>
      </c>
      <c r="Q203" t="n">
        <v>0</v>
      </c>
      <c r="R203" s="2" t="inlineStr"/>
    </row>
    <row r="204" ht="15" customHeight="1">
      <c r="A204" t="inlineStr">
        <is>
          <t>A 35462-2024</t>
        </is>
      </c>
      <c r="B204" s="1" t="n">
        <v>45531</v>
      </c>
      <c r="C204" s="1" t="n">
        <v>45912</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14024-2025</t>
        </is>
      </c>
      <c r="B205" s="1" t="n">
        <v>45740.34650462963</v>
      </c>
      <c r="C205" s="1" t="n">
        <v>45912</v>
      </c>
      <c r="D205" t="inlineStr">
        <is>
          <t>VÄSTMANLANDS LÄN</t>
        </is>
      </c>
      <c r="E205" t="inlineStr">
        <is>
          <t>SALA</t>
        </is>
      </c>
      <c r="G205" t="n">
        <v>1.1</v>
      </c>
      <c r="H205" t="n">
        <v>0</v>
      </c>
      <c r="I205" t="n">
        <v>0</v>
      </c>
      <c r="J205" t="n">
        <v>0</v>
      </c>
      <c r="K205" t="n">
        <v>0</v>
      </c>
      <c r="L205" t="n">
        <v>0</v>
      </c>
      <c r="M205" t="n">
        <v>0</v>
      </c>
      <c r="N205" t="n">
        <v>0</v>
      </c>
      <c r="O205" t="n">
        <v>0</v>
      </c>
      <c r="P205" t="n">
        <v>0</v>
      </c>
      <c r="Q205" t="n">
        <v>0</v>
      </c>
      <c r="R205" s="2" t="inlineStr"/>
    </row>
    <row r="206" ht="15" customHeight="1">
      <c r="A206" t="inlineStr">
        <is>
          <t>A 54347-2024</t>
        </is>
      </c>
      <c r="B206" s="1" t="n">
        <v>45617.39325231482</v>
      </c>
      <c r="C206" s="1" t="n">
        <v>45912</v>
      </c>
      <c r="D206" t="inlineStr">
        <is>
          <t>VÄSTMANLANDS LÄN</t>
        </is>
      </c>
      <c r="E206" t="inlineStr">
        <is>
          <t>SALA</t>
        </is>
      </c>
      <c r="G206" t="n">
        <v>2</v>
      </c>
      <c r="H206" t="n">
        <v>0</v>
      </c>
      <c r="I206" t="n">
        <v>0</v>
      </c>
      <c r="J206" t="n">
        <v>0</v>
      </c>
      <c r="K206" t="n">
        <v>0</v>
      </c>
      <c r="L206" t="n">
        <v>0</v>
      </c>
      <c r="M206" t="n">
        <v>0</v>
      </c>
      <c r="N206" t="n">
        <v>0</v>
      </c>
      <c r="O206" t="n">
        <v>0</v>
      </c>
      <c r="P206" t="n">
        <v>0</v>
      </c>
      <c r="Q206" t="n">
        <v>0</v>
      </c>
      <c r="R206" s="2" t="inlineStr"/>
    </row>
    <row r="207" ht="15" customHeight="1">
      <c r="A207" t="inlineStr">
        <is>
          <t>A 33732-2023</t>
        </is>
      </c>
      <c r="B207" s="1" t="n">
        <v>45133.32409722222</v>
      </c>
      <c r="C207" s="1" t="n">
        <v>45912</v>
      </c>
      <c r="D207" t="inlineStr">
        <is>
          <t>VÄSTMANLANDS LÄN</t>
        </is>
      </c>
      <c r="E207" t="inlineStr">
        <is>
          <t>SALA</t>
        </is>
      </c>
      <c r="G207" t="n">
        <v>2</v>
      </c>
      <c r="H207" t="n">
        <v>0</v>
      </c>
      <c r="I207" t="n">
        <v>0</v>
      </c>
      <c r="J207" t="n">
        <v>0</v>
      </c>
      <c r="K207" t="n">
        <v>0</v>
      </c>
      <c r="L207" t="n">
        <v>0</v>
      </c>
      <c r="M207" t="n">
        <v>0</v>
      </c>
      <c r="N207" t="n">
        <v>0</v>
      </c>
      <c r="O207" t="n">
        <v>0</v>
      </c>
      <c r="P207" t="n">
        <v>0</v>
      </c>
      <c r="Q207" t="n">
        <v>0</v>
      </c>
      <c r="R207" s="2" t="inlineStr"/>
    </row>
    <row r="208" ht="15" customHeight="1">
      <c r="A208" t="inlineStr">
        <is>
          <t>A 64693-2023</t>
        </is>
      </c>
      <c r="B208" s="1" t="n">
        <v>45281.63850694444</v>
      </c>
      <c r="C208" s="1" t="n">
        <v>45912</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64695-2023</t>
        </is>
      </c>
      <c r="B209" s="1" t="n">
        <v>45281.64099537037</v>
      </c>
      <c r="C209" s="1" t="n">
        <v>45912</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59909-2024</t>
        </is>
      </c>
      <c r="B210" s="1" t="n">
        <v>45641</v>
      </c>
      <c r="C210" s="1" t="n">
        <v>45912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26692-2023</t>
        </is>
      </c>
      <c r="B211" s="1" t="n">
        <v>45093.360625</v>
      </c>
      <c r="C211" s="1" t="n">
        <v>45912</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27486-2022</t>
        </is>
      </c>
      <c r="B212" s="1" t="n">
        <v>44742.60846064815</v>
      </c>
      <c r="C212" s="1" t="n">
        <v>45912</v>
      </c>
      <c r="D212" t="inlineStr">
        <is>
          <t>VÄSTMANLANDS LÄN</t>
        </is>
      </c>
      <c r="E212" t="inlineStr">
        <is>
          <t>SALA</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41292-2021</t>
        </is>
      </c>
      <c r="B213" s="1" t="n">
        <v>44424</v>
      </c>
      <c r="C213" s="1" t="n">
        <v>45912</v>
      </c>
      <c r="D213" t="inlineStr">
        <is>
          <t>VÄSTMANLANDS LÄN</t>
        </is>
      </c>
      <c r="E213" t="inlineStr">
        <is>
          <t>SALA</t>
        </is>
      </c>
      <c r="G213" t="n">
        <v>0.3</v>
      </c>
      <c r="H213" t="n">
        <v>0</v>
      </c>
      <c r="I213" t="n">
        <v>0</v>
      </c>
      <c r="J213" t="n">
        <v>0</v>
      </c>
      <c r="K213" t="n">
        <v>0</v>
      </c>
      <c r="L213" t="n">
        <v>0</v>
      </c>
      <c r="M213" t="n">
        <v>0</v>
      </c>
      <c r="N213" t="n">
        <v>0</v>
      </c>
      <c r="O213" t="n">
        <v>0</v>
      </c>
      <c r="P213" t="n">
        <v>0</v>
      </c>
      <c r="Q213" t="n">
        <v>0</v>
      </c>
      <c r="R213" s="2" t="inlineStr"/>
    </row>
    <row r="214" ht="15" customHeight="1">
      <c r="A214" t="inlineStr">
        <is>
          <t>A 54910-2023</t>
        </is>
      </c>
      <c r="B214" s="1" t="n">
        <v>45229</v>
      </c>
      <c r="C214" s="1" t="n">
        <v>45912</v>
      </c>
      <c r="D214" t="inlineStr">
        <is>
          <t>VÄSTMANLANDS LÄN</t>
        </is>
      </c>
      <c r="E214" t="inlineStr">
        <is>
          <t>SALA</t>
        </is>
      </c>
      <c r="G214" t="n">
        <v>2.4</v>
      </c>
      <c r="H214" t="n">
        <v>0</v>
      </c>
      <c r="I214" t="n">
        <v>0</v>
      </c>
      <c r="J214" t="n">
        <v>0</v>
      </c>
      <c r="K214" t="n">
        <v>0</v>
      </c>
      <c r="L214" t="n">
        <v>0</v>
      </c>
      <c r="M214" t="n">
        <v>0</v>
      </c>
      <c r="N214" t="n">
        <v>0</v>
      </c>
      <c r="O214" t="n">
        <v>0</v>
      </c>
      <c r="P214" t="n">
        <v>0</v>
      </c>
      <c r="Q214" t="n">
        <v>0</v>
      </c>
      <c r="R214" s="2" t="inlineStr"/>
    </row>
    <row r="215" ht="15" customHeight="1">
      <c r="A215" t="inlineStr">
        <is>
          <t>A 62449-2023</t>
        </is>
      </c>
      <c r="B215" s="1" t="n">
        <v>45268.49008101852</v>
      </c>
      <c r="C215" s="1" t="n">
        <v>45912</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17458-2024</t>
        </is>
      </c>
      <c r="B216" s="1" t="n">
        <v>45415</v>
      </c>
      <c r="C216" s="1" t="n">
        <v>45912</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35003-2024</t>
        </is>
      </c>
      <c r="B217" s="1" t="n">
        <v>45527.56790509259</v>
      </c>
      <c r="C217" s="1" t="n">
        <v>45912</v>
      </c>
      <c r="D217" t="inlineStr">
        <is>
          <t>VÄSTMANLANDS LÄN</t>
        </is>
      </c>
      <c r="E217" t="inlineStr">
        <is>
          <t>SALA</t>
        </is>
      </c>
      <c r="G217" t="n">
        <v>0.7</v>
      </c>
      <c r="H217" t="n">
        <v>0</v>
      </c>
      <c r="I217" t="n">
        <v>0</v>
      </c>
      <c r="J217" t="n">
        <v>0</v>
      </c>
      <c r="K217" t="n">
        <v>0</v>
      </c>
      <c r="L217" t="n">
        <v>0</v>
      </c>
      <c r="M217" t="n">
        <v>0</v>
      </c>
      <c r="N217" t="n">
        <v>0</v>
      </c>
      <c r="O217" t="n">
        <v>0</v>
      </c>
      <c r="P217" t="n">
        <v>0</v>
      </c>
      <c r="Q217" t="n">
        <v>0</v>
      </c>
      <c r="R217" s="2" t="inlineStr"/>
    </row>
    <row r="218" ht="15" customHeight="1">
      <c r="A218" t="inlineStr">
        <is>
          <t>A 23431-2024</t>
        </is>
      </c>
      <c r="B218" s="1" t="n">
        <v>45453</v>
      </c>
      <c r="C218" s="1" t="n">
        <v>45912</v>
      </c>
      <c r="D218" t="inlineStr">
        <is>
          <t>VÄSTMANLANDS LÄN</t>
        </is>
      </c>
      <c r="E218" t="inlineStr">
        <is>
          <t>SALA</t>
        </is>
      </c>
      <c r="G218" t="n">
        <v>1.6</v>
      </c>
      <c r="H218" t="n">
        <v>0</v>
      </c>
      <c r="I218" t="n">
        <v>0</v>
      </c>
      <c r="J218" t="n">
        <v>0</v>
      </c>
      <c r="K218" t="n">
        <v>0</v>
      </c>
      <c r="L218" t="n">
        <v>0</v>
      </c>
      <c r="M218" t="n">
        <v>0</v>
      </c>
      <c r="N218" t="n">
        <v>0</v>
      </c>
      <c r="O218" t="n">
        <v>0</v>
      </c>
      <c r="P218" t="n">
        <v>0</v>
      </c>
      <c r="Q218" t="n">
        <v>0</v>
      </c>
      <c r="R218" s="2" t="inlineStr"/>
    </row>
    <row r="219" ht="15" customHeight="1">
      <c r="A219" t="inlineStr">
        <is>
          <t>A 21168-2025</t>
        </is>
      </c>
      <c r="B219" s="1" t="n">
        <v>45777</v>
      </c>
      <c r="C219" s="1" t="n">
        <v>45912</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51464-2024</t>
        </is>
      </c>
      <c r="B220" s="1" t="n">
        <v>45604.49768518518</v>
      </c>
      <c r="C220" s="1" t="n">
        <v>45912</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48688-2024</t>
        </is>
      </c>
      <c r="B221" s="1" t="n">
        <v>45593.50541666667</v>
      </c>
      <c r="C221" s="1" t="n">
        <v>45912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54603-2024</t>
        </is>
      </c>
      <c r="B222" s="1" t="n">
        <v>45617.68224537037</v>
      </c>
      <c r="C222" s="1" t="n">
        <v>45912</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15354-2021</t>
        </is>
      </c>
      <c r="B223" s="1" t="n">
        <v>44284</v>
      </c>
      <c r="C223" s="1" t="n">
        <v>45912</v>
      </c>
      <c r="D223" t="inlineStr">
        <is>
          <t>VÄSTMANLANDS LÄN</t>
        </is>
      </c>
      <c r="E223" t="inlineStr">
        <is>
          <t>SALA</t>
        </is>
      </c>
      <c r="F223" t="inlineStr">
        <is>
          <t>Kyrkan</t>
        </is>
      </c>
      <c r="G223" t="n">
        <v>8.5</v>
      </c>
      <c r="H223" t="n">
        <v>0</v>
      </c>
      <c r="I223" t="n">
        <v>0</v>
      </c>
      <c r="J223" t="n">
        <v>0</v>
      </c>
      <c r="K223" t="n">
        <v>0</v>
      </c>
      <c r="L223" t="n">
        <v>0</v>
      </c>
      <c r="M223" t="n">
        <v>0</v>
      </c>
      <c r="N223" t="n">
        <v>0</v>
      </c>
      <c r="O223" t="n">
        <v>0</v>
      </c>
      <c r="P223" t="n">
        <v>0</v>
      </c>
      <c r="Q223" t="n">
        <v>0</v>
      </c>
      <c r="R223" s="2" t="inlineStr"/>
    </row>
    <row r="224" ht="15" customHeight="1">
      <c r="A224" t="inlineStr">
        <is>
          <t>A 56543-2024</t>
        </is>
      </c>
      <c r="B224" s="1" t="n">
        <v>45625</v>
      </c>
      <c r="C224" s="1" t="n">
        <v>45912</v>
      </c>
      <c r="D224" t="inlineStr">
        <is>
          <t>VÄSTMANLANDS LÄN</t>
        </is>
      </c>
      <c r="E224" t="inlineStr">
        <is>
          <t>SALA</t>
        </is>
      </c>
      <c r="G224" t="n">
        <v>0.7</v>
      </c>
      <c r="H224" t="n">
        <v>0</v>
      </c>
      <c r="I224" t="n">
        <v>0</v>
      </c>
      <c r="J224" t="n">
        <v>0</v>
      </c>
      <c r="K224" t="n">
        <v>0</v>
      </c>
      <c r="L224" t="n">
        <v>0</v>
      </c>
      <c r="M224" t="n">
        <v>0</v>
      </c>
      <c r="N224" t="n">
        <v>0</v>
      </c>
      <c r="O224" t="n">
        <v>0</v>
      </c>
      <c r="P224" t="n">
        <v>0</v>
      </c>
      <c r="Q224" t="n">
        <v>0</v>
      </c>
      <c r="R224" s="2" t="inlineStr"/>
    </row>
    <row r="225" ht="15" customHeight="1">
      <c r="A225" t="inlineStr">
        <is>
          <t>A 69232-2021</t>
        </is>
      </c>
      <c r="B225" s="1" t="n">
        <v>44531.39696759259</v>
      </c>
      <c r="C225" s="1" t="n">
        <v>45912</v>
      </c>
      <c r="D225" t="inlineStr">
        <is>
          <t>VÄSTMANLANDS LÄN</t>
        </is>
      </c>
      <c r="E225" t="inlineStr">
        <is>
          <t>SALA</t>
        </is>
      </c>
      <c r="G225" t="n">
        <v>2.3</v>
      </c>
      <c r="H225" t="n">
        <v>0</v>
      </c>
      <c r="I225" t="n">
        <v>0</v>
      </c>
      <c r="J225" t="n">
        <v>0</v>
      </c>
      <c r="K225" t="n">
        <v>0</v>
      </c>
      <c r="L225" t="n">
        <v>0</v>
      </c>
      <c r="M225" t="n">
        <v>0</v>
      </c>
      <c r="N225" t="n">
        <v>0</v>
      </c>
      <c r="O225" t="n">
        <v>0</v>
      </c>
      <c r="P225" t="n">
        <v>0</v>
      </c>
      <c r="Q225" t="n">
        <v>0</v>
      </c>
      <c r="R225" s="2" t="inlineStr"/>
    </row>
    <row r="226" ht="15" customHeight="1">
      <c r="A226" t="inlineStr">
        <is>
          <t>A 63933-2023</t>
        </is>
      </c>
      <c r="B226" s="1" t="n">
        <v>45278</v>
      </c>
      <c r="C226" s="1" t="n">
        <v>45912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31950-2023</t>
        </is>
      </c>
      <c r="B227" s="1" t="n">
        <v>45107</v>
      </c>
      <c r="C227" s="1" t="n">
        <v>45912</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44746-2024</t>
        </is>
      </c>
      <c r="B228" s="1" t="n">
        <v>45574.59813657407</v>
      </c>
      <c r="C228" s="1" t="n">
        <v>45912</v>
      </c>
      <c r="D228" t="inlineStr">
        <is>
          <t>VÄSTMANLANDS LÄN</t>
        </is>
      </c>
      <c r="E228" t="inlineStr">
        <is>
          <t>SALA</t>
        </is>
      </c>
      <c r="G228" t="n">
        <v>6.7</v>
      </c>
      <c r="H228" t="n">
        <v>0</v>
      </c>
      <c r="I228" t="n">
        <v>0</v>
      </c>
      <c r="J228" t="n">
        <v>0</v>
      </c>
      <c r="K228" t="n">
        <v>0</v>
      </c>
      <c r="L228" t="n">
        <v>0</v>
      </c>
      <c r="M228" t="n">
        <v>0</v>
      </c>
      <c r="N228" t="n">
        <v>0</v>
      </c>
      <c r="O228" t="n">
        <v>0</v>
      </c>
      <c r="P228" t="n">
        <v>0</v>
      </c>
      <c r="Q228" t="n">
        <v>0</v>
      </c>
      <c r="R228" s="2" t="inlineStr"/>
    </row>
    <row r="229" ht="15" customHeight="1">
      <c r="A229" t="inlineStr">
        <is>
          <t>A 33273-2023</t>
        </is>
      </c>
      <c r="B229" s="1" t="n">
        <v>45127</v>
      </c>
      <c r="C229" s="1" t="n">
        <v>45912</v>
      </c>
      <c r="D229" t="inlineStr">
        <is>
          <t>VÄSTMANLANDS LÄN</t>
        </is>
      </c>
      <c r="E229" t="inlineStr">
        <is>
          <t>SALA</t>
        </is>
      </c>
      <c r="G229" t="n">
        <v>2.6</v>
      </c>
      <c r="H229" t="n">
        <v>0</v>
      </c>
      <c r="I229" t="n">
        <v>0</v>
      </c>
      <c r="J229" t="n">
        <v>0</v>
      </c>
      <c r="K229" t="n">
        <v>0</v>
      </c>
      <c r="L229" t="n">
        <v>0</v>
      </c>
      <c r="M229" t="n">
        <v>0</v>
      </c>
      <c r="N229" t="n">
        <v>0</v>
      </c>
      <c r="O229" t="n">
        <v>0</v>
      </c>
      <c r="P229" t="n">
        <v>0</v>
      </c>
      <c r="Q229" t="n">
        <v>0</v>
      </c>
      <c r="R229" s="2" t="inlineStr"/>
    </row>
    <row r="230" ht="15" customHeight="1">
      <c r="A230" t="inlineStr">
        <is>
          <t>A 11696-2025</t>
        </is>
      </c>
      <c r="B230" s="1" t="n">
        <v>45727</v>
      </c>
      <c r="C230" s="1" t="n">
        <v>45912</v>
      </c>
      <c r="D230" t="inlineStr">
        <is>
          <t>VÄSTMANLANDS LÄN</t>
        </is>
      </c>
      <c r="E230" t="inlineStr">
        <is>
          <t>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19398-2025</t>
        </is>
      </c>
      <c r="B231" s="1" t="n">
        <v>45769</v>
      </c>
      <c r="C231" s="1" t="n">
        <v>45912</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21738-2025</t>
        </is>
      </c>
      <c r="B232" s="1" t="n">
        <v>45783.59173611111</v>
      </c>
      <c r="C232" s="1" t="n">
        <v>45912</v>
      </c>
      <c r="D232" t="inlineStr">
        <is>
          <t>VÄSTMANLANDS LÄN</t>
        </is>
      </c>
      <c r="E232" t="inlineStr">
        <is>
          <t>SALA</t>
        </is>
      </c>
      <c r="G232" t="n">
        <v>2.1</v>
      </c>
      <c r="H232" t="n">
        <v>0</v>
      </c>
      <c r="I232" t="n">
        <v>0</v>
      </c>
      <c r="J232" t="n">
        <v>0</v>
      </c>
      <c r="K232" t="n">
        <v>0</v>
      </c>
      <c r="L232" t="n">
        <v>0</v>
      </c>
      <c r="M232" t="n">
        <v>0</v>
      </c>
      <c r="N232" t="n">
        <v>0</v>
      </c>
      <c r="O232" t="n">
        <v>0</v>
      </c>
      <c r="P232" t="n">
        <v>0</v>
      </c>
      <c r="Q232" t="n">
        <v>0</v>
      </c>
      <c r="R232" s="2" t="inlineStr"/>
    </row>
    <row r="233" ht="15" customHeight="1">
      <c r="A233" t="inlineStr">
        <is>
          <t>A 21721-2025</t>
        </is>
      </c>
      <c r="B233" s="1" t="n">
        <v>45783</v>
      </c>
      <c r="C233" s="1" t="n">
        <v>45912</v>
      </c>
      <c r="D233" t="inlineStr">
        <is>
          <t>VÄSTMANLANDS LÄN</t>
        </is>
      </c>
      <c r="E233" t="inlineStr">
        <is>
          <t>SALA</t>
        </is>
      </c>
      <c r="G233" t="n">
        <v>6.1</v>
      </c>
      <c r="H233" t="n">
        <v>0</v>
      </c>
      <c r="I233" t="n">
        <v>0</v>
      </c>
      <c r="J233" t="n">
        <v>0</v>
      </c>
      <c r="K233" t="n">
        <v>0</v>
      </c>
      <c r="L233" t="n">
        <v>0</v>
      </c>
      <c r="M233" t="n">
        <v>0</v>
      </c>
      <c r="N233" t="n">
        <v>0</v>
      </c>
      <c r="O233" t="n">
        <v>0</v>
      </c>
      <c r="P233" t="n">
        <v>0</v>
      </c>
      <c r="Q233" t="n">
        <v>0</v>
      </c>
      <c r="R233" s="2" t="inlineStr"/>
    </row>
    <row r="234" ht="15" customHeight="1">
      <c r="A234" t="inlineStr">
        <is>
          <t>A 21754-2025</t>
        </is>
      </c>
      <c r="B234" s="1" t="n">
        <v>45783.61837962963</v>
      </c>
      <c r="C234" s="1" t="n">
        <v>45912</v>
      </c>
      <c r="D234" t="inlineStr">
        <is>
          <t>VÄSTMANLANDS LÄN</t>
        </is>
      </c>
      <c r="E234" t="inlineStr">
        <is>
          <t>SALA</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21751-2025</t>
        </is>
      </c>
      <c r="B235" s="1" t="n">
        <v>45783.61372685185</v>
      </c>
      <c r="C235" s="1" t="n">
        <v>45912</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4797-2023</t>
        </is>
      </c>
      <c r="B236" s="1" t="n">
        <v>44957</v>
      </c>
      <c r="C236" s="1" t="n">
        <v>45912</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16767-2024</t>
        </is>
      </c>
      <c r="B237" s="1" t="n">
        <v>45411.38171296296</v>
      </c>
      <c r="C237" s="1" t="n">
        <v>45912</v>
      </c>
      <c r="D237" t="inlineStr">
        <is>
          <t>VÄSTMANLANDS LÄN</t>
        </is>
      </c>
      <c r="E237" t="inlineStr">
        <is>
          <t>SALA</t>
        </is>
      </c>
      <c r="G237" t="n">
        <v>2.5</v>
      </c>
      <c r="H237" t="n">
        <v>0</v>
      </c>
      <c r="I237" t="n">
        <v>0</v>
      </c>
      <c r="J237" t="n">
        <v>0</v>
      </c>
      <c r="K237" t="n">
        <v>0</v>
      </c>
      <c r="L237" t="n">
        <v>0</v>
      </c>
      <c r="M237" t="n">
        <v>0</v>
      </c>
      <c r="N237" t="n">
        <v>0</v>
      </c>
      <c r="O237" t="n">
        <v>0</v>
      </c>
      <c r="P237" t="n">
        <v>0</v>
      </c>
      <c r="Q237" t="n">
        <v>0</v>
      </c>
      <c r="R237" s="2" t="inlineStr"/>
    </row>
    <row r="238" ht="15" customHeight="1">
      <c r="A238" t="inlineStr">
        <is>
          <t>A 61517-2024</t>
        </is>
      </c>
      <c r="B238" s="1" t="n">
        <v>45645</v>
      </c>
      <c r="C238" s="1" t="n">
        <v>45912</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52498-2022</t>
        </is>
      </c>
      <c r="B239" s="1" t="n">
        <v>44874.50152777778</v>
      </c>
      <c r="C239" s="1" t="n">
        <v>45912</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37587-2024</t>
        </is>
      </c>
      <c r="B240" s="1" t="n">
        <v>45541</v>
      </c>
      <c r="C240" s="1" t="n">
        <v>45912</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60545-2024</t>
        </is>
      </c>
      <c r="B241" s="1" t="n">
        <v>45643</v>
      </c>
      <c r="C241" s="1" t="n">
        <v>45912</v>
      </c>
      <c r="D241" t="inlineStr">
        <is>
          <t>VÄSTMANLANDS LÄN</t>
        </is>
      </c>
      <c r="E241" t="inlineStr">
        <is>
          <t>SALA</t>
        </is>
      </c>
      <c r="G241" t="n">
        <v>3.3</v>
      </c>
      <c r="H241" t="n">
        <v>0</v>
      </c>
      <c r="I241" t="n">
        <v>0</v>
      </c>
      <c r="J241" t="n">
        <v>0</v>
      </c>
      <c r="K241" t="n">
        <v>0</v>
      </c>
      <c r="L241" t="n">
        <v>0</v>
      </c>
      <c r="M241" t="n">
        <v>0</v>
      </c>
      <c r="N241" t="n">
        <v>0</v>
      </c>
      <c r="O241" t="n">
        <v>0</v>
      </c>
      <c r="P241" t="n">
        <v>0</v>
      </c>
      <c r="Q241" t="n">
        <v>0</v>
      </c>
      <c r="R241" s="2" t="inlineStr"/>
    </row>
    <row r="242" ht="15" customHeight="1">
      <c r="A242" t="inlineStr">
        <is>
          <t>A 60547-2024</t>
        </is>
      </c>
      <c r="B242" s="1" t="n">
        <v>45643</v>
      </c>
      <c r="C242" s="1" t="n">
        <v>45912</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6097-2022</t>
        </is>
      </c>
      <c r="B243" s="1" t="n">
        <v>44599</v>
      </c>
      <c r="C243" s="1" t="n">
        <v>45912</v>
      </c>
      <c r="D243" t="inlineStr">
        <is>
          <t>VÄSTMANLANDS LÄN</t>
        </is>
      </c>
      <c r="E243" t="inlineStr">
        <is>
          <t>SALA</t>
        </is>
      </c>
      <c r="G243" t="n">
        <v>0.6</v>
      </c>
      <c r="H243" t="n">
        <v>0</v>
      </c>
      <c r="I243" t="n">
        <v>0</v>
      </c>
      <c r="J243" t="n">
        <v>0</v>
      </c>
      <c r="K243" t="n">
        <v>0</v>
      </c>
      <c r="L243" t="n">
        <v>0</v>
      </c>
      <c r="M243" t="n">
        <v>0</v>
      </c>
      <c r="N243" t="n">
        <v>0</v>
      </c>
      <c r="O243" t="n">
        <v>0</v>
      </c>
      <c r="P243" t="n">
        <v>0</v>
      </c>
      <c r="Q243" t="n">
        <v>0</v>
      </c>
      <c r="R243" s="2" t="inlineStr"/>
    </row>
    <row r="244" ht="15" customHeight="1">
      <c r="A244" t="inlineStr">
        <is>
          <t>A 1638-2023</t>
        </is>
      </c>
      <c r="B244" s="1" t="n">
        <v>44937</v>
      </c>
      <c r="C244" s="1" t="n">
        <v>45912</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1985-2022</t>
        </is>
      </c>
      <c r="B245" s="1" t="n">
        <v>44575</v>
      </c>
      <c r="C245" s="1" t="n">
        <v>45912</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27261-2024</t>
        </is>
      </c>
      <c r="B246" s="1" t="n">
        <v>45471</v>
      </c>
      <c r="C246" s="1" t="n">
        <v>45912</v>
      </c>
      <c r="D246" t="inlineStr">
        <is>
          <t>VÄSTMANLANDS LÄN</t>
        </is>
      </c>
      <c r="E246" t="inlineStr">
        <is>
          <t>SALA</t>
        </is>
      </c>
      <c r="G246" t="n">
        <v>6.1</v>
      </c>
      <c r="H246" t="n">
        <v>0</v>
      </c>
      <c r="I246" t="n">
        <v>0</v>
      </c>
      <c r="J246" t="n">
        <v>0</v>
      </c>
      <c r="K246" t="n">
        <v>0</v>
      </c>
      <c r="L246" t="n">
        <v>0</v>
      </c>
      <c r="M246" t="n">
        <v>0</v>
      </c>
      <c r="N246" t="n">
        <v>0</v>
      </c>
      <c r="O246" t="n">
        <v>0</v>
      </c>
      <c r="P246" t="n">
        <v>0</v>
      </c>
      <c r="Q246" t="n">
        <v>0</v>
      </c>
      <c r="R246" s="2" t="inlineStr"/>
    </row>
    <row r="247" ht="15" customHeight="1">
      <c r="A247" t="inlineStr">
        <is>
          <t>A 64724-2023</t>
        </is>
      </c>
      <c r="B247" s="1" t="n">
        <v>45281.7602662037</v>
      </c>
      <c r="C247" s="1" t="n">
        <v>45912</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15972-2024</t>
        </is>
      </c>
      <c r="B248" s="1" t="n">
        <v>45405.56498842593</v>
      </c>
      <c r="C248" s="1" t="n">
        <v>45912</v>
      </c>
      <c r="D248" t="inlineStr">
        <is>
          <t>VÄSTMANLANDS LÄN</t>
        </is>
      </c>
      <c r="E248" t="inlineStr">
        <is>
          <t>SALA</t>
        </is>
      </c>
      <c r="G248" t="n">
        <v>1.8</v>
      </c>
      <c r="H248" t="n">
        <v>0</v>
      </c>
      <c r="I248" t="n">
        <v>0</v>
      </c>
      <c r="J248" t="n">
        <v>0</v>
      </c>
      <c r="K248" t="n">
        <v>0</v>
      </c>
      <c r="L248" t="n">
        <v>0</v>
      </c>
      <c r="M248" t="n">
        <v>0</v>
      </c>
      <c r="N248" t="n">
        <v>0</v>
      </c>
      <c r="O248" t="n">
        <v>0</v>
      </c>
      <c r="P248" t="n">
        <v>0</v>
      </c>
      <c r="Q248" t="n">
        <v>0</v>
      </c>
      <c r="R248" s="2" t="inlineStr"/>
    </row>
    <row r="249" ht="15" customHeight="1">
      <c r="A249" t="inlineStr">
        <is>
          <t>A 37958-2024</t>
        </is>
      </c>
      <c r="B249" s="1" t="n">
        <v>45544</v>
      </c>
      <c r="C249" s="1" t="n">
        <v>45912</v>
      </c>
      <c r="D249" t="inlineStr">
        <is>
          <t>VÄSTMANLANDS LÄN</t>
        </is>
      </c>
      <c r="E249" t="inlineStr">
        <is>
          <t>SALA</t>
        </is>
      </c>
      <c r="G249" t="n">
        <v>5.6</v>
      </c>
      <c r="H249" t="n">
        <v>0</v>
      </c>
      <c r="I249" t="n">
        <v>0</v>
      </c>
      <c r="J249" t="n">
        <v>0</v>
      </c>
      <c r="K249" t="n">
        <v>0</v>
      </c>
      <c r="L249" t="n">
        <v>0</v>
      </c>
      <c r="M249" t="n">
        <v>0</v>
      </c>
      <c r="N249" t="n">
        <v>0</v>
      </c>
      <c r="O249" t="n">
        <v>0</v>
      </c>
      <c r="P249" t="n">
        <v>0</v>
      </c>
      <c r="Q249" t="n">
        <v>0</v>
      </c>
      <c r="R249" s="2" t="inlineStr"/>
    </row>
    <row r="250" ht="15" customHeight="1">
      <c r="A250" t="inlineStr">
        <is>
          <t>A 35976-2024</t>
        </is>
      </c>
      <c r="B250" s="1" t="n">
        <v>45533.49555555556</v>
      </c>
      <c r="C250" s="1" t="n">
        <v>45912</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55556-2023</t>
        </is>
      </c>
      <c r="B251" s="1" t="n">
        <v>45232</v>
      </c>
      <c r="C251" s="1" t="n">
        <v>45912</v>
      </c>
      <c r="D251" t="inlineStr">
        <is>
          <t>VÄSTMANLANDS LÄN</t>
        </is>
      </c>
      <c r="E251" t="inlineStr">
        <is>
          <t>SALA</t>
        </is>
      </c>
      <c r="G251" t="n">
        <v>1.3</v>
      </c>
      <c r="H251" t="n">
        <v>0</v>
      </c>
      <c r="I251" t="n">
        <v>0</v>
      </c>
      <c r="J251" t="n">
        <v>0</v>
      </c>
      <c r="K251" t="n">
        <v>0</v>
      </c>
      <c r="L251" t="n">
        <v>0</v>
      </c>
      <c r="M251" t="n">
        <v>0</v>
      </c>
      <c r="N251" t="n">
        <v>0</v>
      </c>
      <c r="O251" t="n">
        <v>0</v>
      </c>
      <c r="P251" t="n">
        <v>0</v>
      </c>
      <c r="Q251" t="n">
        <v>0</v>
      </c>
      <c r="R251" s="2" t="inlineStr"/>
    </row>
    <row r="252" ht="15" customHeight="1">
      <c r="A252" t="inlineStr">
        <is>
          <t>A 7176-2023</t>
        </is>
      </c>
      <c r="B252" s="1" t="n">
        <v>44970</v>
      </c>
      <c r="C252" s="1" t="n">
        <v>45912</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57650-2024</t>
        </is>
      </c>
      <c r="B253" s="1" t="n">
        <v>45630</v>
      </c>
      <c r="C253" s="1" t="n">
        <v>45912</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50479-2022</t>
        </is>
      </c>
      <c r="B254" s="1" t="n">
        <v>44861</v>
      </c>
      <c r="C254" s="1" t="n">
        <v>45912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45790-2023</t>
        </is>
      </c>
      <c r="B255" s="1" t="n">
        <v>45195.45958333334</v>
      </c>
      <c r="C255" s="1" t="n">
        <v>45912</v>
      </c>
      <c r="D255" t="inlineStr">
        <is>
          <t>VÄSTMANLANDS LÄN</t>
        </is>
      </c>
      <c r="E255" t="inlineStr">
        <is>
          <t>SALA</t>
        </is>
      </c>
      <c r="G255" t="n">
        <v>5.7</v>
      </c>
      <c r="H255" t="n">
        <v>0</v>
      </c>
      <c r="I255" t="n">
        <v>0</v>
      </c>
      <c r="J255" t="n">
        <v>0</v>
      </c>
      <c r="K255" t="n">
        <v>0</v>
      </c>
      <c r="L255" t="n">
        <v>0</v>
      </c>
      <c r="M255" t="n">
        <v>0</v>
      </c>
      <c r="N255" t="n">
        <v>0</v>
      </c>
      <c r="O255" t="n">
        <v>0</v>
      </c>
      <c r="P255" t="n">
        <v>0</v>
      </c>
      <c r="Q255" t="n">
        <v>0</v>
      </c>
      <c r="R255" s="2" t="inlineStr"/>
    </row>
    <row r="256" ht="15" customHeight="1">
      <c r="A256" t="inlineStr">
        <is>
          <t>A 1555-2024</t>
        </is>
      </c>
      <c r="B256" s="1" t="n">
        <v>45306</v>
      </c>
      <c r="C256" s="1" t="n">
        <v>45912</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43600-2024</t>
        </is>
      </c>
      <c r="B257" s="1" t="n">
        <v>45569</v>
      </c>
      <c r="C257" s="1" t="n">
        <v>45912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31405-2024</t>
        </is>
      </c>
      <c r="B258" s="1" t="n">
        <v>45505.5490625</v>
      </c>
      <c r="C258" s="1" t="n">
        <v>45912</v>
      </c>
      <c r="D258" t="inlineStr">
        <is>
          <t>VÄSTMANLANDS LÄN</t>
        </is>
      </c>
      <c r="E258" t="inlineStr">
        <is>
          <t>SALA</t>
        </is>
      </c>
      <c r="G258" t="n">
        <v>5.2</v>
      </c>
      <c r="H258" t="n">
        <v>0</v>
      </c>
      <c r="I258" t="n">
        <v>0</v>
      </c>
      <c r="J258" t="n">
        <v>0</v>
      </c>
      <c r="K258" t="n">
        <v>0</v>
      </c>
      <c r="L258" t="n">
        <v>0</v>
      </c>
      <c r="M258" t="n">
        <v>0</v>
      </c>
      <c r="N258" t="n">
        <v>0</v>
      </c>
      <c r="O258" t="n">
        <v>0</v>
      </c>
      <c r="P258" t="n">
        <v>0</v>
      </c>
      <c r="Q258" t="n">
        <v>0</v>
      </c>
      <c r="R258" s="2" t="inlineStr"/>
    </row>
    <row r="259" ht="15" customHeight="1">
      <c r="A259" t="inlineStr">
        <is>
          <t>A 22616-2025</t>
        </is>
      </c>
      <c r="B259" s="1" t="n">
        <v>45789.42752314815</v>
      </c>
      <c r="C259" s="1" t="n">
        <v>45912</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22353-2025</t>
        </is>
      </c>
      <c r="B260" s="1" t="n">
        <v>45786</v>
      </c>
      <c r="C260" s="1" t="n">
        <v>45912</v>
      </c>
      <c r="D260" t="inlineStr">
        <is>
          <t>VÄSTMANLANDS LÄN</t>
        </is>
      </c>
      <c r="E260" t="inlineStr">
        <is>
          <t>SALA</t>
        </is>
      </c>
      <c r="G260" t="n">
        <v>2.5</v>
      </c>
      <c r="H260" t="n">
        <v>0</v>
      </c>
      <c r="I260" t="n">
        <v>0</v>
      </c>
      <c r="J260" t="n">
        <v>0</v>
      </c>
      <c r="K260" t="n">
        <v>0</v>
      </c>
      <c r="L260" t="n">
        <v>0</v>
      </c>
      <c r="M260" t="n">
        <v>0</v>
      </c>
      <c r="N260" t="n">
        <v>0</v>
      </c>
      <c r="O260" t="n">
        <v>0</v>
      </c>
      <c r="P260" t="n">
        <v>0</v>
      </c>
      <c r="Q260" t="n">
        <v>0</v>
      </c>
      <c r="R260" s="2" t="inlineStr"/>
    </row>
    <row r="261" ht="15" customHeight="1">
      <c r="A261" t="inlineStr">
        <is>
          <t>A 50801-2020</t>
        </is>
      </c>
      <c r="B261" s="1" t="n">
        <v>44111</v>
      </c>
      <c r="C261" s="1" t="n">
        <v>45912</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2928-2024</t>
        </is>
      </c>
      <c r="B262" s="1" t="n">
        <v>45315.59041666667</v>
      </c>
      <c r="C262" s="1" t="n">
        <v>45912</v>
      </c>
      <c r="D262" t="inlineStr">
        <is>
          <t>VÄSTMANLANDS LÄN</t>
        </is>
      </c>
      <c r="E262" t="inlineStr">
        <is>
          <t>SALA</t>
        </is>
      </c>
      <c r="G262" t="n">
        <v>1.4</v>
      </c>
      <c r="H262" t="n">
        <v>0</v>
      </c>
      <c r="I262" t="n">
        <v>0</v>
      </c>
      <c r="J262" t="n">
        <v>0</v>
      </c>
      <c r="K262" t="n">
        <v>0</v>
      </c>
      <c r="L262" t="n">
        <v>0</v>
      </c>
      <c r="M262" t="n">
        <v>0</v>
      </c>
      <c r="N262" t="n">
        <v>0</v>
      </c>
      <c r="O262" t="n">
        <v>0</v>
      </c>
      <c r="P262" t="n">
        <v>0</v>
      </c>
      <c r="Q262" t="n">
        <v>0</v>
      </c>
      <c r="R262" s="2" t="inlineStr"/>
    </row>
    <row r="263" ht="15" customHeight="1">
      <c r="A263" t="inlineStr">
        <is>
          <t>A 73673-2021</t>
        </is>
      </c>
      <c r="B263" s="1" t="n">
        <v>44552.46501157407</v>
      </c>
      <c r="C263" s="1" t="n">
        <v>45912</v>
      </c>
      <c r="D263" t="inlineStr">
        <is>
          <t>VÄSTMANLANDS LÄN</t>
        </is>
      </c>
      <c r="E263" t="inlineStr">
        <is>
          <t>SALA</t>
        </is>
      </c>
      <c r="G263" t="n">
        <v>11.4</v>
      </c>
      <c r="H263" t="n">
        <v>0</v>
      </c>
      <c r="I263" t="n">
        <v>0</v>
      </c>
      <c r="J263" t="n">
        <v>0</v>
      </c>
      <c r="K263" t="n">
        <v>0</v>
      </c>
      <c r="L263" t="n">
        <v>0</v>
      </c>
      <c r="M263" t="n">
        <v>0</v>
      </c>
      <c r="N263" t="n">
        <v>0</v>
      </c>
      <c r="O263" t="n">
        <v>0</v>
      </c>
      <c r="P263" t="n">
        <v>0</v>
      </c>
      <c r="Q263" t="n">
        <v>0</v>
      </c>
      <c r="R263" s="2" t="inlineStr"/>
    </row>
    <row r="264" ht="15" customHeight="1">
      <c r="A264" t="inlineStr">
        <is>
          <t>A 22383-2025</t>
        </is>
      </c>
      <c r="B264" s="1" t="n">
        <v>45786</v>
      </c>
      <c r="C264" s="1" t="n">
        <v>45912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57800-2020</t>
        </is>
      </c>
      <c r="B265" s="1" t="n">
        <v>44141</v>
      </c>
      <c r="C265" s="1" t="n">
        <v>45912</v>
      </c>
      <c r="D265" t="inlineStr">
        <is>
          <t>VÄSTMANLANDS LÄN</t>
        </is>
      </c>
      <c r="E265" t="inlineStr">
        <is>
          <t>SALA</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40871-2021</t>
        </is>
      </c>
      <c r="B266" s="1" t="n">
        <v>44421</v>
      </c>
      <c r="C266" s="1" t="n">
        <v>45912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14271-2025</t>
        </is>
      </c>
      <c r="B267" s="1" t="n">
        <v>45740.64129629629</v>
      </c>
      <c r="C267" s="1" t="n">
        <v>45912</v>
      </c>
      <c r="D267" t="inlineStr">
        <is>
          <t>VÄSTMANLANDS LÄN</t>
        </is>
      </c>
      <c r="E267" t="inlineStr">
        <is>
          <t>SALA</t>
        </is>
      </c>
      <c r="G267" t="n">
        <v>0.8</v>
      </c>
      <c r="H267" t="n">
        <v>0</v>
      </c>
      <c r="I267" t="n">
        <v>0</v>
      </c>
      <c r="J267" t="n">
        <v>0</v>
      </c>
      <c r="K267" t="n">
        <v>0</v>
      </c>
      <c r="L267" t="n">
        <v>0</v>
      </c>
      <c r="M267" t="n">
        <v>0</v>
      </c>
      <c r="N267" t="n">
        <v>0</v>
      </c>
      <c r="O267" t="n">
        <v>0</v>
      </c>
      <c r="P267" t="n">
        <v>0</v>
      </c>
      <c r="Q267" t="n">
        <v>0</v>
      </c>
      <c r="R267" s="2" t="inlineStr"/>
    </row>
    <row r="268" ht="15" customHeight="1">
      <c r="A268" t="inlineStr">
        <is>
          <t>A 15756-2025</t>
        </is>
      </c>
      <c r="B268" s="1" t="n">
        <v>45748.56810185185</v>
      </c>
      <c r="C268" s="1" t="n">
        <v>45912</v>
      </c>
      <c r="D268" t="inlineStr">
        <is>
          <t>VÄSTMANLANDS LÄN</t>
        </is>
      </c>
      <c r="E268" t="inlineStr">
        <is>
          <t>SALA</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22624-2025</t>
        </is>
      </c>
      <c r="B269" s="1" t="n">
        <v>45789.43327546296</v>
      </c>
      <c r="C269" s="1" t="n">
        <v>45912</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22370-2025</t>
        </is>
      </c>
      <c r="B270" s="1" t="n">
        <v>45786</v>
      </c>
      <c r="C270" s="1" t="n">
        <v>45912</v>
      </c>
      <c r="D270" t="inlineStr">
        <is>
          <t>VÄSTMANLANDS LÄN</t>
        </is>
      </c>
      <c r="E270" t="inlineStr">
        <is>
          <t>SALA</t>
        </is>
      </c>
      <c r="G270" t="n">
        <v>3.2</v>
      </c>
      <c r="H270" t="n">
        <v>0</v>
      </c>
      <c r="I270" t="n">
        <v>0</v>
      </c>
      <c r="J270" t="n">
        <v>0</v>
      </c>
      <c r="K270" t="n">
        <v>0</v>
      </c>
      <c r="L270" t="n">
        <v>0</v>
      </c>
      <c r="M270" t="n">
        <v>0</v>
      </c>
      <c r="N270" t="n">
        <v>0</v>
      </c>
      <c r="O270" t="n">
        <v>0</v>
      </c>
      <c r="P270" t="n">
        <v>0</v>
      </c>
      <c r="Q270" t="n">
        <v>0</v>
      </c>
      <c r="R270" s="2" t="inlineStr"/>
    </row>
    <row r="271" ht="15" customHeight="1">
      <c r="A271" t="inlineStr">
        <is>
          <t>A 31000-2022</t>
        </is>
      </c>
      <c r="B271" s="1" t="n">
        <v>44768</v>
      </c>
      <c r="C271" s="1" t="n">
        <v>45912</v>
      </c>
      <c r="D271" t="inlineStr">
        <is>
          <t>VÄSTMANLANDS LÄN</t>
        </is>
      </c>
      <c r="E271" t="inlineStr">
        <is>
          <t>SALA</t>
        </is>
      </c>
      <c r="G271" t="n">
        <v>5.7</v>
      </c>
      <c r="H271" t="n">
        <v>0</v>
      </c>
      <c r="I271" t="n">
        <v>0</v>
      </c>
      <c r="J271" t="n">
        <v>0</v>
      </c>
      <c r="K271" t="n">
        <v>0</v>
      </c>
      <c r="L271" t="n">
        <v>0</v>
      </c>
      <c r="M271" t="n">
        <v>0</v>
      </c>
      <c r="N271" t="n">
        <v>0</v>
      </c>
      <c r="O271" t="n">
        <v>0</v>
      </c>
      <c r="P271" t="n">
        <v>0</v>
      </c>
      <c r="Q271" t="n">
        <v>0</v>
      </c>
      <c r="R271" s="2" t="inlineStr"/>
    </row>
    <row r="272" ht="15" customHeight="1">
      <c r="A272" t="inlineStr">
        <is>
          <t>A 54199-2024</t>
        </is>
      </c>
      <c r="B272" s="1" t="n">
        <v>45616.64703703704</v>
      </c>
      <c r="C272" s="1" t="n">
        <v>45912</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37183-2024</t>
        </is>
      </c>
      <c r="B273" s="1" t="n">
        <v>45539</v>
      </c>
      <c r="C273" s="1" t="n">
        <v>45912</v>
      </c>
      <c r="D273" t="inlineStr">
        <is>
          <t>VÄSTMANLANDS LÄN</t>
        </is>
      </c>
      <c r="E273" t="inlineStr">
        <is>
          <t>SALA</t>
        </is>
      </c>
      <c r="G273" t="n">
        <v>1.2</v>
      </c>
      <c r="H273" t="n">
        <v>0</v>
      </c>
      <c r="I273" t="n">
        <v>0</v>
      </c>
      <c r="J273" t="n">
        <v>0</v>
      </c>
      <c r="K273" t="n">
        <v>0</v>
      </c>
      <c r="L273" t="n">
        <v>0</v>
      </c>
      <c r="M273" t="n">
        <v>0</v>
      </c>
      <c r="N273" t="n">
        <v>0</v>
      </c>
      <c r="O273" t="n">
        <v>0</v>
      </c>
      <c r="P273" t="n">
        <v>0</v>
      </c>
      <c r="Q273" t="n">
        <v>0</v>
      </c>
      <c r="R273" s="2" t="inlineStr"/>
    </row>
    <row r="274" ht="15" customHeight="1">
      <c r="A274" t="inlineStr">
        <is>
          <t>A 6312-2025</t>
        </is>
      </c>
      <c r="B274" s="1" t="n">
        <v>45698</v>
      </c>
      <c r="C274" s="1" t="n">
        <v>45912</v>
      </c>
      <c r="D274" t="inlineStr">
        <is>
          <t>VÄSTMANLANDS LÄN</t>
        </is>
      </c>
      <c r="E274" t="inlineStr">
        <is>
          <t>SALA</t>
        </is>
      </c>
      <c r="G274" t="n">
        <v>1.2</v>
      </c>
      <c r="H274" t="n">
        <v>0</v>
      </c>
      <c r="I274" t="n">
        <v>0</v>
      </c>
      <c r="J274" t="n">
        <v>0</v>
      </c>
      <c r="K274" t="n">
        <v>0</v>
      </c>
      <c r="L274" t="n">
        <v>0</v>
      </c>
      <c r="M274" t="n">
        <v>0</v>
      </c>
      <c r="N274" t="n">
        <v>0</v>
      </c>
      <c r="O274" t="n">
        <v>0</v>
      </c>
      <c r="P274" t="n">
        <v>0</v>
      </c>
      <c r="Q274" t="n">
        <v>0</v>
      </c>
      <c r="R274" s="2" t="inlineStr"/>
    </row>
    <row r="275" ht="15" customHeight="1">
      <c r="A275" t="inlineStr">
        <is>
          <t>A 27229-2022</t>
        </is>
      </c>
      <c r="B275" s="1" t="n">
        <v>44741</v>
      </c>
      <c r="C275" s="1" t="n">
        <v>45912</v>
      </c>
      <c r="D275" t="inlineStr">
        <is>
          <t>VÄSTMANLANDS LÄN</t>
        </is>
      </c>
      <c r="E275" t="inlineStr">
        <is>
          <t>SALA</t>
        </is>
      </c>
      <c r="F275" t="inlineStr">
        <is>
          <t>Kommuner</t>
        </is>
      </c>
      <c r="G275" t="n">
        <v>1.4</v>
      </c>
      <c r="H275" t="n">
        <v>0</v>
      </c>
      <c r="I275" t="n">
        <v>0</v>
      </c>
      <c r="J275" t="n">
        <v>0</v>
      </c>
      <c r="K275" t="n">
        <v>0</v>
      </c>
      <c r="L275" t="n">
        <v>0</v>
      </c>
      <c r="M275" t="n">
        <v>0</v>
      </c>
      <c r="N275" t="n">
        <v>0</v>
      </c>
      <c r="O275" t="n">
        <v>0</v>
      </c>
      <c r="P275" t="n">
        <v>0</v>
      </c>
      <c r="Q275" t="n">
        <v>0</v>
      </c>
      <c r="R275" s="2" t="inlineStr"/>
    </row>
    <row r="276" ht="15" customHeight="1">
      <c r="A276" t="inlineStr">
        <is>
          <t>A 13130-2025</t>
        </is>
      </c>
      <c r="B276" s="1" t="n">
        <v>45734</v>
      </c>
      <c r="C276" s="1" t="n">
        <v>45912</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44857-2023</t>
        </is>
      </c>
      <c r="B277" s="1" t="n">
        <v>45190.58479166667</v>
      </c>
      <c r="C277" s="1" t="n">
        <v>45912</v>
      </c>
      <c r="D277" t="inlineStr">
        <is>
          <t>VÄSTMANLANDS LÄN</t>
        </is>
      </c>
      <c r="E277" t="inlineStr">
        <is>
          <t>SALA</t>
        </is>
      </c>
      <c r="G277" t="n">
        <v>1</v>
      </c>
      <c r="H277" t="n">
        <v>0</v>
      </c>
      <c r="I277" t="n">
        <v>0</v>
      </c>
      <c r="J277" t="n">
        <v>0</v>
      </c>
      <c r="K277" t="n">
        <v>0</v>
      </c>
      <c r="L277" t="n">
        <v>0</v>
      </c>
      <c r="M277" t="n">
        <v>0</v>
      </c>
      <c r="N277" t="n">
        <v>0</v>
      </c>
      <c r="O277" t="n">
        <v>0</v>
      </c>
      <c r="P277" t="n">
        <v>0</v>
      </c>
      <c r="Q277" t="n">
        <v>0</v>
      </c>
      <c r="R277" s="2" t="inlineStr"/>
    </row>
    <row r="278" ht="15" customHeight="1">
      <c r="A278" t="inlineStr">
        <is>
          <t>A 1793-2023</t>
        </is>
      </c>
      <c r="B278" s="1" t="n">
        <v>44937</v>
      </c>
      <c r="C278" s="1" t="n">
        <v>45912</v>
      </c>
      <c r="D278" t="inlineStr">
        <is>
          <t>VÄSTMANLANDS LÄN</t>
        </is>
      </c>
      <c r="E278" t="inlineStr">
        <is>
          <t>SALA</t>
        </is>
      </c>
      <c r="G278" t="n">
        <v>2.6</v>
      </c>
      <c r="H278" t="n">
        <v>0</v>
      </c>
      <c r="I278" t="n">
        <v>0</v>
      </c>
      <c r="J278" t="n">
        <v>0</v>
      </c>
      <c r="K278" t="n">
        <v>0</v>
      </c>
      <c r="L278" t="n">
        <v>0</v>
      </c>
      <c r="M278" t="n">
        <v>0</v>
      </c>
      <c r="N278" t="n">
        <v>0</v>
      </c>
      <c r="O278" t="n">
        <v>0</v>
      </c>
      <c r="P278" t="n">
        <v>0</v>
      </c>
      <c r="Q278" t="n">
        <v>0</v>
      </c>
      <c r="R278" s="2" t="inlineStr"/>
    </row>
    <row r="279" ht="15" customHeight="1">
      <c r="A279" t="inlineStr">
        <is>
          <t>A 29248-2022</t>
        </is>
      </c>
      <c r="B279" s="1" t="n">
        <v>44750</v>
      </c>
      <c r="C279" s="1" t="n">
        <v>45912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22397-2022</t>
        </is>
      </c>
      <c r="B280" s="1" t="n">
        <v>44713</v>
      </c>
      <c r="C280" s="1" t="n">
        <v>45912</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62654-2022</t>
        </is>
      </c>
      <c r="B281" s="1" t="n">
        <v>44917</v>
      </c>
      <c r="C281" s="1" t="n">
        <v>45912</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43188-2023</t>
        </is>
      </c>
      <c r="B282" s="1" t="n">
        <v>45183</v>
      </c>
      <c r="C282" s="1" t="n">
        <v>45912</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43205-2023</t>
        </is>
      </c>
      <c r="B283" s="1" t="n">
        <v>45183</v>
      </c>
      <c r="C283" s="1" t="n">
        <v>45912</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61892-2021</t>
        </is>
      </c>
      <c r="B284" s="1" t="n">
        <v>44502</v>
      </c>
      <c r="C284" s="1" t="n">
        <v>45912</v>
      </c>
      <c r="D284" t="inlineStr">
        <is>
          <t>VÄSTMANLANDS LÄN</t>
        </is>
      </c>
      <c r="E284" t="inlineStr">
        <is>
          <t>SALA</t>
        </is>
      </c>
      <c r="G284" t="n">
        <v>1.4</v>
      </c>
      <c r="H284" t="n">
        <v>0</v>
      </c>
      <c r="I284" t="n">
        <v>0</v>
      </c>
      <c r="J284" t="n">
        <v>0</v>
      </c>
      <c r="K284" t="n">
        <v>0</v>
      </c>
      <c r="L284" t="n">
        <v>0</v>
      </c>
      <c r="M284" t="n">
        <v>0</v>
      </c>
      <c r="N284" t="n">
        <v>0</v>
      </c>
      <c r="O284" t="n">
        <v>0</v>
      </c>
      <c r="P284" t="n">
        <v>0</v>
      </c>
      <c r="Q284" t="n">
        <v>0</v>
      </c>
      <c r="R284" s="2" t="inlineStr"/>
    </row>
    <row r="285" ht="15" customHeight="1">
      <c r="A285" t="inlineStr">
        <is>
          <t>A 28863-2022</t>
        </is>
      </c>
      <c r="B285" s="1" t="n">
        <v>44749.50649305555</v>
      </c>
      <c r="C285" s="1" t="n">
        <v>45912</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23804-2025</t>
        </is>
      </c>
      <c r="B286" s="1" t="n">
        <v>45793.55995370371</v>
      </c>
      <c r="C286" s="1" t="n">
        <v>45912</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29213-2022</t>
        </is>
      </c>
      <c r="B287" s="1" t="n">
        <v>44750.57474537037</v>
      </c>
      <c r="C287" s="1" t="n">
        <v>45912</v>
      </c>
      <c r="D287" t="inlineStr">
        <is>
          <t>VÄSTMANLANDS LÄN</t>
        </is>
      </c>
      <c r="E287" t="inlineStr">
        <is>
          <t>SALA</t>
        </is>
      </c>
      <c r="G287" t="n">
        <v>1</v>
      </c>
      <c r="H287" t="n">
        <v>0</v>
      </c>
      <c r="I287" t="n">
        <v>0</v>
      </c>
      <c r="J287" t="n">
        <v>0</v>
      </c>
      <c r="K287" t="n">
        <v>0</v>
      </c>
      <c r="L287" t="n">
        <v>0</v>
      </c>
      <c r="M287" t="n">
        <v>0</v>
      </c>
      <c r="N287" t="n">
        <v>0</v>
      </c>
      <c r="O287" t="n">
        <v>0</v>
      </c>
      <c r="P287" t="n">
        <v>0</v>
      </c>
      <c r="Q287" t="n">
        <v>0</v>
      </c>
      <c r="R287" s="2" t="inlineStr"/>
    </row>
    <row r="288" ht="15" customHeight="1">
      <c r="A288" t="inlineStr">
        <is>
          <t>A 22126-2025</t>
        </is>
      </c>
      <c r="B288" s="1" t="n">
        <v>45785</v>
      </c>
      <c r="C288" s="1" t="n">
        <v>45912</v>
      </c>
      <c r="D288" t="inlineStr">
        <is>
          <t>VÄSTMANLANDS LÄN</t>
        </is>
      </c>
      <c r="E288" t="inlineStr">
        <is>
          <t>SALA</t>
        </is>
      </c>
      <c r="G288" t="n">
        <v>10.6</v>
      </c>
      <c r="H288" t="n">
        <v>0</v>
      </c>
      <c r="I288" t="n">
        <v>0</v>
      </c>
      <c r="J288" t="n">
        <v>0</v>
      </c>
      <c r="K288" t="n">
        <v>0</v>
      </c>
      <c r="L288" t="n">
        <v>0</v>
      </c>
      <c r="M288" t="n">
        <v>0</v>
      </c>
      <c r="N288" t="n">
        <v>0</v>
      </c>
      <c r="O288" t="n">
        <v>0</v>
      </c>
      <c r="P288" t="n">
        <v>0</v>
      </c>
      <c r="Q288" t="n">
        <v>0</v>
      </c>
      <c r="R288" s="2" t="inlineStr"/>
    </row>
    <row r="289" ht="15" customHeight="1">
      <c r="A289" t="inlineStr">
        <is>
          <t>A 19297-2025</t>
        </is>
      </c>
      <c r="B289" s="1" t="n">
        <v>45769.56261574074</v>
      </c>
      <c r="C289" s="1" t="n">
        <v>45912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59483-2022</t>
        </is>
      </c>
      <c r="B290" s="1" t="n">
        <v>44907.45679398148</v>
      </c>
      <c r="C290" s="1" t="n">
        <v>45912</v>
      </c>
      <c r="D290" t="inlineStr">
        <is>
          <t>VÄSTMANLANDS LÄN</t>
        </is>
      </c>
      <c r="E290" t="inlineStr">
        <is>
          <t>SALA</t>
        </is>
      </c>
      <c r="G290" t="n">
        <v>5.2</v>
      </c>
      <c r="H290" t="n">
        <v>0</v>
      </c>
      <c r="I290" t="n">
        <v>0</v>
      </c>
      <c r="J290" t="n">
        <v>0</v>
      </c>
      <c r="K290" t="n">
        <v>0</v>
      </c>
      <c r="L290" t="n">
        <v>0</v>
      </c>
      <c r="M290" t="n">
        <v>0</v>
      </c>
      <c r="N290" t="n">
        <v>0</v>
      </c>
      <c r="O290" t="n">
        <v>0</v>
      </c>
      <c r="P290" t="n">
        <v>0</v>
      </c>
      <c r="Q290" t="n">
        <v>0</v>
      </c>
      <c r="R290" s="2" t="inlineStr"/>
    </row>
    <row r="291" ht="15" customHeight="1">
      <c r="A291" t="inlineStr">
        <is>
          <t>A 23810-2025</t>
        </is>
      </c>
      <c r="B291" s="1" t="n">
        <v>45793.56989583333</v>
      </c>
      <c r="C291" s="1" t="n">
        <v>45912</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16160-2024</t>
        </is>
      </c>
      <c r="B292" s="1" t="n">
        <v>45406</v>
      </c>
      <c r="C292" s="1" t="n">
        <v>45912</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7681-2021</t>
        </is>
      </c>
      <c r="B293" s="1" t="n">
        <v>44242</v>
      </c>
      <c r="C293" s="1" t="n">
        <v>45912</v>
      </c>
      <c r="D293" t="inlineStr">
        <is>
          <t>VÄSTMANLANDS LÄN</t>
        </is>
      </c>
      <c r="E293" t="inlineStr">
        <is>
          <t>SALA</t>
        </is>
      </c>
      <c r="F293" t="inlineStr">
        <is>
          <t>Sveaskog</t>
        </is>
      </c>
      <c r="G293" t="n">
        <v>16.1</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45912</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45912</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45912</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56098-2020</t>
        </is>
      </c>
      <c r="B297" s="1" t="n">
        <v>44132</v>
      </c>
      <c r="C297" s="1" t="n">
        <v>45912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24169-2025</t>
        </is>
      </c>
      <c r="B298" s="1" t="n">
        <v>45796</v>
      </c>
      <c r="C298" s="1" t="n">
        <v>45912</v>
      </c>
      <c r="D298" t="inlineStr">
        <is>
          <t>VÄSTMANLANDS LÄN</t>
        </is>
      </c>
      <c r="E298" t="inlineStr">
        <is>
          <t>SALA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11210-2025</t>
        </is>
      </c>
      <c r="B299" s="1" t="n">
        <v>45726</v>
      </c>
      <c r="C299" s="1" t="n">
        <v>45912</v>
      </c>
      <c r="D299" t="inlineStr">
        <is>
          <t>VÄSTMANLANDS LÄN</t>
        </is>
      </c>
      <c r="E299" t="inlineStr">
        <is>
          <t>SALA</t>
        </is>
      </c>
      <c r="G299" t="n">
        <v>4.1</v>
      </c>
      <c r="H299" t="n">
        <v>0</v>
      </c>
      <c r="I299" t="n">
        <v>0</v>
      </c>
      <c r="J299" t="n">
        <v>0</v>
      </c>
      <c r="K299" t="n">
        <v>0</v>
      </c>
      <c r="L299" t="n">
        <v>0</v>
      </c>
      <c r="M299" t="n">
        <v>0</v>
      </c>
      <c r="N299" t="n">
        <v>0</v>
      </c>
      <c r="O299" t="n">
        <v>0</v>
      </c>
      <c r="P299" t="n">
        <v>0</v>
      </c>
      <c r="Q299" t="n">
        <v>0</v>
      </c>
      <c r="R299" s="2" t="inlineStr"/>
    </row>
    <row r="300" ht="15" customHeight="1">
      <c r="A300" t="inlineStr">
        <is>
          <t>A 43362-2023</t>
        </is>
      </c>
      <c r="B300" s="1" t="n">
        <v>45183</v>
      </c>
      <c r="C300" s="1" t="n">
        <v>45912</v>
      </c>
      <c r="D300" t="inlineStr">
        <is>
          <t>VÄSTMANLANDS LÄN</t>
        </is>
      </c>
      <c r="E300" t="inlineStr">
        <is>
          <t>SALA</t>
        </is>
      </c>
      <c r="G300" t="n">
        <v>2</v>
      </c>
      <c r="H300" t="n">
        <v>0</v>
      </c>
      <c r="I300" t="n">
        <v>0</v>
      </c>
      <c r="J300" t="n">
        <v>0</v>
      </c>
      <c r="K300" t="n">
        <v>0</v>
      </c>
      <c r="L300" t="n">
        <v>0</v>
      </c>
      <c r="M300" t="n">
        <v>0</v>
      </c>
      <c r="N300" t="n">
        <v>0</v>
      </c>
      <c r="O300" t="n">
        <v>0</v>
      </c>
      <c r="P300" t="n">
        <v>0</v>
      </c>
      <c r="Q300" t="n">
        <v>0</v>
      </c>
      <c r="R300" s="2" t="inlineStr"/>
    </row>
    <row r="301" ht="15" customHeight="1">
      <c r="A301" t="inlineStr">
        <is>
          <t>A 2900-2023</t>
        </is>
      </c>
      <c r="B301" s="1" t="n">
        <v>44943</v>
      </c>
      <c r="C301" s="1" t="n">
        <v>45912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6030-2024</t>
        </is>
      </c>
      <c r="B302" s="1" t="n">
        <v>45336.62782407407</v>
      </c>
      <c r="C302" s="1" t="n">
        <v>45912</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52630-2022</t>
        </is>
      </c>
      <c r="B303" s="1" t="n">
        <v>44874</v>
      </c>
      <c r="C303" s="1" t="n">
        <v>45912</v>
      </c>
      <c r="D303" t="inlineStr">
        <is>
          <t>VÄSTMANLANDS LÄN</t>
        </is>
      </c>
      <c r="E303" t="inlineStr">
        <is>
          <t>SALA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24944-2023</t>
        </is>
      </c>
      <c r="B304" s="1" t="n">
        <v>45085</v>
      </c>
      <c r="C304" s="1" t="n">
        <v>45912</v>
      </c>
      <c r="D304" t="inlineStr">
        <is>
          <t>VÄSTMANLANDS LÄN</t>
        </is>
      </c>
      <c r="E304" t="inlineStr">
        <is>
          <t>SALA</t>
        </is>
      </c>
      <c r="G304" t="n">
        <v>3.8</v>
      </c>
      <c r="H304" t="n">
        <v>0</v>
      </c>
      <c r="I304" t="n">
        <v>0</v>
      </c>
      <c r="J304" t="n">
        <v>0</v>
      </c>
      <c r="K304" t="n">
        <v>0</v>
      </c>
      <c r="L304" t="n">
        <v>0</v>
      </c>
      <c r="M304" t="n">
        <v>0</v>
      </c>
      <c r="N304" t="n">
        <v>0</v>
      </c>
      <c r="O304" t="n">
        <v>0</v>
      </c>
      <c r="P304" t="n">
        <v>0</v>
      </c>
      <c r="Q304" t="n">
        <v>0</v>
      </c>
      <c r="R304" s="2" t="inlineStr"/>
    </row>
    <row r="305" ht="15" customHeight="1">
      <c r="A305" t="inlineStr">
        <is>
          <t>A 39597-2022</t>
        </is>
      </c>
      <c r="B305" s="1" t="n">
        <v>44818</v>
      </c>
      <c r="C305" s="1" t="n">
        <v>45912</v>
      </c>
      <c r="D305" t="inlineStr">
        <is>
          <t>VÄSTMANLANDS LÄN</t>
        </is>
      </c>
      <c r="E305" t="inlineStr">
        <is>
          <t>SALA</t>
        </is>
      </c>
      <c r="G305" t="n">
        <v>2.3</v>
      </c>
      <c r="H305" t="n">
        <v>0</v>
      </c>
      <c r="I305" t="n">
        <v>0</v>
      </c>
      <c r="J305" t="n">
        <v>0</v>
      </c>
      <c r="K305" t="n">
        <v>0</v>
      </c>
      <c r="L305" t="n">
        <v>0</v>
      </c>
      <c r="M305" t="n">
        <v>0</v>
      </c>
      <c r="N305" t="n">
        <v>0</v>
      </c>
      <c r="O305" t="n">
        <v>0</v>
      </c>
      <c r="P305" t="n">
        <v>0</v>
      </c>
      <c r="Q305" t="n">
        <v>0</v>
      </c>
      <c r="R305" s="2" t="inlineStr"/>
    </row>
    <row r="306" ht="15" customHeight="1">
      <c r="A306" t="inlineStr">
        <is>
          <t>A 14690-2025</t>
        </is>
      </c>
      <c r="B306" s="1" t="n">
        <v>45742.58212962963</v>
      </c>
      <c r="C306" s="1" t="n">
        <v>45912</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22921-2023</t>
        </is>
      </c>
      <c r="B307" s="1" t="n">
        <v>45070</v>
      </c>
      <c r="C307" s="1" t="n">
        <v>45912</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36858-2023</t>
        </is>
      </c>
      <c r="B308" s="1" t="n">
        <v>45154.55184027777</v>
      </c>
      <c r="C308" s="1" t="n">
        <v>45912</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2521-2025</t>
        </is>
      </c>
      <c r="B309" s="1" t="n">
        <v>45674</v>
      </c>
      <c r="C309" s="1" t="n">
        <v>45912</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55024-2023</t>
        </is>
      </c>
      <c r="B310" s="1" t="n">
        <v>45229</v>
      </c>
      <c r="C310" s="1" t="n">
        <v>45912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55032-2023</t>
        </is>
      </c>
      <c r="B311" s="1" t="n">
        <v>45229</v>
      </c>
      <c r="C311" s="1" t="n">
        <v>45912</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39364-2024</t>
        </is>
      </c>
      <c r="B312" s="1" t="n">
        <v>45551.46748842593</v>
      </c>
      <c r="C312" s="1" t="n">
        <v>45912</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20352-2022</t>
        </is>
      </c>
      <c r="B313" s="1" t="n">
        <v>44699.37318287037</v>
      </c>
      <c r="C313" s="1" t="n">
        <v>45912</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4736-2021</t>
        </is>
      </c>
      <c r="B314" s="1" t="n">
        <v>44225</v>
      </c>
      <c r="C314" s="1" t="n">
        <v>45912</v>
      </c>
      <c r="D314" t="inlineStr">
        <is>
          <t>VÄSTMANLANDS LÄN</t>
        </is>
      </c>
      <c r="E314" t="inlineStr">
        <is>
          <t>SALA</t>
        </is>
      </c>
      <c r="G314" t="n">
        <v>4.2</v>
      </c>
      <c r="H314" t="n">
        <v>0</v>
      </c>
      <c r="I314" t="n">
        <v>0</v>
      </c>
      <c r="J314" t="n">
        <v>0</v>
      </c>
      <c r="K314" t="n">
        <v>0</v>
      </c>
      <c r="L314" t="n">
        <v>0</v>
      </c>
      <c r="M314" t="n">
        <v>0</v>
      </c>
      <c r="N314" t="n">
        <v>0</v>
      </c>
      <c r="O314" t="n">
        <v>0</v>
      </c>
      <c r="P314" t="n">
        <v>0</v>
      </c>
      <c r="Q314" t="n">
        <v>0</v>
      </c>
      <c r="R314" s="2" t="inlineStr"/>
    </row>
    <row r="315" ht="15" customHeight="1">
      <c r="A315" t="inlineStr">
        <is>
          <t>A 5032-2025</t>
        </is>
      </c>
      <c r="B315" s="1" t="n">
        <v>45691</v>
      </c>
      <c r="C315" s="1" t="n">
        <v>45912</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17117-2023</t>
        </is>
      </c>
      <c r="B316" s="1" t="n">
        <v>45034</v>
      </c>
      <c r="C316" s="1" t="n">
        <v>45912</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60548-2024</t>
        </is>
      </c>
      <c r="B317" s="1" t="n">
        <v>45643.80978009259</v>
      </c>
      <c r="C317" s="1" t="n">
        <v>45912</v>
      </c>
      <c r="D317" t="inlineStr">
        <is>
          <t>VÄSTMANLANDS LÄN</t>
        </is>
      </c>
      <c r="E317" t="inlineStr">
        <is>
          <t>SALA</t>
        </is>
      </c>
      <c r="G317" t="n">
        <v>1.6</v>
      </c>
      <c r="H317" t="n">
        <v>0</v>
      </c>
      <c r="I317" t="n">
        <v>0</v>
      </c>
      <c r="J317" t="n">
        <v>0</v>
      </c>
      <c r="K317" t="n">
        <v>0</v>
      </c>
      <c r="L317" t="n">
        <v>0</v>
      </c>
      <c r="M317" t="n">
        <v>0</v>
      </c>
      <c r="N317" t="n">
        <v>0</v>
      </c>
      <c r="O317" t="n">
        <v>0</v>
      </c>
      <c r="P317" t="n">
        <v>0</v>
      </c>
      <c r="Q317" t="n">
        <v>0</v>
      </c>
      <c r="R317" s="2" t="inlineStr"/>
    </row>
    <row r="318" ht="15" customHeight="1">
      <c r="A318" t="inlineStr">
        <is>
          <t>A 24460-2025</t>
        </is>
      </c>
      <c r="B318" s="1" t="n">
        <v>45798</v>
      </c>
      <c r="C318" s="1" t="n">
        <v>45912</v>
      </c>
      <c r="D318" t="inlineStr">
        <is>
          <t>VÄSTMANLANDS LÄN</t>
        </is>
      </c>
      <c r="E318" t="inlineStr">
        <is>
          <t>SALA</t>
        </is>
      </c>
      <c r="F318" t="inlineStr">
        <is>
          <t>Bergvik skog öst AB</t>
        </is>
      </c>
      <c r="G318" t="n">
        <v>2.6</v>
      </c>
      <c r="H318" t="n">
        <v>0</v>
      </c>
      <c r="I318" t="n">
        <v>0</v>
      </c>
      <c r="J318" t="n">
        <v>0</v>
      </c>
      <c r="K318" t="n">
        <v>0</v>
      </c>
      <c r="L318" t="n">
        <v>0</v>
      </c>
      <c r="M318" t="n">
        <v>0</v>
      </c>
      <c r="N318" t="n">
        <v>0</v>
      </c>
      <c r="O318" t="n">
        <v>0</v>
      </c>
      <c r="P318" t="n">
        <v>0</v>
      </c>
      <c r="Q318" t="n">
        <v>0</v>
      </c>
      <c r="R318" s="2" t="inlineStr"/>
    </row>
    <row r="319" ht="15" customHeight="1">
      <c r="A319" t="inlineStr">
        <is>
          <t>A 24463-2025</t>
        </is>
      </c>
      <c r="B319" s="1" t="n">
        <v>45798</v>
      </c>
      <c r="C319" s="1" t="n">
        <v>45912</v>
      </c>
      <c r="D319" t="inlineStr">
        <is>
          <t>VÄSTMANLANDS LÄN</t>
        </is>
      </c>
      <c r="E319" t="inlineStr">
        <is>
          <t>SALA</t>
        </is>
      </c>
      <c r="F319" t="inlineStr">
        <is>
          <t>Bergvik skog öst AB</t>
        </is>
      </c>
      <c r="G319" t="n">
        <v>1.5</v>
      </c>
      <c r="H319" t="n">
        <v>0</v>
      </c>
      <c r="I319" t="n">
        <v>0</v>
      </c>
      <c r="J319" t="n">
        <v>0</v>
      </c>
      <c r="K319" t="n">
        <v>0</v>
      </c>
      <c r="L319" t="n">
        <v>0</v>
      </c>
      <c r="M319" t="n">
        <v>0</v>
      </c>
      <c r="N319" t="n">
        <v>0</v>
      </c>
      <c r="O319" t="n">
        <v>0</v>
      </c>
      <c r="P319" t="n">
        <v>0</v>
      </c>
      <c r="Q319" t="n">
        <v>0</v>
      </c>
      <c r="R319" s="2" t="inlineStr"/>
    </row>
    <row r="320" ht="15" customHeight="1">
      <c r="A320" t="inlineStr">
        <is>
          <t>A 19243-2025</t>
        </is>
      </c>
      <c r="B320" s="1" t="n">
        <v>45769</v>
      </c>
      <c r="C320" s="1" t="n">
        <v>45912</v>
      </c>
      <c r="D320" t="inlineStr">
        <is>
          <t>VÄSTMANLANDS LÄN</t>
        </is>
      </c>
      <c r="E320" t="inlineStr">
        <is>
          <t>SALA</t>
        </is>
      </c>
      <c r="F320" t="inlineStr">
        <is>
          <t>Bergvik skog öst AB</t>
        </is>
      </c>
      <c r="G320" t="n">
        <v>1.5</v>
      </c>
      <c r="H320" t="n">
        <v>0</v>
      </c>
      <c r="I320" t="n">
        <v>0</v>
      </c>
      <c r="J320" t="n">
        <v>0</v>
      </c>
      <c r="K320" t="n">
        <v>0</v>
      </c>
      <c r="L320" t="n">
        <v>0</v>
      </c>
      <c r="M320" t="n">
        <v>0</v>
      </c>
      <c r="N320" t="n">
        <v>0</v>
      </c>
      <c r="O320" t="n">
        <v>0</v>
      </c>
      <c r="P320" t="n">
        <v>0</v>
      </c>
      <c r="Q320" t="n">
        <v>0</v>
      </c>
      <c r="R320" s="2" t="inlineStr"/>
    </row>
    <row r="321" ht="15" customHeight="1">
      <c r="A321" t="inlineStr">
        <is>
          <t>A 26761-2023</t>
        </is>
      </c>
      <c r="B321" s="1" t="n">
        <v>45093</v>
      </c>
      <c r="C321" s="1" t="n">
        <v>45912</v>
      </c>
      <c r="D321" t="inlineStr">
        <is>
          <t>VÄSTMANLANDS LÄN</t>
        </is>
      </c>
      <c r="E321" t="inlineStr">
        <is>
          <t>SALA</t>
        </is>
      </c>
      <c r="G321" t="n">
        <v>4.3</v>
      </c>
      <c r="H321" t="n">
        <v>0</v>
      </c>
      <c r="I321" t="n">
        <v>0</v>
      </c>
      <c r="J321" t="n">
        <v>0</v>
      </c>
      <c r="K321" t="n">
        <v>0</v>
      </c>
      <c r="L321" t="n">
        <v>0</v>
      </c>
      <c r="M321" t="n">
        <v>0</v>
      </c>
      <c r="N321" t="n">
        <v>0</v>
      </c>
      <c r="O321" t="n">
        <v>0</v>
      </c>
      <c r="P321" t="n">
        <v>0</v>
      </c>
      <c r="Q321" t="n">
        <v>0</v>
      </c>
      <c r="R321" s="2" t="inlineStr"/>
    </row>
    <row r="322" ht="15" customHeight="1">
      <c r="A322" t="inlineStr">
        <is>
          <t>A 55035-2023</t>
        </is>
      </c>
      <c r="B322" s="1" t="n">
        <v>45229</v>
      </c>
      <c r="C322" s="1" t="n">
        <v>45912</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60249-2023</t>
        </is>
      </c>
      <c r="B323" s="1" t="n">
        <v>45258</v>
      </c>
      <c r="C323" s="1" t="n">
        <v>45912</v>
      </c>
      <c r="D323" t="inlineStr">
        <is>
          <t>VÄSTMANLANDS LÄN</t>
        </is>
      </c>
      <c r="E323" t="inlineStr">
        <is>
          <t>SALA</t>
        </is>
      </c>
      <c r="G323" t="n">
        <v>2</v>
      </c>
      <c r="H323" t="n">
        <v>0</v>
      </c>
      <c r="I323" t="n">
        <v>0</v>
      </c>
      <c r="J323" t="n">
        <v>0</v>
      </c>
      <c r="K323" t="n">
        <v>0</v>
      </c>
      <c r="L323" t="n">
        <v>0</v>
      </c>
      <c r="M323" t="n">
        <v>0</v>
      </c>
      <c r="N323" t="n">
        <v>0</v>
      </c>
      <c r="O323" t="n">
        <v>0</v>
      </c>
      <c r="P323" t="n">
        <v>0</v>
      </c>
      <c r="Q323" t="n">
        <v>0</v>
      </c>
      <c r="R323" s="2" t="inlineStr"/>
    </row>
    <row r="324" ht="15" customHeight="1">
      <c r="A324" t="inlineStr">
        <is>
          <t>A 55065-2024</t>
        </is>
      </c>
      <c r="B324" s="1" t="n">
        <v>45618</v>
      </c>
      <c r="C324" s="1" t="n">
        <v>45912</v>
      </c>
      <c r="D324" t="inlineStr">
        <is>
          <t>VÄSTMANLANDS LÄN</t>
        </is>
      </c>
      <c r="E324" t="inlineStr">
        <is>
          <t>SALA</t>
        </is>
      </c>
      <c r="G324" t="n">
        <v>3.5</v>
      </c>
      <c r="H324" t="n">
        <v>0</v>
      </c>
      <c r="I324" t="n">
        <v>0</v>
      </c>
      <c r="J324" t="n">
        <v>0</v>
      </c>
      <c r="K324" t="n">
        <v>0</v>
      </c>
      <c r="L324" t="n">
        <v>0</v>
      </c>
      <c r="M324" t="n">
        <v>0</v>
      </c>
      <c r="N324" t="n">
        <v>0</v>
      </c>
      <c r="O324" t="n">
        <v>0</v>
      </c>
      <c r="P324" t="n">
        <v>0</v>
      </c>
      <c r="Q324" t="n">
        <v>0</v>
      </c>
      <c r="R324" s="2" t="inlineStr"/>
    </row>
    <row r="325" ht="15" customHeight="1">
      <c r="A325" t="inlineStr">
        <is>
          <t>A 24907-2025</t>
        </is>
      </c>
      <c r="B325" s="1" t="n">
        <v>45799</v>
      </c>
      <c r="C325" s="1" t="n">
        <v>45912</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24910-2025</t>
        </is>
      </c>
      <c r="B326" s="1" t="n">
        <v>45799.53775462963</v>
      </c>
      <c r="C326" s="1" t="n">
        <v>45912</v>
      </c>
      <c r="D326" t="inlineStr">
        <is>
          <t>VÄSTMANLANDS LÄN</t>
        </is>
      </c>
      <c r="E326" t="inlineStr">
        <is>
          <t>SALA</t>
        </is>
      </c>
      <c r="G326" t="n">
        <v>3.5</v>
      </c>
      <c r="H326" t="n">
        <v>0</v>
      </c>
      <c r="I326" t="n">
        <v>0</v>
      </c>
      <c r="J326" t="n">
        <v>0</v>
      </c>
      <c r="K326" t="n">
        <v>0</v>
      </c>
      <c r="L326" t="n">
        <v>0</v>
      </c>
      <c r="M326" t="n">
        <v>0</v>
      </c>
      <c r="N326" t="n">
        <v>0</v>
      </c>
      <c r="O326" t="n">
        <v>0</v>
      </c>
      <c r="P326" t="n">
        <v>0</v>
      </c>
      <c r="Q326" t="n">
        <v>0</v>
      </c>
      <c r="R326" s="2" t="inlineStr"/>
    </row>
    <row r="327" ht="15" customHeight="1">
      <c r="A327" t="inlineStr">
        <is>
          <t>A 25868-2024</t>
        </is>
      </c>
      <c r="B327" s="1" t="n">
        <v>45467.47506944444</v>
      </c>
      <c r="C327" s="1" t="n">
        <v>45912</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7166-2025</t>
        </is>
      </c>
      <c r="B328" s="1" t="n">
        <v>45702</v>
      </c>
      <c r="C328" s="1" t="n">
        <v>45912</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36393-2023</t>
        </is>
      </c>
      <c r="B329" s="1" t="n">
        <v>45152</v>
      </c>
      <c r="C329" s="1" t="n">
        <v>45912</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26416-2023</t>
        </is>
      </c>
      <c r="B330" s="1" t="n">
        <v>45092.38087962963</v>
      </c>
      <c r="C330" s="1" t="n">
        <v>45912</v>
      </c>
      <c r="D330" t="inlineStr">
        <is>
          <t>VÄSTMANLANDS LÄN</t>
        </is>
      </c>
      <c r="E330" t="inlineStr">
        <is>
          <t>SALA</t>
        </is>
      </c>
      <c r="G330" t="n">
        <v>2.9</v>
      </c>
      <c r="H330" t="n">
        <v>0</v>
      </c>
      <c r="I330" t="n">
        <v>0</v>
      </c>
      <c r="J330" t="n">
        <v>0</v>
      </c>
      <c r="K330" t="n">
        <v>0</v>
      </c>
      <c r="L330" t="n">
        <v>0</v>
      </c>
      <c r="M330" t="n">
        <v>0</v>
      </c>
      <c r="N330" t="n">
        <v>0</v>
      </c>
      <c r="O330" t="n">
        <v>0</v>
      </c>
      <c r="P330" t="n">
        <v>0</v>
      </c>
      <c r="Q330" t="n">
        <v>0</v>
      </c>
      <c r="R330" s="2" t="inlineStr"/>
    </row>
    <row r="331" ht="15" customHeight="1">
      <c r="A331" t="inlineStr">
        <is>
          <t>A 31597-2024</t>
        </is>
      </c>
      <c r="B331" s="1" t="n">
        <v>45506</v>
      </c>
      <c r="C331" s="1" t="n">
        <v>45912</v>
      </c>
      <c r="D331" t="inlineStr">
        <is>
          <t>VÄSTMANLANDS LÄN</t>
        </is>
      </c>
      <c r="E331" t="inlineStr">
        <is>
          <t>SALA</t>
        </is>
      </c>
      <c r="G331" t="n">
        <v>2.4</v>
      </c>
      <c r="H331" t="n">
        <v>0</v>
      </c>
      <c r="I331" t="n">
        <v>0</v>
      </c>
      <c r="J331" t="n">
        <v>0</v>
      </c>
      <c r="K331" t="n">
        <v>0</v>
      </c>
      <c r="L331" t="n">
        <v>0</v>
      </c>
      <c r="M331" t="n">
        <v>0</v>
      </c>
      <c r="N331" t="n">
        <v>0</v>
      </c>
      <c r="O331" t="n">
        <v>0</v>
      </c>
      <c r="P331" t="n">
        <v>0</v>
      </c>
      <c r="Q331" t="n">
        <v>0</v>
      </c>
      <c r="R331" s="2" t="inlineStr"/>
    </row>
    <row r="332" ht="15" customHeight="1">
      <c r="A332" t="inlineStr">
        <is>
          <t>A 31599-2024</t>
        </is>
      </c>
      <c r="B332" s="1" t="n">
        <v>45506</v>
      </c>
      <c r="C332" s="1" t="n">
        <v>45912</v>
      </c>
      <c r="D332" t="inlineStr">
        <is>
          <t>VÄSTMANLANDS LÄN</t>
        </is>
      </c>
      <c r="E332" t="inlineStr">
        <is>
          <t>SALA</t>
        </is>
      </c>
      <c r="G332" t="n">
        <v>0.9</v>
      </c>
      <c r="H332" t="n">
        <v>0</v>
      </c>
      <c r="I332" t="n">
        <v>0</v>
      </c>
      <c r="J332" t="n">
        <v>0</v>
      </c>
      <c r="K332" t="n">
        <v>0</v>
      </c>
      <c r="L332" t="n">
        <v>0</v>
      </c>
      <c r="M332" t="n">
        <v>0</v>
      </c>
      <c r="N332" t="n">
        <v>0</v>
      </c>
      <c r="O332" t="n">
        <v>0</v>
      </c>
      <c r="P332" t="n">
        <v>0</v>
      </c>
      <c r="Q332" t="n">
        <v>0</v>
      </c>
      <c r="R332" s="2" t="inlineStr"/>
    </row>
    <row r="333" ht="15" customHeight="1">
      <c r="A333" t="inlineStr">
        <is>
          <t>A 31601-2024</t>
        </is>
      </c>
      <c r="B333" s="1" t="n">
        <v>45506</v>
      </c>
      <c r="C333" s="1" t="n">
        <v>45912</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31608-2024</t>
        </is>
      </c>
      <c r="B334" s="1" t="n">
        <v>45506</v>
      </c>
      <c r="C334" s="1" t="n">
        <v>45912</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31612-2024</t>
        </is>
      </c>
      <c r="B335" s="1" t="n">
        <v>45506</v>
      </c>
      <c r="C335" s="1" t="n">
        <v>45912</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52500-2024</t>
        </is>
      </c>
      <c r="B336" s="1" t="n">
        <v>45609</v>
      </c>
      <c r="C336" s="1" t="n">
        <v>45912</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66821-2020</t>
        </is>
      </c>
      <c r="B337" s="1" t="n">
        <v>44179.88008101852</v>
      </c>
      <c r="C337" s="1" t="n">
        <v>45912</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28661-2024</t>
        </is>
      </c>
      <c r="B338" s="1" t="n">
        <v>45478</v>
      </c>
      <c r="C338" s="1" t="n">
        <v>45912</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27255-2023</t>
        </is>
      </c>
      <c r="B339" s="1" t="n">
        <v>45096</v>
      </c>
      <c r="C339" s="1" t="n">
        <v>45912</v>
      </c>
      <c r="D339" t="inlineStr">
        <is>
          <t>VÄSTMANLANDS LÄN</t>
        </is>
      </c>
      <c r="E339" t="inlineStr">
        <is>
          <t>SALA</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56949-2023</t>
        </is>
      </c>
      <c r="B340" s="1" t="n">
        <v>45244.61589120371</v>
      </c>
      <c r="C340" s="1" t="n">
        <v>45912</v>
      </c>
      <c r="D340" t="inlineStr">
        <is>
          <t>VÄSTMANLANDS LÄN</t>
        </is>
      </c>
      <c r="E340" t="inlineStr">
        <is>
          <t>SALA</t>
        </is>
      </c>
      <c r="G340" t="n">
        <v>4.7</v>
      </c>
      <c r="H340" t="n">
        <v>0</v>
      </c>
      <c r="I340" t="n">
        <v>0</v>
      </c>
      <c r="J340" t="n">
        <v>0</v>
      </c>
      <c r="K340" t="n">
        <v>0</v>
      </c>
      <c r="L340" t="n">
        <v>0</v>
      </c>
      <c r="M340" t="n">
        <v>0</v>
      </c>
      <c r="N340" t="n">
        <v>0</v>
      </c>
      <c r="O340" t="n">
        <v>0</v>
      </c>
      <c r="P340" t="n">
        <v>0</v>
      </c>
      <c r="Q340" t="n">
        <v>0</v>
      </c>
      <c r="R340" s="2" t="inlineStr"/>
    </row>
    <row r="341" ht="15" customHeight="1">
      <c r="A341" t="inlineStr">
        <is>
          <t>A 53164-2024</t>
        </is>
      </c>
      <c r="B341" s="1" t="n">
        <v>45611.64887731482</v>
      </c>
      <c r="C341" s="1" t="n">
        <v>45912</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10909-2024</t>
        </is>
      </c>
      <c r="B342" s="1" t="n">
        <v>45370</v>
      </c>
      <c r="C342" s="1" t="n">
        <v>45912</v>
      </c>
      <c r="D342" t="inlineStr">
        <is>
          <t>VÄSTMANLANDS LÄN</t>
        </is>
      </c>
      <c r="E342" t="inlineStr">
        <is>
          <t>SALA</t>
        </is>
      </c>
      <c r="G342" t="n">
        <v>3.3</v>
      </c>
      <c r="H342" t="n">
        <v>0</v>
      </c>
      <c r="I342" t="n">
        <v>0</v>
      </c>
      <c r="J342" t="n">
        <v>0</v>
      </c>
      <c r="K342" t="n">
        <v>0</v>
      </c>
      <c r="L342" t="n">
        <v>0</v>
      </c>
      <c r="M342" t="n">
        <v>0</v>
      </c>
      <c r="N342" t="n">
        <v>0</v>
      </c>
      <c r="O342" t="n">
        <v>0</v>
      </c>
      <c r="P342" t="n">
        <v>0</v>
      </c>
      <c r="Q342" t="n">
        <v>0</v>
      </c>
      <c r="R342" s="2" t="inlineStr"/>
    </row>
    <row r="343" ht="15" customHeight="1">
      <c r="A343" t="inlineStr">
        <is>
          <t>A 96-2024</t>
        </is>
      </c>
      <c r="B343" s="1" t="n">
        <v>45293.85872685185</v>
      </c>
      <c r="C343" s="1" t="n">
        <v>45912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54118-2023</t>
        </is>
      </c>
      <c r="B344" s="1" t="n">
        <v>45232</v>
      </c>
      <c r="C344" s="1" t="n">
        <v>45912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7197-2025</t>
        </is>
      </c>
      <c r="B345" s="1" t="n">
        <v>45702</v>
      </c>
      <c r="C345" s="1" t="n">
        <v>45912</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12921-2025</t>
        </is>
      </c>
      <c r="B346" s="1" t="n">
        <v>45734.28016203704</v>
      </c>
      <c r="C346" s="1" t="n">
        <v>45912</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17722-2025</t>
        </is>
      </c>
      <c r="B347" s="1" t="n">
        <v>45758</v>
      </c>
      <c r="C347" s="1" t="n">
        <v>45912</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34814-2021</t>
        </is>
      </c>
      <c r="B348" s="1" t="n">
        <v>44383</v>
      </c>
      <c r="C348" s="1" t="n">
        <v>45912</v>
      </c>
      <c r="D348" t="inlineStr">
        <is>
          <t>VÄSTMANLANDS LÄN</t>
        </is>
      </c>
      <c r="E348" t="inlineStr">
        <is>
          <t>SALA</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25748-2022</t>
        </is>
      </c>
      <c r="B349" s="1" t="n">
        <v>44732</v>
      </c>
      <c r="C349" s="1" t="n">
        <v>45912</v>
      </c>
      <c r="D349" t="inlineStr">
        <is>
          <t>VÄSTMANLANDS LÄN</t>
        </is>
      </c>
      <c r="E349" t="inlineStr">
        <is>
          <t>SALA</t>
        </is>
      </c>
      <c r="G349" t="n">
        <v>7.7</v>
      </c>
      <c r="H349" t="n">
        <v>0</v>
      </c>
      <c r="I349" t="n">
        <v>0</v>
      </c>
      <c r="J349" t="n">
        <v>0</v>
      </c>
      <c r="K349" t="n">
        <v>0</v>
      </c>
      <c r="L349" t="n">
        <v>0</v>
      </c>
      <c r="M349" t="n">
        <v>0</v>
      </c>
      <c r="N349" t="n">
        <v>0</v>
      </c>
      <c r="O349" t="n">
        <v>0</v>
      </c>
      <c r="P349" t="n">
        <v>0</v>
      </c>
      <c r="Q349" t="n">
        <v>0</v>
      </c>
      <c r="R349" s="2" t="inlineStr"/>
    </row>
    <row r="350" ht="15" customHeight="1">
      <c r="A350" t="inlineStr">
        <is>
          <t>A 13752-2025</t>
        </is>
      </c>
      <c r="B350" s="1" t="n">
        <v>45737.41416666667</v>
      </c>
      <c r="C350" s="1" t="n">
        <v>45912</v>
      </c>
      <c r="D350" t="inlineStr">
        <is>
          <t>VÄSTMANLANDS LÄN</t>
        </is>
      </c>
      <c r="E350" t="inlineStr">
        <is>
          <t>SALA</t>
        </is>
      </c>
      <c r="G350" t="n">
        <v>0.4</v>
      </c>
      <c r="H350" t="n">
        <v>0</v>
      </c>
      <c r="I350" t="n">
        <v>0</v>
      </c>
      <c r="J350" t="n">
        <v>0</v>
      </c>
      <c r="K350" t="n">
        <v>0</v>
      </c>
      <c r="L350" t="n">
        <v>0</v>
      </c>
      <c r="M350" t="n">
        <v>0</v>
      </c>
      <c r="N350" t="n">
        <v>0</v>
      </c>
      <c r="O350" t="n">
        <v>0</v>
      </c>
      <c r="P350" t="n">
        <v>0</v>
      </c>
      <c r="Q350" t="n">
        <v>0</v>
      </c>
      <c r="R350" s="2" t="inlineStr"/>
    </row>
    <row r="351" ht="15" customHeight="1">
      <c r="A351" t="inlineStr">
        <is>
          <t>A 21968-2024</t>
        </is>
      </c>
      <c r="B351" s="1" t="n">
        <v>45443</v>
      </c>
      <c r="C351" s="1" t="n">
        <v>45912</v>
      </c>
      <c r="D351" t="inlineStr">
        <is>
          <t>VÄSTMANLANDS LÄN</t>
        </is>
      </c>
      <c r="E351" t="inlineStr">
        <is>
          <t>SALA</t>
        </is>
      </c>
      <c r="G351" t="n">
        <v>1.9</v>
      </c>
      <c r="H351" t="n">
        <v>0</v>
      </c>
      <c r="I351" t="n">
        <v>0</v>
      </c>
      <c r="J351" t="n">
        <v>0</v>
      </c>
      <c r="K351" t="n">
        <v>0</v>
      </c>
      <c r="L351" t="n">
        <v>0</v>
      </c>
      <c r="M351" t="n">
        <v>0</v>
      </c>
      <c r="N351" t="n">
        <v>0</v>
      </c>
      <c r="O351" t="n">
        <v>0</v>
      </c>
      <c r="P351" t="n">
        <v>0</v>
      </c>
      <c r="Q351" t="n">
        <v>0</v>
      </c>
      <c r="R351" s="2" t="inlineStr"/>
    </row>
    <row r="352" ht="15" customHeight="1">
      <c r="A352" t="inlineStr">
        <is>
          <t>A 3733-2023</t>
        </is>
      </c>
      <c r="B352" s="1" t="n">
        <v>44951.42501157407</v>
      </c>
      <c r="C352" s="1" t="n">
        <v>45912</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6136-2025</t>
        </is>
      </c>
      <c r="B353" s="1" t="n">
        <v>45698.37601851852</v>
      </c>
      <c r="C353" s="1" t="n">
        <v>45912</v>
      </c>
      <c r="D353" t="inlineStr">
        <is>
          <t>VÄSTMANLANDS LÄN</t>
        </is>
      </c>
      <c r="E353" t="inlineStr">
        <is>
          <t>SALA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6190-2025</t>
        </is>
      </c>
      <c r="B354" s="1" t="n">
        <v>45698</v>
      </c>
      <c r="C354" s="1" t="n">
        <v>45912</v>
      </c>
      <c r="D354" t="inlineStr">
        <is>
          <t>VÄSTMANLANDS LÄN</t>
        </is>
      </c>
      <c r="E354" t="inlineStr">
        <is>
          <t>SALA</t>
        </is>
      </c>
      <c r="F354" t="inlineStr">
        <is>
          <t>Bergvik skog öst AB</t>
        </is>
      </c>
      <c r="G354" t="n">
        <v>4.6</v>
      </c>
      <c r="H354" t="n">
        <v>0</v>
      </c>
      <c r="I354" t="n">
        <v>0</v>
      </c>
      <c r="J354" t="n">
        <v>0</v>
      </c>
      <c r="K354" t="n">
        <v>0</v>
      </c>
      <c r="L354" t="n">
        <v>0</v>
      </c>
      <c r="M354" t="n">
        <v>0</v>
      </c>
      <c r="N354" t="n">
        <v>0</v>
      </c>
      <c r="O354" t="n">
        <v>0</v>
      </c>
      <c r="P354" t="n">
        <v>0</v>
      </c>
      <c r="Q354" t="n">
        <v>0</v>
      </c>
      <c r="R354" s="2" t="inlineStr"/>
    </row>
    <row r="355" ht="15" customHeight="1">
      <c r="A355" t="inlineStr">
        <is>
          <t>A 2927-2024</t>
        </is>
      </c>
      <c r="B355" s="1" t="n">
        <v>45315.58989583333</v>
      </c>
      <c r="C355" s="1" t="n">
        <v>45912</v>
      </c>
      <c r="D355" t="inlineStr">
        <is>
          <t>VÄSTMANLANDS LÄN</t>
        </is>
      </c>
      <c r="E355" t="inlineStr">
        <is>
          <t>SALA</t>
        </is>
      </c>
      <c r="G355" t="n">
        <v>2.5</v>
      </c>
      <c r="H355" t="n">
        <v>0</v>
      </c>
      <c r="I355" t="n">
        <v>0</v>
      </c>
      <c r="J355" t="n">
        <v>0</v>
      </c>
      <c r="K355" t="n">
        <v>0</v>
      </c>
      <c r="L355" t="n">
        <v>0</v>
      </c>
      <c r="M355" t="n">
        <v>0</v>
      </c>
      <c r="N355" t="n">
        <v>0</v>
      </c>
      <c r="O355" t="n">
        <v>0</v>
      </c>
      <c r="P355" t="n">
        <v>0</v>
      </c>
      <c r="Q355" t="n">
        <v>0</v>
      </c>
      <c r="R355" s="2" t="inlineStr"/>
    </row>
    <row r="356" ht="15" customHeight="1">
      <c r="A356" t="inlineStr">
        <is>
          <t>A 16760-2024</t>
        </is>
      </c>
      <c r="B356" s="1" t="n">
        <v>45411</v>
      </c>
      <c r="C356" s="1" t="n">
        <v>45912</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26854-2024</t>
        </is>
      </c>
      <c r="B357" s="1" t="n">
        <v>45470</v>
      </c>
      <c r="C357" s="1" t="n">
        <v>45912</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6154-2025</t>
        </is>
      </c>
      <c r="B358" s="1" t="n">
        <v>45698.40719907408</v>
      </c>
      <c r="C358" s="1" t="n">
        <v>45912</v>
      </c>
      <c r="D358" t="inlineStr">
        <is>
          <t>VÄSTMANLANDS LÄN</t>
        </is>
      </c>
      <c r="E358" t="inlineStr">
        <is>
          <t>SALA</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26661-2025</t>
        </is>
      </c>
      <c r="B359" s="1" t="n">
        <v>45810</v>
      </c>
      <c r="C359" s="1" t="n">
        <v>45912</v>
      </c>
      <c r="D359" t="inlineStr">
        <is>
          <t>VÄSTMANLANDS LÄN</t>
        </is>
      </c>
      <c r="E359" t="inlineStr">
        <is>
          <t>SALA</t>
        </is>
      </c>
      <c r="G359" t="n">
        <v>3.5</v>
      </c>
      <c r="H359" t="n">
        <v>0</v>
      </c>
      <c r="I359" t="n">
        <v>0</v>
      </c>
      <c r="J359" t="n">
        <v>0</v>
      </c>
      <c r="K359" t="n">
        <v>0</v>
      </c>
      <c r="L359" t="n">
        <v>0</v>
      </c>
      <c r="M359" t="n">
        <v>0</v>
      </c>
      <c r="N359" t="n">
        <v>0</v>
      </c>
      <c r="O359" t="n">
        <v>0</v>
      </c>
      <c r="P359" t="n">
        <v>0</v>
      </c>
      <c r="Q359" t="n">
        <v>0</v>
      </c>
      <c r="R359" s="2" t="inlineStr"/>
    </row>
    <row r="360" ht="15" customHeight="1">
      <c r="A360" t="inlineStr">
        <is>
          <t>A 48570-2024</t>
        </is>
      </c>
      <c r="B360" s="1" t="n">
        <v>45591</v>
      </c>
      <c r="C360" s="1" t="n">
        <v>45912</v>
      </c>
      <c r="D360" t="inlineStr">
        <is>
          <t>VÄSTMANLANDS LÄN</t>
        </is>
      </c>
      <c r="E360" t="inlineStr">
        <is>
          <t>SALA</t>
        </is>
      </c>
      <c r="G360" t="n">
        <v>3</v>
      </c>
      <c r="H360" t="n">
        <v>0</v>
      </c>
      <c r="I360" t="n">
        <v>0</v>
      </c>
      <c r="J360" t="n">
        <v>0</v>
      </c>
      <c r="K360" t="n">
        <v>0</v>
      </c>
      <c r="L360" t="n">
        <v>0</v>
      </c>
      <c r="M360" t="n">
        <v>0</v>
      </c>
      <c r="N360" t="n">
        <v>0</v>
      </c>
      <c r="O360" t="n">
        <v>0</v>
      </c>
      <c r="P360" t="n">
        <v>0</v>
      </c>
      <c r="Q360" t="n">
        <v>0</v>
      </c>
      <c r="R360" s="2" t="inlineStr"/>
    </row>
    <row r="361" ht="15" customHeight="1">
      <c r="A361" t="inlineStr">
        <is>
          <t>A 6127-2025</t>
        </is>
      </c>
      <c r="B361" s="1" t="n">
        <v>45698</v>
      </c>
      <c r="C361" s="1" t="n">
        <v>45912</v>
      </c>
      <c r="D361" t="inlineStr">
        <is>
          <t>VÄSTMANLANDS LÄN</t>
        </is>
      </c>
      <c r="E361" t="inlineStr">
        <is>
          <t>SALA</t>
        </is>
      </c>
      <c r="F361" t="inlineStr">
        <is>
          <t>Bergvik skog öst AB</t>
        </is>
      </c>
      <c r="G361" t="n">
        <v>4.3</v>
      </c>
      <c r="H361" t="n">
        <v>0</v>
      </c>
      <c r="I361" t="n">
        <v>0</v>
      </c>
      <c r="J361" t="n">
        <v>0</v>
      </c>
      <c r="K361" t="n">
        <v>0</v>
      </c>
      <c r="L361" t="n">
        <v>0</v>
      </c>
      <c r="M361" t="n">
        <v>0</v>
      </c>
      <c r="N361" t="n">
        <v>0</v>
      </c>
      <c r="O361" t="n">
        <v>0</v>
      </c>
      <c r="P361" t="n">
        <v>0</v>
      </c>
      <c r="Q361" t="n">
        <v>0</v>
      </c>
      <c r="R361" s="2" t="inlineStr"/>
    </row>
    <row r="362" ht="15" customHeight="1">
      <c r="A362" t="inlineStr">
        <is>
          <t>A 10812-2021</t>
        </is>
      </c>
      <c r="B362" s="1" t="n">
        <v>44259</v>
      </c>
      <c r="C362" s="1" t="n">
        <v>45912</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57883-2024</t>
        </is>
      </c>
      <c r="B363" s="1" t="n">
        <v>45630</v>
      </c>
      <c r="C363" s="1" t="n">
        <v>45912</v>
      </c>
      <c r="D363" t="inlineStr">
        <is>
          <t>VÄSTMANLANDS LÄN</t>
        </is>
      </c>
      <c r="E363" t="inlineStr">
        <is>
          <t>SALA</t>
        </is>
      </c>
      <c r="G363" t="n">
        <v>5.4</v>
      </c>
      <c r="H363" t="n">
        <v>0</v>
      </c>
      <c r="I363" t="n">
        <v>0</v>
      </c>
      <c r="J363" t="n">
        <v>0</v>
      </c>
      <c r="K363" t="n">
        <v>0</v>
      </c>
      <c r="L363" t="n">
        <v>0</v>
      </c>
      <c r="M363" t="n">
        <v>0</v>
      </c>
      <c r="N363" t="n">
        <v>0</v>
      </c>
      <c r="O363" t="n">
        <v>0</v>
      </c>
      <c r="P363" t="n">
        <v>0</v>
      </c>
      <c r="Q363" t="n">
        <v>0</v>
      </c>
      <c r="R363" s="2" t="inlineStr"/>
    </row>
    <row r="364" ht="15" customHeight="1">
      <c r="A364" t="inlineStr">
        <is>
          <t>A 988-2025</t>
        </is>
      </c>
      <c r="B364" s="1" t="n">
        <v>45666.44038194444</v>
      </c>
      <c r="C364" s="1" t="n">
        <v>45912</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60328-2024</t>
        </is>
      </c>
      <c r="B365" s="1" t="n">
        <v>45643.38416666666</v>
      </c>
      <c r="C365" s="1" t="n">
        <v>45912</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35016-2024</t>
        </is>
      </c>
      <c r="B366" s="1" t="n">
        <v>45527.59115740741</v>
      </c>
      <c r="C366" s="1" t="n">
        <v>45912</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16769-2024</t>
        </is>
      </c>
      <c r="B367" s="1" t="n">
        <v>45411.38738425926</v>
      </c>
      <c r="C367" s="1" t="n">
        <v>45912</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18877-2023</t>
        </is>
      </c>
      <c r="B368" s="1" t="n">
        <v>45044</v>
      </c>
      <c r="C368" s="1" t="n">
        <v>45912</v>
      </c>
      <c r="D368" t="inlineStr">
        <is>
          <t>VÄSTMANLANDS LÄN</t>
        </is>
      </c>
      <c r="E368" t="inlineStr">
        <is>
          <t>SALA</t>
        </is>
      </c>
      <c r="F368" t="inlineStr">
        <is>
          <t>Kommuner</t>
        </is>
      </c>
      <c r="G368" t="n">
        <v>4.4</v>
      </c>
      <c r="H368" t="n">
        <v>0</v>
      </c>
      <c r="I368" t="n">
        <v>0</v>
      </c>
      <c r="J368" t="n">
        <v>0</v>
      </c>
      <c r="K368" t="n">
        <v>0</v>
      </c>
      <c r="L368" t="n">
        <v>0</v>
      </c>
      <c r="M368" t="n">
        <v>0</v>
      </c>
      <c r="N368" t="n">
        <v>0</v>
      </c>
      <c r="O368" t="n">
        <v>0</v>
      </c>
      <c r="P368" t="n">
        <v>0</v>
      </c>
      <c r="Q368" t="n">
        <v>0</v>
      </c>
      <c r="R368" s="2" t="inlineStr"/>
    </row>
    <row r="369" ht="15" customHeight="1">
      <c r="A369" t="inlineStr">
        <is>
          <t>A 25897-2024</t>
        </is>
      </c>
      <c r="B369" s="1" t="n">
        <v>45467.54435185185</v>
      </c>
      <c r="C369" s="1" t="n">
        <v>45912</v>
      </c>
      <c r="D369" t="inlineStr">
        <is>
          <t>VÄSTMANLANDS LÄN</t>
        </is>
      </c>
      <c r="E369" t="inlineStr">
        <is>
          <t>SALA</t>
        </is>
      </c>
      <c r="G369" t="n">
        <v>9.9</v>
      </c>
      <c r="H369" t="n">
        <v>0</v>
      </c>
      <c r="I369" t="n">
        <v>0</v>
      </c>
      <c r="J369" t="n">
        <v>0</v>
      </c>
      <c r="K369" t="n">
        <v>0</v>
      </c>
      <c r="L369" t="n">
        <v>0</v>
      </c>
      <c r="M369" t="n">
        <v>0</v>
      </c>
      <c r="N369" t="n">
        <v>0</v>
      </c>
      <c r="O369" t="n">
        <v>0</v>
      </c>
      <c r="P369" t="n">
        <v>0</v>
      </c>
      <c r="Q369" t="n">
        <v>0</v>
      </c>
      <c r="R369" s="2" t="inlineStr"/>
    </row>
    <row r="370" ht="15" customHeight="1">
      <c r="A370" t="inlineStr">
        <is>
          <t>A 31072-2021</t>
        </is>
      </c>
      <c r="B370" s="1" t="n">
        <v>44368</v>
      </c>
      <c r="C370" s="1" t="n">
        <v>45912</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44544-2024</t>
        </is>
      </c>
      <c r="B371" s="1" t="n">
        <v>45574.46119212963</v>
      </c>
      <c r="C371" s="1" t="n">
        <v>45912</v>
      </c>
      <c r="D371" t="inlineStr">
        <is>
          <t>VÄSTMANLANDS LÄN</t>
        </is>
      </c>
      <c r="E371" t="inlineStr">
        <is>
          <t>SALA</t>
        </is>
      </c>
      <c r="G371" t="n">
        <v>3.3</v>
      </c>
      <c r="H371" t="n">
        <v>0</v>
      </c>
      <c r="I371" t="n">
        <v>0</v>
      </c>
      <c r="J371" t="n">
        <v>0</v>
      </c>
      <c r="K371" t="n">
        <v>0</v>
      </c>
      <c r="L371" t="n">
        <v>0</v>
      </c>
      <c r="M371" t="n">
        <v>0</v>
      </c>
      <c r="N371" t="n">
        <v>0</v>
      </c>
      <c r="O371" t="n">
        <v>0</v>
      </c>
      <c r="P371" t="n">
        <v>0</v>
      </c>
      <c r="Q371" t="n">
        <v>0</v>
      </c>
      <c r="R371" s="2" t="inlineStr"/>
    </row>
    <row r="372" ht="15" customHeight="1">
      <c r="A372" t="inlineStr">
        <is>
          <t>A 60379-2022</t>
        </is>
      </c>
      <c r="B372" s="1" t="n">
        <v>44910</v>
      </c>
      <c r="C372" s="1" t="n">
        <v>45912</v>
      </c>
      <c r="D372" t="inlineStr">
        <is>
          <t>VÄSTMANLANDS LÄN</t>
        </is>
      </c>
      <c r="E372" t="inlineStr">
        <is>
          <t>SALA</t>
        </is>
      </c>
      <c r="F372" t="inlineStr">
        <is>
          <t>Kyrkan</t>
        </is>
      </c>
      <c r="G372" t="n">
        <v>2.5</v>
      </c>
      <c r="H372" t="n">
        <v>0</v>
      </c>
      <c r="I372" t="n">
        <v>0</v>
      </c>
      <c r="J372" t="n">
        <v>0</v>
      </c>
      <c r="K372" t="n">
        <v>0</v>
      </c>
      <c r="L372" t="n">
        <v>0</v>
      </c>
      <c r="M372" t="n">
        <v>0</v>
      </c>
      <c r="N372" t="n">
        <v>0</v>
      </c>
      <c r="O372" t="n">
        <v>0</v>
      </c>
      <c r="P372" t="n">
        <v>0</v>
      </c>
      <c r="Q372" t="n">
        <v>0</v>
      </c>
      <c r="R372" s="2" t="inlineStr"/>
    </row>
    <row r="373" ht="15" customHeight="1">
      <c r="A373" t="inlineStr">
        <is>
          <t>A 56547-2022</t>
        </is>
      </c>
      <c r="B373" s="1" t="n">
        <v>44893.48284722222</v>
      </c>
      <c r="C373" s="1" t="n">
        <v>45912</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29542-2023</t>
        </is>
      </c>
      <c r="B374" s="1" t="n">
        <v>45098</v>
      </c>
      <c r="C374" s="1" t="n">
        <v>45912</v>
      </c>
      <c r="D374" t="inlineStr">
        <is>
          <t>VÄSTMANLANDS LÄN</t>
        </is>
      </c>
      <c r="E374" t="inlineStr">
        <is>
          <t>SALA</t>
        </is>
      </c>
      <c r="G374" t="n">
        <v>4.8</v>
      </c>
      <c r="H374" t="n">
        <v>0</v>
      </c>
      <c r="I374" t="n">
        <v>0</v>
      </c>
      <c r="J374" t="n">
        <v>0</v>
      </c>
      <c r="K374" t="n">
        <v>0</v>
      </c>
      <c r="L374" t="n">
        <v>0</v>
      </c>
      <c r="M374" t="n">
        <v>0</v>
      </c>
      <c r="N374" t="n">
        <v>0</v>
      </c>
      <c r="O374" t="n">
        <v>0</v>
      </c>
      <c r="P374" t="n">
        <v>0</v>
      </c>
      <c r="Q374" t="n">
        <v>0</v>
      </c>
      <c r="R374" s="2" t="inlineStr"/>
    </row>
    <row r="375" ht="15" customHeight="1">
      <c r="A375" t="inlineStr">
        <is>
          <t>A 57371-2022</t>
        </is>
      </c>
      <c r="B375" s="1" t="n">
        <v>44896.43832175926</v>
      </c>
      <c r="C375" s="1" t="n">
        <v>45912</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16638-2023</t>
        </is>
      </c>
      <c r="B376" s="1" t="n">
        <v>45027</v>
      </c>
      <c r="C376" s="1" t="n">
        <v>45912</v>
      </c>
      <c r="D376" t="inlineStr">
        <is>
          <t>VÄSTMANLANDS LÄN</t>
        </is>
      </c>
      <c r="E376" t="inlineStr">
        <is>
          <t>SALA</t>
        </is>
      </c>
      <c r="G376" t="n">
        <v>14.8</v>
      </c>
      <c r="H376" t="n">
        <v>0</v>
      </c>
      <c r="I376" t="n">
        <v>0</v>
      </c>
      <c r="J376" t="n">
        <v>0</v>
      </c>
      <c r="K376" t="n">
        <v>0</v>
      </c>
      <c r="L376" t="n">
        <v>0</v>
      </c>
      <c r="M376" t="n">
        <v>0</v>
      </c>
      <c r="N376" t="n">
        <v>0</v>
      </c>
      <c r="O376" t="n">
        <v>0</v>
      </c>
      <c r="P376" t="n">
        <v>0</v>
      </c>
      <c r="Q376" t="n">
        <v>0</v>
      </c>
      <c r="R376" s="2" t="inlineStr"/>
    </row>
    <row r="377" ht="15" customHeight="1">
      <c r="A377" t="inlineStr">
        <is>
          <t>A 22019-2021</t>
        </is>
      </c>
      <c r="B377" s="1" t="n">
        <v>44323</v>
      </c>
      <c r="C377" s="1" t="n">
        <v>45912</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37190-2024</t>
        </is>
      </c>
      <c r="B378" s="1" t="n">
        <v>45539</v>
      </c>
      <c r="C378" s="1" t="n">
        <v>45912</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55784-2024</t>
        </is>
      </c>
      <c r="B379" s="1" t="n">
        <v>45623</v>
      </c>
      <c r="C379" s="1" t="n">
        <v>45912</v>
      </c>
      <c r="D379" t="inlineStr">
        <is>
          <t>VÄSTMANLANDS LÄN</t>
        </is>
      </c>
      <c r="E379" t="inlineStr">
        <is>
          <t>SALA</t>
        </is>
      </c>
      <c r="F379" t="inlineStr">
        <is>
          <t>Bergvik skog öst AB</t>
        </is>
      </c>
      <c r="G379" t="n">
        <v>28.4</v>
      </c>
      <c r="H379" t="n">
        <v>0</v>
      </c>
      <c r="I379" t="n">
        <v>0</v>
      </c>
      <c r="J379" t="n">
        <v>0</v>
      </c>
      <c r="K379" t="n">
        <v>0</v>
      </c>
      <c r="L379" t="n">
        <v>0</v>
      </c>
      <c r="M379" t="n">
        <v>0</v>
      </c>
      <c r="N379" t="n">
        <v>0</v>
      </c>
      <c r="O379" t="n">
        <v>0</v>
      </c>
      <c r="P379" t="n">
        <v>0</v>
      </c>
      <c r="Q379" t="n">
        <v>0</v>
      </c>
      <c r="R379" s="2" t="inlineStr"/>
    </row>
    <row r="380" ht="15" customHeight="1">
      <c r="A380" t="inlineStr">
        <is>
          <t>A 16651-2021</t>
        </is>
      </c>
      <c r="B380" s="1" t="n">
        <v>44294.50096064815</v>
      </c>
      <c r="C380" s="1" t="n">
        <v>45912</v>
      </c>
      <c r="D380" t="inlineStr">
        <is>
          <t>VÄSTMANLANDS LÄN</t>
        </is>
      </c>
      <c r="E380" t="inlineStr">
        <is>
          <t>SALA</t>
        </is>
      </c>
      <c r="G380" t="n">
        <v>7.7</v>
      </c>
      <c r="H380" t="n">
        <v>0</v>
      </c>
      <c r="I380" t="n">
        <v>0</v>
      </c>
      <c r="J380" t="n">
        <v>0</v>
      </c>
      <c r="K380" t="n">
        <v>0</v>
      </c>
      <c r="L380" t="n">
        <v>0</v>
      </c>
      <c r="M380" t="n">
        <v>0</v>
      </c>
      <c r="N380" t="n">
        <v>0</v>
      </c>
      <c r="O380" t="n">
        <v>0</v>
      </c>
      <c r="P380" t="n">
        <v>0</v>
      </c>
      <c r="Q380" t="n">
        <v>0</v>
      </c>
      <c r="R380" s="2" t="inlineStr"/>
    </row>
    <row r="381" ht="15" customHeight="1">
      <c r="A381" t="inlineStr">
        <is>
          <t>A 23222-2023</t>
        </is>
      </c>
      <c r="B381" s="1" t="n">
        <v>45075</v>
      </c>
      <c r="C381" s="1" t="n">
        <v>45912</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23224-2023</t>
        </is>
      </c>
      <c r="B382" s="1" t="n">
        <v>45075.65040509259</v>
      </c>
      <c r="C382" s="1" t="n">
        <v>45912</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19803-2024</t>
        </is>
      </c>
      <c r="B383" s="1" t="n">
        <v>45432</v>
      </c>
      <c r="C383" s="1" t="n">
        <v>45912</v>
      </c>
      <c r="D383" t="inlineStr">
        <is>
          <t>VÄSTMANLANDS LÄN</t>
        </is>
      </c>
      <c r="E383" t="inlineStr">
        <is>
          <t>SALA</t>
        </is>
      </c>
      <c r="G383" t="n">
        <v>3.1</v>
      </c>
      <c r="H383" t="n">
        <v>0</v>
      </c>
      <c r="I383" t="n">
        <v>0</v>
      </c>
      <c r="J383" t="n">
        <v>0</v>
      </c>
      <c r="K383" t="n">
        <v>0</v>
      </c>
      <c r="L383" t="n">
        <v>0</v>
      </c>
      <c r="M383" t="n">
        <v>0</v>
      </c>
      <c r="N383" t="n">
        <v>0</v>
      </c>
      <c r="O383" t="n">
        <v>0</v>
      </c>
      <c r="P383" t="n">
        <v>0</v>
      </c>
      <c r="Q383" t="n">
        <v>0</v>
      </c>
      <c r="R383" s="2" t="inlineStr"/>
    </row>
    <row r="384" ht="15" customHeight="1">
      <c r="A384" t="inlineStr">
        <is>
          <t>A 27989-2025</t>
        </is>
      </c>
      <c r="B384" s="1" t="n">
        <v>45817.58716435185</v>
      </c>
      <c r="C384" s="1" t="n">
        <v>45912</v>
      </c>
      <c r="D384" t="inlineStr">
        <is>
          <t>VÄSTMANLANDS LÄN</t>
        </is>
      </c>
      <c r="E384" t="inlineStr">
        <is>
          <t>SALA</t>
        </is>
      </c>
      <c r="G384" t="n">
        <v>1.9</v>
      </c>
      <c r="H384" t="n">
        <v>0</v>
      </c>
      <c r="I384" t="n">
        <v>0</v>
      </c>
      <c r="J384" t="n">
        <v>0</v>
      </c>
      <c r="K384" t="n">
        <v>0</v>
      </c>
      <c r="L384" t="n">
        <v>0</v>
      </c>
      <c r="M384" t="n">
        <v>0</v>
      </c>
      <c r="N384" t="n">
        <v>0</v>
      </c>
      <c r="O384" t="n">
        <v>0</v>
      </c>
      <c r="P384" t="n">
        <v>0</v>
      </c>
      <c r="Q384" t="n">
        <v>0</v>
      </c>
      <c r="R384" s="2" t="inlineStr"/>
    </row>
    <row r="385" ht="15" customHeight="1">
      <c r="A385" t="inlineStr">
        <is>
          <t>A 7196-2025</t>
        </is>
      </c>
      <c r="B385" s="1" t="n">
        <v>45702</v>
      </c>
      <c r="C385" s="1" t="n">
        <v>45912</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27981-2025</t>
        </is>
      </c>
      <c r="B386" s="1" t="n">
        <v>45817.57471064815</v>
      </c>
      <c r="C386" s="1" t="n">
        <v>45912</v>
      </c>
      <c r="D386" t="inlineStr">
        <is>
          <t>VÄSTMANLANDS LÄN</t>
        </is>
      </c>
      <c r="E386" t="inlineStr">
        <is>
          <t>SALA</t>
        </is>
      </c>
      <c r="G386" t="n">
        <v>1.7</v>
      </c>
      <c r="H386" t="n">
        <v>0</v>
      </c>
      <c r="I386" t="n">
        <v>0</v>
      </c>
      <c r="J386" t="n">
        <v>0</v>
      </c>
      <c r="K386" t="n">
        <v>0</v>
      </c>
      <c r="L386" t="n">
        <v>0</v>
      </c>
      <c r="M386" t="n">
        <v>0</v>
      </c>
      <c r="N386" t="n">
        <v>0</v>
      </c>
      <c r="O386" t="n">
        <v>0</v>
      </c>
      <c r="P386" t="n">
        <v>0</v>
      </c>
      <c r="Q386" t="n">
        <v>0</v>
      </c>
      <c r="R386" s="2" t="inlineStr"/>
    </row>
    <row r="387" ht="15" customHeight="1">
      <c r="A387" t="inlineStr">
        <is>
          <t>A 40597-2022</t>
        </is>
      </c>
      <c r="B387" s="1" t="n">
        <v>44823.84862268518</v>
      </c>
      <c r="C387" s="1" t="n">
        <v>45912</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22026-2021</t>
        </is>
      </c>
      <c r="B388" s="1" t="n">
        <v>44323</v>
      </c>
      <c r="C388" s="1" t="n">
        <v>45912</v>
      </c>
      <c r="D388" t="inlineStr">
        <is>
          <t>VÄSTMANLANDS LÄN</t>
        </is>
      </c>
      <c r="E388" t="inlineStr">
        <is>
          <t>SALA</t>
        </is>
      </c>
      <c r="G388" t="n">
        <v>2.9</v>
      </c>
      <c r="H388" t="n">
        <v>0</v>
      </c>
      <c r="I388" t="n">
        <v>0</v>
      </c>
      <c r="J388" t="n">
        <v>0</v>
      </c>
      <c r="K388" t="n">
        <v>0</v>
      </c>
      <c r="L388" t="n">
        <v>0</v>
      </c>
      <c r="M388" t="n">
        <v>0</v>
      </c>
      <c r="N388" t="n">
        <v>0</v>
      </c>
      <c r="O388" t="n">
        <v>0</v>
      </c>
      <c r="P388" t="n">
        <v>0</v>
      </c>
      <c r="Q388" t="n">
        <v>0</v>
      </c>
      <c r="R388" s="2" t="inlineStr"/>
    </row>
    <row r="389" ht="15" customHeight="1">
      <c r="A389" t="inlineStr">
        <is>
          <t>A 28193-2025</t>
        </is>
      </c>
      <c r="B389" s="1" t="n">
        <v>45818.425625</v>
      </c>
      <c r="C389" s="1" t="n">
        <v>45912</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28284-2025</t>
        </is>
      </c>
      <c r="B390" s="1" t="n">
        <v>45818.58893518519</v>
      </c>
      <c r="C390" s="1" t="n">
        <v>45912</v>
      </c>
      <c r="D390" t="inlineStr">
        <is>
          <t>VÄSTMANLANDS LÄN</t>
        </is>
      </c>
      <c r="E390" t="inlineStr">
        <is>
          <t>SALA</t>
        </is>
      </c>
      <c r="G390" t="n">
        <v>2.4</v>
      </c>
      <c r="H390" t="n">
        <v>0</v>
      </c>
      <c r="I390" t="n">
        <v>0</v>
      </c>
      <c r="J390" t="n">
        <v>0</v>
      </c>
      <c r="K390" t="n">
        <v>0</v>
      </c>
      <c r="L390" t="n">
        <v>0</v>
      </c>
      <c r="M390" t="n">
        <v>0</v>
      </c>
      <c r="N390" t="n">
        <v>0</v>
      </c>
      <c r="O390" t="n">
        <v>0</v>
      </c>
      <c r="P390" t="n">
        <v>0</v>
      </c>
      <c r="Q390" t="n">
        <v>0</v>
      </c>
      <c r="R390" s="2" t="inlineStr"/>
    </row>
    <row r="391" ht="15" customHeight="1">
      <c r="A391" t="inlineStr">
        <is>
          <t>A 68864-2021</t>
        </is>
      </c>
      <c r="B391" s="1" t="n">
        <v>44530</v>
      </c>
      <c r="C391" s="1" t="n">
        <v>45912</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43359-2024</t>
        </is>
      </c>
      <c r="B392" s="1" t="n">
        <v>45568.57724537037</v>
      </c>
      <c r="C392" s="1" t="n">
        <v>45912</v>
      </c>
      <c r="D392" t="inlineStr">
        <is>
          <t>VÄSTMANLANDS LÄN</t>
        </is>
      </c>
      <c r="E392" t="inlineStr">
        <is>
          <t>SALA</t>
        </is>
      </c>
      <c r="G392" t="n">
        <v>1.6</v>
      </c>
      <c r="H392" t="n">
        <v>0</v>
      </c>
      <c r="I392" t="n">
        <v>0</v>
      </c>
      <c r="J392" t="n">
        <v>0</v>
      </c>
      <c r="K392" t="n">
        <v>0</v>
      </c>
      <c r="L392" t="n">
        <v>0</v>
      </c>
      <c r="M392" t="n">
        <v>0</v>
      </c>
      <c r="N392" t="n">
        <v>0</v>
      </c>
      <c r="O392" t="n">
        <v>0</v>
      </c>
      <c r="P392" t="n">
        <v>0</v>
      </c>
      <c r="Q392" t="n">
        <v>0</v>
      </c>
      <c r="R392" s="2" t="inlineStr"/>
    </row>
    <row r="393" ht="15" customHeight="1">
      <c r="A393" t="inlineStr">
        <is>
          <t>A 19065-2022</t>
        </is>
      </c>
      <c r="B393" s="1" t="n">
        <v>44691.44309027777</v>
      </c>
      <c r="C393" s="1" t="n">
        <v>45912</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28278-2025</t>
        </is>
      </c>
      <c r="B394" s="1" t="n">
        <v>45818.58454861111</v>
      </c>
      <c r="C394" s="1" t="n">
        <v>45912</v>
      </c>
      <c r="D394" t="inlineStr">
        <is>
          <t>VÄSTMANLANDS LÄN</t>
        </is>
      </c>
      <c r="E394" t="inlineStr">
        <is>
          <t>SALA</t>
        </is>
      </c>
      <c r="G394" t="n">
        <v>7.6</v>
      </c>
      <c r="H394" t="n">
        <v>0</v>
      </c>
      <c r="I394" t="n">
        <v>0</v>
      </c>
      <c r="J394" t="n">
        <v>0</v>
      </c>
      <c r="K394" t="n">
        <v>0</v>
      </c>
      <c r="L394" t="n">
        <v>0</v>
      </c>
      <c r="M394" t="n">
        <v>0</v>
      </c>
      <c r="N394" t="n">
        <v>0</v>
      </c>
      <c r="O394" t="n">
        <v>0</v>
      </c>
      <c r="P394" t="n">
        <v>0</v>
      </c>
      <c r="Q394" t="n">
        <v>0</v>
      </c>
      <c r="R394" s="2" t="inlineStr"/>
    </row>
    <row r="395" ht="15" customHeight="1">
      <c r="A395" t="inlineStr">
        <is>
          <t>A 28628-2025</t>
        </is>
      </c>
      <c r="B395" s="1" t="n">
        <v>45819.62158564815</v>
      </c>
      <c r="C395" s="1" t="n">
        <v>45912</v>
      </c>
      <c r="D395" t="inlineStr">
        <is>
          <t>VÄSTMANLANDS LÄN</t>
        </is>
      </c>
      <c r="E395" t="inlineStr">
        <is>
          <t>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37612-2024</t>
        </is>
      </c>
      <c r="B396" s="1" t="n">
        <v>45541</v>
      </c>
      <c r="C396" s="1" t="n">
        <v>45912</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37615-2024</t>
        </is>
      </c>
      <c r="B397" s="1" t="n">
        <v>45541.50673611111</v>
      </c>
      <c r="C397" s="1" t="n">
        <v>45912</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28632-2025</t>
        </is>
      </c>
      <c r="B398" s="1" t="n">
        <v>45819.62344907408</v>
      </c>
      <c r="C398" s="1" t="n">
        <v>45912</v>
      </c>
      <c r="D398" t="inlineStr">
        <is>
          <t>VÄSTMANLANDS LÄN</t>
        </is>
      </c>
      <c r="E398" t="inlineStr">
        <is>
          <t>SALA</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28630-2025</t>
        </is>
      </c>
      <c r="B399" s="1" t="n">
        <v>45819.62274305556</v>
      </c>
      <c r="C399" s="1" t="n">
        <v>45912</v>
      </c>
      <c r="D399" t="inlineStr">
        <is>
          <t>VÄSTMANLANDS LÄN</t>
        </is>
      </c>
      <c r="E399" t="inlineStr">
        <is>
          <t>SALA</t>
        </is>
      </c>
      <c r="F399" t="inlineStr">
        <is>
          <t>Sveaskog</t>
        </is>
      </c>
      <c r="G399" t="n">
        <v>9</v>
      </c>
      <c r="H399" t="n">
        <v>0</v>
      </c>
      <c r="I399" t="n">
        <v>0</v>
      </c>
      <c r="J399" t="n">
        <v>0</v>
      </c>
      <c r="K399" t="n">
        <v>0</v>
      </c>
      <c r="L399" t="n">
        <v>0</v>
      </c>
      <c r="M399" t="n">
        <v>0</v>
      </c>
      <c r="N399" t="n">
        <v>0</v>
      </c>
      <c r="O399" t="n">
        <v>0</v>
      </c>
      <c r="P399" t="n">
        <v>0</v>
      </c>
      <c r="Q399" t="n">
        <v>0</v>
      </c>
      <c r="R399" s="2" t="inlineStr"/>
    </row>
    <row r="400" ht="15" customHeight="1">
      <c r="A400" t="inlineStr">
        <is>
          <t>A 64925-2023</t>
        </is>
      </c>
      <c r="B400" s="1" t="n">
        <v>45282</v>
      </c>
      <c r="C400" s="1" t="n">
        <v>45912</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18158-2025</t>
        </is>
      </c>
      <c r="B401" s="1" t="n">
        <v>45761</v>
      </c>
      <c r="C401" s="1" t="n">
        <v>45912</v>
      </c>
      <c r="D401" t="inlineStr">
        <is>
          <t>VÄSTMANLANDS LÄN</t>
        </is>
      </c>
      <c r="E401" t="inlineStr">
        <is>
          <t>SALA</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23406-2024</t>
        </is>
      </c>
      <c r="B402" s="1" t="n">
        <v>45453.58296296297</v>
      </c>
      <c r="C402" s="1" t="n">
        <v>45912</v>
      </c>
      <c r="D402" t="inlineStr">
        <is>
          <t>VÄSTMANLANDS LÄN</t>
        </is>
      </c>
      <c r="E402" t="inlineStr">
        <is>
          <t>SALA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9962-2025</t>
        </is>
      </c>
      <c r="B403" s="1" t="n">
        <v>45719.37072916667</v>
      </c>
      <c r="C403" s="1" t="n">
        <v>45912</v>
      </c>
      <c r="D403" t="inlineStr">
        <is>
          <t>VÄSTMANLANDS LÄN</t>
        </is>
      </c>
      <c r="E403" t="inlineStr">
        <is>
          <t>SALA</t>
        </is>
      </c>
      <c r="G403" t="n">
        <v>4.5</v>
      </c>
      <c r="H403" t="n">
        <v>0</v>
      </c>
      <c r="I403" t="n">
        <v>0</v>
      </c>
      <c r="J403" t="n">
        <v>0</v>
      </c>
      <c r="K403" t="n">
        <v>0</v>
      </c>
      <c r="L403" t="n">
        <v>0</v>
      </c>
      <c r="M403" t="n">
        <v>0</v>
      </c>
      <c r="N403" t="n">
        <v>0</v>
      </c>
      <c r="O403" t="n">
        <v>0</v>
      </c>
      <c r="P403" t="n">
        <v>0</v>
      </c>
      <c r="Q403" t="n">
        <v>0</v>
      </c>
      <c r="R403" s="2" t="inlineStr"/>
    </row>
    <row r="404" ht="15" customHeight="1">
      <c r="A404" t="inlineStr">
        <is>
          <t>A 28837-2025</t>
        </is>
      </c>
      <c r="B404" s="1" t="n">
        <v>45820.56243055555</v>
      </c>
      <c r="C404" s="1" t="n">
        <v>45912</v>
      </c>
      <c r="D404" t="inlineStr">
        <is>
          <t>VÄSTMANLANDS LÄN</t>
        </is>
      </c>
      <c r="E404" t="inlineStr">
        <is>
          <t>SALA</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28849-2025</t>
        </is>
      </c>
      <c r="B405" s="1" t="n">
        <v>45820</v>
      </c>
      <c r="C405" s="1" t="n">
        <v>45912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37602-2024</t>
        </is>
      </c>
      <c r="B406" s="1" t="n">
        <v>45541</v>
      </c>
      <c r="C406" s="1" t="n">
        <v>45912</v>
      </c>
      <c r="D406" t="inlineStr">
        <is>
          <t>VÄSTMANLANDS LÄN</t>
        </is>
      </c>
      <c r="E406" t="inlineStr">
        <is>
          <t>SALA</t>
        </is>
      </c>
      <c r="G406" t="n">
        <v>1.5</v>
      </c>
      <c r="H406" t="n">
        <v>0</v>
      </c>
      <c r="I406" t="n">
        <v>0</v>
      </c>
      <c r="J406" t="n">
        <v>0</v>
      </c>
      <c r="K406" t="n">
        <v>0</v>
      </c>
      <c r="L406" t="n">
        <v>0</v>
      </c>
      <c r="M406" t="n">
        <v>0</v>
      </c>
      <c r="N406" t="n">
        <v>0</v>
      </c>
      <c r="O406" t="n">
        <v>0</v>
      </c>
      <c r="P406" t="n">
        <v>0</v>
      </c>
      <c r="Q406" t="n">
        <v>0</v>
      </c>
      <c r="R406" s="2" t="inlineStr"/>
    </row>
    <row r="407" ht="15" customHeight="1">
      <c r="A407" t="inlineStr">
        <is>
          <t>A 29085-2025</t>
        </is>
      </c>
      <c r="B407" s="1" t="n">
        <v>45821</v>
      </c>
      <c r="C407" s="1" t="n">
        <v>45912</v>
      </c>
      <c r="D407" t="inlineStr">
        <is>
          <t>VÄSTMANLANDS LÄN</t>
        </is>
      </c>
      <c r="E407" t="inlineStr">
        <is>
          <t>SALA</t>
        </is>
      </c>
      <c r="G407" t="n">
        <v>3.5</v>
      </c>
      <c r="H407" t="n">
        <v>0</v>
      </c>
      <c r="I407" t="n">
        <v>0</v>
      </c>
      <c r="J407" t="n">
        <v>0</v>
      </c>
      <c r="K407" t="n">
        <v>0</v>
      </c>
      <c r="L407" t="n">
        <v>0</v>
      </c>
      <c r="M407" t="n">
        <v>0</v>
      </c>
      <c r="N407" t="n">
        <v>0</v>
      </c>
      <c r="O407" t="n">
        <v>0</v>
      </c>
      <c r="P407" t="n">
        <v>0</v>
      </c>
      <c r="Q407" t="n">
        <v>0</v>
      </c>
      <c r="R407" s="2" t="inlineStr"/>
    </row>
    <row r="408" ht="15" customHeight="1">
      <c r="A408" t="inlineStr">
        <is>
          <t>A 16133-2025</t>
        </is>
      </c>
      <c r="B408" s="1" t="n">
        <v>45750</v>
      </c>
      <c r="C408" s="1" t="n">
        <v>45912</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15099-2025</t>
        </is>
      </c>
      <c r="B409" s="1" t="n">
        <v>45744.3434837963</v>
      </c>
      <c r="C409" s="1" t="n">
        <v>45912</v>
      </c>
      <c r="D409" t="inlineStr">
        <is>
          <t>VÄSTMANLANDS LÄN</t>
        </is>
      </c>
      <c r="E409" t="inlineStr">
        <is>
          <t>SALA</t>
        </is>
      </c>
      <c r="F409" t="inlineStr">
        <is>
          <t>Sveaskog</t>
        </is>
      </c>
      <c r="G409" t="n">
        <v>14.4</v>
      </c>
      <c r="H409" t="n">
        <v>0</v>
      </c>
      <c r="I409" t="n">
        <v>0</v>
      </c>
      <c r="J409" t="n">
        <v>0</v>
      </c>
      <c r="K409" t="n">
        <v>0</v>
      </c>
      <c r="L409" t="n">
        <v>0</v>
      </c>
      <c r="M409" t="n">
        <v>0</v>
      </c>
      <c r="N409" t="n">
        <v>0</v>
      </c>
      <c r="O409" t="n">
        <v>0</v>
      </c>
      <c r="P409" t="n">
        <v>0</v>
      </c>
      <c r="Q409" t="n">
        <v>0</v>
      </c>
      <c r="R409" s="2" t="inlineStr"/>
    </row>
    <row r="410" ht="15" customHeight="1">
      <c r="A410" t="inlineStr">
        <is>
          <t>A 18762-2024</t>
        </is>
      </c>
      <c r="B410" s="1" t="n">
        <v>45426.55240740741</v>
      </c>
      <c r="C410" s="1" t="n">
        <v>45912</v>
      </c>
      <c r="D410" t="inlineStr">
        <is>
          <t>VÄSTMANLANDS LÄN</t>
        </is>
      </c>
      <c r="E410" t="inlineStr">
        <is>
          <t>SALA</t>
        </is>
      </c>
      <c r="G410" t="n">
        <v>6.2</v>
      </c>
      <c r="H410" t="n">
        <v>0</v>
      </c>
      <c r="I410" t="n">
        <v>0</v>
      </c>
      <c r="J410" t="n">
        <v>0</v>
      </c>
      <c r="K410" t="n">
        <v>0</v>
      </c>
      <c r="L410" t="n">
        <v>0</v>
      </c>
      <c r="M410" t="n">
        <v>0</v>
      </c>
      <c r="N410" t="n">
        <v>0</v>
      </c>
      <c r="O410" t="n">
        <v>0</v>
      </c>
      <c r="P410" t="n">
        <v>0</v>
      </c>
      <c r="Q410" t="n">
        <v>0</v>
      </c>
      <c r="R410" s="2" t="inlineStr"/>
    </row>
    <row r="411" ht="15" customHeight="1">
      <c r="A411" t="inlineStr">
        <is>
          <t>A 39011-2023</t>
        </is>
      </c>
      <c r="B411" s="1" t="n">
        <v>45162</v>
      </c>
      <c r="C411" s="1" t="n">
        <v>45912</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29691-2025</t>
        </is>
      </c>
      <c r="B412" s="1" t="n">
        <v>45825.53645833334</v>
      </c>
      <c r="C412" s="1" t="n">
        <v>45912</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60036-2024</t>
        </is>
      </c>
      <c r="B413" s="1" t="n">
        <v>45642.46434027778</v>
      </c>
      <c r="C413" s="1" t="n">
        <v>45912</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52827-2024</t>
        </is>
      </c>
      <c r="B414" s="1" t="n">
        <v>45610</v>
      </c>
      <c r="C414" s="1" t="n">
        <v>45912</v>
      </c>
      <c r="D414" t="inlineStr">
        <is>
          <t>VÄSTMANLANDS LÄN</t>
        </is>
      </c>
      <c r="E414" t="inlineStr">
        <is>
          <t>SALA</t>
        </is>
      </c>
      <c r="G414" t="n">
        <v>0.2</v>
      </c>
      <c r="H414" t="n">
        <v>0</v>
      </c>
      <c r="I414" t="n">
        <v>0</v>
      </c>
      <c r="J414" t="n">
        <v>0</v>
      </c>
      <c r="K414" t="n">
        <v>0</v>
      </c>
      <c r="L414" t="n">
        <v>0</v>
      </c>
      <c r="M414" t="n">
        <v>0</v>
      </c>
      <c r="N414" t="n">
        <v>0</v>
      </c>
      <c r="O414" t="n">
        <v>0</v>
      </c>
      <c r="P414" t="n">
        <v>0</v>
      </c>
      <c r="Q414" t="n">
        <v>0</v>
      </c>
      <c r="R414" s="2" t="inlineStr"/>
    </row>
    <row r="415" ht="15" customHeight="1">
      <c r="A415" t="inlineStr">
        <is>
          <t>A 60541-2024</t>
        </is>
      </c>
      <c r="B415" s="1" t="n">
        <v>45643</v>
      </c>
      <c r="C415" s="1" t="n">
        <v>45912</v>
      </c>
      <c r="D415" t="inlineStr">
        <is>
          <t>VÄSTMANLANDS LÄN</t>
        </is>
      </c>
      <c r="E415" t="inlineStr">
        <is>
          <t>SALA</t>
        </is>
      </c>
      <c r="G415" t="n">
        <v>10.6</v>
      </c>
      <c r="H415" t="n">
        <v>0</v>
      </c>
      <c r="I415" t="n">
        <v>0</v>
      </c>
      <c r="J415" t="n">
        <v>0</v>
      </c>
      <c r="K415" t="n">
        <v>0</v>
      </c>
      <c r="L415" t="n">
        <v>0</v>
      </c>
      <c r="M415" t="n">
        <v>0</v>
      </c>
      <c r="N415" t="n">
        <v>0</v>
      </c>
      <c r="O415" t="n">
        <v>0</v>
      </c>
      <c r="P415" t="n">
        <v>0</v>
      </c>
      <c r="Q415" t="n">
        <v>0</v>
      </c>
      <c r="R415" s="2" t="inlineStr"/>
    </row>
    <row r="416" ht="15" customHeight="1">
      <c r="A416" t="inlineStr">
        <is>
          <t>A 46352-2023</t>
        </is>
      </c>
      <c r="B416" s="1" t="n">
        <v>45192</v>
      </c>
      <c r="C416" s="1" t="n">
        <v>45912</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43751-2021</t>
        </is>
      </c>
      <c r="B417" s="1" t="n">
        <v>44433</v>
      </c>
      <c r="C417" s="1" t="n">
        <v>45912</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25891-2024</t>
        </is>
      </c>
      <c r="B418" s="1" t="n">
        <v>45467.53137731482</v>
      </c>
      <c r="C418" s="1" t="n">
        <v>45912</v>
      </c>
      <c r="D418" t="inlineStr">
        <is>
          <t>VÄSTMANLANDS LÄN</t>
        </is>
      </c>
      <c r="E418" t="inlineStr">
        <is>
          <t>SALA</t>
        </is>
      </c>
      <c r="G418" t="n">
        <v>2.3</v>
      </c>
      <c r="H418" t="n">
        <v>0</v>
      </c>
      <c r="I418" t="n">
        <v>0</v>
      </c>
      <c r="J418" t="n">
        <v>0</v>
      </c>
      <c r="K418" t="n">
        <v>0</v>
      </c>
      <c r="L418" t="n">
        <v>0</v>
      </c>
      <c r="M418" t="n">
        <v>0</v>
      </c>
      <c r="N418" t="n">
        <v>0</v>
      </c>
      <c r="O418" t="n">
        <v>0</v>
      </c>
      <c r="P418" t="n">
        <v>0</v>
      </c>
      <c r="Q418" t="n">
        <v>0</v>
      </c>
      <c r="R418" s="2" t="inlineStr"/>
    </row>
    <row r="419" ht="15" customHeight="1">
      <c r="A419" t="inlineStr">
        <is>
          <t>A 1128-2025</t>
        </is>
      </c>
      <c r="B419" s="1" t="n">
        <v>45666.68469907407</v>
      </c>
      <c r="C419" s="1" t="n">
        <v>45912</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16328-2025</t>
        </is>
      </c>
      <c r="B420" s="1" t="n">
        <v>45751</v>
      </c>
      <c r="C420" s="1" t="n">
        <v>45912</v>
      </c>
      <c r="D420" t="inlineStr">
        <is>
          <t>VÄSTMANLANDS LÄN</t>
        </is>
      </c>
      <c r="E420" t="inlineStr">
        <is>
          <t>SALA</t>
        </is>
      </c>
      <c r="G420" t="n">
        <v>2.9</v>
      </c>
      <c r="H420" t="n">
        <v>0</v>
      </c>
      <c r="I420" t="n">
        <v>0</v>
      </c>
      <c r="J420" t="n">
        <v>0</v>
      </c>
      <c r="K420" t="n">
        <v>0</v>
      </c>
      <c r="L420" t="n">
        <v>0</v>
      </c>
      <c r="M420" t="n">
        <v>0</v>
      </c>
      <c r="N420" t="n">
        <v>0</v>
      </c>
      <c r="O420" t="n">
        <v>0</v>
      </c>
      <c r="P420" t="n">
        <v>0</v>
      </c>
      <c r="Q420" t="n">
        <v>0</v>
      </c>
      <c r="R420" s="2" t="inlineStr"/>
    </row>
    <row r="421" ht="15" customHeight="1">
      <c r="A421" t="inlineStr">
        <is>
          <t>A 29826-2025</t>
        </is>
      </c>
      <c r="B421" s="1" t="n">
        <v>45825.85761574074</v>
      </c>
      <c r="C421" s="1" t="n">
        <v>45912</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66908-2021</t>
        </is>
      </c>
      <c r="B422" s="1" t="n">
        <v>44522</v>
      </c>
      <c r="C422" s="1" t="n">
        <v>45912</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45912</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29972-2025</t>
        </is>
      </c>
      <c r="B424" s="1" t="n">
        <v>45826</v>
      </c>
      <c r="C424" s="1" t="n">
        <v>45912</v>
      </c>
      <c r="D424" t="inlineStr">
        <is>
          <t>VÄSTMANLANDS LÄN</t>
        </is>
      </c>
      <c r="E424" t="inlineStr">
        <is>
          <t>SALA</t>
        </is>
      </c>
      <c r="G424" t="n">
        <v>2.7</v>
      </c>
      <c r="H424" t="n">
        <v>0</v>
      </c>
      <c r="I424" t="n">
        <v>0</v>
      </c>
      <c r="J424" t="n">
        <v>0</v>
      </c>
      <c r="K424" t="n">
        <v>0</v>
      </c>
      <c r="L424" t="n">
        <v>0</v>
      </c>
      <c r="M424" t="n">
        <v>0</v>
      </c>
      <c r="N424" t="n">
        <v>0</v>
      </c>
      <c r="O424" t="n">
        <v>0</v>
      </c>
      <c r="P424" t="n">
        <v>0</v>
      </c>
      <c r="Q424" t="n">
        <v>0</v>
      </c>
      <c r="R424" s="2" t="inlineStr"/>
    </row>
    <row r="425" ht="15" customHeight="1">
      <c r="A425" t="inlineStr">
        <is>
          <t>A 46279-2021</t>
        </is>
      </c>
      <c r="B425" s="1" t="n">
        <v>44442.57797453704</v>
      </c>
      <c r="C425" s="1" t="n">
        <v>45912</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3810-2023</t>
        </is>
      </c>
      <c r="B426" s="1" t="n">
        <v>44951.60454861111</v>
      </c>
      <c r="C426" s="1" t="n">
        <v>45912</v>
      </c>
      <c r="D426" t="inlineStr">
        <is>
          <t>VÄSTMANLANDS LÄN</t>
        </is>
      </c>
      <c r="E426" t="inlineStr">
        <is>
          <t>SALA</t>
        </is>
      </c>
      <c r="G426" t="n">
        <v>4.2</v>
      </c>
      <c r="H426" t="n">
        <v>0</v>
      </c>
      <c r="I426" t="n">
        <v>0</v>
      </c>
      <c r="J426" t="n">
        <v>0</v>
      </c>
      <c r="K426" t="n">
        <v>0</v>
      </c>
      <c r="L426" t="n">
        <v>0</v>
      </c>
      <c r="M426" t="n">
        <v>0</v>
      </c>
      <c r="N426" t="n">
        <v>0</v>
      </c>
      <c r="O426" t="n">
        <v>0</v>
      </c>
      <c r="P426" t="n">
        <v>0</v>
      </c>
      <c r="Q426" t="n">
        <v>0</v>
      </c>
      <c r="R426" s="2" t="inlineStr"/>
    </row>
    <row r="427" ht="15" customHeight="1">
      <c r="A427" t="inlineStr">
        <is>
          <t>A 31950-2023</t>
        </is>
      </c>
      <c r="B427" s="1" t="n">
        <v>45107</v>
      </c>
      <c r="C427" s="1" t="n">
        <v>45912</v>
      </c>
      <c r="D427" t="inlineStr">
        <is>
          <t>VÄSTMANLANDS LÄN</t>
        </is>
      </c>
      <c r="E427" t="inlineStr">
        <is>
          <t>SALA</t>
        </is>
      </c>
      <c r="G427" t="n">
        <v>0.1</v>
      </c>
      <c r="H427" t="n">
        <v>0</v>
      </c>
      <c r="I427" t="n">
        <v>0</v>
      </c>
      <c r="J427" t="n">
        <v>0</v>
      </c>
      <c r="K427" t="n">
        <v>0</v>
      </c>
      <c r="L427" t="n">
        <v>0</v>
      </c>
      <c r="M427" t="n">
        <v>0</v>
      </c>
      <c r="N427" t="n">
        <v>0</v>
      </c>
      <c r="O427" t="n">
        <v>0</v>
      </c>
      <c r="P427" t="n">
        <v>0</v>
      </c>
      <c r="Q427" t="n">
        <v>0</v>
      </c>
      <c r="R427" s="2" t="inlineStr"/>
    </row>
    <row r="428" ht="15" customHeight="1">
      <c r="A428" t="inlineStr">
        <is>
          <t>A 56540-2024</t>
        </is>
      </c>
      <c r="B428" s="1" t="n">
        <v>45625</v>
      </c>
      <c r="C428" s="1" t="n">
        <v>45912</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6116-2023</t>
        </is>
      </c>
      <c r="B429" s="1" t="n">
        <v>44964</v>
      </c>
      <c r="C429" s="1" t="n">
        <v>45912</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25860-2024</t>
        </is>
      </c>
      <c r="B430" s="1" t="n">
        <v>45467.46278935186</v>
      </c>
      <c r="C430" s="1" t="n">
        <v>45912</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10154-2021</t>
        </is>
      </c>
      <c r="B431" s="1" t="n">
        <v>44256</v>
      </c>
      <c r="C431" s="1" t="n">
        <v>45912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56916-2022</t>
        </is>
      </c>
      <c r="B432" s="1" t="n">
        <v>44888</v>
      </c>
      <c r="C432" s="1" t="n">
        <v>45912</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12252-2023</t>
        </is>
      </c>
      <c r="B433" s="1" t="n">
        <v>44995</v>
      </c>
      <c r="C433" s="1" t="n">
        <v>45912</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31608-2025</t>
        </is>
      </c>
      <c r="B434" s="1" t="n">
        <v>45833</v>
      </c>
      <c r="C434" s="1" t="n">
        <v>45912</v>
      </c>
      <c r="D434" t="inlineStr">
        <is>
          <t>VÄSTMANLANDS LÄN</t>
        </is>
      </c>
      <c r="E434" t="inlineStr">
        <is>
          <t>SALA</t>
        </is>
      </c>
      <c r="G434" t="n">
        <v>6.1</v>
      </c>
      <c r="H434" t="n">
        <v>0</v>
      </c>
      <c r="I434" t="n">
        <v>0</v>
      </c>
      <c r="J434" t="n">
        <v>0</v>
      </c>
      <c r="K434" t="n">
        <v>0</v>
      </c>
      <c r="L434" t="n">
        <v>0</v>
      </c>
      <c r="M434" t="n">
        <v>0</v>
      </c>
      <c r="N434" t="n">
        <v>0</v>
      </c>
      <c r="O434" t="n">
        <v>0</v>
      </c>
      <c r="P434" t="n">
        <v>0</v>
      </c>
      <c r="Q434" t="n">
        <v>0</v>
      </c>
      <c r="R434" s="2" t="inlineStr"/>
    </row>
    <row r="435" ht="15" customHeight="1">
      <c r="A435" t="inlineStr">
        <is>
          <t>A 30866-2025</t>
        </is>
      </c>
      <c r="B435" s="1" t="n">
        <v>45832.3246875</v>
      </c>
      <c r="C435" s="1" t="n">
        <v>45912</v>
      </c>
      <c r="D435" t="inlineStr">
        <is>
          <t>VÄSTMANLANDS LÄN</t>
        </is>
      </c>
      <c r="E435" t="inlineStr">
        <is>
          <t>SALA</t>
        </is>
      </c>
      <c r="G435" t="n">
        <v>14.3</v>
      </c>
      <c r="H435" t="n">
        <v>0</v>
      </c>
      <c r="I435" t="n">
        <v>0</v>
      </c>
      <c r="J435" t="n">
        <v>0</v>
      </c>
      <c r="K435" t="n">
        <v>0</v>
      </c>
      <c r="L435" t="n">
        <v>0</v>
      </c>
      <c r="M435" t="n">
        <v>0</v>
      </c>
      <c r="N435" t="n">
        <v>0</v>
      </c>
      <c r="O435" t="n">
        <v>0</v>
      </c>
      <c r="P435" t="n">
        <v>0</v>
      </c>
      <c r="Q435" t="n">
        <v>0</v>
      </c>
      <c r="R435" s="2" t="inlineStr"/>
    </row>
    <row r="436" ht="15" customHeight="1">
      <c r="A436" t="inlineStr">
        <is>
          <t>A 30874-2025</t>
        </is>
      </c>
      <c r="B436" s="1" t="n">
        <v>45832.34430555555</v>
      </c>
      <c r="C436" s="1" t="n">
        <v>45912</v>
      </c>
      <c r="D436" t="inlineStr">
        <is>
          <t>VÄSTMANLANDS LÄN</t>
        </is>
      </c>
      <c r="E436" t="inlineStr">
        <is>
          <t>SALA</t>
        </is>
      </c>
      <c r="G436" t="n">
        <v>8.4</v>
      </c>
      <c r="H436" t="n">
        <v>0</v>
      </c>
      <c r="I436" t="n">
        <v>0</v>
      </c>
      <c r="J436" t="n">
        <v>0</v>
      </c>
      <c r="K436" t="n">
        <v>0</v>
      </c>
      <c r="L436" t="n">
        <v>0</v>
      </c>
      <c r="M436" t="n">
        <v>0</v>
      </c>
      <c r="N436" t="n">
        <v>0</v>
      </c>
      <c r="O436" t="n">
        <v>0</v>
      </c>
      <c r="P436" t="n">
        <v>0</v>
      </c>
      <c r="Q436" t="n">
        <v>0</v>
      </c>
      <c r="R436" s="2" t="inlineStr"/>
    </row>
    <row r="437" ht="15" customHeight="1">
      <c r="A437" t="inlineStr">
        <is>
          <t>A 31573-2025</t>
        </is>
      </c>
      <c r="B437" s="1" t="n">
        <v>45833</v>
      </c>
      <c r="C437" s="1" t="n">
        <v>45912</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31288-2025</t>
        </is>
      </c>
      <c r="B438" s="1" t="n">
        <v>45833</v>
      </c>
      <c r="C438" s="1" t="n">
        <v>45912</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71471-2021</t>
        </is>
      </c>
      <c r="B439" s="1" t="n">
        <v>44540.53421296296</v>
      </c>
      <c r="C439" s="1" t="n">
        <v>45912</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31554-2025</t>
        </is>
      </c>
      <c r="B440" s="1" t="n">
        <v>45833</v>
      </c>
      <c r="C440" s="1" t="n">
        <v>45912</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30899-2025</t>
        </is>
      </c>
      <c r="B441" s="1" t="n">
        <v>45832.35767361111</v>
      </c>
      <c r="C441" s="1" t="n">
        <v>45912</v>
      </c>
      <c r="D441" t="inlineStr">
        <is>
          <t>VÄSTMANLANDS LÄN</t>
        </is>
      </c>
      <c r="E441" t="inlineStr">
        <is>
          <t>SALA</t>
        </is>
      </c>
      <c r="G441" t="n">
        <v>3.1</v>
      </c>
      <c r="H441" t="n">
        <v>0</v>
      </c>
      <c r="I441" t="n">
        <v>0</v>
      </c>
      <c r="J441" t="n">
        <v>0</v>
      </c>
      <c r="K441" t="n">
        <v>0</v>
      </c>
      <c r="L441" t="n">
        <v>0</v>
      </c>
      <c r="M441" t="n">
        <v>0</v>
      </c>
      <c r="N441" t="n">
        <v>0</v>
      </c>
      <c r="O441" t="n">
        <v>0</v>
      </c>
      <c r="P441" t="n">
        <v>0</v>
      </c>
      <c r="Q441" t="n">
        <v>0</v>
      </c>
      <c r="R441" s="2" t="inlineStr"/>
    </row>
    <row r="442" ht="15" customHeight="1">
      <c r="A442" t="inlineStr">
        <is>
          <t>A 37017-2025</t>
        </is>
      </c>
      <c r="B442" s="1" t="n">
        <v>45874</v>
      </c>
      <c r="C442" s="1" t="n">
        <v>45912</v>
      </c>
      <c r="D442" t="inlineStr">
        <is>
          <t>VÄSTMANLANDS LÄN</t>
        </is>
      </c>
      <c r="E442" t="inlineStr">
        <is>
          <t>SALA</t>
        </is>
      </c>
      <c r="G442" t="n">
        <v>11.1</v>
      </c>
      <c r="H442" t="n">
        <v>0</v>
      </c>
      <c r="I442" t="n">
        <v>0</v>
      </c>
      <c r="J442" t="n">
        <v>0</v>
      </c>
      <c r="K442" t="n">
        <v>0</v>
      </c>
      <c r="L442" t="n">
        <v>0</v>
      </c>
      <c r="M442" t="n">
        <v>0</v>
      </c>
      <c r="N442" t="n">
        <v>0</v>
      </c>
      <c r="O442" t="n">
        <v>0</v>
      </c>
      <c r="P442" t="n">
        <v>0</v>
      </c>
      <c r="Q442" t="n">
        <v>0</v>
      </c>
      <c r="R442" s="2" t="inlineStr"/>
    </row>
    <row r="443" ht="15" customHeight="1">
      <c r="A443" t="inlineStr">
        <is>
          <t>A 13987-2023</t>
        </is>
      </c>
      <c r="B443" s="1" t="n">
        <v>45007</v>
      </c>
      <c r="C443" s="1" t="n">
        <v>45912</v>
      </c>
      <c r="D443" t="inlineStr">
        <is>
          <t>VÄSTMANLANDS LÄN</t>
        </is>
      </c>
      <c r="E443" t="inlineStr">
        <is>
          <t>SALA</t>
        </is>
      </c>
      <c r="G443" t="n">
        <v>3.2</v>
      </c>
      <c r="H443" t="n">
        <v>0</v>
      </c>
      <c r="I443" t="n">
        <v>0</v>
      </c>
      <c r="J443" t="n">
        <v>0</v>
      </c>
      <c r="K443" t="n">
        <v>0</v>
      </c>
      <c r="L443" t="n">
        <v>0</v>
      </c>
      <c r="M443" t="n">
        <v>0</v>
      </c>
      <c r="N443" t="n">
        <v>0</v>
      </c>
      <c r="O443" t="n">
        <v>0</v>
      </c>
      <c r="P443" t="n">
        <v>0</v>
      </c>
      <c r="Q443" t="n">
        <v>0</v>
      </c>
      <c r="R443" s="2" t="inlineStr"/>
    </row>
    <row r="444" ht="15" customHeight="1">
      <c r="A444" t="inlineStr">
        <is>
          <t>A 13990-2023</t>
        </is>
      </c>
      <c r="B444" s="1" t="n">
        <v>45007</v>
      </c>
      <c r="C444" s="1" t="n">
        <v>45912</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31065-2025</t>
        </is>
      </c>
      <c r="B445" s="1" t="n">
        <v>45832.57571759259</v>
      </c>
      <c r="C445" s="1" t="n">
        <v>45912</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25260-2023</t>
        </is>
      </c>
      <c r="B446" s="1" t="n">
        <v>45086</v>
      </c>
      <c r="C446" s="1" t="n">
        <v>45912</v>
      </c>
      <c r="D446" t="inlineStr">
        <is>
          <t>VÄSTMANLANDS LÄN</t>
        </is>
      </c>
      <c r="E446" t="inlineStr">
        <is>
          <t>SALA</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57404-2024</t>
        </is>
      </c>
      <c r="B447" s="1" t="n">
        <v>45629.71967592592</v>
      </c>
      <c r="C447" s="1" t="n">
        <v>45912</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7664-2023</t>
        </is>
      </c>
      <c r="B448" s="1" t="n">
        <v>44972</v>
      </c>
      <c r="C448" s="1" t="n">
        <v>45912</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31296-2025</t>
        </is>
      </c>
      <c r="B449" s="1" t="n">
        <v>45833.36765046296</v>
      </c>
      <c r="C449" s="1" t="n">
        <v>45912</v>
      </c>
      <c r="D449" t="inlineStr">
        <is>
          <t>VÄSTMANLANDS LÄN</t>
        </is>
      </c>
      <c r="E449" t="inlineStr">
        <is>
          <t>SALA</t>
        </is>
      </c>
      <c r="G449" t="n">
        <v>3.7</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45912</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17051-2025</t>
        </is>
      </c>
      <c r="B451" s="1" t="n">
        <v>45755</v>
      </c>
      <c r="C451" s="1" t="n">
        <v>45912</v>
      </c>
      <c r="D451" t="inlineStr">
        <is>
          <t>VÄSTMANLANDS LÄN</t>
        </is>
      </c>
      <c r="E451" t="inlineStr">
        <is>
          <t>SALA</t>
        </is>
      </c>
      <c r="G451" t="n">
        <v>2.9</v>
      </c>
      <c r="H451" t="n">
        <v>0</v>
      </c>
      <c r="I451" t="n">
        <v>0</v>
      </c>
      <c r="J451" t="n">
        <v>0</v>
      </c>
      <c r="K451" t="n">
        <v>0</v>
      </c>
      <c r="L451" t="n">
        <v>0</v>
      </c>
      <c r="M451" t="n">
        <v>0</v>
      </c>
      <c r="N451" t="n">
        <v>0</v>
      </c>
      <c r="O451" t="n">
        <v>0</v>
      </c>
      <c r="P451" t="n">
        <v>0</v>
      </c>
      <c r="Q451" t="n">
        <v>0</v>
      </c>
      <c r="R451" s="2" t="inlineStr"/>
    </row>
    <row r="452" ht="15" customHeight="1">
      <c r="A452" t="inlineStr">
        <is>
          <t>A 13128-2023</t>
        </is>
      </c>
      <c r="B452" s="1" t="n">
        <v>45002</v>
      </c>
      <c r="C452" s="1" t="n">
        <v>45912</v>
      </c>
      <c r="D452" t="inlineStr">
        <is>
          <t>VÄSTMANLANDS LÄN</t>
        </is>
      </c>
      <c r="E452" t="inlineStr">
        <is>
          <t>SALA</t>
        </is>
      </c>
      <c r="G452" t="n">
        <v>7.9</v>
      </c>
      <c r="H452" t="n">
        <v>0</v>
      </c>
      <c r="I452" t="n">
        <v>0</v>
      </c>
      <c r="J452" t="n">
        <v>0</v>
      </c>
      <c r="K452" t="n">
        <v>0</v>
      </c>
      <c r="L452" t="n">
        <v>0</v>
      </c>
      <c r="M452" t="n">
        <v>0</v>
      </c>
      <c r="N452" t="n">
        <v>0</v>
      </c>
      <c r="O452" t="n">
        <v>0</v>
      </c>
      <c r="P452" t="n">
        <v>0</v>
      </c>
      <c r="Q452" t="n">
        <v>0</v>
      </c>
      <c r="R452" s="2" t="inlineStr"/>
    </row>
    <row r="453" ht="15" customHeight="1">
      <c r="A453" t="inlineStr">
        <is>
          <t>A 31748-2025</t>
        </is>
      </c>
      <c r="B453" s="1" t="n">
        <v>45834</v>
      </c>
      <c r="C453" s="1" t="n">
        <v>45912</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31869-2025</t>
        </is>
      </c>
      <c r="B454" s="1" t="n">
        <v>45834.64555555556</v>
      </c>
      <c r="C454" s="1" t="n">
        <v>45912</v>
      </c>
      <c r="D454" t="inlineStr">
        <is>
          <t>VÄSTMANLANDS LÄN</t>
        </is>
      </c>
      <c r="E454" t="inlineStr">
        <is>
          <t>SALA</t>
        </is>
      </c>
      <c r="G454" t="n">
        <v>17.5</v>
      </c>
      <c r="H454" t="n">
        <v>0</v>
      </c>
      <c r="I454" t="n">
        <v>0</v>
      </c>
      <c r="J454" t="n">
        <v>0</v>
      </c>
      <c r="K454" t="n">
        <v>0</v>
      </c>
      <c r="L454" t="n">
        <v>0</v>
      </c>
      <c r="M454" t="n">
        <v>0</v>
      </c>
      <c r="N454" t="n">
        <v>0</v>
      </c>
      <c r="O454" t="n">
        <v>0</v>
      </c>
      <c r="P454" t="n">
        <v>0</v>
      </c>
      <c r="Q454" t="n">
        <v>0</v>
      </c>
      <c r="R454" s="2" t="inlineStr"/>
    </row>
    <row r="455" ht="15" customHeight="1">
      <c r="A455" t="inlineStr">
        <is>
          <t>A 43509-2021</t>
        </is>
      </c>
      <c r="B455" s="1" t="n">
        <v>44433</v>
      </c>
      <c r="C455" s="1" t="n">
        <v>45912</v>
      </c>
      <c r="D455" t="inlineStr">
        <is>
          <t>VÄSTMANLANDS LÄN</t>
        </is>
      </c>
      <c r="E455" t="inlineStr">
        <is>
          <t>SALA</t>
        </is>
      </c>
      <c r="G455" t="n">
        <v>0.8</v>
      </c>
      <c r="H455" t="n">
        <v>0</v>
      </c>
      <c r="I455" t="n">
        <v>0</v>
      </c>
      <c r="J455" t="n">
        <v>0</v>
      </c>
      <c r="K455" t="n">
        <v>0</v>
      </c>
      <c r="L455" t="n">
        <v>0</v>
      </c>
      <c r="M455" t="n">
        <v>0</v>
      </c>
      <c r="N455" t="n">
        <v>0</v>
      </c>
      <c r="O455" t="n">
        <v>0</v>
      </c>
      <c r="P455" t="n">
        <v>0</v>
      </c>
      <c r="Q455" t="n">
        <v>0</v>
      </c>
      <c r="R455" s="2" t="inlineStr"/>
    </row>
    <row r="456" ht="15" customHeight="1">
      <c r="A456" t="inlineStr">
        <is>
          <t>A 37253-2025</t>
        </is>
      </c>
      <c r="B456" s="1" t="n">
        <v>45876.42290509259</v>
      </c>
      <c r="C456" s="1" t="n">
        <v>45912</v>
      </c>
      <c r="D456" t="inlineStr">
        <is>
          <t>VÄSTMANLANDS LÄN</t>
        </is>
      </c>
      <c r="E456" t="inlineStr">
        <is>
          <t>SALA</t>
        </is>
      </c>
      <c r="G456" t="n">
        <v>2.6</v>
      </c>
      <c r="H456" t="n">
        <v>0</v>
      </c>
      <c r="I456" t="n">
        <v>0</v>
      </c>
      <c r="J456" t="n">
        <v>0</v>
      </c>
      <c r="K456" t="n">
        <v>0</v>
      </c>
      <c r="L456" t="n">
        <v>0</v>
      </c>
      <c r="M456" t="n">
        <v>0</v>
      </c>
      <c r="N456" t="n">
        <v>0</v>
      </c>
      <c r="O456" t="n">
        <v>0</v>
      </c>
      <c r="P456" t="n">
        <v>0</v>
      </c>
      <c r="Q456" t="n">
        <v>0</v>
      </c>
      <c r="R456" s="2" t="inlineStr"/>
    </row>
    <row r="457" ht="15" customHeight="1">
      <c r="A457" t="inlineStr">
        <is>
          <t>A 31863-2025</t>
        </is>
      </c>
      <c r="B457" s="1" t="n">
        <v>45834.63303240741</v>
      </c>
      <c r="C457" s="1" t="n">
        <v>45912</v>
      </c>
      <c r="D457" t="inlineStr">
        <is>
          <t>VÄSTMANLANDS LÄN</t>
        </is>
      </c>
      <c r="E457" t="inlineStr">
        <is>
          <t>SALA</t>
        </is>
      </c>
      <c r="G457" t="n">
        <v>2.5</v>
      </c>
      <c r="H457" t="n">
        <v>0</v>
      </c>
      <c r="I457" t="n">
        <v>0</v>
      </c>
      <c r="J457" t="n">
        <v>0</v>
      </c>
      <c r="K457" t="n">
        <v>0</v>
      </c>
      <c r="L457" t="n">
        <v>0</v>
      </c>
      <c r="M457" t="n">
        <v>0</v>
      </c>
      <c r="N457" t="n">
        <v>0</v>
      </c>
      <c r="O457" t="n">
        <v>0</v>
      </c>
      <c r="P457" t="n">
        <v>0</v>
      </c>
      <c r="Q457" t="n">
        <v>0</v>
      </c>
      <c r="R457" s="2" t="inlineStr"/>
    </row>
    <row r="458" ht="15" customHeight="1">
      <c r="A458" t="inlineStr">
        <is>
          <t>A 32210-2025</t>
        </is>
      </c>
      <c r="B458" s="1" t="n">
        <v>45835</v>
      </c>
      <c r="C458" s="1" t="n">
        <v>45912</v>
      </c>
      <c r="D458" t="inlineStr">
        <is>
          <t>VÄSTMANLANDS LÄN</t>
        </is>
      </c>
      <c r="E458" t="inlineStr">
        <is>
          <t>SALA</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54959-2024</t>
        </is>
      </c>
      <c r="B459" s="1" t="n">
        <v>45619</v>
      </c>
      <c r="C459" s="1" t="n">
        <v>45912</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31610-2025</t>
        </is>
      </c>
      <c r="B460" s="1" t="n">
        <v>45833.78650462963</v>
      </c>
      <c r="C460" s="1" t="n">
        <v>45912</v>
      </c>
      <c r="D460" t="inlineStr">
        <is>
          <t>VÄSTMANLANDS LÄN</t>
        </is>
      </c>
      <c r="E460" t="inlineStr">
        <is>
          <t>SALA</t>
        </is>
      </c>
      <c r="G460" t="n">
        <v>8</v>
      </c>
      <c r="H460" t="n">
        <v>0</v>
      </c>
      <c r="I460" t="n">
        <v>0</v>
      </c>
      <c r="J460" t="n">
        <v>0</v>
      </c>
      <c r="K460" t="n">
        <v>0</v>
      </c>
      <c r="L460" t="n">
        <v>0</v>
      </c>
      <c r="M460" t="n">
        <v>0</v>
      </c>
      <c r="N460" t="n">
        <v>0</v>
      </c>
      <c r="O460" t="n">
        <v>0</v>
      </c>
      <c r="P460" t="n">
        <v>0</v>
      </c>
      <c r="Q460" t="n">
        <v>0</v>
      </c>
      <c r="R460" s="2" t="inlineStr"/>
    </row>
    <row r="461" ht="15" customHeight="1">
      <c r="A461" t="inlineStr">
        <is>
          <t>A 56964-2023</t>
        </is>
      </c>
      <c r="B461" s="1" t="n">
        <v>45244.63140046296</v>
      </c>
      <c r="C461" s="1" t="n">
        <v>45912</v>
      </c>
      <c r="D461" t="inlineStr">
        <is>
          <t>VÄSTMANLANDS LÄN</t>
        </is>
      </c>
      <c r="E461" t="inlineStr">
        <is>
          <t>SALA</t>
        </is>
      </c>
      <c r="G461" t="n">
        <v>4.6</v>
      </c>
      <c r="H461" t="n">
        <v>0</v>
      </c>
      <c r="I461" t="n">
        <v>0</v>
      </c>
      <c r="J461" t="n">
        <v>0</v>
      </c>
      <c r="K461" t="n">
        <v>0</v>
      </c>
      <c r="L461" t="n">
        <v>0</v>
      </c>
      <c r="M461" t="n">
        <v>0</v>
      </c>
      <c r="N461" t="n">
        <v>0</v>
      </c>
      <c r="O461" t="n">
        <v>0</v>
      </c>
      <c r="P461" t="n">
        <v>0</v>
      </c>
      <c r="Q461" t="n">
        <v>0</v>
      </c>
      <c r="R461" s="2" t="inlineStr"/>
    </row>
    <row r="462" ht="15" customHeight="1">
      <c r="A462" t="inlineStr">
        <is>
          <t>A 32201-2025</t>
        </is>
      </c>
      <c r="B462" s="1" t="n">
        <v>45835</v>
      </c>
      <c r="C462" s="1" t="n">
        <v>45912</v>
      </c>
      <c r="D462" t="inlineStr">
        <is>
          <t>VÄSTMANLANDS LÄN</t>
        </is>
      </c>
      <c r="E462" t="inlineStr">
        <is>
          <t>SALA</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31612-2025</t>
        </is>
      </c>
      <c r="B463" s="1" t="n">
        <v>45833.80056712963</v>
      </c>
      <c r="C463" s="1" t="n">
        <v>45912</v>
      </c>
      <c r="D463" t="inlineStr">
        <is>
          <t>VÄSTMANLANDS LÄN</t>
        </is>
      </c>
      <c r="E463" t="inlineStr">
        <is>
          <t>SALA</t>
        </is>
      </c>
      <c r="G463" t="n">
        <v>6.3</v>
      </c>
      <c r="H463" t="n">
        <v>0</v>
      </c>
      <c r="I463" t="n">
        <v>0</v>
      </c>
      <c r="J463" t="n">
        <v>0</v>
      </c>
      <c r="K463" t="n">
        <v>0</v>
      </c>
      <c r="L463" t="n">
        <v>0</v>
      </c>
      <c r="M463" t="n">
        <v>0</v>
      </c>
      <c r="N463" t="n">
        <v>0</v>
      </c>
      <c r="O463" t="n">
        <v>0</v>
      </c>
      <c r="P463" t="n">
        <v>0</v>
      </c>
      <c r="Q463" t="n">
        <v>0</v>
      </c>
      <c r="R463" s="2" t="inlineStr"/>
    </row>
    <row r="464" ht="15" customHeight="1">
      <c r="A464" t="inlineStr">
        <is>
          <t>A 37337-2024</t>
        </is>
      </c>
      <c r="B464" s="1" t="n">
        <v>45540</v>
      </c>
      <c r="C464" s="1" t="n">
        <v>45912</v>
      </c>
      <c r="D464" t="inlineStr">
        <is>
          <t>VÄSTMANLANDS LÄN</t>
        </is>
      </c>
      <c r="E464" t="inlineStr">
        <is>
          <t>SALA</t>
        </is>
      </c>
      <c r="G464" t="n">
        <v>6.5</v>
      </c>
      <c r="H464" t="n">
        <v>0</v>
      </c>
      <c r="I464" t="n">
        <v>0</v>
      </c>
      <c r="J464" t="n">
        <v>0</v>
      </c>
      <c r="K464" t="n">
        <v>0</v>
      </c>
      <c r="L464" t="n">
        <v>0</v>
      </c>
      <c r="M464" t="n">
        <v>0</v>
      </c>
      <c r="N464" t="n">
        <v>0</v>
      </c>
      <c r="O464" t="n">
        <v>0</v>
      </c>
      <c r="P464" t="n">
        <v>0</v>
      </c>
      <c r="Q464" t="n">
        <v>0</v>
      </c>
      <c r="R464" s="2" t="inlineStr"/>
    </row>
    <row r="465" ht="15" customHeight="1">
      <c r="A465" t="inlineStr">
        <is>
          <t>A 31860-2025</t>
        </is>
      </c>
      <c r="B465" s="1" t="n">
        <v>45834</v>
      </c>
      <c r="C465" s="1" t="n">
        <v>45912</v>
      </c>
      <c r="D465" t="inlineStr">
        <is>
          <t>VÄSTMANLANDS LÄN</t>
        </is>
      </c>
      <c r="E465" t="inlineStr">
        <is>
          <t>SALA</t>
        </is>
      </c>
      <c r="G465" t="n">
        <v>7.4</v>
      </c>
      <c r="H465" t="n">
        <v>0</v>
      </c>
      <c r="I465" t="n">
        <v>0</v>
      </c>
      <c r="J465" t="n">
        <v>0</v>
      </c>
      <c r="K465" t="n">
        <v>0</v>
      </c>
      <c r="L465" t="n">
        <v>0</v>
      </c>
      <c r="M465" t="n">
        <v>0</v>
      </c>
      <c r="N465" t="n">
        <v>0</v>
      </c>
      <c r="O465" t="n">
        <v>0</v>
      </c>
      <c r="P465" t="n">
        <v>0</v>
      </c>
      <c r="Q465" t="n">
        <v>0</v>
      </c>
      <c r="R465" s="2" t="inlineStr"/>
    </row>
    <row r="466" ht="15" customHeight="1">
      <c r="A466" t="inlineStr">
        <is>
          <t>A 31864-2025</t>
        </is>
      </c>
      <c r="B466" s="1" t="n">
        <v>45834.63819444444</v>
      </c>
      <c r="C466" s="1" t="n">
        <v>45912</v>
      </c>
      <c r="D466" t="inlineStr">
        <is>
          <t>VÄSTMANLANDS LÄN</t>
        </is>
      </c>
      <c r="E466" t="inlineStr">
        <is>
          <t>SALA</t>
        </is>
      </c>
      <c r="G466" t="n">
        <v>6.3</v>
      </c>
      <c r="H466" t="n">
        <v>0</v>
      </c>
      <c r="I466" t="n">
        <v>0</v>
      </c>
      <c r="J466" t="n">
        <v>0</v>
      </c>
      <c r="K466" t="n">
        <v>0</v>
      </c>
      <c r="L466" t="n">
        <v>0</v>
      </c>
      <c r="M466" t="n">
        <v>0</v>
      </c>
      <c r="N466" t="n">
        <v>0</v>
      </c>
      <c r="O466" t="n">
        <v>0</v>
      </c>
      <c r="P466" t="n">
        <v>0</v>
      </c>
      <c r="Q466" t="n">
        <v>0</v>
      </c>
      <c r="R466" s="2" t="inlineStr"/>
    </row>
    <row r="467" ht="15" customHeight="1">
      <c r="A467" t="inlineStr">
        <is>
          <t>A 32207-2025</t>
        </is>
      </c>
      <c r="B467" s="1" t="n">
        <v>45835</v>
      </c>
      <c r="C467" s="1" t="n">
        <v>45912</v>
      </c>
      <c r="D467" t="inlineStr">
        <is>
          <t>VÄSTMANLANDS LÄN</t>
        </is>
      </c>
      <c r="E467" t="inlineStr">
        <is>
          <t>SALA</t>
        </is>
      </c>
      <c r="F467" t="inlineStr">
        <is>
          <t>Bergvik skog öst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17120-2023</t>
        </is>
      </c>
      <c r="B468" s="1" t="n">
        <v>45034</v>
      </c>
      <c r="C468" s="1" t="n">
        <v>45912</v>
      </c>
      <c r="D468" t="inlineStr">
        <is>
          <t>VÄSTMANLANDS LÄN</t>
        </is>
      </c>
      <c r="E468" t="inlineStr">
        <is>
          <t>SALA</t>
        </is>
      </c>
      <c r="G468" t="n">
        <v>0.1</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45912</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31762-2025</t>
        </is>
      </c>
      <c r="B470" s="1" t="n">
        <v>45834.49288194445</v>
      </c>
      <c r="C470" s="1" t="n">
        <v>45912</v>
      </c>
      <c r="D470" t="inlineStr">
        <is>
          <t>VÄSTMANLANDS LÄN</t>
        </is>
      </c>
      <c r="E470" t="inlineStr">
        <is>
          <t>SALA</t>
        </is>
      </c>
      <c r="G470" t="n">
        <v>5.9</v>
      </c>
      <c r="H470" t="n">
        <v>0</v>
      </c>
      <c r="I470" t="n">
        <v>0</v>
      </c>
      <c r="J470" t="n">
        <v>0</v>
      </c>
      <c r="K470" t="n">
        <v>0</v>
      </c>
      <c r="L470" t="n">
        <v>0</v>
      </c>
      <c r="M470" t="n">
        <v>0</v>
      </c>
      <c r="N470" t="n">
        <v>0</v>
      </c>
      <c r="O470" t="n">
        <v>0</v>
      </c>
      <c r="P470" t="n">
        <v>0</v>
      </c>
      <c r="Q470" t="n">
        <v>0</v>
      </c>
      <c r="R470" s="2" t="inlineStr"/>
    </row>
    <row r="471" ht="15" customHeight="1">
      <c r="A471" t="inlineStr">
        <is>
          <t>A 31771-2025</t>
        </is>
      </c>
      <c r="B471" s="1" t="n">
        <v>45834.50910879629</v>
      </c>
      <c r="C471" s="1" t="n">
        <v>45912</v>
      </c>
      <c r="D471" t="inlineStr">
        <is>
          <t>VÄSTMANLANDS LÄN</t>
        </is>
      </c>
      <c r="E471" t="inlineStr">
        <is>
          <t>SALA</t>
        </is>
      </c>
      <c r="G471" t="n">
        <v>5.1</v>
      </c>
      <c r="H471" t="n">
        <v>0</v>
      </c>
      <c r="I471" t="n">
        <v>0</v>
      </c>
      <c r="J471" t="n">
        <v>0</v>
      </c>
      <c r="K471" t="n">
        <v>0</v>
      </c>
      <c r="L471" t="n">
        <v>0</v>
      </c>
      <c r="M471" t="n">
        <v>0</v>
      </c>
      <c r="N471" t="n">
        <v>0</v>
      </c>
      <c r="O471" t="n">
        <v>0</v>
      </c>
      <c r="P471" t="n">
        <v>0</v>
      </c>
      <c r="Q471" t="n">
        <v>0</v>
      </c>
      <c r="R471" s="2" t="inlineStr"/>
    </row>
    <row r="472" ht="15" customHeight="1">
      <c r="A472" t="inlineStr">
        <is>
          <t>A 37263-2025</t>
        </is>
      </c>
      <c r="B472" s="1" t="n">
        <v>45876.4584837963</v>
      </c>
      <c r="C472" s="1" t="n">
        <v>45912</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32205-2025</t>
        </is>
      </c>
      <c r="B473" s="1" t="n">
        <v>45835</v>
      </c>
      <c r="C473" s="1" t="n">
        <v>45912</v>
      </c>
      <c r="D473" t="inlineStr">
        <is>
          <t>VÄSTMANLANDS LÄN</t>
        </is>
      </c>
      <c r="E473" t="inlineStr">
        <is>
          <t>SALA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37246-2025</t>
        </is>
      </c>
      <c r="B474" s="1" t="n">
        <v>45876.39435185185</v>
      </c>
      <c r="C474" s="1" t="n">
        <v>45912</v>
      </c>
      <c r="D474" t="inlineStr">
        <is>
          <t>VÄSTMANLANDS LÄN</t>
        </is>
      </c>
      <c r="E474" t="inlineStr">
        <is>
          <t>SALA</t>
        </is>
      </c>
      <c r="G474" t="n">
        <v>2.3</v>
      </c>
      <c r="H474" t="n">
        <v>0</v>
      </c>
      <c r="I474" t="n">
        <v>0</v>
      </c>
      <c r="J474" t="n">
        <v>0</v>
      </c>
      <c r="K474" t="n">
        <v>0</v>
      </c>
      <c r="L474" t="n">
        <v>0</v>
      </c>
      <c r="M474" t="n">
        <v>0</v>
      </c>
      <c r="N474" t="n">
        <v>0</v>
      </c>
      <c r="O474" t="n">
        <v>0</v>
      </c>
      <c r="P474" t="n">
        <v>0</v>
      </c>
      <c r="Q474" t="n">
        <v>0</v>
      </c>
      <c r="R474" s="2" t="inlineStr"/>
    </row>
    <row r="475" ht="15" customHeight="1">
      <c r="A475" t="inlineStr">
        <is>
          <t>A 24864-2024</t>
        </is>
      </c>
      <c r="B475" s="1" t="n">
        <v>45461.48888888889</v>
      </c>
      <c r="C475" s="1" t="n">
        <v>45912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31887-2025</t>
        </is>
      </c>
      <c r="B476" s="1" t="n">
        <v>45834.6608449074</v>
      </c>
      <c r="C476" s="1" t="n">
        <v>45912</v>
      </c>
      <c r="D476" t="inlineStr">
        <is>
          <t>VÄSTMANLANDS LÄN</t>
        </is>
      </c>
      <c r="E476" t="inlineStr">
        <is>
          <t>SALA</t>
        </is>
      </c>
      <c r="G476" t="n">
        <v>7</v>
      </c>
      <c r="H476" t="n">
        <v>0</v>
      </c>
      <c r="I476" t="n">
        <v>0</v>
      </c>
      <c r="J476" t="n">
        <v>0</v>
      </c>
      <c r="K476" t="n">
        <v>0</v>
      </c>
      <c r="L476" t="n">
        <v>0</v>
      </c>
      <c r="M476" t="n">
        <v>0</v>
      </c>
      <c r="N476" t="n">
        <v>0</v>
      </c>
      <c r="O476" t="n">
        <v>0</v>
      </c>
      <c r="P476" t="n">
        <v>0</v>
      </c>
      <c r="Q476" t="n">
        <v>0</v>
      </c>
      <c r="R476" s="2" t="inlineStr"/>
    </row>
    <row r="477" ht="15" customHeight="1">
      <c r="A477" t="inlineStr">
        <is>
          <t>A 32286-2025</t>
        </is>
      </c>
      <c r="B477" s="1" t="n">
        <v>45835</v>
      </c>
      <c r="C477" s="1" t="n">
        <v>45912</v>
      </c>
      <c r="D477" t="inlineStr">
        <is>
          <t>VÄSTMANLANDS LÄN</t>
        </is>
      </c>
      <c r="E477" t="inlineStr">
        <is>
          <t>SALA</t>
        </is>
      </c>
      <c r="G477" t="n">
        <v>6.4</v>
      </c>
      <c r="H477" t="n">
        <v>0</v>
      </c>
      <c r="I477" t="n">
        <v>0</v>
      </c>
      <c r="J477" t="n">
        <v>0</v>
      </c>
      <c r="K477" t="n">
        <v>0</v>
      </c>
      <c r="L477" t="n">
        <v>0</v>
      </c>
      <c r="M477" t="n">
        <v>0</v>
      </c>
      <c r="N477" t="n">
        <v>0</v>
      </c>
      <c r="O477" t="n">
        <v>0</v>
      </c>
      <c r="P477" t="n">
        <v>0</v>
      </c>
      <c r="Q477" t="n">
        <v>0</v>
      </c>
      <c r="R477" s="2" t="inlineStr"/>
    </row>
    <row r="478" ht="15" customHeight="1">
      <c r="A478" t="inlineStr">
        <is>
          <t>A 10579-2022</t>
        </is>
      </c>
      <c r="B478" s="1" t="n">
        <v>44624</v>
      </c>
      <c r="C478" s="1" t="n">
        <v>45912</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37590-2025</t>
        </is>
      </c>
      <c r="B479" s="1" t="n">
        <v>45880.41138888889</v>
      </c>
      <c r="C479" s="1" t="n">
        <v>45912</v>
      </c>
      <c r="D479" t="inlineStr">
        <is>
          <t>VÄSTMANLANDS LÄN</t>
        </is>
      </c>
      <c r="E479" t="inlineStr">
        <is>
          <t>SALA</t>
        </is>
      </c>
      <c r="G479" t="n">
        <v>2.2</v>
      </c>
      <c r="H479" t="n">
        <v>0</v>
      </c>
      <c r="I479" t="n">
        <v>0</v>
      </c>
      <c r="J479" t="n">
        <v>0</v>
      </c>
      <c r="K479" t="n">
        <v>0</v>
      </c>
      <c r="L479" t="n">
        <v>0</v>
      </c>
      <c r="M479" t="n">
        <v>0</v>
      </c>
      <c r="N479" t="n">
        <v>0</v>
      </c>
      <c r="O479" t="n">
        <v>0</v>
      </c>
      <c r="P479" t="n">
        <v>0</v>
      </c>
      <c r="Q479" t="n">
        <v>0</v>
      </c>
      <c r="R479" s="2" t="inlineStr"/>
    </row>
    <row r="480" ht="15" customHeight="1">
      <c r="A480" t="inlineStr">
        <is>
          <t>A 37593-2025</t>
        </is>
      </c>
      <c r="B480" s="1" t="n">
        <v>45880.41325231481</v>
      </c>
      <c r="C480" s="1" t="n">
        <v>45912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9335-2022</t>
        </is>
      </c>
      <c r="B481" s="1" t="n">
        <v>44616.56579861111</v>
      </c>
      <c r="C481" s="1" t="n">
        <v>45912</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45313-2024</t>
        </is>
      </c>
      <c r="B482" s="1" t="n">
        <v>45576</v>
      </c>
      <c r="C482" s="1" t="n">
        <v>45912</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24755-2021</t>
        </is>
      </c>
      <c r="B483" s="1" t="n">
        <v>44340</v>
      </c>
      <c r="C483" s="1" t="n">
        <v>45912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32902-2025</t>
        </is>
      </c>
      <c r="B484" s="1" t="n">
        <v>45839</v>
      </c>
      <c r="C484" s="1" t="n">
        <v>45912</v>
      </c>
      <c r="D484" t="inlineStr">
        <is>
          <t>VÄSTMANLANDS LÄN</t>
        </is>
      </c>
      <c r="E484" t="inlineStr">
        <is>
          <t>SALA</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23119-2022</t>
        </is>
      </c>
      <c r="B485" s="1" t="n">
        <v>44719.56697916667</v>
      </c>
      <c r="C485" s="1" t="n">
        <v>45912</v>
      </c>
      <c r="D485" t="inlineStr">
        <is>
          <t>VÄSTMANLANDS LÄN</t>
        </is>
      </c>
      <c r="E485" t="inlineStr">
        <is>
          <t>SALA</t>
        </is>
      </c>
      <c r="G485" t="n">
        <v>7</v>
      </c>
      <c r="H485" t="n">
        <v>0</v>
      </c>
      <c r="I485" t="n">
        <v>0</v>
      </c>
      <c r="J485" t="n">
        <v>0</v>
      </c>
      <c r="K485" t="n">
        <v>0</v>
      </c>
      <c r="L485" t="n">
        <v>0</v>
      </c>
      <c r="M485" t="n">
        <v>0</v>
      </c>
      <c r="N485" t="n">
        <v>0</v>
      </c>
      <c r="O485" t="n">
        <v>0</v>
      </c>
      <c r="P485" t="n">
        <v>0</v>
      </c>
      <c r="Q485" t="n">
        <v>0</v>
      </c>
      <c r="R485" s="2" t="inlineStr"/>
    </row>
    <row r="486" ht="15" customHeight="1">
      <c r="A486" t="inlineStr">
        <is>
          <t>A 1196-2023</t>
        </is>
      </c>
      <c r="B486" s="1" t="n">
        <v>44935.82290509259</v>
      </c>
      <c r="C486" s="1" t="n">
        <v>45912</v>
      </c>
      <c r="D486" t="inlineStr">
        <is>
          <t>VÄSTMANLANDS LÄN</t>
        </is>
      </c>
      <c r="E486" t="inlineStr">
        <is>
          <t>SALA</t>
        </is>
      </c>
      <c r="G486" t="n">
        <v>4.1</v>
      </c>
      <c r="H486" t="n">
        <v>0</v>
      </c>
      <c r="I486" t="n">
        <v>0</v>
      </c>
      <c r="J486" t="n">
        <v>0</v>
      </c>
      <c r="K486" t="n">
        <v>0</v>
      </c>
      <c r="L486" t="n">
        <v>0</v>
      </c>
      <c r="M486" t="n">
        <v>0</v>
      </c>
      <c r="N486" t="n">
        <v>0</v>
      </c>
      <c r="O486" t="n">
        <v>0</v>
      </c>
      <c r="P486" t="n">
        <v>0</v>
      </c>
      <c r="Q486" t="n">
        <v>0</v>
      </c>
      <c r="R486" s="2" t="inlineStr"/>
    </row>
    <row r="487" ht="15" customHeight="1">
      <c r="A487" t="inlineStr">
        <is>
          <t>A 61717-2024</t>
        </is>
      </c>
      <c r="B487" s="1" t="n">
        <v>45648</v>
      </c>
      <c r="C487" s="1" t="n">
        <v>45912</v>
      </c>
      <c r="D487" t="inlineStr">
        <is>
          <t>VÄSTMANLANDS LÄN</t>
        </is>
      </c>
      <c r="E487" t="inlineStr">
        <is>
          <t>SALA</t>
        </is>
      </c>
      <c r="G487" t="n">
        <v>3.7</v>
      </c>
      <c r="H487" t="n">
        <v>0</v>
      </c>
      <c r="I487" t="n">
        <v>0</v>
      </c>
      <c r="J487" t="n">
        <v>0</v>
      </c>
      <c r="K487" t="n">
        <v>0</v>
      </c>
      <c r="L487" t="n">
        <v>0</v>
      </c>
      <c r="M487" t="n">
        <v>0</v>
      </c>
      <c r="N487" t="n">
        <v>0</v>
      </c>
      <c r="O487" t="n">
        <v>0</v>
      </c>
      <c r="P487" t="n">
        <v>0</v>
      </c>
      <c r="Q487" t="n">
        <v>0</v>
      </c>
      <c r="R487" s="2" t="inlineStr"/>
    </row>
    <row r="488" ht="15" customHeight="1">
      <c r="A488" t="inlineStr">
        <is>
          <t>A 52503-2024</t>
        </is>
      </c>
      <c r="B488" s="1" t="n">
        <v>45609.58806712963</v>
      </c>
      <c r="C488" s="1" t="n">
        <v>45912</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17495-2024</t>
        </is>
      </c>
      <c r="B489" s="1" t="n">
        <v>45415</v>
      </c>
      <c r="C489" s="1" t="n">
        <v>45912</v>
      </c>
      <c r="D489" t="inlineStr">
        <is>
          <t>VÄSTMANLANDS LÄN</t>
        </is>
      </c>
      <c r="E489" t="inlineStr">
        <is>
          <t>SALA</t>
        </is>
      </c>
      <c r="G489" t="n">
        <v>3.1</v>
      </c>
      <c r="H489" t="n">
        <v>0</v>
      </c>
      <c r="I489" t="n">
        <v>0</v>
      </c>
      <c r="J489" t="n">
        <v>0</v>
      </c>
      <c r="K489" t="n">
        <v>0</v>
      </c>
      <c r="L489" t="n">
        <v>0</v>
      </c>
      <c r="M489" t="n">
        <v>0</v>
      </c>
      <c r="N489" t="n">
        <v>0</v>
      </c>
      <c r="O489" t="n">
        <v>0</v>
      </c>
      <c r="P489" t="n">
        <v>0</v>
      </c>
      <c r="Q489" t="n">
        <v>0</v>
      </c>
      <c r="R489" s="2" t="inlineStr"/>
    </row>
    <row r="490" ht="15" customHeight="1">
      <c r="A490" t="inlineStr">
        <is>
          <t>A 28696-2023</t>
        </is>
      </c>
      <c r="B490" s="1" t="n">
        <v>45103.71759259259</v>
      </c>
      <c r="C490" s="1" t="n">
        <v>45912</v>
      </c>
      <c r="D490" t="inlineStr">
        <is>
          <t>VÄSTMANLANDS LÄN</t>
        </is>
      </c>
      <c r="E490" t="inlineStr">
        <is>
          <t>SALA</t>
        </is>
      </c>
      <c r="F490" t="inlineStr">
        <is>
          <t>Kommuner</t>
        </is>
      </c>
      <c r="G490" t="n">
        <v>5.9</v>
      </c>
      <c r="H490" t="n">
        <v>0</v>
      </c>
      <c r="I490" t="n">
        <v>0</v>
      </c>
      <c r="J490" t="n">
        <v>0</v>
      </c>
      <c r="K490" t="n">
        <v>0</v>
      </c>
      <c r="L490" t="n">
        <v>0</v>
      </c>
      <c r="M490" t="n">
        <v>0</v>
      </c>
      <c r="N490" t="n">
        <v>0</v>
      </c>
      <c r="O490" t="n">
        <v>0</v>
      </c>
      <c r="P490" t="n">
        <v>0</v>
      </c>
      <c r="Q490" t="n">
        <v>0</v>
      </c>
      <c r="R490" s="2" t="inlineStr"/>
    </row>
    <row r="491" ht="15" customHeight="1">
      <c r="A491" t="inlineStr">
        <is>
          <t>A 38294-2025</t>
        </is>
      </c>
      <c r="B491" s="1" t="n">
        <v>45883.44854166666</v>
      </c>
      <c r="C491" s="1" t="n">
        <v>45912</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6691-2025</t>
        </is>
      </c>
      <c r="B492" s="1" t="n">
        <v>45700.50625</v>
      </c>
      <c r="C492" s="1" t="n">
        <v>45912</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7953-2024</t>
        </is>
      </c>
      <c r="B493" s="1" t="n">
        <v>45350</v>
      </c>
      <c r="C493" s="1" t="n">
        <v>45912</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1934-2023</t>
        </is>
      </c>
      <c r="B494" s="1" t="n">
        <v>44939.43024305555</v>
      </c>
      <c r="C494" s="1" t="n">
        <v>45912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30028-2024</t>
        </is>
      </c>
      <c r="B495" s="1" t="n">
        <v>45485</v>
      </c>
      <c r="C495" s="1" t="n">
        <v>45912</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35519-2024</t>
        </is>
      </c>
      <c r="B496" s="1" t="n">
        <v>45531</v>
      </c>
      <c r="C496" s="1" t="n">
        <v>45912</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7950-2025</t>
        </is>
      </c>
      <c r="B497" s="1" t="n">
        <v>45707.41799768519</v>
      </c>
      <c r="C497" s="1" t="n">
        <v>45912</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50241-2023</t>
        </is>
      </c>
      <c r="B498" s="1" t="n">
        <v>45216</v>
      </c>
      <c r="C498" s="1" t="n">
        <v>45912</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44768.46725694444</v>
      </c>
      <c r="C499" s="1" t="n">
        <v>45912</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35637-2022</t>
        </is>
      </c>
      <c r="B500" s="1" t="n">
        <v>44799.55194444444</v>
      </c>
      <c r="C500" s="1" t="n">
        <v>45912</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19304-2025</t>
        </is>
      </c>
      <c r="B501" s="1" t="n">
        <v>45769</v>
      </c>
      <c r="C501" s="1" t="n">
        <v>45912</v>
      </c>
      <c r="D501" t="inlineStr">
        <is>
          <t>VÄSTMANLANDS LÄN</t>
        </is>
      </c>
      <c r="E501" t="inlineStr">
        <is>
          <t>SALA</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27657-2023</t>
        </is>
      </c>
      <c r="B502" s="1" t="n">
        <v>45097.76631944445</v>
      </c>
      <c r="C502" s="1" t="n">
        <v>45912</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27038-2023</t>
        </is>
      </c>
      <c r="B503" s="1" t="n">
        <v>45095</v>
      </c>
      <c r="C503" s="1" t="n">
        <v>45912</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38574-2025</t>
        </is>
      </c>
      <c r="B504" s="1" t="n">
        <v>45884.46390046296</v>
      </c>
      <c r="C504" s="1" t="n">
        <v>45912</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23182-2022</t>
        </is>
      </c>
      <c r="B505" s="1" t="n">
        <v>44719.79707175926</v>
      </c>
      <c r="C505" s="1" t="n">
        <v>45912</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13855-2023</t>
        </is>
      </c>
      <c r="B506" s="1" t="n">
        <v>45007</v>
      </c>
      <c r="C506" s="1" t="n">
        <v>45912</v>
      </c>
      <c r="D506" t="inlineStr">
        <is>
          <t>VÄSTMANLANDS LÄN</t>
        </is>
      </c>
      <c r="E506" t="inlineStr">
        <is>
          <t>SALA</t>
        </is>
      </c>
      <c r="G506" t="n">
        <v>2.9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44788.40986111111</v>
      </c>
      <c r="C507" s="1" t="n">
        <v>45912</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47909-2022</t>
        </is>
      </c>
      <c r="B508" s="1" t="n">
        <v>44855</v>
      </c>
      <c r="C508" s="1" t="n">
        <v>45912</v>
      </c>
      <c r="D508" t="inlineStr">
        <is>
          <t>VÄSTMANLANDS LÄN</t>
        </is>
      </c>
      <c r="E508" t="inlineStr">
        <is>
          <t>SALA</t>
        </is>
      </c>
      <c r="F508" t="inlineStr">
        <is>
          <t>Bergvik skog öst AB</t>
        </is>
      </c>
      <c r="G508" t="n">
        <v>2</v>
      </c>
      <c r="H508" t="n">
        <v>0</v>
      </c>
      <c r="I508" t="n">
        <v>0</v>
      </c>
      <c r="J508" t="n">
        <v>0</v>
      </c>
      <c r="K508" t="n">
        <v>0</v>
      </c>
      <c r="L508" t="n">
        <v>0</v>
      </c>
      <c r="M508" t="n">
        <v>0</v>
      </c>
      <c r="N508" t="n">
        <v>0</v>
      </c>
      <c r="O508" t="n">
        <v>0</v>
      </c>
      <c r="P508" t="n">
        <v>0</v>
      </c>
      <c r="Q508" t="n">
        <v>0</v>
      </c>
      <c r="R508" s="2" t="inlineStr"/>
    </row>
    <row r="509" ht="15" customHeight="1">
      <c r="A509" t="inlineStr">
        <is>
          <t>A 3546-2025</t>
        </is>
      </c>
      <c r="B509" s="1" t="n">
        <v>45680</v>
      </c>
      <c r="C509" s="1" t="n">
        <v>45912</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31859-2023</t>
        </is>
      </c>
      <c r="B510" s="1" t="n">
        <v>45118</v>
      </c>
      <c r="C510" s="1" t="n">
        <v>45912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c r="U510">
        <f>HYPERLINK("https://klasma.github.io/Logging_1981/knärot/A 31859-2023 karta knärot.png", "A 31859-2023")</f>
        <v/>
      </c>
      <c r="V510">
        <f>HYPERLINK("https://klasma.github.io/Logging_1981/klagomål/A 31859-2023 FSC-klagomål.docx", "A 31859-2023")</f>
        <v/>
      </c>
      <c r="W510">
        <f>HYPERLINK("https://klasma.github.io/Logging_1981/klagomålsmail/A 31859-2023 FSC-klagomål mail.docx", "A 31859-2023")</f>
        <v/>
      </c>
      <c r="X510">
        <f>HYPERLINK("https://klasma.github.io/Logging_1981/tillsyn/A 31859-2023 tillsynsbegäran.docx", "A 31859-2023")</f>
        <v/>
      </c>
      <c r="Y510">
        <f>HYPERLINK("https://klasma.github.io/Logging_1981/tillsynsmail/A 31859-2023 tillsynsbegäran mail.docx", "A 31859-2023")</f>
        <v/>
      </c>
    </row>
    <row r="511" ht="15" customHeight="1">
      <c r="A511" t="inlineStr">
        <is>
          <t>A 7469-2025</t>
        </is>
      </c>
      <c r="B511" s="1" t="n">
        <v>45705</v>
      </c>
      <c r="C511" s="1" t="n">
        <v>45912</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60034-2024</t>
        </is>
      </c>
      <c r="B512" s="1" t="n">
        <v>45642.46261574074</v>
      </c>
      <c r="C512" s="1" t="n">
        <v>45912</v>
      </c>
      <c r="D512" t="inlineStr">
        <is>
          <t>VÄSTMANLANDS LÄN</t>
        </is>
      </c>
      <c r="E512" t="inlineStr">
        <is>
          <t>SALA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15272-2025</t>
        </is>
      </c>
      <c r="B513" s="1" t="n">
        <v>45744</v>
      </c>
      <c r="C513" s="1" t="n">
        <v>45912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11183-2023</t>
        </is>
      </c>
      <c r="B514" s="1" t="n">
        <v>44992.57782407408</v>
      </c>
      <c r="C514" s="1" t="n">
        <v>45912</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11190-2023</t>
        </is>
      </c>
      <c r="B515" s="1" t="n">
        <v>44992</v>
      </c>
      <c r="C515" s="1" t="n">
        <v>45912</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34069-2025</t>
        </is>
      </c>
      <c r="B516" s="1" t="n">
        <v>45845.43560185185</v>
      </c>
      <c r="C516" s="1" t="n">
        <v>45912</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c r="U516">
        <f>HYPERLINK("https://klasma.github.io/Logging_1981/knärot/A 34069-2025 karta knärot.png", "A 34069-2025")</f>
        <v/>
      </c>
      <c r="V516">
        <f>HYPERLINK("https://klasma.github.io/Logging_1981/klagomål/A 34069-2025 FSC-klagomål.docx", "A 34069-2025")</f>
        <v/>
      </c>
      <c r="W516">
        <f>HYPERLINK("https://klasma.github.io/Logging_1981/klagomålsmail/A 34069-2025 FSC-klagomål mail.docx", "A 34069-2025")</f>
        <v/>
      </c>
      <c r="X516">
        <f>HYPERLINK("https://klasma.github.io/Logging_1981/tillsyn/A 34069-2025 tillsynsbegäran.docx", "A 34069-2025")</f>
        <v/>
      </c>
      <c r="Y516">
        <f>HYPERLINK("https://klasma.github.io/Logging_1981/tillsynsmail/A 34069-2025 tillsynsbegäran mail.docx", "A 34069-2025")</f>
        <v/>
      </c>
    </row>
    <row r="517" ht="15" customHeight="1">
      <c r="A517" t="inlineStr">
        <is>
          <t>A 34867-2023</t>
        </is>
      </c>
      <c r="B517" s="1" t="n">
        <v>45142.33481481481</v>
      </c>
      <c r="C517" s="1" t="n">
        <v>45912</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53838-2022</t>
        </is>
      </c>
      <c r="B518" s="1" t="n">
        <v>44880.59363425926</v>
      </c>
      <c r="C518" s="1" t="n">
        <v>45912</v>
      </c>
      <c r="D518" t="inlineStr">
        <is>
          <t>VÄSTMANLANDS LÄN</t>
        </is>
      </c>
      <c r="E518" t="inlineStr">
        <is>
          <t>SALA</t>
        </is>
      </c>
      <c r="G518" t="n">
        <v>3.9</v>
      </c>
      <c r="H518" t="n">
        <v>0</v>
      </c>
      <c r="I518" t="n">
        <v>0</v>
      </c>
      <c r="J518" t="n">
        <v>0</v>
      </c>
      <c r="K518" t="n">
        <v>0</v>
      </c>
      <c r="L518" t="n">
        <v>0</v>
      </c>
      <c r="M518" t="n">
        <v>0</v>
      </c>
      <c r="N518" t="n">
        <v>0</v>
      </c>
      <c r="O518" t="n">
        <v>0</v>
      </c>
      <c r="P518" t="n">
        <v>0</v>
      </c>
      <c r="Q518" t="n">
        <v>0</v>
      </c>
      <c r="R518" s="2" t="inlineStr"/>
    </row>
    <row r="519" ht="15" customHeight="1">
      <c r="A519" t="inlineStr">
        <is>
          <t>A 6088-2021</t>
        </is>
      </c>
      <c r="B519" s="1" t="n">
        <v>44232</v>
      </c>
      <c r="C519" s="1" t="n">
        <v>45912</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11631-2023</t>
        </is>
      </c>
      <c r="B520" s="1" t="n">
        <v>44994.44001157407</v>
      </c>
      <c r="C520" s="1" t="n">
        <v>45912</v>
      </c>
      <c r="D520" t="inlineStr">
        <is>
          <t>VÄSTMANLANDS LÄN</t>
        </is>
      </c>
      <c r="E520" t="inlineStr">
        <is>
          <t>SALA</t>
        </is>
      </c>
      <c r="F520" t="inlineStr">
        <is>
          <t>Kommuner</t>
        </is>
      </c>
      <c r="G520" t="n">
        <v>1.9</v>
      </c>
      <c r="H520" t="n">
        <v>0</v>
      </c>
      <c r="I520" t="n">
        <v>0</v>
      </c>
      <c r="J520" t="n">
        <v>0</v>
      </c>
      <c r="K520" t="n">
        <v>0</v>
      </c>
      <c r="L520" t="n">
        <v>0</v>
      </c>
      <c r="M520" t="n">
        <v>0</v>
      </c>
      <c r="N520" t="n">
        <v>0</v>
      </c>
      <c r="O520" t="n">
        <v>0</v>
      </c>
      <c r="P520" t="n">
        <v>0</v>
      </c>
      <c r="Q520" t="n">
        <v>0</v>
      </c>
      <c r="R520" s="2" t="inlineStr"/>
    </row>
    <row r="521" ht="15" customHeight="1">
      <c r="A521" t="inlineStr">
        <is>
          <t>A 53166-2024</t>
        </is>
      </c>
      <c r="B521" s="1" t="n">
        <v>45611</v>
      </c>
      <c r="C521" s="1" t="n">
        <v>45912</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28827-2022</t>
        </is>
      </c>
      <c r="B522" s="1" t="n">
        <v>44749.45561342593</v>
      </c>
      <c r="C522" s="1" t="n">
        <v>45912</v>
      </c>
      <c r="D522" t="inlineStr">
        <is>
          <t>VÄSTMANLANDS LÄN</t>
        </is>
      </c>
      <c r="E522" t="inlineStr">
        <is>
          <t>SALA</t>
        </is>
      </c>
      <c r="F522" t="inlineStr">
        <is>
          <t>Kommuner</t>
        </is>
      </c>
      <c r="G522" t="n">
        <v>11.9</v>
      </c>
      <c r="H522" t="n">
        <v>0</v>
      </c>
      <c r="I522" t="n">
        <v>0</v>
      </c>
      <c r="J522" t="n">
        <v>0</v>
      </c>
      <c r="K522" t="n">
        <v>0</v>
      </c>
      <c r="L522" t="n">
        <v>0</v>
      </c>
      <c r="M522" t="n">
        <v>0</v>
      </c>
      <c r="N522" t="n">
        <v>0</v>
      </c>
      <c r="O522" t="n">
        <v>0</v>
      </c>
      <c r="P522" t="n">
        <v>0</v>
      </c>
      <c r="Q522" t="n">
        <v>0</v>
      </c>
      <c r="R522" s="2" t="inlineStr"/>
    </row>
    <row r="523" ht="15" customHeight="1">
      <c r="A523" t="inlineStr">
        <is>
          <t>A 17866-2025</t>
        </is>
      </c>
      <c r="B523" s="1" t="n">
        <v>45758</v>
      </c>
      <c r="C523" s="1" t="n">
        <v>45912</v>
      </c>
      <c r="D523" t="inlineStr">
        <is>
          <t>VÄSTMANLANDS LÄN</t>
        </is>
      </c>
      <c r="E523" t="inlineStr">
        <is>
          <t>SALA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15744-2025</t>
        </is>
      </c>
      <c r="B524" s="1" t="n">
        <v>45748</v>
      </c>
      <c r="C524" s="1" t="n">
        <v>45912</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54836-2024</t>
        </is>
      </c>
      <c r="B525" s="1" t="n">
        <v>45618</v>
      </c>
      <c r="C525" s="1" t="n">
        <v>45912</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64729-2023</t>
        </is>
      </c>
      <c r="B526" s="1" t="n">
        <v>45281</v>
      </c>
      <c r="C526" s="1" t="n">
        <v>45912</v>
      </c>
      <c r="D526" t="inlineStr">
        <is>
          <t>VÄSTMANLANDS LÄN</t>
        </is>
      </c>
      <c r="E526" t="inlineStr">
        <is>
          <t>SALA</t>
        </is>
      </c>
      <c r="G526" t="n">
        <v>1.8</v>
      </c>
      <c r="H526" t="n">
        <v>0</v>
      </c>
      <c r="I526" t="n">
        <v>0</v>
      </c>
      <c r="J526" t="n">
        <v>0</v>
      </c>
      <c r="K526" t="n">
        <v>0</v>
      </c>
      <c r="L526" t="n">
        <v>0</v>
      </c>
      <c r="M526" t="n">
        <v>0</v>
      </c>
      <c r="N526" t="n">
        <v>0</v>
      </c>
      <c r="O526" t="n">
        <v>0</v>
      </c>
      <c r="P526" t="n">
        <v>0</v>
      </c>
      <c r="Q526" t="n">
        <v>0</v>
      </c>
      <c r="R526" s="2" t="inlineStr"/>
    </row>
    <row r="527" ht="15" customHeight="1">
      <c r="A527" t="inlineStr">
        <is>
          <t>A 8775-2024</t>
        </is>
      </c>
      <c r="B527" s="1" t="n">
        <v>45356</v>
      </c>
      <c r="C527" s="1" t="n">
        <v>45912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10585-2022</t>
        </is>
      </c>
      <c r="B528" s="1" t="n">
        <v>44624</v>
      </c>
      <c r="C528" s="1" t="n">
        <v>45912</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48710-2024</t>
        </is>
      </c>
      <c r="B529" s="1" t="n">
        <v>45593.53636574074</v>
      </c>
      <c r="C529" s="1" t="n">
        <v>45912</v>
      </c>
      <c r="D529" t="inlineStr">
        <is>
          <t>VÄSTMANLANDS LÄN</t>
        </is>
      </c>
      <c r="E529" t="inlineStr">
        <is>
          <t>SALA</t>
        </is>
      </c>
      <c r="G529" t="n">
        <v>6.5</v>
      </c>
      <c r="H529" t="n">
        <v>0</v>
      </c>
      <c r="I529" t="n">
        <v>0</v>
      </c>
      <c r="J529" t="n">
        <v>0</v>
      </c>
      <c r="K529" t="n">
        <v>0</v>
      </c>
      <c r="L529" t="n">
        <v>0</v>
      </c>
      <c r="M529" t="n">
        <v>0</v>
      </c>
      <c r="N529" t="n">
        <v>0</v>
      </c>
      <c r="O529" t="n">
        <v>0</v>
      </c>
      <c r="P529" t="n">
        <v>0</v>
      </c>
      <c r="Q529" t="n">
        <v>0</v>
      </c>
      <c r="R529" s="2" t="inlineStr"/>
    </row>
    <row r="530" ht="15" customHeight="1">
      <c r="A530" t="inlineStr">
        <is>
          <t>A 22523-2023</t>
        </is>
      </c>
      <c r="B530" s="1" t="n">
        <v>45069</v>
      </c>
      <c r="C530" s="1" t="n">
        <v>45912</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39167-2025</t>
        </is>
      </c>
      <c r="B531" s="1" t="n">
        <v>45888</v>
      </c>
      <c r="C531" s="1" t="n">
        <v>45912</v>
      </c>
      <c r="D531" t="inlineStr">
        <is>
          <t>VÄSTMANLANDS LÄN</t>
        </is>
      </c>
      <c r="E531" t="inlineStr">
        <is>
          <t>SALA</t>
        </is>
      </c>
      <c r="G531" t="n">
        <v>5.5</v>
      </c>
      <c r="H531" t="n">
        <v>0</v>
      </c>
      <c r="I531" t="n">
        <v>0</v>
      </c>
      <c r="J531" t="n">
        <v>0</v>
      </c>
      <c r="K531" t="n">
        <v>0</v>
      </c>
      <c r="L531" t="n">
        <v>0</v>
      </c>
      <c r="M531" t="n">
        <v>0</v>
      </c>
      <c r="N531" t="n">
        <v>0</v>
      </c>
      <c r="O531" t="n">
        <v>0</v>
      </c>
      <c r="P531" t="n">
        <v>0</v>
      </c>
      <c r="Q531" t="n">
        <v>0</v>
      </c>
      <c r="R531" s="2" t="inlineStr"/>
    </row>
    <row r="532" ht="15" customHeight="1">
      <c r="A532" t="inlineStr">
        <is>
          <t>A 16404-2022</t>
        </is>
      </c>
      <c r="B532" s="1" t="n">
        <v>44671</v>
      </c>
      <c r="C532" s="1" t="n">
        <v>45912</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31609-2024</t>
        </is>
      </c>
      <c r="B533" s="1" t="n">
        <v>45506</v>
      </c>
      <c r="C533" s="1" t="n">
        <v>45912</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56057-2023</t>
        </is>
      </c>
      <c r="B534" s="1" t="n">
        <v>45233</v>
      </c>
      <c r="C534" s="1" t="n">
        <v>45912</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50818-2020</t>
        </is>
      </c>
      <c r="B535" s="1" t="n">
        <v>44111</v>
      </c>
      <c r="C535" s="1" t="n">
        <v>45912</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24248-2023</t>
        </is>
      </c>
      <c r="B536" s="1" t="n">
        <v>45079</v>
      </c>
      <c r="C536" s="1" t="n">
        <v>45912</v>
      </c>
      <c r="D536" t="inlineStr">
        <is>
          <t>VÄSTMANLANDS LÄN</t>
        </is>
      </c>
      <c r="E536" t="inlineStr">
        <is>
          <t>SALA</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37103-2025</t>
        </is>
      </c>
      <c r="B537" s="1" t="n">
        <v>45875.47743055555</v>
      </c>
      <c r="C537" s="1" t="n">
        <v>45912</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62635-2022</t>
        </is>
      </c>
      <c r="B538" s="1" t="n">
        <v>44917</v>
      </c>
      <c r="C538" s="1" t="n">
        <v>45912</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4852-2023</t>
        </is>
      </c>
      <c r="B539" s="1" t="n">
        <v>44957.72496527778</v>
      </c>
      <c r="C539" s="1" t="n">
        <v>45912</v>
      </c>
      <c r="D539" t="inlineStr">
        <is>
          <t>VÄSTMANLANDS LÄN</t>
        </is>
      </c>
      <c r="E539" t="inlineStr">
        <is>
          <t>SALA</t>
        </is>
      </c>
      <c r="G539" t="n">
        <v>2</v>
      </c>
      <c r="H539" t="n">
        <v>0</v>
      </c>
      <c r="I539" t="n">
        <v>0</v>
      </c>
      <c r="J539" t="n">
        <v>0</v>
      </c>
      <c r="K539" t="n">
        <v>0</v>
      </c>
      <c r="L539" t="n">
        <v>0</v>
      </c>
      <c r="M539" t="n">
        <v>0</v>
      </c>
      <c r="N539" t="n">
        <v>0</v>
      </c>
      <c r="O539" t="n">
        <v>0</v>
      </c>
      <c r="P539" t="n">
        <v>0</v>
      </c>
      <c r="Q539" t="n">
        <v>0</v>
      </c>
      <c r="R539" s="2" t="inlineStr"/>
    </row>
    <row r="540" ht="15" customHeight="1">
      <c r="A540" t="inlineStr">
        <is>
          <t>A 39714-2023</t>
        </is>
      </c>
      <c r="B540" s="1" t="n">
        <v>45167.62133101852</v>
      </c>
      <c r="C540" s="1" t="n">
        <v>45912</v>
      </c>
      <c r="D540" t="inlineStr">
        <is>
          <t>VÄSTMANLANDS LÄN</t>
        </is>
      </c>
      <c r="E540" t="inlineStr">
        <is>
          <t>SALA</t>
        </is>
      </c>
      <c r="G540" t="n">
        <v>1.3</v>
      </c>
      <c r="H540" t="n">
        <v>0</v>
      </c>
      <c r="I540" t="n">
        <v>0</v>
      </c>
      <c r="J540" t="n">
        <v>0</v>
      </c>
      <c r="K540" t="n">
        <v>0</v>
      </c>
      <c r="L540" t="n">
        <v>0</v>
      </c>
      <c r="M540" t="n">
        <v>0</v>
      </c>
      <c r="N540" t="n">
        <v>0</v>
      </c>
      <c r="O540" t="n">
        <v>0</v>
      </c>
      <c r="P540" t="n">
        <v>0</v>
      </c>
      <c r="Q540" t="n">
        <v>0</v>
      </c>
      <c r="R540" s="2" t="inlineStr"/>
    </row>
    <row r="541" ht="15" customHeight="1">
      <c r="A541" t="inlineStr">
        <is>
          <t>A 39182-2025</t>
        </is>
      </c>
      <c r="B541" s="1" t="n">
        <v>45888.66204861111</v>
      </c>
      <c r="C541" s="1" t="n">
        <v>45912</v>
      </c>
      <c r="D541" t="inlineStr">
        <is>
          <t>VÄSTMANLANDS LÄN</t>
        </is>
      </c>
      <c r="E541" t="inlineStr">
        <is>
          <t>SALA</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10559-2024</t>
        </is>
      </c>
      <c r="B542" s="1" t="n">
        <v>45366</v>
      </c>
      <c r="C542" s="1" t="n">
        <v>45912</v>
      </c>
      <c r="D542" t="inlineStr">
        <is>
          <t>VÄSTMANLANDS LÄN</t>
        </is>
      </c>
      <c r="E542" t="inlineStr">
        <is>
          <t>SALA</t>
        </is>
      </c>
      <c r="G542" t="n">
        <v>0.3</v>
      </c>
      <c r="H542" t="n">
        <v>0</v>
      </c>
      <c r="I542" t="n">
        <v>0</v>
      </c>
      <c r="J542" t="n">
        <v>0</v>
      </c>
      <c r="K542" t="n">
        <v>0</v>
      </c>
      <c r="L542" t="n">
        <v>0</v>
      </c>
      <c r="M542" t="n">
        <v>0</v>
      </c>
      <c r="N542" t="n">
        <v>0</v>
      </c>
      <c r="O542" t="n">
        <v>0</v>
      </c>
      <c r="P542" t="n">
        <v>0</v>
      </c>
      <c r="Q542" t="n">
        <v>0</v>
      </c>
      <c r="R542" s="2" t="inlineStr"/>
    </row>
    <row r="543" ht="15" customHeight="1">
      <c r="A543" t="inlineStr">
        <is>
          <t>A 40214-2023</t>
        </is>
      </c>
      <c r="B543" s="1" t="n">
        <v>45169.45173611111</v>
      </c>
      <c r="C543" s="1" t="n">
        <v>45912</v>
      </c>
      <c r="D543" t="inlineStr">
        <is>
          <t>VÄSTMANLANDS LÄN</t>
        </is>
      </c>
      <c r="E543" t="inlineStr">
        <is>
          <t>SALA</t>
        </is>
      </c>
      <c r="G543" t="n">
        <v>5.5</v>
      </c>
      <c r="H543" t="n">
        <v>0</v>
      </c>
      <c r="I543" t="n">
        <v>0</v>
      </c>
      <c r="J543" t="n">
        <v>0</v>
      </c>
      <c r="K543" t="n">
        <v>0</v>
      </c>
      <c r="L543" t="n">
        <v>0</v>
      </c>
      <c r="M543" t="n">
        <v>0</v>
      </c>
      <c r="N543" t="n">
        <v>0</v>
      </c>
      <c r="O543" t="n">
        <v>0</v>
      </c>
      <c r="P543" t="n">
        <v>0</v>
      </c>
      <c r="Q543" t="n">
        <v>0</v>
      </c>
      <c r="R543" s="2" t="inlineStr"/>
    </row>
    <row r="544" ht="15" customHeight="1">
      <c r="A544" t="inlineStr">
        <is>
          <t>A 9856-2022</t>
        </is>
      </c>
      <c r="B544" s="1" t="n">
        <v>44620</v>
      </c>
      <c r="C544" s="1" t="n">
        <v>45912</v>
      </c>
      <c r="D544" t="inlineStr">
        <is>
          <t>VÄSTMANLANDS LÄN</t>
        </is>
      </c>
      <c r="E544" t="inlineStr">
        <is>
          <t>SALA</t>
        </is>
      </c>
      <c r="G544" t="n">
        <v>2.4</v>
      </c>
      <c r="H544" t="n">
        <v>0</v>
      </c>
      <c r="I544" t="n">
        <v>0</v>
      </c>
      <c r="J544" t="n">
        <v>0</v>
      </c>
      <c r="K544" t="n">
        <v>0</v>
      </c>
      <c r="L544" t="n">
        <v>0</v>
      </c>
      <c r="M544" t="n">
        <v>0</v>
      </c>
      <c r="N544" t="n">
        <v>0</v>
      </c>
      <c r="O544" t="n">
        <v>0</v>
      </c>
      <c r="P544" t="n">
        <v>0</v>
      </c>
      <c r="Q544" t="n">
        <v>0</v>
      </c>
      <c r="R544" s="2" t="inlineStr"/>
    </row>
    <row r="545" ht="15" customHeight="1">
      <c r="A545" t="inlineStr">
        <is>
          <t>A 18100-2023</t>
        </is>
      </c>
      <c r="B545" s="1" t="n">
        <v>45040</v>
      </c>
      <c r="C545" s="1" t="n">
        <v>45912</v>
      </c>
      <c r="D545" t="inlineStr">
        <is>
          <t>VÄSTMANLANDS LÄN</t>
        </is>
      </c>
      <c r="E545" t="inlineStr">
        <is>
          <t>SALA</t>
        </is>
      </c>
      <c r="G545" t="n">
        <v>1.8</v>
      </c>
      <c r="H545" t="n">
        <v>0</v>
      </c>
      <c r="I545" t="n">
        <v>0</v>
      </c>
      <c r="J545" t="n">
        <v>0</v>
      </c>
      <c r="K545" t="n">
        <v>0</v>
      </c>
      <c r="L545" t="n">
        <v>0</v>
      </c>
      <c r="M545" t="n">
        <v>0</v>
      </c>
      <c r="N545" t="n">
        <v>0</v>
      </c>
      <c r="O545" t="n">
        <v>0</v>
      </c>
      <c r="P545" t="n">
        <v>0</v>
      </c>
      <c r="Q545" t="n">
        <v>0</v>
      </c>
      <c r="R545" s="2" t="inlineStr"/>
    </row>
    <row r="546" ht="15" customHeight="1">
      <c r="A546" t="inlineStr">
        <is>
          <t>A 42984-2023</t>
        </is>
      </c>
      <c r="B546" s="1" t="n">
        <v>45179</v>
      </c>
      <c r="C546" s="1" t="n">
        <v>45912</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38636-2024</t>
        </is>
      </c>
      <c r="B547" s="1" t="n">
        <v>45546</v>
      </c>
      <c r="C547" s="1" t="n">
        <v>45912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40554-2025</t>
        </is>
      </c>
      <c r="B548" s="1" t="n">
        <v>45896.44506944445</v>
      </c>
      <c r="C548" s="1" t="n">
        <v>45912</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40620-2025</t>
        </is>
      </c>
      <c r="B549" s="1" t="n">
        <v>45896.58609953704</v>
      </c>
      <c r="C549" s="1" t="n">
        <v>45912</v>
      </c>
      <c r="D549" t="inlineStr">
        <is>
          <t>VÄSTMANLANDS LÄN</t>
        </is>
      </c>
      <c r="E549" t="inlineStr">
        <is>
          <t>SALA</t>
        </is>
      </c>
      <c r="G549" t="n">
        <v>6.7</v>
      </c>
      <c r="H549" t="n">
        <v>0</v>
      </c>
      <c r="I549" t="n">
        <v>0</v>
      </c>
      <c r="J549" t="n">
        <v>0</v>
      </c>
      <c r="K549" t="n">
        <v>0</v>
      </c>
      <c r="L549" t="n">
        <v>0</v>
      </c>
      <c r="M549" t="n">
        <v>0</v>
      </c>
      <c r="N549" t="n">
        <v>0</v>
      </c>
      <c r="O549" t="n">
        <v>0</v>
      </c>
      <c r="P549" t="n">
        <v>0</v>
      </c>
      <c r="Q549" t="n">
        <v>0</v>
      </c>
      <c r="R549" s="2" t="inlineStr"/>
    </row>
    <row r="550" ht="15" customHeight="1">
      <c r="A550" t="inlineStr">
        <is>
          <t>A 40559-2025</t>
        </is>
      </c>
      <c r="B550" s="1" t="n">
        <v>45896.45037037037</v>
      </c>
      <c r="C550" s="1" t="n">
        <v>45912</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23374-2023</t>
        </is>
      </c>
      <c r="B551" s="1" t="n">
        <v>45076.4399537037</v>
      </c>
      <c r="C551" s="1" t="n">
        <v>45912</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56535-2022</t>
        </is>
      </c>
      <c r="B552" s="1" t="n">
        <v>44893.47173611111</v>
      </c>
      <c r="C552" s="1" t="n">
        <v>45912</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40556-2025</t>
        </is>
      </c>
      <c r="B553" s="1" t="n">
        <v>45896.44944444444</v>
      </c>
      <c r="C553" s="1" t="n">
        <v>45912</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6134-2024</t>
        </is>
      </c>
      <c r="B554" s="1" t="n">
        <v>45337</v>
      </c>
      <c r="C554" s="1" t="n">
        <v>45912</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48117-2024</t>
        </is>
      </c>
      <c r="B555" s="1" t="n">
        <v>45589</v>
      </c>
      <c r="C555" s="1" t="n">
        <v>45912</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41414-2025</t>
        </is>
      </c>
      <c r="B556" s="1" t="n">
        <v>45901.360625</v>
      </c>
      <c r="C556" s="1" t="n">
        <v>45912</v>
      </c>
      <c r="D556" t="inlineStr">
        <is>
          <t>VÄSTMANLANDS LÄN</t>
        </is>
      </c>
      <c r="E556" t="inlineStr">
        <is>
          <t>SALA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41431-2025</t>
        </is>
      </c>
      <c r="B557" s="1" t="n">
        <v>45901.39347222223</v>
      </c>
      <c r="C557" s="1" t="n">
        <v>45912</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60550-2024</t>
        </is>
      </c>
      <c r="B558" s="1" t="n">
        <v>45643</v>
      </c>
      <c r="C558" s="1" t="n">
        <v>45912</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31082-2021</t>
        </is>
      </c>
      <c r="B559" s="1" t="n">
        <v>44368</v>
      </c>
      <c r="C559" s="1" t="n">
        <v>45912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13746-2025</t>
        </is>
      </c>
      <c r="B560" s="1" t="n">
        <v>45737.40944444444</v>
      </c>
      <c r="C560" s="1" t="n">
        <v>45912</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31470-2021</t>
        </is>
      </c>
      <c r="B561" s="1" t="n">
        <v>44369</v>
      </c>
      <c r="C561" s="1" t="n">
        <v>45912</v>
      </c>
      <c r="D561" t="inlineStr">
        <is>
          <t>VÄSTMANLANDS LÄN</t>
        </is>
      </c>
      <c r="E561" t="inlineStr">
        <is>
          <t>SALA</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29230-2022</t>
        </is>
      </c>
      <c r="B562" s="1" t="n">
        <v>44750</v>
      </c>
      <c r="C562" s="1" t="n">
        <v>45912</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59175-2022</t>
        </is>
      </c>
      <c r="B563" s="1" t="n">
        <v>44904.48502314815</v>
      </c>
      <c r="C563" s="1" t="n">
        <v>45912</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19381-2025</t>
        </is>
      </c>
      <c r="B564" s="1" t="n">
        <v>45769</v>
      </c>
      <c r="C564" s="1" t="n">
        <v>45912</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24175-2024</t>
        </is>
      </c>
      <c r="B565" s="1" t="n">
        <v>45456</v>
      </c>
      <c r="C565" s="1" t="n">
        <v>45912</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42938-2023</t>
        </is>
      </c>
      <c r="B566" s="1" t="n">
        <v>45179</v>
      </c>
      <c r="C566" s="1" t="n">
        <v>45912</v>
      </c>
      <c r="D566" t="inlineStr">
        <is>
          <t>VÄSTMANLANDS LÄN</t>
        </is>
      </c>
      <c r="E566" t="inlineStr">
        <is>
          <t>SALA</t>
        </is>
      </c>
      <c r="G566" t="n">
        <v>10.9</v>
      </c>
      <c r="H566" t="n">
        <v>0</v>
      </c>
      <c r="I566" t="n">
        <v>0</v>
      </c>
      <c r="J566" t="n">
        <v>0</v>
      </c>
      <c r="K566" t="n">
        <v>0</v>
      </c>
      <c r="L566" t="n">
        <v>0</v>
      </c>
      <c r="M566" t="n">
        <v>0</v>
      </c>
      <c r="N566" t="n">
        <v>0</v>
      </c>
      <c r="O566" t="n">
        <v>0</v>
      </c>
      <c r="P566" t="n">
        <v>0</v>
      </c>
      <c r="Q566" t="n">
        <v>0</v>
      </c>
      <c r="R566" s="2" t="inlineStr"/>
    </row>
    <row r="567" ht="15" customHeight="1">
      <c r="A567" t="inlineStr">
        <is>
          <t>A 19222-2025</t>
        </is>
      </c>
      <c r="B567" s="1" t="n">
        <v>45769</v>
      </c>
      <c r="C567" s="1" t="n">
        <v>45912</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19241-2025</t>
        </is>
      </c>
      <c r="B568" s="1" t="n">
        <v>45769</v>
      </c>
      <c r="C568" s="1" t="n">
        <v>45912</v>
      </c>
      <c r="D568" t="inlineStr">
        <is>
          <t>VÄSTMANLANDS LÄN</t>
        </is>
      </c>
      <c r="E568" t="inlineStr">
        <is>
          <t>SALA</t>
        </is>
      </c>
      <c r="G568" t="n">
        <v>3.6</v>
      </c>
      <c r="H568" t="n">
        <v>0</v>
      </c>
      <c r="I568" t="n">
        <v>0</v>
      </c>
      <c r="J568" t="n">
        <v>0</v>
      </c>
      <c r="K568" t="n">
        <v>0</v>
      </c>
      <c r="L568" t="n">
        <v>0</v>
      </c>
      <c r="M568" t="n">
        <v>0</v>
      </c>
      <c r="N568" t="n">
        <v>0</v>
      </c>
      <c r="O568" t="n">
        <v>0</v>
      </c>
      <c r="P568" t="n">
        <v>0</v>
      </c>
      <c r="Q568" t="n">
        <v>0</v>
      </c>
      <c r="R568" s="2" t="inlineStr"/>
    </row>
    <row r="569" ht="15" customHeight="1">
      <c r="A569" t="inlineStr">
        <is>
          <t>A 41230-2025</t>
        </is>
      </c>
      <c r="B569" s="1" t="n">
        <v>45898</v>
      </c>
      <c r="C569" s="1" t="n">
        <v>45912</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28328-2023</t>
        </is>
      </c>
      <c r="B570" s="1" t="n">
        <v>45099.71063657408</v>
      </c>
      <c r="C570" s="1" t="n">
        <v>45912</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35775-2025</t>
        </is>
      </c>
      <c r="B571" s="1" t="n">
        <v>45860</v>
      </c>
      <c r="C571" s="1" t="n">
        <v>45912</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35779-2025</t>
        </is>
      </c>
      <c r="B572" s="1" t="n">
        <v>45860.69495370371</v>
      </c>
      <c r="C572" s="1" t="n">
        <v>45912</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60823-2024</t>
        </is>
      </c>
      <c r="B573" s="1" t="n">
        <v>45644</v>
      </c>
      <c r="C573" s="1" t="n">
        <v>45912</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35776-2025</t>
        </is>
      </c>
      <c r="B574" s="1" t="n">
        <v>45860.69211805556</v>
      </c>
      <c r="C574" s="1" t="n">
        <v>45912</v>
      </c>
      <c r="D574" t="inlineStr">
        <is>
          <t>VÄSTMANLANDS LÄN</t>
        </is>
      </c>
      <c r="E574" t="inlineStr">
        <is>
          <t>SALA</t>
        </is>
      </c>
      <c r="G574" t="n">
        <v>14.2</v>
      </c>
      <c r="H574" t="n">
        <v>0</v>
      </c>
      <c r="I574" t="n">
        <v>0</v>
      </c>
      <c r="J574" t="n">
        <v>0</v>
      </c>
      <c r="K574" t="n">
        <v>0</v>
      </c>
      <c r="L574" t="n">
        <v>0</v>
      </c>
      <c r="M574" t="n">
        <v>0</v>
      </c>
      <c r="N574" t="n">
        <v>0</v>
      </c>
      <c r="O574" t="n">
        <v>0</v>
      </c>
      <c r="P574" t="n">
        <v>0</v>
      </c>
      <c r="Q574" t="n">
        <v>0</v>
      </c>
      <c r="R574" s="2" t="inlineStr"/>
    </row>
    <row r="575" ht="15" customHeight="1">
      <c r="A575" t="inlineStr">
        <is>
          <t>A 35715-2025</t>
        </is>
      </c>
      <c r="B575" s="1" t="n">
        <v>45860.42148148148</v>
      </c>
      <c r="C575" s="1" t="n">
        <v>45912</v>
      </c>
      <c r="D575" t="inlineStr">
        <is>
          <t>VÄSTMANLANDS LÄN</t>
        </is>
      </c>
      <c r="E575" t="inlineStr">
        <is>
          <t>SALA</t>
        </is>
      </c>
      <c r="G575" t="n">
        <v>3.8</v>
      </c>
      <c r="H575" t="n">
        <v>0</v>
      </c>
      <c r="I575" t="n">
        <v>0</v>
      </c>
      <c r="J575" t="n">
        <v>0</v>
      </c>
      <c r="K575" t="n">
        <v>0</v>
      </c>
      <c r="L575" t="n">
        <v>0</v>
      </c>
      <c r="M575" t="n">
        <v>0</v>
      </c>
      <c r="N575" t="n">
        <v>0</v>
      </c>
      <c r="O575" t="n">
        <v>0</v>
      </c>
      <c r="P575" t="n">
        <v>0</v>
      </c>
      <c r="Q575" t="n">
        <v>0</v>
      </c>
      <c r="R575" s="2" t="inlineStr"/>
    </row>
    <row r="576" ht="15" customHeight="1">
      <c r="A576" t="inlineStr">
        <is>
          <t>A 922-2025</t>
        </is>
      </c>
      <c r="B576" s="1" t="n">
        <v>45665.80069444444</v>
      </c>
      <c r="C576" s="1" t="n">
        <v>45912</v>
      </c>
      <c r="D576" t="inlineStr">
        <is>
          <t>VÄSTMANLANDS LÄN</t>
        </is>
      </c>
      <c r="E576" t="inlineStr">
        <is>
          <t>SALA</t>
        </is>
      </c>
      <c r="G576" t="n">
        <v>6.2</v>
      </c>
      <c r="H576" t="n">
        <v>0</v>
      </c>
      <c r="I576" t="n">
        <v>0</v>
      </c>
      <c r="J576" t="n">
        <v>0</v>
      </c>
      <c r="K576" t="n">
        <v>0</v>
      </c>
      <c r="L576" t="n">
        <v>0</v>
      </c>
      <c r="M576" t="n">
        <v>0</v>
      </c>
      <c r="N576" t="n">
        <v>0</v>
      </c>
      <c r="O576" t="n">
        <v>0</v>
      </c>
      <c r="P576" t="n">
        <v>0</v>
      </c>
      <c r="Q576" t="n">
        <v>0</v>
      </c>
      <c r="R576" s="2" t="inlineStr"/>
    </row>
    <row r="577" ht="15" customHeight="1">
      <c r="A577" t="inlineStr">
        <is>
          <t>A 61715-2024</t>
        </is>
      </c>
      <c r="B577" s="1" t="n">
        <v>45648.89519675926</v>
      </c>
      <c r="C577" s="1" t="n">
        <v>45912</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61681-2024</t>
        </is>
      </c>
      <c r="B578" s="1" t="n">
        <v>45647</v>
      </c>
      <c r="C578" s="1" t="n">
        <v>45912</v>
      </c>
      <c r="D578" t="inlineStr">
        <is>
          <t>VÄSTMANLANDS LÄN</t>
        </is>
      </c>
      <c r="E578" t="inlineStr">
        <is>
          <t>SALA</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38195-2021</t>
        </is>
      </c>
      <c r="B579" s="1" t="n">
        <v>44405</v>
      </c>
      <c r="C579" s="1" t="n">
        <v>45912</v>
      </c>
      <c r="D579" t="inlineStr">
        <is>
          <t>VÄSTMANLANDS LÄN</t>
        </is>
      </c>
      <c r="E579" t="inlineStr">
        <is>
          <t>SALA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35651-2025</t>
        </is>
      </c>
      <c r="B580" s="1" t="n">
        <v>45859.52435185185</v>
      </c>
      <c r="C580" s="1" t="n">
        <v>45912</v>
      </c>
      <c r="D580" t="inlineStr">
        <is>
          <t>VÄSTMANLANDS LÄN</t>
        </is>
      </c>
      <c r="E580" t="inlineStr">
        <is>
          <t>SALA</t>
        </is>
      </c>
      <c r="G580" t="n">
        <v>6.3</v>
      </c>
      <c r="H580" t="n">
        <v>0</v>
      </c>
      <c r="I580" t="n">
        <v>0</v>
      </c>
      <c r="J580" t="n">
        <v>0</v>
      </c>
      <c r="K580" t="n">
        <v>0</v>
      </c>
      <c r="L580" t="n">
        <v>0</v>
      </c>
      <c r="M580" t="n">
        <v>0</v>
      </c>
      <c r="N580" t="n">
        <v>0</v>
      </c>
      <c r="O580" t="n">
        <v>0</v>
      </c>
      <c r="P580" t="n">
        <v>0</v>
      </c>
      <c r="Q580" t="n">
        <v>0</v>
      </c>
      <c r="R580" s="2" t="inlineStr"/>
    </row>
    <row r="581" ht="15" customHeight="1">
      <c r="A581" t="inlineStr">
        <is>
          <t>A 6132-2025</t>
        </is>
      </c>
      <c r="B581" s="1" t="n">
        <v>45698</v>
      </c>
      <c r="C581" s="1" t="n">
        <v>45912</v>
      </c>
      <c r="D581" t="inlineStr">
        <is>
          <t>VÄSTMANLANDS LÄN</t>
        </is>
      </c>
      <c r="E581" t="inlineStr">
        <is>
          <t>SALA</t>
        </is>
      </c>
      <c r="F581" t="inlineStr">
        <is>
          <t>Bergvik skog öst AB</t>
        </is>
      </c>
      <c r="G581" t="n">
        <v>1.5</v>
      </c>
      <c r="H581" t="n">
        <v>0</v>
      </c>
      <c r="I581" t="n">
        <v>0</v>
      </c>
      <c r="J581" t="n">
        <v>0</v>
      </c>
      <c r="K581" t="n">
        <v>0</v>
      </c>
      <c r="L581" t="n">
        <v>0</v>
      </c>
      <c r="M581" t="n">
        <v>0</v>
      </c>
      <c r="N581" t="n">
        <v>0</v>
      </c>
      <c r="O581" t="n">
        <v>0</v>
      </c>
      <c r="P581" t="n">
        <v>0</v>
      </c>
      <c r="Q581" t="n">
        <v>0</v>
      </c>
      <c r="R581" s="2" t="inlineStr"/>
    </row>
    <row r="582" ht="15" customHeight="1">
      <c r="A582" t="inlineStr">
        <is>
          <t>A 35774-2025</t>
        </is>
      </c>
      <c r="B582" s="1" t="n">
        <v>45860.68780092592</v>
      </c>
      <c r="C582" s="1" t="n">
        <v>45912</v>
      </c>
      <c r="D582" t="inlineStr">
        <is>
          <t>VÄSTMANLANDS LÄN</t>
        </is>
      </c>
      <c r="E582" t="inlineStr">
        <is>
          <t>SALA</t>
        </is>
      </c>
      <c r="G582" t="n">
        <v>6.5</v>
      </c>
      <c r="H582" t="n">
        <v>0</v>
      </c>
      <c r="I582" t="n">
        <v>0</v>
      </c>
      <c r="J582" t="n">
        <v>0</v>
      </c>
      <c r="K582" t="n">
        <v>0</v>
      </c>
      <c r="L582" t="n">
        <v>0</v>
      </c>
      <c r="M582" t="n">
        <v>0</v>
      </c>
      <c r="N582" t="n">
        <v>0</v>
      </c>
      <c r="O582" t="n">
        <v>0</v>
      </c>
      <c r="P582" t="n">
        <v>0</v>
      </c>
      <c r="Q582" t="n">
        <v>0</v>
      </c>
      <c r="R582" s="2" t="inlineStr"/>
    </row>
    <row r="583" ht="15" customHeight="1">
      <c r="A583" t="inlineStr">
        <is>
          <t>A 21777-2022</t>
        </is>
      </c>
      <c r="B583" s="1" t="n">
        <v>44708.48194444444</v>
      </c>
      <c r="C583" s="1" t="n">
        <v>45912</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11389-2024</t>
        </is>
      </c>
      <c r="B584" s="1" t="n">
        <v>45372.45016203704</v>
      </c>
      <c r="C584" s="1" t="n">
        <v>45912</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42421-2025</t>
        </is>
      </c>
      <c r="B585" s="1" t="n">
        <v>45905.40067129629</v>
      </c>
      <c r="C585" s="1" t="n">
        <v>45912</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49661-2024</t>
        </is>
      </c>
      <c r="B586" s="1" t="n">
        <v>45596</v>
      </c>
      <c r="C586" s="1" t="n">
        <v>45912</v>
      </c>
      <c r="D586" t="inlineStr">
        <is>
          <t>VÄSTMANLANDS LÄN</t>
        </is>
      </c>
      <c r="E586" t="inlineStr">
        <is>
          <t>SALA</t>
        </is>
      </c>
      <c r="G586" t="n">
        <v>6.7</v>
      </c>
      <c r="H586" t="n">
        <v>0</v>
      </c>
      <c r="I586" t="n">
        <v>0</v>
      </c>
      <c r="J586" t="n">
        <v>0</v>
      </c>
      <c r="K586" t="n">
        <v>0</v>
      </c>
      <c r="L586" t="n">
        <v>0</v>
      </c>
      <c r="M586" t="n">
        <v>0</v>
      </c>
      <c r="N586" t="n">
        <v>0</v>
      </c>
      <c r="O586" t="n">
        <v>0</v>
      </c>
      <c r="P586" t="n">
        <v>0</v>
      </c>
      <c r="Q586" t="n">
        <v>0</v>
      </c>
      <c r="R586" s="2" t="inlineStr"/>
    </row>
    <row r="587" ht="15" customHeight="1">
      <c r="A587" t="inlineStr">
        <is>
          <t>A 54923-2020</t>
        </is>
      </c>
      <c r="B587" s="1" t="n">
        <v>44127</v>
      </c>
      <c r="C587" s="1" t="n">
        <v>45912</v>
      </c>
      <c r="D587" t="inlineStr">
        <is>
          <t>VÄSTMANLANDS LÄN</t>
        </is>
      </c>
      <c r="E587" t="inlineStr">
        <is>
          <t>SALA</t>
        </is>
      </c>
      <c r="G587" t="n">
        <v>4.9</v>
      </c>
      <c r="H587" t="n">
        <v>0</v>
      </c>
      <c r="I587" t="n">
        <v>0</v>
      </c>
      <c r="J587" t="n">
        <v>0</v>
      </c>
      <c r="K587" t="n">
        <v>0</v>
      </c>
      <c r="L587" t="n">
        <v>0</v>
      </c>
      <c r="M587" t="n">
        <v>0</v>
      </c>
      <c r="N587" t="n">
        <v>0</v>
      </c>
      <c r="O587" t="n">
        <v>0</v>
      </c>
      <c r="P587" t="n">
        <v>0</v>
      </c>
      <c r="Q587" t="n">
        <v>0</v>
      </c>
      <c r="R587" s="2" t="inlineStr"/>
    </row>
    <row r="588" ht="15" customHeight="1">
      <c r="A588" t="inlineStr">
        <is>
          <t>A 59297-2023</t>
        </is>
      </c>
      <c r="B588" s="1" t="n">
        <v>45253</v>
      </c>
      <c r="C588" s="1" t="n">
        <v>45912</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2925-2024</t>
        </is>
      </c>
      <c r="B589" s="1" t="n">
        <v>45315.58909722222</v>
      </c>
      <c r="C589" s="1" t="n">
        <v>45912</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15965-2024</t>
        </is>
      </c>
      <c r="B590" s="1" t="n">
        <v>45405.55740740741</v>
      </c>
      <c r="C590" s="1" t="n">
        <v>45912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36060-2025</t>
        </is>
      </c>
      <c r="B591" s="1" t="n">
        <v>45866.39469907407</v>
      </c>
      <c r="C591" s="1" t="n">
        <v>45912</v>
      </c>
      <c r="D591" t="inlineStr">
        <is>
          <t>VÄSTMANLANDS LÄN</t>
        </is>
      </c>
      <c r="E591" t="inlineStr">
        <is>
          <t>SALA</t>
        </is>
      </c>
      <c r="F591" t="inlineStr">
        <is>
          <t>Kommuner</t>
        </is>
      </c>
      <c r="G591" t="n">
        <v>4.3</v>
      </c>
      <c r="H591" t="n">
        <v>0</v>
      </c>
      <c r="I591" t="n">
        <v>0</v>
      </c>
      <c r="J591" t="n">
        <v>0</v>
      </c>
      <c r="K591" t="n">
        <v>0</v>
      </c>
      <c r="L591" t="n">
        <v>0</v>
      </c>
      <c r="M591" t="n">
        <v>0</v>
      </c>
      <c r="N591" t="n">
        <v>0</v>
      </c>
      <c r="O591" t="n">
        <v>0</v>
      </c>
      <c r="P591" t="n">
        <v>0</v>
      </c>
      <c r="Q591" t="n">
        <v>0</v>
      </c>
      <c r="R591" s="2" t="inlineStr"/>
    </row>
    <row r="592" ht="15" customHeight="1">
      <c r="A592" t="inlineStr">
        <is>
          <t>A 43031-2025</t>
        </is>
      </c>
      <c r="B592" s="1" t="n">
        <v>45909.53856481481</v>
      </c>
      <c r="C592" s="1" t="n">
        <v>45912</v>
      </c>
      <c r="D592" t="inlineStr">
        <is>
          <t>VÄSTMANLANDS LÄN</t>
        </is>
      </c>
      <c r="E592" t="inlineStr">
        <is>
          <t>SALA</t>
        </is>
      </c>
      <c r="G592" t="n">
        <v>0.2</v>
      </c>
      <c r="H592" t="n">
        <v>0</v>
      </c>
      <c r="I592" t="n">
        <v>0</v>
      </c>
      <c r="J592" t="n">
        <v>0</v>
      </c>
      <c r="K592" t="n">
        <v>0</v>
      </c>
      <c r="L592" t="n">
        <v>0</v>
      </c>
      <c r="M592" t="n">
        <v>0</v>
      </c>
      <c r="N592" t="n">
        <v>0</v>
      </c>
      <c r="O592" t="n">
        <v>0</v>
      </c>
      <c r="P592" t="n">
        <v>0</v>
      </c>
      <c r="Q592" t="n">
        <v>0</v>
      </c>
      <c r="R592" s="2" t="inlineStr"/>
    </row>
    <row r="593" ht="15" customHeight="1">
      <c r="A593" t="inlineStr">
        <is>
          <t>A 39439-2021</t>
        </is>
      </c>
      <c r="B593" s="1" t="n">
        <v>44414</v>
      </c>
      <c r="C593" s="1" t="n">
        <v>45912</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23180-2022</t>
        </is>
      </c>
      <c r="B594" s="1" t="n">
        <v>44719.79344907407</v>
      </c>
      <c r="C594" s="1" t="n">
        <v>45912</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21455-2023</t>
        </is>
      </c>
      <c r="B595" s="1" t="n">
        <v>45058</v>
      </c>
      <c r="C595" s="1" t="n">
        <v>45912</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36031-2025</t>
        </is>
      </c>
      <c r="B596" s="1" t="n">
        <v>45865.46111111111</v>
      </c>
      <c r="C596" s="1" t="n">
        <v>45912</v>
      </c>
      <c r="D596" t="inlineStr">
        <is>
          <t>VÄSTMANLANDS LÄN</t>
        </is>
      </c>
      <c r="E596" t="inlineStr">
        <is>
          <t>SALA</t>
        </is>
      </c>
      <c r="G596" t="n">
        <v>7.2</v>
      </c>
      <c r="H596" t="n">
        <v>0</v>
      </c>
      <c r="I596" t="n">
        <v>0</v>
      </c>
      <c r="J596" t="n">
        <v>0</v>
      </c>
      <c r="K596" t="n">
        <v>0</v>
      </c>
      <c r="L596" t="n">
        <v>0</v>
      </c>
      <c r="M596" t="n">
        <v>0</v>
      </c>
      <c r="N596" t="n">
        <v>0</v>
      </c>
      <c r="O596" t="n">
        <v>0</v>
      </c>
      <c r="P596" t="n">
        <v>0</v>
      </c>
      <c r="Q596" t="n">
        <v>0</v>
      </c>
      <c r="R596" s="2" t="inlineStr"/>
    </row>
    <row r="597" ht="15" customHeight="1">
      <c r="A597" t="inlineStr">
        <is>
          <t>A 36043-2025</t>
        </is>
      </c>
      <c r="B597" s="1" t="n">
        <v>45866.35333333333</v>
      </c>
      <c r="C597" s="1" t="n">
        <v>45912</v>
      </c>
      <c r="D597" t="inlineStr">
        <is>
          <t>VÄSTMANLANDS LÄN</t>
        </is>
      </c>
      <c r="E597" t="inlineStr">
        <is>
          <t>SALA</t>
        </is>
      </c>
      <c r="F597" t="inlineStr">
        <is>
          <t>Kommuner</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36032-2025</t>
        </is>
      </c>
      <c r="B598" s="1" t="n">
        <v>45865.48740740741</v>
      </c>
      <c r="C598" s="1" t="n">
        <v>45912</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36049-2025</t>
        </is>
      </c>
      <c r="B599" s="1" t="n">
        <v>45866.37065972222</v>
      </c>
      <c r="C599" s="1" t="n">
        <v>45912</v>
      </c>
      <c r="D599" t="inlineStr">
        <is>
          <t>VÄSTMANLANDS LÄN</t>
        </is>
      </c>
      <c r="E599" t="inlineStr">
        <is>
          <t>SALA</t>
        </is>
      </c>
      <c r="F599" t="inlineStr">
        <is>
          <t>Kommuner</t>
        </is>
      </c>
      <c r="G599" t="n">
        <v>1.9</v>
      </c>
      <c r="H599" t="n">
        <v>0</v>
      </c>
      <c r="I599" t="n">
        <v>0</v>
      </c>
      <c r="J599" t="n">
        <v>0</v>
      </c>
      <c r="K599" t="n">
        <v>0</v>
      </c>
      <c r="L599" t="n">
        <v>0</v>
      </c>
      <c r="M599" t="n">
        <v>0</v>
      </c>
      <c r="N599" t="n">
        <v>0</v>
      </c>
      <c r="O599" t="n">
        <v>0</v>
      </c>
      <c r="P599" t="n">
        <v>0</v>
      </c>
      <c r="Q599" t="n">
        <v>0</v>
      </c>
      <c r="R599" s="2" t="inlineStr"/>
    </row>
    <row r="600" ht="15" customHeight="1">
      <c r="A600" t="inlineStr">
        <is>
          <t>A 21053-2022</t>
        </is>
      </c>
      <c r="B600" s="1" t="n">
        <v>44704</v>
      </c>
      <c r="C600" s="1" t="n">
        <v>45912</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3332-2024</t>
        </is>
      </c>
      <c r="B601" s="1" t="n">
        <v>45317</v>
      </c>
      <c r="C601" s="1" t="n">
        <v>45912</v>
      </c>
      <c r="D601" t="inlineStr">
        <is>
          <t>VÄSTMANLANDS LÄN</t>
        </is>
      </c>
      <c r="E601" t="inlineStr">
        <is>
          <t>SALA</t>
        </is>
      </c>
      <c r="G601" t="n">
        <v>2</v>
      </c>
      <c r="H601" t="n">
        <v>0</v>
      </c>
      <c r="I601" t="n">
        <v>0</v>
      </c>
      <c r="J601" t="n">
        <v>0</v>
      </c>
      <c r="K601" t="n">
        <v>0</v>
      </c>
      <c r="L601" t="n">
        <v>0</v>
      </c>
      <c r="M601" t="n">
        <v>0</v>
      </c>
      <c r="N601" t="n">
        <v>0</v>
      </c>
      <c r="O601" t="n">
        <v>0</v>
      </c>
      <c r="P601" t="n">
        <v>0</v>
      </c>
      <c r="Q601" t="n">
        <v>0</v>
      </c>
      <c r="R601" s="2" t="inlineStr"/>
    </row>
    <row r="602" ht="15" customHeight="1">
      <c r="A602" t="inlineStr">
        <is>
          <t>A 11927-2025</t>
        </is>
      </c>
      <c r="B602" s="1" t="n">
        <v>45728.5137962963</v>
      </c>
      <c r="C602" s="1" t="n">
        <v>45912</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43028-2025</t>
        </is>
      </c>
      <c r="B603" s="1" t="n">
        <v>45909.53472222222</v>
      </c>
      <c r="C603" s="1" t="n">
        <v>45912</v>
      </c>
      <c r="D603" t="inlineStr">
        <is>
          <t>VÄSTMANLANDS LÄN</t>
        </is>
      </c>
      <c r="E603" t="inlineStr">
        <is>
          <t>SALA</t>
        </is>
      </c>
      <c r="G603" t="n">
        <v>3.8</v>
      </c>
      <c r="H603" t="n">
        <v>0</v>
      </c>
      <c r="I603" t="n">
        <v>0</v>
      </c>
      <c r="J603" t="n">
        <v>0</v>
      </c>
      <c r="K603" t="n">
        <v>0</v>
      </c>
      <c r="L603" t="n">
        <v>0</v>
      </c>
      <c r="M603" t="n">
        <v>0</v>
      </c>
      <c r="N603" t="n">
        <v>0</v>
      </c>
      <c r="O603" t="n">
        <v>0</v>
      </c>
      <c r="P603" t="n">
        <v>0</v>
      </c>
      <c r="Q603" t="n">
        <v>0</v>
      </c>
      <c r="R603" s="2" t="inlineStr"/>
    </row>
    <row r="604" ht="15" customHeight="1">
      <c r="A604" t="inlineStr">
        <is>
          <t>A 2529-2022</t>
        </is>
      </c>
      <c r="B604" s="1" t="n">
        <v>44579.86452546297</v>
      </c>
      <c r="C604" s="1" t="n">
        <v>45912</v>
      </c>
      <c r="D604" t="inlineStr">
        <is>
          <t>VÄSTMANLANDS LÄN</t>
        </is>
      </c>
      <c r="E604" t="inlineStr">
        <is>
          <t>SALA</t>
        </is>
      </c>
      <c r="G604" t="n">
        <v>1.7</v>
      </c>
      <c r="H604" t="n">
        <v>0</v>
      </c>
      <c r="I604" t="n">
        <v>0</v>
      </c>
      <c r="J604" t="n">
        <v>0</v>
      </c>
      <c r="K604" t="n">
        <v>0</v>
      </c>
      <c r="L604" t="n">
        <v>0</v>
      </c>
      <c r="M604" t="n">
        <v>0</v>
      </c>
      <c r="N604" t="n">
        <v>0</v>
      </c>
      <c r="O604" t="n">
        <v>0</v>
      </c>
      <c r="P604" t="n">
        <v>0</v>
      </c>
      <c r="Q604" t="n">
        <v>0</v>
      </c>
      <c r="R604" s="2" t="inlineStr"/>
    </row>
    <row r="605" ht="15" customHeight="1">
      <c r="A605" t="inlineStr">
        <is>
          <t>A 36045-2025</t>
        </is>
      </c>
      <c r="B605" s="1" t="n">
        <v>45866.36200231482</v>
      </c>
      <c r="C605" s="1" t="n">
        <v>45912</v>
      </c>
      <c r="D605" t="inlineStr">
        <is>
          <t>VÄSTMANLANDS LÄN</t>
        </is>
      </c>
      <c r="E605" t="inlineStr">
        <is>
          <t>SALA</t>
        </is>
      </c>
      <c r="F605" t="inlineStr">
        <is>
          <t>Kommuner</t>
        </is>
      </c>
      <c r="G605" t="n">
        <v>1.7</v>
      </c>
      <c r="H605" t="n">
        <v>0</v>
      </c>
      <c r="I605" t="n">
        <v>0</v>
      </c>
      <c r="J605" t="n">
        <v>0</v>
      </c>
      <c r="K605" t="n">
        <v>0</v>
      </c>
      <c r="L605" t="n">
        <v>0</v>
      </c>
      <c r="M605" t="n">
        <v>0</v>
      </c>
      <c r="N605" t="n">
        <v>0</v>
      </c>
      <c r="O605" t="n">
        <v>0</v>
      </c>
      <c r="P605" t="n">
        <v>0</v>
      </c>
      <c r="Q605" t="n">
        <v>0</v>
      </c>
      <c r="R605" s="2" t="inlineStr"/>
    </row>
    <row r="606" ht="15" customHeight="1">
      <c r="A606" t="inlineStr">
        <is>
          <t>A 43328-2025</t>
        </is>
      </c>
      <c r="B606" s="1" t="n">
        <v>45910</v>
      </c>
      <c r="C606" s="1" t="n">
        <v>45912</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13471-2025</t>
        </is>
      </c>
      <c r="B607" s="1" t="n">
        <v>45736.40579861111</v>
      </c>
      <c r="C607" s="1" t="n">
        <v>45912</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15681-2025</t>
        </is>
      </c>
      <c r="B608" s="1" t="n">
        <v>45748.45454861111</v>
      </c>
      <c r="C608" s="1" t="n">
        <v>45912</v>
      </c>
      <c r="D608" t="inlineStr">
        <is>
          <t>VÄSTMANLANDS LÄN</t>
        </is>
      </c>
      <c r="E608" t="inlineStr">
        <is>
          <t>SALA</t>
        </is>
      </c>
      <c r="F608" t="inlineStr">
        <is>
          <t>Bergvik skog öst AB</t>
        </is>
      </c>
      <c r="G608" t="n">
        <v>4.3</v>
      </c>
      <c r="H608" t="n">
        <v>0</v>
      </c>
      <c r="I608" t="n">
        <v>0</v>
      </c>
      <c r="J608" t="n">
        <v>0</v>
      </c>
      <c r="K608" t="n">
        <v>0</v>
      </c>
      <c r="L608" t="n">
        <v>0</v>
      </c>
      <c r="M608" t="n">
        <v>0</v>
      </c>
      <c r="N608" t="n">
        <v>0</v>
      </c>
      <c r="O608" t="n">
        <v>0</v>
      </c>
      <c r="P608" t="n">
        <v>0</v>
      </c>
      <c r="Q608" t="n">
        <v>0</v>
      </c>
      <c r="R608" s="2" t="inlineStr"/>
    </row>
    <row r="609" ht="15" customHeight="1">
      <c r="A609" t="inlineStr">
        <is>
          <t>A 18431-2023</t>
        </is>
      </c>
      <c r="B609" s="1" t="n">
        <v>45042</v>
      </c>
      <c r="C609" s="1" t="n">
        <v>45912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27424-2023</t>
        </is>
      </c>
      <c r="B610" s="1" t="n">
        <v>45097.37690972222</v>
      </c>
      <c r="C610" s="1" t="n">
        <v>45912</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50876-2023</t>
        </is>
      </c>
      <c r="B611" s="1" t="n">
        <v>45211</v>
      </c>
      <c r="C611" s="1" t="n">
        <v>45912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58701-2021</t>
        </is>
      </c>
      <c r="B612" s="1" t="n">
        <v>44489.46454861111</v>
      </c>
      <c r="C612" s="1" t="n">
        <v>45912</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10255-2024</t>
        </is>
      </c>
      <c r="B613" s="1" t="n">
        <v>45365</v>
      </c>
      <c r="C613" s="1" t="n">
        <v>45912</v>
      </c>
      <c r="D613" t="inlineStr">
        <is>
          <t>VÄSTMANLANDS LÄN</t>
        </is>
      </c>
      <c r="E613" t="inlineStr">
        <is>
          <t>SALA</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45912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11244-2024</t>
        </is>
      </c>
      <c r="B615" s="1" t="n">
        <v>45371</v>
      </c>
      <c r="C615" s="1" t="n">
        <v>45912</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12225-2023</t>
        </is>
      </c>
      <c r="B616" s="1" t="n">
        <v>44995</v>
      </c>
      <c r="C616" s="1" t="n">
        <v>45912</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61874-2021</t>
        </is>
      </c>
      <c r="B617" s="1" t="n">
        <v>44502</v>
      </c>
      <c r="C617" s="1" t="n">
        <v>45912</v>
      </c>
      <c r="D617" t="inlineStr">
        <is>
          <t>VÄSTMANLANDS LÄN</t>
        </is>
      </c>
      <c r="E617" t="inlineStr">
        <is>
          <t>SALA</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56548-2024</t>
        </is>
      </c>
      <c r="B618" s="1" t="n">
        <v>45625</v>
      </c>
      <c r="C618" s="1" t="n">
        <v>45912</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5477-2024</t>
        </is>
      </c>
      <c r="B619" s="1" t="n">
        <v>45333.67833333334</v>
      </c>
      <c r="C619" s="1" t="n">
        <v>45912</v>
      </c>
      <c r="D619" t="inlineStr">
        <is>
          <t>VÄSTMANLANDS LÄN</t>
        </is>
      </c>
      <c r="E619" t="inlineStr">
        <is>
          <t>SALA</t>
        </is>
      </c>
      <c r="G619" t="n">
        <v>2.3</v>
      </c>
      <c r="H619" t="n">
        <v>0</v>
      </c>
      <c r="I619" t="n">
        <v>0</v>
      </c>
      <c r="J619" t="n">
        <v>0</v>
      </c>
      <c r="K619" t="n">
        <v>0</v>
      </c>
      <c r="L619" t="n">
        <v>0</v>
      </c>
      <c r="M619" t="n">
        <v>0</v>
      </c>
      <c r="N619" t="n">
        <v>0</v>
      </c>
      <c r="O619" t="n">
        <v>0</v>
      </c>
      <c r="P619" t="n">
        <v>0</v>
      </c>
      <c r="Q619" t="n">
        <v>0</v>
      </c>
      <c r="R619" s="2" t="inlineStr"/>
    </row>
    <row r="620" ht="15" customHeight="1">
      <c r="A620" t="inlineStr">
        <is>
          <t>A 39451-2022</t>
        </is>
      </c>
      <c r="B620" s="1" t="n">
        <v>44818.36606481481</v>
      </c>
      <c r="C620" s="1" t="n">
        <v>45912</v>
      </c>
      <c r="D620" t="inlineStr">
        <is>
          <t>VÄSTMANLANDS LÄN</t>
        </is>
      </c>
      <c r="E620" t="inlineStr">
        <is>
          <t>SALA</t>
        </is>
      </c>
      <c r="G620" t="n">
        <v>9.4</v>
      </c>
      <c r="H620" t="n">
        <v>0</v>
      </c>
      <c r="I620" t="n">
        <v>0</v>
      </c>
      <c r="J620" t="n">
        <v>0</v>
      </c>
      <c r="K620" t="n">
        <v>0</v>
      </c>
      <c r="L620" t="n">
        <v>0</v>
      </c>
      <c r="M620" t="n">
        <v>0</v>
      </c>
      <c r="N620" t="n">
        <v>0</v>
      </c>
      <c r="O620" t="n">
        <v>0</v>
      </c>
      <c r="P620" t="n">
        <v>0</v>
      </c>
      <c r="Q620" t="n">
        <v>0</v>
      </c>
      <c r="R620" s="2" t="inlineStr"/>
    </row>
    <row r="621" ht="15" customHeight="1">
      <c r="A621" t="inlineStr">
        <is>
          <t>A 62651-2022</t>
        </is>
      </c>
      <c r="B621" s="1" t="n">
        <v>44917</v>
      </c>
      <c r="C621" s="1" t="n">
        <v>45912</v>
      </c>
      <c r="D621" t="inlineStr">
        <is>
          <t>VÄSTMANLANDS LÄN</t>
        </is>
      </c>
      <c r="E621" t="inlineStr">
        <is>
          <t>SALA</t>
        </is>
      </c>
      <c r="G621" t="n">
        <v>0.4</v>
      </c>
      <c r="H621" t="n">
        <v>0</v>
      </c>
      <c r="I621" t="n">
        <v>0</v>
      </c>
      <c r="J621" t="n">
        <v>0</v>
      </c>
      <c r="K621" t="n">
        <v>0</v>
      </c>
      <c r="L621" t="n">
        <v>0</v>
      </c>
      <c r="M621" t="n">
        <v>0</v>
      </c>
      <c r="N621" t="n">
        <v>0</v>
      </c>
      <c r="O621" t="n">
        <v>0</v>
      </c>
      <c r="P621" t="n">
        <v>0</v>
      </c>
      <c r="Q621" t="n">
        <v>0</v>
      </c>
      <c r="R621" s="2" t="inlineStr"/>
    </row>
    <row r="622" ht="15" customHeight="1">
      <c r="A622" t="inlineStr">
        <is>
          <t>A 15968-2024</t>
        </is>
      </c>
      <c r="B622" s="1" t="n">
        <v>45405.56021990741</v>
      </c>
      <c r="C622" s="1" t="n">
        <v>45912</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60730-2023</t>
        </is>
      </c>
      <c r="B623" s="1" t="n">
        <v>45260</v>
      </c>
      <c r="C623" s="1" t="n">
        <v>45912</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60731-2023</t>
        </is>
      </c>
      <c r="B624" s="1" t="n">
        <v>45260</v>
      </c>
      <c r="C624" s="1" t="n">
        <v>45912</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7772-2023</t>
        </is>
      </c>
      <c r="B625" s="1" t="n">
        <v>44973.40076388889</v>
      </c>
      <c r="C625" s="1" t="n">
        <v>45912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18461-2024</t>
        </is>
      </c>
      <c r="B626" s="1" t="n">
        <v>45425.47435185185</v>
      </c>
      <c r="C626" s="1" t="n">
        <v>45912</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4663-2022</t>
        </is>
      </c>
      <c r="B627" s="1" t="n">
        <v>44592.45429398148</v>
      </c>
      <c r="C627" s="1" t="n">
        <v>45912</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6032-2025</t>
        </is>
      </c>
      <c r="B628" s="1" t="n">
        <v>45695.6371875</v>
      </c>
      <c r="C628" s="1" t="n">
        <v>45912</v>
      </c>
      <c r="D628" t="inlineStr">
        <is>
          <t>VÄSTMANLANDS LÄN</t>
        </is>
      </c>
      <c r="E628" t="inlineStr">
        <is>
          <t>SALA</t>
        </is>
      </c>
      <c r="F628" t="inlineStr">
        <is>
          <t>Bergvik skog öst AB</t>
        </is>
      </c>
      <c r="G628" t="n">
        <v>8.1</v>
      </c>
      <c r="H628" t="n">
        <v>0</v>
      </c>
      <c r="I628" t="n">
        <v>0</v>
      </c>
      <c r="J628" t="n">
        <v>0</v>
      </c>
      <c r="K628" t="n">
        <v>0</v>
      </c>
      <c r="L628" t="n">
        <v>0</v>
      </c>
      <c r="M628" t="n">
        <v>0</v>
      </c>
      <c r="N628" t="n">
        <v>0</v>
      </c>
      <c r="O628" t="n">
        <v>0</v>
      </c>
      <c r="P628" t="n">
        <v>0</v>
      </c>
      <c r="Q628" t="n">
        <v>0</v>
      </c>
      <c r="R628" s="2" t="inlineStr"/>
    </row>
    <row r="629" ht="15" customHeight="1">
      <c r="A629" t="inlineStr">
        <is>
          <t>A 54771-2024</t>
        </is>
      </c>
      <c r="B629" s="1" t="n">
        <v>45618</v>
      </c>
      <c r="C629" s="1" t="n">
        <v>45912</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19751-2022</t>
        </is>
      </c>
      <c r="B630" s="1" t="n">
        <v>44694</v>
      </c>
      <c r="C630" s="1" t="n">
        <v>45912</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44713-2023</t>
        </is>
      </c>
      <c r="B631" s="1" t="n">
        <v>45184</v>
      </c>
      <c r="C631" s="1" t="n">
        <v>45912</v>
      </c>
      <c r="D631" t="inlineStr">
        <is>
          <t>VÄSTMANLANDS LÄN</t>
        </is>
      </c>
      <c r="E631" t="inlineStr">
        <is>
          <t>SALA</t>
        </is>
      </c>
      <c r="F631" t="inlineStr">
        <is>
          <t>Kyrkan</t>
        </is>
      </c>
      <c r="G631" t="n">
        <v>7.6</v>
      </c>
      <c r="H631" t="n">
        <v>0</v>
      </c>
      <c r="I631" t="n">
        <v>0</v>
      </c>
      <c r="J631" t="n">
        <v>0</v>
      </c>
      <c r="K631" t="n">
        <v>0</v>
      </c>
      <c r="L631" t="n">
        <v>0</v>
      </c>
      <c r="M631" t="n">
        <v>0</v>
      </c>
      <c r="N631" t="n">
        <v>0</v>
      </c>
      <c r="O631" t="n">
        <v>0</v>
      </c>
      <c r="P631" t="n">
        <v>0</v>
      </c>
      <c r="Q631" t="n">
        <v>0</v>
      </c>
      <c r="R631" s="2" t="inlineStr"/>
    </row>
    <row r="632" ht="15" customHeight="1">
      <c r="A632" t="inlineStr">
        <is>
          <t>A 18713-2025</t>
        </is>
      </c>
      <c r="B632" s="1" t="n">
        <v>45763</v>
      </c>
      <c r="C632" s="1" t="n">
        <v>45912</v>
      </c>
      <c r="D632" t="inlineStr">
        <is>
          <t>VÄSTMANLANDS LÄN</t>
        </is>
      </c>
      <c r="E632" t="inlineStr">
        <is>
          <t>SALA</t>
        </is>
      </c>
      <c r="F632" t="inlineStr">
        <is>
          <t>Bergvik skog öst AB</t>
        </is>
      </c>
      <c r="G632" t="n">
        <v>11.6</v>
      </c>
      <c r="H632" t="n">
        <v>0</v>
      </c>
      <c r="I632" t="n">
        <v>0</v>
      </c>
      <c r="J632" t="n">
        <v>0</v>
      </c>
      <c r="K632" t="n">
        <v>0</v>
      </c>
      <c r="L632" t="n">
        <v>0</v>
      </c>
      <c r="M632" t="n">
        <v>0</v>
      </c>
      <c r="N632" t="n">
        <v>0</v>
      </c>
      <c r="O632" t="n">
        <v>0</v>
      </c>
      <c r="P632" t="n">
        <v>0</v>
      </c>
      <c r="Q632" t="n">
        <v>0</v>
      </c>
      <c r="R632" s="2" t="inlineStr"/>
    </row>
    <row r="633" ht="15" customHeight="1">
      <c r="A633" t="inlineStr">
        <is>
          <t>A 47479-2024</t>
        </is>
      </c>
      <c r="B633" s="1" t="n">
        <v>45587</v>
      </c>
      <c r="C633" s="1" t="n">
        <v>45912</v>
      </c>
      <c r="D633" t="inlineStr">
        <is>
          <t>VÄSTMANLANDS LÄN</t>
        </is>
      </c>
      <c r="E633" t="inlineStr">
        <is>
          <t>SALA</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45912</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17766-2025</t>
        </is>
      </c>
      <c r="B635" s="1" t="n">
        <v>45758</v>
      </c>
      <c r="C635" s="1" t="n">
        <v>45912</v>
      </c>
      <c r="D635" t="inlineStr">
        <is>
          <t>VÄSTMANLANDS LÄN</t>
        </is>
      </c>
      <c r="E635" t="inlineStr">
        <is>
          <t>SALA</t>
        </is>
      </c>
      <c r="G635" t="n">
        <v>16.5</v>
      </c>
      <c r="H635" t="n">
        <v>0</v>
      </c>
      <c r="I635" t="n">
        <v>0</v>
      </c>
      <c r="J635" t="n">
        <v>0</v>
      </c>
      <c r="K635" t="n">
        <v>0</v>
      </c>
      <c r="L635" t="n">
        <v>0</v>
      </c>
      <c r="M635" t="n">
        <v>0</v>
      </c>
      <c r="N635" t="n">
        <v>0</v>
      </c>
      <c r="O635" t="n">
        <v>0</v>
      </c>
      <c r="P635" t="n">
        <v>0</v>
      </c>
      <c r="Q635" t="n">
        <v>0</v>
      </c>
      <c r="R635" s="2" t="inlineStr"/>
    </row>
    <row r="636" ht="15" customHeight="1">
      <c r="A636" t="inlineStr">
        <is>
          <t>A 25541-2024</t>
        </is>
      </c>
      <c r="B636" s="1" t="n">
        <v>45463.56337962963</v>
      </c>
      <c r="C636" s="1" t="n">
        <v>45912</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2766-2024</t>
        </is>
      </c>
      <c r="B637" s="1" t="n">
        <v>45314.60950231482</v>
      </c>
      <c r="C637" s="1" t="n">
        <v>45912</v>
      </c>
      <c r="D637" t="inlineStr">
        <is>
          <t>VÄSTMANLANDS LÄN</t>
        </is>
      </c>
      <c r="E637" t="inlineStr">
        <is>
          <t>SALA</t>
        </is>
      </c>
      <c r="G637" t="n">
        <v>2.8</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45912</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45187-2024</t>
        </is>
      </c>
      <c r="B639" s="1" t="n">
        <v>45575</v>
      </c>
      <c r="C639" s="1" t="n">
        <v>45912</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5728-2022</t>
        </is>
      </c>
      <c r="B640" s="1" t="n">
        <v>44596.42082175926</v>
      </c>
      <c r="C640" s="1" t="n">
        <v>45912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33527-2023</t>
        </is>
      </c>
      <c r="B641" s="1" t="n">
        <v>45131</v>
      </c>
      <c r="C641" s="1" t="n">
        <v>45912</v>
      </c>
      <c r="D641" t="inlineStr">
        <is>
          <t>VÄSTMANLANDS LÄN</t>
        </is>
      </c>
      <c r="E641" t="inlineStr">
        <is>
          <t>SALA</t>
        </is>
      </c>
      <c r="G641" t="n">
        <v>1</v>
      </c>
      <c r="H641" t="n">
        <v>0</v>
      </c>
      <c r="I641" t="n">
        <v>0</v>
      </c>
      <c r="J641" t="n">
        <v>0</v>
      </c>
      <c r="K641" t="n">
        <v>0</v>
      </c>
      <c r="L641" t="n">
        <v>0</v>
      </c>
      <c r="M641" t="n">
        <v>0</v>
      </c>
      <c r="N641" t="n">
        <v>0</v>
      </c>
      <c r="O641" t="n">
        <v>0</v>
      </c>
      <c r="P641" t="n">
        <v>0</v>
      </c>
      <c r="Q641" t="n">
        <v>0</v>
      </c>
      <c r="R641" s="2" t="inlineStr"/>
    </row>
    <row r="642" ht="15" customHeight="1">
      <c r="A642" t="inlineStr">
        <is>
          <t>A 7377-2023</t>
        </is>
      </c>
      <c r="B642" s="1" t="n">
        <v>44971</v>
      </c>
      <c r="C642" s="1" t="n">
        <v>45912</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6308-2021</t>
        </is>
      </c>
      <c r="B643" s="1" t="n">
        <v>44235</v>
      </c>
      <c r="C643" s="1" t="n">
        <v>45912</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10250-2025</t>
        </is>
      </c>
      <c r="B644" s="1" t="n">
        <v>45720.36165509259</v>
      </c>
      <c r="C644" s="1" t="n">
        <v>45912</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21159-2022</t>
        </is>
      </c>
      <c r="B645" s="1" t="n">
        <v>44704</v>
      </c>
      <c r="C645" s="1" t="n">
        <v>45912</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49512-2024</t>
        </is>
      </c>
      <c r="B646" s="1" t="n">
        <v>45591</v>
      </c>
      <c r="C646" s="1" t="n">
        <v>45912</v>
      </c>
      <c r="D646" t="inlineStr">
        <is>
          <t>VÄSTMANLANDS LÄN</t>
        </is>
      </c>
      <c r="E646" t="inlineStr">
        <is>
          <t>SALA</t>
        </is>
      </c>
      <c r="G646" t="n">
        <v>8.1</v>
      </c>
      <c r="H646" t="n">
        <v>0</v>
      </c>
      <c r="I646" t="n">
        <v>0</v>
      </c>
      <c r="J646" t="n">
        <v>0</v>
      </c>
      <c r="K646" t="n">
        <v>0</v>
      </c>
      <c r="L646" t="n">
        <v>0</v>
      </c>
      <c r="M646" t="n">
        <v>0</v>
      </c>
      <c r="N646" t="n">
        <v>0</v>
      </c>
      <c r="O646" t="n">
        <v>0</v>
      </c>
      <c r="P646" t="n">
        <v>0</v>
      </c>
      <c r="Q646" t="n">
        <v>0</v>
      </c>
      <c r="R646" s="2" t="inlineStr"/>
    </row>
    <row r="647" ht="15" customHeight="1">
      <c r="A647" t="inlineStr">
        <is>
          <t>A 42416-2022</t>
        </is>
      </c>
      <c r="B647" s="1" t="n">
        <v>44831</v>
      </c>
      <c r="C647" s="1" t="n">
        <v>45912</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44964.62628472222</v>
      </c>
      <c r="C648" s="1" t="n">
        <v>45912</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56688-2024</t>
        </is>
      </c>
      <c r="B649" s="1" t="n">
        <v>45627.66478009259</v>
      </c>
      <c r="C649" s="1" t="n">
        <v>45912</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16693-2023</t>
        </is>
      </c>
      <c r="B650" s="1" t="n">
        <v>45028</v>
      </c>
      <c r="C650" s="1" t="n">
        <v>45912</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8285-2025</t>
        </is>
      </c>
      <c r="B651" s="1" t="n">
        <v>45708</v>
      </c>
      <c r="C651" s="1" t="n">
        <v>45912</v>
      </c>
      <c r="D651" t="inlineStr">
        <is>
          <t>VÄSTMANLANDS LÄN</t>
        </is>
      </c>
      <c r="E651" t="inlineStr">
        <is>
          <t>SALA</t>
        </is>
      </c>
      <c r="G651" t="n">
        <v>5.7</v>
      </c>
      <c r="H651" t="n">
        <v>0</v>
      </c>
      <c r="I651" t="n">
        <v>0</v>
      </c>
      <c r="J651" t="n">
        <v>0</v>
      </c>
      <c r="K651" t="n">
        <v>0</v>
      </c>
      <c r="L651" t="n">
        <v>0</v>
      </c>
      <c r="M651" t="n">
        <v>0</v>
      </c>
      <c r="N651" t="n">
        <v>0</v>
      </c>
      <c r="O651" t="n">
        <v>0</v>
      </c>
      <c r="P651" t="n">
        <v>0</v>
      </c>
      <c r="Q651" t="n">
        <v>0</v>
      </c>
      <c r="R651" s="2" t="inlineStr"/>
    </row>
    <row r="652" ht="15" customHeight="1">
      <c r="A652" t="inlineStr">
        <is>
          <t>A 16159-2024</t>
        </is>
      </c>
      <c r="B652" s="1" t="n">
        <v>45406</v>
      </c>
      <c r="C652" s="1" t="n">
        <v>45912</v>
      </c>
      <c r="D652" t="inlineStr">
        <is>
          <t>VÄSTMANLANDS LÄN</t>
        </is>
      </c>
      <c r="E652" t="inlineStr">
        <is>
          <t>SALA</t>
        </is>
      </c>
      <c r="G652" t="n">
        <v>0.4</v>
      </c>
      <c r="H652" t="n">
        <v>0</v>
      </c>
      <c r="I652" t="n">
        <v>0</v>
      </c>
      <c r="J652" t="n">
        <v>0</v>
      </c>
      <c r="K652" t="n">
        <v>0</v>
      </c>
      <c r="L652" t="n">
        <v>0</v>
      </c>
      <c r="M652" t="n">
        <v>0</v>
      </c>
      <c r="N652" t="n">
        <v>0</v>
      </c>
      <c r="O652" t="n">
        <v>0</v>
      </c>
      <c r="P652" t="n">
        <v>0</v>
      </c>
      <c r="Q652" t="n">
        <v>0</v>
      </c>
      <c r="R652" s="2" t="inlineStr"/>
    </row>
    <row r="653" ht="15" customHeight="1">
      <c r="A653" t="inlineStr">
        <is>
          <t>A 66307-2021</t>
        </is>
      </c>
      <c r="B653" s="1" t="n">
        <v>44518.48670138889</v>
      </c>
      <c r="C653" s="1" t="n">
        <v>45912</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15584-2021</t>
        </is>
      </c>
      <c r="B654" s="1" t="n">
        <v>44285</v>
      </c>
      <c r="C654" s="1" t="n">
        <v>45912</v>
      </c>
      <c r="D654" t="inlineStr">
        <is>
          <t>VÄSTMANLANDS LÄN</t>
        </is>
      </c>
      <c r="E654" t="inlineStr">
        <is>
          <t>SALA</t>
        </is>
      </c>
      <c r="G654" t="n">
        <v>3.4</v>
      </c>
      <c r="H654" t="n">
        <v>0</v>
      </c>
      <c r="I654" t="n">
        <v>0</v>
      </c>
      <c r="J654" t="n">
        <v>0</v>
      </c>
      <c r="K654" t="n">
        <v>0</v>
      </c>
      <c r="L654" t="n">
        <v>0</v>
      </c>
      <c r="M654" t="n">
        <v>0</v>
      </c>
      <c r="N654" t="n">
        <v>0</v>
      </c>
      <c r="O654" t="n">
        <v>0</v>
      </c>
      <c r="P654" t="n">
        <v>0</v>
      </c>
      <c r="Q654" t="n">
        <v>0</v>
      </c>
      <c r="R654" s="2" t="inlineStr"/>
    </row>
    <row r="655" ht="15" customHeight="1">
      <c r="A655" t="inlineStr">
        <is>
          <t>A 27262-2024</t>
        </is>
      </c>
      <c r="B655" s="1" t="n">
        <v>45471</v>
      </c>
      <c r="C655" s="1" t="n">
        <v>45912</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10913-2025</t>
        </is>
      </c>
      <c r="B656" s="1" t="n">
        <v>45722.73423611111</v>
      </c>
      <c r="C656" s="1" t="n">
        <v>45912</v>
      </c>
      <c r="D656" t="inlineStr">
        <is>
          <t>VÄSTMANLANDS LÄN</t>
        </is>
      </c>
      <c r="E656" t="inlineStr">
        <is>
          <t>SALA</t>
        </is>
      </c>
      <c r="G656" t="n">
        <v>7.6</v>
      </c>
      <c r="H656" t="n">
        <v>0</v>
      </c>
      <c r="I656" t="n">
        <v>0</v>
      </c>
      <c r="J656" t="n">
        <v>0</v>
      </c>
      <c r="K656" t="n">
        <v>0</v>
      </c>
      <c r="L656" t="n">
        <v>0</v>
      </c>
      <c r="M656" t="n">
        <v>0</v>
      </c>
      <c r="N656" t="n">
        <v>0</v>
      </c>
      <c r="O656" t="n">
        <v>0</v>
      </c>
      <c r="P656" t="n">
        <v>0</v>
      </c>
      <c r="Q656" t="n">
        <v>0</v>
      </c>
      <c r="R656" s="2" t="inlineStr"/>
    </row>
    <row r="657" ht="15" customHeight="1">
      <c r="A657" t="inlineStr">
        <is>
          <t>A 15650-2025</t>
        </is>
      </c>
      <c r="B657" s="1" t="n">
        <v>45748.40172453703</v>
      </c>
      <c r="C657" s="1" t="n">
        <v>45912</v>
      </c>
      <c r="D657" t="inlineStr">
        <is>
          <t>VÄSTMANLANDS LÄN</t>
        </is>
      </c>
      <c r="E657" t="inlineStr">
        <is>
          <t>SALA</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35410-2022</t>
        </is>
      </c>
      <c r="B658" s="1" t="n">
        <v>44798.62576388889</v>
      </c>
      <c r="C658" s="1" t="n">
        <v>45912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1118-2024</t>
        </is>
      </c>
      <c r="B659" s="1" t="n">
        <v>45302</v>
      </c>
      <c r="C659" s="1" t="n">
        <v>45912</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18340-2025</t>
        </is>
      </c>
      <c r="B660" s="1" t="n">
        <v>45762</v>
      </c>
      <c r="C660" s="1" t="n">
        <v>45912</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19033-2025</t>
        </is>
      </c>
      <c r="B661" s="1" t="n">
        <v>45764.65796296296</v>
      </c>
      <c r="C661" s="1" t="n">
        <v>45912</v>
      </c>
      <c r="D661" t="inlineStr">
        <is>
          <t>VÄSTMANLANDS LÄN</t>
        </is>
      </c>
      <c r="E661" t="inlineStr">
        <is>
          <t>SALA</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53864-2022</t>
        </is>
      </c>
      <c r="B662" s="1" t="n">
        <v>44880.64016203704</v>
      </c>
      <c r="C662" s="1" t="n">
        <v>45912</v>
      </c>
      <c r="D662" t="inlineStr">
        <is>
          <t>VÄSTMANLANDS LÄN</t>
        </is>
      </c>
      <c r="E662" t="inlineStr">
        <is>
          <t>SALA</t>
        </is>
      </c>
      <c r="G662" t="n">
        <v>5.9</v>
      </c>
      <c r="H662" t="n">
        <v>0</v>
      </c>
      <c r="I662" t="n">
        <v>0</v>
      </c>
      <c r="J662" t="n">
        <v>0</v>
      </c>
      <c r="K662" t="n">
        <v>0</v>
      </c>
      <c r="L662" t="n">
        <v>0</v>
      </c>
      <c r="M662" t="n">
        <v>0</v>
      </c>
      <c r="N662" t="n">
        <v>0</v>
      </c>
      <c r="O662" t="n">
        <v>0</v>
      </c>
      <c r="P662" t="n">
        <v>0</v>
      </c>
      <c r="Q662" t="n">
        <v>0</v>
      </c>
      <c r="R662" s="2" t="inlineStr"/>
    </row>
    <row r="663" ht="15" customHeight="1">
      <c r="A663" t="inlineStr">
        <is>
          <t>A 56706-2022</t>
        </is>
      </c>
      <c r="B663" s="1" t="n">
        <v>44893.78893518518</v>
      </c>
      <c r="C663" s="1" t="n">
        <v>45912</v>
      </c>
      <c r="D663" t="inlineStr">
        <is>
          <t>VÄSTMANLANDS LÄN</t>
        </is>
      </c>
      <c r="E663" t="inlineStr">
        <is>
          <t>SALA</t>
        </is>
      </c>
      <c r="G663" t="n">
        <v>4.5</v>
      </c>
      <c r="H663" t="n">
        <v>0</v>
      </c>
      <c r="I663" t="n">
        <v>0</v>
      </c>
      <c r="J663" t="n">
        <v>0</v>
      </c>
      <c r="K663" t="n">
        <v>0</v>
      </c>
      <c r="L663" t="n">
        <v>0</v>
      </c>
      <c r="M663" t="n">
        <v>0</v>
      </c>
      <c r="N663" t="n">
        <v>0</v>
      </c>
      <c r="O663" t="n">
        <v>0</v>
      </c>
      <c r="P663" t="n">
        <v>0</v>
      </c>
      <c r="Q663" t="n">
        <v>0</v>
      </c>
      <c r="R663" s="2" t="inlineStr"/>
    </row>
    <row r="664" ht="15" customHeight="1">
      <c r="A664" t="inlineStr">
        <is>
          <t>A 56707-2022</t>
        </is>
      </c>
      <c r="B664" s="1" t="n">
        <v>44893.79412037037</v>
      </c>
      <c r="C664" s="1" t="n">
        <v>45912</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40085-2024</t>
        </is>
      </c>
      <c r="B665" s="1" t="n">
        <v>45554</v>
      </c>
      <c r="C665" s="1" t="n">
        <v>45912</v>
      </c>
      <c r="D665" t="inlineStr">
        <is>
          <t>VÄSTMANLANDS LÄN</t>
        </is>
      </c>
      <c r="E665" t="inlineStr">
        <is>
          <t>SALA</t>
        </is>
      </c>
      <c r="G665" t="n">
        <v>2.8</v>
      </c>
      <c r="H665" t="n">
        <v>0</v>
      </c>
      <c r="I665" t="n">
        <v>0</v>
      </c>
      <c r="J665" t="n">
        <v>0</v>
      </c>
      <c r="K665" t="n">
        <v>0</v>
      </c>
      <c r="L665" t="n">
        <v>0</v>
      </c>
      <c r="M665" t="n">
        <v>0</v>
      </c>
      <c r="N665" t="n">
        <v>0</v>
      </c>
      <c r="O665" t="n">
        <v>0</v>
      </c>
      <c r="P665" t="n">
        <v>0</v>
      </c>
      <c r="Q665" t="n">
        <v>0</v>
      </c>
      <c r="R665" s="2" t="inlineStr"/>
    </row>
    <row r="666" ht="15" customHeight="1">
      <c r="A666" t="inlineStr">
        <is>
          <t>A 3551-2024</t>
        </is>
      </c>
      <c r="B666" s="1" t="n">
        <v>45320.61099537037</v>
      </c>
      <c r="C666" s="1" t="n">
        <v>45912</v>
      </c>
      <c r="D666" t="inlineStr">
        <is>
          <t>VÄSTMANLANDS LÄN</t>
        </is>
      </c>
      <c r="E666" t="inlineStr">
        <is>
          <t>SALA</t>
        </is>
      </c>
      <c r="F666" t="inlineStr">
        <is>
          <t>Kommuner</t>
        </is>
      </c>
      <c r="G666" t="n">
        <v>6</v>
      </c>
      <c r="H666" t="n">
        <v>0</v>
      </c>
      <c r="I666" t="n">
        <v>0</v>
      </c>
      <c r="J666" t="n">
        <v>0</v>
      </c>
      <c r="K666" t="n">
        <v>0</v>
      </c>
      <c r="L666" t="n">
        <v>0</v>
      </c>
      <c r="M666" t="n">
        <v>0</v>
      </c>
      <c r="N666" t="n">
        <v>0</v>
      </c>
      <c r="O666" t="n">
        <v>0</v>
      </c>
      <c r="P666" t="n">
        <v>0</v>
      </c>
      <c r="Q666" t="n">
        <v>0</v>
      </c>
      <c r="R666" s="2" t="inlineStr"/>
    </row>
    <row r="667" ht="15" customHeight="1">
      <c r="A667" t="inlineStr">
        <is>
          <t>A 48571-2024</t>
        </is>
      </c>
      <c r="B667" s="1" t="n">
        <v>45591</v>
      </c>
      <c r="C667" s="1" t="n">
        <v>45912</v>
      </c>
      <c r="D667" t="inlineStr">
        <is>
          <t>VÄSTMANLANDS LÄN</t>
        </is>
      </c>
      <c r="E667" t="inlineStr">
        <is>
          <t>SALA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22961-2023</t>
        </is>
      </c>
      <c r="B668" s="1" t="n">
        <v>45072</v>
      </c>
      <c r="C668" s="1" t="n">
        <v>45912</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22963-2023</t>
        </is>
      </c>
      <c r="B669" s="1" t="n">
        <v>45072</v>
      </c>
      <c r="C669" s="1" t="n">
        <v>45912</v>
      </c>
      <c r="D669" t="inlineStr">
        <is>
          <t>VÄSTMANLANDS LÄN</t>
        </is>
      </c>
      <c r="E669" t="inlineStr">
        <is>
          <t>SALA</t>
        </is>
      </c>
      <c r="G669" t="n">
        <v>1.2</v>
      </c>
      <c r="H669" t="n">
        <v>0</v>
      </c>
      <c r="I669" t="n">
        <v>0</v>
      </c>
      <c r="J669" t="n">
        <v>0</v>
      </c>
      <c r="K669" t="n">
        <v>0</v>
      </c>
      <c r="L669" t="n">
        <v>0</v>
      </c>
      <c r="M669" t="n">
        <v>0</v>
      </c>
      <c r="N669" t="n">
        <v>0</v>
      </c>
      <c r="O669" t="n">
        <v>0</v>
      </c>
      <c r="P669" t="n">
        <v>0</v>
      </c>
      <c r="Q669" t="n">
        <v>0</v>
      </c>
      <c r="R669" s="2" t="inlineStr"/>
    </row>
    <row r="670" ht="15" customHeight="1">
      <c r="A670" t="inlineStr">
        <is>
          <t>A 54960-2024</t>
        </is>
      </c>
      <c r="B670" s="1" t="n">
        <v>45619.85208333333</v>
      </c>
      <c r="C670" s="1" t="n">
        <v>45912</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17985-2025</t>
        </is>
      </c>
      <c r="B671" s="1" t="n">
        <v>45761</v>
      </c>
      <c r="C671" s="1" t="n">
        <v>45912</v>
      </c>
      <c r="D671" t="inlineStr">
        <is>
          <t>VÄSTMANLANDS LÄN</t>
        </is>
      </c>
      <c r="E671" t="inlineStr">
        <is>
          <t>SALA</t>
        </is>
      </c>
      <c r="G671" t="n">
        <v>12.5</v>
      </c>
      <c r="H671" t="n">
        <v>0</v>
      </c>
      <c r="I671" t="n">
        <v>0</v>
      </c>
      <c r="J671" t="n">
        <v>0</v>
      </c>
      <c r="K671" t="n">
        <v>0</v>
      </c>
      <c r="L671" t="n">
        <v>0</v>
      </c>
      <c r="M671" t="n">
        <v>0</v>
      </c>
      <c r="N671" t="n">
        <v>0</v>
      </c>
      <c r="O671" t="n">
        <v>0</v>
      </c>
      <c r="P671" t="n">
        <v>0</v>
      </c>
      <c r="Q671" t="n">
        <v>0</v>
      </c>
      <c r="R671" s="2" t="inlineStr"/>
    </row>
    <row r="672" ht="15" customHeight="1">
      <c r="A672" t="inlineStr">
        <is>
          <t>A 27228-2023</t>
        </is>
      </c>
      <c r="B672" s="1" t="n">
        <v>45096.59189814814</v>
      </c>
      <c r="C672" s="1" t="n">
        <v>45912</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26507-2023</t>
        </is>
      </c>
      <c r="B673" s="1" t="n">
        <v>45092</v>
      </c>
      <c r="C673" s="1" t="n">
        <v>45912</v>
      </c>
      <c r="D673" t="inlineStr">
        <is>
          <t>VÄSTMANLANDS LÄN</t>
        </is>
      </c>
      <c r="E673" t="inlineStr">
        <is>
          <t>SALA</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6183-2025</t>
        </is>
      </c>
      <c r="B674" s="1" t="n">
        <v>45698</v>
      </c>
      <c r="C674" s="1" t="n">
        <v>45912</v>
      </c>
      <c r="D674" t="inlineStr">
        <is>
          <t>VÄSTMANLANDS LÄN</t>
        </is>
      </c>
      <c r="E674" t="inlineStr">
        <is>
          <t>SALA</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c r="A675" t="inlineStr">
        <is>
          <t>A 16543-2023</t>
        </is>
      </c>
      <c r="B675" s="1" t="n">
        <v>45029</v>
      </c>
      <c r="C675" s="1" t="n">
        <v>45912</v>
      </c>
      <c r="D675" t="inlineStr">
        <is>
          <t>VÄSTMANLANDS LÄN</t>
        </is>
      </c>
      <c r="E675" t="inlineStr">
        <is>
          <t>SALA</t>
        </is>
      </c>
      <c r="F675" t="inlineStr">
        <is>
          <t>Sveaskog</t>
        </is>
      </c>
      <c r="G675" t="n">
        <v>1.9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2025-09-12T08:54:24Z</dcterms:created>
  <dcterms:modified xmlns:dcterms="http://purl.org/dc/terms/" xmlns:xsi="http://www.w3.org/2001/XMLSchema-instance" xsi:type="dcterms:W3CDTF">2025-09-12T08:54:24Z</dcterms:modified>
</cp:coreProperties>
</file>