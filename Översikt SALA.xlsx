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45840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45840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45840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45840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45840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45840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45840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45840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45840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45840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45840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45840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45840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45840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45840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45840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45840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45840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45840</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45840</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45840</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45840</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45840</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45840</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45840</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45840</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45840</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45840</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45840</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45840</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45840</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45840</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45840</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45840</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45840</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45840</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45840</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45840</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45840</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45840</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45840</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45840</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45840</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45840</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45840</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45840</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45840</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45840</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45840</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45840</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45840</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45840</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45840</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45840</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32594-2025</t>
        </is>
      </c>
      <c r="B99" s="1" t="n">
        <v>45838</v>
      </c>
      <c r="C99" s="1" t="n">
        <v>45840</v>
      </c>
      <c r="D99" t="inlineStr">
        <is>
          <t>VÄSTMANLANDS LÄN</t>
        </is>
      </c>
      <c r="E99" t="inlineStr">
        <is>
          <t>SALA</t>
        </is>
      </c>
      <c r="F99" t="inlineStr">
        <is>
          <t>Bergvik skog öst AB</t>
        </is>
      </c>
      <c r="G99" t="n">
        <v>0.9</v>
      </c>
      <c r="H99" t="n">
        <v>1</v>
      </c>
      <c r="I99" t="n">
        <v>0</v>
      </c>
      <c r="J99" t="n">
        <v>0</v>
      </c>
      <c r="K99" t="n">
        <v>0</v>
      </c>
      <c r="L99" t="n">
        <v>0</v>
      </c>
      <c r="M99" t="n">
        <v>0</v>
      </c>
      <c r="N99" t="n">
        <v>0</v>
      </c>
      <c r="O99" t="n">
        <v>0</v>
      </c>
      <c r="P99" t="n">
        <v>0</v>
      </c>
      <c r="Q99" t="n">
        <v>1</v>
      </c>
      <c r="R99" s="2" t="inlineStr">
        <is>
          <t>Blåsippa</t>
        </is>
      </c>
      <c r="S99">
        <f>HYPERLINK("https://klasma.github.io/Logging_191981/artfynd/A 32594-2025 artfynd.xlsx", "A 32594-2025")</f>
        <v/>
      </c>
      <c r="T99">
        <f>HYPERLINK("https://klasma.github.io/Logging_191981/kartor/A 32594-2025 karta.png", "A 32594-2025")</f>
        <v/>
      </c>
      <c r="V99">
        <f>HYPERLINK("https://klasma.github.io/Logging_191981/klagomål/A 32594-2025 FSC-klagomål.docx", "A 32594-2025")</f>
        <v/>
      </c>
      <c r="W99">
        <f>HYPERLINK("https://klasma.github.io/Logging_191981/klagomålsmail/A 32594-2025 FSC-klagomål mail.docx", "A 32594-2025")</f>
        <v/>
      </c>
      <c r="X99">
        <f>HYPERLINK("https://klasma.github.io/Logging_191981/tillsyn/A 32594-2025 tillsynsbegäran.docx", "A 32594-2025")</f>
        <v/>
      </c>
      <c r="Y99">
        <f>HYPERLINK("https://klasma.github.io/Logging_191981/tillsynsmail/A 32594-2025 tillsynsbegäran mail.docx", "A 32594-2025")</f>
        <v/>
      </c>
    </row>
    <row r="100" ht="15" customHeight="1">
      <c r="A100" t="inlineStr">
        <is>
          <t>A 18255-2019</t>
        </is>
      </c>
      <c r="B100" s="1" t="n">
        <v>43558</v>
      </c>
      <c r="C100" s="1" t="n">
        <v>45840</v>
      </c>
      <c r="D100" t="inlineStr">
        <is>
          <t>VÄSTMANLANDS LÄN</t>
        </is>
      </c>
      <c r="E100" t="inlineStr">
        <is>
          <t>SALA</t>
        </is>
      </c>
      <c r="F100" t="inlineStr">
        <is>
          <t>Kommuner</t>
        </is>
      </c>
      <c r="G100" t="n">
        <v>2.2</v>
      </c>
      <c r="H100" t="n">
        <v>0</v>
      </c>
      <c r="I100" t="n">
        <v>0</v>
      </c>
      <c r="J100" t="n">
        <v>0</v>
      </c>
      <c r="K100" t="n">
        <v>0</v>
      </c>
      <c r="L100" t="n">
        <v>0</v>
      </c>
      <c r="M100" t="n">
        <v>0</v>
      </c>
      <c r="N100" t="n">
        <v>0</v>
      </c>
      <c r="O100" t="n">
        <v>0</v>
      </c>
      <c r="P100" t="n">
        <v>0</v>
      </c>
      <c r="Q100" t="n">
        <v>0</v>
      </c>
      <c r="R100" s="2" t="inlineStr"/>
    </row>
    <row r="101" ht="15" customHeight="1">
      <c r="A101" t="inlineStr">
        <is>
          <t>A 18352-2019</t>
        </is>
      </c>
      <c r="B101" s="1" t="n">
        <v>43559</v>
      </c>
      <c r="C101" s="1" t="n">
        <v>45840</v>
      </c>
      <c r="D101" t="inlineStr">
        <is>
          <t>VÄSTMANLANDS LÄN</t>
        </is>
      </c>
      <c r="E101" t="inlineStr">
        <is>
          <t>SALA</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18791-2019</t>
        </is>
      </c>
      <c r="B102" s="1" t="n">
        <v>43562</v>
      </c>
      <c r="C102" s="1" t="n">
        <v>45840</v>
      </c>
      <c r="D102" t="inlineStr">
        <is>
          <t>VÄSTMANLANDS LÄN</t>
        </is>
      </c>
      <c r="E102" t="inlineStr">
        <is>
          <t>SALA</t>
        </is>
      </c>
      <c r="G102" t="n">
        <v>3.4</v>
      </c>
      <c r="H102" t="n">
        <v>0</v>
      </c>
      <c r="I102" t="n">
        <v>0</v>
      </c>
      <c r="J102" t="n">
        <v>0</v>
      </c>
      <c r="K102" t="n">
        <v>0</v>
      </c>
      <c r="L102" t="n">
        <v>0</v>
      </c>
      <c r="M102" t="n">
        <v>0</v>
      </c>
      <c r="N102" t="n">
        <v>0</v>
      </c>
      <c r="O102" t="n">
        <v>0</v>
      </c>
      <c r="P102" t="n">
        <v>0</v>
      </c>
      <c r="Q102" t="n">
        <v>0</v>
      </c>
      <c r="R102" s="2" t="inlineStr"/>
    </row>
    <row r="103" ht="15" customHeight="1">
      <c r="A103" t="inlineStr">
        <is>
          <t>A 18961-2019</t>
        </is>
      </c>
      <c r="B103" s="1" t="n">
        <v>43563</v>
      </c>
      <c r="C103" s="1" t="n">
        <v>45840</v>
      </c>
      <c r="D103" t="inlineStr">
        <is>
          <t>VÄSTMANLANDS LÄN</t>
        </is>
      </c>
      <c r="E103" t="inlineStr">
        <is>
          <t>SALA</t>
        </is>
      </c>
      <c r="F103" t="inlineStr">
        <is>
          <t>Kommuner</t>
        </is>
      </c>
      <c r="G103" t="n">
        <v>1.5</v>
      </c>
      <c r="H103" t="n">
        <v>0</v>
      </c>
      <c r="I103" t="n">
        <v>0</v>
      </c>
      <c r="J103" t="n">
        <v>0</v>
      </c>
      <c r="K103" t="n">
        <v>0</v>
      </c>
      <c r="L103" t="n">
        <v>0</v>
      </c>
      <c r="M103" t="n">
        <v>0</v>
      </c>
      <c r="N103" t="n">
        <v>0</v>
      </c>
      <c r="O103" t="n">
        <v>0</v>
      </c>
      <c r="P103" t="n">
        <v>0</v>
      </c>
      <c r="Q103" t="n">
        <v>0</v>
      </c>
      <c r="R103" s="2" t="inlineStr"/>
    </row>
    <row r="104" ht="15" customHeight="1">
      <c r="A104" t="inlineStr">
        <is>
          <t>A 19869-2019</t>
        </is>
      </c>
      <c r="B104" s="1" t="n">
        <v>43567</v>
      </c>
      <c r="C104" s="1" t="n">
        <v>45840</v>
      </c>
      <c r="D104" t="inlineStr">
        <is>
          <t>VÄSTMANLANDS LÄN</t>
        </is>
      </c>
      <c r="E104" t="inlineStr">
        <is>
          <t>SALA</t>
        </is>
      </c>
      <c r="G104" t="n">
        <v>1.6</v>
      </c>
      <c r="H104" t="n">
        <v>0</v>
      </c>
      <c r="I104" t="n">
        <v>0</v>
      </c>
      <c r="J104" t="n">
        <v>0</v>
      </c>
      <c r="K104" t="n">
        <v>0</v>
      </c>
      <c r="L104" t="n">
        <v>0</v>
      </c>
      <c r="M104" t="n">
        <v>0</v>
      </c>
      <c r="N104" t="n">
        <v>0</v>
      </c>
      <c r="O104" t="n">
        <v>0</v>
      </c>
      <c r="P104" t="n">
        <v>0</v>
      </c>
      <c r="Q104" t="n">
        <v>0</v>
      </c>
      <c r="R104" s="2" t="inlineStr"/>
    </row>
    <row r="105" ht="15" customHeight="1">
      <c r="A105" t="inlineStr">
        <is>
          <t>A 21985-2019</t>
        </is>
      </c>
      <c r="B105" s="1" t="n">
        <v>43584</v>
      </c>
      <c r="C105" s="1" t="n">
        <v>45840</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22249-2019</t>
        </is>
      </c>
      <c r="B106" s="1" t="n">
        <v>43585</v>
      </c>
      <c r="C106" s="1" t="n">
        <v>45840</v>
      </c>
      <c r="D106" t="inlineStr">
        <is>
          <t>VÄSTMANLANDS LÄN</t>
        </is>
      </c>
      <c r="E106" t="inlineStr">
        <is>
          <t>SALA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22833-2019</t>
        </is>
      </c>
      <c r="B107" s="1" t="n">
        <v>43591</v>
      </c>
      <c r="C107" s="1" t="n">
        <v>45840</v>
      </c>
      <c r="D107" t="inlineStr">
        <is>
          <t>VÄSTMANLANDS LÄN</t>
        </is>
      </c>
      <c r="E107" t="inlineStr">
        <is>
          <t>SALA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25005-2019</t>
        </is>
      </c>
      <c r="B108" s="1" t="n">
        <v>43602</v>
      </c>
      <c r="C108" s="1" t="n">
        <v>45840</v>
      </c>
      <c r="D108" t="inlineStr">
        <is>
          <t>VÄSTMANLANDS LÄN</t>
        </is>
      </c>
      <c r="E108" t="inlineStr">
        <is>
          <t>SALA</t>
        </is>
      </c>
      <c r="F108" t="inlineStr">
        <is>
          <t>Kommuner</t>
        </is>
      </c>
      <c r="G108" t="n">
        <v>4.3</v>
      </c>
      <c r="H108" t="n">
        <v>0</v>
      </c>
      <c r="I108" t="n">
        <v>0</v>
      </c>
      <c r="J108" t="n">
        <v>0</v>
      </c>
      <c r="K108" t="n">
        <v>0</v>
      </c>
      <c r="L108" t="n">
        <v>0</v>
      </c>
      <c r="M108" t="n">
        <v>0</v>
      </c>
      <c r="N108" t="n">
        <v>0</v>
      </c>
      <c r="O108" t="n">
        <v>0</v>
      </c>
      <c r="P108" t="n">
        <v>0</v>
      </c>
      <c r="Q108" t="n">
        <v>0</v>
      </c>
      <c r="R108" s="2" t="inlineStr"/>
    </row>
    <row r="109" ht="15" customHeight="1">
      <c r="A109" t="inlineStr">
        <is>
          <t>A 25814-2019</t>
        </is>
      </c>
      <c r="B109" s="1" t="n">
        <v>43608</v>
      </c>
      <c r="C109" s="1" t="n">
        <v>45840</v>
      </c>
      <c r="D109" t="inlineStr">
        <is>
          <t>VÄSTMANLANDS LÄN</t>
        </is>
      </c>
      <c r="E109" t="inlineStr">
        <is>
          <t>SALA</t>
        </is>
      </c>
      <c r="G109" t="n">
        <v>2.1</v>
      </c>
      <c r="H109" t="n">
        <v>0</v>
      </c>
      <c r="I109" t="n">
        <v>0</v>
      </c>
      <c r="J109" t="n">
        <v>0</v>
      </c>
      <c r="K109" t="n">
        <v>0</v>
      </c>
      <c r="L109" t="n">
        <v>0</v>
      </c>
      <c r="M109" t="n">
        <v>0</v>
      </c>
      <c r="N109" t="n">
        <v>0</v>
      </c>
      <c r="O109" t="n">
        <v>0</v>
      </c>
      <c r="P109" t="n">
        <v>0</v>
      </c>
      <c r="Q109" t="n">
        <v>0</v>
      </c>
      <c r="R109" s="2" t="inlineStr"/>
    </row>
    <row r="110" ht="15" customHeight="1">
      <c r="A110" t="inlineStr">
        <is>
          <t>A 26861-2019</t>
        </is>
      </c>
      <c r="B110" s="1" t="n">
        <v>43613</v>
      </c>
      <c r="C110" s="1" t="n">
        <v>45840</v>
      </c>
      <c r="D110" t="inlineStr">
        <is>
          <t>VÄSTMANLANDS LÄN</t>
        </is>
      </c>
      <c r="E110" t="inlineStr">
        <is>
          <t>SALA</t>
        </is>
      </c>
      <c r="G110" t="n">
        <v>1.2</v>
      </c>
      <c r="H110" t="n">
        <v>0</v>
      </c>
      <c r="I110" t="n">
        <v>0</v>
      </c>
      <c r="J110" t="n">
        <v>0</v>
      </c>
      <c r="K110" t="n">
        <v>0</v>
      </c>
      <c r="L110" t="n">
        <v>0</v>
      </c>
      <c r="M110" t="n">
        <v>0</v>
      </c>
      <c r="N110" t="n">
        <v>0</v>
      </c>
      <c r="O110" t="n">
        <v>0</v>
      </c>
      <c r="P110" t="n">
        <v>0</v>
      </c>
      <c r="Q110" t="n">
        <v>0</v>
      </c>
      <c r="R110" s="2" t="inlineStr"/>
    </row>
    <row r="111" ht="15" customHeight="1">
      <c r="A111" t="inlineStr">
        <is>
          <t>A 27164-2019</t>
        </is>
      </c>
      <c r="B111" s="1" t="n">
        <v>43614</v>
      </c>
      <c r="C111" s="1" t="n">
        <v>45840</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27040-2019</t>
        </is>
      </c>
      <c r="B112" s="1" t="n">
        <v>43614</v>
      </c>
      <c r="C112" s="1" t="n">
        <v>45840</v>
      </c>
      <c r="D112" t="inlineStr">
        <is>
          <t>VÄSTMANLANDS LÄN</t>
        </is>
      </c>
      <c r="E112" t="inlineStr">
        <is>
          <t>SALA</t>
        </is>
      </c>
      <c r="G112" t="n">
        <v>1.4</v>
      </c>
      <c r="H112" t="n">
        <v>0</v>
      </c>
      <c r="I112" t="n">
        <v>0</v>
      </c>
      <c r="J112" t="n">
        <v>0</v>
      </c>
      <c r="K112" t="n">
        <v>0</v>
      </c>
      <c r="L112" t="n">
        <v>0</v>
      </c>
      <c r="M112" t="n">
        <v>0</v>
      </c>
      <c r="N112" t="n">
        <v>0</v>
      </c>
      <c r="O112" t="n">
        <v>0</v>
      </c>
      <c r="P112" t="n">
        <v>0</v>
      </c>
      <c r="Q112" t="n">
        <v>0</v>
      </c>
      <c r="R112" s="2" t="inlineStr"/>
    </row>
    <row r="113" ht="15" customHeight="1">
      <c r="A113" t="inlineStr">
        <is>
          <t>A 28132-2019</t>
        </is>
      </c>
      <c r="B113" s="1" t="n">
        <v>43621</v>
      </c>
      <c r="C113" s="1" t="n">
        <v>45840</v>
      </c>
      <c r="D113" t="inlineStr">
        <is>
          <t>VÄSTMANLANDS LÄN</t>
        </is>
      </c>
      <c r="E113" t="inlineStr">
        <is>
          <t>SALA</t>
        </is>
      </c>
      <c r="G113" t="n">
        <v>2.4</v>
      </c>
      <c r="H113" t="n">
        <v>0</v>
      </c>
      <c r="I113" t="n">
        <v>0</v>
      </c>
      <c r="J113" t="n">
        <v>0</v>
      </c>
      <c r="K113" t="n">
        <v>0</v>
      </c>
      <c r="L113" t="n">
        <v>0</v>
      </c>
      <c r="M113" t="n">
        <v>0</v>
      </c>
      <c r="N113" t="n">
        <v>0</v>
      </c>
      <c r="O113" t="n">
        <v>0</v>
      </c>
      <c r="P113" t="n">
        <v>0</v>
      </c>
      <c r="Q113" t="n">
        <v>0</v>
      </c>
      <c r="R113" s="2" t="inlineStr"/>
    </row>
    <row r="114" ht="15" customHeight="1">
      <c r="A114" t="inlineStr">
        <is>
          <t>A 28143-2019</t>
        </is>
      </c>
      <c r="B114" s="1" t="n">
        <v>43621</v>
      </c>
      <c r="C114" s="1" t="n">
        <v>45840</v>
      </c>
      <c r="D114" t="inlineStr">
        <is>
          <t>VÄSTMANLANDS LÄN</t>
        </is>
      </c>
      <c r="E114" t="inlineStr">
        <is>
          <t>SALA</t>
        </is>
      </c>
      <c r="G114" t="n">
        <v>2.3</v>
      </c>
      <c r="H114" t="n">
        <v>0</v>
      </c>
      <c r="I114" t="n">
        <v>0</v>
      </c>
      <c r="J114" t="n">
        <v>0</v>
      </c>
      <c r="K114" t="n">
        <v>0</v>
      </c>
      <c r="L114" t="n">
        <v>0</v>
      </c>
      <c r="M114" t="n">
        <v>0</v>
      </c>
      <c r="N114" t="n">
        <v>0</v>
      </c>
      <c r="O114" t="n">
        <v>0</v>
      </c>
      <c r="P114" t="n">
        <v>0</v>
      </c>
      <c r="Q114" t="n">
        <v>0</v>
      </c>
      <c r="R114" s="2" t="inlineStr"/>
    </row>
    <row r="115" ht="15" customHeight="1">
      <c r="A115" t="inlineStr">
        <is>
          <t>A 28162-2019</t>
        </is>
      </c>
      <c r="B115" s="1" t="n">
        <v>43621</v>
      </c>
      <c r="C115" s="1" t="n">
        <v>45840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29023-2019</t>
        </is>
      </c>
      <c r="B116" s="1" t="n">
        <v>43628</v>
      </c>
      <c r="C116" s="1" t="n">
        <v>45840</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29331-2019</t>
        </is>
      </c>
      <c r="B117" s="1" t="n">
        <v>43629</v>
      </c>
      <c r="C117" s="1" t="n">
        <v>45840</v>
      </c>
      <c r="D117" t="inlineStr">
        <is>
          <t>VÄSTMANLANDS LÄN</t>
        </is>
      </c>
      <c r="E117" t="inlineStr">
        <is>
          <t>SALA</t>
        </is>
      </c>
      <c r="G117" t="n">
        <v>5</v>
      </c>
      <c r="H117" t="n">
        <v>0</v>
      </c>
      <c r="I117" t="n">
        <v>0</v>
      </c>
      <c r="J117" t="n">
        <v>0</v>
      </c>
      <c r="K117" t="n">
        <v>0</v>
      </c>
      <c r="L117" t="n">
        <v>0</v>
      </c>
      <c r="M117" t="n">
        <v>0</v>
      </c>
      <c r="N117" t="n">
        <v>0</v>
      </c>
      <c r="O117" t="n">
        <v>0</v>
      </c>
      <c r="P117" t="n">
        <v>0</v>
      </c>
      <c r="Q117" t="n">
        <v>0</v>
      </c>
      <c r="R117" s="2" t="inlineStr"/>
    </row>
    <row r="118" ht="15" customHeight="1">
      <c r="A118" t="inlineStr">
        <is>
          <t>A 31225-2019</t>
        </is>
      </c>
      <c r="B118" s="1" t="n">
        <v>43635</v>
      </c>
      <c r="C118" s="1" t="n">
        <v>45840</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30974-2019</t>
        </is>
      </c>
      <c r="B119" s="1" t="n">
        <v>43639</v>
      </c>
      <c r="C119" s="1" t="n">
        <v>45840</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34709-2019</t>
        </is>
      </c>
      <c r="B120" s="1" t="n">
        <v>43648</v>
      </c>
      <c r="C120" s="1" t="n">
        <v>45840</v>
      </c>
      <c r="D120" t="inlineStr">
        <is>
          <t>VÄSTMANLANDS LÄN</t>
        </is>
      </c>
      <c r="E120" t="inlineStr">
        <is>
          <t>SALA</t>
        </is>
      </c>
      <c r="G120" t="n">
        <v>1.7</v>
      </c>
      <c r="H120" t="n">
        <v>0</v>
      </c>
      <c r="I120" t="n">
        <v>0</v>
      </c>
      <c r="J120" t="n">
        <v>0</v>
      </c>
      <c r="K120" t="n">
        <v>0</v>
      </c>
      <c r="L120" t="n">
        <v>0</v>
      </c>
      <c r="M120" t="n">
        <v>0</v>
      </c>
      <c r="N120" t="n">
        <v>0</v>
      </c>
      <c r="O120" t="n">
        <v>0</v>
      </c>
      <c r="P120" t="n">
        <v>0</v>
      </c>
      <c r="Q120" t="n">
        <v>0</v>
      </c>
      <c r="R120" s="2" t="inlineStr"/>
    </row>
    <row r="121" ht="15" customHeight="1">
      <c r="A121" t="inlineStr">
        <is>
          <t>A 35690-2019</t>
        </is>
      </c>
      <c r="B121" s="1" t="n">
        <v>43664</v>
      </c>
      <c r="C121" s="1" t="n">
        <v>45840</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36142-2019</t>
        </is>
      </c>
      <c r="B122" s="1" t="n">
        <v>43668</v>
      </c>
      <c r="C122" s="1" t="n">
        <v>45840</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36429-2019</t>
        </is>
      </c>
      <c r="B123" s="1" t="n">
        <v>43670</v>
      </c>
      <c r="C123" s="1" t="n">
        <v>45840</v>
      </c>
      <c r="D123" t="inlineStr">
        <is>
          <t>VÄSTMANLANDS LÄN</t>
        </is>
      </c>
      <c r="E123" t="inlineStr">
        <is>
          <t>SALA</t>
        </is>
      </c>
      <c r="G123" t="n">
        <v>2</v>
      </c>
      <c r="H123" t="n">
        <v>0</v>
      </c>
      <c r="I123" t="n">
        <v>0</v>
      </c>
      <c r="J123" t="n">
        <v>0</v>
      </c>
      <c r="K123" t="n">
        <v>0</v>
      </c>
      <c r="L123" t="n">
        <v>0</v>
      </c>
      <c r="M123" t="n">
        <v>0</v>
      </c>
      <c r="N123" t="n">
        <v>0</v>
      </c>
      <c r="O123" t="n">
        <v>0</v>
      </c>
      <c r="P123" t="n">
        <v>0</v>
      </c>
      <c r="Q123" t="n">
        <v>0</v>
      </c>
      <c r="R123" s="2" t="inlineStr"/>
    </row>
    <row r="124" ht="15" customHeight="1">
      <c r="A124" t="inlineStr">
        <is>
          <t>A 36600-2019</t>
        </is>
      </c>
      <c r="B124" s="1" t="n">
        <v>43671</v>
      </c>
      <c r="C124" s="1" t="n">
        <v>45840</v>
      </c>
      <c r="D124" t="inlineStr">
        <is>
          <t>VÄSTMANLANDS LÄN</t>
        </is>
      </c>
      <c r="E124" t="inlineStr">
        <is>
          <t>SALA</t>
        </is>
      </c>
      <c r="F124" t="inlineStr">
        <is>
          <t>Kyrkan</t>
        </is>
      </c>
      <c r="G124" t="n">
        <v>4.3</v>
      </c>
      <c r="H124" t="n">
        <v>0</v>
      </c>
      <c r="I124" t="n">
        <v>0</v>
      </c>
      <c r="J124" t="n">
        <v>0</v>
      </c>
      <c r="K124" t="n">
        <v>0</v>
      </c>
      <c r="L124" t="n">
        <v>0</v>
      </c>
      <c r="M124" t="n">
        <v>0</v>
      </c>
      <c r="N124" t="n">
        <v>0</v>
      </c>
      <c r="O124" t="n">
        <v>0</v>
      </c>
      <c r="P124" t="n">
        <v>0</v>
      </c>
      <c r="Q124" t="n">
        <v>0</v>
      </c>
      <c r="R124" s="2" t="inlineStr"/>
    </row>
    <row r="125" ht="15" customHeight="1">
      <c r="A125" t="inlineStr">
        <is>
          <t>A 37186-2019</t>
        </is>
      </c>
      <c r="B125" s="1" t="n">
        <v>43677</v>
      </c>
      <c r="C125" s="1" t="n">
        <v>45840</v>
      </c>
      <c r="D125" t="inlineStr">
        <is>
          <t>VÄSTMANLANDS LÄN</t>
        </is>
      </c>
      <c r="E125" t="inlineStr">
        <is>
          <t>SALA</t>
        </is>
      </c>
      <c r="G125" t="n">
        <v>1.8</v>
      </c>
      <c r="H125" t="n">
        <v>0</v>
      </c>
      <c r="I125" t="n">
        <v>0</v>
      </c>
      <c r="J125" t="n">
        <v>0</v>
      </c>
      <c r="K125" t="n">
        <v>0</v>
      </c>
      <c r="L125" t="n">
        <v>0</v>
      </c>
      <c r="M125" t="n">
        <v>0</v>
      </c>
      <c r="N125" t="n">
        <v>0</v>
      </c>
      <c r="O125" t="n">
        <v>0</v>
      </c>
      <c r="P125" t="n">
        <v>0</v>
      </c>
      <c r="Q125" t="n">
        <v>0</v>
      </c>
      <c r="R125" s="2" t="inlineStr"/>
    </row>
    <row r="126" ht="15" customHeight="1">
      <c r="A126" t="inlineStr">
        <is>
          <t>A 37533-2019</t>
        </is>
      </c>
      <c r="B126" s="1" t="n">
        <v>43679</v>
      </c>
      <c r="C126" s="1" t="n">
        <v>45840</v>
      </c>
      <c r="D126" t="inlineStr">
        <is>
          <t>VÄSTMANLANDS LÄN</t>
        </is>
      </c>
      <c r="E126" t="inlineStr">
        <is>
          <t>SALA</t>
        </is>
      </c>
      <c r="G126" t="n">
        <v>7.9</v>
      </c>
      <c r="H126" t="n">
        <v>0</v>
      </c>
      <c r="I126" t="n">
        <v>0</v>
      </c>
      <c r="J126" t="n">
        <v>0</v>
      </c>
      <c r="K126" t="n">
        <v>0</v>
      </c>
      <c r="L126" t="n">
        <v>0</v>
      </c>
      <c r="M126" t="n">
        <v>0</v>
      </c>
      <c r="N126" t="n">
        <v>0</v>
      </c>
      <c r="O126" t="n">
        <v>0</v>
      </c>
      <c r="P126" t="n">
        <v>0</v>
      </c>
      <c r="Q126" t="n">
        <v>0</v>
      </c>
      <c r="R126" s="2" t="inlineStr"/>
    </row>
    <row r="127" ht="15" customHeight="1">
      <c r="A127" t="inlineStr">
        <is>
          <t>A 38645-2019</t>
        </is>
      </c>
      <c r="B127" s="1" t="n">
        <v>43686</v>
      </c>
      <c r="C127" s="1" t="n">
        <v>45840</v>
      </c>
      <c r="D127" t="inlineStr">
        <is>
          <t>VÄSTMANLANDS LÄN</t>
        </is>
      </c>
      <c r="E127" t="inlineStr">
        <is>
          <t>SALA</t>
        </is>
      </c>
      <c r="G127" t="n">
        <v>1.5</v>
      </c>
      <c r="H127" t="n">
        <v>0</v>
      </c>
      <c r="I127" t="n">
        <v>0</v>
      </c>
      <c r="J127" t="n">
        <v>0</v>
      </c>
      <c r="K127" t="n">
        <v>0</v>
      </c>
      <c r="L127" t="n">
        <v>0</v>
      </c>
      <c r="M127" t="n">
        <v>0</v>
      </c>
      <c r="N127" t="n">
        <v>0</v>
      </c>
      <c r="O127" t="n">
        <v>0</v>
      </c>
      <c r="P127" t="n">
        <v>0</v>
      </c>
      <c r="Q127" t="n">
        <v>0</v>
      </c>
      <c r="R127" s="2" t="inlineStr"/>
    </row>
    <row r="128" ht="15" customHeight="1">
      <c r="A128" t="inlineStr">
        <is>
          <t>A 41259-2019</t>
        </is>
      </c>
      <c r="B128" s="1" t="n">
        <v>43698</v>
      </c>
      <c r="C128" s="1" t="n">
        <v>45840</v>
      </c>
      <c r="D128" t="inlineStr">
        <is>
          <t>VÄSTMANLANDS LÄN</t>
        </is>
      </c>
      <c r="E128" t="inlineStr">
        <is>
          <t>SALA</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45302-2019</t>
        </is>
      </c>
      <c r="B129" s="1" t="n">
        <v>43707</v>
      </c>
      <c r="C129" s="1" t="n">
        <v>45840</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46936-2019</t>
        </is>
      </c>
      <c r="B130" s="1" t="n">
        <v>43719</v>
      </c>
      <c r="C130" s="1" t="n">
        <v>45840</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48617-2019</t>
        </is>
      </c>
      <c r="B131" s="1" t="n">
        <v>43727</v>
      </c>
      <c r="C131" s="1" t="n">
        <v>45840</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48681-2019</t>
        </is>
      </c>
      <c r="B132" s="1" t="n">
        <v>43728</v>
      </c>
      <c r="C132" s="1" t="n">
        <v>45840</v>
      </c>
      <c r="D132" t="inlineStr">
        <is>
          <t>VÄSTMANLANDS LÄN</t>
        </is>
      </c>
      <c r="E132" t="inlineStr">
        <is>
          <t>SALA</t>
        </is>
      </c>
      <c r="G132" t="n">
        <v>1.9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45840</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45840</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45840</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45840</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45840</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45840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45840</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45840</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45840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45840</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45840</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45840</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45840</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45840</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45840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45840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45840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45840</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45840</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45840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45840</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45840</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45840</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45840</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45840</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45840</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45840</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45840</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45840</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45840</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45840</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45840</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45840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45840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45840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45840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45840</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45840</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45840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45840</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45840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45840</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45840</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45840</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45840</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45840</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45840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45840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45840</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45840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45840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45840</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45840</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45840</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13936-2020</t>
        </is>
      </c>
      <c r="B187" s="1" t="n">
        <v>43903</v>
      </c>
      <c r="C187" s="1" t="n">
        <v>45840</v>
      </c>
      <c r="D187" t="inlineStr">
        <is>
          <t>VÄSTMANLANDS LÄN</t>
        </is>
      </c>
      <c r="E187" t="inlineStr">
        <is>
          <t>SALA</t>
        </is>
      </c>
      <c r="G187" t="n">
        <v>1.7</v>
      </c>
      <c r="H187" t="n">
        <v>0</v>
      </c>
      <c r="I187" t="n">
        <v>0</v>
      </c>
      <c r="J187" t="n">
        <v>0</v>
      </c>
      <c r="K187" t="n">
        <v>0</v>
      </c>
      <c r="L187" t="n">
        <v>0</v>
      </c>
      <c r="M187" t="n">
        <v>0</v>
      </c>
      <c r="N187" t="n">
        <v>0</v>
      </c>
      <c r="O187" t="n">
        <v>0</v>
      </c>
      <c r="P187" t="n">
        <v>0</v>
      </c>
      <c r="Q187" t="n">
        <v>0</v>
      </c>
      <c r="R187" s="2" t="inlineStr"/>
    </row>
    <row r="188" ht="15" customHeight="1">
      <c r="A188" t="inlineStr">
        <is>
          <t>A 14049-2020</t>
        </is>
      </c>
      <c r="B188" s="1" t="n">
        <v>43906</v>
      </c>
      <c r="C188" s="1" t="n">
        <v>45840</v>
      </c>
      <c r="D188" t="inlineStr">
        <is>
          <t>VÄSTMANLANDS LÄN</t>
        </is>
      </c>
      <c r="E188" t="inlineStr">
        <is>
          <t>SALA</t>
        </is>
      </c>
      <c r="G188" t="n">
        <v>4.4</v>
      </c>
      <c r="H188" t="n">
        <v>0</v>
      </c>
      <c r="I188" t="n">
        <v>0</v>
      </c>
      <c r="J188" t="n">
        <v>0</v>
      </c>
      <c r="K188" t="n">
        <v>0</v>
      </c>
      <c r="L188" t="n">
        <v>0</v>
      </c>
      <c r="M188" t="n">
        <v>0</v>
      </c>
      <c r="N188" t="n">
        <v>0</v>
      </c>
      <c r="O188" t="n">
        <v>0</v>
      </c>
      <c r="P188" t="n">
        <v>0</v>
      </c>
      <c r="Q188" t="n">
        <v>0</v>
      </c>
      <c r="R188" s="2" t="inlineStr"/>
    </row>
    <row r="189" ht="15" customHeight="1">
      <c r="A189" t="inlineStr">
        <is>
          <t>A 14542-2020</t>
        </is>
      </c>
      <c r="B189" s="1" t="n">
        <v>43908</v>
      </c>
      <c r="C189" s="1" t="n">
        <v>45840</v>
      </c>
      <c r="D189" t="inlineStr">
        <is>
          <t>VÄSTMANLANDS LÄN</t>
        </is>
      </c>
      <c r="E189" t="inlineStr">
        <is>
          <t>SALA</t>
        </is>
      </c>
      <c r="G189" t="n">
        <v>4.1</v>
      </c>
      <c r="H189" t="n">
        <v>0</v>
      </c>
      <c r="I189" t="n">
        <v>0</v>
      </c>
      <c r="J189" t="n">
        <v>0</v>
      </c>
      <c r="K189" t="n">
        <v>0</v>
      </c>
      <c r="L189" t="n">
        <v>0</v>
      </c>
      <c r="M189" t="n">
        <v>0</v>
      </c>
      <c r="N189" t="n">
        <v>0</v>
      </c>
      <c r="O189" t="n">
        <v>0</v>
      </c>
      <c r="P189" t="n">
        <v>0</v>
      </c>
      <c r="Q189" t="n">
        <v>0</v>
      </c>
      <c r="R189" s="2" t="inlineStr"/>
    </row>
    <row r="190" ht="15" customHeight="1">
      <c r="A190" t="inlineStr">
        <is>
          <t>A 16480-2020</t>
        </is>
      </c>
      <c r="B190" s="1" t="n">
        <v>43914</v>
      </c>
      <c r="C190" s="1" t="n">
        <v>45840</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15850-2020</t>
        </is>
      </c>
      <c r="B191" s="1" t="n">
        <v>43915</v>
      </c>
      <c r="C191" s="1" t="n">
        <v>45840</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15748-2020</t>
        </is>
      </c>
      <c r="B192" s="1" t="n">
        <v>43915</v>
      </c>
      <c r="C192" s="1" t="n">
        <v>45840</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16093-2020</t>
        </is>
      </c>
      <c r="B193" s="1" t="n">
        <v>43916</v>
      </c>
      <c r="C193" s="1" t="n">
        <v>45840</v>
      </c>
      <c r="D193" t="inlineStr">
        <is>
          <t>VÄSTMANLANDS LÄN</t>
        </is>
      </c>
      <c r="E193" t="inlineStr">
        <is>
          <t>SALA</t>
        </is>
      </c>
      <c r="G193" t="n">
        <v>1.6</v>
      </c>
      <c r="H193" t="n">
        <v>0</v>
      </c>
      <c r="I193" t="n">
        <v>0</v>
      </c>
      <c r="J193" t="n">
        <v>0</v>
      </c>
      <c r="K193" t="n">
        <v>0</v>
      </c>
      <c r="L193" t="n">
        <v>0</v>
      </c>
      <c r="M193" t="n">
        <v>0</v>
      </c>
      <c r="N193" t="n">
        <v>0</v>
      </c>
      <c r="O193" t="n">
        <v>0</v>
      </c>
      <c r="P193" t="n">
        <v>0</v>
      </c>
      <c r="Q193" t="n">
        <v>0</v>
      </c>
      <c r="R193" s="2" t="inlineStr"/>
    </row>
    <row r="194" ht="15" customHeight="1">
      <c r="A194" t="inlineStr">
        <is>
          <t>A 17139-2020</t>
        </is>
      </c>
      <c r="B194" s="1" t="n">
        <v>43922</v>
      </c>
      <c r="C194" s="1" t="n">
        <v>45840</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17205-2020</t>
        </is>
      </c>
      <c r="B195" s="1" t="n">
        <v>43922</v>
      </c>
      <c r="C195" s="1" t="n">
        <v>45840</v>
      </c>
      <c r="D195" t="inlineStr">
        <is>
          <t>VÄSTMANLANDS LÄN</t>
        </is>
      </c>
      <c r="E195" t="inlineStr">
        <is>
          <t>SALA</t>
        </is>
      </c>
      <c r="G195" t="n">
        <v>3.2</v>
      </c>
      <c r="H195" t="n">
        <v>0</v>
      </c>
      <c r="I195" t="n">
        <v>0</v>
      </c>
      <c r="J195" t="n">
        <v>0</v>
      </c>
      <c r="K195" t="n">
        <v>0</v>
      </c>
      <c r="L195" t="n">
        <v>0</v>
      </c>
      <c r="M195" t="n">
        <v>0</v>
      </c>
      <c r="N195" t="n">
        <v>0</v>
      </c>
      <c r="O195" t="n">
        <v>0</v>
      </c>
      <c r="P195" t="n">
        <v>0</v>
      </c>
      <c r="Q195" t="n">
        <v>0</v>
      </c>
      <c r="R195" s="2" t="inlineStr"/>
    </row>
    <row r="196" ht="15" customHeight="1">
      <c r="A196" t="inlineStr">
        <is>
          <t>A 17355-2020</t>
        </is>
      </c>
      <c r="B196" s="1" t="n">
        <v>43923</v>
      </c>
      <c r="C196" s="1" t="n">
        <v>45840</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17492-2020</t>
        </is>
      </c>
      <c r="B197" s="1" t="n">
        <v>43923</v>
      </c>
      <c r="C197" s="1" t="n">
        <v>45840</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18772-2020</t>
        </is>
      </c>
      <c r="B198" s="1" t="n">
        <v>43930</v>
      </c>
      <c r="C198" s="1" t="n">
        <v>45840</v>
      </c>
      <c r="D198" t="inlineStr">
        <is>
          <t>VÄSTMANLANDS LÄN</t>
        </is>
      </c>
      <c r="E198" t="inlineStr">
        <is>
          <t>SALA</t>
        </is>
      </c>
      <c r="G198" t="n">
        <v>3.5</v>
      </c>
      <c r="H198" t="n">
        <v>0</v>
      </c>
      <c r="I198" t="n">
        <v>0</v>
      </c>
      <c r="J198" t="n">
        <v>0</v>
      </c>
      <c r="K198" t="n">
        <v>0</v>
      </c>
      <c r="L198" t="n">
        <v>0</v>
      </c>
      <c r="M198" t="n">
        <v>0</v>
      </c>
      <c r="N198" t="n">
        <v>0</v>
      </c>
      <c r="O198" t="n">
        <v>0</v>
      </c>
      <c r="P198" t="n">
        <v>0</v>
      </c>
      <c r="Q198" t="n">
        <v>0</v>
      </c>
      <c r="R198" s="2" t="inlineStr"/>
    </row>
    <row r="199" ht="15" customHeight="1">
      <c r="A199" t="inlineStr">
        <is>
          <t>A 19071-2020</t>
        </is>
      </c>
      <c r="B199" s="1" t="n">
        <v>43936</v>
      </c>
      <c r="C199" s="1" t="n">
        <v>45840</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19480-2020</t>
        </is>
      </c>
      <c r="B200" s="1" t="n">
        <v>43936</v>
      </c>
      <c r="C200" s="1" t="n">
        <v>45840</v>
      </c>
      <c r="D200" t="inlineStr">
        <is>
          <t>VÄSTMANLANDS LÄN</t>
        </is>
      </c>
      <c r="E200" t="inlineStr">
        <is>
          <t>SALA</t>
        </is>
      </c>
      <c r="G200" t="n">
        <v>4.8</v>
      </c>
      <c r="H200" t="n">
        <v>0</v>
      </c>
      <c r="I200" t="n">
        <v>0</v>
      </c>
      <c r="J200" t="n">
        <v>0</v>
      </c>
      <c r="K200" t="n">
        <v>0</v>
      </c>
      <c r="L200" t="n">
        <v>0</v>
      </c>
      <c r="M200" t="n">
        <v>0</v>
      </c>
      <c r="N200" t="n">
        <v>0</v>
      </c>
      <c r="O200" t="n">
        <v>0</v>
      </c>
      <c r="P200" t="n">
        <v>0</v>
      </c>
      <c r="Q200" t="n">
        <v>0</v>
      </c>
      <c r="R200" s="2" t="inlineStr"/>
    </row>
    <row r="201" ht="15" customHeight="1">
      <c r="A201" t="inlineStr">
        <is>
          <t>A 22305-2020</t>
        </is>
      </c>
      <c r="B201" s="1" t="n">
        <v>43957</v>
      </c>
      <c r="C201" s="1" t="n">
        <v>45840</v>
      </c>
      <c r="D201" t="inlineStr">
        <is>
          <t>VÄSTMANLANDS LÄN</t>
        </is>
      </c>
      <c r="E201" t="inlineStr">
        <is>
          <t>SALA</t>
        </is>
      </c>
      <c r="G201" t="n">
        <v>2.9</v>
      </c>
      <c r="H201" t="n">
        <v>0</v>
      </c>
      <c r="I201" t="n">
        <v>0</v>
      </c>
      <c r="J201" t="n">
        <v>0</v>
      </c>
      <c r="K201" t="n">
        <v>0</v>
      </c>
      <c r="L201" t="n">
        <v>0</v>
      </c>
      <c r="M201" t="n">
        <v>0</v>
      </c>
      <c r="N201" t="n">
        <v>0</v>
      </c>
      <c r="O201" t="n">
        <v>0</v>
      </c>
      <c r="P201" t="n">
        <v>0</v>
      </c>
      <c r="Q201" t="n">
        <v>0</v>
      </c>
      <c r="R201" s="2" t="inlineStr"/>
    </row>
    <row r="202" ht="15" customHeight="1">
      <c r="A202" t="inlineStr">
        <is>
          <t>A 22058-2020</t>
        </is>
      </c>
      <c r="B202" s="1" t="n">
        <v>43959</v>
      </c>
      <c r="C202" s="1" t="n">
        <v>45840</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24235-2020</t>
        </is>
      </c>
      <c r="B203" s="1" t="n">
        <v>43976</v>
      </c>
      <c r="C203" s="1" t="n">
        <v>45840</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24763-2020</t>
        </is>
      </c>
      <c r="B204" s="1" t="n">
        <v>43978</v>
      </c>
      <c r="C204" s="1" t="n">
        <v>45840</v>
      </c>
      <c r="D204" t="inlineStr">
        <is>
          <t>VÄSTMANLANDS LÄN</t>
        </is>
      </c>
      <c r="E204" t="inlineStr">
        <is>
          <t>SALA</t>
        </is>
      </c>
      <c r="G204" t="n">
        <v>3.6</v>
      </c>
      <c r="H204" t="n">
        <v>0</v>
      </c>
      <c r="I204" t="n">
        <v>0</v>
      </c>
      <c r="J204" t="n">
        <v>0</v>
      </c>
      <c r="K204" t="n">
        <v>0</v>
      </c>
      <c r="L204" t="n">
        <v>0</v>
      </c>
      <c r="M204" t="n">
        <v>0</v>
      </c>
      <c r="N204" t="n">
        <v>0</v>
      </c>
      <c r="O204" t="n">
        <v>0</v>
      </c>
      <c r="P204" t="n">
        <v>0</v>
      </c>
      <c r="Q204" t="n">
        <v>0</v>
      </c>
      <c r="R204" s="2" t="inlineStr"/>
    </row>
    <row r="205" ht="15" customHeight="1">
      <c r="A205" t="inlineStr">
        <is>
          <t>A 26098-2020</t>
        </is>
      </c>
      <c r="B205" s="1" t="n">
        <v>43985</v>
      </c>
      <c r="C205" s="1" t="n">
        <v>45840</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26425-2020</t>
        </is>
      </c>
      <c r="B206" s="1" t="n">
        <v>43987</v>
      </c>
      <c r="C206" s="1" t="n">
        <v>45840</v>
      </c>
      <c r="D206" t="inlineStr">
        <is>
          <t>VÄSTMANLANDS LÄN</t>
        </is>
      </c>
      <c r="E206" t="inlineStr">
        <is>
          <t>SALA</t>
        </is>
      </c>
      <c r="G206" t="n">
        <v>6.3</v>
      </c>
      <c r="H206" t="n">
        <v>0</v>
      </c>
      <c r="I206" t="n">
        <v>0</v>
      </c>
      <c r="J206" t="n">
        <v>0</v>
      </c>
      <c r="K206" t="n">
        <v>0</v>
      </c>
      <c r="L206" t="n">
        <v>0</v>
      </c>
      <c r="M206" t="n">
        <v>0</v>
      </c>
      <c r="N206" t="n">
        <v>0</v>
      </c>
      <c r="O206" t="n">
        <v>0</v>
      </c>
      <c r="P206" t="n">
        <v>0</v>
      </c>
      <c r="Q206" t="n">
        <v>0</v>
      </c>
      <c r="R206" s="2" t="inlineStr"/>
    </row>
    <row r="207" ht="15" customHeight="1">
      <c r="A207" t="inlineStr">
        <is>
          <t>A 26937-2020</t>
        </is>
      </c>
      <c r="B207" s="1" t="n">
        <v>43990</v>
      </c>
      <c r="C207" s="1" t="n">
        <v>45840</v>
      </c>
      <c r="D207" t="inlineStr">
        <is>
          <t>VÄSTMANLANDS LÄN</t>
        </is>
      </c>
      <c r="E207" t="inlineStr">
        <is>
          <t>SALA</t>
        </is>
      </c>
      <c r="F207" t="inlineStr">
        <is>
          <t>Bergvik skog öst AB</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27730-2020</t>
        </is>
      </c>
      <c r="B208" s="1" t="n">
        <v>43994</v>
      </c>
      <c r="C208" s="1" t="n">
        <v>45840</v>
      </c>
      <c r="D208" t="inlineStr">
        <is>
          <t>VÄSTMANLANDS LÄN</t>
        </is>
      </c>
      <c r="E208" t="inlineStr">
        <is>
          <t>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29845-2020</t>
        </is>
      </c>
      <c r="B209" s="1" t="n">
        <v>44005</v>
      </c>
      <c r="C209" s="1" t="n">
        <v>45840</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29821-2020</t>
        </is>
      </c>
      <c r="B210" s="1" t="n">
        <v>44005</v>
      </c>
      <c r="C210" s="1" t="n">
        <v>45840</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29925-2020</t>
        </is>
      </c>
      <c r="B211" s="1" t="n">
        <v>44006</v>
      </c>
      <c r="C211" s="1" t="n">
        <v>45840</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30327-2020</t>
        </is>
      </c>
      <c r="B212" s="1" t="n">
        <v>44007</v>
      </c>
      <c r="C212" s="1" t="n">
        <v>45840</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32371-2020</t>
        </is>
      </c>
      <c r="B213" s="1" t="n">
        <v>44018</v>
      </c>
      <c r="C213" s="1" t="n">
        <v>45840</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32367-2020</t>
        </is>
      </c>
      <c r="B214" s="1" t="n">
        <v>44018</v>
      </c>
      <c r="C214" s="1" t="n">
        <v>45840</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32368-2020</t>
        </is>
      </c>
      <c r="B215" s="1" t="n">
        <v>44018</v>
      </c>
      <c r="C215" s="1" t="n">
        <v>45840</v>
      </c>
      <c r="D215" t="inlineStr">
        <is>
          <t>VÄSTMANLANDS LÄN</t>
        </is>
      </c>
      <c r="E215" t="inlineStr">
        <is>
          <t>SALA</t>
        </is>
      </c>
      <c r="G215" t="n">
        <v>3.4</v>
      </c>
      <c r="H215" t="n">
        <v>0</v>
      </c>
      <c r="I215" t="n">
        <v>0</v>
      </c>
      <c r="J215" t="n">
        <v>0</v>
      </c>
      <c r="K215" t="n">
        <v>0</v>
      </c>
      <c r="L215" t="n">
        <v>0</v>
      </c>
      <c r="M215" t="n">
        <v>0</v>
      </c>
      <c r="N215" t="n">
        <v>0</v>
      </c>
      <c r="O215" t="n">
        <v>0</v>
      </c>
      <c r="P215" t="n">
        <v>0</v>
      </c>
      <c r="Q215" t="n">
        <v>0</v>
      </c>
      <c r="R215" s="2" t="inlineStr"/>
    </row>
    <row r="216" ht="15" customHeight="1">
      <c r="A216" t="inlineStr">
        <is>
          <t>A 32377-2020</t>
        </is>
      </c>
      <c r="B216" s="1" t="n">
        <v>44018</v>
      </c>
      <c r="C216" s="1" t="n">
        <v>45840</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33181-2020</t>
        </is>
      </c>
      <c r="B217" s="1" t="n">
        <v>44021</v>
      </c>
      <c r="C217" s="1" t="n">
        <v>45840</v>
      </c>
      <c r="D217" t="inlineStr">
        <is>
          <t>VÄSTMANLANDS LÄN</t>
        </is>
      </c>
      <c r="E217" t="inlineStr">
        <is>
          <t>SALA</t>
        </is>
      </c>
      <c r="G217" t="n">
        <v>2.8</v>
      </c>
      <c r="H217" t="n">
        <v>0</v>
      </c>
      <c r="I217" t="n">
        <v>0</v>
      </c>
      <c r="J217" t="n">
        <v>0</v>
      </c>
      <c r="K217" t="n">
        <v>0</v>
      </c>
      <c r="L217" t="n">
        <v>0</v>
      </c>
      <c r="M217" t="n">
        <v>0</v>
      </c>
      <c r="N217" t="n">
        <v>0</v>
      </c>
      <c r="O217" t="n">
        <v>0</v>
      </c>
      <c r="P217" t="n">
        <v>0</v>
      </c>
      <c r="Q217" t="n">
        <v>0</v>
      </c>
      <c r="R217" s="2" t="inlineStr"/>
    </row>
    <row r="218" ht="15" customHeight="1">
      <c r="A218" t="inlineStr">
        <is>
          <t>A 34430-2020</t>
        </is>
      </c>
      <c r="B218" s="1" t="n">
        <v>44032</v>
      </c>
      <c r="C218" s="1" t="n">
        <v>45840</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34429-2020</t>
        </is>
      </c>
      <c r="B219" s="1" t="n">
        <v>44032</v>
      </c>
      <c r="C219" s="1" t="n">
        <v>45840</v>
      </c>
      <c r="D219" t="inlineStr">
        <is>
          <t>VÄSTMANLANDS LÄN</t>
        </is>
      </c>
      <c r="E219" t="inlineStr">
        <is>
          <t>SALA</t>
        </is>
      </c>
      <c r="G219" t="n">
        <v>3.6</v>
      </c>
      <c r="H219" t="n">
        <v>0</v>
      </c>
      <c r="I219" t="n">
        <v>0</v>
      </c>
      <c r="J219" t="n">
        <v>0</v>
      </c>
      <c r="K219" t="n">
        <v>0</v>
      </c>
      <c r="L219" t="n">
        <v>0</v>
      </c>
      <c r="M219" t="n">
        <v>0</v>
      </c>
      <c r="N219" t="n">
        <v>0</v>
      </c>
      <c r="O219" t="n">
        <v>0</v>
      </c>
      <c r="P219" t="n">
        <v>0</v>
      </c>
      <c r="Q219" t="n">
        <v>0</v>
      </c>
      <c r="R219" s="2" t="inlineStr"/>
    </row>
    <row r="220" ht="15" customHeight="1">
      <c r="A220" t="inlineStr">
        <is>
          <t>A 37008-2020</t>
        </is>
      </c>
      <c r="B220" s="1" t="n">
        <v>44054</v>
      </c>
      <c r="C220" s="1" t="n">
        <v>45840</v>
      </c>
      <c r="D220" t="inlineStr">
        <is>
          <t>VÄSTMANLANDS LÄN</t>
        </is>
      </c>
      <c r="E220" t="inlineStr">
        <is>
          <t>SALA</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37098-2020</t>
        </is>
      </c>
      <c r="B221" s="1" t="n">
        <v>44054</v>
      </c>
      <c r="C221" s="1" t="n">
        <v>45840</v>
      </c>
      <c r="D221" t="inlineStr">
        <is>
          <t>VÄSTMANLANDS LÄN</t>
        </is>
      </c>
      <c r="E221" t="inlineStr">
        <is>
          <t>SALA</t>
        </is>
      </c>
      <c r="F221" t="inlineStr">
        <is>
          <t>Kommuner</t>
        </is>
      </c>
      <c r="G221" t="n">
        <v>3.8</v>
      </c>
      <c r="H221" t="n">
        <v>0</v>
      </c>
      <c r="I221" t="n">
        <v>0</v>
      </c>
      <c r="J221" t="n">
        <v>0</v>
      </c>
      <c r="K221" t="n">
        <v>0</v>
      </c>
      <c r="L221" t="n">
        <v>0</v>
      </c>
      <c r="M221" t="n">
        <v>0</v>
      </c>
      <c r="N221" t="n">
        <v>0</v>
      </c>
      <c r="O221" t="n">
        <v>0</v>
      </c>
      <c r="P221" t="n">
        <v>0</v>
      </c>
      <c r="Q221" t="n">
        <v>0</v>
      </c>
      <c r="R221" s="2" t="inlineStr"/>
    </row>
    <row r="222" ht="15" customHeight="1">
      <c r="A222" t="inlineStr">
        <is>
          <t>A 37150-2020</t>
        </is>
      </c>
      <c r="B222" s="1" t="n">
        <v>44054</v>
      </c>
      <c r="C222" s="1" t="n">
        <v>45840</v>
      </c>
      <c r="D222" t="inlineStr">
        <is>
          <t>VÄSTMANLANDS LÄN</t>
        </is>
      </c>
      <c r="E222" t="inlineStr">
        <is>
          <t>SALA</t>
        </is>
      </c>
      <c r="F222" t="inlineStr">
        <is>
          <t>Kommuner</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38579-2020</t>
        </is>
      </c>
      <c r="B223" s="1" t="n">
        <v>44061</v>
      </c>
      <c r="C223" s="1" t="n">
        <v>45840</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38713-2020</t>
        </is>
      </c>
      <c r="B224" s="1" t="n">
        <v>44061</v>
      </c>
      <c r="C224" s="1" t="n">
        <v>45840</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39519-2020</t>
        </is>
      </c>
      <c r="B225" s="1" t="n">
        <v>44064</v>
      </c>
      <c r="C225" s="1" t="n">
        <v>45840</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39818-2020</t>
        </is>
      </c>
      <c r="B226" s="1" t="n">
        <v>44067</v>
      </c>
      <c r="C226" s="1" t="n">
        <v>45840</v>
      </c>
      <c r="D226" t="inlineStr">
        <is>
          <t>VÄSTMANLANDS LÄN</t>
        </is>
      </c>
      <c r="E226" t="inlineStr">
        <is>
          <t>SALA</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41493-2020</t>
        </is>
      </c>
      <c r="B227" s="1" t="n">
        <v>44074</v>
      </c>
      <c r="C227" s="1" t="n">
        <v>45840</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41485-2020</t>
        </is>
      </c>
      <c r="B228" s="1" t="n">
        <v>44074</v>
      </c>
      <c r="C228" s="1" t="n">
        <v>45840</v>
      </c>
      <c r="D228" t="inlineStr">
        <is>
          <t>VÄSTMANLANDS LÄN</t>
        </is>
      </c>
      <c r="E228" t="inlineStr">
        <is>
          <t>SALA</t>
        </is>
      </c>
      <c r="G228" t="n">
        <v>4.7</v>
      </c>
      <c r="H228" t="n">
        <v>0</v>
      </c>
      <c r="I228" t="n">
        <v>0</v>
      </c>
      <c r="J228" t="n">
        <v>0</v>
      </c>
      <c r="K228" t="n">
        <v>0</v>
      </c>
      <c r="L228" t="n">
        <v>0</v>
      </c>
      <c r="M228" t="n">
        <v>0</v>
      </c>
      <c r="N228" t="n">
        <v>0</v>
      </c>
      <c r="O228" t="n">
        <v>0</v>
      </c>
      <c r="P228" t="n">
        <v>0</v>
      </c>
      <c r="Q228" t="n">
        <v>0</v>
      </c>
      <c r="R228" s="2" t="inlineStr"/>
    </row>
    <row r="229" ht="15" customHeight="1">
      <c r="A229" t="inlineStr">
        <is>
          <t>A 42344-2020</t>
        </is>
      </c>
      <c r="B229" s="1" t="n">
        <v>44076</v>
      </c>
      <c r="C229" s="1" t="n">
        <v>45840</v>
      </c>
      <c r="D229" t="inlineStr">
        <is>
          <t>VÄSTMANLANDS LÄN</t>
        </is>
      </c>
      <c r="E229" t="inlineStr">
        <is>
          <t>SALA</t>
        </is>
      </c>
      <c r="G229" t="n">
        <v>5.1</v>
      </c>
      <c r="H229" t="n">
        <v>0</v>
      </c>
      <c r="I229" t="n">
        <v>0</v>
      </c>
      <c r="J229" t="n">
        <v>0</v>
      </c>
      <c r="K229" t="n">
        <v>0</v>
      </c>
      <c r="L229" t="n">
        <v>0</v>
      </c>
      <c r="M229" t="n">
        <v>0</v>
      </c>
      <c r="N229" t="n">
        <v>0</v>
      </c>
      <c r="O229" t="n">
        <v>0</v>
      </c>
      <c r="P229" t="n">
        <v>0</v>
      </c>
      <c r="Q229" t="n">
        <v>0</v>
      </c>
      <c r="R229" s="2" t="inlineStr"/>
    </row>
    <row r="230" ht="15" customHeight="1">
      <c r="A230" t="inlineStr">
        <is>
          <t>A 42345-2020</t>
        </is>
      </c>
      <c r="B230" s="1" t="n">
        <v>44076</v>
      </c>
      <c r="C230" s="1" t="n">
        <v>45840</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42346-2020</t>
        </is>
      </c>
      <c r="B231" s="1" t="n">
        <v>44076</v>
      </c>
      <c r="C231" s="1" t="n">
        <v>45840</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43349-2020</t>
        </is>
      </c>
      <c r="B232" s="1" t="n">
        <v>44081</v>
      </c>
      <c r="C232" s="1" t="n">
        <v>45840</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44652-2020</t>
        </is>
      </c>
      <c r="B233" s="1" t="n">
        <v>44085</v>
      </c>
      <c r="C233" s="1" t="n">
        <v>45840</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44950-2020</t>
        </is>
      </c>
      <c r="B234" s="1" t="n">
        <v>44088</v>
      </c>
      <c r="C234" s="1" t="n">
        <v>45840</v>
      </c>
      <c r="D234" t="inlineStr">
        <is>
          <t>VÄSTMANLANDS LÄN</t>
        </is>
      </c>
      <c r="E234" t="inlineStr">
        <is>
          <t>SALA</t>
        </is>
      </c>
      <c r="G234" t="n">
        <v>9</v>
      </c>
      <c r="H234" t="n">
        <v>0</v>
      </c>
      <c r="I234" t="n">
        <v>0</v>
      </c>
      <c r="J234" t="n">
        <v>0</v>
      </c>
      <c r="K234" t="n">
        <v>0</v>
      </c>
      <c r="L234" t="n">
        <v>0</v>
      </c>
      <c r="M234" t="n">
        <v>0</v>
      </c>
      <c r="N234" t="n">
        <v>0</v>
      </c>
      <c r="O234" t="n">
        <v>0</v>
      </c>
      <c r="P234" t="n">
        <v>0</v>
      </c>
      <c r="Q234" t="n">
        <v>0</v>
      </c>
      <c r="R234" s="2" t="inlineStr"/>
    </row>
    <row r="235" ht="15" customHeight="1">
      <c r="A235" t="inlineStr">
        <is>
          <t>A 46965-2020</t>
        </is>
      </c>
      <c r="B235" s="1" t="n">
        <v>44096</v>
      </c>
      <c r="C235" s="1" t="n">
        <v>45840</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47054-2020</t>
        </is>
      </c>
      <c r="B236" s="1" t="n">
        <v>44096</v>
      </c>
      <c r="C236" s="1" t="n">
        <v>45840</v>
      </c>
      <c r="D236" t="inlineStr">
        <is>
          <t>VÄSTMANLANDS LÄN</t>
        </is>
      </c>
      <c r="E236" t="inlineStr">
        <is>
          <t>SALA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47208-2020</t>
        </is>
      </c>
      <c r="B237" s="1" t="n">
        <v>44097</v>
      </c>
      <c r="C237" s="1" t="n">
        <v>45840</v>
      </c>
      <c r="D237" t="inlineStr">
        <is>
          <t>VÄSTMANLANDS LÄN</t>
        </is>
      </c>
      <c r="E237" t="inlineStr">
        <is>
          <t>SALA</t>
        </is>
      </c>
      <c r="G237" t="n">
        <v>0.5</v>
      </c>
      <c r="H237" t="n">
        <v>0</v>
      </c>
      <c r="I237" t="n">
        <v>0</v>
      </c>
      <c r="J237" t="n">
        <v>0</v>
      </c>
      <c r="K237" t="n">
        <v>0</v>
      </c>
      <c r="L237" t="n">
        <v>0</v>
      </c>
      <c r="M237" t="n">
        <v>0</v>
      </c>
      <c r="N237" t="n">
        <v>0</v>
      </c>
      <c r="O237" t="n">
        <v>0</v>
      </c>
      <c r="P237" t="n">
        <v>0</v>
      </c>
      <c r="Q237" t="n">
        <v>0</v>
      </c>
      <c r="R237" s="2" t="inlineStr"/>
    </row>
    <row r="238" ht="15" customHeight="1">
      <c r="A238" t="inlineStr">
        <is>
          <t>A 50559-2020</t>
        </is>
      </c>
      <c r="B238" s="1" t="n">
        <v>44110</v>
      </c>
      <c r="C238" s="1" t="n">
        <v>45840</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50801-2020</t>
        </is>
      </c>
      <c r="B239" s="1" t="n">
        <v>44111</v>
      </c>
      <c r="C239" s="1" t="n">
        <v>45840</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50818-2020</t>
        </is>
      </c>
      <c r="B240" s="1" t="n">
        <v>44111</v>
      </c>
      <c r="C240" s="1" t="n">
        <v>45840</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54322-2020</t>
        </is>
      </c>
      <c r="B241" s="1" t="n">
        <v>44126</v>
      </c>
      <c r="C241" s="1" t="n">
        <v>45840</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54923-2020</t>
        </is>
      </c>
      <c r="B242" s="1" t="n">
        <v>44127</v>
      </c>
      <c r="C242" s="1" t="n">
        <v>45840</v>
      </c>
      <c r="D242" t="inlineStr">
        <is>
          <t>VÄSTMANLANDS LÄN</t>
        </is>
      </c>
      <c r="E242" t="inlineStr">
        <is>
          <t>SALA</t>
        </is>
      </c>
      <c r="G242" t="n">
        <v>4.9</v>
      </c>
      <c r="H242" t="n">
        <v>0</v>
      </c>
      <c r="I242" t="n">
        <v>0</v>
      </c>
      <c r="J242" t="n">
        <v>0</v>
      </c>
      <c r="K242" t="n">
        <v>0</v>
      </c>
      <c r="L242" t="n">
        <v>0</v>
      </c>
      <c r="M242" t="n">
        <v>0</v>
      </c>
      <c r="N242" t="n">
        <v>0</v>
      </c>
      <c r="O242" t="n">
        <v>0</v>
      </c>
      <c r="P242" t="n">
        <v>0</v>
      </c>
      <c r="Q242" t="n">
        <v>0</v>
      </c>
      <c r="R242" s="2" t="inlineStr"/>
    </row>
    <row r="243" ht="15" customHeight="1">
      <c r="A243" t="inlineStr">
        <is>
          <t>A 54931-2020</t>
        </is>
      </c>
      <c r="B243" s="1" t="n">
        <v>44127</v>
      </c>
      <c r="C243" s="1" t="n">
        <v>45840</v>
      </c>
      <c r="D243" t="inlineStr">
        <is>
          <t>VÄSTMANLANDS LÄN</t>
        </is>
      </c>
      <c r="E243" t="inlineStr">
        <is>
          <t>SALA</t>
        </is>
      </c>
      <c r="G243" t="n">
        <v>7</v>
      </c>
      <c r="H243" t="n">
        <v>0</v>
      </c>
      <c r="I243" t="n">
        <v>0</v>
      </c>
      <c r="J243" t="n">
        <v>0</v>
      </c>
      <c r="K243" t="n">
        <v>0</v>
      </c>
      <c r="L243" t="n">
        <v>0</v>
      </c>
      <c r="M243" t="n">
        <v>0</v>
      </c>
      <c r="N243" t="n">
        <v>0</v>
      </c>
      <c r="O243" t="n">
        <v>0</v>
      </c>
      <c r="P243" t="n">
        <v>0</v>
      </c>
      <c r="Q243" t="n">
        <v>0</v>
      </c>
      <c r="R243" s="2" t="inlineStr"/>
    </row>
    <row r="244" ht="15" customHeight="1">
      <c r="A244" t="inlineStr">
        <is>
          <t>A 55439-2020</t>
        </is>
      </c>
      <c r="B244" s="1" t="n">
        <v>44130</v>
      </c>
      <c r="C244" s="1" t="n">
        <v>45840</v>
      </c>
      <c r="D244" t="inlineStr">
        <is>
          <t>VÄSTMANLANDS LÄN</t>
        </is>
      </c>
      <c r="E244" t="inlineStr">
        <is>
          <t>SALA</t>
        </is>
      </c>
      <c r="G244" t="n">
        <v>4.3</v>
      </c>
      <c r="H244" t="n">
        <v>0</v>
      </c>
      <c r="I244" t="n">
        <v>0</v>
      </c>
      <c r="J244" t="n">
        <v>0</v>
      </c>
      <c r="K244" t="n">
        <v>0</v>
      </c>
      <c r="L244" t="n">
        <v>0</v>
      </c>
      <c r="M244" t="n">
        <v>0</v>
      </c>
      <c r="N244" t="n">
        <v>0</v>
      </c>
      <c r="O244" t="n">
        <v>0</v>
      </c>
      <c r="P244" t="n">
        <v>0</v>
      </c>
      <c r="Q244" t="n">
        <v>0</v>
      </c>
      <c r="R244" s="2" t="inlineStr"/>
    </row>
    <row r="245" ht="15" customHeight="1">
      <c r="A245" t="inlineStr">
        <is>
          <t>A 55881-2020</t>
        </is>
      </c>
      <c r="B245" s="1" t="n">
        <v>44132</v>
      </c>
      <c r="C245" s="1" t="n">
        <v>45840</v>
      </c>
      <c r="D245" t="inlineStr">
        <is>
          <t>VÄSTMANLANDS LÄN</t>
        </is>
      </c>
      <c r="E245" t="inlineStr">
        <is>
          <t>SALA</t>
        </is>
      </c>
      <c r="G245" t="n">
        <v>3</v>
      </c>
      <c r="H245" t="n">
        <v>0</v>
      </c>
      <c r="I245" t="n">
        <v>0</v>
      </c>
      <c r="J245" t="n">
        <v>0</v>
      </c>
      <c r="K245" t="n">
        <v>0</v>
      </c>
      <c r="L245" t="n">
        <v>0</v>
      </c>
      <c r="M245" t="n">
        <v>0</v>
      </c>
      <c r="N245" t="n">
        <v>0</v>
      </c>
      <c r="O245" t="n">
        <v>0</v>
      </c>
      <c r="P245" t="n">
        <v>0</v>
      </c>
      <c r="Q245" t="n">
        <v>0</v>
      </c>
      <c r="R245" s="2" t="inlineStr"/>
    </row>
    <row r="246" ht="15" customHeight="1">
      <c r="A246" t="inlineStr">
        <is>
          <t>A 56134-2020</t>
        </is>
      </c>
      <c r="B246" s="1" t="n">
        <v>44132</v>
      </c>
      <c r="C246" s="1" t="n">
        <v>45840</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56098-2020</t>
        </is>
      </c>
      <c r="B247" s="1" t="n">
        <v>44132</v>
      </c>
      <c r="C247" s="1" t="n">
        <v>45840</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57800-2020</t>
        </is>
      </c>
      <c r="B248" s="1" t="n">
        <v>44141</v>
      </c>
      <c r="C248" s="1" t="n">
        <v>45840</v>
      </c>
      <c r="D248" t="inlineStr">
        <is>
          <t>VÄSTMANLANDS LÄN</t>
        </is>
      </c>
      <c r="E248" t="inlineStr">
        <is>
          <t>SALA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45840</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58781-2020</t>
        </is>
      </c>
      <c r="B250" s="1" t="n">
        <v>44146</v>
      </c>
      <c r="C250" s="1" t="n">
        <v>45840</v>
      </c>
      <c r="D250" t="inlineStr">
        <is>
          <t>VÄSTMANLANDS LÄN</t>
        </is>
      </c>
      <c r="E250" t="inlineStr">
        <is>
          <t>SALA</t>
        </is>
      </c>
      <c r="G250" t="n">
        <v>1.2</v>
      </c>
      <c r="H250" t="n">
        <v>0</v>
      </c>
      <c r="I250" t="n">
        <v>0</v>
      </c>
      <c r="J250" t="n">
        <v>0</v>
      </c>
      <c r="K250" t="n">
        <v>0</v>
      </c>
      <c r="L250" t="n">
        <v>0</v>
      </c>
      <c r="M250" t="n">
        <v>0</v>
      </c>
      <c r="N250" t="n">
        <v>0</v>
      </c>
      <c r="O250" t="n">
        <v>0</v>
      </c>
      <c r="P250" t="n">
        <v>0</v>
      </c>
      <c r="Q250" t="n">
        <v>0</v>
      </c>
      <c r="R250" s="2" t="inlineStr"/>
    </row>
    <row r="251" ht="15" customHeight="1">
      <c r="A251" t="inlineStr">
        <is>
          <t>A 58912-2020</t>
        </is>
      </c>
      <c r="B251" s="1" t="n">
        <v>44146</v>
      </c>
      <c r="C251" s="1" t="n">
        <v>45840</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61415-2020</t>
        </is>
      </c>
      <c r="B252" s="1" t="n">
        <v>44156</v>
      </c>
      <c r="C252" s="1" t="n">
        <v>45840</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62275-2020</t>
        </is>
      </c>
      <c r="B253" s="1" t="n">
        <v>44158</v>
      </c>
      <c r="C253" s="1" t="n">
        <v>45840</v>
      </c>
      <c r="D253" t="inlineStr">
        <is>
          <t>VÄSTMANLANDS LÄN</t>
        </is>
      </c>
      <c r="E253" t="inlineStr">
        <is>
          <t>SALA</t>
        </is>
      </c>
      <c r="G253" t="n">
        <v>4.9</v>
      </c>
      <c r="H253" t="n">
        <v>0</v>
      </c>
      <c r="I253" t="n">
        <v>0</v>
      </c>
      <c r="J253" t="n">
        <v>0</v>
      </c>
      <c r="K253" t="n">
        <v>0</v>
      </c>
      <c r="L253" t="n">
        <v>0</v>
      </c>
      <c r="M253" t="n">
        <v>0</v>
      </c>
      <c r="N253" t="n">
        <v>0</v>
      </c>
      <c r="O253" t="n">
        <v>0</v>
      </c>
      <c r="P253" t="n">
        <v>0</v>
      </c>
      <c r="Q253" t="n">
        <v>0</v>
      </c>
      <c r="R253" s="2" t="inlineStr"/>
    </row>
    <row r="254" ht="15" customHeight="1">
      <c r="A254" t="inlineStr">
        <is>
          <t>A 62680-2020</t>
        </is>
      </c>
      <c r="B254" s="1" t="n">
        <v>44161</v>
      </c>
      <c r="C254" s="1" t="n">
        <v>45840</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64940-2020</t>
        </is>
      </c>
      <c r="B255" s="1" t="n">
        <v>44172</v>
      </c>
      <c r="C255" s="1" t="n">
        <v>45840</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66821-2020</t>
        </is>
      </c>
      <c r="B256" s="1" t="n">
        <v>44179</v>
      </c>
      <c r="C256" s="1" t="n">
        <v>45840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68113-2020</t>
        </is>
      </c>
      <c r="B257" s="1" t="n">
        <v>44182</v>
      </c>
      <c r="C257" s="1" t="n">
        <v>45840</v>
      </c>
      <c r="D257" t="inlineStr">
        <is>
          <t>VÄSTMANLANDS LÄN</t>
        </is>
      </c>
      <c r="E257" t="inlineStr">
        <is>
          <t>SALA</t>
        </is>
      </c>
      <c r="G257" t="n">
        <v>3.6</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45840</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69192-2020</t>
        </is>
      </c>
      <c r="B259" s="1" t="n">
        <v>44191</v>
      </c>
      <c r="C259" s="1" t="n">
        <v>45840</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69195-2020</t>
        </is>
      </c>
      <c r="B260" s="1" t="n">
        <v>44191</v>
      </c>
      <c r="C260" s="1" t="n">
        <v>45840</v>
      </c>
      <c r="D260" t="inlineStr">
        <is>
          <t>VÄSTMANLANDS LÄN</t>
        </is>
      </c>
      <c r="E260" t="inlineStr">
        <is>
          <t>SALA</t>
        </is>
      </c>
      <c r="G260" t="n">
        <v>1</v>
      </c>
      <c r="H260" t="n">
        <v>0</v>
      </c>
      <c r="I260" t="n">
        <v>0</v>
      </c>
      <c r="J260" t="n">
        <v>0</v>
      </c>
      <c r="K260" t="n">
        <v>0</v>
      </c>
      <c r="L260" t="n">
        <v>0</v>
      </c>
      <c r="M260" t="n">
        <v>0</v>
      </c>
      <c r="N260" t="n">
        <v>0</v>
      </c>
      <c r="O260" t="n">
        <v>0</v>
      </c>
      <c r="P260" t="n">
        <v>0</v>
      </c>
      <c r="Q260" t="n">
        <v>0</v>
      </c>
      <c r="R260" s="2" t="inlineStr"/>
    </row>
    <row r="261" ht="15" customHeight="1">
      <c r="A261" t="inlineStr">
        <is>
          <t>A 69319-2020</t>
        </is>
      </c>
      <c r="B261" s="1" t="n">
        <v>44193</v>
      </c>
      <c r="C261" s="1" t="n">
        <v>45840</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69318-2020</t>
        </is>
      </c>
      <c r="B262" s="1" t="n">
        <v>44193</v>
      </c>
      <c r="C262" s="1" t="n">
        <v>45840</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1599-2021</t>
        </is>
      </c>
      <c r="B263" s="1" t="n">
        <v>44209</v>
      </c>
      <c r="C263" s="1" t="n">
        <v>45840</v>
      </c>
      <c r="D263" t="inlineStr">
        <is>
          <t>VÄSTMANLANDS LÄN</t>
        </is>
      </c>
      <c r="E263" t="inlineStr">
        <is>
          <t>SALA</t>
        </is>
      </c>
      <c r="G263" t="n">
        <v>9.6</v>
      </c>
      <c r="H263" t="n">
        <v>0</v>
      </c>
      <c r="I263" t="n">
        <v>0</v>
      </c>
      <c r="J263" t="n">
        <v>0</v>
      </c>
      <c r="K263" t="n">
        <v>0</v>
      </c>
      <c r="L263" t="n">
        <v>0</v>
      </c>
      <c r="M263" t="n">
        <v>0</v>
      </c>
      <c r="N263" t="n">
        <v>0</v>
      </c>
      <c r="O263" t="n">
        <v>0</v>
      </c>
      <c r="P263" t="n">
        <v>0</v>
      </c>
      <c r="Q263" t="n">
        <v>0</v>
      </c>
      <c r="R263" s="2" t="inlineStr"/>
      <c r="U263">
        <f>HYPERLINK("https://klasma.github.io/Logging_1981/knärot/A 1599-2021 karta knärot.png", "A 1599-2021")</f>
        <v/>
      </c>
      <c r="V263">
        <f>HYPERLINK("https://klasma.github.io/Logging_1981/klagomål/A 1599-2021 FSC-klagomål.docx", "A 1599-2021")</f>
        <v/>
      </c>
      <c r="W263">
        <f>HYPERLINK("https://klasma.github.io/Logging_1981/klagomålsmail/A 1599-2021 FSC-klagomål mail.docx", "A 1599-2021")</f>
        <v/>
      </c>
      <c r="X263">
        <f>HYPERLINK("https://klasma.github.io/Logging_1981/tillsyn/A 1599-2021 tillsynsbegäran.docx", "A 1599-2021")</f>
        <v/>
      </c>
      <c r="Y263">
        <f>HYPERLINK("https://klasma.github.io/Logging_1981/tillsynsmail/A 1599-2021 tillsynsbegäran mail.docx", "A 1599-2021")</f>
        <v/>
      </c>
    </row>
    <row r="264" ht="15" customHeight="1">
      <c r="A264" t="inlineStr">
        <is>
          <t>A 2443-2021</t>
        </is>
      </c>
      <c r="B264" s="1" t="n">
        <v>44214</v>
      </c>
      <c r="C264" s="1" t="n">
        <v>45840</v>
      </c>
      <c r="D264" t="inlineStr">
        <is>
          <t>VÄSTMANLANDS LÄN</t>
        </is>
      </c>
      <c r="E264" t="inlineStr">
        <is>
          <t>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4736-2021</t>
        </is>
      </c>
      <c r="B265" s="1" t="n">
        <v>44225</v>
      </c>
      <c r="C265" s="1" t="n">
        <v>45840</v>
      </c>
      <c r="D265" t="inlineStr">
        <is>
          <t>VÄSTMANLANDS LÄN</t>
        </is>
      </c>
      <c r="E265" t="inlineStr">
        <is>
          <t>SALA</t>
        </is>
      </c>
      <c r="G265" t="n">
        <v>4.2</v>
      </c>
      <c r="H265" t="n">
        <v>0</v>
      </c>
      <c r="I265" t="n">
        <v>0</v>
      </c>
      <c r="J265" t="n">
        <v>0</v>
      </c>
      <c r="K265" t="n">
        <v>0</v>
      </c>
      <c r="L265" t="n">
        <v>0</v>
      </c>
      <c r="M265" t="n">
        <v>0</v>
      </c>
      <c r="N265" t="n">
        <v>0</v>
      </c>
      <c r="O265" t="n">
        <v>0</v>
      </c>
      <c r="P265" t="n">
        <v>0</v>
      </c>
      <c r="Q265" t="n">
        <v>0</v>
      </c>
      <c r="R265" s="2" t="inlineStr"/>
    </row>
    <row r="266" ht="15" customHeight="1">
      <c r="A266" t="inlineStr">
        <is>
          <t>A 6088-2021</t>
        </is>
      </c>
      <c r="B266" s="1" t="n">
        <v>44232</v>
      </c>
      <c r="C266" s="1" t="n">
        <v>45840</v>
      </c>
      <c r="D266" t="inlineStr">
        <is>
          <t>VÄSTMANLANDS LÄN</t>
        </is>
      </c>
      <c r="E266" t="inlineStr">
        <is>
          <t>SALA</t>
        </is>
      </c>
      <c r="G266" t="n">
        <v>0.2</v>
      </c>
      <c r="H266" t="n">
        <v>0</v>
      </c>
      <c r="I266" t="n">
        <v>0</v>
      </c>
      <c r="J266" t="n">
        <v>0</v>
      </c>
      <c r="K266" t="n">
        <v>0</v>
      </c>
      <c r="L266" t="n">
        <v>0</v>
      </c>
      <c r="M266" t="n">
        <v>0</v>
      </c>
      <c r="N266" t="n">
        <v>0</v>
      </c>
      <c r="O266" t="n">
        <v>0</v>
      </c>
      <c r="P266" t="n">
        <v>0</v>
      </c>
      <c r="Q266" t="n">
        <v>0</v>
      </c>
      <c r="R266" s="2" t="inlineStr"/>
    </row>
    <row r="267" ht="15" customHeight="1">
      <c r="A267" t="inlineStr">
        <is>
          <t>A 6308-2021</t>
        </is>
      </c>
      <c r="B267" s="1" t="n">
        <v>44235</v>
      </c>
      <c r="C267" s="1" t="n">
        <v>45840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7681-2021</t>
        </is>
      </c>
      <c r="B268" s="1" t="n">
        <v>44242</v>
      </c>
      <c r="C268" s="1" t="n">
        <v>45840</v>
      </c>
      <c r="D268" t="inlineStr">
        <is>
          <t>VÄSTMANLANDS LÄN</t>
        </is>
      </c>
      <c r="E268" t="inlineStr">
        <is>
          <t>SALA</t>
        </is>
      </c>
      <c r="F268" t="inlineStr">
        <is>
          <t>Sveaskog</t>
        </is>
      </c>
      <c r="G268" t="n">
        <v>16.1</v>
      </c>
      <c r="H268" t="n">
        <v>0</v>
      </c>
      <c r="I268" t="n">
        <v>0</v>
      </c>
      <c r="J268" t="n">
        <v>0</v>
      </c>
      <c r="K268" t="n">
        <v>0</v>
      </c>
      <c r="L268" t="n">
        <v>0</v>
      </c>
      <c r="M268" t="n">
        <v>0</v>
      </c>
      <c r="N268" t="n">
        <v>0</v>
      </c>
      <c r="O268" t="n">
        <v>0</v>
      </c>
      <c r="P268" t="n">
        <v>0</v>
      </c>
      <c r="Q268" t="n">
        <v>0</v>
      </c>
      <c r="R268" s="2" t="inlineStr"/>
    </row>
    <row r="269" ht="15" customHeight="1">
      <c r="A269" t="inlineStr">
        <is>
          <t>A 7968-2021</t>
        </is>
      </c>
      <c r="B269" s="1" t="n">
        <v>44243</v>
      </c>
      <c r="C269" s="1" t="n">
        <v>45840</v>
      </c>
      <c r="D269" t="inlineStr">
        <is>
          <t>VÄSTMANLANDS LÄN</t>
        </is>
      </c>
      <c r="E269" t="inlineStr">
        <is>
          <t>SALA</t>
        </is>
      </c>
      <c r="G269" t="n">
        <v>3.1</v>
      </c>
      <c r="H269" t="n">
        <v>0</v>
      </c>
      <c r="I269" t="n">
        <v>0</v>
      </c>
      <c r="J269" t="n">
        <v>0</v>
      </c>
      <c r="K269" t="n">
        <v>0</v>
      </c>
      <c r="L269" t="n">
        <v>0</v>
      </c>
      <c r="M269" t="n">
        <v>0</v>
      </c>
      <c r="N269" t="n">
        <v>0</v>
      </c>
      <c r="O269" t="n">
        <v>0</v>
      </c>
      <c r="P269" t="n">
        <v>0</v>
      </c>
      <c r="Q269" t="n">
        <v>0</v>
      </c>
      <c r="R269" s="2" t="inlineStr"/>
    </row>
    <row r="270" ht="15" customHeight="1">
      <c r="A270" t="inlineStr">
        <is>
          <t>A 7955-2021</t>
        </is>
      </c>
      <c r="B270" s="1" t="n">
        <v>44243</v>
      </c>
      <c r="C270" s="1" t="n">
        <v>45840</v>
      </c>
      <c r="D270" t="inlineStr">
        <is>
          <t>VÄSTMANLANDS LÄN</t>
        </is>
      </c>
      <c r="E270" t="inlineStr">
        <is>
          <t>SALA</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8513-2021</t>
        </is>
      </c>
      <c r="B271" s="1" t="n">
        <v>44244</v>
      </c>
      <c r="C271" s="1" t="n">
        <v>45840</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10154-2021</t>
        </is>
      </c>
      <c r="B272" s="1" t="n">
        <v>44256</v>
      </c>
      <c r="C272" s="1" t="n">
        <v>45840</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10812-2021</t>
        </is>
      </c>
      <c r="B273" s="1" t="n">
        <v>44259</v>
      </c>
      <c r="C273" s="1" t="n">
        <v>45840</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11017-2021</t>
        </is>
      </c>
      <c r="B274" s="1" t="n">
        <v>44260</v>
      </c>
      <c r="C274" s="1" t="n">
        <v>45840</v>
      </c>
      <c r="D274" t="inlineStr">
        <is>
          <t>VÄSTMANLANDS LÄN</t>
        </is>
      </c>
      <c r="E274" t="inlineStr">
        <is>
          <t>SALA</t>
        </is>
      </c>
      <c r="F274" t="inlineStr">
        <is>
          <t>Kyrkan</t>
        </is>
      </c>
      <c r="G274" t="n">
        <v>1.2</v>
      </c>
      <c r="H274" t="n">
        <v>0</v>
      </c>
      <c r="I274" t="n">
        <v>0</v>
      </c>
      <c r="J274" t="n">
        <v>0</v>
      </c>
      <c r="K274" t="n">
        <v>0</v>
      </c>
      <c r="L274" t="n">
        <v>0</v>
      </c>
      <c r="M274" t="n">
        <v>0</v>
      </c>
      <c r="N274" t="n">
        <v>0</v>
      </c>
      <c r="O274" t="n">
        <v>0</v>
      </c>
      <c r="P274" t="n">
        <v>0</v>
      </c>
      <c r="Q274" t="n">
        <v>0</v>
      </c>
      <c r="R274" s="2" t="inlineStr"/>
    </row>
    <row r="275" ht="15" customHeight="1">
      <c r="A275" t="inlineStr">
        <is>
          <t>A 11007-2021</t>
        </is>
      </c>
      <c r="B275" s="1" t="n">
        <v>44260</v>
      </c>
      <c r="C275" s="1" t="n">
        <v>45840</v>
      </c>
      <c r="D275" t="inlineStr">
        <is>
          <t>VÄSTMANLANDS LÄN</t>
        </is>
      </c>
      <c r="E275" t="inlineStr">
        <is>
          <t>SALA</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11560-2021</t>
        </is>
      </c>
      <c r="B276" s="1" t="n">
        <v>44264</v>
      </c>
      <c r="C276" s="1" t="n">
        <v>45840</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13112-2021</t>
        </is>
      </c>
      <c r="B277" s="1" t="n">
        <v>44272</v>
      </c>
      <c r="C277" s="1" t="n">
        <v>45840</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14010-2021</t>
        </is>
      </c>
      <c r="B278" s="1" t="n">
        <v>44277</v>
      </c>
      <c r="C278" s="1" t="n">
        <v>45840</v>
      </c>
      <c r="D278" t="inlineStr">
        <is>
          <t>VÄSTMANLANDS LÄN</t>
        </is>
      </c>
      <c r="E278" t="inlineStr">
        <is>
          <t>SALA</t>
        </is>
      </c>
      <c r="G278" t="n">
        <v>3.5</v>
      </c>
      <c r="H278" t="n">
        <v>0</v>
      </c>
      <c r="I278" t="n">
        <v>0</v>
      </c>
      <c r="J278" t="n">
        <v>0</v>
      </c>
      <c r="K278" t="n">
        <v>0</v>
      </c>
      <c r="L278" t="n">
        <v>0</v>
      </c>
      <c r="M278" t="n">
        <v>0</v>
      </c>
      <c r="N278" t="n">
        <v>0</v>
      </c>
      <c r="O278" t="n">
        <v>0</v>
      </c>
      <c r="P278" t="n">
        <v>0</v>
      </c>
      <c r="Q278" t="n">
        <v>0</v>
      </c>
      <c r="R278" s="2" t="inlineStr"/>
    </row>
    <row r="279" ht="15" customHeight="1">
      <c r="A279" t="inlineStr">
        <is>
          <t>A 15354-2021</t>
        </is>
      </c>
      <c r="B279" s="1" t="n">
        <v>44284</v>
      </c>
      <c r="C279" s="1" t="n">
        <v>45840</v>
      </c>
      <c r="D279" t="inlineStr">
        <is>
          <t>VÄSTMANLANDS LÄN</t>
        </is>
      </c>
      <c r="E279" t="inlineStr">
        <is>
          <t>SALA</t>
        </is>
      </c>
      <c r="F279" t="inlineStr">
        <is>
          <t>Kyrkan</t>
        </is>
      </c>
      <c r="G279" t="n">
        <v>8.5</v>
      </c>
      <c r="H279" t="n">
        <v>0</v>
      </c>
      <c r="I279" t="n">
        <v>0</v>
      </c>
      <c r="J279" t="n">
        <v>0</v>
      </c>
      <c r="K279" t="n">
        <v>0</v>
      </c>
      <c r="L279" t="n">
        <v>0</v>
      </c>
      <c r="M279" t="n">
        <v>0</v>
      </c>
      <c r="N279" t="n">
        <v>0</v>
      </c>
      <c r="O279" t="n">
        <v>0</v>
      </c>
      <c r="P279" t="n">
        <v>0</v>
      </c>
      <c r="Q279" t="n">
        <v>0</v>
      </c>
      <c r="R279" s="2" t="inlineStr"/>
    </row>
    <row r="280" ht="15" customHeight="1">
      <c r="A280" t="inlineStr">
        <is>
          <t>A 15483-2021</t>
        </is>
      </c>
      <c r="B280" s="1" t="n">
        <v>44285</v>
      </c>
      <c r="C280" s="1" t="n">
        <v>45840</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15584-2021</t>
        </is>
      </c>
      <c r="B281" s="1" t="n">
        <v>44285</v>
      </c>
      <c r="C281" s="1" t="n">
        <v>45840</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16651-2021</t>
        </is>
      </c>
      <c r="B282" s="1" t="n">
        <v>44294</v>
      </c>
      <c r="C282" s="1" t="n">
        <v>45840</v>
      </c>
      <c r="D282" t="inlineStr">
        <is>
          <t>VÄSTMANLANDS LÄN</t>
        </is>
      </c>
      <c r="E282" t="inlineStr">
        <is>
          <t>SALA</t>
        </is>
      </c>
      <c r="G282" t="n">
        <v>7.7</v>
      </c>
      <c r="H282" t="n">
        <v>0</v>
      </c>
      <c r="I282" t="n">
        <v>0</v>
      </c>
      <c r="J282" t="n">
        <v>0</v>
      </c>
      <c r="K282" t="n">
        <v>0</v>
      </c>
      <c r="L282" t="n">
        <v>0</v>
      </c>
      <c r="M282" t="n">
        <v>0</v>
      </c>
      <c r="N282" t="n">
        <v>0</v>
      </c>
      <c r="O282" t="n">
        <v>0</v>
      </c>
      <c r="P282" t="n">
        <v>0</v>
      </c>
      <c r="Q282" t="n">
        <v>0</v>
      </c>
      <c r="R282" s="2" t="inlineStr"/>
    </row>
    <row r="283" ht="15" customHeight="1">
      <c r="A283" t="inlineStr">
        <is>
          <t>A 18046-2021</t>
        </is>
      </c>
      <c r="B283" s="1" t="n">
        <v>44301</v>
      </c>
      <c r="C283" s="1" t="n">
        <v>45840</v>
      </c>
      <c r="D283" t="inlineStr">
        <is>
          <t>VÄSTMANLANDS LÄN</t>
        </is>
      </c>
      <c r="E283" t="inlineStr">
        <is>
          <t>SALA</t>
        </is>
      </c>
      <c r="G283" t="n">
        <v>3.5</v>
      </c>
      <c r="H283" t="n">
        <v>0</v>
      </c>
      <c r="I283" t="n">
        <v>0</v>
      </c>
      <c r="J283" t="n">
        <v>0</v>
      </c>
      <c r="K283" t="n">
        <v>0</v>
      </c>
      <c r="L283" t="n">
        <v>0</v>
      </c>
      <c r="M283" t="n">
        <v>0</v>
      </c>
      <c r="N283" t="n">
        <v>0</v>
      </c>
      <c r="O283" t="n">
        <v>0</v>
      </c>
      <c r="P283" t="n">
        <v>0</v>
      </c>
      <c r="Q283" t="n">
        <v>0</v>
      </c>
      <c r="R283" s="2" t="inlineStr"/>
    </row>
    <row r="284" ht="15" customHeight="1">
      <c r="A284" t="inlineStr">
        <is>
          <t>A 18189-2021</t>
        </is>
      </c>
      <c r="B284" s="1" t="n">
        <v>44302</v>
      </c>
      <c r="C284" s="1" t="n">
        <v>45840</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18259-2021</t>
        </is>
      </c>
      <c r="B285" s="1" t="n">
        <v>44305</v>
      </c>
      <c r="C285" s="1" t="n">
        <v>45840</v>
      </c>
      <c r="D285" t="inlineStr">
        <is>
          <t>VÄSTMANLANDS LÄN</t>
        </is>
      </c>
      <c r="E285" t="inlineStr">
        <is>
          <t>SALA</t>
        </is>
      </c>
      <c r="G285" t="n">
        <v>0</v>
      </c>
      <c r="H285" t="n">
        <v>0</v>
      </c>
      <c r="I285" t="n">
        <v>0</v>
      </c>
      <c r="J285" t="n">
        <v>0</v>
      </c>
      <c r="K285" t="n">
        <v>0</v>
      </c>
      <c r="L285" t="n">
        <v>0</v>
      </c>
      <c r="M285" t="n">
        <v>0</v>
      </c>
      <c r="N285" t="n">
        <v>0</v>
      </c>
      <c r="O285" t="n">
        <v>0</v>
      </c>
      <c r="P285" t="n">
        <v>0</v>
      </c>
      <c r="Q285" t="n">
        <v>0</v>
      </c>
      <c r="R285" s="2" t="inlineStr"/>
    </row>
    <row r="286" ht="15" customHeight="1">
      <c r="A286" t="inlineStr">
        <is>
          <t>A 18378-2021</t>
        </is>
      </c>
      <c r="B286" s="1" t="n">
        <v>44305</v>
      </c>
      <c r="C286" s="1" t="n">
        <v>45840</v>
      </c>
      <c r="D286" t="inlineStr">
        <is>
          <t>VÄSTMANLANDS LÄN</t>
        </is>
      </c>
      <c r="E286" t="inlineStr">
        <is>
          <t>SALA</t>
        </is>
      </c>
      <c r="F286" t="inlineStr">
        <is>
          <t>Kommuner</t>
        </is>
      </c>
      <c r="G286" t="n">
        <v>0.9</v>
      </c>
      <c r="H286" t="n">
        <v>0</v>
      </c>
      <c r="I286" t="n">
        <v>0</v>
      </c>
      <c r="J286" t="n">
        <v>0</v>
      </c>
      <c r="K286" t="n">
        <v>0</v>
      </c>
      <c r="L286" t="n">
        <v>0</v>
      </c>
      <c r="M286" t="n">
        <v>0</v>
      </c>
      <c r="N286" t="n">
        <v>0</v>
      </c>
      <c r="O286" t="n">
        <v>0</v>
      </c>
      <c r="P286" t="n">
        <v>0</v>
      </c>
      <c r="Q286" t="n">
        <v>0</v>
      </c>
      <c r="R286" s="2" t="inlineStr"/>
    </row>
    <row r="287" ht="15" customHeight="1">
      <c r="A287" t="inlineStr">
        <is>
          <t>A 18385-2021</t>
        </is>
      </c>
      <c r="B287" s="1" t="n">
        <v>44305</v>
      </c>
      <c r="C287" s="1" t="n">
        <v>45840</v>
      </c>
      <c r="D287" t="inlineStr">
        <is>
          <t>VÄSTMANLANDS LÄN</t>
        </is>
      </c>
      <c r="E287" t="inlineStr">
        <is>
          <t>SALA</t>
        </is>
      </c>
      <c r="F287" t="inlineStr">
        <is>
          <t>Kommuner</t>
        </is>
      </c>
      <c r="G287" t="n">
        <v>0.6</v>
      </c>
      <c r="H287" t="n">
        <v>0</v>
      </c>
      <c r="I287" t="n">
        <v>0</v>
      </c>
      <c r="J287" t="n">
        <v>0</v>
      </c>
      <c r="K287" t="n">
        <v>0</v>
      </c>
      <c r="L287" t="n">
        <v>0</v>
      </c>
      <c r="M287" t="n">
        <v>0</v>
      </c>
      <c r="N287" t="n">
        <v>0</v>
      </c>
      <c r="O287" t="n">
        <v>0</v>
      </c>
      <c r="P287" t="n">
        <v>0</v>
      </c>
      <c r="Q287" t="n">
        <v>0</v>
      </c>
      <c r="R287" s="2" t="inlineStr"/>
    </row>
    <row r="288" ht="15" customHeight="1">
      <c r="A288" t="inlineStr">
        <is>
          <t>A 18951-2021</t>
        </is>
      </c>
      <c r="B288" s="1" t="n">
        <v>44308</v>
      </c>
      <c r="C288" s="1" t="n">
        <v>45840</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21458-2021</t>
        </is>
      </c>
      <c r="B289" s="1" t="n">
        <v>44321</v>
      </c>
      <c r="C289" s="1" t="n">
        <v>45840</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21478-2021</t>
        </is>
      </c>
      <c r="B290" s="1" t="n">
        <v>44321</v>
      </c>
      <c r="C290" s="1" t="n">
        <v>45840</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22019-2021</t>
        </is>
      </c>
      <c r="B291" s="1" t="n">
        <v>44323</v>
      </c>
      <c r="C291" s="1" t="n">
        <v>45840</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22026-2021</t>
        </is>
      </c>
      <c r="B292" s="1" t="n">
        <v>44323</v>
      </c>
      <c r="C292" s="1" t="n">
        <v>45840</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22017-2021</t>
        </is>
      </c>
      <c r="B293" s="1" t="n">
        <v>44323</v>
      </c>
      <c r="C293" s="1" t="n">
        <v>45840</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22362-2021</t>
        </is>
      </c>
      <c r="B294" s="1" t="n">
        <v>44326</v>
      </c>
      <c r="C294" s="1" t="n">
        <v>45840</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23696-2021</t>
        </is>
      </c>
      <c r="B295" s="1" t="n">
        <v>44334</v>
      </c>
      <c r="C295" s="1" t="n">
        <v>45840</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23693-2021</t>
        </is>
      </c>
      <c r="B296" s="1" t="n">
        <v>44334</v>
      </c>
      <c r="C296" s="1" t="n">
        <v>45840</v>
      </c>
      <c r="D296" t="inlineStr">
        <is>
          <t>VÄSTMANLANDS LÄN</t>
        </is>
      </c>
      <c r="E296" t="inlineStr">
        <is>
          <t>SALA</t>
        </is>
      </c>
      <c r="G296" t="n">
        <v>8.4</v>
      </c>
      <c r="H296" t="n">
        <v>0</v>
      </c>
      <c r="I296" t="n">
        <v>0</v>
      </c>
      <c r="J296" t="n">
        <v>0</v>
      </c>
      <c r="K296" t="n">
        <v>0</v>
      </c>
      <c r="L296" t="n">
        <v>0</v>
      </c>
      <c r="M296" t="n">
        <v>0</v>
      </c>
      <c r="N296" t="n">
        <v>0</v>
      </c>
      <c r="O296" t="n">
        <v>0</v>
      </c>
      <c r="P296" t="n">
        <v>0</v>
      </c>
      <c r="Q296" t="n">
        <v>0</v>
      </c>
      <c r="R296" s="2" t="inlineStr"/>
    </row>
    <row r="297" ht="15" customHeight="1">
      <c r="A297" t="inlineStr">
        <is>
          <t>A 24740-2021</t>
        </is>
      </c>
      <c r="B297" s="1" t="n">
        <v>44340</v>
      </c>
      <c r="C297" s="1" t="n">
        <v>45840</v>
      </c>
      <c r="D297" t="inlineStr">
        <is>
          <t>VÄSTMANLANDS LÄN</t>
        </is>
      </c>
      <c r="E297" t="inlineStr">
        <is>
          <t>SALA</t>
        </is>
      </c>
      <c r="G297" t="n">
        <v>2.1</v>
      </c>
      <c r="H297" t="n">
        <v>0</v>
      </c>
      <c r="I297" t="n">
        <v>0</v>
      </c>
      <c r="J297" t="n">
        <v>0</v>
      </c>
      <c r="K297" t="n">
        <v>0</v>
      </c>
      <c r="L297" t="n">
        <v>0</v>
      </c>
      <c r="M297" t="n">
        <v>0</v>
      </c>
      <c r="N297" t="n">
        <v>0</v>
      </c>
      <c r="O297" t="n">
        <v>0</v>
      </c>
      <c r="P297" t="n">
        <v>0</v>
      </c>
      <c r="Q297" t="n">
        <v>0</v>
      </c>
      <c r="R297" s="2" t="inlineStr"/>
    </row>
    <row r="298" ht="15" customHeight="1">
      <c r="A298" t="inlineStr">
        <is>
          <t>A 24823-2021</t>
        </is>
      </c>
      <c r="B298" s="1" t="n">
        <v>44340</v>
      </c>
      <c r="C298" s="1" t="n">
        <v>45840</v>
      </c>
      <c r="D298" t="inlineStr">
        <is>
          <t>VÄSTMANLANDS LÄN</t>
        </is>
      </c>
      <c r="E298" t="inlineStr">
        <is>
          <t>SALA</t>
        </is>
      </c>
      <c r="G298" t="n">
        <v>4.9</v>
      </c>
      <c r="H298" t="n">
        <v>0</v>
      </c>
      <c r="I298" t="n">
        <v>0</v>
      </c>
      <c r="J298" t="n">
        <v>0</v>
      </c>
      <c r="K298" t="n">
        <v>0</v>
      </c>
      <c r="L298" t="n">
        <v>0</v>
      </c>
      <c r="M298" t="n">
        <v>0</v>
      </c>
      <c r="N298" t="n">
        <v>0</v>
      </c>
      <c r="O298" t="n">
        <v>0</v>
      </c>
      <c r="P298" t="n">
        <v>0</v>
      </c>
      <c r="Q298" t="n">
        <v>0</v>
      </c>
      <c r="R298" s="2" t="inlineStr"/>
    </row>
    <row r="299" ht="15" customHeight="1">
      <c r="A299" t="inlineStr">
        <is>
          <t>A 24755-2021</t>
        </is>
      </c>
      <c r="B299" s="1" t="n">
        <v>44340</v>
      </c>
      <c r="C299" s="1" t="n">
        <v>45840</v>
      </c>
      <c r="D299" t="inlineStr">
        <is>
          <t>VÄSTMANLANDS LÄN</t>
        </is>
      </c>
      <c r="E299" t="inlineStr">
        <is>
          <t>SALA</t>
        </is>
      </c>
      <c r="G299" t="n">
        <v>1.2</v>
      </c>
      <c r="H299" t="n">
        <v>0</v>
      </c>
      <c r="I299" t="n">
        <v>0</v>
      </c>
      <c r="J299" t="n">
        <v>0</v>
      </c>
      <c r="K299" t="n">
        <v>0</v>
      </c>
      <c r="L299" t="n">
        <v>0</v>
      </c>
      <c r="M299" t="n">
        <v>0</v>
      </c>
      <c r="N299" t="n">
        <v>0</v>
      </c>
      <c r="O299" t="n">
        <v>0</v>
      </c>
      <c r="P299" t="n">
        <v>0</v>
      </c>
      <c r="Q299" t="n">
        <v>0</v>
      </c>
      <c r="R299" s="2" t="inlineStr"/>
    </row>
    <row r="300" ht="15" customHeight="1">
      <c r="A300" t="inlineStr">
        <is>
          <t>A 26579-2021</t>
        </is>
      </c>
      <c r="B300" s="1" t="n">
        <v>44348</v>
      </c>
      <c r="C300" s="1" t="n">
        <v>45840</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26570-2021</t>
        </is>
      </c>
      <c r="B301" s="1" t="n">
        <v>44348</v>
      </c>
      <c r="C301" s="1" t="n">
        <v>45840</v>
      </c>
      <c r="D301" t="inlineStr">
        <is>
          <t>VÄSTMANLANDS LÄN</t>
        </is>
      </c>
      <c r="E301" t="inlineStr">
        <is>
          <t>SALA</t>
        </is>
      </c>
      <c r="G301" t="n">
        <v>2.5</v>
      </c>
      <c r="H301" t="n">
        <v>0</v>
      </c>
      <c r="I301" t="n">
        <v>0</v>
      </c>
      <c r="J301" t="n">
        <v>0</v>
      </c>
      <c r="K301" t="n">
        <v>0</v>
      </c>
      <c r="L301" t="n">
        <v>0</v>
      </c>
      <c r="M301" t="n">
        <v>0</v>
      </c>
      <c r="N301" t="n">
        <v>0</v>
      </c>
      <c r="O301" t="n">
        <v>0</v>
      </c>
      <c r="P301" t="n">
        <v>0</v>
      </c>
      <c r="Q301" t="n">
        <v>0</v>
      </c>
      <c r="R301" s="2" t="inlineStr"/>
    </row>
    <row r="302" ht="15" customHeight="1">
      <c r="A302" t="inlineStr">
        <is>
          <t>A 26575-2021</t>
        </is>
      </c>
      <c r="B302" s="1" t="n">
        <v>44348</v>
      </c>
      <c r="C302" s="1" t="n">
        <v>45840</v>
      </c>
      <c r="D302" t="inlineStr">
        <is>
          <t>VÄSTMANLANDS LÄN</t>
        </is>
      </c>
      <c r="E302" t="inlineStr">
        <is>
          <t>SALA</t>
        </is>
      </c>
      <c r="G302" t="n">
        <v>2.7</v>
      </c>
      <c r="H302" t="n">
        <v>0</v>
      </c>
      <c r="I302" t="n">
        <v>0</v>
      </c>
      <c r="J302" t="n">
        <v>0</v>
      </c>
      <c r="K302" t="n">
        <v>0</v>
      </c>
      <c r="L302" t="n">
        <v>0</v>
      </c>
      <c r="M302" t="n">
        <v>0</v>
      </c>
      <c r="N302" t="n">
        <v>0</v>
      </c>
      <c r="O302" t="n">
        <v>0</v>
      </c>
      <c r="P302" t="n">
        <v>0</v>
      </c>
      <c r="Q302" t="n">
        <v>0</v>
      </c>
      <c r="R302" s="2" t="inlineStr"/>
    </row>
    <row r="303" ht="15" customHeight="1">
      <c r="A303" t="inlineStr">
        <is>
          <t>A 28425-2021</t>
        </is>
      </c>
      <c r="B303" s="1" t="n">
        <v>44356</v>
      </c>
      <c r="C303" s="1" t="n">
        <v>45840</v>
      </c>
      <c r="D303" t="inlineStr">
        <is>
          <t>VÄSTMANLANDS LÄN</t>
        </is>
      </c>
      <c r="E303" t="inlineStr">
        <is>
          <t>SALA</t>
        </is>
      </c>
      <c r="G303" t="n">
        <v>3.7</v>
      </c>
      <c r="H303" t="n">
        <v>0</v>
      </c>
      <c r="I303" t="n">
        <v>0</v>
      </c>
      <c r="J303" t="n">
        <v>0</v>
      </c>
      <c r="K303" t="n">
        <v>0</v>
      </c>
      <c r="L303" t="n">
        <v>0</v>
      </c>
      <c r="M303" t="n">
        <v>0</v>
      </c>
      <c r="N303" t="n">
        <v>0</v>
      </c>
      <c r="O303" t="n">
        <v>0</v>
      </c>
      <c r="P303" t="n">
        <v>0</v>
      </c>
      <c r="Q303" t="n">
        <v>0</v>
      </c>
      <c r="R303" s="2" t="inlineStr"/>
    </row>
    <row r="304" ht="15" customHeight="1">
      <c r="A304" t="inlineStr">
        <is>
          <t>A 30170-2021</t>
        </is>
      </c>
      <c r="B304" s="1" t="n">
        <v>44363</v>
      </c>
      <c r="C304" s="1" t="n">
        <v>45840</v>
      </c>
      <c r="D304" t="inlineStr">
        <is>
          <t>VÄSTMANLANDS LÄN</t>
        </is>
      </c>
      <c r="E304" t="inlineStr">
        <is>
          <t>SALA</t>
        </is>
      </c>
      <c r="G304" t="n">
        <v>7.2</v>
      </c>
      <c r="H304" t="n">
        <v>0</v>
      </c>
      <c r="I304" t="n">
        <v>0</v>
      </c>
      <c r="J304" t="n">
        <v>0</v>
      </c>
      <c r="K304" t="n">
        <v>0</v>
      </c>
      <c r="L304" t="n">
        <v>0</v>
      </c>
      <c r="M304" t="n">
        <v>0</v>
      </c>
      <c r="N304" t="n">
        <v>0</v>
      </c>
      <c r="O304" t="n">
        <v>0</v>
      </c>
      <c r="P304" t="n">
        <v>0</v>
      </c>
      <c r="Q304" t="n">
        <v>0</v>
      </c>
      <c r="R304" s="2" t="inlineStr"/>
    </row>
    <row r="305" ht="15" customHeight="1">
      <c r="A305" t="inlineStr">
        <is>
          <t>A 30859-2021</t>
        </is>
      </c>
      <c r="B305" s="1" t="n">
        <v>44365</v>
      </c>
      <c r="C305" s="1" t="n">
        <v>45840</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30904-2021</t>
        </is>
      </c>
      <c r="B306" s="1" t="n">
        <v>44365</v>
      </c>
      <c r="C306" s="1" t="n">
        <v>45840</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30915-2021</t>
        </is>
      </c>
      <c r="B307" s="1" t="n">
        <v>44365</v>
      </c>
      <c r="C307" s="1" t="n">
        <v>45840</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30925-2021</t>
        </is>
      </c>
      <c r="B308" s="1" t="n">
        <v>44365</v>
      </c>
      <c r="C308" s="1" t="n">
        <v>45840</v>
      </c>
      <c r="D308" t="inlineStr">
        <is>
          <t>VÄSTMANLANDS LÄN</t>
        </is>
      </c>
      <c r="E308" t="inlineStr">
        <is>
          <t>SALA</t>
        </is>
      </c>
      <c r="G308" t="n">
        <v>0.9</v>
      </c>
      <c r="H308" t="n">
        <v>0</v>
      </c>
      <c r="I308" t="n">
        <v>0</v>
      </c>
      <c r="J308" t="n">
        <v>0</v>
      </c>
      <c r="K308" t="n">
        <v>0</v>
      </c>
      <c r="L308" t="n">
        <v>0</v>
      </c>
      <c r="M308" t="n">
        <v>0</v>
      </c>
      <c r="N308" t="n">
        <v>0</v>
      </c>
      <c r="O308" t="n">
        <v>0</v>
      </c>
      <c r="P308" t="n">
        <v>0</v>
      </c>
      <c r="Q308" t="n">
        <v>0</v>
      </c>
      <c r="R308" s="2" t="inlineStr"/>
    </row>
    <row r="309" ht="15" customHeight="1">
      <c r="A309" t="inlineStr">
        <is>
          <t>A 30918-2021</t>
        </is>
      </c>
      <c r="B309" s="1" t="n">
        <v>44365</v>
      </c>
      <c r="C309" s="1" t="n">
        <v>45840</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31072-2021</t>
        </is>
      </c>
      <c r="B310" s="1" t="n">
        <v>44368</v>
      </c>
      <c r="C310" s="1" t="n">
        <v>45840</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31082-2021</t>
        </is>
      </c>
      <c r="B311" s="1" t="n">
        <v>44368</v>
      </c>
      <c r="C311" s="1" t="n">
        <v>45840</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31452-2021</t>
        </is>
      </c>
      <c r="B312" s="1" t="n">
        <v>44369</v>
      </c>
      <c r="C312" s="1" t="n">
        <v>45840</v>
      </c>
      <c r="D312" t="inlineStr">
        <is>
          <t>VÄSTMANLANDS LÄN</t>
        </is>
      </c>
      <c r="E312" t="inlineStr">
        <is>
          <t>SALA</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31470-2021</t>
        </is>
      </c>
      <c r="B313" s="1" t="n">
        <v>44369</v>
      </c>
      <c r="C313" s="1" t="n">
        <v>45840</v>
      </c>
      <c r="D313" t="inlineStr">
        <is>
          <t>VÄSTMANLANDS LÄN</t>
        </is>
      </c>
      <c r="E313" t="inlineStr">
        <is>
          <t>SALA</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31904-2021</t>
        </is>
      </c>
      <c r="B314" s="1" t="n">
        <v>44370</v>
      </c>
      <c r="C314" s="1" t="n">
        <v>45840</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32610-2021</t>
        </is>
      </c>
      <c r="B315" s="1" t="n">
        <v>44375</v>
      </c>
      <c r="C315" s="1" t="n">
        <v>45840</v>
      </c>
      <c r="D315" t="inlineStr">
        <is>
          <t>VÄSTMANLANDS LÄN</t>
        </is>
      </c>
      <c r="E315" t="inlineStr">
        <is>
          <t>SALA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33762-2021</t>
        </is>
      </c>
      <c r="B316" s="1" t="n">
        <v>44378</v>
      </c>
      <c r="C316" s="1" t="n">
        <v>45840</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34814-2021</t>
        </is>
      </c>
      <c r="B317" s="1" t="n">
        <v>44383</v>
      </c>
      <c r="C317" s="1" t="n">
        <v>45840</v>
      </c>
      <c r="D317" t="inlineStr">
        <is>
          <t>VÄSTMANLANDS LÄN</t>
        </is>
      </c>
      <c r="E317" t="inlineStr">
        <is>
          <t>SALA</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35207-2021</t>
        </is>
      </c>
      <c r="B318" s="1" t="n">
        <v>44384</v>
      </c>
      <c r="C318" s="1" t="n">
        <v>45840</v>
      </c>
      <c r="D318" t="inlineStr">
        <is>
          <t>VÄSTMANLANDS LÄN</t>
        </is>
      </c>
      <c r="E318" t="inlineStr">
        <is>
          <t>SALA</t>
        </is>
      </c>
      <c r="G318" t="n">
        <v>2.2</v>
      </c>
      <c r="H318" t="n">
        <v>0</v>
      </c>
      <c r="I318" t="n">
        <v>0</v>
      </c>
      <c r="J318" t="n">
        <v>0</v>
      </c>
      <c r="K318" t="n">
        <v>0</v>
      </c>
      <c r="L318" t="n">
        <v>0</v>
      </c>
      <c r="M318" t="n">
        <v>0</v>
      </c>
      <c r="N318" t="n">
        <v>0</v>
      </c>
      <c r="O318" t="n">
        <v>0</v>
      </c>
      <c r="P318" t="n">
        <v>0</v>
      </c>
      <c r="Q318" t="n">
        <v>0</v>
      </c>
      <c r="R318" s="2" t="inlineStr"/>
    </row>
    <row r="319" ht="15" customHeight="1">
      <c r="A319" t="inlineStr">
        <is>
          <t>A 35211-2021</t>
        </is>
      </c>
      <c r="B319" s="1" t="n">
        <v>44384</v>
      </c>
      <c r="C319" s="1" t="n">
        <v>45840</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35451-2021</t>
        </is>
      </c>
      <c r="B320" s="1" t="n">
        <v>44384</v>
      </c>
      <c r="C320" s="1" t="n">
        <v>45840</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35487-2021</t>
        </is>
      </c>
      <c r="B321" s="1" t="n">
        <v>44384</v>
      </c>
      <c r="C321" s="1" t="n">
        <v>45840</v>
      </c>
      <c r="D321" t="inlineStr">
        <is>
          <t>VÄSTMANLANDS LÄN</t>
        </is>
      </c>
      <c r="E321" t="inlineStr">
        <is>
          <t>SALA</t>
        </is>
      </c>
      <c r="G321" t="n">
        <v>1.8</v>
      </c>
      <c r="H321" t="n">
        <v>0</v>
      </c>
      <c r="I321" t="n">
        <v>0</v>
      </c>
      <c r="J321" t="n">
        <v>0</v>
      </c>
      <c r="K321" t="n">
        <v>0</v>
      </c>
      <c r="L321" t="n">
        <v>0</v>
      </c>
      <c r="M321" t="n">
        <v>0</v>
      </c>
      <c r="N321" t="n">
        <v>0</v>
      </c>
      <c r="O321" t="n">
        <v>0</v>
      </c>
      <c r="P321" t="n">
        <v>0</v>
      </c>
      <c r="Q321" t="n">
        <v>0</v>
      </c>
      <c r="R321" s="2" t="inlineStr"/>
    </row>
    <row r="322" ht="15" customHeight="1">
      <c r="A322" t="inlineStr">
        <is>
          <t>A 35482-2021</t>
        </is>
      </c>
      <c r="B322" s="1" t="n">
        <v>44384</v>
      </c>
      <c r="C322" s="1" t="n">
        <v>45840</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35921-2021</t>
        </is>
      </c>
      <c r="B323" s="1" t="n">
        <v>44388</v>
      </c>
      <c r="C323" s="1" t="n">
        <v>45840</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37703-2021</t>
        </is>
      </c>
      <c r="B324" s="1" t="n">
        <v>44400</v>
      </c>
      <c r="C324" s="1" t="n">
        <v>45840</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37856-2021</t>
        </is>
      </c>
      <c r="B325" s="1" t="n">
        <v>44403</v>
      </c>
      <c r="C325" s="1" t="n">
        <v>45840</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37872-2021</t>
        </is>
      </c>
      <c r="B326" s="1" t="n">
        <v>44403</v>
      </c>
      <c r="C326" s="1" t="n">
        <v>45840</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37881-2021</t>
        </is>
      </c>
      <c r="B327" s="1" t="n">
        <v>44403</v>
      </c>
      <c r="C327" s="1" t="n">
        <v>45840</v>
      </c>
      <c r="D327" t="inlineStr">
        <is>
          <t>VÄSTMANLANDS LÄN</t>
        </is>
      </c>
      <c r="E327" t="inlineStr">
        <is>
          <t>SALA</t>
        </is>
      </c>
      <c r="G327" t="n">
        <v>4.6</v>
      </c>
      <c r="H327" t="n">
        <v>0</v>
      </c>
      <c r="I327" t="n">
        <v>0</v>
      </c>
      <c r="J327" t="n">
        <v>0</v>
      </c>
      <c r="K327" t="n">
        <v>0</v>
      </c>
      <c r="L327" t="n">
        <v>0</v>
      </c>
      <c r="M327" t="n">
        <v>0</v>
      </c>
      <c r="N327" t="n">
        <v>0</v>
      </c>
      <c r="O327" t="n">
        <v>0</v>
      </c>
      <c r="P327" t="n">
        <v>0</v>
      </c>
      <c r="Q327" t="n">
        <v>0</v>
      </c>
      <c r="R327" s="2" t="inlineStr"/>
    </row>
    <row r="328" ht="15" customHeight="1">
      <c r="A328" t="inlineStr">
        <is>
          <t>A 38195-2021</t>
        </is>
      </c>
      <c r="B328" s="1" t="n">
        <v>44405</v>
      </c>
      <c r="C328" s="1" t="n">
        <v>45840</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38634-2021</t>
        </is>
      </c>
      <c r="B329" s="1" t="n">
        <v>44410</v>
      </c>
      <c r="C329" s="1" t="n">
        <v>45840</v>
      </c>
      <c r="D329" t="inlineStr">
        <is>
          <t>VÄSTMANLANDS LÄN</t>
        </is>
      </c>
      <c r="E329" t="inlineStr">
        <is>
          <t>SALA</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39439-2021</t>
        </is>
      </c>
      <c r="B330" s="1" t="n">
        <v>44414</v>
      </c>
      <c r="C330" s="1" t="n">
        <v>45840</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39807-2021</t>
        </is>
      </c>
      <c r="B331" s="1" t="n">
        <v>44417</v>
      </c>
      <c r="C331" s="1" t="n">
        <v>45840</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40157-2021</t>
        </is>
      </c>
      <c r="B332" s="1" t="n">
        <v>44418</v>
      </c>
      <c r="C332" s="1" t="n">
        <v>45840</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40153-2021</t>
        </is>
      </c>
      <c r="B333" s="1" t="n">
        <v>44418</v>
      </c>
      <c r="C333" s="1" t="n">
        <v>45840</v>
      </c>
      <c r="D333" t="inlineStr">
        <is>
          <t>VÄSTMANLANDS LÄN</t>
        </is>
      </c>
      <c r="E333" t="inlineStr">
        <is>
          <t>SALA</t>
        </is>
      </c>
      <c r="G333" t="n">
        <v>2.8</v>
      </c>
      <c r="H333" t="n">
        <v>0</v>
      </c>
      <c r="I333" t="n">
        <v>0</v>
      </c>
      <c r="J333" t="n">
        <v>0</v>
      </c>
      <c r="K333" t="n">
        <v>0</v>
      </c>
      <c r="L333" t="n">
        <v>0</v>
      </c>
      <c r="M333" t="n">
        <v>0</v>
      </c>
      <c r="N333" t="n">
        <v>0</v>
      </c>
      <c r="O333" t="n">
        <v>0</v>
      </c>
      <c r="P333" t="n">
        <v>0</v>
      </c>
      <c r="Q333" t="n">
        <v>0</v>
      </c>
      <c r="R333" s="2" t="inlineStr"/>
    </row>
    <row r="334" ht="15" customHeight="1">
      <c r="A334" t="inlineStr">
        <is>
          <t>A 40398-2021</t>
        </is>
      </c>
      <c r="B334" s="1" t="n">
        <v>44419</v>
      </c>
      <c r="C334" s="1" t="n">
        <v>45840</v>
      </c>
      <c r="D334" t="inlineStr">
        <is>
          <t>VÄSTMANLANDS LÄN</t>
        </is>
      </c>
      <c r="E334" t="inlineStr">
        <is>
          <t>SALA</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40659-2021</t>
        </is>
      </c>
      <c r="B335" s="1" t="n">
        <v>44420</v>
      </c>
      <c r="C335" s="1" t="n">
        <v>45840</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40871-2021</t>
        </is>
      </c>
      <c r="B336" s="1" t="n">
        <v>44421</v>
      </c>
      <c r="C336" s="1" t="n">
        <v>45840</v>
      </c>
      <c r="D336" t="inlineStr">
        <is>
          <t>VÄSTMANLANDS LÄN</t>
        </is>
      </c>
      <c r="E336" t="inlineStr">
        <is>
          <t>SALA</t>
        </is>
      </c>
      <c r="G336" t="n">
        <v>1.4</v>
      </c>
      <c r="H336" t="n">
        <v>0</v>
      </c>
      <c r="I336" t="n">
        <v>0</v>
      </c>
      <c r="J336" t="n">
        <v>0</v>
      </c>
      <c r="K336" t="n">
        <v>0</v>
      </c>
      <c r="L336" t="n">
        <v>0</v>
      </c>
      <c r="M336" t="n">
        <v>0</v>
      </c>
      <c r="N336" t="n">
        <v>0</v>
      </c>
      <c r="O336" t="n">
        <v>0</v>
      </c>
      <c r="P336" t="n">
        <v>0</v>
      </c>
      <c r="Q336" t="n">
        <v>0</v>
      </c>
      <c r="R336" s="2" t="inlineStr"/>
    </row>
    <row r="337" ht="15" customHeight="1">
      <c r="A337" t="inlineStr">
        <is>
          <t>A 41292-2021</t>
        </is>
      </c>
      <c r="B337" s="1" t="n">
        <v>44424</v>
      </c>
      <c r="C337" s="1" t="n">
        <v>45840</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41583-2021</t>
        </is>
      </c>
      <c r="B338" s="1" t="n">
        <v>44425</v>
      </c>
      <c r="C338" s="1" t="n">
        <v>45840</v>
      </c>
      <c r="D338" t="inlineStr">
        <is>
          <t>VÄSTMANLANDS LÄN</t>
        </is>
      </c>
      <c r="E338" t="inlineStr">
        <is>
          <t>SALA</t>
        </is>
      </c>
      <c r="G338" t="n">
        <v>5</v>
      </c>
      <c r="H338" t="n">
        <v>0</v>
      </c>
      <c r="I338" t="n">
        <v>0</v>
      </c>
      <c r="J338" t="n">
        <v>0</v>
      </c>
      <c r="K338" t="n">
        <v>0</v>
      </c>
      <c r="L338" t="n">
        <v>0</v>
      </c>
      <c r="M338" t="n">
        <v>0</v>
      </c>
      <c r="N338" t="n">
        <v>0</v>
      </c>
      <c r="O338" t="n">
        <v>0</v>
      </c>
      <c r="P338" t="n">
        <v>0</v>
      </c>
      <c r="Q338" t="n">
        <v>0</v>
      </c>
      <c r="R338" s="2" t="inlineStr"/>
    </row>
    <row r="339" ht="15" customHeight="1">
      <c r="A339" t="inlineStr">
        <is>
          <t>A 43292-2021</t>
        </is>
      </c>
      <c r="B339" s="1" t="n">
        <v>44432</v>
      </c>
      <c r="C339" s="1" t="n">
        <v>45840</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43509-2021</t>
        </is>
      </c>
      <c r="B340" s="1" t="n">
        <v>44433</v>
      </c>
      <c r="C340" s="1" t="n">
        <v>45840</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46279-2021</t>
        </is>
      </c>
      <c r="B341" s="1" t="n">
        <v>44442</v>
      </c>
      <c r="C341" s="1" t="n">
        <v>45840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47701-2021</t>
        </is>
      </c>
      <c r="B342" s="1" t="n">
        <v>44448</v>
      </c>
      <c r="C342" s="1" t="n">
        <v>45840</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47683-2021</t>
        </is>
      </c>
      <c r="B343" s="1" t="n">
        <v>44448</v>
      </c>
      <c r="C343" s="1" t="n">
        <v>45840</v>
      </c>
      <c r="D343" t="inlineStr">
        <is>
          <t>VÄSTMANLANDS LÄN</t>
        </is>
      </c>
      <c r="E343" t="inlineStr">
        <is>
          <t>SALA</t>
        </is>
      </c>
      <c r="G343" t="n">
        <v>0.7</v>
      </c>
      <c r="H343" t="n">
        <v>0</v>
      </c>
      <c r="I343" t="n">
        <v>0</v>
      </c>
      <c r="J343" t="n">
        <v>0</v>
      </c>
      <c r="K343" t="n">
        <v>0</v>
      </c>
      <c r="L343" t="n">
        <v>0</v>
      </c>
      <c r="M343" t="n">
        <v>0</v>
      </c>
      <c r="N343" t="n">
        <v>0</v>
      </c>
      <c r="O343" t="n">
        <v>0</v>
      </c>
      <c r="P343" t="n">
        <v>0</v>
      </c>
      <c r="Q343" t="n">
        <v>0</v>
      </c>
      <c r="R343" s="2" t="inlineStr"/>
    </row>
    <row r="344" ht="15" customHeight="1">
      <c r="A344" t="inlineStr">
        <is>
          <t>A 48400-2021</t>
        </is>
      </c>
      <c r="B344" s="1" t="n">
        <v>44449</v>
      </c>
      <c r="C344" s="1" t="n">
        <v>45840</v>
      </c>
      <c r="D344" t="inlineStr">
        <is>
          <t>VÄSTMANLANDS LÄN</t>
        </is>
      </c>
      <c r="E344" t="inlineStr">
        <is>
          <t>SALA</t>
        </is>
      </c>
      <c r="G344" t="n">
        <v>3</v>
      </c>
      <c r="H344" t="n">
        <v>0</v>
      </c>
      <c r="I344" t="n">
        <v>0</v>
      </c>
      <c r="J344" t="n">
        <v>0</v>
      </c>
      <c r="K344" t="n">
        <v>0</v>
      </c>
      <c r="L344" t="n">
        <v>0</v>
      </c>
      <c r="M344" t="n">
        <v>0</v>
      </c>
      <c r="N344" t="n">
        <v>0</v>
      </c>
      <c r="O344" t="n">
        <v>0</v>
      </c>
      <c r="P344" t="n">
        <v>0</v>
      </c>
      <c r="Q344" t="n">
        <v>0</v>
      </c>
      <c r="R344" s="2" t="inlineStr"/>
    </row>
    <row r="345" ht="15" customHeight="1">
      <c r="A345" t="inlineStr">
        <is>
          <t>A 50962-2021</t>
        </is>
      </c>
      <c r="B345" s="1" t="n">
        <v>44460</v>
      </c>
      <c r="C345" s="1" t="n">
        <v>45840</v>
      </c>
      <c r="D345" t="inlineStr">
        <is>
          <t>VÄSTMANLANDS LÄN</t>
        </is>
      </c>
      <c r="E345" t="inlineStr">
        <is>
          <t>SALA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54030-2021</t>
        </is>
      </c>
      <c r="B346" s="1" t="n">
        <v>44470</v>
      </c>
      <c r="C346" s="1" t="n">
        <v>45840</v>
      </c>
      <c r="D346" t="inlineStr">
        <is>
          <t>VÄSTMANLANDS LÄN</t>
        </is>
      </c>
      <c r="E346" t="inlineStr">
        <is>
          <t>SALA</t>
        </is>
      </c>
      <c r="G346" t="n">
        <v>4.1</v>
      </c>
      <c r="H346" t="n">
        <v>0</v>
      </c>
      <c r="I346" t="n">
        <v>0</v>
      </c>
      <c r="J346" t="n">
        <v>0</v>
      </c>
      <c r="K346" t="n">
        <v>0</v>
      </c>
      <c r="L346" t="n">
        <v>0</v>
      </c>
      <c r="M346" t="n">
        <v>0</v>
      </c>
      <c r="N346" t="n">
        <v>0</v>
      </c>
      <c r="O346" t="n">
        <v>0</v>
      </c>
      <c r="P346" t="n">
        <v>0</v>
      </c>
      <c r="Q346" t="n">
        <v>0</v>
      </c>
      <c r="R346" s="2" t="inlineStr"/>
    </row>
    <row r="347" ht="15" customHeight="1">
      <c r="A347" t="inlineStr">
        <is>
          <t>A 54520-2021</t>
        </is>
      </c>
      <c r="B347" s="1" t="n">
        <v>44473</v>
      </c>
      <c r="C347" s="1" t="n">
        <v>45840</v>
      </c>
      <c r="D347" t="inlineStr">
        <is>
          <t>VÄSTMANLANDS LÄN</t>
        </is>
      </c>
      <c r="E347" t="inlineStr">
        <is>
          <t>SALA</t>
        </is>
      </c>
      <c r="G347" t="n">
        <v>5.8</v>
      </c>
      <c r="H347" t="n">
        <v>0</v>
      </c>
      <c r="I347" t="n">
        <v>0</v>
      </c>
      <c r="J347" t="n">
        <v>0</v>
      </c>
      <c r="K347" t="n">
        <v>0</v>
      </c>
      <c r="L347" t="n">
        <v>0</v>
      </c>
      <c r="M347" t="n">
        <v>0</v>
      </c>
      <c r="N347" t="n">
        <v>0</v>
      </c>
      <c r="O347" t="n">
        <v>0</v>
      </c>
      <c r="P347" t="n">
        <v>0</v>
      </c>
      <c r="Q347" t="n">
        <v>0</v>
      </c>
      <c r="R347" s="2" t="inlineStr"/>
    </row>
    <row r="348" ht="15" customHeight="1">
      <c r="A348" t="inlineStr">
        <is>
          <t>A 57049-2021</t>
        </is>
      </c>
      <c r="B348" s="1" t="n">
        <v>44482</v>
      </c>
      <c r="C348" s="1" t="n">
        <v>45840</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57056-2021</t>
        </is>
      </c>
      <c r="B349" s="1" t="n">
        <v>44482</v>
      </c>
      <c r="C349" s="1" t="n">
        <v>45840</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57000-2021</t>
        </is>
      </c>
      <c r="B350" s="1" t="n">
        <v>44482</v>
      </c>
      <c r="C350" s="1" t="n">
        <v>45840</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57131-2021</t>
        </is>
      </c>
      <c r="B351" s="1" t="n">
        <v>44482</v>
      </c>
      <c r="C351" s="1" t="n">
        <v>45840</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57517-2021</t>
        </is>
      </c>
      <c r="B352" s="1" t="n">
        <v>44483</v>
      </c>
      <c r="C352" s="1" t="n">
        <v>45840</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57596-2021</t>
        </is>
      </c>
      <c r="B353" s="1" t="n">
        <v>44483</v>
      </c>
      <c r="C353" s="1" t="n">
        <v>45840</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58107-2021</t>
        </is>
      </c>
      <c r="B354" s="1" t="n">
        <v>44487</v>
      </c>
      <c r="C354" s="1" t="n">
        <v>45840</v>
      </c>
      <c r="D354" t="inlineStr">
        <is>
          <t>VÄSTMANLANDS LÄN</t>
        </is>
      </c>
      <c r="E354" t="inlineStr">
        <is>
          <t>SALA</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58106-2021</t>
        </is>
      </c>
      <c r="B355" s="1" t="n">
        <v>44487</v>
      </c>
      <c r="C355" s="1" t="n">
        <v>45840</v>
      </c>
      <c r="D355" t="inlineStr">
        <is>
          <t>VÄSTMANLANDS LÄN</t>
        </is>
      </c>
      <c r="E355" t="inlineStr">
        <is>
          <t>SALA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58522-2021</t>
        </is>
      </c>
      <c r="B356" s="1" t="n">
        <v>44488</v>
      </c>
      <c r="C356" s="1" t="n">
        <v>45840</v>
      </c>
      <c r="D356" t="inlineStr">
        <is>
          <t>VÄSTMANLANDS LÄN</t>
        </is>
      </c>
      <c r="E356" t="inlineStr">
        <is>
          <t>SALA</t>
        </is>
      </c>
      <c r="G356" t="n">
        <v>0.3</v>
      </c>
      <c r="H356" t="n">
        <v>0</v>
      </c>
      <c r="I356" t="n">
        <v>0</v>
      </c>
      <c r="J356" t="n">
        <v>0</v>
      </c>
      <c r="K356" t="n">
        <v>0</v>
      </c>
      <c r="L356" t="n">
        <v>0</v>
      </c>
      <c r="M356" t="n">
        <v>0</v>
      </c>
      <c r="N356" t="n">
        <v>0</v>
      </c>
      <c r="O356" t="n">
        <v>0</v>
      </c>
      <c r="P356" t="n">
        <v>0</v>
      </c>
      <c r="Q356" t="n">
        <v>0</v>
      </c>
      <c r="R356" s="2" t="inlineStr"/>
    </row>
    <row r="357" ht="15" customHeight="1">
      <c r="A357" t="inlineStr">
        <is>
          <t>A 58701-2021</t>
        </is>
      </c>
      <c r="B357" s="1" t="n">
        <v>44489</v>
      </c>
      <c r="C357" s="1" t="n">
        <v>45840</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60031-2021</t>
        </is>
      </c>
      <c r="B358" s="1" t="n">
        <v>44495</v>
      </c>
      <c r="C358" s="1" t="n">
        <v>45840</v>
      </c>
      <c r="D358" t="inlineStr">
        <is>
          <t>VÄSTMANLANDS LÄN</t>
        </is>
      </c>
      <c r="E358" t="inlineStr">
        <is>
          <t>SALA</t>
        </is>
      </c>
      <c r="G358" t="n">
        <v>4.3</v>
      </c>
      <c r="H358" t="n">
        <v>0</v>
      </c>
      <c r="I358" t="n">
        <v>0</v>
      </c>
      <c r="J358" t="n">
        <v>0</v>
      </c>
      <c r="K358" t="n">
        <v>0</v>
      </c>
      <c r="L358" t="n">
        <v>0</v>
      </c>
      <c r="M358" t="n">
        <v>0</v>
      </c>
      <c r="N358" t="n">
        <v>0</v>
      </c>
      <c r="O358" t="n">
        <v>0</v>
      </c>
      <c r="P358" t="n">
        <v>0</v>
      </c>
      <c r="Q358" t="n">
        <v>0</v>
      </c>
      <c r="R358" s="2" t="inlineStr"/>
    </row>
    <row r="359" ht="15" customHeight="1">
      <c r="A359" t="inlineStr">
        <is>
          <t>A 60951-2021</t>
        </is>
      </c>
      <c r="B359" s="1" t="n">
        <v>44497</v>
      </c>
      <c r="C359" s="1" t="n">
        <v>45840</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61892-2021</t>
        </is>
      </c>
      <c r="B360" s="1" t="n">
        <v>44502</v>
      </c>
      <c r="C360" s="1" t="n">
        <v>45840</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61874-2021</t>
        </is>
      </c>
      <c r="B361" s="1" t="n">
        <v>44502</v>
      </c>
      <c r="C361" s="1" t="n">
        <v>45840</v>
      </c>
      <c r="D361" t="inlineStr">
        <is>
          <t>VÄSTMANLANDS LÄN</t>
        </is>
      </c>
      <c r="E361" t="inlineStr">
        <is>
          <t>SALA</t>
        </is>
      </c>
      <c r="F361" t="inlineStr">
        <is>
          <t>Kyrkan</t>
        </is>
      </c>
      <c r="G361" t="n">
        <v>1.3</v>
      </c>
      <c r="H361" t="n">
        <v>0</v>
      </c>
      <c r="I361" t="n">
        <v>0</v>
      </c>
      <c r="J361" t="n">
        <v>0</v>
      </c>
      <c r="K361" t="n">
        <v>0</v>
      </c>
      <c r="L361" t="n">
        <v>0</v>
      </c>
      <c r="M361" t="n">
        <v>0</v>
      </c>
      <c r="N361" t="n">
        <v>0</v>
      </c>
      <c r="O361" t="n">
        <v>0</v>
      </c>
      <c r="P361" t="n">
        <v>0</v>
      </c>
      <c r="Q361" t="n">
        <v>0</v>
      </c>
      <c r="R361" s="2" t="inlineStr"/>
    </row>
    <row r="362" ht="15" customHeight="1">
      <c r="A362" t="inlineStr">
        <is>
          <t>A 61897-2021</t>
        </is>
      </c>
      <c r="B362" s="1" t="n">
        <v>44502</v>
      </c>
      <c r="C362" s="1" t="n">
        <v>45840</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v>
      </c>
      <c r="C363" s="1" t="n">
        <v>45840</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62793-2021</t>
        </is>
      </c>
      <c r="B364" s="1" t="n">
        <v>44504</v>
      </c>
      <c r="C364" s="1" t="n">
        <v>45840</v>
      </c>
      <c r="D364" t="inlineStr">
        <is>
          <t>VÄSTMANLANDS LÄN</t>
        </is>
      </c>
      <c r="E364" t="inlineStr">
        <is>
          <t>SALA</t>
        </is>
      </c>
      <c r="G364" t="n">
        <v>5.7</v>
      </c>
      <c r="H364" t="n">
        <v>0</v>
      </c>
      <c r="I364" t="n">
        <v>0</v>
      </c>
      <c r="J364" t="n">
        <v>0</v>
      </c>
      <c r="K364" t="n">
        <v>0</v>
      </c>
      <c r="L364" t="n">
        <v>0</v>
      </c>
      <c r="M364" t="n">
        <v>0</v>
      </c>
      <c r="N364" t="n">
        <v>0</v>
      </c>
      <c r="O364" t="n">
        <v>0</v>
      </c>
      <c r="P364" t="n">
        <v>0</v>
      </c>
      <c r="Q364" t="n">
        <v>0</v>
      </c>
      <c r="R364" s="2" t="inlineStr"/>
    </row>
    <row r="365" ht="15" customHeight="1">
      <c r="A365" t="inlineStr">
        <is>
          <t>A 62833-2021</t>
        </is>
      </c>
      <c r="B365" s="1" t="n">
        <v>44504</v>
      </c>
      <c r="C365" s="1" t="n">
        <v>45840</v>
      </c>
      <c r="D365" t="inlineStr">
        <is>
          <t>VÄSTMANLANDS LÄN</t>
        </is>
      </c>
      <c r="E365" t="inlineStr">
        <is>
          <t>SALA</t>
        </is>
      </c>
      <c r="G365" t="n">
        <v>5</v>
      </c>
      <c r="H365" t="n">
        <v>0</v>
      </c>
      <c r="I365" t="n">
        <v>0</v>
      </c>
      <c r="J365" t="n">
        <v>0</v>
      </c>
      <c r="K365" t="n">
        <v>0</v>
      </c>
      <c r="L365" t="n">
        <v>0</v>
      </c>
      <c r="M365" t="n">
        <v>0</v>
      </c>
      <c r="N365" t="n">
        <v>0</v>
      </c>
      <c r="O365" t="n">
        <v>0</v>
      </c>
      <c r="P365" t="n">
        <v>0</v>
      </c>
      <c r="Q365" t="n">
        <v>0</v>
      </c>
      <c r="R365" s="2" t="inlineStr"/>
    </row>
    <row r="366" ht="15" customHeight="1">
      <c r="A366" t="inlineStr">
        <is>
          <t>A 62850-2021</t>
        </is>
      </c>
      <c r="B366" s="1" t="n">
        <v>44504</v>
      </c>
      <c r="C366" s="1" t="n">
        <v>45840</v>
      </c>
      <c r="D366" t="inlineStr">
        <is>
          <t>VÄSTMANLANDS LÄN</t>
        </is>
      </c>
      <c r="E366" t="inlineStr">
        <is>
          <t>SALA</t>
        </is>
      </c>
      <c r="G366" t="n">
        <v>5.2</v>
      </c>
      <c r="H366" t="n">
        <v>0</v>
      </c>
      <c r="I366" t="n">
        <v>0</v>
      </c>
      <c r="J366" t="n">
        <v>0</v>
      </c>
      <c r="K366" t="n">
        <v>0</v>
      </c>
      <c r="L366" t="n">
        <v>0</v>
      </c>
      <c r="M366" t="n">
        <v>0</v>
      </c>
      <c r="N366" t="n">
        <v>0</v>
      </c>
      <c r="O366" t="n">
        <v>0</v>
      </c>
      <c r="P366" t="n">
        <v>0</v>
      </c>
      <c r="Q366" t="n">
        <v>0</v>
      </c>
      <c r="R366" s="2" t="inlineStr"/>
    </row>
    <row r="367" ht="15" customHeight="1">
      <c r="A367" t="inlineStr">
        <is>
          <t>A 62967-2021</t>
        </is>
      </c>
      <c r="B367" s="1" t="n">
        <v>44505</v>
      </c>
      <c r="C367" s="1" t="n">
        <v>45840</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63290-2021</t>
        </is>
      </c>
      <c r="B368" s="1" t="n">
        <v>44505</v>
      </c>
      <c r="C368" s="1" t="n">
        <v>45840</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64931-2021</t>
        </is>
      </c>
      <c r="B369" s="1" t="n">
        <v>44512</v>
      </c>
      <c r="C369" s="1" t="n">
        <v>45840</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64932-2021</t>
        </is>
      </c>
      <c r="B370" s="1" t="n">
        <v>44512</v>
      </c>
      <c r="C370" s="1" t="n">
        <v>45840</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65213-2021</t>
        </is>
      </c>
      <c r="B371" s="1" t="n">
        <v>44515</v>
      </c>
      <c r="C371" s="1" t="n">
        <v>45840</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65321-2021</t>
        </is>
      </c>
      <c r="B372" s="1" t="n">
        <v>44515</v>
      </c>
      <c r="C372" s="1" t="n">
        <v>45840</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65338-2021</t>
        </is>
      </c>
      <c r="B373" s="1" t="n">
        <v>44515</v>
      </c>
      <c r="C373" s="1" t="n">
        <v>45840</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65353-2021</t>
        </is>
      </c>
      <c r="B374" s="1" t="n">
        <v>44515</v>
      </c>
      <c r="C374" s="1" t="n">
        <v>45840</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65490-2021</t>
        </is>
      </c>
      <c r="B375" s="1" t="n">
        <v>44515</v>
      </c>
      <c r="C375" s="1" t="n">
        <v>45840</v>
      </c>
      <c r="D375" t="inlineStr">
        <is>
          <t>VÄSTMANLANDS LÄN</t>
        </is>
      </c>
      <c r="E375" t="inlineStr">
        <is>
          <t>SALA</t>
        </is>
      </c>
      <c r="G375" t="n">
        <v>2.1</v>
      </c>
      <c r="H375" t="n">
        <v>0</v>
      </c>
      <c r="I375" t="n">
        <v>0</v>
      </c>
      <c r="J375" t="n">
        <v>0</v>
      </c>
      <c r="K375" t="n">
        <v>0</v>
      </c>
      <c r="L375" t="n">
        <v>0</v>
      </c>
      <c r="M375" t="n">
        <v>0</v>
      </c>
      <c r="N375" t="n">
        <v>0</v>
      </c>
      <c r="O375" t="n">
        <v>0</v>
      </c>
      <c r="P375" t="n">
        <v>0</v>
      </c>
      <c r="Q375" t="n">
        <v>0</v>
      </c>
      <c r="R375" s="2" t="inlineStr"/>
    </row>
    <row r="376" ht="15" customHeight="1">
      <c r="A376" t="inlineStr">
        <is>
          <t>A 65856-2021</t>
        </is>
      </c>
      <c r="B376" s="1" t="n">
        <v>44517</v>
      </c>
      <c r="C376" s="1" t="n">
        <v>45840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65818-2021</t>
        </is>
      </c>
      <c r="B377" s="1" t="n">
        <v>44517</v>
      </c>
      <c r="C377" s="1" t="n">
        <v>45840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65835-2021</t>
        </is>
      </c>
      <c r="B378" s="1" t="n">
        <v>44517</v>
      </c>
      <c r="C378" s="1" t="n">
        <v>45840</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65860-2021</t>
        </is>
      </c>
      <c r="B379" s="1" t="n">
        <v>44517</v>
      </c>
      <c r="C379" s="1" t="n">
        <v>45840</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66307-2021</t>
        </is>
      </c>
      <c r="B380" s="1" t="n">
        <v>44518</v>
      </c>
      <c r="C380" s="1" t="n">
        <v>45840</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66508-2021</t>
        </is>
      </c>
      <c r="B381" s="1" t="n">
        <v>44519</v>
      </c>
      <c r="C381" s="1" t="n">
        <v>45840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66563-2021</t>
        </is>
      </c>
      <c r="B382" s="1" t="n">
        <v>44519</v>
      </c>
      <c r="C382" s="1" t="n">
        <v>45840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66561-2021</t>
        </is>
      </c>
      <c r="B383" s="1" t="n">
        <v>44519</v>
      </c>
      <c r="C383" s="1" t="n">
        <v>45840</v>
      </c>
      <c r="D383" t="inlineStr">
        <is>
          <t>VÄSTMANLANDS LÄN</t>
        </is>
      </c>
      <c r="E383" t="inlineStr">
        <is>
          <t>SALA</t>
        </is>
      </c>
      <c r="G383" t="n">
        <v>0.3</v>
      </c>
      <c r="H383" t="n">
        <v>0</v>
      </c>
      <c r="I383" t="n">
        <v>0</v>
      </c>
      <c r="J383" t="n">
        <v>0</v>
      </c>
      <c r="K383" t="n">
        <v>0</v>
      </c>
      <c r="L383" t="n">
        <v>0</v>
      </c>
      <c r="M383" t="n">
        <v>0</v>
      </c>
      <c r="N383" t="n">
        <v>0</v>
      </c>
      <c r="O383" t="n">
        <v>0</v>
      </c>
      <c r="P383" t="n">
        <v>0</v>
      </c>
      <c r="Q383" t="n">
        <v>0</v>
      </c>
      <c r="R383" s="2" t="inlineStr"/>
    </row>
    <row r="384" ht="15" customHeight="1">
      <c r="A384" t="inlineStr">
        <is>
          <t>A 66908-2021</t>
        </is>
      </c>
      <c r="B384" s="1" t="n">
        <v>44522</v>
      </c>
      <c r="C384" s="1" t="n">
        <v>45840</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66830-2021</t>
        </is>
      </c>
      <c r="B385" s="1" t="n">
        <v>44522</v>
      </c>
      <c r="C385" s="1" t="n">
        <v>45840</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67037-2021</t>
        </is>
      </c>
      <c r="B386" s="1" t="n">
        <v>44522</v>
      </c>
      <c r="C386" s="1" t="n">
        <v>45840</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c r="U386">
        <f>HYPERLINK("https://klasma.github.io/Logging_1981/knärot/A 67037-2021 karta knärot.png", "A 67037-2021")</f>
        <v/>
      </c>
      <c r="V386">
        <f>HYPERLINK("https://klasma.github.io/Logging_1981/klagomål/A 67037-2021 FSC-klagomål.docx", "A 67037-2021")</f>
        <v/>
      </c>
      <c r="W386">
        <f>HYPERLINK("https://klasma.github.io/Logging_1981/klagomålsmail/A 67037-2021 FSC-klagomål mail.docx", "A 67037-2021")</f>
        <v/>
      </c>
      <c r="X386">
        <f>HYPERLINK("https://klasma.github.io/Logging_1981/tillsyn/A 67037-2021 tillsynsbegäran.docx", "A 67037-2021")</f>
        <v/>
      </c>
      <c r="Y386">
        <f>HYPERLINK("https://klasma.github.io/Logging_1981/tillsynsmail/A 67037-2021 tillsynsbegäran mail.docx", "A 67037-2021")</f>
        <v/>
      </c>
    </row>
    <row r="387" ht="15" customHeight="1">
      <c r="A387" t="inlineStr">
        <is>
          <t>A 67965-2021</t>
        </is>
      </c>
      <c r="B387" s="1" t="n">
        <v>44525</v>
      </c>
      <c r="C387" s="1" t="n">
        <v>45840</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67958-2021</t>
        </is>
      </c>
      <c r="B388" s="1" t="n">
        <v>44525</v>
      </c>
      <c r="C388" s="1" t="n">
        <v>45840</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67962-2021</t>
        </is>
      </c>
      <c r="B389" s="1" t="n">
        <v>44525</v>
      </c>
      <c r="C389" s="1" t="n">
        <v>45840</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68355-2021</t>
        </is>
      </c>
      <c r="B390" s="1" t="n">
        <v>44528</v>
      </c>
      <c r="C390" s="1" t="n">
        <v>45840</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68484-2021</t>
        </is>
      </c>
      <c r="B391" s="1" t="n">
        <v>44529</v>
      </c>
      <c r="C391" s="1" t="n">
        <v>45840</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68980-2021</t>
        </is>
      </c>
      <c r="B392" s="1" t="n">
        <v>44529</v>
      </c>
      <c r="C392" s="1" t="n">
        <v>45840</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68864-2021</t>
        </is>
      </c>
      <c r="B393" s="1" t="n">
        <v>44530</v>
      </c>
      <c r="C393" s="1" t="n">
        <v>45840</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69232-2021</t>
        </is>
      </c>
      <c r="B394" s="1" t="n">
        <v>44531</v>
      </c>
      <c r="C394" s="1" t="n">
        <v>45840</v>
      </c>
      <c r="D394" t="inlineStr">
        <is>
          <t>VÄSTMANLANDS LÄN</t>
        </is>
      </c>
      <c r="E394" t="inlineStr">
        <is>
          <t>SALA</t>
        </is>
      </c>
      <c r="G394" t="n">
        <v>2.3</v>
      </c>
      <c r="H394" t="n">
        <v>0</v>
      </c>
      <c r="I394" t="n">
        <v>0</v>
      </c>
      <c r="J394" t="n">
        <v>0</v>
      </c>
      <c r="K394" t="n">
        <v>0</v>
      </c>
      <c r="L394" t="n">
        <v>0</v>
      </c>
      <c r="M394" t="n">
        <v>0</v>
      </c>
      <c r="N394" t="n">
        <v>0</v>
      </c>
      <c r="O394" t="n">
        <v>0</v>
      </c>
      <c r="P394" t="n">
        <v>0</v>
      </c>
      <c r="Q394" t="n">
        <v>0</v>
      </c>
      <c r="R394" s="2" t="inlineStr"/>
    </row>
    <row r="395" ht="15" customHeight="1">
      <c r="A395" t="inlineStr">
        <is>
          <t>A 69236-2021</t>
        </is>
      </c>
      <c r="B395" s="1" t="n">
        <v>44531</v>
      </c>
      <c r="C395" s="1" t="n">
        <v>45840</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70218-2021</t>
        </is>
      </c>
      <c r="B396" s="1" t="n">
        <v>44535</v>
      </c>
      <c r="C396" s="1" t="n">
        <v>45840</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70319-2021</t>
        </is>
      </c>
      <c r="B397" s="1" t="n">
        <v>44536</v>
      </c>
      <c r="C397" s="1" t="n">
        <v>45840</v>
      </c>
      <c r="D397" t="inlineStr">
        <is>
          <t>VÄSTMANLANDS LÄN</t>
        </is>
      </c>
      <c r="E397" t="inlineStr">
        <is>
          <t>SALA</t>
        </is>
      </c>
      <c r="G397" t="n">
        <v>1.6</v>
      </c>
      <c r="H397" t="n">
        <v>0</v>
      </c>
      <c r="I397" t="n">
        <v>0</v>
      </c>
      <c r="J397" t="n">
        <v>0</v>
      </c>
      <c r="K397" t="n">
        <v>0</v>
      </c>
      <c r="L397" t="n">
        <v>0</v>
      </c>
      <c r="M397" t="n">
        <v>0</v>
      </c>
      <c r="N397" t="n">
        <v>0</v>
      </c>
      <c r="O397" t="n">
        <v>0</v>
      </c>
      <c r="P397" t="n">
        <v>0</v>
      </c>
      <c r="Q397" t="n">
        <v>0</v>
      </c>
      <c r="R397" s="2" t="inlineStr"/>
    </row>
    <row r="398" ht="15" customHeight="1">
      <c r="A398" t="inlineStr">
        <is>
          <t>A 70655-2021</t>
        </is>
      </c>
      <c r="B398" s="1" t="n">
        <v>44537</v>
      </c>
      <c r="C398" s="1" t="n">
        <v>45840</v>
      </c>
      <c r="D398" t="inlineStr">
        <is>
          <t>VÄSTMANLANDS LÄN</t>
        </is>
      </c>
      <c r="E398" t="inlineStr">
        <is>
          <t>SALA</t>
        </is>
      </c>
      <c r="G398" t="n">
        <v>4.8</v>
      </c>
      <c r="H398" t="n">
        <v>0</v>
      </c>
      <c r="I398" t="n">
        <v>0</v>
      </c>
      <c r="J398" t="n">
        <v>0</v>
      </c>
      <c r="K398" t="n">
        <v>0</v>
      </c>
      <c r="L398" t="n">
        <v>0</v>
      </c>
      <c r="M398" t="n">
        <v>0</v>
      </c>
      <c r="N398" t="n">
        <v>0</v>
      </c>
      <c r="O398" t="n">
        <v>0</v>
      </c>
      <c r="P398" t="n">
        <v>0</v>
      </c>
      <c r="Q398" t="n">
        <v>0</v>
      </c>
      <c r="R398" s="2" t="inlineStr"/>
    </row>
    <row r="399" ht="15" customHeight="1">
      <c r="A399" t="inlineStr">
        <is>
          <t>A 70958-2021</t>
        </is>
      </c>
      <c r="B399" s="1" t="n">
        <v>44538</v>
      </c>
      <c r="C399" s="1" t="n">
        <v>45840</v>
      </c>
      <c r="D399" t="inlineStr">
        <is>
          <t>VÄSTMANLANDS LÄN</t>
        </is>
      </c>
      <c r="E399" t="inlineStr">
        <is>
          <t>SALA</t>
        </is>
      </c>
      <c r="G399" t="n">
        <v>6.5</v>
      </c>
      <c r="H399" t="n">
        <v>0</v>
      </c>
      <c r="I399" t="n">
        <v>0</v>
      </c>
      <c r="J399" t="n">
        <v>0</v>
      </c>
      <c r="K399" t="n">
        <v>0</v>
      </c>
      <c r="L399" t="n">
        <v>0</v>
      </c>
      <c r="M399" t="n">
        <v>0</v>
      </c>
      <c r="N399" t="n">
        <v>0</v>
      </c>
      <c r="O399" t="n">
        <v>0</v>
      </c>
      <c r="P399" t="n">
        <v>0</v>
      </c>
      <c r="Q399" t="n">
        <v>0</v>
      </c>
      <c r="R399" s="2" t="inlineStr"/>
    </row>
    <row r="400" ht="15" customHeight="1">
      <c r="A400" t="inlineStr">
        <is>
          <t>A 71471-2021</t>
        </is>
      </c>
      <c r="B400" s="1" t="n">
        <v>44540</v>
      </c>
      <c r="C400" s="1" t="n">
        <v>45840</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71853-2021</t>
        </is>
      </c>
      <c r="B401" s="1" t="n">
        <v>44543</v>
      </c>
      <c r="C401" s="1" t="n">
        <v>45840</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72071-2021</t>
        </is>
      </c>
      <c r="B402" s="1" t="n">
        <v>44544</v>
      </c>
      <c r="C402" s="1" t="n">
        <v>45840</v>
      </c>
      <c r="D402" t="inlineStr">
        <is>
          <t>VÄSTMANLANDS LÄN</t>
        </is>
      </c>
      <c r="E402" t="inlineStr">
        <is>
          <t>SALA</t>
        </is>
      </c>
      <c r="G402" t="n">
        <v>3.5</v>
      </c>
      <c r="H402" t="n">
        <v>0</v>
      </c>
      <c r="I402" t="n">
        <v>0</v>
      </c>
      <c r="J402" t="n">
        <v>0</v>
      </c>
      <c r="K402" t="n">
        <v>0</v>
      </c>
      <c r="L402" t="n">
        <v>0</v>
      </c>
      <c r="M402" t="n">
        <v>0</v>
      </c>
      <c r="N402" t="n">
        <v>0</v>
      </c>
      <c r="O402" t="n">
        <v>0</v>
      </c>
      <c r="P402" t="n">
        <v>0</v>
      </c>
      <c r="Q402" t="n">
        <v>0</v>
      </c>
      <c r="R402" s="2" t="inlineStr"/>
    </row>
    <row r="403" ht="15" customHeight="1">
      <c r="A403" t="inlineStr">
        <is>
          <t>A 72405-2021</t>
        </is>
      </c>
      <c r="B403" s="1" t="n">
        <v>44545</v>
      </c>
      <c r="C403" s="1" t="n">
        <v>45840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72389-2021</t>
        </is>
      </c>
      <c r="B404" s="1" t="n">
        <v>44545</v>
      </c>
      <c r="C404" s="1" t="n">
        <v>45840</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72810-2021</t>
        </is>
      </c>
      <c r="B405" s="1" t="n">
        <v>44546</v>
      </c>
      <c r="C405" s="1" t="n">
        <v>45840</v>
      </c>
      <c r="D405" t="inlineStr">
        <is>
          <t>VÄSTMANLANDS LÄN</t>
        </is>
      </c>
      <c r="E405" t="inlineStr">
        <is>
          <t>SALA</t>
        </is>
      </c>
      <c r="G405" t="n">
        <v>3.3</v>
      </c>
      <c r="H405" t="n">
        <v>0</v>
      </c>
      <c r="I405" t="n">
        <v>0</v>
      </c>
      <c r="J405" t="n">
        <v>0</v>
      </c>
      <c r="K405" t="n">
        <v>0</v>
      </c>
      <c r="L405" t="n">
        <v>0</v>
      </c>
      <c r="M405" t="n">
        <v>0</v>
      </c>
      <c r="N405" t="n">
        <v>0</v>
      </c>
      <c r="O405" t="n">
        <v>0</v>
      </c>
      <c r="P405" t="n">
        <v>0</v>
      </c>
      <c r="Q405" t="n">
        <v>0</v>
      </c>
      <c r="R405" s="2" t="inlineStr"/>
    </row>
    <row r="406" ht="15" customHeight="1">
      <c r="A406" t="inlineStr">
        <is>
          <t>A 72805-2021</t>
        </is>
      </c>
      <c r="B406" s="1" t="n">
        <v>44546</v>
      </c>
      <c r="C406" s="1" t="n">
        <v>45840</v>
      </c>
      <c r="D406" t="inlineStr">
        <is>
          <t>VÄSTMANLANDS LÄN</t>
        </is>
      </c>
      <c r="E406" t="inlineStr">
        <is>
          <t>SALA</t>
        </is>
      </c>
      <c r="G406" t="n">
        <v>7.8</v>
      </c>
      <c r="H406" t="n">
        <v>0</v>
      </c>
      <c r="I406" t="n">
        <v>0</v>
      </c>
      <c r="J406" t="n">
        <v>0</v>
      </c>
      <c r="K406" t="n">
        <v>0</v>
      </c>
      <c r="L406" t="n">
        <v>0</v>
      </c>
      <c r="M406" t="n">
        <v>0</v>
      </c>
      <c r="N406" t="n">
        <v>0</v>
      </c>
      <c r="O406" t="n">
        <v>0</v>
      </c>
      <c r="P406" t="n">
        <v>0</v>
      </c>
      <c r="Q406" t="n">
        <v>0</v>
      </c>
      <c r="R406" s="2" t="inlineStr"/>
    </row>
    <row r="407" ht="15" customHeight="1">
      <c r="A407" t="inlineStr">
        <is>
          <t>A 72808-2021</t>
        </is>
      </c>
      <c r="B407" s="1" t="n">
        <v>44546</v>
      </c>
      <c r="C407" s="1" t="n">
        <v>45840</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72776-2021</t>
        </is>
      </c>
      <c r="B408" s="1" t="n">
        <v>44547</v>
      </c>
      <c r="C408" s="1" t="n">
        <v>45840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73029-2021</t>
        </is>
      </c>
      <c r="B409" s="1" t="n">
        <v>44550</v>
      </c>
      <c r="C409" s="1" t="n">
        <v>45840</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73124-2021</t>
        </is>
      </c>
      <c r="B410" s="1" t="n">
        <v>44550</v>
      </c>
      <c r="C410" s="1" t="n">
        <v>45840</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73219-2021</t>
        </is>
      </c>
      <c r="B411" s="1" t="n">
        <v>44550</v>
      </c>
      <c r="C411" s="1" t="n">
        <v>45840</v>
      </c>
      <c r="D411" t="inlineStr">
        <is>
          <t>VÄSTMANLANDS LÄN</t>
        </is>
      </c>
      <c r="E411" t="inlineStr">
        <is>
          <t>SALA</t>
        </is>
      </c>
      <c r="G411" t="n">
        <v>7.1</v>
      </c>
      <c r="H411" t="n">
        <v>0</v>
      </c>
      <c r="I411" t="n">
        <v>0</v>
      </c>
      <c r="J411" t="n">
        <v>0</v>
      </c>
      <c r="K411" t="n">
        <v>0</v>
      </c>
      <c r="L411" t="n">
        <v>0</v>
      </c>
      <c r="M411" t="n">
        <v>0</v>
      </c>
      <c r="N411" t="n">
        <v>0</v>
      </c>
      <c r="O411" t="n">
        <v>0</v>
      </c>
      <c r="P411" t="n">
        <v>0</v>
      </c>
      <c r="Q411" t="n">
        <v>0</v>
      </c>
      <c r="R411" s="2" t="inlineStr"/>
    </row>
    <row r="412" ht="15" customHeight="1">
      <c r="A412" t="inlineStr">
        <is>
          <t>A 73423-2021</t>
        </is>
      </c>
      <c r="B412" s="1" t="n">
        <v>44551</v>
      </c>
      <c r="C412" s="1" t="n">
        <v>45840</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73519-2021</t>
        </is>
      </c>
      <c r="B413" s="1" t="n">
        <v>44551</v>
      </c>
      <c r="C413" s="1" t="n">
        <v>45840</v>
      </c>
      <c r="D413" t="inlineStr">
        <is>
          <t>VÄSTMANLANDS LÄN</t>
        </is>
      </c>
      <c r="E413" t="inlineStr">
        <is>
          <t>SALA</t>
        </is>
      </c>
      <c r="G413" t="n">
        <v>0.3</v>
      </c>
      <c r="H413" t="n">
        <v>0</v>
      </c>
      <c r="I413" t="n">
        <v>0</v>
      </c>
      <c r="J413" t="n">
        <v>0</v>
      </c>
      <c r="K413" t="n">
        <v>0</v>
      </c>
      <c r="L413" t="n">
        <v>0</v>
      </c>
      <c r="M413" t="n">
        <v>0</v>
      </c>
      <c r="N413" t="n">
        <v>0</v>
      </c>
      <c r="O413" t="n">
        <v>0</v>
      </c>
      <c r="P413" t="n">
        <v>0</v>
      </c>
      <c r="Q413" t="n">
        <v>0</v>
      </c>
      <c r="R413" s="2" t="inlineStr"/>
    </row>
    <row r="414" ht="15" customHeight="1">
      <c r="A414" t="inlineStr">
        <is>
          <t>A 73683-2021</t>
        </is>
      </c>
      <c r="B414" s="1" t="n">
        <v>44552</v>
      </c>
      <c r="C414" s="1" t="n">
        <v>45840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73663-2021</t>
        </is>
      </c>
      <c r="B415" s="1" t="n">
        <v>44552</v>
      </c>
      <c r="C415" s="1" t="n">
        <v>45840</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73673-2021</t>
        </is>
      </c>
      <c r="B416" s="1" t="n">
        <v>44552</v>
      </c>
      <c r="C416" s="1" t="n">
        <v>45840</v>
      </c>
      <c r="D416" t="inlineStr">
        <is>
          <t>VÄSTMANLANDS LÄN</t>
        </is>
      </c>
      <c r="E416" t="inlineStr">
        <is>
          <t>SALA</t>
        </is>
      </c>
      <c r="G416" t="n">
        <v>11.4</v>
      </c>
      <c r="H416" t="n">
        <v>0</v>
      </c>
      <c r="I416" t="n">
        <v>0</v>
      </c>
      <c r="J416" t="n">
        <v>0</v>
      </c>
      <c r="K416" t="n">
        <v>0</v>
      </c>
      <c r="L416" t="n">
        <v>0</v>
      </c>
      <c r="M416" t="n">
        <v>0</v>
      </c>
      <c r="N416" t="n">
        <v>0</v>
      </c>
      <c r="O416" t="n">
        <v>0</v>
      </c>
      <c r="P416" t="n">
        <v>0</v>
      </c>
      <c r="Q416" t="n">
        <v>0</v>
      </c>
      <c r="R416" s="2" t="inlineStr"/>
    </row>
    <row r="417" ht="15" customHeight="1">
      <c r="A417" t="inlineStr">
        <is>
          <t>A 73606-2021</t>
        </is>
      </c>
      <c r="B417" s="1" t="n">
        <v>44552</v>
      </c>
      <c r="C417" s="1" t="n">
        <v>45840</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73668-2021</t>
        </is>
      </c>
      <c r="B418" s="1" t="n">
        <v>44552</v>
      </c>
      <c r="C418" s="1" t="n">
        <v>45840</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73687-2021</t>
        </is>
      </c>
      <c r="B419" s="1" t="n">
        <v>44552</v>
      </c>
      <c r="C419" s="1" t="n">
        <v>45840</v>
      </c>
      <c r="D419" t="inlineStr">
        <is>
          <t>VÄSTMANLANDS LÄN</t>
        </is>
      </c>
      <c r="E419" t="inlineStr">
        <is>
          <t>SALA</t>
        </is>
      </c>
      <c r="G419" t="n">
        <v>5.6</v>
      </c>
      <c r="H419" t="n">
        <v>0</v>
      </c>
      <c r="I419" t="n">
        <v>0</v>
      </c>
      <c r="J419" t="n">
        <v>0</v>
      </c>
      <c r="K419" t="n">
        <v>0</v>
      </c>
      <c r="L419" t="n">
        <v>0</v>
      </c>
      <c r="M419" t="n">
        <v>0</v>
      </c>
      <c r="N419" t="n">
        <v>0</v>
      </c>
      <c r="O419" t="n">
        <v>0</v>
      </c>
      <c r="P419" t="n">
        <v>0</v>
      </c>
      <c r="Q419" t="n">
        <v>0</v>
      </c>
      <c r="R419" s="2" t="inlineStr"/>
    </row>
    <row r="420" ht="15" customHeight="1">
      <c r="A420" t="inlineStr">
        <is>
          <t>A 73788-2021</t>
        </is>
      </c>
      <c r="B420" s="1" t="n">
        <v>44552</v>
      </c>
      <c r="C420" s="1" t="n">
        <v>45840</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73835-2021</t>
        </is>
      </c>
      <c r="B421" s="1" t="n">
        <v>44552</v>
      </c>
      <c r="C421" s="1" t="n">
        <v>45840</v>
      </c>
      <c r="D421" t="inlineStr">
        <is>
          <t>VÄSTMANLANDS LÄN</t>
        </is>
      </c>
      <c r="E421" t="inlineStr">
        <is>
          <t>SALA</t>
        </is>
      </c>
      <c r="G421" t="n">
        <v>2</v>
      </c>
      <c r="H421" t="n">
        <v>0</v>
      </c>
      <c r="I421" t="n">
        <v>0</v>
      </c>
      <c r="J421" t="n">
        <v>0</v>
      </c>
      <c r="K421" t="n">
        <v>0</v>
      </c>
      <c r="L421" t="n">
        <v>0</v>
      </c>
      <c r="M421" t="n">
        <v>0</v>
      </c>
      <c r="N421" t="n">
        <v>0</v>
      </c>
      <c r="O421" t="n">
        <v>0</v>
      </c>
      <c r="P421" t="n">
        <v>0</v>
      </c>
      <c r="Q421" t="n">
        <v>0</v>
      </c>
      <c r="R421" s="2" t="inlineStr"/>
    </row>
    <row r="422" ht="15" customHeight="1">
      <c r="A422" t="inlineStr">
        <is>
          <t>A 74123-2021</t>
        </is>
      </c>
      <c r="B422" s="1" t="n">
        <v>44557</v>
      </c>
      <c r="C422" s="1" t="n">
        <v>45840</v>
      </c>
      <c r="D422" t="inlineStr">
        <is>
          <t>VÄSTMANLANDS LÄN</t>
        </is>
      </c>
      <c r="E422" t="inlineStr">
        <is>
          <t>SALA</t>
        </is>
      </c>
      <c r="F422" t="inlineStr">
        <is>
          <t>Kommuner</t>
        </is>
      </c>
      <c r="G422" t="n">
        <v>11.9</v>
      </c>
      <c r="H422" t="n">
        <v>0</v>
      </c>
      <c r="I422" t="n">
        <v>0</v>
      </c>
      <c r="J422" t="n">
        <v>0</v>
      </c>
      <c r="K422" t="n">
        <v>0</v>
      </c>
      <c r="L422" t="n">
        <v>0</v>
      </c>
      <c r="M422" t="n">
        <v>0</v>
      </c>
      <c r="N422" t="n">
        <v>0</v>
      </c>
      <c r="O422" t="n">
        <v>0</v>
      </c>
      <c r="P422" t="n">
        <v>0</v>
      </c>
      <c r="Q422" t="n">
        <v>0</v>
      </c>
      <c r="R422" s="2" t="inlineStr"/>
    </row>
    <row r="423" ht="15" customHeight="1">
      <c r="A423" t="inlineStr">
        <is>
          <t>A 74277-2021</t>
        </is>
      </c>
      <c r="B423" s="1" t="n">
        <v>44558</v>
      </c>
      <c r="C423" s="1" t="n">
        <v>45840</v>
      </c>
      <c r="D423" t="inlineStr">
        <is>
          <t>VÄSTMANLANDS LÄN</t>
        </is>
      </c>
      <c r="E423" t="inlineStr">
        <is>
          <t>SALA</t>
        </is>
      </c>
      <c r="F423" t="inlineStr">
        <is>
          <t>Kommuner</t>
        </is>
      </c>
      <c r="G423" t="n">
        <v>24.4</v>
      </c>
      <c r="H423" t="n">
        <v>0</v>
      </c>
      <c r="I423" t="n">
        <v>0</v>
      </c>
      <c r="J423" t="n">
        <v>0</v>
      </c>
      <c r="K423" t="n">
        <v>0</v>
      </c>
      <c r="L423" t="n">
        <v>0</v>
      </c>
      <c r="M423" t="n">
        <v>0</v>
      </c>
      <c r="N423" t="n">
        <v>0</v>
      </c>
      <c r="O423" t="n">
        <v>0</v>
      </c>
      <c r="P423" t="n">
        <v>0</v>
      </c>
      <c r="Q423" t="n">
        <v>0</v>
      </c>
      <c r="R423" s="2" t="inlineStr"/>
    </row>
    <row r="424" ht="15" customHeight="1">
      <c r="A424" t="inlineStr">
        <is>
          <t>A 617-2022</t>
        </is>
      </c>
      <c r="B424" s="1" t="n">
        <v>44567</v>
      </c>
      <c r="C424" s="1" t="n">
        <v>45840</v>
      </c>
      <c r="D424" t="inlineStr">
        <is>
          <t>VÄSTMANLANDS LÄN</t>
        </is>
      </c>
      <c r="E424" t="inlineStr">
        <is>
          <t>SALA</t>
        </is>
      </c>
      <c r="G424" t="n">
        <v>0.4</v>
      </c>
      <c r="H424" t="n">
        <v>0</v>
      </c>
      <c r="I424" t="n">
        <v>0</v>
      </c>
      <c r="J424" t="n">
        <v>0</v>
      </c>
      <c r="K424" t="n">
        <v>0</v>
      </c>
      <c r="L424" t="n">
        <v>0</v>
      </c>
      <c r="M424" t="n">
        <v>0</v>
      </c>
      <c r="N424" t="n">
        <v>0</v>
      </c>
      <c r="O424" t="n">
        <v>0</v>
      </c>
      <c r="P424" t="n">
        <v>0</v>
      </c>
      <c r="Q424" t="n">
        <v>0</v>
      </c>
      <c r="R424" s="2" t="inlineStr"/>
    </row>
    <row r="425" ht="15" customHeight="1">
      <c r="A425" t="inlineStr">
        <is>
          <t>A 939-2022</t>
        </is>
      </c>
      <c r="B425" s="1" t="n">
        <v>44571</v>
      </c>
      <c r="C425" s="1" t="n">
        <v>45840</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v>
      </c>
      <c r="C426" s="1" t="n">
        <v>45840</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1162-2022</t>
        </is>
      </c>
      <c r="B427" s="1" t="n">
        <v>44572</v>
      </c>
      <c r="C427" s="1" t="n">
        <v>45840</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1985-2022</t>
        </is>
      </c>
      <c r="B428" s="1" t="n">
        <v>44575</v>
      </c>
      <c r="C428" s="1" t="n">
        <v>45840</v>
      </c>
      <c r="D428" t="inlineStr">
        <is>
          <t>VÄSTMANLANDS LÄN</t>
        </is>
      </c>
      <c r="E428" t="inlineStr">
        <is>
          <t>SALA</t>
        </is>
      </c>
      <c r="G428" t="n">
        <v>1.4</v>
      </c>
      <c r="H428" t="n">
        <v>0</v>
      </c>
      <c r="I428" t="n">
        <v>0</v>
      </c>
      <c r="J428" t="n">
        <v>0</v>
      </c>
      <c r="K428" t="n">
        <v>0</v>
      </c>
      <c r="L428" t="n">
        <v>0</v>
      </c>
      <c r="M428" t="n">
        <v>0</v>
      </c>
      <c r="N428" t="n">
        <v>0</v>
      </c>
      <c r="O428" t="n">
        <v>0</v>
      </c>
      <c r="P428" t="n">
        <v>0</v>
      </c>
      <c r="Q428" t="n">
        <v>0</v>
      </c>
      <c r="R428" s="2" t="inlineStr"/>
    </row>
    <row r="429" ht="15" customHeight="1">
      <c r="A429" t="inlineStr">
        <is>
          <t>A 1993-2022</t>
        </is>
      </c>
      <c r="B429" s="1" t="n">
        <v>44575</v>
      </c>
      <c r="C429" s="1" t="n">
        <v>45840</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2529-2022</t>
        </is>
      </c>
      <c r="B430" s="1" t="n">
        <v>44579</v>
      </c>
      <c r="C430" s="1" t="n">
        <v>45840</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3050-2022</t>
        </is>
      </c>
      <c r="B431" s="1" t="n">
        <v>44582</v>
      </c>
      <c r="C431" s="1" t="n">
        <v>45840</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3201-2022</t>
        </is>
      </c>
      <c r="B432" s="1" t="n">
        <v>44582</v>
      </c>
      <c r="C432" s="1" t="n">
        <v>45840</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3204-2022</t>
        </is>
      </c>
      <c r="B433" s="1" t="n">
        <v>44582</v>
      </c>
      <c r="C433" s="1" t="n">
        <v>45840</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3647-2022</t>
        </is>
      </c>
      <c r="B434" s="1" t="n">
        <v>44586</v>
      </c>
      <c r="C434" s="1" t="n">
        <v>45840</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3888-2022</t>
        </is>
      </c>
      <c r="B435" s="1" t="n">
        <v>44587</v>
      </c>
      <c r="C435" s="1" t="n">
        <v>45840</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3920-2022</t>
        </is>
      </c>
      <c r="B436" s="1" t="n">
        <v>44587</v>
      </c>
      <c r="C436" s="1" t="n">
        <v>45840</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4237-2022</t>
        </is>
      </c>
      <c r="B437" s="1" t="n">
        <v>44588</v>
      </c>
      <c r="C437" s="1" t="n">
        <v>45840</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4281-2022</t>
        </is>
      </c>
      <c r="B438" s="1" t="n">
        <v>44588</v>
      </c>
      <c r="C438" s="1" t="n">
        <v>45840</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4663-2022</t>
        </is>
      </c>
      <c r="B439" s="1" t="n">
        <v>44592</v>
      </c>
      <c r="C439" s="1" t="n">
        <v>45840</v>
      </c>
      <c r="D439" t="inlineStr">
        <is>
          <t>VÄSTMANLANDS LÄN</t>
        </is>
      </c>
      <c r="E439" t="inlineStr">
        <is>
          <t>SALA</t>
        </is>
      </c>
      <c r="G439" t="n">
        <v>2.5</v>
      </c>
      <c r="H439" t="n">
        <v>0</v>
      </c>
      <c r="I439" t="n">
        <v>0</v>
      </c>
      <c r="J439" t="n">
        <v>0</v>
      </c>
      <c r="K439" t="n">
        <v>0</v>
      </c>
      <c r="L439" t="n">
        <v>0</v>
      </c>
      <c r="M439" t="n">
        <v>0</v>
      </c>
      <c r="N439" t="n">
        <v>0</v>
      </c>
      <c r="O439" t="n">
        <v>0</v>
      </c>
      <c r="P439" t="n">
        <v>0</v>
      </c>
      <c r="Q439" t="n">
        <v>0</v>
      </c>
      <c r="R439" s="2" t="inlineStr"/>
    </row>
    <row r="440" ht="15" customHeight="1">
      <c r="A440" t="inlineStr">
        <is>
          <t>A 4779-2022</t>
        </is>
      </c>
      <c r="B440" s="1" t="n">
        <v>44592</v>
      </c>
      <c r="C440" s="1" t="n">
        <v>45840</v>
      </c>
      <c r="D440" t="inlineStr">
        <is>
          <t>VÄSTMANLANDS LÄN</t>
        </is>
      </c>
      <c r="E440" t="inlineStr">
        <is>
          <t>SALA</t>
        </is>
      </c>
      <c r="G440" t="n">
        <v>4.3</v>
      </c>
      <c r="H440" t="n">
        <v>0</v>
      </c>
      <c r="I440" t="n">
        <v>0</v>
      </c>
      <c r="J440" t="n">
        <v>0</v>
      </c>
      <c r="K440" t="n">
        <v>0</v>
      </c>
      <c r="L440" t="n">
        <v>0</v>
      </c>
      <c r="M440" t="n">
        <v>0</v>
      </c>
      <c r="N440" t="n">
        <v>0</v>
      </c>
      <c r="O440" t="n">
        <v>0</v>
      </c>
      <c r="P440" t="n">
        <v>0</v>
      </c>
      <c r="Q440" t="n">
        <v>0</v>
      </c>
      <c r="R440" s="2" t="inlineStr"/>
    </row>
    <row r="441" ht="15" customHeight="1">
      <c r="A441" t="inlineStr">
        <is>
          <t>A 5335-2022</t>
        </is>
      </c>
      <c r="B441" s="1" t="n">
        <v>44594</v>
      </c>
      <c r="C441" s="1" t="n">
        <v>45840</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5737-2022</t>
        </is>
      </c>
      <c r="B442" s="1" t="n">
        <v>44596</v>
      </c>
      <c r="C442" s="1" t="n">
        <v>45840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5728-2022</t>
        </is>
      </c>
      <c r="B443" s="1" t="n">
        <v>44596</v>
      </c>
      <c r="C443" s="1" t="n">
        <v>45840</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6097-2022</t>
        </is>
      </c>
      <c r="B444" s="1" t="n">
        <v>44599</v>
      </c>
      <c r="C444" s="1" t="n">
        <v>45840</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6705-2022</t>
        </is>
      </c>
      <c r="B445" s="1" t="n">
        <v>44602</v>
      </c>
      <c r="C445" s="1" t="n">
        <v>45840</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6665-2022</t>
        </is>
      </c>
      <c r="B446" s="1" t="n">
        <v>44602</v>
      </c>
      <c r="C446" s="1" t="n">
        <v>45840</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6667-2022</t>
        </is>
      </c>
      <c r="B447" s="1" t="n">
        <v>44602</v>
      </c>
      <c r="C447" s="1" t="n">
        <v>45840</v>
      </c>
      <c r="D447" t="inlineStr">
        <is>
          <t>VÄSTMANLANDS LÄN</t>
        </is>
      </c>
      <c r="E447" t="inlineStr">
        <is>
          <t>SALA</t>
        </is>
      </c>
      <c r="G447" t="n">
        <v>0.4</v>
      </c>
      <c r="H447" t="n">
        <v>0</v>
      </c>
      <c r="I447" t="n">
        <v>0</v>
      </c>
      <c r="J447" t="n">
        <v>0</v>
      </c>
      <c r="K447" t="n">
        <v>0</v>
      </c>
      <c r="L447" t="n">
        <v>0</v>
      </c>
      <c r="M447" t="n">
        <v>0</v>
      </c>
      <c r="N447" t="n">
        <v>0</v>
      </c>
      <c r="O447" t="n">
        <v>0</v>
      </c>
      <c r="P447" t="n">
        <v>0</v>
      </c>
      <c r="Q447" t="n">
        <v>0</v>
      </c>
      <c r="R447" s="2" t="inlineStr"/>
    </row>
    <row r="448" ht="15" customHeight="1">
      <c r="A448" t="inlineStr">
        <is>
          <t>A 6710-2022</t>
        </is>
      </c>
      <c r="B448" s="1" t="n">
        <v>44602</v>
      </c>
      <c r="C448" s="1" t="n">
        <v>45840</v>
      </c>
      <c r="D448" t="inlineStr">
        <is>
          <t>VÄSTMANLANDS LÄN</t>
        </is>
      </c>
      <c r="E448" t="inlineStr">
        <is>
          <t>SALA</t>
        </is>
      </c>
      <c r="G448" t="n">
        <v>6.4</v>
      </c>
      <c r="H448" t="n">
        <v>0</v>
      </c>
      <c r="I448" t="n">
        <v>0</v>
      </c>
      <c r="J448" t="n">
        <v>0</v>
      </c>
      <c r="K448" t="n">
        <v>0</v>
      </c>
      <c r="L448" t="n">
        <v>0</v>
      </c>
      <c r="M448" t="n">
        <v>0</v>
      </c>
      <c r="N448" t="n">
        <v>0</v>
      </c>
      <c r="O448" t="n">
        <v>0</v>
      </c>
      <c r="P448" t="n">
        <v>0</v>
      </c>
      <c r="Q448" t="n">
        <v>0</v>
      </c>
      <c r="R448" s="2" t="inlineStr"/>
    </row>
    <row r="449" ht="15" customHeight="1">
      <c r="A449" t="inlineStr">
        <is>
          <t>A 6957-2022</t>
        </is>
      </c>
      <c r="B449" s="1" t="n">
        <v>44603</v>
      </c>
      <c r="C449" s="1" t="n">
        <v>45840</v>
      </c>
      <c r="D449" t="inlineStr">
        <is>
          <t>VÄSTMANLANDS LÄN</t>
        </is>
      </c>
      <c r="E449" t="inlineStr">
        <is>
          <t>SALA</t>
        </is>
      </c>
      <c r="G449" t="n">
        <v>4.5</v>
      </c>
      <c r="H449" t="n">
        <v>0</v>
      </c>
      <c r="I449" t="n">
        <v>0</v>
      </c>
      <c r="J449" t="n">
        <v>0</v>
      </c>
      <c r="K449" t="n">
        <v>0</v>
      </c>
      <c r="L449" t="n">
        <v>0</v>
      </c>
      <c r="M449" t="n">
        <v>0</v>
      </c>
      <c r="N449" t="n">
        <v>0</v>
      </c>
      <c r="O449" t="n">
        <v>0</v>
      </c>
      <c r="P449" t="n">
        <v>0</v>
      </c>
      <c r="Q449" t="n">
        <v>0</v>
      </c>
      <c r="R449" s="2" t="inlineStr"/>
    </row>
    <row r="450" ht="15" customHeight="1">
      <c r="A450" t="inlineStr">
        <is>
          <t>A 7169-2022</t>
        </is>
      </c>
      <c r="B450" s="1" t="n">
        <v>44604</v>
      </c>
      <c r="C450" s="1" t="n">
        <v>45840</v>
      </c>
      <c r="D450" t="inlineStr">
        <is>
          <t>VÄSTMANLANDS LÄN</t>
        </is>
      </c>
      <c r="E450" t="inlineStr">
        <is>
          <t>SALA</t>
        </is>
      </c>
      <c r="G450" t="n">
        <v>0.9</v>
      </c>
      <c r="H450" t="n">
        <v>0</v>
      </c>
      <c r="I450" t="n">
        <v>0</v>
      </c>
      <c r="J450" t="n">
        <v>0</v>
      </c>
      <c r="K450" t="n">
        <v>0</v>
      </c>
      <c r="L450" t="n">
        <v>0</v>
      </c>
      <c r="M450" t="n">
        <v>0</v>
      </c>
      <c r="N450" t="n">
        <v>0</v>
      </c>
      <c r="O450" t="n">
        <v>0</v>
      </c>
      <c r="P450" t="n">
        <v>0</v>
      </c>
      <c r="Q450" t="n">
        <v>0</v>
      </c>
      <c r="R450" s="2" t="inlineStr"/>
    </row>
    <row r="451" ht="15" customHeight="1">
      <c r="A451" t="inlineStr">
        <is>
          <t>A 8130-2022</t>
        </is>
      </c>
      <c r="B451" s="1" t="n">
        <v>44609</v>
      </c>
      <c r="C451" s="1" t="n">
        <v>45840</v>
      </c>
      <c r="D451" t="inlineStr">
        <is>
          <t>VÄSTMANLANDS LÄN</t>
        </is>
      </c>
      <c r="E451" t="inlineStr">
        <is>
          <t>SALA</t>
        </is>
      </c>
      <c r="G451" t="n">
        <v>3.5</v>
      </c>
      <c r="H451" t="n">
        <v>0</v>
      </c>
      <c r="I451" t="n">
        <v>0</v>
      </c>
      <c r="J451" t="n">
        <v>0</v>
      </c>
      <c r="K451" t="n">
        <v>0</v>
      </c>
      <c r="L451" t="n">
        <v>0</v>
      </c>
      <c r="M451" t="n">
        <v>0</v>
      </c>
      <c r="N451" t="n">
        <v>0</v>
      </c>
      <c r="O451" t="n">
        <v>0</v>
      </c>
      <c r="P451" t="n">
        <v>0</v>
      </c>
      <c r="Q451" t="n">
        <v>0</v>
      </c>
      <c r="R451" s="2" t="inlineStr"/>
    </row>
    <row r="452" ht="15" customHeight="1">
      <c r="A452" t="inlineStr">
        <is>
          <t>A 9048-2022</t>
        </is>
      </c>
      <c r="B452" s="1" t="n">
        <v>44615</v>
      </c>
      <c r="C452" s="1" t="n">
        <v>45840</v>
      </c>
      <c r="D452" t="inlineStr">
        <is>
          <t>VÄSTMANLANDS LÄN</t>
        </is>
      </c>
      <c r="E452" t="inlineStr">
        <is>
          <t>SALA</t>
        </is>
      </c>
      <c r="G452" t="n">
        <v>5.2</v>
      </c>
      <c r="H452" t="n">
        <v>0</v>
      </c>
      <c r="I452" t="n">
        <v>0</v>
      </c>
      <c r="J452" t="n">
        <v>0</v>
      </c>
      <c r="K452" t="n">
        <v>0</v>
      </c>
      <c r="L452" t="n">
        <v>0</v>
      </c>
      <c r="M452" t="n">
        <v>0</v>
      </c>
      <c r="N452" t="n">
        <v>0</v>
      </c>
      <c r="O452" t="n">
        <v>0</v>
      </c>
      <c r="P452" t="n">
        <v>0</v>
      </c>
      <c r="Q452" t="n">
        <v>0</v>
      </c>
      <c r="R452" s="2" t="inlineStr"/>
    </row>
    <row r="453" ht="15" customHeight="1">
      <c r="A453" t="inlineStr">
        <is>
          <t>A 9050-2022</t>
        </is>
      </c>
      <c r="B453" s="1" t="n">
        <v>44615</v>
      </c>
      <c r="C453" s="1" t="n">
        <v>45840</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9075-2022</t>
        </is>
      </c>
      <c r="B454" s="1" t="n">
        <v>44615</v>
      </c>
      <c r="C454" s="1" t="n">
        <v>45840</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9335-2022</t>
        </is>
      </c>
      <c r="B455" s="1" t="n">
        <v>44616</v>
      </c>
      <c r="C455" s="1" t="n">
        <v>45840</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45840</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10083-2022</t>
        </is>
      </c>
      <c r="B457" s="1" t="n">
        <v>44621</v>
      </c>
      <c r="C457" s="1" t="n">
        <v>45840</v>
      </c>
      <c r="D457" t="inlineStr">
        <is>
          <t>VÄSTMANLANDS LÄN</t>
        </is>
      </c>
      <c r="E457" t="inlineStr">
        <is>
          <t>SALA</t>
        </is>
      </c>
      <c r="G457" t="n">
        <v>7.8</v>
      </c>
      <c r="H457" t="n">
        <v>0</v>
      </c>
      <c r="I457" t="n">
        <v>0</v>
      </c>
      <c r="J457" t="n">
        <v>0</v>
      </c>
      <c r="K457" t="n">
        <v>0</v>
      </c>
      <c r="L457" t="n">
        <v>0</v>
      </c>
      <c r="M457" t="n">
        <v>0</v>
      </c>
      <c r="N457" t="n">
        <v>0</v>
      </c>
      <c r="O457" t="n">
        <v>0</v>
      </c>
      <c r="P457" t="n">
        <v>0</v>
      </c>
      <c r="Q457" t="n">
        <v>0</v>
      </c>
      <c r="R457" s="2" t="inlineStr"/>
    </row>
    <row r="458" ht="15" customHeight="1">
      <c r="A458" t="inlineStr">
        <is>
          <t>A 10168-2022</t>
        </is>
      </c>
      <c r="B458" s="1" t="n">
        <v>44622</v>
      </c>
      <c r="C458" s="1" t="n">
        <v>45840</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10434-2022</t>
        </is>
      </c>
      <c r="B459" s="1" t="n">
        <v>44623</v>
      </c>
      <c r="C459" s="1" t="n">
        <v>45840</v>
      </c>
      <c r="D459" t="inlineStr">
        <is>
          <t>VÄSTMANLANDS LÄN</t>
        </is>
      </c>
      <c r="E459" t="inlineStr">
        <is>
          <t>SALA</t>
        </is>
      </c>
      <c r="G459" t="n">
        <v>5.5</v>
      </c>
      <c r="H459" t="n">
        <v>0</v>
      </c>
      <c r="I459" t="n">
        <v>0</v>
      </c>
      <c r="J459" t="n">
        <v>0</v>
      </c>
      <c r="K459" t="n">
        <v>0</v>
      </c>
      <c r="L459" t="n">
        <v>0</v>
      </c>
      <c r="M459" t="n">
        <v>0</v>
      </c>
      <c r="N459" t="n">
        <v>0</v>
      </c>
      <c r="O459" t="n">
        <v>0</v>
      </c>
      <c r="P459" t="n">
        <v>0</v>
      </c>
      <c r="Q459" t="n">
        <v>0</v>
      </c>
      <c r="R459" s="2" t="inlineStr"/>
    </row>
    <row r="460" ht="15" customHeight="1">
      <c r="A460" t="inlineStr">
        <is>
          <t>A 10585-2022</t>
        </is>
      </c>
      <c r="B460" s="1" t="n">
        <v>44624</v>
      </c>
      <c r="C460" s="1" t="n">
        <v>45840</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10579-2022</t>
        </is>
      </c>
      <c r="B461" s="1" t="n">
        <v>44624</v>
      </c>
      <c r="C461" s="1" t="n">
        <v>45840</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11370-2022</t>
        </is>
      </c>
      <c r="B462" s="1" t="n">
        <v>44630</v>
      </c>
      <c r="C462" s="1" t="n">
        <v>45840</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12245-2022</t>
        </is>
      </c>
      <c r="B463" s="1" t="n">
        <v>44637</v>
      </c>
      <c r="C463" s="1" t="n">
        <v>45840</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13608-2022</t>
        </is>
      </c>
      <c r="B464" s="1" t="n">
        <v>44648</v>
      </c>
      <c r="C464" s="1" t="n">
        <v>45840</v>
      </c>
      <c r="D464" t="inlineStr">
        <is>
          <t>VÄSTMANLANDS LÄN</t>
        </is>
      </c>
      <c r="E464" t="inlineStr">
        <is>
          <t>SALA</t>
        </is>
      </c>
      <c r="G464" t="n">
        <v>5.9</v>
      </c>
      <c r="H464" t="n">
        <v>0</v>
      </c>
      <c r="I464" t="n">
        <v>0</v>
      </c>
      <c r="J464" t="n">
        <v>0</v>
      </c>
      <c r="K464" t="n">
        <v>0</v>
      </c>
      <c r="L464" t="n">
        <v>0</v>
      </c>
      <c r="M464" t="n">
        <v>0</v>
      </c>
      <c r="N464" t="n">
        <v>0</v>
      </c>
      <c r="O464" t="n">
        <v>0</v>
      </c>
      <c r="P464" t="n">
        <v>0</v>
      </c>
      <c r="Q464" t="n">
        <v>0</v>
      </c>
      <c r="R464" s="2" t="inlineStr"/>
    </row>
    <row r="465" ht="15" customHeight="1">
      <c r="A465" t="inlineStr">
        <is>
          <t>A 13962-2022</t>
        </is>
      </c>
      <c r="B465" s="1" t="n">
        <v>44650</v>
      </c>
      <c r="C465" s="1" t="n">
        <v>45840</v>
      </c>
      <c r="D465" t="inlineStr">
        <is>
          <t>VÄSTMANLANDS LÄN</t>
        </is>
      </c>
      <c r="E465" t="inlineStr">
        <is>
          <t>SALA</t>
        </is>
      </c>
      <c r="G465" t="n">
        <v>2.3</v>
      </c>
      <c r="H465" t="n">
        <v>0</v>
      </c>
      <c r="I465" t="n">
        <v>0</v>
      </c>
      <c r="J465" t="n">
        <v>0</v>
      </c>
      <c r="K465" t="n">
        <v>0</v>
      </c>
      <c r="L465" t="n">
        <v>0</v>
      </c>
      <c r="M465" t="n">
        <v>0</v>
      </c>
      <c r="N465" t="n">
        <v>0</v>
      </c>
      <c r="O465" t="n">
        <v>0</v>
      </c>
      <c r="P465" t="n">
        <v>0</v>
      </c>
      <c r="Q465" t="n">
        <v>0</v>
      </c>
      <c r="R465" s="2" t="inlineStr"/>
    </row>
    <row r="466" ht="15" customHeight="1">
      <c r="A466" t="inlineStr">
        <is>
          <t>A 15850-2022</t>
        </is>
      </c>
      <c r="B466" s="1" t="n">
        <v>44664</v>
      </c>
      <c r="C466" s="1" t="n">
        <v>45840</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16255-2022</t>
        </is>
      </c>
      <c r="B467" s="1" t="n">
        <v>44670</v>
      </c>
      <c r="C467" s="1" t="n">
        <v>45840</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16404-2022</t>
        </is>
      </c>
      <c r="B468" s="1" t="n">
        <v>44671</v>
      </c>
      <c r="C468" s="1" t="n">
        <v>45840</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16768-2022</t>
        </is>
      </c>
      <c r="B469" s="1" t="n">
        <v>44673</v>
      </c>
      <c r="C469" s="1" t="n">
        <v>45840</v>
      </c>
      <c r="D469" t="inlineStr">
        <is>
          <t>VÄSTMANLANDS LÄN</t>
        </is>
      </c>
      <c r="E469" t="inlineStr">
        <is>
          <t>SALA</t>
        </is>
      </c>
      <c r="G469" t="n">
        <v>4.7</v>
      </c>
      <c r="H469" t="n">
        <v>0</v>
      </c>
      <c r="I469" t="n">
        <v>0</v>
      </c>
      <c r="J469" t="n">
        <v>0</v>
      </c>
      <c r="K469" t="n">
        <v>0</v>
      </c>
      <c r="L469" t="n">
        <v>0</v>
      </c>
      <c r="M469" t="n">
        <v>0</v>
      </c>
      <c r="N469" t="n">
        <v>0</v>
      </c>
      <c r="O469" t="n">
        <v>0</v>
      </c>
      <c r="P469" t="n">
        <v>0</v>
      </c>
      <c r="Q469" t="n">
        <v>0</v>
      </c>
      <c r="R469" s="2" t="inlineStr"/>
    </row>
    <row r="470" ht="15" customHeight="1">
      <c r="A470" t="inlineStr">
        <is>
          <t>A 16905-2022</t>
        </is>
      </c>
      <c r="B470" s="1" t="n">
        <v>44676</v>
      </c>
      <c r="C470" s="1" t="n">
        <v>45840</v>
      </c>
      <c r="D470" t="inlineStr">
        <is>
          <t>VÄSTMANLANDS LÄN</t>
        </is>
      </c>
      <c r="E470" t="inlineStr">
        <is>
          <t>SALA</t>
        </is>
      </c>
      <c r="G470" t="n">
        <v>1</v>
      </c>
      <c r="H470" t="n">
        <v>0</v>
      </c>
      <c r="I470" t="n">
        <v>0</v>
      </c>
      <c r="J470" t="n">
        <v>0</v>
      </c>
      <c r="K470" t="n">
        <v>0</v>
      </c>
      <c r="L470" t="n">
        <v>0</v>
      </c>
      <c r="M470" t="n">
        <v>0</v>
      </c>
      <c r="N470" t="n">
        <v>0</v>
      </c>
      <c r="O470" t="n">
        <v>0</v>
      </c>
      <c r="P470" t="n">
        <v>0</v>
      </c>
      <c r="Q470" t="n">
        <v>0</v>
      </c>
      <c r="R470" s="2" t="inlineStr"/>
    </row>
    <row r="471" ht="15" customHeight="1">
      <c r="A471" t="inlineStr">
        <is>
          <t>A 17897-2022</t>
        </is>
      </c>
      <c r="B471" s="1" t="n">
        <v>44683</v>
      </c>
      <c r="C471" s="1" t="n">
        <v>45840</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19058-2022</t>
        </is>
      </c>
      <c r="B472" s="1" t="n">
        <v>44691</v>
      </c>
      <c r="C472" s="1" t="n">
        <v>45840</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19065-2022</t>
        </is>
      </c>
      <c r="B473" s="1" t="n">
        <v>44691</v>
      </c>
      <c r="C473" s="1" t="n">
        <v>45840</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19751-2022</t>
        </is>
      </c>
      <c r="B474" s="1" t="n">
        <v>44694</v>
      </c>
      <c r="C474" s="1" t="n">
        <v>45840</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19760-2022</t>
        </is>
      </c>
      <c r="B475" s="1" t="n">
        <v>44694</v>
      </c>
      <c r="C475" s="1" t="n">
        <v>45840</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20344-2022</t>
        </is>
      </c>
      <c r="B476" s="1" t="n">
        <v>44699</v>
      </c>
      <c r="C476" s="1" t="n">
        <v>45840</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20352-2022</t>
        </is>
      </c>
      <c r="B477" s="1" t="n">
        <v>44699</v>
      </c>
      <c r="C477" s="1" t="n">
        <v>45840</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20875-2022</t>
        </is>
      </c>
      <c r="B478" s="1" t="n">
        <v>44701</v>
      </c>
      <c r="C478" s="1" t="n">
        <v>45840</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21055-2022</t>
        </is>
      </c>
      <c r="B479" s="1" t="n">
        <v>44704</v>
      </c>
      <c r="C479" s="1" t="n">
        <v>45840</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21053-2022</t>
        </is>
      </c>
      <c r="B480" s="1" t="n">
        <v>44704</v>
      </c>
      <c r="C480" s="1" t="n">
        <v>45840</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21159-2022</t>
        </is>
      </c>
      <c r="B481" s="1" t="n">
        <v>44704</v>
      </c>
      <c r="C481" s="1" t="n">
        <v>45840</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21777-2022</t>
        </is>
      </c>
      <c r="B482" s="1" t="n">
        <v>44708</v>
      </c>
      <c r="C482" s="1" t="n">
        <v>45840</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22397-2022</t>
        </is>
      </c>
      <c r="B483" s="1" t="n">
        <v>44713</v>
      </c>
      <c r="C483" s="1" t="n">
        <v>45840</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22575-2022</t>
        </is>
      </c>
      <c r="B484" s="1" t="n">
        <v>44713</v>
      </c>
      <c r="C484" s="1" t="n">
        <v>45840</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22562-2022</t>
        </is>
      </c>
      <c r="B485" s="1" t="n">
        <v>44713</v>
      </c>
      <c r="C485" s="1" t="n">
        <v>45840</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22811-2022</t>
        </is>
      </c>
      <c r="B486" s="1" t="n">
        <v>44715</v>
      </c>
      <c r="C486" s="1" t="n">
        <v>45840</v>
      </c>
      <c r="D486" t="inlineStr">
        <is>
          <t>VÄSTMANLANDS LÄN</t>
        </is>
      </c>
      <c r="E486" t="inlineStr">
        <is>
          <t>SALA</t>
        </is>
      </c>
      <c r="G486" t="n">
        <v>5</v>
      </c>
      <c r="H486" t="n">
        <v>0</v>
      </c>
      <c r="I486" t="n">
        <v>0</v>
      </c>
      <c r="J486" t="n">
        <v>0</v>
      </c>
      <c r="K486" t="n">
        <v>0</v>
      </c>
      <c r="L486" t="n">
        <v>0</v>
      </c>
      <c r="M486" t="n">
        <v>0</v>
      </c>
      <c r="N486" t="n">
        <v>0</v>
      </c>
      <c r="O486" t="n">
        <v>0</v>
      </c>
      <c r="P486" t="n">
        <v>0</v>
      </c>
      <c r="Q486" t="n">
        <v>0</v>
      </c>
      <c r="R486" s="2" t="inlineStr"/>
    </row>
    <row r="487" ht="15" customHeight="1">
      <c r="A487" t="inlineStr">
        <is>
          <t>A 23119-2022</t>
        </is>
      </c>
      <c r="B487" s="1" t="n">
        <v>44719</v>
      </c>
      <c r="C487" s="1" t="n">
        <v>45840</v>
      </c>
      <c r="D487" t="inlineStr">
        <is>
          <t>VÄSTMANLANDS LÄN</t>
        </is>
      </c>
      <c r="E487" t="inlineStr">
        <is>
          <t>SALA</t>
        </is>
      </c>
      <c r="G487" t="n">
        <v>7</v>
      </c>
      <c r="H487" t="n">
        <v>0</v>
      </c>
      <c r="I487" t="n">
        <v>0</v>
      </c>
      <c r="J487" t="n">
        <v>0</v>
      </c>
      <c r="K487" t="n">
        <v>0</v>
      </c>
      <c r="L487" t="n">
        <v>0</v>
      </c>
      <c r="M487" t="n">
        <v>0</v>
      </c>
      <c r="N487" t="n">
        <v>0</v>
      </c>
      <c r="O487" t="n">
        <v>0</v>
      </c>
      <c r="P487" t="n">
        <v>0</v>
      </c>
      <c r="Q487" t="n">
        <v>0</v>
      </c>
      <c r="R487" s="2" t="inlineStr"/>
    </row>
    <row r="488" ht="15" customHeight="1">
      <c r="A488" t="inlineStr">
        <is>
          <t>A 23181-2022</t>
        </is>
      </c>
      <c r="B488" s="1" t="n">
        <v>44719</v>
      </c>
      <c r="C488" s="1" t="n">
        <v>45840</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23180-2022</t>
        </is>
      </c>
      <c r="B489" s="1" t="n">
        <v>44719</v>
      </c>
      <c r="C489" s="1" t="n">
        <v>45840</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23182-2022</t>
        </is>
      </c>
      <c r="B490" s="1" t="n">
        <v>44719</v>
      </c>
      <c r="C490" s="1" t="n">
        <v>45840</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23757-2022</t>
        </is>
      </c>
      <c r="B491" s="1" t="n">
        <v>44722</v>
      </c>
      <c r="C491" s="1" t="n">
        <v>45840</v>
      </c>
      <c r="D491" t="inlineStr">
        <is>
          <t>VÄSTMANLANDS LÄN</t>
        </is>
      </c>
      <c r="E491" t="inlineStr">
        <is>
          <t>SALA</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23847-2022</t>
        </is>
      </c>
      <c r="B492" s="1" t="n">
        <v>44722</v>
      </c>
      <c r="C492" s="1" t="n">
        <v>45840</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24818-2022</t>
        </is>
      </c>
      <c r="B493" s="1" t="n">
        <v>44727</v>
      </c>
      <c r="C493" s="1" t="n">
        <v>45840</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24835-2022</t>
        </is>
      </c>
      <c r="B494" s="1" t="n">
        <v>44727</v>
      </c>
      <c r="C494" s="1" t="n">
        <v>45840</v>
      </c>
      <c r="D494" t="inlineStr">
        <is>
          <t>VÄSTMANLANDS LÄN</t>
        </is>
      </c>
      <c r="E494" t="inlineStr">
        <is>
          <t>SALA</t>
        </is>
      </c>
      <c r="G494" t="n">
        <v>5.8</v>
      </c>
      <c r="H494" t="n">
        <v>0</v>
      </c>
      <c r="I494" t="n">
        <v>0</v>
      </c>
      <c r="J494" t="n">
        <v>0</v>
      </c>
      <c r="K494" t="n">
        <v>0</v>
      </c>
      <c r="L494" t="n">
        <v>0</v>
      </c>
      <c r="M494" t="n">
        <v>0</v>
      </c>
      <c r="N494" t="n">
        <v>0</v>
      </c>
      <c r="O494" t="n">
        <v>0</v>
      </c>
      <c r="P494" t="n">
        <v>0</v>
      </c>
      <c r="Q494" t="n">
        <v>0</v>
      </c>
      <c r="R494" s="2" t="inlineStr"/>
    </row>
    <row r="495" ht="15" customHeight="1">
      <c r="A495" t="inlineStr">
        <is>
          <t>A 24882-2022</t>
        </is>
      </c>
      <c r="B495" s="1" t="n">
        <v>44728</v>
      </c>
      <c r="C495" s="1" t="n">
        <v>45840</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25603-2022</t>
        </is>
      </c>
      <c r="B496" s="1" t="n">
        <v>44732</v>
      </c>
      <c r="C496" s="1" t="n">
        <v>45840</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25748-2022</t>
        </is>
      </c>
      <c r="B497" s="1" t="n">
        <v>44732</v>
      </c>
      <c r="C497" s="1" t="n">
        <v>45840</v>
      </c>
      <c r="D497" t="inlineStr">
        <is>
          <t>VÄSTMANLANDS LÄN</t>
        </is>
      </c>
      <c r="E497" t="inlineStr">
        <is>
          <t>SALA</t>
        </is>
      </c>
      <c r="G497" t="n">
        <v>7.7</v>
      </c>
      <c r="H497" t="n">
        <v>0</v>
      </c>
      <c r="I497" t="n">
        <v>0</v>
      </c>
      <c r="J497" t="n">
        <v>0</v>
      </c>
      <c r="K497" t="n">
        <v>0</v>
      </c>
      <c r="L497" t="n">
        <v>0</v>
      </c>
      <c r="M497" t="n">
        <v>0</v>
      </c>
      <c r="N497" t="n">
        <v>0</v>
      </c>
      <c r="O497" t="n">
        <v>0</v>
      </c>
      <c r="P497" t="n">
        <v>0</v>
      </c>
      <c r="Q497" t="n">
        <v>0</v>
      </c>
      <c r="R497" s="2" t="inlineStr"/>
    </row>
    <row r="498" ht="15" customHeight="1">
      <c r="A498" t="inlineStr">
        <is>
          <t>A 27229-2022</t>
        </is>
      </c>
      <c r="B498" s="1" t="n">
        <v>44741</v>
      </c>
      <c r="C498" s="1" t="n">
        <v>45840</v>
      </c>
      <c r="D498" t="inlineStr">
        <is>
          <t>VÄSTMANLANDS LÄN</t>
        </is>
      </c>
      <c r="E498" t="inlineStr">
        <is>
          <t>SALA</t>
        </is>
      </c>
      <c r="F498" t="inlineStr">
        <is>
          <t>Kommuner</t>
        </is>
      </c>
      <c r="G498" t="n">
        <v>1.4</v>
      </c>
      <c r="H498" t="n">
        <v>0</v>
      </c>
      <c r="I498" t="n">
        <v>0</v>
      </c>
      <c r="J498" t="n">
        <v>0</v>
      </c>
      <c r="K498" t="n">
        <v>0</v>
      </c>
      <c r="L498" t="n">
        <v>0</v>
      </c>
      <c r="M498" t="n">
        <v>0</v>
      </c>
      <c r="N498" t="n">
        <v>0</v>
      </c>
      <c r="O498" t="n">
        <v>0</v>
      </c>
      <c r="P498" t="n">
        <v>0</v>
      </c>
      <c r="Q498" t="n">
        <v>0</v>
      </c>
      <c r="R498" s="2" t="inlineStr"/>
    </row>
    <row r="499" ht="15" customHeight="1">
      <c r="A499" t="inlineStr">
        <is>
          <t>A 27240-2022</t>
        </is>
      </c>
      <c r="B499" s="1" t="n">
        <v>44741</v>
      </c>
      <c r="C499" s="1" t="n">
        <v>45840</v>
      </c>
      <c r="D499" t="inlineStr">
        <is>
          <t>VÄSTMANLANDS LÄN</t>
        </is>
      </c>
      <c r="E499" t="inlineStr">
        <is>
          <t>SALA</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27446-2022</t>
        </is>
      </c>
      <c r="B500" s="1" t="n">
        <v>44742</v>
      </c>
      <c r="C500" s="1" t="n">
        <v>45840</v>
      </c>
      <c r="D500" t="inlineStr">
        <is>
          <t>VÄSTMANLANDS LÄN</t>
        </is>
      </c>
      <c r="E500" t="inlineStr">
        <is>
          <t>SALA</t>
        </is>
      </c>
      <c r="G500" t="n">
        <v>6.7</v>
      </c>
      <c r="H500" t="n">
        <v>0</v>
      </c>
      <c r="I500" t="n">
        <v>0</v>
      </c>
      <c r="J500" t="n">
        <v>0</v>
      </c>
      <c r="K500" t="n">
        <v>0</v>
      </c>
      <c r="L500" t="n">
        <v>0</v>
      </c>
      <c r="M500" t="n">
        <v>0</v>
      </c>
      <c r="N500" t="n">
        <v>0</v>
      </c>
      <c r="O500" t="n">
        <v>0</v>
      </c>
      <c r="P500" t="n">
        <v>0</v>
      </c>
      <c r="Q500" t="n">
        <v>0</v>
      </c>
      <c r="R500" s="2" t="inlineStr"/>
    </row>
    <row r="501" ht="15" customHeight="1">
      <c r="A501" t="inlineStr">
        <is>
          <t>A 27528-2022</t>
        </is>
      </c>
      <c r="B501" s="1" t="n">
        <v>44742</v>
      </c>
      <c r="C501" s="1" t="n">
        <v>45840</v>
      </c>
      <c r="D501" t="inlineStr">
        <is>
          <t>VÄSTMANLANDS LÄN</t>
        </is>
      </c>
      <c r="E501" t="inlineStr">
        <is>
          <t>SALA</t>
        </is>
      </c>
      <c r="G501" t="n">
        <v>3.2</v>
      </c>
      <c r="H501" t="n">
        <v>0</v>
      </c>
      <c r="I501" t="n">
        <v>0</v>
      </c>
      <c r="J501" t="n">
        <v>0</v>
      </c>
      <c r="K501" t="n">
        <v>0</v>
      </c>
      <c r="L501" t="n">
        <v>0</v>
      </c>
      <c r="M501" t="n">
        <v>0</v>
      </c>
      <c r="N501" t="n">
        <v>0</v>
      </c>
      <c r="O501" t="n">
        <v>0</v>
      </c>
      <c r="P501" t="n">
        <v>0</v>
      </c>
      <c r="Q501" t="n">
        <v>0</v>
      </c>
      <c r="R501" s="2" t="inlineStr"/>
    </row>
    <row r="502" ht="15" customHeight="1">
      <c r="A502" t="inlineStr">
        <is>
          <t>A 27486-2022</t>
        </is>
      </c>
      <c r="B502" s="1" t="n">
        <v>44742</v>
      </c>
      <c r="C502" s="1" t="n">
        <v>45840</v>
      </c>
      <c r="D502" t="inlineStr">
        <is>
          <t>VÄSTMANLANDS LÄN</t>
        </is>
      </c>
      <c r="E502" t="inlineStr">
        <is>
          <t>SALA</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28069-2022</t>
        </is>
      </c>
      <c r="B503" s="1" t="n">
        <v>44746</v>
      </c>
      <c r="C503" s="1" t="n">
        <v>45840</v>
      </c>
      <c r="D503" t="inlineStr">
        <is>
          <t>VÄSTMANLANDS LÄN</t>
        </is>
      </c>
      <c r="E503" t="inlineStr">
        <is>
          <t>SALA</t>
        </is>
      </c>
      <c r="G503" t="n">
        <v>2.8</v>
      </c>
      <c r="H503" t="n">
        <v>0</v>
      </c>
      <c r="I503" t="n">
        <v>0</v>
      </c>
      <c r="J503" t="n">
        <v>0</v>
      </c>
      <c r="K503" t="n">
        <v>0</v>
      </c>
      <c r="L503" t="n">
        <v>0</v>
      </c>
      <c r="M503" t="n">
        <v>0</v>
      </c>
      <c r="N503" t="n">
        <v>0</v>
      </c>
      <c r="O503" t="n">
        <v>0</v>
      </c>
      <c r="P503" t="n">
        <v>0</v>
      </c>
      <c r="Q503" t="n">
        <v>0</v>
      </c>
      <c r="R503" s="2" t="inlineStr"/>
    </row>
    <row r="504" ht="15" customHeight="1">
      <c r="A504" t="inlineStr">
        <is>
          <t>A 28215-2022</t>
        </is>
      </c>
      <c r="B504" s="1" t="n">
        <v>44746</v>
      </c>
      <c r="C504" s="1" t="n">
        <v>45840</v>
      </c>
      <c r="D504" t="inlineStr">
        <is>
          <t>VÄSTMANLANDS LÄN</t>
        </is>
      </c>
      <c r="E504" t="inlineStr">
        <is>
          <t>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28402-2022</t>
        </is>
      </c>
      <c r="B505" s="1" t="n">
        <v>44747</v>
      </c>
      <c r="C505" s="1" t="n">
        <v>45840</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28863-2022</t>
        </is>
      </c>
      <c r="B506" s="1" t="n">
        <v>44749</v>
      </c>
      <c r="C506" s="1" t="n">
        <v>45840</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28875-2022</t>
        </is>
      </c>
      <c r="B507" s="1" t="n">
        <v>44749</v>
      </c>
      <c r="C507" s="1" t="n">
        <v>45840</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28999-2022</t>
        </is>
      </c>
      <c r="B508" s="1" t="n">
        <v>44749</v>
      </c>
      <c r="C508" s="1" t="n">
        <v>45840</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28827-2022</t>
        </is>
      </c>
      <c r="B509" s="1" t="n">
        <v>44749</v>
      </c>
      <c r="C509" s="1" t="n">
        <v>45840</v>
      </c>
      <c r="D509" t="inlineStr">
        <is>
          <t>VÄSTMANLANDS LÄN</t>
        </is>
      </c>
      <c r="E509" t="inlineStr">
        <is>
          <t>SALA</t>
        </is>
      </c>
      <c r="F509" t="inlineStr">
        <is>
          <t>Kommuner</t>
        </is>
      </c>
      <c r="G509" t="n">
        <v>11.9</v>
      </c>
      <c r="H509" t="n">
        <v>0</v>
      </c>
      <c r="I509" t="n">
        <v>0</v>
      </c>
      <c r="J509" t="n">
        <v>0</v>
      </c>
      <c r="K509" t="n">
        <v>0</v>
      </c>
      <c r="L509" t="n">
        <v>0</v>
      </c>
      <c r="M509" t="n">
        <v>0</v>
      </c>
      <c r="N509" t="n">
        <v>0</v>
      </c>
      <c r="O509" t="n">
        <v>0</v>
      </c>
      <c r="P509" t="n">
        <v>0</v>
      </c>
      <c r="Q509" t="n">
        <v>0</v>
      </c>
      <c r="R509" s="2" t="inlineStr"/>
    </row>
    <row r="510" ht="15" customHeight="1">
      <c r="A510" t="inlineStr">
        <is>
          <t>A 28873-2022</t>
        </is>
      </c>
      <c r="B510" s="1" t="n">
        <v>44749</v>
      </c>
      <c r="C510" s="1" t="n">
        <v>45840</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29002-2022</t>
        </is>
      </c>
      <c r="B511" s="1" t="n">
        <v>44749</v>
      </c>
      <c r="C511" s="1" t="n">
        <v>45840</v>
      </c>
      <c r="D511" t="inlineStr">
        <is>
          <t>VÄSTMANLANDS LÄN</t>
        </is>
      </c>
      <c r="E511" t="inlineStr">
        <is>
          <t>SALA</t>
        </is>
      </c>
      <c r="G511" t="n">
        <v>5.4</v>
      </c>
      <c r="H511" t="n">
        <v>0</v>
      </c>
      <c r="I511" t="n">
        <v>0</v>
      </c>
      <c r="J511" t="n">
        <v>0</v>
      </c>
      <c r="K511" t="n">
        <v>0</v>
      </c>
      <c r="L511" t="n">
        <v>0</v>
      </c>
      <c r="M511" t="n">
        <v>0</v>
      </c>
      <c r="N511" t="n">
        <v>0</v>
      </c>
      <c r="O511" t="n">
        <v>0</v>
      </c>
      <c r="P511" t="n">
        <v>0</v>
      </c>
      <c r="Q511" t="n">
        <v>0</v>
      </c>
      <c r="R511" s="2" t="inlineStr"/>
    </row>
    <row r="512" ht="15" customHeight="1">
      <c r="A512" t="inlineStr">
        <is>
          <t>A 28868-2022</t>
        </is>
      </c>
      <c r="B512" s="1" t="n">
        <v>44749</v>
      </c>
      <c r="C512" s="1" t="n">
        <v>45840</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28874-2022</t>
        </is>
      </c>
      <c r="B513" s="1" t="n">
        <v>44749</v>
      </c>
      <c r="C513" s="1" t="n">
        <v>45840</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28879-2022</t>
        </is>
      </c>
      <c r="B514" s="1" t="n">
        <v>44749</v>
      </c>
      <c r="C514" s="1" t="n">
        <v>45840</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29235-2022</t>
        </is>
      </c>
      <c r="B515" s="1" t="n">
        <v>44750</v>
      </c>
      <c r="C515" s="1" t="n">
        <v>45840</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29228-2022</t>
        </is>
      </c>
      <c r="B516" s="1" t="n">
        <v>44750</v>
      </c>
      <c r="C516" s="1" t="n">
        <v>45840</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29233-2022</t>
        </is>
      </c>
      <c r="B517" s="1" t="n">
        <v>44750</v>
      </c>
      <c r="C517" s="1" t="n">
        <v>45840</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29248-2022</t>
        </is>
      </c>
      <c r="B518" s="1" t="n">
        <v>44750</v>
      </c>
      <c r="C518" s="1" t="n">
        <v>45840</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29230-2022</t>
        </is>
      </c>
      <c r="B519" s="1" t="n">
        <v>44750</v>
      </c>
      <c r="C519" s="1" t="n">
        <v>45840</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29133-2022</t>
        </is>
      </c>
      <c r="B520" s="1" t="n">
        <v>44750</v>
      </c>
      <c r="C520" s="1" t="n">
        <v>45840</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29213-2022</t>
        </is>
      </c>
      <c r="B521" s="1" t="n">
        <v>44750</v>
      </c>
      <c r="C521" s="1" t="n">
        <v>45840</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29963-2022</t>
        </is>
      </c>
      <c r="B522" s="1" t="n">
        <v>44756</v>
      </c>
      <c r="C522" s="1" t="n">
        <v>45840</v>
      </c>
      <c r="D522" t="inlineStr">
        <is>
          <t>VÄSTMANLANDS LÄN</t>
        </is>
      </c>
      <c r="E522" t="inlineStr">
        <is>
          <t>SALA</t>
        </is>
      </c>
      <c r="G522" t="n">
        <v>2.3</v>
      </c>
      <c r="H522" t="n">
        <v>0</v>
      </c>
      <c r="I522" t="n">
        <v>0</v>
      </c>
      <c r="J522" t="n">
        <v>0</v>
      </c>
      <c r="K522" t="n">
        <v>0</v>
      </c>
      <c r="L522" t="n">
        <v>0</v>
      </c>
      <c r="M522" t="n">
        <v>0</v>
      </c>
      <c r="N522" t="n">
        <v>0</v>
      </c>
      <c r="O522" t="n">
        <v>0</v>
      </c>
      <c r="P522" t="n">
        <v>0</v>
      </c>
      <c r="Q522" t="n">
        <v>0</v>
      </c>
      <c r="R522" s="2" t="inlineStr"/>
    </row>
    <row r="523" ht="15" customHeight="1">
      <c r="A523" t="inlineStr">
        <is>
          <t>A 29965-2022</t>
        </is>
      </c>
      <c r="B523" s="1" t="n">
        <v>44756</v>
      </c>
      <c r="C523" s="1" t="n">
        <v>45840</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29982-2022</t>
        </is>
      </c>
      <c r="B524" s="1" t="n">
        <v>44756</v>
      </c>
      <c r="C524" s="1" t="n">
        <v>45840</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30360-2022</t>
        </is>
      </c>
      <c r="B525" s="1" t="n">
        <v>44760</v>
      </c>
      <c r="C525" s="1" t="n">
        <v>45840</v>
      </c>
      <c r="D525" t="inlineStr">
        <is>
          <t>VÄSTMANLANDS LÄN</t>
        </is>
      </c>
      <c r="E525" t="inlineStr">
        <is>
          <t>SALA</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30442-2022</t>
        </is>
      </c>
      <c r="B526" s="1" t="n">
        <v>44761</v>
      </c>
      <c r="C526" s="1" t="n">
        <v>45840</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30971-2022</t>
        </is>
      </c>
      <c r="B527" s="1" t="n">
        <v>44768</v>
      </c>
      <c r="C527" s="1" t="n">
        <v>45840</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31000-2022</t>
        </is>
      </c>
      <c r="B528" s="1" t="n">
        <v>44768</v>
      </c>
      <c r="C528" s="1" t="n">
        <v>45840</v>
      </c>
      <c r="D528" t="inlineStr">
        <is>
          <t>VÄSTMANLANDS LÄN</t>
        </is>
      </c>
      <c r="E528" t="inlineStr">
        <is>
          <t>SALA</t>
        </is>
      </c>
      <c r="G528" t="n">
        <v>5.7</v>
      </c>
      <c r="H528" t="n">
        <v>0</v>
      </c>
      <c r="I528" t="n">
        <v>0</v>
      </c>
      <c r="J528" t="n">
        <v>0</v>
      </c>
      <c r="K528" t="n">
        <v>0</v>
      </c>
      <c r="L528" t="n">
        <v>0</v>
      </c>
      <c r="M528" t="n">
        <v>0</v>
      </c>
      <c r="N528" t="n">
        <v>0</v>
      </c>
      <c r="O528" t="n">
        <v>0</v>
      </c>
      <c r="P528" t="n">
        <v>0</v>
      </c>
      <c r="Q528" t="n">
        <v>0</v>
      </c>
      <c r="R528" s="2" t="inlineStr"/>
    </row>
    <row r="529" ht="15" customHeight="1">
      <c r="A529" t="inlineStr">
        <is>
          <t>A 31373-2022</t>
        </is>
      </c>
      <c r="B529" s="1" t="n">
        <v>44774</v>
      </c>
      <c r="C529" s="1" t="n">
        <v>45840</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31380-2022</t>
        </is>
      </c>
      <c r="B530" s="1" t="n">
        <v>44774</v>
      </c>
      <c r="C530" s="1" t="n">
        <v>45840</v>
      </c>
      <c r="D530" t="inlineStr">
        <is>
          <t>VÄSTMANLANDS LÄN</t>
        </is>
      </c>
      <c r="E530" t="inlineStr">
        <is>
          <t>SALA</t>
        </is>
      </c>
      <c r="G530" t="n">
        <v>4.7</v>
      </c>
      <c r="H530" t="n">
        <v>0</v>
      </c>
      <c r="I530" t="n">
        <v>0</v>
      </c>
      <c r="J530" t="n">
        <v>0</v>
      </c>
      <c r="K530" t="n">
        <v>0</v>
      </c>
      <c r="L530" t="n">
        <v>0</v>
      </c>
      <c r="M530" t="n">
        <v>0</v>
      </c>
      <c r="N530" t="n">
        <v>0</v>
      </c>
      <c r="O530" t="n">
        <v>0</v>
      </c>
      <c r="P530" t="n">
        <v>0</v>
      </c>
      <c r="Q530" t="n">
        <v>0</v>
      </c>
      <c r="R530" s="2" t="inlineStr"/>
    </row>
    <row r="531" ht="15" customHeight="1">
      <c r="A531" t="inlineStr">
        <is>
          <t>A 31387-2022</t>
        </is>
      </c>
      <c r="B531" s="1" t="n">
        <v>44774</v>
      </c>
      <c r="C531" s="1" t="n">
        <v>45840</v>
      </c>
      <c r="D531" t="inlineStr">
        <is>
          <t>VÄSTMANLANDS LÄN</t>
        </is>
      </c>
      <c r="E531" t="inlineStr">
        <is>
          <t>SALA</t>
        </is>
      </c>
      <c r="G531" t="n">
        <v>5.8</v>
      </c>
      <c r="H531" t="n">
        <v>0</v>
      </c>
      <c r="I531" t="n">
        <v>0</v>
      </c>
      <c r="J531" t="n">
        <v>0</v>
      </c>
      <c r="K531" t="n">
        <v>0</v>
      </c>
      <c r="L531" t="n">
        <v>0</v>
      </c>
      <c r="M531" t="n">
        <v>0</v>
      </c>
      <c r="N531" t="n">
        <v>0</v>
      </c>
      <c r="O531" t="n">
        <v>0</v>
      </c>
      <c r="P531" t="n">
        <v>0</v>
      </c>
      <c r="Q531" t="n">
        <v>0</v>
      </c>
      <c r="R531" s="2" t="inlineStr"/>
    </row>
    <row r="532" ht="15" customHeight="1">
      <c r="A532" t="inlineStr">
        <is>
          <t>A 31394-2022</t>
        </is>
      </c>
      <c r="B532" s="1" t="n">
        <v>44774</v>
      </c>
      <c r="C532" s="1" t="n">
        <v>45840</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33309-2022</t>
        </is>
      </c>
      <c r="B533" s="1" t="n">
        <v>44788</v>
      </c>
      <c r="C533" s="1" t="n">
        <v>45840</v>
      </c>
      <c r="D533" t="inlineStr">
        <is>
          <t>VÄSTMANLANDS LÄN</t>
        </is>
      </c>
      <c r="E533" t="inlineStr">
        <is>
          <t>SALA</t>
        </is>
      </c>
      <c r="G533" t="n">
        <v>2.6</v>
      </c>
      <c r="H533" t="n">
        <v>0</v>
      </c>
      <c r="I533" t="n">
        <v>0</v>
      </c>
      <c r="J533" t="n">
        <v>0</v>
      </c>
      <c r="K533" t="n">
        <v>0</v>
      </c>
      <c r="L533" t="n">
        <v>0</v>
      </c>
      <c r="M533" t="n">
        <v>0</v>
      </c>
      <c r="N533" t="n">
        <v>0</v>
      </c>
      <c r="O533" t="n">
        <v>0</v>
      </c>
      <c r="P533" t="n">
        <v>0</v>
      </c>
      <c r="Q533" t="n">
        <v>0</v>
      </c>
      <c r="R533" s="2" t="inlineStr"/>
    </row>
    <row r="534" ht="15" customHeight="1">
      <c r="A534" t="inlineStr">
        <is>
          <t>A 34110-2022</t>
        </is>
      </c>
      <c r="B534" s="1" t="n">
        <v>44791</v>
      </c>
      <c r="C534" s="1" t="n">
        <v>45840</v>
      </c>
      <c r="D534" t="inlineStr">
        <is>
          <t>VÄSTMANLANDS LÄN</t>
        </is>
      </c>
      <c r="E534" t="inlineStr">
        <is>
          <t>SALA</t>
        </is>
      </c>
      <c r="G534" t="n">
        <v>0.2</v>
      </c>
      <c r="H534" t="n">
        <v>0</v>
      </c>
      <c r="I534" t="n">
        <v>0</v>
      </c>
      <c r="J534" t="n">
        <v>0</v>
      </c>
      <c r="K534" t="n">
        <v>0</v>
      </c>
      <c r="L534" t="n">
        <v>0</v>
      </c>
      <c r="M534" t="n">
        <v>0</v>
      </c>
      <c r="N534" t="n">
        <v>0</v>
      </c>
      <c r="O534" t="n">
        <v>0</v>
      </c>
      <c r="P534" t="n">
        <v>0</v>
      </c>
      <c r="Q534" t="n">
        <v>0</v>
      </c>
      <c r="R534" s="2" t="inlineStr"/>
    </row>
    <row r="535" ht="15" customHeight="1">
      <c r="A535" t="inlineStr">
        <is>
          <t>A 34468-2022</t>
        </is>
      </c>
      <c r="B535" s="1" t="n">
        <v>44792</v>
      </c>
      <c r="C535" s="1" t="n">
        <v>45840</v>
      </c>
      <c r="D535" t="inlineStr">
        <is>
          <t>VÄSTMANLANDS LÄN</t>
        </is>
      </c>
      <c r="E535" t="inlineStr">
        <is>
          <t>SALA</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34737-2022</t>
        </is>
      </c>
      <c r="B536" s="1" t="n">
        <v>44795</v>
      </c>
      <c r="C536" s="1" t="n">
        <v>45840</v>
      </c>
      <c r="D536" t="inlineStr">
        <is>
          <t>VÄSTMANLANDS LÄN</t>
        </is>
      </c>
      <c r="E536" t="inlineStr">
        <is>
          <t>SALA</t>
        </is>
      </c>
      <c r="G536" t="n">
        <v>1.3</v>
      </c>
      <c r="H536" t="n">
        <v>0</v>
      </c>
      <c r="I536" t="n">
        <v>0</v>
      </c>
      <c r="J536" t="n">
        <v>0</v>
      </c>
      <c r="K536" t="n">
        <v>0</v>
      </c>
      <c r="L536" t="n">
        <v>0</v>
      </c>
      <c r="M536" t="n">
        <v>0</v>
      </c>
      <c r="N536" t="n">
        <v>0</v>
      </c>
      <c r="O536" t="n">
        <v>0</v>
      </c>
      <c r="P536" t="n">
        <v>0</v>
      </c>
      <c r="Q536" t="n">
        <v>0</v>
      </c>
      <c r="R536" s="2" t="inlineStr"/>
    </row>
    <row r="537" ht="15" customHeight="1">
      <c r="A537" t="inlineStr">
        <is>
          <t>A 35410-2022</t>
        </is>
      </c>
      <c r="B537" s="1" t="n">
        <v>44798</v>
      </c>
      <c r="C537" s="1" t="n">
        <v>45840</v>
      </c>
      <c r="D537" t="inlineStr">
        <is>
          <t>VÄSTMANLANDS LÄN</t>
        </is>
      </c>
      <c r="E537" t="inlineStr">
        <is>
          <t>SALA</t>
        </is>
      </c>
      <c r="G537" t="n">
        <v>1.6</v>
      </c>
      <c r="H537" t="n">
        <v>0</v>
      </c>
      <c r="I537" t="n">
        <v>0</v>
      </c>
      <c r="J537" t="n">
        <v>0</v>
      </c>
      <c r="K537" t="n">
        <v>0</v>
      </c>
      <c r="L537" t="n">
        <v>0</v>
      </c>
      <c r="M537" t="n">
        <v>0</v>
      </c>
      <c r="N537" t="n">
        <v>0</v>
      </c>
      <c r="O537" t="n">
        <v>0</v>
      </c>
      <c r="P537" t="n">
        <v>0</v>
      </c>
      <c r="Q537" t="n">
        <v>0</v>
      </c>
      <c r="R537" s="2" t="inlineStr"/>
    </row>
    <row r="538" ht="15" customHeight="1">
      <c r="A538" t="inlineStr">
        <is>
          <t>A 35637-2022</t>
        </is>
      </c>
      <c r="B538" s="1" t="n">
        <v>44799</v>
      </c>
      <c r="C538" s="1" t="n">
        <v>45840</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38081-2022</t>
        </is>
      </c>
      <c r="B539" s="1" t="n">
        <v>44811</v>
      </c>
      <c r="C539" s="1" t="n">
        <v>45840</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38161-2022</t>
        </is>
      </c>
      <c r="B540" s="1" t="n">
        <v>44812</v>
      </c>
      <c r="C540" s="1" t="n">
        <v>45840</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39451-2022</t>
        </is>
      </c>
      <c r="B541" s="1" t="n">
        <v>44818</v>
      </c>
      <c r="C541" s="1" t="n">
        <v>45840</v>
      </c>
      <c r="D541" t="inlineStr">
        <is>
          <t>VÄSTMANLANDS LÄN</t>
        </is>
      </c>
      <c r="E541" t="inlineStr">
        <is>
          <t>SALA</t>
        </is>
      </c>
      <c r="G541" t="n">
        <v>9.4</v>
      </c>
      <c r="H541" t="n">
        <v>0</v>
      </c>
      <c r="I541" t="n">
        <v>0</v>
      </c>
      <c r="J541" t="n">
        <v>0</v>
      </c>
      <c r="K541" t="n">
        <v>0</v>
      </c>
      <c r="L541" t="n">
        <v>0</v>
      </c>
      <c r="M541" t="n">
        <v>0</v>
      </c>
      <c r="N541" t="n">
        <v>0</v>
      </c>
      <c r="O541" t="n">
        <v>0</v>
      </c>
      <c r="P541" t="n">
        <v>0</v>
      </c>
      <c r="Q541" t="n">
        <v>0</v>
      </c>
      <c r="R541" s="2" t="inlineStr"/>
    </row>
    <row r="542" ht="15" customHeight="1">
      <c r="A542" t="inlineStr">
        <is>
          <t>A 39600-2022</t>
        </is>
      </c>
      <c r="B542" s="1" t="n">
        <v>44818</v>
      </c>
      <c r="C542" s="1" t="n">
        <v>45840</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39597-2022</t>
        </is>
      </c>
      <c r="B543" s="1" t="n">
        <v>44818</v>
      </c>
      <c r="C543" s="1" t="n">
        <v>45840</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40094-2022</t>
        </is>
      </c>
      <c r="B544" s="1" t="n">
        <v>44819</v>
      </c>
      <c r="C544" s="1" t="n">
        <v>45840</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40113-2022</t>
        </is>
      </c>
      <c r="B545" s="1" t="n">
        <v>44819</v>
      </c>
      <c r="C545" s="1" t="n">
        <v>45840</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40405-2022</t>
        </is>
      </c>
      <c r="B546" s="1" t="n">
        <v>44823</v>
      </c>
      <c r="C546" s="1" t="n">
        <v>45840</v>
      </c>
      <c r="D546" t="inlineStr">
        <is>
          <t>VÄSTMANLANDS LÄN</t>
        </is>
      </c>
      <c r="E546" t="inlineStr">
        <is>
          <t>SALA</t>
        </is>
      </c>
      <c r="G546" t="n">
        <v>2.6</v>
      </c>
      <c r="H546" t="n">
        <v>0</v>
      </c>
      <c r="I546" t="n">
        <v>0</v>
      </c>
      <c r="J546" t="n">
        <v>0</v>
      </c>
      <c r="K546" t="n">
        <v>0</v>
      </c>
      <c r="L546" t="n">
        <v>0</v>
      </c>
      <c r="M546" t="n">
        <v>0</v>
      </c>
      <c r="N546" t="n">
        <v>0</v>
      </c>
      <c r="O546" t="n">
        <v>0</v>
      </c>
      <c r="P546" t="n">
        <v>0</v>
      </c>
      <c r="Q546" t="n">
        <v>0</v>
      </c>
      <c r="R546" s="2" t="inlineStr"/>
    </row>
    <row r="547" ht="15" customHeight="1">
      <c r="A547" t="inlineStr">
        <is>
          <t>A 40597-2022</t>
        </is>
      </c>
      <c r="B547" s="1" t="n">
        <v>44823</v>
      </c>
      <c r="C547" s="1" t="n">
        <v>45840</v>
      </c>
      <c r="D547" t="inlineStr">
        <is>
          <t>VÄSTMANLANDS LÄN</t>
        </is>
      </c>
      <c r="E547" t="inlineStr">
        <is>
          <t>SALA</t>
        </is>
      </c>
      <c r="G547" t="n">
        <v>3.5</v>
      </c>
      <c r="H547" t="n">
        <v>0</v>
      </c>
      <c r="I547" t="n">
        <v>0</v>
      </c>
      <c r="J547" t="n">
        <v>0</v>
      </c>
      <c r="K547" t="n">
        <v>0</v>
      </c>
      <c r="L547" t="n">
        <v>0</v>
      </c>
      <c r="M547" t="n">
        <v>0</v>
      </c>
      <c r="N547" t="n">
        <v>0</v>
      </c>
      <c r="O547" t="n">
        <v>0</v>
      </c>
      <c r="P547" t="n">
        <v>0</v>
      </c>
      <c r="Q547" t="n">
        <v>0</v>
      </c>
      <c r="R547" s="2" t="inlineStr"/>
    </row>
    <row r="548" ht="15" customHeight="1">
      <c r="A548" t="inlineStr">
        <is>
          <t>A 41567-2022</t>
        </is>
      </c>
      <c r="B548" s="1" t="n">
        <v>44827</v>
      </c>
      <c r="C548" s="1" t="n">
        <v>45840</v>
      </c>
      <c r="D548" t="inlineStr">
        <is>
          <t>VÄSTMANLANDS LÄN</t>
        </is>
      </c>
      <c r="E548" t="inlineStr">
        <is>
          <t>SALA</t>
        </is>
      </c>
      <c r="F548" t="inlineStr">
        <is>
          <t>Bergvik skog öst AB</t>
        </is>
      </c>
      <c r="G548" t="n">
        <v>3.9</v>
      </c>
      <c r="H548" t="n">
        <v>0</v>
      </c>
      <c r="I548" t="n">
        <v>0</v>
      </c>
      <c r="J548" t="n">
        <v>0</v>
      </c>
      <c r="K548" t="n">
        <v>0</v>
      </c>
      <c r="L548" t="n">
        <v>0</v>
      </c>
      <c r="M548" t="n">
        <v>0</v>
      </c>
      <c r="N548" t="n">
        <v>0</v>
      </c>
      <c r="O548" t="n">
        <v>0</v>
      </c>
      <c r="P548" t="n">
        <v>0</v>
      </c>
      <c r="Q548" t="n">
        <v>0</v>
      </c>
      <c r="R548" s="2" t="inlineStr"/>
    </row>
    <row r="549" ht="15" customHeight="1">
      <c r="A549" t="inlineStr">
        <is>
          <t>A 41876-2022</t>
        </is>
      </c>
      <c r="B549" s="1" t="n">
        <v>44830</v>
      </c>
      <c r="C549" s="1" t="n">
        <v>45840</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42416-2022</t>
        </is>
      </c>
      <c r="B550" s="1" t="n">
        <v>44831</v>
      </c>
      <c r="C550" s="1" t="n">
        <v>45840</v>
      </c>
      <c r="D550" t="inlineStr">
        <is>
          <t>VÄSTMANLANDS LÄN</t>
        </is>
      </c>
      <c r="E550" t="inlineStr">
        <is>
          <t>SALA</t>
        </is>
      </c>
      <c r="G550" t="n">
        <v>2.2</v>
      </c>
      <c r="H550" t="n">
        <v>0</v>
      </c>
      <c r="I550" t="n">
        <v>0</v>
      </c>
      <c r="J550" t="n">
        <v>0</v>
      </c>
      <c r="K550" t="n">
        <v>0</v>
      </c>
      <c r="L550" t="n">
        <v>0</v>
      </c>
      <c r="M550" t="n">
        <v>0</v>
      </c>
      <c r="N550" t="n">
        <v>0</v>
      </c>
      <c r="O550" t="n">
        <v>0</v>
      </c>
      <c r="P550" t="n">
        <v>0</v>
      </c>
      <c r="Q550" t="n">
        <v>0</v>
      </c>
      <c r="R550" s="2" t="inlineStr"/>
    </row>
    <row r="551" ht="15" customHeight="1">
      <c r="A551" t="inlineStr">
        <is>
          <t>A 42447-2022</t>
        </is>
      </c>
      <c r="B551" s="1" t="n">
        <v>44831</v>
      </c>
      <c r="C551" s="1" t="n">
        <v>45840</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42414-2022</t>
        </is>
      </c>
      <c r="B552" s="1" t="n">
        <v>44831</v>
      </c>
      <c r="C552" s="1" t="n">
        <v>45840</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c r="U552">
        <f>HYPERLINK("https://klasma.github.io/Logging_1981/knärot/A 42414-2022 karta knärot.png", "A 42414-2022")</f>
        <v/>
      </c>
      <c r="V552">
        <f>HYPERLINK("https://klasma.github.io/Logging_1981/klagomål/A 42414-2022 FSC-klagomål.docx", "A 42414-2022")</f>
        <v/>
      </c>
      <c r="W552">
        <f>HYPERLINK("https://klasma.github.io/Logging_1981/klagomålsmail/A 42414-2022 FSC-klagomål mail.docx", "A 42414-2022")</f>
        <v/>
      </c>
      <c r="X552">
        <f>HYPERLINK("https://klasma.github.io/Logging_1981/tillsyn/A 42414-2022 tillsynsbegäran.docx", "A 42414-2022")</f>
        <v/>
      </c>
      <c r="Y552">
        <f>HYPERLINK("https://klasma.github.io/Logging_1981/tillsynsmail/A 42414-2022 tillsynsbegäran mail.docx", "A 42414-2022")</f>
        <v/>
      </c>
    </row>
    <row r="553" ht="15" customHeight="1">
      <c r="A553" t="inlineStr">
        <is>
          <t>A 43103-2022</t>
        </is>
      </c>
      <c r="B553" s="1" t="n">
        <v>44833</v>
      </c>
      <c r="C553" s="1" t="n">
        <v>45840</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43101-2022</t>
        </is>
      </c>
      <c r="B554" s="1" t="n">
        <v>44833</v>
      </c>
      <c r="C554" s="1" t="n">
        <v>45840</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44217-2022</t>
        </is>
      </c>
      <c r="B555" s="1" t="n">
        <v>44839</v>
      </c>
      <c r="C555" s="1" t="n">
        <v>45840</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44318-2022</t>
        </is>
      </c>
      <c r="B556" s="1" t="n">
        <v>44839</v>
      </c>
      <c r="C556" s="1" t="n">
        <v>45840</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44224-2022</t>
        </is>
      </c>
      <c r="B557" s="1" t="n">
        <v>44839</v>
      </c>
      <c r="C557" s="1" t="n">
        <v>45840</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44892-2022</t>
        </is>
      </c>
      <c r="B558" s="1" t="n">
        <v>44841</v>
      </c>
      <c r="C558" s="1" t="n">
        <v>45840</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45015-2022</t>
        </is>
      </c>
      <c r="B559" s="1" t="n">
        <v>44841</v>
      </c>
      <c r="C559" s="1" t="n">
        <v>45840</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44935-2022</t>
        </is>
      </c>
      <c r="B560" s="1" t="n">
        <v>44841</v>
      </c>
      <c r="C560" s="1" t="n">
        <v>45840</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45309-2022</t>
        </is>
      </c>
      <c r="B561" s="1" t="n">
        <v>44844</v>
      </c>
      <c r="C561" s="1" t="n">
        <v>45840</v>
      </c>
      <c r="D561" t="inlineStr">
        <is>
          <t>VÄSTMANLANDS LÄN</t>
        </is>
      </c>
      <c r="E561" t="inlineStr">
        <is>
          <t>SALA</t>
        </is>
      </c>
      <c r="G561" t="n">
        <v>10.9</v>
      </c>
      <c r="H561" t="n">
        <v>0</v>
      </c>
      <c r="I561" t="n">
        <v>0</v>
      </c>
      <c r="J561" t="n">
        <v>0</v>
      </c>
      <c r="K561" t="n">
        <v>0</v>
      </c>
      <c r="L561" t="n">
        <v>0</v>
      </c>
      <c r="M561" t="n">
        <v>0</v>
      </c>
      <c r="N561" t="n">
        <v>0</v>
      </c>
      <c r="O561" t="n">
        <v>0</v>
      </c>
      <c r="P561" t="n">
        <v>0</v>
      </c>
      <c r="Q561" t="n">
        <v>0</v>
      </c>
      <c r="R561" s="2" t="inlineStr"/>
    </row>
    <row r="562" ht="15" customHeight="1">
      <c r="A562" t="inlineStr">
        <is>
          <t>A 45517-2022</t>
        </is>
      </c>
      <c r="B562" s="1" t="n">
        <v>44845</v>
      </c>
      <c r="C562" s="1" t="n">
        <v>45840</v>
      </c>
      <c r="D562" t="inlineStr">
        <is>
          <t>VÄSTMANLANDS LÄN</t>
        </is>
      </c>
      <c r="E562" t="inlineStr">
        <is>
          <t>SALA</t>
        </is>
      </c>
      <c r="G562" t="n">
        <v>2.2</v>
      </c>
      <c r="H562" t="n">
        <v>0</v>
      </c>
      <c r="I562" t="n">
        <v>0</v>
      </c>
      <c r="J562" t="n">
        <v>0</v>
      </c>
      <c r="K562" t="n">
        <v>0</v>
      </c>
      <c r="L562" t="n">
        <v>0</v>
      </c>
      <c r="M562" t="n">
        <v>0</v>
      </c>
      <c r="N562" t="n">
        <v>0</v>
      </c>
      <c r="O562" t="n">
        <v>0</v>
      </c>
      <c r="P562" t="n">
        <v>0</v>
      </c>
      <c r="Q562" t="n">
        <v>0</v>
      </c>
      <c r="R562" s="2" t="inlineStr"/>
    </row>
    <row r="563" ht="15" customHeight="1">
      <c r="A563" t="inlineStr">
        <is>
          <t>A 45615-2022</t>
        </is>
      </c>
      <c r="B563" s="1" t="n">
        <v>44845</v>
      </c>
      <c r="C563" s="1" t="n">
        <v>45840</v>
      </c>
      <c r="D563" t="inlineStr">
        <is>
          <t>VÄSTMANLANDS LÄN</t>
        </is>
      </c>
      <c r="E563" t="inlineStr">
        <is>
          <t>SALA</t>
        </is>
      </c>
      <c r="F563" t="inlineStr">
        <is>
          <t>Bergvik skog öst AB</t>
        </is>
      </c>
      <c r="G563" t="n">
        <v>10</v>
      </c>
      <c r="H563" t="n">
        <v>0</v>
      </c>
      <c r="I563" t="n">
        <v>0</v>
      </c>
      <c r="J563" t="n">
        <v>0</v>
      </c>
      <c r="K563" t="n">
        <v>0</v>
      </c>
      <c r="L563" t="n">
        <v>0</v>
      </c>
      <c r="M563" t="n">
        <v>0</v>
      </c>
      <c r="N563" t="n">
        <v>0</v>
      </c>
      <c r="O563" t="n">
        <v>0</v>
      </c>
      <c r="P563" t="n">
        <v>0</v>
      </c>
      <c r="Q563" t="n">
        <v>0</v>
      </c>
      <c r="R563" s="2" t="inlineStr"/>
    </row>
    <row r="564" ht="15" customHeight="1">
      <c r="A564" t="inlineStr">
        <is>
          <t>A 46264-2022</t>
        </is>
      </c>
      <c r="B564" s="1" t="n">
        <v>44847</v>
      </c>
      <c r="C564" s="1" t="n">
        <v>45840</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46460-2022</t>
        </is>
      </c>
      <c r="B565" s="1" t="n">
        <v>44848</v>
      </c>
      <c r="C565" s="1" t="n">
        <v>45840</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47086-2022</t>
        </is>
      </c>
      <c r="B566" s="1" t="n">
        <v>44852</v>
      </c>
      <c r="C566" s="1" t="n">
        <v>45840</v>
      </c>
      <c r="D566" t="inlineStr">
        <is>
          <t>VÄSTMANLANDS LÄN</t>
        </is>
      </c>
      <c r="E566" t="inlineStr">
        <is>
          <t>SALA</t>
        </is>
      </c>
      <c r="G566" t="n">
        <v>12.5</v>
      </c>
      <c r="H566" t="n">
        <v>0</v>
      </c>
      <c r="I566" t="n">
        <v>0</v>
      </c>
      <c r="J566" t="n">
        <v>0</v>
      </c>
      <c r="K566" t="n">
        <v>0</v>
      </c>
      <c r="L566" t="n">
        <v>0</v>
      </c>
      <c r="M566" t="n">
        <v>0</v>
      </c>
      <c r="N566" t="n">
        <v>0</v>
      </c>
      <c r="O566" t="n">
        <v>0</v>
      </c>
      <c r="P566" t="n">
        <v>0</v>
      </c>
      <c r="Q566" t="n">
        <v>0</v>
      </c>
      <c r="R566" s="2" t="inlineStr"/>
    </row>
    <row r="567" ht="15" customHeight="1">
      <c r="A567" t="inlineStr">
        <is>
          <t>A 47713-2022</t>
        </is>
      </c>
      <c r="B567" s="1" t="n">
        <v>44854</v>
      </c>
      <c r="C567" s="1" t="n">
        <v>45840</v>
      </c>
      <c r="D567" t="inlineStr">
        <is>
          <t>VÄSTMANLANDS LÄN</t>
        </is>
      </c>
      <c r="E567" t="inlineStr">
        <is>
          <t>SALA</t>
        </is>
      </c>
      <c r="G567" t="n">
        <v>3.4</v>
      </c>
      <c r="H567" t="n">
        <v>0</v>
      </c>
      <c r="I567" t="n">
        <v>0</v>
      </c>
      <c r="J567" t="n">
        <v>0</v>
      </c>
      <c r="K567" t="n">
        <v>0</v>
      </c>
      <c r="L567" t="n">
        <v>0</v>
      </c>
      <c r="M567" t="n">
        <v>0</v>
      </c>
      <c r="N567" t="n">
        <v>0</v>
      </c>
      <c r="O567" t="n">
        <v>0</v>
      </c>
      <c r="P567" t="n">
        <v>0</v>
      </c>
      <c r="Q567" t="n">
        <v>0</v>
      </c>
      <c r="R567" s="2" t="inlineStr"/>
    </row>
    <row r="568" ht="15" customHeight="1">
      <c r="A568" t="inlineStr">
        <is>
          <t>A 47715-2022</t>
        </is>
      </c>
      <c r="B568" s="1" t="n">
        <v>44854</v>
      </c>
      <c r="C568" s="1" t="n">
        <v>45840</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47909-2022</t>
        </is>
      </c>
      <c r="B569" s="1" t="n">
        <v>44855</v>
      </c>
      <c r="C569" s="1" t="n">
        <v>45840</v>
      </c>
      <c r="D569" t="inlineStr">
        <is>
          <t>VÄSTMANLANDS LÄN</t>
        </is>
      </c>
      <c r="E569" t="inlineStr">
        <is>
          <t>SALA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48219-2022</t>
        </is>
      </c>
      <c r="B570" s="1" t="n">
        <v>44858</v>
      </c>
      <c r="C570" s="1" t="n">
        <v>45840</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49086-2022</t>
        </is>
      </c>
      <c r="B571" s="1" t="n">
        <v>44860</v>
      </c>
      <c r="C571" s="1" t="n">
        <v>45840</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49254-2022</t>
        </is>
      </c>
      <c r="B572" s="1" t="n">
        <v>44861</v>
      </c>
      <c r="C572" s="1" t="n">
        <v>45840</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50461-2022</t>
        </is>
      </c>
      <c r="B573" s="1" t="n">
        <v>44861</v>
      </c>
      <c r="C573" s="1" t="n">
        <v>45840</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50479-2022</t>
        </is>
      </c>
      <c r="B574" s="1" t="n">
        <v>44861</v>
      </c>
      <c r="C574" s="1" t="n">
        <v>45840</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51279-2022</t>
        </is>
      </c>
      <c r="B575" s="1" t="n">
        <v>44866</v>
      </c>
      <c r="C575" s="1" t="n">
        <v>45840</v>
      </c>
      <c r="D575" t="inlineStr">
        <is>
          <t>VÄSTMANLANDS LÄN</t>
        </is>
      </c>
      <c r="E575" t="inlineStr">
        <is>
          <t>SALA</t>
        </is>
      </c>
      <c r="G575" t="n">
        <v>3.9</v>
      </c>
      <c r="H575" t="n">
        <v>0</v>
      </c>
      <c r="I575" t="n">
        <v>0</v>
      </c>
      <c r="J575" t="n">
        <v>0</v>
      </c>
      <c r="K575" t="n">
        <v>0</v>
      </c>
      <c r="L575" t="n">
        <v>0</v>
      </c>
      <c r="M575" t="n">
        <v>0</v>
      </c>
      <c r="N575" t="n">
        <v>0</v>
      </c>
      <c r="O575" t="n">
        <v>0</v>
      </c>
      <c r="P575" t="n">
        <v>0</v>
      </c>
      <c r="Q575" t="n">
        <v>0</v>
      </c>
      <c r="R575" s="2" t="inlineStr"/>
    </row>
    <row r="576" ht="15" customHeight="1">
      <c r="A576" t="inlineStr">
        <is>
          <t>A 51377-2022</t>
        </is>
      </c>
      <c r="B576" s="1" t="n">
        <v>44866</v>
      </c>
      <c r="C576" s="1" t="n">
        <v>45840</v>
      </c>
      <c r="D576" t="inlineStr">
        <is>
          <t>VÄSTMANLANDS LÄN</t>
        </is>
      </c>
      <c r="E576" t="inlineStr">
        <is>
          <t>SALA</t>
        </is>
      </c>
      <c r="G576" t="n">
        <v>6.3</v>
      </c>
      <c r="H576" t="n">
        <v>0</v>
      </c>
      <c r="I576" t="n">
        <v>0</v>
      </c>
      <c r="J576" t="n">
        <v>0</v>
      </c>
      <c r="K576" t="n">
        <v>0</v>
      </c>
      <c r="L576" t="n">
        <v>0</v>
      </c>
      <c r="M576" t="n">
        <v>0</v>
      </c>
      <c r="N576" t="n">
        <v>0</v>
      </c>
      <c r="O576" t="n">
        <v>0</v>
      </c>
      <c r="P576" t="n">
        <v>0</v>
      </c>
      <c r="Q576" t="n">
        <v>0</v>
      </c>
      <c r="R576" s="2" t="inlineStr"/>
    </row>
    <row r="577" ht="15" customHeight="1">
      <c r="A577" t="inlineStr">
        <is>
          <t>A 50795-2022</t>
        </is>
      </c>
      <c r="B577" s="1" t="n">
        <v>44867</v>
      </c>
      <c r="C577" s="1" t="n">
        <v>45840</v>
      </c>
      <c r="D577" t="inlineStr">
        <is>
          <t>VÄSTMANLANDS LÄN</t>
        </is>
      </c>
      <c r="E577" t="inlineStr">
        <is>
          <t>SALA</t>
        </is>
      </c>
      <c r="G577" t="n">
        <v>2.6</v>
      </c>
      <c r="H577" t="n">
        <v>0</v>
      </c>
      <c r="I577" t="n">
        <v>0</v>
      </c>
      <c r="J577" t="n">
        <v>0</v>
      </c>
      <c r="K577" t="n">
        <v>0</v>
      </c>
      <c r="L577" t="n">
        <v>0</v>
      </c>
      <c r="M577" t="n">
        <v>0</v>
      </c>
      <c r="N577" t="n">
        <v>0</v>
      </c>
      <c r="O577" t="n">
        <v>0</v>
      </c>
      <c r="P577" t="n">
        <v>0</v>
      </c>
      <c r="Q577" t="n">
        <v>0</v>
      </c>
      <c r="R577" s="2" t="inlineStr"/>
    </row>
    <row r="578" ht="15" customHeight="1">
      <c r="A578" t="inlineStr">
        <is>
          <t>A 51600-2022</t>
        </is>
      </c>
      <c r="B578" s="1" t="n">
        <v>44871</v>
      </c>
      <c r="C578" s="1" t="n">
        <v>45840</v>
      </c>
      <c r="D578" t="inlineStr">
        <is>
          <t>VÄSTMANLANDS LÄN</t>
        </is>
      </c>
      <c r="E578" t="inlineStr">
        <is>
          <t>SALA</t>
        </is>
      </c>
      <c r="F578" t="inlineStr">
        <is>
          <t>Bergvik skog öst AB</t>
        </is>
      </c>
      <c r="G578" t="n">
        <v>2.7</v>
      </c>
      <c r="H578" t="n">
        <v>0</v>
      </c>
      <c r="I578" t="n">
        <v>0</v>
      </c>
      <c r="J578" t="n">
        <v>0</v>
      </c>
      <c r="K578" t="n">
        <v>0</v>
      </c>
      <c r="L578" t="n">
        <v>0</v>
      </c>
      <c r="M578" t="n">
        <v>0</v>
      </c>
      <c r="N578" t="n">
        <v>0</v>
      </c>
      <c r="O578" t="n">
        <v>0</v>
      </c>
      <c r="P578" t="n">
        <v>0</v>
      </c>
      <c r="Q578" t="n">
        <v>0</v>
      </c>
      <c r="R578" s="2" t="inlineStr"/>
    </row>
    <row r="579" ht="15" customHeight="1">
      <c r="A579" t="inlineStr">
        <is>
          <t>A 51596-2022</t>
        </is>
      </c>
      <c r="B579" s="1" t="n">
        <v>44871</v>
      </c>
      <c r="C579" s="1" t="n">
        <v>45840</v>
      </c>
      <c r="D579" t="inlineStr">
        <is>
          <t>VÄSTMANLANDS LÄN</t>
        </is>
      </c>
      <c r="E579" t="inlineStr">
        <is>
          <t>SALA</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52504-2022</t>
        </is>
      </c>
      <c r="B580" s="1" t="n">
        <v>44874</v>
      </c>
      <c r="C580" s="1" t="n">
        <v>45840</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52498-2022</t>
        </is>
      </c>
      <c r="B581" s="1" t="n">
        <v>44874</v>
      </c>
      <c r="C581" s="1" t="n">
        <v>45840</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52630-2022</t>
        </is>
      </c>
      <c r="B582" s="1" t="n">
        <v>44874</v>
      </c>
      <c r="C582" s="1" t="n">
        <v>45840</v>
      </c>
      <c r="D582" t="inlineStr">
        <is>
          <t>VÄSTMANLANDS LÄN</t>
        </is>
      </c>
      <c r="E582" t="inlineStr">
        <is>
          <t>SALA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53425-2022</t>
        </is>
      </c>
      <c r="B583" s="1" t="n">
        <v>44879</v>
      </c>
      <c r="C583" s="1" t="n">
        <v>45840</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53432-2022</t>
        </is>
      </c>
      <c r="B584" s="1" t="n">
        <v>44879</v>
      </c>
      <c r="C584" s="1" t="n">
        <v>45840</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v>
      </c>
      <c r="C585" s="1" t="n">
        <v>45840</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v>
      </c>
      <c r="C586" s="1" t="n">
        <v>45840</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53864-2022</t>
        </is>
      </c>
      <c r="B587" s="1" t="n">
        <v>44880</v>
      </c>
      <c r="C587" s="1" t="n">
        <v>45840</v>
      </c>
      <c r="D587" t="inlineStr">
        <is>
          <t>VÄSTMANLANDS LÄN</t>
        </is>
      </c>
      <c r="E587" t="inlineStr">
        <is>
          <t>SALA</t>
        </is>
      </c>
      <c r="G587" t="n">
        <v>5.9</v>
      </c>
      <c r="H587" t="n">
        <v>0</v>
      </c>
      <c r="I587" t="n">
        <v>0</v>
      </c>
      <c r="J587" t="n">
        <v>0</v>
      </c>
      <c r="K587" t="n">
        <v>0</v>
      </c>
      <c r="L587" t="n">
        <v>0</v>
      </c>
      <c r="M587" t="n">
        <v>0</v>
      </c>
      <c r="N587" t="n">
        <v>0</v>
      </c>
      <c r="O587" t="n">
        <v>0</v>
      </c>
      <c r="P587" t="n">
        <v>0</v>
      </c>
      <c r="Q587" t="n">
        <v>0</v>
      </c>
      <c r="R587" s="2" t="inlineStr"/>
    </row>
    <row r="588" ht="15" customHeight="1">
      <c r="A588" t="inlineStr">
        <is>
          <t>A 53735-2022</t>
        </is>
      </c>
      <c r="B588" s="1" t="n">
        <v>44880</v>
      </c>
      <c r="C588" s="1" t="n">
        <v>45840</v>
      </c>
      <c r="D588" t="inlineStr">
        <is>
          <t>VÄSTMANLANDS LÄN</t>
        </is>
      </c>
      <c r="E588" t="inlineStr">
        <is>
          <t>SALA</t>
        </is>
      </c>
      <c r="F588" t="inlineStr">
        <is>
          <t>Bergvik skog öst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53838-2022</t>
        </is>
      </c>
      <c r="B589" s="1" t="n">
        <v>44880</v>
      </c>
      <c r="C589" s="1" t="n">
        <v>45840</v>
      </c>
      <c r="D589" t="inlineStr">
        <is>
          <t>VÄSTMANLANDS LÄN</t>
        </is>
      </c>
      <c r="E589" t="inlineStr">
        <is>
          <t>SALA</t>
        </is>
      </c>
      <c r="G589" t="n">
        <v>3.9</v>
      </c>
      <c r="H589" t="n">
        <v>0</v>
      </c>
      <c r="I589" t="n">
        <v>0</v>
      </c>
      <c r="J589" t="n">
        <v>0</v>
      </c>
      <c r="K589" t="n">
        <v>0</v>
      </c>
      <c r="L589" t="n">
        <v>0</v>
      </c>
      <c r="M589" t="n">
        <v>0</v>
      </c>
      <c r="N589" t="n">
        <v>0</v>
      </c>
      <c r="O589" t="n">
        <v>0</v>
      </c>
      <c r="P589" t="n">
        <v>0</v>
      </c>
      <c r="Q589" t="n">
        <v>0</v>
      </c>
      <c r="R589" s="2" t="inlineStr"/>
    </row>
    <row r="590" ht="15" customHeight="1">
      <c r="A590" t="inlineStr">
        <is>
          <t>A 53997-2022</t>
        </is>
      </c>
      <c r="B590" s="1" t="n">
        <v>44881</v>
      </c>
      <c r="C590" s="1" t="n">
        <v>45840</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55733-2022</t>
        </is>
      </c>
      <c r="B591" s="1" t="n">
        <v>44888</v>
      </c>
      <c r="C591" s="1" t="n">
        <v>45840</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56089-2022</t>
        </is>
      </c>
      <c r="B592" s="1" t="n">
        <v>44889</v>
      </c>
      <c r="C592" s="1" t="n">
        <v>45840</v>
      </c>
      <c r="D592" t="inlineStr">
        <is>
          <t>VÄSTMANLANDS LÄN</t>
        </is>
      </c>
      <c r="E592" t="inlineStr">
        <is>
          <t>SALA</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56088-2022</t>
        </is>
      </c>
      <c r="B593" s="1" t="n">
        <v>44889</v>
      </c>
      <c r="C593" s="1" t="n">
        <v>45840</v>
      </c>
      <c r="D593" t="inlineStr">
        <is>
          <t>VÄSTMANLANDS LÄN</t>
        </is>
      </c>
      <c r="E593" t="inlineStr">
        <is>
          <t>SALA</t>
        </is>
      </c>
      <c r="F593" t="inlineStr">
        <is>
          <t>Sveaskog</t>
        </is>
      </c>
      <c r="G593" t="n">
        <v>4.5</v>
      </c>
      <c r="H593" t="n">
        <v>0</v>
      </c>
      <c r="I593" t="n">
        <v>0</v>
      </c>
      <c r="J593" t="n">
        <v>0</v>
      </c>
      <c r="K593" t="n">
        <v>0</v>
      </c>
      <c r="L593" t="n">
        <v>0</v>
      </c>
      <c r="M593" t="n">
        <v>0</v>
      </c>
      <c r="N593" t="n">
        <v>0</v>
      </c>
      <c r="O593" t="n">
        <v>0</v>
      </c>
      <c r="P593" t="n">
        <v>0</v>
      </c>
      <c r="Q593" t="n">
        <v>0</v>
      </c>
      <c r="R593" s="2" t="inlineStr"/>
    </row>
    <row r="594" ht="15" customHeight="1">
      <c r="A594" t="inlineStr">
        <is>
          <t>A 56234-2022</t>
        </is>
      </c>
      <c r="B594" s="1" t="n">
        <v>44890</v>
      </c>
      <c r="C594" s="1" t="n">
        <v>45840</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56242-2022</t>
        </is>
      </c>
      <c r="B595" s="1" t="n">
        <v>44890</v>
      </c>
      <c r="C595" s="1" t="n">
        <v>45840</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56535-2022</t>
        </is>
      </c>
      <c r="B596" s="1" t="n">
        <v>44893</v>
      </c>
      <c r="C596" s="1" t="n">
        <v>45840</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56706-2022</t>
        </is>
      </c>
      <c r="B597" s="1" t="n">
        <v>44893</v>
      </c>
      <c r="C597" s="1" t="n">
        <v>45840</v>
      </c>
      <c r="D597" t="inlineStr">
        <is>
          <t>VÄSTMANLANDS LÄN</t>
        </is>
      </c>
      <c r="E597" t="inlineStr">
        <is>
          <t>SALA</t>
        </is>
      </c>
      <c r="G597" t="n">
        <v>4.5</v>
      </c>
      <c r="H597" t="n">
        <v>0</v>
      </c>
      <c r="I597" t="n">
        <v>0</v>
      </c>
      <c r="J597" t="n">
        <v>0</v>
      </c>
      <c r="K597" t="n">
        <v>0</v>
      </c>
      <c r="L597" t="n">
        <v>0</v>
      </c>
      <c r="M597" t="n">
        <v>0</v>
      </c>
      <c r="N597" t="n">
        <v>0</v>
      </c>
      <c r="O597" t="n">
        <v>0</v>
      </c>
      <c r="P597" t="n">
        <v>0</v>
      </c>
      <c r="Q597" t="n">
        <v>0</v>
      </c>
      <c r="R597" s="2" t="inlineStr"/>
    </row>
    <row r="598" ht="15" customHeight="1">
      <c r="A598" t="inlineStr">
        <is>
          <t>A 56547-2022</t>
        </is>
      </c>
      <c r="B598" s="1" t="n">
        <v>44893</v>
      </c>
      <c r="C598" s="1" t="n">
        <v>45840</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56707-2022</t>
        </is>
      </c>
      <c r="B599" s="1" t="n">
        <v>44893</v>
      </c>
      <c r="C599" s="1" t="n">
        <v>45840</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56977-2022</t>
        </is>
      </c>
      <c r="B600" s="1" t="n">
        <v>44894</v>
      </c>
      <c r="C600" s="1" t="n">
        <v>45840</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57371-2022</t>
        </is>
      </c>
      <c r="B601" s="1" t="n">
        <v>44896</v>
      </c>
      <c r="C601" s="1" t="n">
        <v>45840</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58076-2022</t>
        </is>
      </c>
      <c r="B602" s="1" t="n">
        <v>44900</v>
      </c>
      <c r="C602" s="1" t="n">
        <v>45840</v>
      </c>
      <c r="D602" t="inlineStr">
        <is>
          <t>VÄSTMANLANDS LÄN</t>
        </is>
      </c>
      <c r="E602" t="inlineStr">
        <is>
          <t>SALA</t>
        </is>
      </c>
      <c r="G602" t="n">
        <v>6.4</v>
      </c>
      <c r="H602" t="n">
        <v>0</v>
      </c>
      <c r="I602" t="n">
        <v>0</v>
      </c>
      <c r="J602" t="n">
        <v>0</v>
      </c>
      <c r="K602" t="n">
        <v>0</v>
      </c>
      <c r="L602" t="n">
        <v>0</v>
      </c>
      <c r="M602" t="n">
        <v>0</v>
      </c>
      <c r="N602" t="n">
        <v>0</v>
      </c>
      <c r="O602" t="n">
        <v>0</v>
      </c>
      <c r="P602" t="n">
        <v>0</v>
      </c>
      <c r="Q602" t="n">
        <v>0</v>
      </c>
      <c r="R602" s="2" t="inlineStr"/>
    </row>
    <row r="603" ht="15" customHeight="1">
      <c r="A603" t="inlineStr">
        <is>
          <t>A 58496-2022</t>
        </is>
      </c>
      <c r="B603" s="1" t="n">
        <v>44902</v>
      </c>
      <c r="C603" s="1" t="n">
        <v>45840</v>
      </c>
      <c r="D603" t="inlineStr">
        <is>
          <t>VÄSTMANLANDS LÄN</t>
        </is>
      </c>
      <c r="E603" t="inlineStr">
        <is>
          <t>SALA</t>
        </is>
      </c>
      <c r="G603" t="n">
        <v>5.9</v>
      </c>
      <c r="H603" t="n">
        <v>0</v>
      </c>
      <c r="I603" t="n">
        <v>0</v>
      </c>
      <c r="J603" t="n">
        <v>0</v>
      </c>
      <c r="K603" t="n">
        <v>0</v>
      </c>
      <c r="L603" t="n">
        <v>0</v>
      </c>
      <c r="M603" t="n">
        <v>0</v>
      </c>
      <c r="N603" t="n">
        <v>0</v>
      </c>
      <c r="O603" t="n">
        <v>0</v>
      </c>
      <c r="P603" t="n">
        <v>0</v>
      </c>
      <c r="Q603" t="n">
        <v>0</v>
      </c>
      <c r="R603" s="2" t="inlineStr"/>
    </row>
    <row r="604" ht="15" customHeight="1">
      <c r="A604" t="inlineStr">
        <is>
          <t>A 58502-2022</t>
        </is>
      </c>
      <c r="B604" s="1" t="n">
        <v>44902</v>
      </c>
      <c r="C604" s="1" t="n">
        <v>45840</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59019-2022</t>
        </is>
      </c>
      <c r="B605" s="1" t="n">
        <v>44903</v>
      </c>
      <c r="C605" s="1" t="n">
        <v>45840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59175-2022</t>
        </is>
      </c>
      <c r="B606" s="1" t="n">
        <v>44904</v>
      </c>
      <c r="C606" s="1" t="n">
        <v>45840</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59483-2022</t>
        </is>
      </c>
      <c r="B607" s="1" t="n">
        <v>44907</v>
      </c>
      <c r="C607" s="1" t="n">
        <v>45840</v>
      </c>
      <c r="D607" t="inlineStr">
        <is>
          <t>VÄSTMANLANDS LÄN</t>
        </is>
      </c>
      <c r="E607" t="inlineStr">
        <is>
          <t>SALA</t>
        </is>
      </c>
      <c r="G607" t="n">
        <v>5.2</v>
      </c>
      <c r="H607" t="n">
        <v>0</v>
      </c>
      <c r="I607" t="n">
        <v>0</v>
      </c>
      <c r="J607" t="n">
        <v>0</v>
      </c>
      <c r="K607" t="n">
        <v>0</v>
      </c>
      <c r="L607" t="n">
        <v>0</v>
      </c>
      <c r="M607" t="n">
        <v>0</v>
      </c>
      <c r="N607" t="n">
        <v>0</v>
      </c>
      <c r="O607" t="n">
        <v>0</v>
      </c>
      <c r="P607" t="n">
        <v>0</v>
      </c>
      <c r="Q607" t="n">
        <v>0</v>
      </c>
      <c r="R607" s="2" t="inlineStr"/>
    </row>
    <row r="608" ht="15" customHeight="1">
      <c r="A608" t="inlineStr">
        <is>
          <t>A 60156-2022</t>
        </is>
      </c>
      <c r="B608" s="1" t="n">
        <v>44909</v>
      </c>
      <c r="C608" s="1" t="n">
        <v>45840</v>
      </c>
      <c r="D608" t="inlineStr">
        <is>
          <t>VÄSTMANLANDS LÄN</t>
        </is>
      </c>
      <c r="E608" t="inlineStr">
        <is>
          <t>SALA</t>
        </is>
      </c>
      <c r="G608" t="n">
        <v>3.4</v>
      </c>
      <c r="H608" t="n">
        <v>0</v>
      </c>
      <c r="I608" t="n">
        <v>0</v>
      </c>
      <c r="J608" t="n">
        <v>0</v>
      </c>
      <c r="K608" t="n">
        <v>0</v>
      </c>
      <c r="L608" t="n">
        <v>0</v>
      </c>
      <c r="M608" t="n">
        <v>0</v>
      </c>
      <c r="N608" t="n">
        <v>0</v>
      </c>
      <c r="O608" t="n">
        <v>0</v>
      </c>
      <c r="P608" t="n">
        <v>0</v>
      </c>
      <c r="Q608" t="n">
        <v>0</v>
      </c>
      <c r="R608" s="2" t="inlineStr"/>
    </row>
    <row r="609" ht="15" customHeight="1">
      <c r="A609" t="inlineStr">
        <is>
          <t>A 60379-2022</t>
        </is>
      </c>
      <c r="B609" s="1" t="n">
        <v>44910</v>
      </c>
      <c r="C609" s="1" t="n">
        <v>45840</v>
      </c>
      <c r="D609" t="inlineStr">
        <is>
          <t>VÄSTMANLANDS LÄN</t>
        </is>
      </c>
      <c r="E609" t="inlineStr">
        <is>
          <t>SALA</t>
        </is>
      </c>
      <c r="F609" t="inlineStr">
        <is>
          <t>Kyrkan</t>
        </is>
      </c>
      <c r="G609" t="n">
        <v>2.5</v>
      </c>
      <c r="H609" t="n">
        <v>0</v>
      </c>
      <c r="I609" t="n">
        <v>0</v>
      </c>
      <c r="J609" t="n">
        <v>0</v>
      </c>
      <c r="K609" t="n">
        <v>0</v>
      </c>
      <c r="L609" t="n">
        <v>0</v>
      </c>
      <c r="M609" t="n">
        <v>0</v>
      </c>
      <c r="N609" t="n">
        <v>0</v>
      </c>
      <c r="O609" t="n">
        <v>0</v>
      </c>
      <c r="P609" t="n">
        <v>0</v>
      </c>
      <c r="Q609" t="n">
        <v>0</v>
      </c>
      <c r="R609" s="2" t="inlineStr"/>
    </row>
    <row r="610" ht="15" customHeight="1">
      <c r="A610" t="inlineStr">
        <is>
          <t>A 60703-2022</t>
        </is>
      </c>
      <c r="B610" s="1" t="n">
        <v>44912</v>
      </c>
      <c r="C610" s="1" t="n">
        <v>45840</v>
      </c>
      <c r="D610" t="inlineStr">
        <is>
          <t>VÄSTMANLANDS LÄN</t>
        </is>
      </c>
      <c r="E610" t="inlineStr">
        <is>
          <t>SALA</t>
        </is>
      </c>
      <c r="G610" t="n">
        <v>4.6</v>
      </c>
      <c r="H610" t="n">
        <v>0</v>
      </c>
      <c r="I610" t="n">
        <v>0</v>
      </c>
      <c r="J610" t="n">
        <v>0</v>
      </c>
      <c r="K610" t="n">
        <v>0</v>
      </c>
      <c r="L610" t="n">
        <v>0</v>
      </c>
      <c r="M610" t="n">
        <v>0</v>
      </c>
      <c r="N610" t="n">
        <v>0</v>
      </c>
      <c r="O610" t="n">
        <v>0</v>
      </c>
      <c r="P610" t="n">
        <v>0</v>
      </c>
      <c r="Q610" t="n">
        <v>0</v>
      </c>
      <c r="R610" s="2" t="inlineStr"/>
    </row>
    <row r="611" ht="15" customHeight="1">
      <c r="A611" t="inlineStr">
        <is>
          <t>A 60974-2022</t>
        </is>
      </c>
      <c r="B611" s="1" t="n">
        <v>44914</v>
      </c>
      <c r="C611" s="1" t="n">
        <v>45840</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62635-2022</t>
        </is>
      </c>
      <c r="B612" s="1" t="n">
        <v>44917</v>
      </c>
      <c r="C612" s="1" t="n">
        <v>45840</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62654-2022</t>
        </is>
      </c>
      <c r="B613" s="1" t="n">
        <v>44917</v>
      </c>
      <c r="C613" s="1" t="n">
        <v>45840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62651-2022</t>
        </is>
      </c>
      <c r="B614" s="1" t="n">
        <v>44917</v>
      </c>
      <c r="C614" s="1" t="n">
        <v>45840</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62648-2022</t>
        </is>
      </c>
      <c r="B615" s="1" t="n">
        <v>44917</v>
      </c>
      <c r="C615" s="1" t="n">
        <v>45840</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61985-2022</t>
        </is>
      </c>
      <c r="B616" s="1" t="n">
        <v>44918</v>
      </c>
      <c r="C616" s="1" t="n">
        <v>45840</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62292-2022</t>
        </is>
      </c>
      <c r="B617" s="1" t="n">
        <v>44923</v>
      </c>
      <c r="C617" s="1" t="n">
        <v>45840</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62300-2022</t>
        </is>
      </c>
      <c r="B618" s="1" t="n">
        <v>44923</v>
      </c>
      <c r="C618" s="1" t="n">
        <v>45840</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1196-2023</t>
        </is>
      </c>
      <c r="B619" s="1" t="n">
        <v>44935</v>
      </c>
      <c r="C619" s="1" t="n">
        <v>45840</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1638-2023</t>
        </is>
      </c>
      <c r="B620" s="1" t="n">
        <v>44937</v>
      </c>
      <c r="C620" s="1" t="n">
        <v>45840</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1793-2023</t>
        </is>
      </c>
      <c r="B621" s="1" t="n">
        <v>44937</v>
      </c>
      <c r="C621" s="1" t="n">
        <v>45840</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1934-2023</t>
        </is>
      </c>
      <c r="B622" s="1" t="n">
        <v>44939</v>
      </c>
      <c r="C622" s="1" t="n">
        <v>45840</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1967-2023</t>
        </is>
      </c>
      <c r="B623" s="1" t="n">
        <v>44939</v>
      </c>
      <c r="C623" s="1" t="n">
        <v>45840</v>
      </c>
      <c r="D623" t="inlineStr">
        <is>
          <t>VÄSTMANLANDS LÄN</t>
        </is>
      </c>
      <c r="E623" t="inlineStr">
        <is>
          <t>SALA</t>
        </is>
      </c>
      <c r="G623" t="n">
        <v>4.1</v>
      </c>
      <c r="H623" t="n">
        <v>0</v>
      </c>
      <c r="I623" t="n">
        <v>0</v>
      </c>
      <c r="J623" t="n">
        <v>0</v>
      </c>
      <c r="K623" t="n">
        <v>0</v>
      </c>
      <c r="L623" t="n">
        <v>0</v>
      </c>
      <c r="M623" t="n">
        <v>0</v>
      </c>
      <c r="N623" t="n">
        <v>0</v>
      </c>
      <c r="O623" t="n">
        <v>0</v>
      </c>
      <c r="P623" t="n">
        <v>0</v>
      </c>
      <c r="Q623" t="n">
        <v>0</v>
      </c>
      <c r="R623" s="2" t="inlineStr"/>
    </row>
    <row r="624" ht="15" customHeight="1">
      <c r="A624" t="inlineStr">
        <is>
          <t>A 2521-2023</t>
        </is>
      </c>
      <c r="B624" s="1" t="n">
        <v>44943</v>
      </c>
      <c r="C624" s="1" t="n">
        <v>45840</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2900-2023</t>
        </is>
      </c>
      <c r="B625" s="1" t="n">
        <v>44943</v>
      </c>
      <c r="C625" s="1" t="n">
        <v>45840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3733-2023</t>
        </is>
      </c>
      <c r="B626" s="1" t="n">
        <v>44951</v>
      </c>
      <c r="C626" s="1" t="n">
        <v>45840</v>
      </c>
      <c r="D626" t="inlineStr">
        <is>
          <t>VÄSTMANLANDS LÄN</t>
        </is>
      </c>
      <c r="E626" t="inlineStr">
        <is>
          <t>SALA</t>
        </is>
      </c>
      <c r="G626" t="n">
        <v>3.1</v>
      </c>
      <c r="H626" t="n">
        <v>0</v>
      </c>
      <c r="I626" t="n">
        <v>0</v>
      </c>
      <c r="J626" t="n">
        <v>0</v>
      </c>
      <c r="K626" t="n">
        <v>0</v>
      </c>
      <c r="L626" t="n">
        <v>0</v>
      </c>
      <c r="M626" t="n">
        <v>0</v>
      </c>
      <c r="N626" t="n">
        <v>0</v>
      </c>
      <c r="O626" t="n">
        <v>0</v>
      </c>
      <c r="P626" t="n">
        <v>0</v>
      </c>
      <c r="Q626" t="n">
        <v>0</v>
      </c>
      <c r="R626" s="2" t="inlineStr"/>
    </row>
    <row r="627" ht="15" customHeight="1">
      <c r="A627" t="inlineStr">
        <is>
          <t>A 3810-2023</t>
        </is>
      </c>
      <c r="B627" s="1" t="n">
        <v>44951</v>
      </c>
      <c r="C627" s="1" t="n">
        <v>45840</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3866-2023</t>
        </is>
      </c>
      <c r="B628" s="1" t="n">
        <v>44951</v>
      </c>
      <c r="C628" s="1" t="n">
        <v>45840</v>
      </c>
      <c r="D628" t="inlineStr">
        <is>
          <t>VÄSTMANLANDS LÄN</t>
        </is>
      </c>
      <c r="E628" t="inlineStr">
        <is>
          <t>SALA</t>
        </is>
      </c>
      <c r="G628" t="n">
        <v>1.7</v>
      </c>
      <c r="H628" t="n">
        <v>0</v>
      </c>
      <c r="I628" t="n">
        <v>0</v>
      </c>
      <c r="J628" t="n">
        <v>0</v>
      </c>
      <c r="K628" t="n">
        <v>0</v>
      </c>
      <c r="L628" t="n">
        <v>0</v>
      </c>
      <c r="M628" t="n">
        <v>0</v>
      </c>
      <c r="N628" t="n">
        <v>0</v>
      </c>
      <c r="O628" t="n">
        <v>0</v>
      </c>
      <c r="P628" t="n">
        <v>0</v>
      </c>
      <c r="Q628" t="n">
        <v>0</v>
      </c>
      <c r="R628" s="2" t="inlineStr"/>
    </row>
    <row r="629" ht="15" customHeight="1">
      <c r="A629" t="inlineStr">
        <is>
          <t>A 4853-2023</t>
        </is>
      </c>
      <c r="B629" s="1" t="n">
        <v>44957</v>
      </c>
      <c r="C629" s="1" t="n">
        <v>45840</v>
      </c>
      <c r="D629" t="inlineStr">
        <is>
          <t>VÄSTMANLANDS LÄN</t>
        </is>
      </c>
      <c r="E629" t="inlineStr">
        <is>
          <t>SALA</t>
        </is>
      </c>
      <c r="G629" t="n">
        <v>2.7</v>
      </c>
      <c r="H629" t="n">
        <v>0</v>
      </c>
      <c r="I629" t="n">
        <v>0</v>
      </c>
      <c r="J629" t="n">
        <v>0</v>
      </c>
      <c r="K629" t="n">
        <v>0</v>
      </c>
      <c r="L629" t="n">
        <v>0</v>
      </c>
      <c r="M629" t="n">
        <v>0</v>
      </c>
      <c r="N629" t="n">
        <v>0</v>
      </c>
      <c r="O629" t="n">
        <v>0</v>
      </c>
      <c r="P629" t="n">
        <v>0</v>
      </c>
      <c r="Q629" t="n">
        <v>0</v>
      </c>
      <c r="R629" s="2" t="inlineStr"/>
    </row>
    <row r="630" ht="15" customHeight="1">
      <c r="A630" t="inlineStr">
        <is>
          <t>A 4637-2023</t>
        </is>
      </c>
      <c r="B630" s="1" t="n">
        <v>44957</v>
      </c>
      <c r="C630" s="1" t="n">
        <v>45840</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4791-2023</t>
        </is>
      </c>
      <c r="B631" s="1" t="n">
        <v>44957</v>
      </c>
      <c r="C631" s="1" t="n">
        <v>45840</v>
      </c>
      <c r="D631" t="inlineStr">
        <is>
          <t>VÄSTMANLANDS LÄN</t>
        </is>
      </c>
      <c r="E631" t="inlineStr">
        <is>
          <t>SALA</t>
        </is>
      </c>
      <c r="G631" t="n">
        <v>2.8</v>
      </c>
      <c r="H631" t="n">
        <v>0</v>
      </c>
      <c r="I631" t="n">
        <v>0</v>
      </c>
      <c r="J631" t="n">
        <v>0</v>
      </c>
      <c r="K631" t="n">
        <v>0</v>
      </c>
      <c r="L631" t="n">
        <v>0</v>
      </c>
      <c r="M631" t="n">
        <v>0</v>
      </c>
      <c r="N631" t="n">
        <v>0</v>
      </c>
      <c r="O631" t="n">
        <v>0</v>
      </c>
      <c r="P631" t="n">
        <v>0</v>
      </c>
      <c r="Q631" t="n">
        <v>0</v>
      </c>
      <c r="R631" s="2" t="inlineStr"/>
    </row>
    <row r="632" ht="15" customHeight="1">
      <c r="A632" t="inlineStr">
        <is>
          <t>A 4797-2023</t>
        </is>
      </c>
      <c r="B632" s="1" t="n">
        <v>44957</v>
      </c>
      <c r="C632" s="1" t="n">
        <v>45840</v>
      </c>
      <c r="D632" t="inlineStr">
        <is>
          <t>VÄSTMANLANDS LÄN</t>
        </is>
      </c>
      <c r="E632" t="inlineStr">
        <is>
          <t>SALA</t>
        </is>
      </c>
      <c r="G632" t="n">
        <v>5.7</v>
      </c>
      <c r="H632" t="n">
        <v>0</v>
      </c>
      <c r="I632" t="n">
        <v>0</v>
      </c>
      <c r="J632" t="n">
        <v>0</v>
      </c>
      <c r="K632" t="n">
        <v>0</v>
      </c>
      <c r="L632" t="n">
        <v>0</v>
      </c>
      <c r="M632" t="n">
        <v>0</v>
      </c>
      <c r="N632" t="n">
        <v>0</v>
      </c>
      <c r="O632" t="n">
        <v>0</v>
      </c>
      <c r="P632" t="n">
        <v>0</v>
      </c>
      <c r="Q632" t="n">
        <v>0</v>
      </c>
      <c r="R632" s="2" t="inlineStr"/>
    </row>
    <row r="633" ht="15" customHeight="1">
      <c r="A633" t="inlineStr">
        <is>
          <t>A 4852-2023</t>
        </is>
      </c>
      <c r="B633" s="1" t="n">
        <v>44957</v>
      </c>
      <c r="C633" s="1" t="n">
        <v>45840</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5782-2023</t>
        </is>
      </c>
      <c r="B634" s="1" t="n">
        <v>44963</v>
      </c>
      <c r="C634" s="1" t="n">
        <v>45840</v>
      </c>
      <c r="D634" t="inlineStr">
        <is>
          <t>VÄSTMANLANDS LÄN</t>
        </is>
      </c>
      <c r="E634" t="inlineStr">
        <is>
          <t>SALA</t>
        </is>
      </c>
      <c r="G634" t="n">
        <v>4.2</v>
      </c>
      <c r="H634" t="n">
        <v>0</v>
      </c>
      <c r="I634" t="n">
        <v>0</v>
      </c>
      <c r="J634" t="n">
        <v>0</v>
      </c>
      <c r="K634" t="n">
        <v>0</v>
      </c>
      <c r="L634" t="n">
        <v>0</v>
      </c>
      <c r="M634" t="n">
        <v>0</v>
      </c>
      <c r="N634" t="n">
        <v>0</v>
      </c>
      <c r="O634" t="n">
        <v>0</v>
      </c>
      <c r="P634" t="n">
        <v>0</v>
      </c>
      <c r="Q634" t="n">
        <v>0</v>
      </c>
      <c r="R634" s="2" t="inlineStr"/>
    </row>
    <row r="635" ht="15" customHeight="1">
      <c r="A635" t="inlineStr">
        <is>
          <t>A 6111-2023</t>
        </is>
      </c>
      <c r="B635" s="1" t="n">
        <v>44964</v>
      </c>
      <c r="C635" s="1" t="n">
        <v>45840</v>
      </c>
      <c r="D635" t="inlineStr">
        <is>
          <t>VÄSTMANLANDS LÄN</t>
        </is>
      </c>
      <c r="E635" t="inlineStr">
        <is>
          <t>SALA</t>
        </is>
      </c>
      <c r="G635" t="n">
        <v>3.7</v>
      </c>
      <c r="H635" t="n">
        <v>0</v>
      </c>
      <c r="I635" t="n">
        <v>0</v>
      </c>
      <c r="J635" t="n">
        <v>0</v>
      </c>
      <c r="K635" t="n">
        <v>0</v>
      </c>
      <c r="L635" t="n">
        <v>0</v>
      </c>
      <c r="M635" t="n">
        <v>0</v>
      </c>
      <c r="N635" t="n">
        <v>0</v>
      </c>
      <c r="O635" t="n">
        <v>0</v>
      </c>
      <c r="P635" t="n">
        <v>0</v>
      </c>
      <c r="Q635" t="n">
        <v>0</v>
      </c>
      <c r="R635" s="2" t="inlineStr"/>
    </row>
    <row r="636" ht="15" customHeight="1">
      <c r="A636" t="inlineStr">
        <is>
          <t>A 6135-2023</t>
        </is>
      </c>
      <c r="B636" s="1" t="n">
        <v>44964</v>
      </c>
      <c r="C636" s="1" t="n">
        <v>45840</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6167-2023</t>
        </is>
      </c>
      <c r="B637" s="1" t="n">
        <v>44964</v>
      </c>
      <c r="C637" s="1" t="n">
        <v>45840</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6130-2023</t>
        </is>
      </c>
      <c r="B638" s="1" t="n">
        <v>44964</v>
      </c>
      <c r="C638" s="1" t="n">
        <v>45840</v>
      </c>
      <c r="D638" t="inlineStr">
        <is>
          <t>VÄSTMANLANDS LÄN</t>
        </is>
      </c>
      <c r="E638" t="inlineStr">
        <is>
          <t>SALA</t>
        </is>
      </c>
      <c r="G638" t="n">
        <v>8</v>
      </c>
      <c r="H638" t="n">
        <v>0</v>
      </c>
      <c r="I638" t="n">
        <v>0</v>
      </c>
      <c r="J638" t="n">
        <v>0</v>
      </c>
      <c r="K638" t="n">
        <v>0</v>
      </c>
      <c r="L638" t="n">
        <v>0</v>
      </c>
      <c r="M638" t="n">
        <v>0</v>
      </c>
      <c r="N638" t="n">
        <v>0</v>
      </c>
      <c r="O638" t="n">
        <v>0</v>
      </c>
      <c r="P638" t="n">
        <v>0</v>
      </c>
      <c r="Q638" t="n">
        <v>0</v>
      </c>
      <c r="R638" s="2" t="inlineStr"/>
    </row>
    <row r="639" ht="15" customHeight="1">
      <c r="A639" t="inlineStr">
        <is>
          <t>A 6116-2023</t>
        </is>
      </c>
      <c r="B639" s="1" t="n">
        <v>44964</v>
      </c>
      <c r="C639" s="1" t="n">
        <v>45840</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6139-2023</t>
        </is>
      </c>
      <c r="B640" s="1" t="n">
        <v>44964</v>
      </c>
      <c r="C640" s="1" t="n">
        <v>45840</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6869-2023</t>
        </is>
      </c>
      <c r="B641" s="1" t="n">
        <v>44964</v>
      </c>
      <c r="C641" s="1" t="n">
        <v>45840</v>
      </c>
      <c r="D641" t="inlineStr">
        <is>
          <t>VÄSTMANLANDS LÄN</t>
        </is>
      </c>
      <c r="E641" t="inlineStr">
        <is>
          <t>SALA</t>
        </is>
      </c>
      <c r="G641" t="n">
        <v>11.6</v>
      </c>
      <c r="H641" t="n">
        <v>0</v>
      </c>
      <c r="I641" t="n">
        <v>0</v>
      </c>
      <c r="J641" t="n">
        <v>0</v>
      </c>
      <c r="K641" t="n">
        <v>0</v>
      </c>
      <c r="L641" t="n">
        <v>0</v>
      </c>
      <c r="M641" t="n">
        <v>0</v>
      </c>
      <c r="N641" t="n">
        <v>0</v>
      </c>
      <c r="O641" t="n">
        <v>0</v>
      </c>
      <c r="P641" t="n">
        <v>0</v>
      </c>
      <c r="Q641" t="n">
        <v>0</v>
      </c>
      <c r="R641" s="2" t="inlineStr"/>
    </row>
    <row r="642" ht="15" customHeight="1">
      <c r="A642" t="inlineStr">
        <is>
          <t>A 6351-2023</t>
        </is>
      </c>
      <c r="B642" s="1" t="n">
        <v>44965</v>
      </c>
      <c r="C642" s="1" t="n">
        <v>45840</v>
      </c>
      <c r="D642" t="inlineStr">
        <is>
          <t>VÄSTMANLANDS LÄN</t>
        </is>
      </c>
      <c r="E642" t="inlineStr">
        <is>
          <t>SALA</t>
        </is>
      </c>
      <c r="F642" t="inlineStr">
        <is>
          <t>Kommuner</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6851-2023</t>
        </is>
      </c>
      <c r="B643" s="1" t="n">
        <v>44967</v>
      </c>
      <c r="C643" s="1" t="n">
        <v>45840</v>
      </c>
      <c r="D643" t="inlineStr">
        <is>
          <t>VÄSTMANLANDS LÄN</t>
        </is>
      </c>
      <c r="E643" t="inlineStr">
        <is>
          <t>SALA</t>
        </is>
      </c>
      <c r="G643" t="n">
        <v>2.7</v>
      </c>
      <c r="H643" t="n">
        <v>0</v>
      </c>
      <c r="I643" t="n">
        <v>0</v>
      </c>
      <c r="J643" t="n">
        <v>0</v>
      </c>
      <c r="K643" t="n">
        <v>0</v>
      </c>
      <c r="L643" t="n">
        <v>0</v>
      </c>
      <c r="M643" t="n">
        <v>0</v>
      </c>
      <c r="N643" t="n">
        <v>0</v>
      </c>
      <c r="O643" t="n">
        <v>0</v>
      </c>
      <c r="P643" t="n">
        <v>0</v>
      </c>
      <c r="Q643" t="n">
        <v>0</v>
      </c>
      <c r="R643" s="2" t="inlineStr"/>
    </row>
    <row r="644" ht="15" customHeight="1">
      <c r="A644" t="inlineStr">
        <is>
          <t>A 7176-2023</t>
        </is>
      </c>
      <c r="B644" s="1" t="n">
        <v>44970</v>
      </c>
      <c r="C644" s="1" t="n">
        <v>45840</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7193-2023</t>
        </is>
      </c>
      <c r="B645" s="1" t="n">
        <v>44970</v>
      </c>
      <c r="C645" s="1" t="n">
        <v>45840</v>
      </c>
      <c r="D645" t="inlineStr">
        <is>
          <t>VÄSTMANLANDS LÄN</t>
        </is>
      </c>
      <c r="E645" t="inlineStr">
        <is>
          <t>SALA</t>
        </is>
      </c>
      <c r="G645" t="n">
        <v>2.5</v>
      </c>
      <c r="H645" t="n">
        <v>0</v>
      </c>
      <c r="I645" t="n">
        <v>0</v>
      </c>
      <c r="J645" t="n">
        <v>0</v>
      </c>
      <c r="K645" t="n">
        <v>0</v>
      </c>
      <c r="L645" t="n">
        <v>0</v>
      </c>
      <c r="M645" t="n">
        <v>0</v>
      </c>
      <c r="N645" t="n">
        <v>0</v>
      </c>
      <c r="O645" t="n">
        <v>0</v>
      </c>
      <c r="P645" t="n">
        <v>0</v>
      </c>
      <c r="Q645" t="n">
        <v>0</v>
      </c>
      <c r="R645" s="2" t="inlineStr"/>
    </row>
    <row r="646" ht="15" customHeight="1">
      <c r="A646" t="inlineStr">
        <is>
          <t>A 7954-2023</t>
        </is>
      </c>
      <c r="B646" s="1" t="n">
        <v>44970</v>
      </c>
      <c r="C646" s="1" t="n">
        <v>45840</v>
      </c>
      <c r="D646" t="inlineStr">
        <is>
          <t>VÄSTMANLANDS LÄN</t>
        </is>
      </c>
      <c r="E646" t="inlineStr">
        <is>
          <t>SALA</t>
        </is>
      </c>
      <c r="G646" t="n">
        <v>1.6</v>
      </c>
      <c r="H646" t="n">
        <v>0</v>
      </c>
      <c r="I646" t="n">
        <v>0</v>
      </c>
      <c r="J646" t="n">
        <v>0</v>
      </c>
      <c r="K646" t="n">
        <v>0</v>
      </c>
      <c r="L646" t="n">
        <v>0</v>
      </c>
      <c r="M646" t="n">
        <v>0</v>
      </c>
      <c r="N646" t="n">
        <v>0</v>
      </c>
      <c r="O646" t="n">
        <v>0</v>
      </c>
      <c r="P646" t="n">
        <v>0</v>
      </c>
      <c r="Q646" t="n">
        <v>0</v>
      </c>
      <c r="R646" s="2" t="inlineStr"/>
    </row>
    <row r="647" ht="15" customHeight="1">
      <c r="A647" t="inlineStr">
        <is>
          <t>A 7377-2023</t>
        </is>
      </c>
      <c r="B647" s="1" t="n">
        <v>44971</v>
      </c>
      <c r="C647" s="1" t="n">
        <v>45840</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7351-2023</t>
        </is>
      </c>
      <c r="B648" s="1" t="n">
        <v>44971</v>
      </c>
      <c r="C648" s="1" t="n">
        <v>45840</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7502-2023</t>
        </is>
      </c>
      <c r="B649" s="1" t="n">
        <v>44971</v>
      </c>
      <c r="C649" s="1" t="n">
        <v>45840</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7664-2023</t>
        </is>
      </c>
      <c r="B650" s="1" t="n">
        <v>44972</v>
      </c>
      <c r="C650" s="1" t="n">
        <v>45840</v>
      </c>
      <c r="D650" t="inlineStr">
        <is>
          <t>VÄSTMANLANDS LÄN</t>
        </is>
      </c>
      <c r="E650" t="inlineStr">
        <is>
          <t>SALA</t>
        </is>
      </c>
      <c r="G650" t="n">
        <v>1.4</v>
      </c>
      <c r="H650" t="n">
        <v>0</v>
      </c>
      <c r="I650" t="n">
        <v>0</v>
      </c>
      <c r="J650" t="n">
        <v>0</v>
      </c>
      <c r="K650" t="n">
        <v>0</v>
      </c>
      <c r="L650" t="n">
        <v>0</v>
      </c>
      <c r="M650" t="n">
        <v>0</v>
      </c>
      <c r="N650" t="n">
        <v>0</v>
      </c>
      <c r="O650" t="n">
        <v>0</v>
      </c>
      <c r="P650" t="n">
        <v>0</v>
      </c>
      <c r="Q650" t="n">
        <v>0</v>
      </c>
      <c r="R650" s="2" t="inlineStr"/>
    </row>
    <row r="651" ht="15" customHeight="1">
      <c r="A651" t="inlineStr">
        <is>
          <t>A 7635-2023</t>
        </is>
      </c>
      <c r="B651" s="1" t="n">
        <v>44972</v>
      </c>
      <c r="C651" s="1" t="n">
        <v>45840</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7772-2023</t>
        </is>
      </c>
      <c r="B652" s="1" t="n">
        <v>44973</v>
      </c>
      <c r="C652" s="1" t="n">
        <v>45840</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7813-2023</t>
        </is>
      </c>
      <c r="B653" s="1" t="n">
        <v>44973</v>
      </c>
      <c r="C653" s="1" t="n">
        <v>45840</v>
      </c>
      <c r="D653" t="inlineStr">
        <is>
          <t>VÄSTMANLANDS LÄN</t>
        </is>
      </c>
      <c r="E653" t="inlineStr">
        <is>
          <t>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8047-2023</t>
        </is>
      </c>
      <c r="B654" s="1" t="n">
        <v>44974</v>
      </c>
      <c r="C654" s="1" t="n">
        <v>45840</v>
      </c>
      <c r="D654" t="inlineStr">
        <is>
          <t>VÄSTMANLANDS LÄN</t>
        </is>
      </c>
      <c r="E654" t="inlineStr">
        <is>
          <t>SALA</t>
        </is>
      </c>
      <c r="G654" t="n">
        <v>17.4</v>
      </c>
      <c r="H654" t="n">
        <v>0</v>
      </c>
      <c r="I654" t="n">
        <v>0</v>
      </c>
      <c r="J654" t="n">
        <v>0</v>
      </c>
      <c r="K654" t="n">
        <v>0</v>
      </c>
      <c r="L654" t="n">
        <v>0</v>
      </c>
      <c r="M654" t="n">
        <v>0</v>
      </c>
      <c r="N654" t="n">
        <v>0</v>
      </c>
      <c r="O654" t="n">
        <v>0</v>
      </c>
      <c r="P654" t="n">
        <v>0</v>
      </c>
      <c r="Q654" t="n">
        <v>0</v>
      </c>
      <c r="R654" s="2" t="inlineStr"/>
    </row>
    <row r="655" ht="15" customHeight="1">
      <c r="A655" t="inlineStr">
        <is>
          <t>A 8766-2023</t>
        </is>
      </c>
      <c r="B655" s="1" t="n">
        <v>44978</v>
      </c>
      <c r="C655" s="1" t="n">
        <v>45840</v>
      </c>
      <c r="D655" t="inlineStr">
        <is>
          <t>VÄSTMANLANDS LÄN</t>
        </is>
      </c>
      <c r="E655" t="inlineStr">
        <is>
          <t>SALA</t>
        </is>
      </c>
      <c r="G655" t="n">
        <v>1.2</v>
      </c>
      <c r="H655" t="n">
        <v>0</v>
      </c>
      <c r="I655" t="n">
        <v>0</v>
      </c>
      <c r="J655" t="n">
        <v>0</v>
      </c>
      <c r="K655" t="n">
        <v>0</v>
      </c>
      <c r="L655" t="n">
        <v>0</v>
      </c>
      <c r="M655" t="n">
        <v>0</v>
      </c>
      <c r="N655" t="n">
        <v>0</v>
      </c>
      <c r="O655" t="n">
        <v>0</v>
      </c>
      <c r="P655" t="n">
        <v>0</v>
      </c>
      <c r="Q655" t="n">
        <v>0</v>
      </c>
      <c r="R655" s="2" t="inlineStr"/>
    </row>
    <row r="656" ht="15" customHeight="1">
      <c r="A656" t="inlineStr">
        <is>
          <t>A 9051-2023</t>
        </is>
      </c>
      <c r="B656" s="1" t="n">
        <v>44979</v>
      </c>
      <c r="C656" s="1" t="n">
        <v>45840</v>
      </c>
      <c r="D656" t="inlineStr">
        <is>
          <t>VÄSTMANLANDS LÄN</t>
        </is>
      </c>
      <c r="E656" t="inlineStr">
        <is>
          <t>SALA</t>
        </is>
      </c>
      <c r="G656" t="n">
        <v>4.1</v>
      </c>
      <c r="H656" t="n">
        <v>0</v>
      </c>
      <c r="I656" t="n">
        <v>0</v>
      </c>
      <c r="J656" t="n">
        <v>0</v>
      </c>
      <c r="K656" t="n">
        <v>0</v>
      </c>
      <c r="L656" t="n">
        <v>0</v>
      </c>
      <c r="M656" t="n">
        <v>0</v>
      </c>
      <c r="N656" t="n">
        <v>0</v>
      </c>
      <c r="O656" t="n">
        <v>0</v>
      </c>
      <c r="P656" t="n">
        <v>0</v>
      </c>
      <c r="Q656" t="n">
        <v>0</v>
      </c>
      <c r="R656" s="2" t="inlineStr"/>
    </row>
    <row r="657" ht="15" customHeight="1">
      <c r="A657" t="inlineStr">
        <is>
          <t>A 11190-2023</t>
        </is>
      </c>
      <c r="B657" s="1" t="n">
        <v>44992</v>
      </c>
      <c r="C657" s="1" t="n">
        <v>45840</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11166-2023</t>
        </is>
      </c>
      <c r="B658" s="1" t="n">
        <v>44992</v>
      </c>
      <c r="C658" s="1" t="n">
        <v>45840</v>
      </c>
      <c r="D658" t="inlineStr">
        <is>
          <t>VÄSTMANLANDS LÄN</t>
        </is>
      </c>
      <c r="E658" t="inlineStr">
        <is>
          <t>SALA</t>
        </is>
      </c>
      <c r="G658" t="n">
        <v>3.9</v>
      </c>
      <c r="H658" t="n">
        <v>0</v>
      </c>
      <c r="I658" t="n">
        <v>0</v>
      </c>
      <c r="J658" t="n">
        <v>0</v>
      </c>
      <c r="K658" t="n">
        <v>0</v>
      </c>
      <c r="L658" t="n">
        <v>0</v>
      </c>
      <c r="M658" t="n">
        <v>0</v>
      </c>
      <c r="N658" t="n">
        <v>0</v>
      </c>
      <c r="O658" t="n">
        <v>0</v>
      </c>
      <c r="P658" t="n">
        <v>0</v>
      </c>
      <c r="Q658" t="n">
        <v>0</v>
      </c>
      <c r="R658" s="2" t="inlineStr"/>
    </row>
    <row r="659" ht="15" customHeight="1">
      <c r="A659" t="inlineStr">
        <is>
          <t>A 11183-2023</t>
        </is>
      </c>
      <c r="B659" s="1" t="n">
        <v>44992</v>
      </c>
      <c r="C659" s="1" t="n">
        <v>45840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11631-2023</t>
        </is>
      </c>
      <c r="B660" s="1" t="n">
        <v>44994</v>
      </c>
      <c r="C660" s="1" t="n">
        <v>45840</v>
      </c>
      <c r="D660" t="inlineStr">
        <is>
          <t>VÄSTMANLANDS LÄN</t>
        </is>
      </c>
      <c r="E660" t="inlineStr">
        <is>
          <t>SALA</t>
        </is>
      </c>
      <c r="F660" t="inlineStr">
        <is>
          <t>Kommuner</t>
        </is>
      </c>
      <c r="G660" t="n">
        <v>1.9</v>
      </c>
      <c r="H660" t="n">
        <v>0</v>
      </c>
      <c r="I660" t="n">
        <v>0</v>
      </c>
      <c r="J660" t="n">
        <v>0</v>
      </c>
      <c r="K660" t="n">
        <v>0</v>
      </c>
      <c r="L660" t="n">
        <v>0</v>
      </c>
      <c r="M660" t="n">
        <v>0</v>
      </c>
      <c r="N660" t="n">
        <v>0</v>
      </c>
      <c r="O660" t="n">
        <v>0</v>
      </c>
      <c r="P660" t="n">
        <v>0</v>
      </c>
      <c r="Q660" t="n">
        <v>0</v>
      </c>
      <c r="R660" s="2" t="inlineStr"/>
    </row>
    <row r="661" ht="15" customHeight="1">
      <c r="A661" t="inlineStr">
        <is>
          <t>A 12231-2023</t>
        </is>
      </c>
      <c r="B661" s="1" t="n">
        <v>44995</v>
      </c>
      <c r="C661" s="1" t="n">
        <v>45840</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12246-2023</t>
        </is>
      </c>
      <c r="B662" s="1" t="n">
        <v>44995</v>
      </c>
      <c r="C662" s="1" t="n">
        <v>45840</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12272-2023</t>
        </is>
      </c>
      <c r="B663" s="1" t="n">
        <v>44995</v>
      </c>
      <c r="C663" s="1" t="n">
        <v>45840</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12242-2023</t>
        </is>
      </c>
      <c r="B664" s="1" t="n">
        <v>44995</v>
      </c>
      <c r="C664" s="1" t="n">
        <v>45840</v>
      </c>
      <c r="D664" t="inlineStr">
        <is>
          <t>VÄSTMANLANDS LÄN</t>
        </is>
      </c>
      <c r="E664" t="inlineStr">
        <is>
          <t>SALA</t>
        </is>
      </c>
      <c r="G664" t="n">
        <v>2</v>
      </c>
      <c r="H664" t="n">
        <v>0</v>
      </c>
      <c r="I664" t="n">
        <v>0</v>
      </c>
      <c r="J664" t="n">
        <v>0</v>
      </c>
      <c r="K664" t="n">
        <v>0</v>
      </c>
      <c r="L664" t="n">
        <v>0</v>
      </c>
      <c r="M664" t="n">
        <v>0</v>
      </c>
      <c r="N664" t="n">
        <v>0</v>
      </c>
      <c r="O664" t="n">
        <v>0</v>
      </c>
      <c r="P664" t="n">
        <v>0</v>
      </c>
      <c r="Q664" t="n">
        <v>0</v>
      </c>
      <c r="R664" s="2" t="inlineStr"/>
    </row>
    <row r="665" ht="15" customHeight="1">
      <c r="A665" t="inlineStr">
        <is>
          <t>A 12252-2023</t>
        </is>
      </c>
      <c r="B665" s="1" t="n">
        <v>44995</v>
      </c>
      <c r="C665" s="1" t="n">
        <v>45840</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12225-2023</t>
        </is>
      </c>
      <c r="B666" s="1" t="n">
        <v>44995</v>
      </c>
      <c r="C666" s="1" t="n">
        <v>45840</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12509-2023</t>
        </is>
      </c>
      <c r="B667" s="1" t="n">
        <v>45000</v>
      </c>
      <c r="C667" s="1" t="n">
        <v>45840</v>
      </c>
      <c r="D667" t="inlineStr">
        <is>
          <t>VÄSTMANLANDS LÄN</t>
        </is>
      </c>
      <c r="E667" t="inlineStr">
        <is>
          <t>SALA</t>
        </is>
      </c>
      <c r="G667" t="n">
        <v>13.9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45840</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45840</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45840</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45840</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45840</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45840</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45840</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45840</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45840</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45840</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45840</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45840</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45840</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45840</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45840</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45840</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45840</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45840</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45840</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45840</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45840</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45840</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45840</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45840</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45840</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45840</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45840</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45840</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45840</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45840</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45840</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45840</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45840</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45840</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45840</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45840</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45840</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45840</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45840</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45840</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45840</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45840</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45840</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45840</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45840</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45840</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45840</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45840</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45840</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45840</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45840</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45840</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45840</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45840</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45840</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45840</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45840</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45840</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45840</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45840</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45840</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45840</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45840</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45840</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45840</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45840</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45840</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45840</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45840</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45840</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45840</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45840</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45840</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45840</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45840</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45840</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45840</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45840</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45840</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45840</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45840</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45840</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45840</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45840</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45840</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45840</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45840</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45840</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45840</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45840</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45840</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45840</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45840</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45840</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45840</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45840</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45840</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45840</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45840</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45840</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45840</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45840</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45840</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45840</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45840</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45840</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45840</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45840</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45840</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45840</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45840</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45840</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45840</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45840</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45840</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45840</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45840</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45840</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45840</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45840</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45840</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45840</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45840</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45840</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45840</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45840</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45840</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45840</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45840</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45840</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45840</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45840</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45840</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45840</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45840</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45840</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45840</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45840</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45840</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45840</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45840</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45840</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45840</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45840</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45840</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45840</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45840</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45840</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45840</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45840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45840</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45840</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45840</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45840</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45840</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45840</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45840</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45840</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45840</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45840</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45840</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45840</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45840</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45840</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45840</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45840</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45840</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45840</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45840</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45840</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45840</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45840</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45840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45840</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45840</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45840</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45840</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45840</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45840</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45840</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45840</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45840</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45840</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45840</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45840</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45840</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45840</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45840</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45840</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45840</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45840</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45840</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45840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45840</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45840</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45840</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45840</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45840</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45840</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45840</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45840</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45840</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45840</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45840</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45840</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45840</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45840</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45840</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45840</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45840</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45840</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45840</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45840</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45840</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45840</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45840</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45840</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45840</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45840</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45840</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45840</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45840</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45840</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45840</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45840</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45840</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45840</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45840</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45840</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45840</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45840</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45840</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45840</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45840</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45840</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45840</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45840</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45840</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45840</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45840</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45840</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45840</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45840</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45840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45840</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45840</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45840</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45840</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45840</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45840</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45840</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45840</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45840</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45840</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45840</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45840</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45840</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45840</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45840</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45840</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45840</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45840</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45840</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45840</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45840</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45840</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45840</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45840</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45840</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45840</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45840</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45840</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45840</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45840</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45840</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45840</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45840</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45840</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45840</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45840</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45840</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45840</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45840</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45840</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45840</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45840</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45840</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45840</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45840</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45840</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45840</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45840</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45840</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45840</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45840</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45840</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45840</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45840</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45840</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45840</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45840</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45840</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45840</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45840</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45840</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45840</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45840</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45840</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45840</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45840</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45840</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45840</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45840</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45840</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45840</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45840</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45840</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45840</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45840</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45840</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45840</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45840</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45840</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45840</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45840</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45840</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45840</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45840</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45840</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45840</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45840</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45840</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45840</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45840</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45840</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45840</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45840</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45840</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45840</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45840</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45840</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45840</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45840</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45840</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45840</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45840</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45840</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45840</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45840</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45840</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45840</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45840</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45840</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45840</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45840</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45840</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45840</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45840</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45840</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45840</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45840</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45840</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45840</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45840</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45840</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45840</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45840</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45840</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45840</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45840</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45840</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45840</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45840</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45840</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45840</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45840</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45840</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45840</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45840</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45840</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45840</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45840</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45840</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45840</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45840</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45840</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45840</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45840</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45840</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45840</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45840</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45840</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45840</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45840</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45840</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45840</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45840</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45840</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45840</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45840</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45840</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45840</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45840</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45840</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45840</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45840</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45840</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45840</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45840</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45840</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45840</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45840</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45840</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45840</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45840</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45840</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45840</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45840</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45840</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45840</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45840</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45840</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45840</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45840</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45840</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45840</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45840</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45840</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45840</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45840</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45840</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45840</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45840</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45840</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45840</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45840</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45840</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45840</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45840</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45840</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45840</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45840</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45840</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45840</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45840</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45840</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45840</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45840</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45840</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45840</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45840</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45840</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45840</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45840</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45840</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45840</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45840</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45840</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45840</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45840</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45840</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45840</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45840</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45840</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45840</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45840</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45840</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45840</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45840</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45840</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45840</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45840</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45840</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45840</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45840</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45840</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45840</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45840</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45840</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45840</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45840</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45840</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45840</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45840</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45840</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45840</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45840</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45840</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45840</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45840</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45840</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45840</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45840</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45840</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45840</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45840</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45840</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45840</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45840</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45840</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45840</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45840</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45840</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45840</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45840</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45840</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45840</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45840</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45840</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45840</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45840</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45840</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45840</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45840</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45840</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45840</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45840</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45840</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45840</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45840</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45840</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45840</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45840</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45840</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45840</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45840</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45840</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45840</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45840</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45840</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45840</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45840</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45840</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45840</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45840</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45840</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45840</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45840</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45840</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45840</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45840</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45840</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45840</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45840</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45840</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45840</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45840</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45840</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45840</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45840</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45840</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45840</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45840</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45840</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45840</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45840</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45840</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45840</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45840</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45840</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45840</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45840</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45840</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45840</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45840</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45840</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45840</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45840</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45840</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45840</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45840</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45840</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45840</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45840</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45840</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45840</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45840</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45840</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45840</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45840</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45840</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45840</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45840</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45840</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45840</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45840</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45840</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45840</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45840</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45840</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45840</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45840</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45840</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45840</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45840</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45840</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45840</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45840</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45840</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45840</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45840</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45840</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45840</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45840</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45840</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45840</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45840</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45840</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45840</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45840</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45840</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45840</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45840</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45840</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45840</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45840</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45840</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45840</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45840</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45840</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45840</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45840</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28849-2025</t>
        </is>
      </c>
      <c r="B1290" s="1" t="n">
        <v>45820</v>
      </c>
      <c r="C1290" s="1" t="n">
        <v>45840</v>
      </c>
      <c r="D1290" t="inlineStr">
        <is>
          <t>VÄSTMANLANDS LÄN</t>
        </is>
      </c>
      <c r="E1290" t="inlineStr">
        <is>
          <t>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45840</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45840</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45840</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45840</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45840</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30899-2025</t>
        </is>
      </c>
      <c r="B1296" s="1" t="n">
        <v>45832</v>
      </c>
      <c r="C1296" s="1" t="n">
        <v>45840</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45840</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30866-2025</t>
        </is>
      </c>
      <c r="B1298" s="1" t="n">
        <v>45832</v>
      </c>
      <c r="C1298" s="1" t="n">
        <v>45840</v>
      </c>
      <c r="D1298" t="inlineStr">
        <is>
          <t>VÄSTMANLANDS LÄN</t>
        </is>
      </c>
      <c r="E1298" t="inlineStr">
        <is>
          <t>SALA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31296-2025</t>
        </is>
      </c>
      <c r="B1299" s="1" t="n">
        <v>45833</v>
      </c>
      <c r="C1299" s="1" t="n">
        <v>45840</v>
      </c>
      <c r="D1299" t="inlineStr">
        <is>
          <t>VÄSTMANLANDS LÄN</t>
        </is>
      </c>
      <c r="E1299" t="inlineStr">
        <is>
          <t>SALA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45840</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31573-2025</t>
        </is>
      </c>
      <c r="B1301" s="1" t="n">
        <v>45833</v>
      </c>
      <c r="C1301" s="1" t="n">
        <v>45840</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31288-2025</t>
        </is>
      </c>
      <c r="B1302" s="1" t="n">
        <v>45833</v>
      </c>
      <c r="C1302" s="1" t="n">
        <v>45840</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31610-2025</t>
        </is>
      </c>
      <c r="B1303" s="1" t="n">
        <v>45833</v>
      </c>
      <c r="C1303" s="1" t="n">
        <v>45840</v>
      </c>
      <c r="D1303" t="inlineStr">
        <is>
          <t>VÄSTMANLANDS LÄN</t>
        </is>
      </c>
      <c r="E1303" t="inlineStr">
        <is>
          <t>SALA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31608-2025</t>
        </is>
      </c>
      <c r="B1304" s="1" t="n">
        <v>45833</v>
      </c>
      <c r="C1304" s="1" t="n">
        <v>45840</v>
      </c>
      <c r="D1304" t="inlineStr">
        <is>
          <t>VÄSTMANLANDS LÄN</t>
        </is>
      </c>
      <c r="E1304" t="inlineStr">
        <is>
          <t>SALA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31612-2025</t>
        </is>
      </c>
      <c r="B1305" s="1" t="n">
        <v>45833</v>
      </c>
      <c r="C1305" s="1" t="n">
        <v>45840</v>
      </c>
      <c r="D1305" t="inlineStr">
        <is>
          <t>VÄSTMANLANDS LÄN</t>
        </is>
      </c>
      <c r="E1305" t="inlineStr">
        <is>
          <t>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31863-2025</t>
        </is>
      </c>
      <c r="B1306" s="1" t="n">
        <v>45834</v>
      </c>
      <c r="C1306" s="1" t="n">
        <v>45840</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31864-2025</t>
        </is>
      </c>
      <c r="B1307" s="1" t="n">
        <v>45834</v>
      </c>
      <c r="C1307" s="1" t="n">
        <v>45840</v>
      </c>
      <c r="D1307" t="inlineStr">
        <is>
          <t>VÄSTMANLANDS LÄN</t>
        </is>
      </c>
      <c r="E1307" t="inlineStr">
        <is>
          <t>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31869-2025</t>
        </is>
      </c>
      <c r="B1308" s="1" t="n">
        <v>45834</v>
      </c>
      <c r="C1308" s="1" t="n">
        <v>45840</v>
      </c>
      <c r="D1308" t="inlineStr">
        <is>
          <t>VÄSTMANLANDS LÄN</t>
        </is>
      </c>
      <c r="E1308" t="inlineStr">
        <is>
          <t>SALA</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31748-2025</t>
        </is>
      </c>
      <c r="B1309" s="1" t="n">
        <v>45834</v>
      </c>
      <c r="C1309" s="1" t="n">
        <v>45840</v>
      </c>
      <c r="D1309" t="inlineStr">
        <is>
          <t>VÄSTMANLANDS LÄN</t>
        </is>
      </c>
      <c r="E1309" t="inlineStr">
        <is>
          <t>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45840</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31887-2025</t>
        </is>
      </c>
      <c r="B1311" s="1" t="n">
        <v>45834</v>
      </c>
      <c r="C1311" s="1" t="n">
        <v>45840</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31771-2025</t>
        </is>
      </c>
      <c r="B1312" s="1" t="n">
        <v>45834</v>
      </c>
      <c r="C1312" s="1" t="n">
        <v>45840</v>
      </c>
      <c r="D1312" t="inlineStr">
        <is>
          <t>VÄSTMANLANDS LÄN</t>
        </is>
      </c>
      <c r="E1312" t="inlineStr">
        <is>
          <t>SALA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45840</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32201-2025</t>
        </is>
      </c>
      <c r="B1314" s="1" t="n">
        <v>45835</v>
      </c>
      <c r="C1314" s="1" t="n">
        <v>45840</v>
      </c>
      <c r="D1314" t="inlineStr">
        <is>
          <t>VÄSTMANLANDS LÄN</t>
        </is>
      </c>
      <c r="E1314" t="inlineStr">
        <is>
          <t>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32205-2025</t>
        </is>
      </c>
      <c r="B1315" s="1" t="n">
        <v>45835</v>
      </c>
      <c r="C1315" s="1" t="n">
        <v>45840</v>
      </c>
      <c r="D1315" t="inlineStr">
        <is>
          <t>VÄSTMANLANDS LÄN</t>
        </is>
      </c>
      <c r="E1315" t="inlineStr">
        <is>
          <t>SALA</t>
        </is>
      </c>
      <c r="F1315" t="inlineStr">
        <is>
          <t>Bergvik skog öst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45840</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45840</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32286-2025</t>
        </is>
      </c>
      <c r="B1318" s="1" t="n">
        <v>45835</v>
      </c>
      <c r="C1318" s="1" t="n">
        <v>45840</v>
      </c>
      <c r="D1318" t="inlineStr">
        <is>
          <t>VÄSTMANLANDS LÄN</t>
        </is>
      </c>
      <c r="E1318" t="inlineStr">
        <is>
          <t>SALA</t>
        </is>
      </c>
      <c r="G1318" t="n">
        <v>6.4</v>
      </c>
      <c r="H1318" t="n">
        <v>0</v>
      </c>
      <c r="I1318" t="n">
        <v>0</v>
      </c>
      <c r="J1318" t="n">
        <v>0</v>
      </c>
      <c r="K1318" t="n">
        <v>0</v>
      </c>
      <c r="L1318" t="n">
        <v>0</v>
      </c>
      <c r="M1318" t="n">
        <v>0</v>
      </c>
      <c r="N1318" t="n">
        <v>0</v>
      </c>
      <c r="O1318" t="n">
        <v>0</v>
      </c>
      <c r="P1318" t="n">
        <v>0</v>
      </c>
      <c r="Q1318" t="n">
        <v>0</v>
      </c>
      <c r="R1318" s="2" t="inlineStr"/>
    </row>
    <row r="1319">
      <c r="A1319" t="inlineStr">
        <is>
          <t>A 32902-2025</t>
        </is>
      </c>
      <c r="B1319" s="1" t="n">
        <v>45839</v>
      </c>
      <c r="C1319" s="1" t="n">
        <v>45840</v>
      </c>
      <c r="D1319" t="inlineStr">
        <is>
          <t>VÄSTMANLANDS LÄN</t>
        </is>
      </c>
      <c r="E1319" t="inlineStr">
        <is>
          <t>SALA</t>
        </is>
      </c>
      <c r="G1319" t="n">
        <v>8.199999999999999</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2025-07-02T19:47:14Z</dcterms:created>
  <dcterms:modified xmlns:dcterms="http://purl.org/dc/terms/" xmlns:xsi="http://www.w3.org/2001/XMLSchema-instance" xsi:type="dcterms:W3CDTF">2025-07-02T19:47:15Z</dcterms:modified>
</cp:coreProperties>
</file>