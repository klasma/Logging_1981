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45671</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45671</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45671</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45671</v>
      </c>
      <c r="D5" t="inlineStr">
        <is>
          <t>VÄSTMANLANDS LÄN</t>
        </is>
      </c>
      <c r="E5" t="inlineStr">
        <is>
          <t>SALA</t>
        </is>
      </c>
      <c r="G5" t="n">
        <v>9.5</v>
      </c>
      <c r="H5" t="n">
        <v>3</v>
      </c>
      <c r="I5" t="n">
        <v>2</v>
      </c>
      <c r="J5" t="n">
        <v>3</v>
      </c>
      <c r="K5" t="n">
        <v>1</v>
      </c>
      <c r="L5" t="n">
        <v>0</v>
      </c>
      <c r="M5" t="n">
        <v>0</v>
      </c>
      <c r="N5" t="n">
        <v>0</v>
      </c>
      <c r="O5" t="n">
        <v>4</v>
      </c>
      <c r="P5" t="n">
        <v>1</v>
      </c>
      <c r="Q5" t="n">
        <v>7</v>
      </c>
      <c r="R5" s="2" t="inlineStr">
        <is>
          <t>Knärot
Dofttaggsvamp
Vedskivlav
Vedtrappmossa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31163-2019</t>
        </is>
      </c>
      <c r="B6" s="1" t="n">
        <v>43640</v>
      </c>
      <c r="C6" s="1" t="n">
        <v>45671</v>
      </c>
      <c r="D6" t="inlineStr">
        <is>
          <t>VÄSTMANLANDS LÄN</t>
        </is>
      </c>
      <c r="E6" t="inlineStr">
        <is>
          <t>SALA</t>
        </is>
      </c>
      <c r="G6" t="n">
        <v>9.699999999999999</v>
      </c>
      <c r="H6" t="n">
        <v>2</v>
      </c>
      <c r="I6" t="n">
        <v>3</v>
      </c>
      <c r="J6" t="n">
        <v>1</v>
      </c>
      <c r="K6" t="n">
        <v>1</v>
      </c>
      <c r="L6" t="n">
        <v>0</v>
      </c>
      <c r="M6" t="n">
        <v>0</v>
      </c>
      <c r="N6" t="n">
        <v>0</v>
      </c>
      <c r="O6" t="n">
        <v>2</v>
      </c>
      <c r="P6" t="n">
        <v>1</v>
      </c>
      <c r="Q6" t="n">
        <v>6</v>
      </c>
      <c r="R6" s="2" t="inlineStr">
        <is>
          <t>Knärot
Ullticka
Bronshjon
Dropptaggsvamp
Vedticka
Mattlummer</t>
        </is>
      </c>
      <c r="S6">
        <f>HYPERLINK("https://klasma.github.io/Logging_1981/artfynd/A 31163-2019 artfynd.xlsx", "A 31163-2019")</f>
        <v/>
      </c>
      <c r="T6">
        <f>HYPERLINK("https://klasma.github.io/Logging_1981/kartor/A 31163-2019 karta.png", "A 31163-2019")</f>
        <v/>
      </c>
      <c r="U6">
        <f>HYPERLINK("https://klasma.github.io/Logging_1981/knärot/A 31163-2019 karta knärot.png", "A 31163-2019")</f>
        <v/>
      </c>
      <c r="V6">
        <f>HYPERLINK("https://klasma.github.io/Logging_1981/klagomål/A 31163-2019 FSC-klagomål.docx", "A 31163-2019")</f>
        <v/>
      </c>
      <c r="W6">
        <f>HYPERLINK("https://klasma.github.io/Logging_1981/klagomålsmail/A 31163-2019 FSC-klagomål mail.docx", "A 31163-2019")</f>
        <v/>
      </c>
      <c r="X6">
        <f>HYPERLINK("https://klasma.github.io/Logging_1981/tillsyn/A 31163-2019 tillsynsbegäran.docx", "A 31163-2019")</f>
        <v/>
      </c>
      <c r="Y6">
        <f>HYPERLINK("https://klasma.github.io/Logging_1981/tillsynsmail/A 31163-2019 tillsynsbegäran mail.docx", "A 31163-2019")</f>
        <v/>
      </c>
    </row>
    <row r="7" ht="15" customHeight="1">
      <c r="A7" t="inlineStr">
        <is>
          <t>A 38021-2021</t>
        </is>
      </c>
      <c r="B7" s="1" t="n">
        <v>44404</v>
      </c>
      <c r="C7" s="1" t="n">
        <v>45671</v>
      </c>
      <c r="D7" t="inlineStr">
        <is>
          <t>VÄSTMANLANDS LÄN</t>
        </is>
      </c>
      <c r="E7" t="inlineStr">
        <is>
          <t>SALA</t>
        </is>
      </c>
      <c r="G7" t="n">
        <v>8</v>
      </c>
      <c r="H7" t="n">
        <v>2</v>
      </c>
      <c r="I7" t="n">
        <v>0</v>
      </c>
      <c r="J7" t="n">
        <v>5</v>
      </c>
      <c r="K7" t="n">
        <v>1</v>
      </c>
      <c r="L7" t="n">
        <v>0</v>
      </c>
      <c r="M7" t="n">
        <v>0</v>
      </c>
      <c r="N7" t="n">
        <v>0</v>
      </c>
      <c r="O7" t="n">
        <v>6</v>
      </c>
      <c r="P7" t="n">
        <v>1</v>
      </c>
      <c r="Q7" t="n">
        <v>6</v>
      </c>
      <c r="R7" s="2" t="inlineStr">
        <is>
          <t>Knärot
Garnlav
Orange taggsvamp
Tallticka
Talltita
Ullticka</t>
        </is>
      </c>
      <c r="S7">
        <f>HYPERLINK("https://klasma.github.io/Logging_1981/artfynd/A 38021-2021 artfynd.xlsx", "A 38021-2021")</f>
        <v/>
      </c>
      <c r="T7">
        <f>HYPERLINK("https://klasma.github.io/Logging_1981/kartor/A 38021-2021 karta.png", "A 38021-2021")</f>
        <v/>
      </c>
      <c r="U7">
        <f>HYPERLINK("https://klasma.github.io/Logging_1981/knärot/A 38021-2021 karta knärot.png", "A 38021-2021")</f>
        <v/>
      </c>
      <c r="V7">
        <f>HYPERLINK("https://klasma.github.io/Logging_1981/klagomål/A 38021-2021 FSC-klagomål.docx", "A 38021-2021")</f>
        <v/>
      </c>
      <c r="W7">
        <f>HYPERLINK("https://klasma.github.io/Logging_1981/klagomålsmail/A 38021-2021 FSC-klagomål mail.docx", "A 38021-2021")</f>
        <v/>
      </c>
      <c r="X7">
        <f>HYPERLINK("https://klasma.github.io/Logging_1981/tillsyn/A 38021-2021 tillsynsbegäran.docx", "A 38021-2021")</f>
        <v/>
      </c>
      <c r="Y7">
        <f>HYPERLINK("https://klasma.github.io/Logging_1981/tillsynsmail/A 38021-2021 tillsynsbegäran mail.docx", "A 38021-2021")</f>
        <v/>
      </c>
      <c r="Z7">
        <f>HYPERLINK("https://klasma.github.io/Logging_1981/fåglar/A 38021-2021 prioriterade fågelarter.docx", "A 38021-2021")</f>
        <v/>
      </c>
    </row>
    <row r="8" ht="15" customHeight="1">
      <c r="A8" t="inlineStr">
        <is>
          <t>A 23229-2023</t>
        </is>
      </c>
      <c r="B8" s="1" t="n">
        <v>45075</v>
      </c>
      <c r="C8" s="1" t="n">
        <v>45671</v>
      </c>
      <c r="D8" t="inlineStr">
        <is>
          <t>VÄSTMANLANDS LÄN</t>
        </is>
      </c>
      <c r="E8" t="inlineStr">
        <is>
          <t>SALA</t>
        </is>
      </c>
      <c r="G8" t="n">
        <v>20.8</v>
      </c>
      <c r="H8" t="n">
        <v>1</v>
      </c>
      <c r="I8" t="n">
        <v>2</v>
      </c>
      <c r="J8" t="n">
        <v>2</v>
      </c>
      <c r="K8" t="n">
        <v>2</v>
      </c>
      <c r="L8" t="n">
        <v>0</v>
      </c>
      <c r="M8" t="n">
        <v>0</v>
      </c>
      <c r="N8" t="n">
        <v>0</v>
      </c>
      <c r="O8" t="n">
        <v>4</v>
      </c>
      <c r="P8" t="n">
        <v>2</v>
      </c>
      <c r="Q8" t="n">
        <v>6</v>
      </c>
      <c r="R8" s="2" t="inlineStr">
        <is>
          <t>Knärot
Rynkskinn
Ullticka
Vedtrappmossa
Blodticka
Vedticka</t>
        </is>
      </c>
      <c r="S8">
        <f>HYPERLINK("https://klasma.github.io/Logging_1981/artfynd/A 23229-2023 artfynd.xlsx", "A 23229-2023")</f>
        <v/>
      </c>
      <c r="T8">
        <f>HYPERLINK("https://klasma.github.io/Logging_1981/kartor/A 23229-2023 karta.png", "A 23229-2023")</f>
        <v/>
      </c>
      <c r="U8">
        <f>HYPERLINK("https://klasma.github.io/Logging_1981/knärot/A 23229-2023 karta knärot.png", "A 23229-2023")</f>
        <v/>
      </c>
      <c r="V8">
        <f>HYPERLINK("https://klasma.github.io/Logging_1981/klagomål/A 23229-2023 FSC-klagomål.docx", "A 23229-2023")</f>
        <v/>
      </c>
      <c r="W8">
        <f>HYPERLINK("https://klasma.github.io/Logging_1981/klagomålsmail/A 23229-2023 FSC-klagomål mail.docx", "A 23229-2023")</f>
        <v/>
      </c>
      <c r="X8">
        <f>HYPERLINK("https://klasma.github.io/Logging_1981/tillsyn/A 23229-2023 tillsynsbegäran.docx", "A 23229-2023")</f>
        <v/>
      </c>
      <c r="Y8">
        <f>HYPERLINK("https://klasma.github.io/Logging_1981/tillsynsmail/A 23229-2023 tillsynsbegäran mail.docx", "A 23229-2023")</f>
        <v/>
      </c>
    </row>
    <row r="9" ht="15" customHeight="1">
      <c r="A9" t="inlineStr">
        <is>
          <t>A 55259-2023</t>
        </is>
      </c>
      <c r="B9" s="1" t="n">
        <v>45237</v>
      </c>
      <c r="C9" s="1" t="n">
        <v>45671</v>
      </c>
      <c r="D9" t="inlineStr">
        <is>
          <t>VÄSTMANLANDS LÄN</t>
        </is>
      </c>
      <c r="E9" t="inlineStr">
        <is>
          <t>SALA</t>
        </is>
      </c>
      <c r="G9" t="n">
        <v>1.6</v>
      </c>
      <c r="H9" t="n">
        <v>2</v>
      </c>
      <c r="I9" t="n">
        <v>2</v>
      </c>
      <c r="J9" t="n">
        <v>2</v>
      </c>
      <c r="K9" t="n">
        <v>1</v>
      </c>
      <c r="L9" t="n">
        <v>0</v>
      </c>
      <c r="M9" t="n">
        <v>0</v>
      </c>
      <c r="N9" t="n">
        <v>0</v>
      </c>
      <c r="O9" t="n">
        <v>3</v>
      </c>
      <c r="P9" t="n">
        <v>1</v>
      </c>
      <c r="Q9" t="n">
        <v>6</v>
      </c>
      <c r="R9" s="2" t="inlineStr">
        <is>
          <t>Knärot
Dofttaggsvamp
Gul taggsvamp
Fjällig taggsvamp s.str.
Skarp dropptaggsvamp
Blåsippa</t>
        </is>
      </c>
      <c r="S9">
        <f>HYPERLINK("https://klasma.github.io/Logging_1981/artfynd/A 55259-2023 artfynd.xlsx", "A 55259-2023")</f>
        <v/>
      </c>
      <c r="T9">
        <f>HYPERLINK("https://klasma.github.io/Logging_1981/kartor/A 55259-2023 karta.png", "A 55259-2023")</f>
        <v/>
      </c>
      <c r="U9">
        <f>HYPERLINK("https://klasma.github.io/Logging_1981/knärot/A 55259-2023 karta knärot.png", "A 55259-2023")</f>
        <v/>
      </c>
      <c r="V9">
        <f>HYPERLINK("https://klasma.github.io/Logging_1981/klagomål/A 55259-2023 FSC-klagomål.docx", "A 55259-2023")</f>
        <v/>
      </c>
      <c r="W9">
        <f>HYPERLINK("https://klasma.github.io/Logging_1981/klagomålsmail/A 55259-2023 FSC-klagomål mail.docx", "A 55259-2023")</f>
        <v/>
      </c>
      <c r="X9">
        <f>HYPERLINK("https://klasma.github.io/Logging_1981/tillsyn/A 55259-2023 tillsynsbegäran.docx", "A 55259-2023")</f>
        <v/>
      </c>
      <c r="Y9">
        <f>HYPERLINK("https://klasma.github.io/Logging_1981/tillsynsmail/A 55259-2023 tillsynsbegäran mail.docx", "A 55259-2023")</f>
        <v/>
      </c>
    </row>
    <row r="10" ht="15" customHeight="1">
      <c r="A10" t="inlineStr">
        <is>
          <t>A 25265-2024</t>
        </is>
      </c>
      <c r="B10" s="1" t="n">
        <v>45462</v>
      </c>
      <c r="C10" s="1" t="n">
        <v>45671</v>
      </c>
      <c r="D10" t="inlineStr">
        <is>
          <t>VÄSTMANLANDS LÄN</t>
        </is>
      </c>
      <c r="E10" t="inlineStr">
        <is>
          <t>SALA</t>
        </is>
      </c>
      <c r="G10" t="n">
        <v>9.6</v>
      </c>
      <c r="H10" t="n">
        <v>3</v>
      </c>
      <c r="I10" t="n">
        <v>1</v>
      </c>
      <c r="J10" t="n">
        <v>2</v>
      </c>
      <c r="K10" t="n">
        <v>1</v>
      </c>
      <c r="L10" t="n">
        <v>0</v>
      </c>
      <c r="M10" t="n">
        <v>0</v>
      </c>
      <c r="N10" t="n">
        <v>0</v>
      </c>
      <c r="O10" t="n">
        <v>3</v>
      </c>
      <c r="P10" t="n">
        <v>1</v>
      </c>
      <c r="Q10" t="n">
        <v>6</v>
      </c>
      <c r="R10" s="2" t="inlineStr">
        <is>
          <t>Knärot
Grönhjon
Ullticka
Vedticka
Tjäder
Revlummer</t>
        </is>
      </c>
      <c r="S10">
        <f>HYPERLINK("https://klasma.github.io/Logging_1981/artfynd/A 25265-2024 artfynd.xlsx", "A 25265-2024")</f>
        <v/>
      </c>
      <c r="T10">
        <f>HYPERLINK("https://klasma.github.io/Logging_1981/kartor/A 25265-2024 karta.png", "A 25265-2024")</f>
        <v/>
      </c>
      <c r="U10">
        <f>HYPERLINK("https://klasma.github.io/Logging_1981/knärot/A 25265-2024 karta knärot.png", "A 25265-2024")</f>
        <v/>
      </c>
      <c r="V10">
        <f>HYPERLINK("https://klasma.github.io/Logging_1981/klagomål/A 25265-2024 FSC-klagomål.docx", "A 25265-2024")</f>
        <v/>
      </c>
      <c r="W10">
        <f>HYPERLINK("https://klasma.github.io/Logging_1981/klagomålsmail/A 25265-2024 FSC-klagomål mail.docx", "A 25265-2024")</f>
        <v/>
      </c>
      <c r="X10">
        <f>HYPERLINK("https://klasma.github.io/Logging_1981/tillsyn/A 25265-2024 tillsynsbegäran.docx", "A 25265-2024")</f>
        <v/>
      </c>
      <c r="Y10">
        <f>HYPERLINK("https://klasma.github.io/Logging_1981/tillsynsmail/A 25265-2024 tillsynsbegäran mail.docx", "A 25265-2024")</f>
        <v/>
      </c>
      <c r="Z10">
        <f>HYPERLINK("https://klasma.github.io/Logging_1981/fåglar/A 25265-2024 prioriterade fågelarter.docx", "A 25265-2024")</f>
        <v/>
      </c>
    </row>
    <row r="11" ht="15" customHeight="1">
      <c r="A11" t="inlineStr">
        <is>
          <t>A 40495-2024</t>
        </is>
      </c>
      <c r="B11" s="1" t="n">
        <v>45555</v>
      </c>
      <c r="C11" s="1" t="n">
        <v>45671</v>
      </c>
      <c r="D11" t="inlineStr">
        <is>
          <t>VÄSTMANLANDS LÄN</t>
        </is>
      </c>
      <c r="E11" t="inlineStr">
        <is>
          <t>SALA</t>
        </is>
      </c>
      <c r="G11" t="n">
        <v>3.1</v>
      </c>
      <c r="H11" t="n">
        <v>0</v>
      </c>
      <c r="I11" t="n">
        <v>2</v>
      </c>
      <c r="J11" t="n">
        <v>4</v>
      </c>
      <c r="K11" t="n">
        <v>0</v>
      </c>
      <c r="L11" t="n">
        <v>0</v>
      </c>
      <c r="M11" t="n">
        <v>0</v>
      </c>
      <c r="N11" t="n">
        <v>0</v>
      </c>
      <c r="O11" t="n">
        <v>4</v>
      </c>
      <c r="P11" t="n">
        <v>0</v>
      </c>
      <c r="Q11" t="n">
        <v>6</v>
      </c>
      <c r="R11" s="2" t="inlineStr">
        <is>
          <t>Asppraktbagge
Skorpgelélav
Veckticka
Vedskivlav
Blåmossa
Bronshjon</t>
        </is>
      </c>
      <c r="S11">
        <f>HYPERLINK("https://klasma.github.io/Logging_1981/artfynd/A 40495-2024 artfynd.xlsx", "A 40495-2024")</f>
        <v/>
      </c>
      <c r="T11">
        <f>HYPERLINK("https://klasma.github.io/Logging_1981/kartor/A 40495-2024 karta.png", "A 40495-2024")</f>
        <v/>
      </c>
      <c r="V11">
        <f>HYPERLINK("https://klasma.github.io/Logging_1981/klagomål/A 40495-2024 FSC-klagomål.docx", "A 40495-2024")</f>
        <v/>
      </c>
      <c r="W11">
        <f>HYPERLINK("https://klasma.github.io/Logging_1981/klagomålsmail/A 40495-2024 FSC-klagomål mail.docx", "A 40495-2024")</f>
        <v/>
      </c>
      <c r="X11">
        <f>HYPERLINK("https://klasma.github.io/Logging_1981/tillsyn/A 40495-2024 tillsynsbegäran.docx", "A 40495-2024")</f>
        <v/>
      </c>
      <c r="Y11">
        <f>HYPERLINK("https://klasma.github.io/Logging_1981/tillsynsmail/A 40495-2024 tillsynsbegäran mail.docx", "A 40495-2024")</f>
        <v/>
      </c>
    </row>
    <row r="12" ht="15" customHeight="1">
      <c r="A12" t="inlineStr">
        <is>
          <t>A 45441-2024</t>
        </is>
      </c>
      <c r="B12" s="1" t="n">
        <v>45576</v>
      </c>
      <c r="C12" s="1" t="n">
        <v>45671</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45671</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45671</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45671</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45671</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45671</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45671</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45671</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45671</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45671</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45671</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45671</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45671</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45671</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45671</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45671</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45671</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45671</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45671</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45671</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45671</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45671</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45671</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45671</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45671</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47475-2024</t>
        </is>
      </c>
      <c r="B37" s="1" t="n">
        <v>45587</v>
      </c>
      <c r="C37" s="1" t="n">
        <v>45671</v>
      </c>
      <c r="D37" t="inlineStr">
        <is>
          <t>VÄSTMANLANDS LÄN</t>
        </is>
      </c>
      <c r="E37" t="inlineStr">
        <is>
          <t>SALA</t>
        </is>
      </c>
      <c r="G37" t="n">
        <v>1.4</v>
      </c>
      <c r="H37" t="n">
        <v>1</v>
      </c>
      <c r="I37" t="n">
        <v>0</v>
      </c>
      <c r="J37" t="n">
        <v>0</v>
      </c>
      <c r="K37" t="n">
        <v>3</v>
      </c>
      <c r="L37" t="n">
        <v>0</v>
      </c>
      <c r="M37" t="n">
        <v>0</v>
      </c>
      <c r="N37" t="n">
        <v>0</v>
      </c>
      <c r="O37" t="n">
        <v>3</v>
      </c>
      <c r="P37" t="n">
        <v>3</v>
      </c>
      <c r="Q37" t="n">
        <v>3</v>
      </c>
      <c r="R37" s="2" t="inlineStr">
        <is>
          <t>Knärot
Luddig stiftdynlav
Rynkskinn</t>
        </is>
      </c>
      <c r="S37">
        <f>HYPERLINK("https://klasma.github.io/Logging_1981/artfynd/A 47475-2024 artfynd.xlsx", "A 47475-2024")</f>
        <v/>
      </c>
      <c r="T37">
        <f>HYPERLINK("https://klasma.github.io/Logging_1981/kartor/A 47475-2024 karta.png", "A 47475-2024")</f>
        <v/>
      </c>
      <c r="U37">
        <f>HYPERLINK("https://klasma.github.io/Logging_1981/knärot/A 47475-2024 karta knärot.png", "A 47475-2024")</f>
        <v/>
      </c>
      <c r="V37">
        <f>HYPERLINK("https://klasma.github.io/Logging_1981/klagomål/A 47475-2024 FSC-klagomål.docx", "A 47475-2024")</f>
        <v/>
      </c>
      <c r="W37">
        <f>HYPERLINK("https://klasma.github.io/Logging_1981/klagomålsmail/A 47475-2024 FSC-klagomål mail.docx", "A 47475-2024")</f>
        <v/>
      </c>
      <c r="X37">
        <f>HYPERLINK("https://klasma.github.io/Logging_1981/tillsyn/A 47475-2024 tillsynsbegäran.docx", "A 47475-2024")</f>
        <v/>
      </c>
      <c r="Y37">
        <f>HYPERLINK("https://klasma.github.io/Logging_1981/tillsynsmail/A 47475-2024 tillsynsbegäran mail.docx", "A 47475-2024")</f>
        <v/>
      </c>
    </row>
    <row r="38" ht="15" customHeight="1">
      <c r="A38" t="inlineStr">
        <is>
          <t>A 53019-2024</t>
        </is>
      </c>
      <c r="B38" s="1" t="n">
        <v>45610</v>
      </c>
      <c r="C38" s="1" t="n">
        <v>45671</v>
      </c>
      <c r="D38" t="inlineStr">
        <is>
          <t>VÄSTMANLANDS LÄN</t>
        </is>
      </c>
      <c r="E38" t="inlineStr">
        <is>
          <t>SALA</t>
        </is>
      </c>
      <c r="G38" t="n">
        <v>1.1</v>
      </c>
      <c r="H38" t="n">
        <v>2</v>
      </c>
      <c r="I38" t="n">
        <v>0</v>
      </c>
      <c r="J38" t="n">
        <v>1</v>
      </c>
      <c r="K38" t="n">
        <v>1</v>
      </c>
      <c r="L38" t="n">
        <v>0</v>
      </c>
      <c r="M38" t="n">
        <v>0</v>
      </c>
      <c r="N38" t="n">
        <v>0</v>
      </c>
      <c r="O38" t="n">
        <v>2</v>
      </c>
      <c r="P38" t="n">
        <v>1</v>
      </c>
      <c r="Q38" t="n">
        <v>3</v>
      </c>
      <c r="R38" s="2" t="inlineStr">
        <is>
          <t>Knärot
Ullticka
Kungsfågel</t>
        </is>
      </c>
      <c r="S38">
        <f>HYPERLINK("https://klasma.github.io/Logging_1981/artfynd/A 53019-2024 artfynd.xlsx", "A 53019-2024")</f>
        <v/>
      </c>
      <c r="T38">
        <f>HYPERLINK("https://klasma.github.io/Logging_1981/kartor/A 53019-2024 karta.png", "A 53019-2024")</f>
        <v/>
      </c>
      <c r="U38">
        <f>HYPERLINK("https://klasma.github.io/Logging_1981/knärot/A 53019-2024 karta knärot.png", "A 53019-2024")</f>
        <v/>
      </c>
      <c r="V38">
        <f>HYPERLINK("https://klasma.github.io/Logging_1981/klagomål/A 53019-2024 FSC-klagomål.docx", "A 53019-2024")</f>
        <v/>
      </c>
      <c r="W38">
        <f>HYPERLINK("https://klasma.github.io/Logging_1981/klagomålsmail/A 53019-2024 FSC-klagomål mail.docx", "A 53019-2024")</f>
        <v/>
      </c>
      <c r="X38">
        <f>HYPERLINK("https://klasma.github.io/Logging_1981/tillsyn/A 53019-2024 tillsynsbegäran.docx", "A 53019-2024")</f>
        <v/>
      </c>
      <c r="Y38">
        <f>HYPERLINK("https://klasma.github.io/Logging_1981/tillsynsmail/A 53019-2024 tillsynsbegäran mail.docx", "A 53019-2024")</f>
        <v/>
      </c>
      <c r="Z38">
        <f>HYPERLINK("https://klasma.github.io/Logging_1981/fåglar/A 53019-2024 prioriterade fågelarter.docx", "A 53019-2024")</f>
        <v/>
      </c>
    </row>
    <row r="39" ht="15" customHeight="1">
      <c r="A39" t="inlineStr">
        <is>
          <t>A 1357-2025</t>
        </is>
      </c>
      <c r="B39" s="1" t="n">
        <v>45667</v>
      </c>
      <c r="C39" s="1" t="n">
        <v>45671</v>
      </c>
      <c r="D39" t="inlineStr">
        <is>
          <t>VÄSTMANLANDS LÄN</t>
        </is>
      </c>
      <c r="E39" t="inlineStr">
        <is>
          <t>SALA</t>
        </is>
      </c>
      <c r="G39" t="n">
        <v>8.5</v>
      </c>
      <c r="H39" t="n">
        <v>2</v>
      </c>
      <c r="I39" t="n">
        <v>0</v>
      </c>
      <c r="J39" t="n">
        <v>1</v>
      </c>
      <c r="K39" t="n">
        <v>0</v>
      </c>
      <c r="L39" t="n">
        <v>0</v>
      </c>
      <c r="M39" t="n">
        <v>0</v>
      </c>
      <c r="N39" t="n">
        <v>0</v>
      </c>
      <c r="O39" t="n">
        <v>1</v>
      </c>
      <c r="P39" t="n">
        <v>0</v>
      </c>
      <c r="Q39" t="n">
        <v>3</v>
      </c>
      <c r="R39" s="2" t="inlineStr">
        <is>
          <t>Tallticka
Fläcknycklar
Blåsippa</t>
        </is>
      </c>
      <c r="S39">
        <f>HYPERLINK("https://klasma.github.io/Logging_1981/artfynd/A 1357-2025 artfynd.xlsx", "A 1357-2025")</f>
        <v/>
      </c>
      <c r="T39">
        <f>HYPERLINK("https://klasma.github.io/Logging_1981/kartor/A 1357-2025 karta.png", "A 1357-2025")</f>
        <v/>
      </c>
      <c r="V39">
        <f>HYPERLINK("https://klasma.github.io/Logging_1981/klagomål/A 1357-2025 FSC-klagomål.docx", "A 1357-2025")</f>
        <v/>
      </c>
      <c r="W39">
        <f>HYPERLINK("https://klasma.github.io/Logging_1981/klagomålsmail/A 1357-2025 FSC-klagomål mail.docx", "A 1357-2025")</f>
        <v/>
      </c>
      <c r="X39">
        <f>HYPERLINK("https://klasma.github.io/Logging_1981/tillsyn/A 1357-2025 tillsynsbegäran.docx", "A 1357-2025")</f>
        <v/>
      </c>
      <c r="Y39">
        <f>HYPERLINK("https://klasma.github.io/Logging_1981/tillsynsmail/A 1357-2025 tillsynsbegäran mail.docx", "A 1357-2025")</f>
        <v/>
      </c>
    </row>
    <row r="40" ht="15" customHeight="1">
      <c r="A40" t="inlineStr">
        <is>
          <t>A 35213-2019</t>
        </is>
      </c>
      <c r="B40" s="1" t="n">
        <v>43662</v>
      </c>
      <c r="C40" s="1" t="n">
        <v>45671</v>
      </c>
      <c r="D40" t="inlineStr">
        <is>
          <t>VÄSTMANLANDS LÄN</t>
        </is>
      </c>
      <c r="E40" t="inlineStr">
        <is>
          <t>SALA</t>
        </is>
      </c>
      <c r="G40" t="n">
        <v>44.3</v>
      </c>
      <c r="H40" t="n">
        <v>1</v>
      </c>
      <c r="I40" t="n">
        <v>1</v>
      </c>
      <c r="J40" t="n">
        <v>1</v>
      </c>
      <c r="K40" t="n">
        <v>0</v>
      </c>
      <c r="L40" t="n">
        <v>0</v>
      </c>
      <c r="M40" t="n">
        <v>0</v>
      </c>
      <c r="N40" t="n">
        <v>0</v>
      </c>
      <c r="O40" t="n">
        <v>1</v>
      </c>
      <c r="P40" t="n">
        <v>0</v>
      </c>
      <c r="Q40" t="n">
        <v>2</v>
      </c>
      <c r="R40" s="2" t="inlineStr">
        <is>
          <t>Järpe
Mörk husmossa</t>
        </is>
      </c>
      <c r="S40">
        <f>HYPERLINK("https://klasma.github.io/Logging_1981/artfynd/A 35213-2019 artfynd.xlsx", "A 35213-2019")</f>
        <v/>
      </c>
      <c r="T40">
        <f>HYPERLINK("https://klasma.github.io/Logging_1981/kartor/A 35213-2019 karta.png", "A 35213-2019")</f>
        <v/>
      </c>
      <c r="U40">
        <f>HYPERLINK("https://klasma.github.io/Logging_1981/knärot/A 35213-2019 karta knärot.png", "A 35213-2019")</f>
        <v/>
      </c>
      <c r="V40">
        <f>HYPERLINK("https://klasma.github.io/Logging_1981/klagomål/A 35213-2019 FSC-klagomål.docx", "A 35213-2019")</f>
        <v/>
      </c>
      <c r="W40">
        <f>HYPERLINK("https://klasma.github.io/Logging_1981/klagomålsmail/A 35213-2019 FSC-klagomål mail.docx", "A 35213-2019")</f>
        <v/>
      </c>
      <c r="X40">
        <f>HYPERLINK("https://klasma.github.io/Logging_1981/tillsyn/A 35213-2019 tillsynsbegäran.docx", "A 35213-2019")</f>
        <v/>
      </c>
      <c r="Y40">
        <f>HYPERLINK("https://klasma.github.io/Logging_1981/tillsynsmail/A 35213-2019 tillsynsbegäran mail.docx", "A 35213-2019")</f>
        <v/>
      </c>
      <c r="Z40">
        <f>HYPERLINK("https://klasma.github.io/Logging_1981/fåglar/A 35213-2019 prioriterade fågelarter.docx", "A 35213-2019")</f>
        <v/>
      </c>
    </row>
    <row r="41" ht="15" customHeight="1">
      <c r="A41" t="inlineStr">
        <is>
          <t>A 39483-2019</t>
        </is>
      </c>
      <c r="B41" s="1" t="n">
        <v>43691</v>
      </c>
      <c r="C41" s="1" t="n">
        <v>45671</v>
      </c>
      <c r="D41" t="inlineStr">
        <is>
          <t>VÄSTMANLANDS LÄN</t>
        </is>
      </c>
      <c r="E41" t="inlineStr">
        <is>
          <t>SALA</t>
        </is>
      </c>
      <c r="G41" t="n">
        <v>4.6</v>
      </c>
      <c r="H41" t="n">
        <v>2</v>
      </c>
      <c r="I41" t="n">
        <v>0</v>
      </c>
      <c r="J41" t="n">
        <v>1</v>
      </c>
      <c r="K41" t="n">
        <v>0</v>
      </c>
      <c r="L41" t="n">
        <v>0</v>
      </c>
      <c r="M41" t="n">
        <v>0</v>
      </c>
      <c r="N41" t="n">
        <v>0</v>
      </c>
      <c r="O41" t="n">
        <v>1</v>
      </c>
      <c r="P41" t="n">
        <v>0</v>
      </c>
      <c r="Q41" t="n">
        <v>2</v>
      </c>
      <c r="R41" s="2" t="inlineStr">
        <is>
          <t>Nordfladdermus
Vattenfladdermus</t>
        </is>
      </c>
      <c r="S41">
        <f>HYPERLINK("https://klasma.github.io/Logging_1981/artfynd/A 39483-2019 artfynd.xlsx", "A 39483-2019")</f>
        <v/>
      </c>
      <c r="T41">
        <f>HYPERLINK("https://klasma.github.io/Logging_1981/kartor/A 39483-2019 karta.png", "A 39483-2019")</f>
        <v/>
      </c>
      <c r="V41">
        <f>HYPERLINK("https://klasma.github.io/Logging_1981/klagomål/A 39483-2019 FSC-klagomål.docx", "A 39483-2019")</f>
        <v/>
      </c>
      <c r="W41">
        <f>HYPERLINK("https://klasma.github.io/Logging_1981/klagomålsmail/A 39483-2019 FSC-klagomål mail.docx", "A 39483-2019")</f>
        <v/>
      </c>
      <c r="X41">
        <f>HYPERLINK("https://klasma.github.io/Logging_1981/tillsyn/A 39483-2019 tillsynsbegäran.docx", "A 39483-2019")</f>
        <v/>
      </c>
      <c r="Y41">
        <f>HYPERLINK("https://klasma.github.io/Logging_1981/tillsynsmail/A 39483-2019 tillsynsbegäran mail.docx", "A 39483-2019")</f>
        <v/>
      </c>
    </row>
    <row r="42" ht="15" customHeight="1">
      <c r="A42" t="inlineStr">
        <is>
          <t>A 59152-2019</t>
        </is>
      </c>
      <c r="B42" s="1" t="n">
        <v>43775</v>
      </c>
      <c r="C42" s="1" t="n">
        <v>45671</v>
      </c>
      <c r="D42" t="inlineStr">
        <is>
          <t>VÄSTMANLANDS LÄN</t>
        </is>
      </c>
      <c r="E42" t="inlineStr">
        <is>
          <t>SALA</t>
        </is>
      </c>
      <c r="F42" t="inlineStr">
        <is>
          <t>Övriga Aktiebolag</t>
        </is>
      </c>
      <c r="G42" t="n">
        <v>4.6</v>
      </c>
      <c r="H42" t="n">
        <v>0</v>
      </c>
      <c r="I42" t="n">
        <v>1</v>
      </c>
      <c r="J42" t="n">
        <v>1</v>
      </c>
      <c r="K42" t="n">
        <v>0</v>
      </c>
      <c r="L42" t="n">
        <v>0</v>
      </c>
      <c r="M42" t="n">
        <v>0</v>
      </c>
      <c r="N42" t="n">
        <v>0</v>
      </c>
      <c r="O42" t="n">
        <v>1</v>
      </c>
      <c r="P42" t="n">
        <v>0</v>
      </c>
      <c r="Q42" t="n">
        <v>2</v>
      </c>
      <c r="R42" s="2" t="inlineStr">
        <is>
          <t>Svart taggsvamp
Vedticka</t>
        </is>
      </c>
      <c r="S42">
        <f>HYPERLINK("https://klasma.github.io/Logging_1981/artfynd/A 59152-2019 artfynd.xlsx", "A 59152-2019")</f>
        <v/>
      </c>
      <c r="T42">
        <f>HYPERLINK("https://klasma.github.io/Logging_1981/kartor/A 59152-2019 karta.png", "A 59152-2019")</f>
        <v/>
      </c>
      <c r="V42">
        <f>HYPERLINK("https://klasma.github.io/Logging_1981/klagomål/A 59152-2019 FSC-klagomål.docx", "A 59152-2019")</f>
        <v/>
      </c>
      <c r="W42">
        <f>HYPERLINK("https://klasma.github.io/Logging_1981/klagomålsmail/A 59152-2019 FSC-klagomål mail.docx", "A 59152-2019")</f>
        <v/>
      </c>
      <c r="X42">
        <f>HYPERLINK("https://klasma.github.io/Logging_1981/tillsyn/A 59152-2019 tillsynsbegäran.docx", "A 59152-2019")</f>
        <v/>
      </c>
      <c r="Y42">
        <f>HYPERLINK("https://klasma.github.io/Logging_1981/tillsynsmail/A 59152-2019 tillsynsbegäran mail.docx", "A 59152-2019")</f>
        <v/>
      </c>
    </row>
    <row r="43" ht="15" customHeight="1">
      <c r="A43" t="inlineStr">
        <is>
          <t>A 32975-2020</t>
        </is>
      </c>
      <c r="B43" s="1" t="n">
        <v>44020</v>
      </c>
      <c r="C43" s="1" t="n">
        <v>45671</v>
      </c>
      <c r="D43" t="inlineStr">
        <is>
          <t>VÄSTMANLANDS LÄN</t>
        </is>
      </c>
      <c r="E43" t="inlineStr">
        <is>
          <t>SALA</t>
        </is>
      </c>
      <c r="G43" t="n">
        <v>10.1</v>
      </c>
      <c r="H43" t="n">
        <v>2</v>
      </c>
      <c r="I43" t="n">
        <v>0</v>
      </c>
      <c r="J43" t="n">
        <v>0</v>
      </c>
      <c r="K43" t="n">
        <v>1</v>
      </c>
      <c r="L43" t="n">
        <v>0</v>
      </c>
      <c r="M43" t="n">
        <v>0</v>
      </c>
      <c r="N43" t="n">
        <v>0</v>
      </c>
      <c r="O43" t="n">
        <v>1</v>
      </c>
      <c r="P43" t="n">
        <v>1</v>
      </c>
      <c r="Q43" t="n">
        <v>2</v>
      </c>
      <c r="R43" s="2" t="inlineStr">
        <is>
          <t>Knärot
Revlummer</t>
        </is>
      </c>
      <c r="S43">
        <f>HYPERLINK("https://klasma.github.io/Logging_1981/artfynd/A 32975-2020 artfynd.xlsx", "A 32975-2020")</f>
        <v/>
      </c>
      <c r="T43">
        <f>HYPERLINK("https://klasma.github.io/Logging_1981/kartor/A 32975-2020 karta.png", "A 32975-2020")</f>
        <v/>
      </c>
      <c r="U43">
        <f>HYPERLINK("https://klasma.github.io/Logging_1981/knärot/A 32975-2020 karta knärot.png", "A 32975-2020")</f>
        <v/>
      </c>
      <c r="V43">
        <f>HYPERLINK("https://klasma.github.io/Logging_1981/klagomål/A 32975-2020 FSC-klagomål.docx", "A 32975-2020")</f>
        <v/>
      </c>
      <c r="W43">
        <f>HYPERLINK("https://klasma.github.io/Logging_1981/klagomålsmail/A 32975-2020 FSC-klagomål mail.docx", "A 32975-2020")</f>
        <v/>
      </c>
      <c r="X43">
        <f>HYPERLINK("https://klasma.github.io/Logging_1981/tillsyn/A 32975-2020 tillsynsbegäran.docx", "A 32975-2020")</f>
        <v/>
      </c>
      <c r="Y43">
        <f>HYPERLINK("https://klasma.github.io/Logging_1981/tillsynsmail/A 32975-2020 tillsynsbegäran mail.docx", "A 32975-2020")</f>
        <v/>
      </c>
    </row>
    <row r="44" ht="15" customHeight="1">
      <c r="A44" t="inlineStr">
        <is>
          <t>A 54555-2021</t>
        </is>
      </c>
      <c r="B44" s="1" t="n">
        <v>44473</v>
      </c>
      <c r="C44" s="1" t="n">
        <v>45671</v>
      </c>
      <c r="D44" t="inlineStr">
        <is>
          <t>VÄSTMANLANDS LÄN</t>
        </is>
      </c>
      <c r="E44" t="inlineStr">
        <is>
          <t>SALA</t>
        </is>
      </c>
      <c r="G44" t="n">
        <v>13</v>
      </c>
      <c r="H44" t="n">
        <v>0</v>
      </c>
      <c r="I44" t="n">
        <v>1</v>
      </c>
      <c r="J44" t="n">
        <v>1</v>
      </c>
      <c r="K44" t="n">
        <v>0</v>
      </c>
      <c r="L44" t="n">
        <v>0</v>
      </c>
      <c r="M44" t="n">
        <v>0</v>
      </c>
      <c r="N44" t="n">
        <v>0</v>
      </c>
      <c r="O44" t="n">
        <v>1</v>
      </c>
      <c r="P44" t="n">
        <v>0</v>
      </c>
      <c r="Q44" t="n">
        <v>2</v>
      </c>
      <c r="R44" s="2" t="inlineStr">
        <is>
          <t>Storgröe
Stubbspretmossa</t>
        </is>
      </c>
      <c r="S44">
        <f>HYPERLINK("https://klasma.github.io/Logging_1981/artfynd/A 54555-2021 artfynd.xlsx", "A 54555-2021")</f>
        <v/>
      </c>
      <c r="T44">
        <f>HYPERLINK("https://klasma.github.io/Logging_1981/kartor/A 54555-2021 karta.png", "A 54555-2021")</f>
        <v/>
      </c>
      <c r="V44">
        <f>HYPERLINK("https://klasma.github.io/Logging_1981/klagomål/A 54555-2021 FSC-klagomål.docx", "A 54555-2021")</f>
        <v/>
      </c>
      <c r="W44">
        <f>HYPERLINK("https://klasma.github.io/Logging_1981/klagomålsmail/A 54555-2021 FSC-klagomål mail.docx", "A 54555-2021")</f>
        <v/>
      </c>
      <c r="X44">
        <f>HYPERLINK("https://klasma.github.io/Logging_1981/tillsyn/A 54555-2021 tillsynsbegäran.docx", "A 54555-2021")</f>
        <v/>
      </c>
      <c r="Y44">
        <f>HYPERLINK("https://klasma.github.io/Logging_1981/tillsynsmail/A 54555-2021 tillsynsbegäran mail.docx", "A 54555-2021")</f>
        <v/>
      </c>
    </row>
    <row r="45" ht="15" customHeight="1">
      <c r="A45" t="inlineStr">
        <is>
          <t>A 73598-2021</t>
        </is>
      </c>
      <c r="B45" s="1" t="n">
        <v>44552</v>
      </c>
      <c r="C45" s="1" t="n">
        <v>45671</v>
      </c>
      <c r="D45" t="inlineStr">
        <is>
          <t>VÄSTMANLANDS LÄN</t>
        </is>
      </c>
      <c r="E45" t="inlineStr">
        <is>
          <t>SALA</t>
        </is>
      </c>
      <c r="G45" t="n">
        <v>1.3</v>
      </c>
      <c r="H45" t="n">
        <v>1</v>
      </c>
      <c r="I45" t="n">
        <v>1</v>
      </c>
      <c r="J45" t="n">
        <v>0</v>
      </c>
      <c r="K45" t="n">
        <v>0</v>
      </c>
      <c r="L45" t="n">
        <v>0</v>
      </c>
      <c r="M45" t="n">
        <v>0</v>
      </c>
      <c r="N45" t="n">
        <v>0</v>
      </c>
      <c r="O45" t="n">
        <v>0</v>
      </c>
      <c r="P45" t="n">
        <v>0</v>
      </c>
      <c r="Q45" t="n">
        <v>2</v>
      </c>
      <c r="R45" s="2" t="inlineStr">
        <is>
          <t>Kryddspindling
Blåsippa</t>
        </is>
      </c>
      <c r="S45">
        <f>HYPERLINK("https://klasma.github.io/Logging_1981/artfynd/A 73598-2021 artfynd.xlsx", "A 73598-2021")</f>
        <v/>
      </c>
      <c r="T45">
        <f>HYPERLINK("https://klasma.github.io/Logging_1981/kartor/A 73598-2021 karta.png", "A 73598-2021")</f>
        <v/>
      </c>
      <c r="V45">
        <f>HYPERLINK("https://klasma.github.io/Logging_1981/klagomål/A 73598-2021 FSC-klagomål.docx", "A 73598-2021")</f>
        <v/>
      </c>
      <c r="W45">
        <f>HYPERLINK("https://klasma.github.io/Logging_1981/klagomålsmail/A 73598-2021 FSC-klagomål mail.docx", "A 73598-2021")</f>
        <v/>
      </c>
      <c r="X45">
        <f>HYPERLINK("https://klasma.github.io/Logging_1981/tillsyn/A 73598-2021 tillsynsbegäran.docx", "A 73598-2021")</f>
        <v/>
      </c>
      <c r="Y45">
        <f>HYPERLINK("https://klasma.github.io/Logging_1981/tillsynsmail/A 73598-2021 tillsynsbegäran mail.docx", "A 73598-2021")</f>
        <v/>
      </c>
    </row>
    <row r="46" ht="15" customHeight="1">
      <c r="A46" t="inlineStr">
        <is>
          <t>A 1500-2022</t>
        </is>
      </c>
      <c r="B46" s="1" t="n">
        <v>44573</v>
      </c>
      <c r="C46" s="1" t="n">
        <v>45671</v>
      </c>
      <c r="D46" t="inlineStr">
        <is>
          <t>VÄSTMANLANDS LÄN</t>
        </is>
      </c>
      <c r="E46" t="inlineStr">
        <is>
          <t>SALA</t>
        </is>
      </c>
      <c r="G46" t="n">
        <v>5.8</v>
      </c>
      <c r="H46" t="n">
        <v>2</v>
      </c>
      <c r="I46" t="n">
        <v>0</v>
      </c>
      <c r="J46" t="n">
        <v>0</v>
      </c>
      <c r="K46" t="n">
        <v>1</v>
      </c>
      <c r="L46" t="n">
        <v>0</v>
      </c>
      <c r="M46" t="n">
        <v>0</v>
      </c>
      <c r="N46" t="n">
        <v>0</v>
      </c>
      <c r="O46" t="n">
        <v>1</v>
      </c>
      <c r="P46" t="n">
        <v>1</v>
      </c>
      <c r="Q46" t="n">
        <v>2</v>
      </c>
      <c r="R46" s="2" t="inlineStr">
        <is>
          <t>Knärot
Revlummer</t>
        </is>
      </c>
      <c r="S46">
        <f>HYPERLINK("https://klasma.github.io/Logging_1981/artfynd/A 1500-2022 artfynd.xlsx", "A 1500-2022")</f>
        <v/>
      </c>
      <c r="T46">
        <f>HYPERLINK("https://klasma.github.io/Logging_1981/kartor/A 1500-2022 karta.png", "A 1500-2022")</f>
        <v/>
      </c>
      <c r="U46">
        <f>HYPERLINK("https://klasma.github.io/Logging_1981/knärot/A 1500-2022 karta knärot.png", "A 1500-2022")</f>
        <v/>
      </c>
      <c r="V46">
        <f>HYPERLINK("https://klasma.github.io/Logging_1981/klagomål/A 1500-2022 FSC-klagomål.docx", "A 1500-2022")</f>
        <v/>
      </c>
      <c r="W46">
        <f>HYPERLINK("https://klasma.github.io/Logging_1981/klagomålsmail/A 1500-2022 FSC-klagomål mail.docx", "A 1500-2022")</f>
        <v/>
      </c>
      <c r="X46">
        <f>HYPERLINK("https://klasma.github.io/Logging_1981/tillsyn/A 1500-2022 tillsynsbegäran.docx", "A 1500-2022")</f>
        <v/>
      </c>
      <c r="Y46">
        <f>HYPERLINK("https://klasma.github.io/Logging_1981/tillsynsmail/A 1500-2022 tillsynsbegäran mail.docx", "A 1500-2022")</f>
        <v/>
      </c>
    </row>
    <row r="47" ht="15" customHeight="1">
      <c r="A47" t="inlineStr">
        <is>
          <t>A 40042-2022</t>
        </is>
      </c>
      <c r="B47" s="1" t="n">
        <v>44819</v>
      </c>
      <c r="C47" s="1" t="n">
        <v>45671</v>
      </c>
      <c r="D47" t="inlineStr">
        <is>
          <t>VÄSTMANLANDS LÄN</t>
        </is>
      </c>
      <c r="E47" t="inlineStr">
        <is>
          <t>SALA</t>
        </is>
      </c>
      <c r="G47" t="n">
        <v>1.7</v>
      </c>
      <c r="H47" t="n">
        <v>2</v>
      </c>
      <c r="I47" t="n">
        <v>0</v>
      </c>
      <c r="J47" t="n">
        <v>0</v>
      </c>
      <c r="K47" t="n">
        <v>1</v>
      </c>
      <c r="L47" t="n">
        <v>0</v>
      </c>
      <c r="M47" t="n">
        <v>0</v>
      </c>
      <c r="N47" t="n">
        <v>0</v>
      </c>
      <c r="O47" t="n">
        <v>1</v>
      </c>
      <c r="P47" t="n">
        <v>1</v>
      </c>
      <c r="Q47" t="n">
        <v>2</v>
      </c>
      <c r="R47" s="2" t="inlineStr">
        <is>
          <t>Knärot
Revlummer</t>
        </is>
      </c>
      <c r="S47">
        <f>HYPERLINK("https://klasma.github.io/Logging_1981/artfynd/A 40042-2022 artfynd.xlsx", "A 40042-2022")</f>
        <v/>
      </c>
      <c r="T47">
        <f>HYPERLINK("https://klasma.github.io/Logging_1981/kartor/A 40042-2022 karta.png", "A 40042-2022")</f>
        <v/>
      </c>
      <c r="U47">
        <f>HYPERLINK("https://klasma.github.io/Logging_1981/knärot/A 40042-2022 karta knärot.png", "A 40042-2022")</f>
        <v/>
      </c>
      <c r="V47">
        <f>HYPERLINK("https://klasma.github.io/Logging_1981/klagomål/A 40042-2022 FSC-klagomål.docx", "A 40042-2022")</f>
        <v/>
      </c>
      <c r="W47">
        <f>HYPERLINK("https://klasma.github.io/Logging_1981/klagomålsmail/A 40042-2022 FSC-klagomål mail.docx", "A 40042-2022")</f>
        <v/>
      </c>
      <c r="X47">
        <f>HYPERLINK("https://klasma.github.io/Logging_1981/tillsyn/A 40042-2022 tillsynsbegäran.docx", "A 40042-2022")</f>
        <v/>
      </c>
      <c r="Y47">
        <f>HYPERLINK("https://klasma.github.io/Logging_1981/tillsynsmail/A 40042-2022 tillsynsbegäran mail.docx", "A 40042-2022")</f>
        <v/>
      </c>
    </row>
    <row r="48" ht="15" customHeight="1">
      <c r="A48" t="inlineStr">
        <is>
          <t>A 52909-2022</t>
        </is>
      </c>
      <c r="B48" s="1" t="n">
        <v>44875</v>
      </c>
      <c r="C48" s="1" t="n">
        <v>45671</v>
      </c>
      <c r="D48" t="inlineStr">
        <is>
          <t>VÄSTMANLANDS LÄN</t>
        </is>
      </c>
      <c r="E48" t="inlineStr">
        <is>
          <t>SALA</t>
        </is>
      </c>
      <c r="G48" t="n">
        <v>0.5</v>
      </c>
      <c r="H48" t="n">
        <v>1</v>
      </c>
      <c r="I48" t="n">
        <v>0</v>
      </c>
      <c r="J48" t="n">
        <v>1</v>
      </c>
      <c r="K48" t="n">
        <v>0</v>
      </c>
      <c r="L48" t="n">
        <v>0</v>
      </c>
      <c r="M48" t="n">
        <v>0</v>
      </c>
      <c r="N48" t="n">
        <v>0</v>
      </c>
      <c r="O48" t="n">
        <v>1</v>
      </c>
      <c r="P48" t="n">
        <v>0</v>
      </c>
      <c r="Q48" t="n">
        <v>2</v>
      </c>
      <c r="R48" s="2" t="inlineStr">
        <is>
          <t>Svinrot
Nattviol</t>
        </is>
      </c>
      <c r="S48">
        <f>HYPERLINK("https://klasma.github.io/Logging_1981/artfynd/A 52909-2022 artfynd.xlsx", "A 52909-2022")</f>
        <v/>
      </c>
      <c r="T48">
        <f>HYPERLINK("https://klasma.github.io/Logging_1981/kartor/A 52909-2022 karta.png", "A 52909-2022")</f>
        <v/>
      </c>
      <c r="V48">
        <f>HYPERLINK("https://klasma.github.io/Logging_1981/klagomål/A 52909-2022 FSC-klagomål.docx", "A 52909-2022")</f>
        <v/>
      </c>
      <c r="W48">
        <f>HYPERLINK("https://klasma.github.io/Logging_1981/klagomålsmail/A 52909-2022 FSC-klagomål mail.docx", "A 52909-2022")</f>
        <v/>
      </c>
      <c r="X48">
        <f>HYPERLINK("https://klasma.github.io/Logging_1981/tillsyn/A 52909-2022 tillsynsbegäran.docx", "A 52909-2022")</f>
        <v/>
      </c>
      <c r="Y48">
        <f>HYPERLINK("https://klasma.github.io/Logging_1981/tillsynsmail/A 52909-2022 tillsynsbegäran mail.docx", "A 52909-2022")</f>
        <v/>
      </c>
    </row>
    <row r="49" ht="15" customHeight="1">
      <c r="A49" t="inlineStr">
        <is>
          <t>A 7747-2023</t>
        </is>
      </c>
      <c r="B49" s="1" t="n">
        <v>44973</v>
      </c>
      <c r="C49" s="1" t="n">
        <v>45671</v>
      </c>
      <c r="D49" t="inlineStr">
        <is>
          <t>VÄSTMANLANDS LÄN</t>
        </is>
      </c>
      <c r="E49" t="inlineStr">
        <is>
          <t>SALA</t>
        </is>
      </c>
      <c r="F49" t="inlineStr">
        <is>
          <t>Övriga Aktiebolag</t>
        </is>
      </c>
      <c r="G49" t="n">
        <v>3.1</v>
      </c>
      <c r="H49" t="n">
        <v>1</v>
      </c>
      <c r="I49" t="n">
        <v>0</v>
      </c>
      <c r="J49" t="n">
        <v>2</v>
      </c>
      <c r="K49" t="n">
        <v>0</v>
      </c>
      <c r="L49" t="n">
        <v>0</v>
      </c>
      <c r="M49" t="n">
        <v>0</v>
      </c>
      <c r="N49" t="n">
        <v>0</v>
      </c>
      <c r="O49" t="n">
        <v>2</v>
      </c>
      <c r="P49" t="n">
        <v>0</v>
      </c>
      <c r="Q49" t="n">
        <v>2</v>
      </c>
      <c r="R49" s="2" t="inlineStr">
        <is>
          <t>Mindre timmerman
Talltita</t>
        </is>
      </c>
      <c r="S49">
        <f>HYPERLINK("https://klasma.github.io/Logging_1981/artfynd/A 7747-2023 artfynd.xlsx", "A 7747-2023")</f>
        <v/>
      </c>
      <c r="T49">
        <f>HYPERLINK("https://klasma.github.io/Logging_1981/kartor/A 7747-2023 karta.png", "A 7747-2023")</f>
        <v/>
      </c>
      <c r="V49">
        <f>HYPERLINK("https://klasma.github.io/Logging_1981/klagomål/A 7747-2023 FSC-klagomål.docx", "A 7747-2023")</f>
        <v/>
      </c>
      <c r="W49">
        <f>HYPERLINK("https://klasma.github.io/Logging_1981/klagomålsmail/A 7747-2023 FSC-klagomål mail.docx", "A 7747-2023")</f>
        <v/>
      </c>
      <c r="X49">
        <f>HYPERLINK("https://klasma.github.io/Logging_1981/tillsyn/A 7747-2023 tillsynsbegäran.docx", "A 7747-2023")</f>
        <v/>
      </c>
      <c r="Y49">
        <f>HYPERLINK("https://klasma.github.io/Logging_1981/tillsynsmail/A 7747-2023 tillsynsbegäran mail.docx", "A 7747-2023")</f>
        <v/>
      </c>
      <c r="Z49">
        <f>HYPERLINK("https://klasma.github.io/Logging_1981/fåglar/A 7747-2023 prioriterade fågelarter.docx", "A 7747-2023")</f>
        <v/>
      </c>
    </row>
    <row r="50" ht="15" customHeight="1">
      <c r="A50" t="inlineStr">
        <is>
          <t>A 13029-2023</t>
        </is>
      </c>
      <c r="B50" s="1" t="n">
        <v>45001</v>
      </c>
      <c r="C50" s="1" t="n">
        <v>45671</v>
      </c>
      <c r="D50" t="inlineStr">
        <is>
          <t>VÄSTMANLANDS LÄN</t>
        </is>
      </c>
      <c r="E50" t="inlineStr">
        <is>
          <t>SALA</t>
        </is>
      </c>
      <c r="G50" t="n">
        <v>2</v>
      </c>
      <c r="H50" t="n">
        <v>0</v>
      </c>
      <c r="I50" t="n">
        <v>0</v>
      </c>
      <c r="J50" t="n">
        <v>2</v>
      </c>
      <c r="K50" t="n">
        <v>0</v>
      </c>
      <c r="L50" t="n">
        <v>0</v>
      </c>
      <c r="M50" t="n">
        <v>0</v>
      </c>
      <c r="N50" t="n">
        <v>0</v>
      </c>
      <c r="O50" t="n">
        <v>2</v>
      </c>
      <c r="P50" t="n">
        <v>0</v>
      </c>
      <c r="Q50" t="n">
        <v>2</v>
      </c>
      <c r="R50" s="2" t="inlineStr">
        <is>
          <t>Krusfrö
Linmåra/småsnärjmåra</t>
        </is>
      </c>
      <c r="S50">
        <f>HYPERLINK("https://klasma.github.io/Logging_1981/artfynd/A 13029-2023 artfynd.xlsx", "A 13029-2023")</f>
        <v/>
      </c>
      <c r="T50">
        <f>HYPERLINK("https://klasma.github.io/Logging_1981/kartor/A 13029-2023 karta.png", "A 13029-2023")</f>
        <v/>
      </c>
      <c r="V50">
        <f>HYPERLINK("https://klasma.github.io/Logging_1981/klagomål/A 13029-2023 FSC-klagomål.docx", "A 13029-2023")</f>
        <v/>
      </c>
      <c r="W50">
        <f>HYPERLINK("https://klasma.github.io/Logging_1981/klagomålsmail/A 13029-2023 FSC-klagomål mail.docx", "A 13029-2023")</f>
        <v/>
      </c>
      <c r="X50">
        <f>HYPERLINK("https://klasma.github.io/Logging_1981/tillsyn/A 13029-2023 tillsynsbegäran.docx", "A 13029-2023")</f>
        <v/>
      </c>
      <c r="Y50">
        <f>HYPERLINK("https://klasma.github.io/Logging_1981/tillsynsmail/A 13029-2023 tillsynsbegäran mail.docx", "A 13029-2023")</f>
        <v/>
      </c>
    </row>
    <row r="51" ht="15" customHeight="1">
      <c r="A51" t="inlineStr">
        <is>
          <t>A 34752-2023</t>
        </is>
      </c>
      <c r="B51" s="1" t="n">
        <v>45141</v>
      </c>
      <c r="C51" s="1" t="n">
        <v>45671</v>
      </c>
      <c r="D51" t="inlineStr">
        <is>
          <t>VÄSTMANLANDS LÄN</t>
        </is>
      </c>
      <c r="E51" t="inlineStr">
        <is>
          <t>SALA</t>
        </is>
      </c>
      <c r="G51" t="n">
        <v>4.9</v>
      </c>
      <c r="H51" t="n">
        <v>1</v>
      </c>
      <c r="I51" t="n">
        <v>0</v>
      </c>
      <c r="J51" t="n">
        <v>0</v>
      </c>
      <c r="K51" t="n">
        <v>2</v>
      </c>
      <c r="L51" t="n">
        <v>0</v>
      </c>
      <c r="M51" t="n">
        <v>0</v>
      </c>
      <c r="N51" t="n">
        <v>0</v>
      </c>
      <c r="O51" t="n">
        <v>2</v>
      </c>
      <c r="P51" t="n">
        <v>2</v>
      </c>
      <c r="Q51" t="n">
        <v>2</v>
      </c>
      <c r="R51" s="2" t="inlineStr">
        <is>
          <t>Knärot
Sprickporing</t>
        </is>
      </c>
      <c r="S51">
        <f>HYPERLINK("https://klasma.github.io/Logging_1981/artfynd/A 34752-2023 artfynd.xlsx", "A 34752-2023")</f>
        <v/>
      </c>
      <c r="T51">
        <f>HYPERLINK("https://klasma.github.io/Logging_1981/kartor/A 34752-2023 karta.png", "A 34752-2023")</f>
        <v/>
      </c>
      <c r="U51">
        <f>HYPERLINK("https://klasma.github.io/Logging_1981/knärot/A 34752-2023 karta knärot.png", "A 34752-2023")</f>
        <v/>
      </c>
      <c r="V51">
        <f>HYPERLINK("https://klasma.github.io/Logging_1981/klagomål/A 34752-2023 FSC-klagomål.docx", "A 34752-2023")</f>
        <v/>
      </c>
      <c r="W51">
        <f>HYPERLINK("https://klasma.github.io/Logging_1981/klagomålsmail/A 34752-2023 FSC-klagomål mail.docx", "A 34752-2023")</f>
        <v/>
      </c>
      <c r="X51">
        <f>HYPERLINK("https://klasma.github.io/Logging_1981/tillsyn/A 34752-2023 tillsynsbegäran.docx", "A 34752-2023")</f>
        <v/>
      </c>
      <c r="Y51">
        <f>HYPERLINK("https://klasma.github.io/Logging_1981/tillsynsmail/A 34752-2023 tillsynsbegäran mail.docx", "A 34752-2023")</f>
        <v/>
      </c>
    </row>
    <row r="52" ht="15" customHeight="1">
      <c r="A52" t="inlineStr">
        <is>
          <t>A 59780-2023</t>
        </is>
      </c>
      <c r="B52" s="1" t="n">
        <v>45257</v>
      </c>
      <c r="C52" s="1" t="n">
        <v>45671</v>
      </c>
      <c r="D52" t="inlineStr">
        <is>
          <t>VÄSTMANLANDS LÄN</t>
        </is>
      </c>
      <c r="E52" t="inlineStr">
        <is>
          <t>SALA</t>
        </is>
      </c>
      <c r="G52" t="n">
        <v>5.9</v>
      </c>
      <c r="H52" t="n">
        <v>1</v>
      </c>
      <c r="I52" t="n">
        <v>0</v>
      </c>
      <c r="J52" t="n">
        <v>1</v>
      </c>
      <c r="K52" t="n">
        <v>1</v>
      </c>
      <c r="L52" t="n">
        <v>0</v>
      </c>
      <c r="M52" t="n">
        <v>0</v>
      </c>
      <c r="N52" t="n">
        <v>0</v>
      </c>
      <c r="O52" t="n">
        <v>2</v>
      </c>
      <c r="P52" t="n">
        <v>1</v>
      </c>
      <c r="Q52" t="n">
        <v>2</v>
      </c>
      <c r="R52" s="2" t="inlineStr">
        <is>
          <t>Knärot
Vedtrappmossa</t>
        </is>
      </c>
      <c r="S52">
        <f>HYPERLINK("https://klasma.github.io/Logging_1981/artfynd/A 59780-2023 artfynd.xlsx", "A 59780-2023")</f>
        <v/>
      </c>
      <c r="T52">
        <f>HYPERLINK("https://klasma.github.io/Logging_1981/kartor/A 59780-2023 karta.png", "A 59780-2023")</f>
        <v/>
      </c>
      <c r="U52">
        <f>HYPERLINK("https://klasma.github.io/Logging_1981/knärot/A 59780-2023 karta knärot.png", "A 59780-2023")</f>
        <v/>
      </c>
      <c r="V52">
        <f>HYPERLINK("https://klasma.github.io/Logging_1981/klagomål/A 59780-2023 FSC-klagomål.docx", "A 59780-2023")</f>
        <v/>
      </c>
      <c r="W52">
        <f>HYPERLINK("https://klasma.github.io/Logging_1981/klagomålsmail/A 59780-2023 FSC-klagomål mail.docx", "A 59780-2023")</f>
        <v/>
      </c>
      <c r="X52">
        <f>HYPERLINK("https://klasma.github.io/Logging_1981/tillsyn/A 59780-2023 tillsynsbegäran.docx", "A 59780-2023")</f>
        <v/>
      </c>
      <c r="Y52">
        <f>HYPERLINK("https://klasma.github.io/Logging_1981/tillsynsmail/A 59780-2023 tillsynsbegäran mail.docx", "A 59780-2023")</f>
        <v/>
      </c>
    </row>
    <row r="53" ht="15" customHeight="1">
      <c r="A53" t="inlineStr">
        <is>
          <t>A 4261-2024</t>
        </is>
      </c>
      <c r="B53" s="1" t="n">
        <v>45324</v>
      </c>
      <c r="C53" s="1" t="n">
        <v>45671</v>
      </c>
      <c r="D53" t="inlineStr">
        <is>
          <t>VÄSTMANLANDS LÄN</t>
        </is>
      </c>
      <c r="E53" t="inlineStr">
        <is>
          <t>SALA</t>
        </is>
      </c>
      <c r="G53" t="n">
        <v>5.7</v>
      </c>
      <c r="H53" t="n">
        <v>0</v>
      </c>
      <c r="I53" t="n">
        <v>1</v>
      </c>
      <c r="J53" t="n">
        <v>1</v>
      </c>
      <c r="K53" t="n">
        <v>0</v>
      </c>
      <c r="L53" t="n">
        <v>0</v>
      </c>
      <c r="M53" t="n">
        <v>0</v>
      </c>
      <c r="N53" t="n">
        <v>0</v>
      </c>
      <c r="O53" t="n">
        <v>1</v>
      </c>
      <c r="P53" t="n">
        <v>0</v>
      </c>
      <c r="Q53" t="n">
        <v>2</v>
      </c>
      <c r="R53" s="2" t="inlineStr">
        <is>
          <t>Ullticka
Västlig hakmossa</t>
        </is>
      </c>
      <c r="S53">
        <f>HYPERLINK("https://klasma.github.io/Logging_1981/artfynd/A 4261-2024 artfynd.xlsx", "A 4261-2024")</f>
        <v/>
      </c>
      <c r="T53">
        <f>HYPERLINK("https://klasma.github.io/Logging_1981/kartor/A 4261-2024 karta.png", "A 4261-2024")</f>
        <v/>
      </c>
      <c r="V53">
        <f>HYPERLINK("https://klasma.github.io/Logging_1981/klagomål/A 4261-2024 FSC-klagomål.docx", "A 4261-2024")</f>
        <v/>
      </c>
      <c r="W53">
        <f>HYPERLINK("https://klasma.github.io/Logging_1981/klagomålsmail/A 4261-2024 FSC-klagomål mail.docx", "A 4261-2024")</f>
        <v/>
      </c>
      <c r="X53">
        <f>HYPERLINK("https://klasma.github.io/Logging_1981/tillsyn/A 4261-2024 tillsynsbegäran.docx", "A 4261-2024")</f>
        <v/>
      </c>
      <c r="Y53">
        <f>HYPERLINK("https://klasma.github.io/Logging_1981/tillsynsmail/A 4261-2024 tillsynsbegäran mail.docx", "A 4261-2024")</f>
        <v/>
      </c>
    </row>
    <row r="54" ht="15" customHeight="1">
      <c r="A54" t="inlineStr">
        <is>
          <t>A 9921-2024</t>
        </is>
      </c>
      <c r="B54" s="1" t="n">
        <v>45363</v>
      </c>
      <c r="C54" s="1" t="n">
        <v>45671</v>
      </c>
      <c r="D54" t="inlineStr">
        <is>
          <t>VÄSTMANLANDS LÄN</t>
        </is>
      </c>
      <c r="E54" t="inlineStr">
        <is>
          <t>SALA</t>
        </is>
      </c>
      <c r="G54" t="n">
        <v>5.6</v>
      </c>
      <c r="H54" t="n">
        <v>0</v>
      </c>
      <c r="I54" t="n">
        <v>1</v>
      </c>
      <c r="J54" t="n">
        <v>1</v>
      </c>
      <c r="K54" t="n">
        <v>0</v>
      </c>
      <c r="L54" t="n">
        <v>0</v>
      </c>
      <c r="M54" t="n">
        <v>0</v>
      </c>
      <c r="N54" t="n">
        <v>0</v>
      </c>
      <c r="O54" t="n">
        <v>1</v>
      </c>
      <c r="P54" t="n">
        <v>0</v>
      </c>
      <c r="Q54" t="n">
        <v>2</v>
      </c>
      <c r="R54" s="2" t="inlineStr">
        <is>
          <t>Leptoporus erubescens
Vedticka</t>
        </is>
      </c>
      <c r="S54">
        <f>HYPERLINK("https://klasma.github.io/Logging_1981/artfynd/A 9921-2024 artfynd.xlsx", "A 9921-2024")</f>
        <v/>
      </c>
      <c r="T54">
        <f>HYPERLINK("https://klasma.github.io/Logging_1981/kartor/A 9921-2024 karta.png", "A 9921-2024")</f>
        <v/>
      </c>
      <c r="U54">
        <f>HYPERLINK("https://klasma.github.io/Logging_1981/knärot/A 9921-2024 karta knärot.png", "A 9921-2024")</f>
        <v/>
      </c>
      <c r="V54">
        <f>HYPERLINK("https://klasma.github.io/Logging_1981/klagomål/A 9921-2024 FSC-klagomål.docx", "A 9921-2024")</f>
        <v/>
      </c>
      <c r="W54">
        <f>HYPERLINK("https://klasma.github.io/Logging_1981/klagomålsmail/A 9921-2024 FSC-klagomål mail.docx", "A 9921-2024")</f>
        <v/>
      </c>
      <c r="X54">
        <f>HYPERLINK("https://klasma.github.io/Logging_1981/tillsyn/A 9921-2024 tillsynsbegäran.docx", "A 9921-2024")</f>
        <v/>
      </c>
      <c r="Y54">
        <f>HYPERLINK("https://klasma.github.io/Logging_1981/tillsynsmail/A 9921-2024 tillsynsbegäran mail.docx", "A 9921-2024")</f>
        <v/>
      </c>
    </row>
    <row r="55" ht="15" customHeight="1">
      <c r="A55" t="inlineStr">
        <is>
          <t>A 10552-2024</t>
        </is>
      </c>
      <c r="B55" s="1" t="n">
        <v>45366</v>
      </c>
      <c r="C55" s="1" t="n">
        <v>45671</v>
      </c>
      <c r="D55" t="inlineStr">
        <is>
          <t>VÄSTMANLANDS LÄN</t>
        </is>
      </c>
      <c r="E55" t="inlineStr">
        <is>
          <t>SALA</t>
        </is>
      </c>
      <c r="G55" t="n">
        <v>6.5</v>
      </c>
      <c r="H55" t="n">
        <v>2</v>
      </c>
      <c r="I55" t="n">
        <v>1</v>
      </c>
      <c r="J55" t="n">
        <v>0</v>
      </c>
      <c r="K55" t="n">
        <v>0</v>
      </c>
      <c r="L55" t="n">
        <v>0</v>
      </c>
      <c r="M55" t="n">
        <v>0</v>
      </c>
      <c r="N55" t="n">
        <v>0</v>
      </c>
      <c r="O55" t="n">
        <v>0</v>
      </c>
      <c r="P55" t="n">
        <v>0</v>
      </c>
      <c r="Q55" t="n">
        <v>2</v>
      </c>
      <c r="R55" s="2" t="inlineStr">
        <is>
          <t>Plattlummer
Fläcknycklar</t>
        </is>
      </c>
      <c r="S55">
        <f>HYPERLINK("https://klasma.github.io/Logging_1981/artfynd/A 10552-2024 artfynd.xlsx", "A 10552-2024")</f>
        <v/>
      </c>
      <c r="T55">
        <f>HYPERLINK("https://klasma.github.io/Logging_1981/kartor/A 10552-2024 karta.png", "A 10552-2024")</f>
        <v/>
      </c>
      <c r="V55">
        <f>HYPERLINK("https://klasma.github.io/Logging_1981/klagomål/A 10552-2024 FSC-klagomål.docx", "A 10552-2024")</f>
        <v/>
      </c>
      <c r="W55">
        <f>HYPERLINK("https://klasma.github.io/Logging_1981/klagomålsmail/A 10552-2024 FSC-klagomål mail.docx", "A 10552-2024")</f>
        <v/>
      </c>
      <c r="X55">
        <f>HYPERLINK("https://klasma.github.io/Logging_1981/tillsyn/A 10552-2024 tillsynsbegäran.docx", "A 10552-2024")</f>
        <v/>
      </c>
      <c r="Y55">
        <f>HYPERLINK("https://klasma.github.io/Logging_1981/tillsynsmail/A 10552-2024 tillsynsbegäran mail.docx", "A 10552-2024")</f>
        <v/>
      </c>
    </row>
    <row r="56" ht="15" customHeight="1">
      <c r="A56" t="inlineStr">
        <is>
          <t>A 11846-2024</t>
        </is>
      </c>
      <c r="B56" s="1" t="n">
        <v>45376</v>
      </c>
      <c r="C56" s="1" t="n">
        <v>45671</v>
      </c>
      <c r="D56" t="inlineStr">
        <is>
          <t>VÄSTMANLANDS LÄN</t>
        </is>
      </c>
      <c r="E56" t="inlineStr">
        <is>
          <t>SALA</t>
        </is>
      </c>
      <c r="G56" t="n">
        <v>8</v>
      </c>
      <c r="H56" t="n">
        <v>0</v>
      </c>
      <c r="I56" t="n">
        <v>2</v>
      </c>
      <c r="J56" t="n">
        <v>0</v>
      </c>
      <c r="K56" t="n">
        <v>0</v>
      </c>
      <c r="L56" t="n">
        <v>0</v>
      </c>
      <c r="M56" t="n">
        <v>0</v>
      </c>
      <c r="N56" t="n">
        <v>0</v>
      </c>
      <c r="O56" t="n">
        <v>0</v>
      </c>
      <c r="P56" t="n">
        <v>0</v>
      </c>
      <c r="Q56" t="n">
        <v>2</v>
      </c>
      <c r="R56" s="2" t="inlineStr">
        <is>
          <t>Bronshjon
Vågbandad barkbock</t>
        </is>
      </c>
      <c r="S56">
        <f>HYPERLINK("https://klasma.github.io/Logging_1981/artfynd/A 11846-2024 artfynd.xlsx", "A 11846-2024")</f>
        <v/>
      </c>
      <c r="T56">
        <f>HYPERLINK("https://klasma.github.io/Logging_1981/kartor/A 11846-2024 karta.png", "A 11846-2024")</f>
        <v/>
      </c>
      <c r="V56">
        <f>HYPERLINK("https://klasma.github.io/Logging_1981/klagomål/A 11846-2024 FSC-klagomål.docx", "A 11846-2024")</f>
        <v/>
      </c>
      <c r="W56">
        <f>HYPERLINK("https://klasma.github.io/Logging_1981/klagomålsmail/A 11846-2024 FSC-klagomål mail.docx", "A 11846-2024")</f>
        <v/>
      </c>
      <c r="X56">
        <f>HYPERLINK("https://klasma.github.io/Logging_1981/tillsyn/A 11846-2024 tillsynsbegäran.docx", "A 11846-2024")</f>
        <v/>
      </c>
      <c r="Y56">
        <f>HYPERLINK("https://klasma.github.io/Logging_1981/tillsynsmail/A 11846-2024 tillsynsbegäran mail.docx", "A 11846-2024")</f>
        <v/>
      </c>
    </row>
    <row r="57" ht="15" customHeight="1">
      <c r="A57" t="inlineStr">
        <is>
          <t>A 12444-2024</t>
        </is>
      </c>
      <c r="B57" s="1" t="n">
        <v>45379</v>
      </c>
      <c r="C57" s="1" t="n">
        <v>45671</v>
      </c>
      <c r="D57" t="inlineStr">
        <is>
          <t>VÄSTMANLANDS LÄN</t>
        </is>
      </c>
      <c r="E57" t="inlineStr">
        <is>
          <t>SALA</t>
        </is>
      </c>
      <c r="G57" t="n">
        <v>5.5</v>
      </c>
      <c r="H57" t="n">
        <v>0</v>
      </c>
      <c r="I57" t="n">
        <v>1</v>
      </c>
      <c r="J57" t="n">
        <v>1</v>
      </c>
      <c r="K57" t="n">
        <v>0</v>
      </c>
      <c r="L57" t="n">
        <v>0</v>
      </c>
      <c r="M57" t="n">
        <v>0</v>
      </c>
      <c r="N57" t="n">
        <v>0</v>
      </c>
      <c r="O57" t="n">
        <v>1</v>
      </c>
      <c r="P57" t="n">
        <v>0</v>
      </c>
      <c r="Q57" t="n">
        <v>2</v>
      </c>
      <c r="R57" s="2" t="inlineStr">
        <is>
          <t>Ullticka
Stuplav</t>
        </is>
      </c>
      <c r="S57">
        <f>HYPERLINK("https://klasma.github.io/Logging_1981/artfynd/A 12444-2024 artfynd.xlsx", "A 12444-2024")</f>
        <v/>
      </c>
      <c r="T57">
        <f>HYPERLINK("https://klasma.github.io/Logging_1981/kartor/A 12444-2024 karta.png", "A 12444-2024")</f>
        <v/>
      </c>
      <c r="U57">
        <f>HYPERLINK("https://klasma.github.io/Logging_1981/knärot/A 12444-2024 karta knärot.png", "A 12444-2024")</f>
        <v/>
      </c>
      <c r="V57">
        <f>HYPERLINK("https://klasma.github.io/Logging_1981/klagomål/A 12444-2024 FSC-klagomål.docx", "A 12444-2024")</f>
        <v/>
      </c>
      <c r="W57">
        <f>HYPERLINK("https://klasma.github.io/Logging_1981/klagomålsmail/A 12444-2024 FSC-klagomål mail.docx", "A 12444-2024")</f>
        <v/>
      </c>
      <c r="X57">
        <f>HYPERLINK("https://klasma.github.io/Logging_1981/tillsyn/A 12444-2024 tillsynsbegäran.docx", "A 12444-2024")</f>
        <v/>
      </c>
      <c r="Y57">
        <f>HYPERLINK("https://klasma.github.io/Logging_1981/tillsynsmail/A 12444-2024 tillsynsbegäran mail.docx", "A 12444-2024")</f>
        <v/>
      </c>
    </row>
    <row r="58" ht="15" customHeight="1">
      <c r="A58" t="inlineStr">
        <is>
          <t>A 40493-2024</t>
        </is>
      </c>
      <c r="B58" s="1" t="n">
        <v>45555</v>
      </c>
      <c r="C58" s="1" t="n">
        <v>45671</v>
      </c>
      <c r="D58" t="inlineStr">
        <is>
          <t>VÄSTMANLANDS LÄN</t>
        </is>
      </c>
      <c r="E58" t="inlineStr">
        <is>
          <t>SALA</t>
        </is>
      </c>
      <c r="G58" t="n">
        <v>3.8</v>
      </c>
      <c r="H58" t="n">
        <v>0</v>
      </c>
      <c r="I58" t="n">
        <v>1</v>
      </c>
      <c r="J58" t="n">
        <v>1</v>
      </c>
      <c r="K58" t="n">
        <v>0</v>
      </c>
      <c r="L58" t="n">
        <v>0</v>
      </c>
      <c r="M58" t="n">
        <v>0</v>
      </c>
      <c r="N58" t="n">
        <v>0</v>
      </c>
      <c r="O58" t="n">
        <v>1</v>
      </c>
      <c r="P58" t="n">
        <v>0</v>
      </c>
      <c r="Q58" t="n">
        <v>2</v>
      </c>
      <c r="R58" s="2" t="inlineStr">
        <is>
          <t>Vedskivlav
Dropptaggsvamp</t>
        </is>
      </c>
      <c r="S58">
        <f>HYPERLINK("https://klasma.github.io/Logging_1981/artfynd/A 40493-2024 artfynd.xlsx", "A 40493-2024")</f>
        <v/>
      </c>
      <c r="T58">
        <f>HYPERLINK("https://klasma.github.io/Logging_1981/kartor/A 40493-2024 karta.png", "A 40493-2024")</f>
        <v/>
      </c>
      <c r="V58">
        <f>HYPERLINK("https://klasma.github.io/Logging_1981/klagomål/A 40493-2024 FSC-klagomål.docx", "A 40493-2024")</f>
        <v/>
      </c>
      <c r="W58">
        <f>HYPERLINK("https://klasma.github.io/Logging_1981/klagomålsmail/A 40493-2024 FSC-klagomål mail.docx", "A 40493-2024")</f>
        <v/>
      </c>
      <c r="X58">
        <f>HYPERLINK("https://klasma.github.io/Logging_1981/tillsyn/A 40493-2024 tillsynsbegäran.docx", "A 40493-2024")</f>
        <v/>
      </c>
      <c r="Y58">
        <f>HYPERLINK("https://klasma.github.io/Logging_1981/tillsynsmail/A 40493-2024 tillsynsbegäran mail.docx", "A 40493-2024")</f>
        <v/>
      </c>
    </row>
    <row r="59" ht="15" customHeight="1">
      <c r="A59" t="inlineStr">
        <is>
          <t>A 61454-2024</t>
        </is>
      </c>
      <c r="B59" s="1" t="n">
        <v>45646</v>
      </c>
      <c r="C59" s="1" t="n">
        <v>45671</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45671</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45671</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45671</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45671</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45671</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45671</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45671</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45671</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45671</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45671</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45671</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45671</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45671</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45671</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45671</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45671</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45671</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45671</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45671</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45671</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45671</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45671</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45671</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45671</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45671</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45671</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45671</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45671</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45671</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45671</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45671</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45671</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45671</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45671</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45671</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45671</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45671</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45671</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45671</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45671</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45671</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45671</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45671</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45671</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45671</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45671</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45671</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45671</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45671</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45671</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45671</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45671</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45671</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45671</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45671</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45671</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45671</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45671</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45671</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45671</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45671</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45671</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45671</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45671</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45671</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45671</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45671</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45671</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45671</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45671</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45671</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45671</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45671</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45671</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45671</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45671</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45671</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45671</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45671</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45671</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45671</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45671</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45671</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45671</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45671</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45671</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45671</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45671</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45671</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45671</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45671</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45671</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45671</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45671</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45671</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45671</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45671</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45671</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45671</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45671</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45671</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45671</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45671</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45671</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45671</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45671</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45671</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45671</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45671</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45671</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45671</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45671</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45671</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45671</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45671</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45671</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45671</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45671</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45671</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45671</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45671</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45671</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45671</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45671</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45671</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45671</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45671</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45671</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45671</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45671</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45671</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45671</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45671</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45671</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45671</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45671</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45671</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45671</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45671</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45671</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45671</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45671</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45671</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45671</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45671</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45671</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45671</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45671</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45671</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45671</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45671</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45671</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45671</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45671</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45671</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45671</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45671</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45671</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45671</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45671</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45671</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45671</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45671</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45671</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45671</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45671</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45671</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45671</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45671</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45671</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45671</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45671</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45671</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45671</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45671</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45671</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45671</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45671</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45671</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45671</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45671</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45671</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45671</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45671</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45671</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45671</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45671</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45671</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45671</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45671</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45671</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45671</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45671</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45671</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45671</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45671</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45671</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45671</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45671</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45671</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45671</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45671</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45671</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45671</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45671</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45671</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45671</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45671</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45671</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45671</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45671</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45671</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45671</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45671</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45671</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45671</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45671</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45671</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45671</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45671</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45671</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45671</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45671</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45671</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45671</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45671</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45671</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45671</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45671</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45671</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45671</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45671</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45671</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45671</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45671</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45671</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45671</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45671</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45671</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45671</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45671</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45671</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45671</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45671</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45671</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45671</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45671</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45671</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45671</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45671</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45671</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45671</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45671</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45671</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45671</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45671</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45671</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45671</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45671</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45671</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45671</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45671</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45671</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45671</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45671</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45671</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45671</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45671</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45671</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45671</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45671</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45671</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45671</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45671</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45671</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45671</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45671</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45671</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45671</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45671</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45671</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45671</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45671</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45671</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45671</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45671</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45671</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45671</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45671</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45671</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45671</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45671</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45671</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45671</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45671</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45671</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45671</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45671</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45671</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45671</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45671</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45671</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45671</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45671</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45671</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45671</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45671</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45671</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45671</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45671</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45671</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45671</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45671</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45671</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45671</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45671</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45671</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45671</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45671</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45671</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45671</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45671</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45671</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45671</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45671</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45671</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45671</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45671</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45671</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45671</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45671</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45671</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45671</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45671</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45671</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45671</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45671</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45671</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45671</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45671</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45671</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45671</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45671</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45671</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45671</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45671</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45671</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45671</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45671</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45671</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45671</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45671</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45671</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45671</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45671</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45671</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45671</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45671</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45671</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45671</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45671</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45671</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45671</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45671</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45671</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45671</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45671</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45671</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45671</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45671</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45671</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45671</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45671</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45671</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45671</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45671</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45671</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45671</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45671</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45671</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45671</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45671</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45671</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45671</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45671</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45671</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45671</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45671</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45671</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45671</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45671</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45671</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45671</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45671</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45671</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45671</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45671</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45671</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45671</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45671</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45671</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45671</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45671</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45671</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45671</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45671</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45671</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45671</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45671</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45671</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45671</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45671</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45671</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45671</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45671</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45671</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45671</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45671</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45671</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45671</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45671</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45671</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45671</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45671</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45671</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45671</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45671</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45671</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45671</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45671</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45671</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45671</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45671</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45671</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45671</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45671</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45671</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45671</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45671</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45671</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45671</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45671</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45671</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45671</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45671</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45671</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45671</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45671</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45671</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45671</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45671</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45671</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45671</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45671</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45671</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45671</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45671</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45671</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45671</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45671</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45671</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45671</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45671</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45671</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45671</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45671</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45671</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45671</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45671</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45671</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45671</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45671</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45671</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45671</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45671</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45671</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45671</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45671</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45671</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45671</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45671</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45671</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45671</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45671</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45671</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45671</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45671</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45671</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45671</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45671</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45671</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45671</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45671</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45671</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45671</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45671</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45671</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45671</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45671</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45671</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45671</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45671</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45671</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45671</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45671</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45671</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45671</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45671</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45671</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45671</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45671</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45671</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45671</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45671</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45671</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45671</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45671</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45671</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45671</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45671</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45671</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45671</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45671</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45671</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45671</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45671</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45671</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45671</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45671</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45671</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45671</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45671</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45671</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45671</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45671</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45671</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45671</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45671</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45671</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45671</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45671</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45671</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45671</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45671</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45671</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45671</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45671</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45671</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45671</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45671</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45671</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45671</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45671</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45671</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45671</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45671</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45671</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45671</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45671</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45671</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45671</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45671</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45671</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45671</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45671</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45671</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45671</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45671</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45671</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45671</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45671</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45671</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45671</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45671</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45671</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45671</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45671</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45671</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45671</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45671</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45671</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45671</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45671</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45671</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45671</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45671</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45671</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45671</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45671</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45671</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45671</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45671</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45671</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45671</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45671</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45671</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45671</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45671</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45671</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45671</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45671</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45671</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45671</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45671</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45671</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45671</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45671</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45671</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45671</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45671</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45671</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45671</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45671</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45671</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45671</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45671</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45671</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45671</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45671</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45671</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45671</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45671</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45671</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45671</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45671</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45671</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45671</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45671</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45671</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45671</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45671</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45671</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45671</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45671</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45671</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45671</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45671</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45671</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45671</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45671</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45671</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45671</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45671</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45671</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45671</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45671</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45671</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45671</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45671</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45671</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45671</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45671</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45671</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45671</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45671</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45671</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45671</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45671</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45671</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45671</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45671</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45671</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45671</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45671</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45671</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45671</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45671</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45671</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45671</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45671</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45671</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45671</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45671</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45671</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45671</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45671</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45671</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45671</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45671</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45671</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45671</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45671</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45671</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45671</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45671</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45671</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45671</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45671</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45671</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45671</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45671</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45671</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45671</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45671</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45671</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45671</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45671</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45671</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45671</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45671</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45671</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45671</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45671</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45671</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45671</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45671</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45671</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45671</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45671</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45671</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45671</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45671</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45671</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45671</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45671</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45671</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45671</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45671</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45671</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45671</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45671</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45671</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45671</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45671</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45671</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45671</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45671</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45671</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45671</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45671</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45671</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45671</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45671</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45671</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45671</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45671</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45671</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45671</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45671</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45671</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45671</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45671</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45671</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45671</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45671</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45671</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45671</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45671</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45671</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45671</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45671</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45671</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45671</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45671</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45671</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45671</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45671</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45671</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45671</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45671</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45671</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45671</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45671</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45671</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45671</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45671</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45671</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45671</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45671</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45671</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45671</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45671</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45671</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45671</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45671</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45671</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45671</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45671</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45671</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45671</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45671</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45671</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45671</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45671</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45671</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45671</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45671</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45671</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45671</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45671</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45671</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45671</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45671</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45671</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45671</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45671</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45671</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45671</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45671</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45671</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45671</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45671</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45671</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45671</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45671</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45671</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45671</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45671</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45671</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45671</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45671</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45671</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45671</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45671</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45671</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45671</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45671</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45671</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45671</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45671</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45671</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45671</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45671</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45671</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45671</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45671</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45671</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45671</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45671</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45671</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45671</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45671</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45671</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45671</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45671</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45671</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45671</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45671</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45671</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45671</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45671</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45671</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45671</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45671</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45671</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45671</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45671</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45671</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45671</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45671</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45671</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45671</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45671</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45671</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45671</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45671</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45671</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45671</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45671</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45671</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45671</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45671</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45671</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45671</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45671</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45671</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45671</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45671</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45671</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45671</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45671</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45671</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45671</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45671</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45671</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45671</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45671</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45671</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45671</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45671</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45671</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45671</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45671</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45671</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45671</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45671</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45671</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45671</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45671</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45671</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45671</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45671</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45671</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45671</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45671</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45671</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45671</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45671</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45671</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45671</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45671</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45671</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45671</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45671</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45671</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45671</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45671</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45671</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45671</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45671</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45671</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45671</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45671</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45671</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45671</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45671</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45671</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45671</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45671</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45671</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45671</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45671</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45671</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45671</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45671</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45671</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45671</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45671</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45671</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45671</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45671</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45671</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45671</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45671</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45671</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45671</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45671</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45671</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45671</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45671</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45671</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45671</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45671</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45671</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45671</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45671</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45671</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45671</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45671</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45671</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45671</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45671</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45671</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45671</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45671</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45671</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45671</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45671</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45671</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45671</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45671</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45671</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45671</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45671</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45671</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45671</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45671</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45671</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45671</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45671</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45671</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45671</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45671</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45671</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45671</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45671</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45671</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45671</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45671</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45671</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45671</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45671</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45671</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45671</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45671</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45671</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45671</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45671</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45671</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45671</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45671</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45671</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45671</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45671</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45671</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45671</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45671</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45671</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45671</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45671</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45671</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45671</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45671</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45671</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45671</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45671</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45671</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45671</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45671</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45671</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45671</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45671</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45671</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45671</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45671</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45671</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45671</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45671</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45671</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45671</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45671</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45671</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45671</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45671</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45671</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45671</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45671</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45671</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45671</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45671</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45671</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45671</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45671</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45671</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45671</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45671</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45671</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45671</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45671</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45671</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45671</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45671</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45671</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45671</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45671</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45671</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45671</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45671</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45671</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45671</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45671</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45671</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45671</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45671</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45671</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45671</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45671</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45671</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45671</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45671</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45671</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45671</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45671</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45671</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45671</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45671</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45671</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45671</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45671</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45671</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45671</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45671</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45671</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45671</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45671</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45671</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45671</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60034-2024</t>
        </is>
      </c>
      <c r="B1137" s="1" t="n">
        <v>45642</v>
      </c>
      <c r="C1137" s="1" t="n">
        <v>45671</v>
      </c>
      <c r="D1137" t="inlineStr">
        <is>
          <t>VÄSTMANLANDS LÄN</t>
        </is>
      </c>
      <c r="E1137" t="inlineStr">
        <is>
          <t>SALA</t>
        </is>
      </c>
      <c r="G1137" t="n">
        <v>8.800000000000001</v>
      </c>
      <c r="H1137" t="n">
        <v>0</v>
      </c>
      <c r="I1137" t="n">
        <v>0</v>
      </c>
      <c r="J1137" t="n">
        <v>0</v>
      </c>
      <c r="K1137" t="n">
        <v>0</v>
      </c>
      <c r="L1137" t="n">
        <v>0</v>
      </c>
      <c r="M1137" t="n">
        <v>0</v>
      </c>
      <c r="N1137" t="n">
        <v>0</v>
      </c>
      <c r="O1137" t="n">
        <v>0</v>
      </c>
      <c r="P1137" t="n">
        <v>0</v>
      </c>
      <c r="Q1137" t="n">
        <v>0</v>
      </c>
      <c r="R1137" s="2" t="inlineStr"/>
    </row>
    <row r="1138" ht="15" customHeight="1">
      <c r="A1138" t="inlineStr">
        <is>
          <t>A 60036-2024</t>
        </is>
      </c>
      <c r="B1138" s="1" t="n">
        <v>45642</v>
      </c>
      <c r="C1138" s="1" t="n">
        <v>45671</v>
      </c>
      <c r="D1138" t="inlineStr">
        <is>
          <t>VÄSTMANLANDS LÄN</t>
        </is>
      </c>
      <c r="E1138" t="inlineStr">
        <is>
          <t>SALA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45671</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60548-2024</t>
        </is>
      </c>
      <c r="B1140" s="1" t="n">
        <v>45643</v>
      </c>
      <c r="C1140" s="1" t="n">
        <v>45671</v>
      </c>
      <c r="D1140" t="inlineStr">
        <is>
          <t>VÄSTMANLANDS LÄN</t>
        </is>
      </c>
      <c r="E1140" t="inlineStr">
        <is>
          <t>SALA</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60550-2024</t>
        </is>
      </c>
      <c r="B1141" s="1" t="n">
        <v>45643</v>
      </c>
      <c r="C1141" s="1" t="n">
        <v>45671</v>
      </c>
      <c r="D1141" t="inlineStr">
        <is>
          <t>VÄSTMANLANDS LÄN</t>
        </is>
      </c>
      <c r="E1141" t="inlineStr">
        <is>
          <t>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45671</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45671</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45671</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45671</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45671</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45671</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45671</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45671</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45671</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45671</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45671</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45671</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45671</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45671</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45671</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45671</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45671</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45671</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45671</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c r="A1161" t="inlineStr">
        <is>
          <t>A 1569-2025</t>
        </is>
      </c>
      <c r="B1161" s="1" t="n">
        <v>45670</v>
      </c>
      <c r="C1161" s="1" t="n">
        <v>45671</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2025-01-14T16:21:07Z</dcterms:created>
  <dcterms:modified xmlns:dcterms="http://purl.org/dc/terms/" xmlns:xsi="http://www.w3.org/2001/XMLSchema-instance" xsi:type="dcterms:W3CDTF">2025-01-14T16:21:08Z</dcterms:modified>
</cp:coreProperties>
</file>