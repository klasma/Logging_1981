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46196</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46196</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46196</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46196</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46196</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46196</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9092-2025</t>
        </is>
      </c>
      <c r="B8" s="1" t="n">
        <v>45713</v>
      </c>
      <c r="C8" s="1" t="n">
        <v>46196</v>
      </c>
      <c r="D8" t="inlineStr">
        <is>
          <t>VÄSTMANLANDS LÄN</t>
        </is>
      </c>
      <c r="E8" t="inlineStr">
        <is>
          <t>SALA</t>
        </is>
      </c>
      <c r="G8" t="n">
        <v>11</v>
      </c>
      <c r="H8" t="n">
        <v>0</v>
      </c>
      <c r="I8" t="n">
        <v>1</v>
      </c>
      <c r="J8" t="n">
        <v>3</v>
      </c>
      <c r="K8" t="n">
        <v>2</v>
      </c>
      <c r="L8" t="n">
        <v>1</v>
      </c>
      <c r="M8" t="n">
        <v>0</v>
      </c>
      <c r="N8" t="n">
        <v>0</v>
      </c>
      <c r="O8" t="n">
        <v>6</v>
      </c>
      <c r="P8" t="n">
        <v>3</v>
      </c>
      <c r="Q8" t="n">
        <v>7</v>
      </c>
      <c r="R8" s="2" t="inlineStr">
        <is>
          <t>Ask
Grangråticka
Gyllenspindling
Dofttaggsvamp
Fjällig taggsvamp s.str.
Orange taggsvamp
Anisspindling</t>
        </is>
      </c>
      <c r="S8">
        <f>HYPERLINK("https://klasma.github.io/Logging_1981/artfynd/A 9092-2025 artfynd.xlsx", "A 9092-2025")</f>
        <v/>
      </c>
      <c r="T8">
        <f>HYPERLINK("https://klasma.github.io/Logging_1981/kartor/A 9092-2025 karta.png", "A 9092-2025")</f>
        <v/>
      </c>
      <c r="V8">
        <f>HYPERLINK("https://klasma.github.io/Logging_1981/klagomål/A 9092-2025 FSC-klagomål.docx", "A 9092-2025")</f>
        <v/>
      </c>
      <c r="W8">
        <f>HYPERLINK("https://klasma.github.io/Logging_1981/klagomålsmail/A 9092-2025 FSC-klagomål mail.docx", "A 9092-2025")</f>
        <v/>
      </c>
      <c r="X8">
        <f>HYPERLINK("https://klasma.github.io/Logging_1981/tillsyn/A 9092-2025 tillsynsbegäran.docx", "A 9092-2025")</f>
        <v/>
      </c>
      <c r="Y8">
        <f>HYPERLINK("https://klasma.github.io/Logging_1981/tillsynsmail/A 9092-2025 tillsynsbegäran mail.docx", "A 9092-2025")</f>
        <v/>
      </c>
    </row>
    <row r="9" ht="15" customHeight="1">
      <c r="A9" t="inlineStr">
        <is>
          <t>A 53627-2025</t>
        </is>
      </c>
      <c r="B9" s="1" t="n">
        <v>45960</v>
      </c>
      <c r="C9" s="1" t="n">
        <v>46196</v>
      </c>
      <c r="D9" t="inlineStr">
        <is>
          <t>VÄSTMANLANDS LÄN</t>
        </is>
      </c>
      <c r="E9" t="inlineStr">
        <is>
          <t>SALA</t>
        </is>
      </c>
      <c r="G9" t="n">
        <v>10.5</v>
      </c>
      <c r="H9" t="n">
        <v>3</v>
      </c>
      <c r="I9" t="n">
        <v>2</v>
      </c>
      <c r="J9" t="n">
        <v>2</v>
      </c>
      <c r="K9" t="n">
        <v>1</v>
      </c>
      <c r="L9" t="n">
        <v>0</v>
      </c>
      <c r="M9" t="n">
        <v>0</v>
      </c>
      <c r="N9" t="n">
        <v>0</v>
      </c>
      <c r="O9" t="n">
        <v>3</v>
      </c>
      <c r="P9" t="n">
        <v>1</v>
      </c>
      <c r="Q9" t="n">
        <v>7</v>
      </c>
      <c r="R9" s="2" t="inlineStr">
        <is>
          <t>Knärot
Brunklöver
Ullticka
Grönpyrola
Vedticka
Mattlummer
Revlummer</t>
        </is>
      </c>
      <c r="S9">
        <f>HYPERLINK("https://klasma.github.io/Logging_1981/artfynd/A 53627-2025 artfynd.xlsx", "A 53627-2025")</f>
        <v/>
      </c>
      <c r="T9">
        <f>HYPERLINK("https://klasma.github.io/Logging_1981/kartor/A 53627-2025 karta.png", "A 53627-2025")</f>
        <v/>
      </c>
      <c r="U9">
        <f>HYPERLINK("https://klasma.github.io/Logging_1981/knärot/A 53627-2025 karta knärot.png", "A 53627-2025")</f>
        <v/>
      </c>
      <c r="V9">
        <f>HYPERLINK("https://klasma.github.io/Logging_1981/klagomål/A 53627-2025 FSC-klagomål.docx", "A 53627-2025")</f>
        <v/>
      </c>
      <c r="W9">
        <f>HYPERLINK("https://klasma.github.io/Logging_1981/klagomålsmail/A 53627-2025 FSC-klagomål mail.docx", "A 53627-2025")</f>
        <v/>
      </c>
      <c r="X9">
        <f>HYPERLINK("https://klasma.github.io/Logging_1981/tillsyn/A 53627-2025 tillsynsbegäran.docx", "A 53627-2025")</f>
        <v/>
      </c>
      <c r="Y9">
        <f>HYPERLINK("https://klasma.github.io/Logging_1981/tillsynsmail/A 53627-2025 tillsynsbegäran mail.docx", "A 53627-2025")</f>
        <v/>
      </c>
    </row>
    <row r="10" ht="15" customHeight="1">
      <c r="A10" t="inlineStr">
        <is>
          <t>A 40495-2024</t>
        </is>
      </c>
      <c r="B10" s="1" t="n">
        <v>45555</v>
      </c>
      <c r="C10" s="1" t="n">
        <v>46196</v>
      </c>
      <c r="D10" t="inlineStr">
        <is>
          <t>VÄSTMANLANDS LÄN</t>
        </is>
      </c>
      <c r="E10" t="inlineStr">
        <is>
          <t>SALA</t>
        </is>
      </c>
      <c r="G10" t="n">
        <v>3.1</v>
      </c>
      <c r="H10" t="n">
        <v>1</v>
      </c>
      <c r="I10" t="n">
        <v>2</v>
      </c>
      <c r="J10" t="n">
        <v>4</v>
      </c>
      <c r="K10" t="n">
        <v>1</v>
      </c>
      <c r="L10" t="n">
        <v>0</v>
      </c>
      <c r="M10" t="n">
        <v>0</v>
      </c>
      <c r="N10" t="n">
        <v>0</v>
      </c>
      <c r="O10" t="n">
        <v>5</v>
      </c>
      <c r="P10" t="n">
        <v>1</v>
      </c>
      <c r="Q10" t="n">
        <v>7</v>
      </c>
      <c r="R10" s="2" t="inlineStr">
        <is>
          <t>Knärot
Dropptaggsvamp
Skorpgelélav
Veckticka
Vedskivlav
Blåmossa
Bronshjon</t>
        </is>
      </c>
      <c r="S10">
        <f>HYPERLINK("https://klasma.github.io/Logging_1981/artfynd/A 40495-2024 artfynd.xlsx", "A 40495-2024")</f>
        <v/>
      </c>
      <c r="T10">
        <f>HYPERLINK("https://klasma.github.io/Logging_1981/kartor/A 40495-2024 karta.png", "A 40495-2024")</f>
        <v/>
      </c>
      <c r="U10">
        <f>HYPERLINK("https://klasma.github.io/Logging_1981/knärot/A 40495-2024 karta knärot.png", "A 40495-2024")</f>
        <v/>
      </c>
      <c r="V10">
        <f>HYPERLINK("https://klasma.github.io/Logging_1981/klagomål/A 40495-2024 FSC-klagomål.docx", "A 40495-2024")</f>
        <v/>
      </c>
      <c r="W10">
        <f>HYPERLINK("https://klasma.github.io/Logging_1981/klagomålsmail/A 40495-2024 FSC-klagomål mail.docx", "A 40495-2024")</f>
        <v/>
      </c>
      <c r="X10">
        <f>HYPERLINK("https://klasma.github.io/Logging_1981/tillsyn/A 40495-2024 tillsynsbegäran.docx", "A 40495-2024")</f>
        <v/>
      </c>
      <c r="Y10">
        <f>HYPERLINK("https://klasma.github.io/Logging_1981/tillsynsmail/A 40495-2024 tillsynsbegäran mail.docx", "A 40495-2024")</f>
        <v/>
      </c>
    </row>
    <row r="11" ht="15" customHeight="1">
      <c r="A11" t="inlineStr">
        <is>
          <t>A 40493-2024</t>
        </is>
      </c>
      <c r="B11" s="1" t="n">
        <v>45555</v>
      </c>
      <c r="C11" s="1" t="n">
        <v>46196</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47475-2024</t>
        </is>
      </c>
      <c r="B12" s="1" t="n">
        <v>45587</v>
      </c>
      <c r="C12" s="1" t="n">
        <v>46196</v>
      </c>
      <c r="D12" t="inlineStr">
        <is>
          <t>VÄSTMANLANDS LÄN</t>
        </is>
      </c>
      <c r="E12" t="inlineStr">
        <is>
          <t>SALA</t>
        </is>
      </c>
      <c r="G12" t="n">
        <v>1.4</v>
      </c>
      <c r="H12" t="n">
        <v>3</v>
      </c>
      <c r="I12" t="n">
        <v>1</v>
      </c>
      <c r="J12" t="n">
        <v>2</v>
      </c>
      <c r="K12" t="n">
        <v>2</v>
      </c>
      <c r="L12" t="n">
        <v>0</v>
      </c>
      <c r="M12" t="n">
        <v>0</v>
      </c>
      <c r="N12" t="n">
        <v>0</v>
      </c>
      <c r="O12" t="n">
        <v>4</v>
      </c>
      <c r="P12" t="n">
        <v>2</v>
      </c>
      <c r="Q12" t="n">
        <v>7</v>
      </c>
      <c r="R12" s="2" t="inlineStr">
        <is>
          <t>Knärot
Luddig stiftdynlav
Rynkskinn
Ullticka
Svavelriska
Fläcknycklar
Revlummer</t>
        </is>
      </c>
      <c r="S12">
        <f>HYPERLINK("https://klasma.github.io/Logging_1981/artfynd/A 47475-2024 artfynd.xlsx", "A 47475-2024")</f>
        <v/>
      </c>
      <c r="T12">
        <f>HYPERLINK("https://klasma.github.io/Logging_1981/kartor/A 47475-2024 karta.png", "A 47475-2024")</f>
        <v/>
      </c>
      <c r="U12">
        <f>HYPERLINK("https://klasma.github.io/Logging_1981/knärot/A 47475-2024 karta knärot.png", "A 47475-2024")</f>
        <v/>
      </c>
      <c r="V12">
        <f>HYPERLINK("https://klasma.github.io/Logging_1981/klagomål/A 47475-2024 FSC-klagomål.docx", "A 47475-2024")</f>
        <v/>
      </c>
      <c r="W12">
        <f>HYPERLINK("https://klasma.github.io/Logging_1981/klagomålsmail/A 47475-2024 FSC-klagomål mail.docx", "A 47475-2024")</f>
        <v/>
      </c>
      <c r="X12">
        <f>HYPERLINK("https://klasma.github.io/Logging_1981/tillsyn/A 47475-2024 tillsynsbegäran.docx", "A 47475-2024")</f>
        <v/>
      </c>
      <c r="Y12">
        <f>HYPERLINK("https://klasma.github.io/Logging_1981/tillsynsmail/A 47475-2024 tillsynsbegäran mail.docx", "A 47475-2024")</f>
        <v/>
      </c>
    </row>
    <row r="13" ht="15" customHeight="1">
      <c r="A13" t="inlineStr">
        <is>
          <t>A 27488-2023</t>
        </is>
      </c>
      <c r="B13" s="1" t="n">
        <v>45097</v>
      </c>
      <c r="C13" s="1" t="n">
        <v>46196</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46196</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46196</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10344-2025</t>
        </is>
      </c>
      <c r="B16" s="1" t="n">
        <v>45720</v>
      </c>
      <c r="C16" s="1" t="n">
        <v>46196</v>
      </c>
      <c r="D16" t="inlineStr">
        <is>
          <t>VÄSTMANLANDS LÄN</t>
        </is>
      </c>
      <c r="E16" t="inlineStr">
        <is>
          <t>SALA</t>
        </is>
      </c>
      <c r="G16" t="n">
        <v>4.2</v>
      </c>
      <c r="H16" t="n">
        <v>2</v>
      </c>
      <c r="I16" t="n">
        <v>1</v>
      </c>
      <c r="J16" t="n">
        <v>1</v>
      </c>
      <c r="K16" t="n">
        <v>2</v>
      </c>
      <c r="L16" t="n">
        <v>0</v>
      </c>
      <c r="M16" t="n">
        <v>0</v>
      </c>
      <c r="N16" t="n">
        <v>0</v>
      </c>
      <c r="O16" t="n">
        <v>3</v>
      </c>
      <c r="P16" t="n">
        <v>2</v>
      </c>
      <c r="Q16" t="n">
        <v>5</v>
      </c>
      <c r="R16" s="2" t="inlineStr">
        <is>
          <t>Knärot
Sprickporing
Svinrot
Grönpyrola
Spillkråka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34065-2025</t>
        </is>
      </c>
      <c r="B17" s="1" t="n">
        <v>45845</v>
      </c>
      <c r="C17" s="1" t="n">
        <v>46196</v>
      </c>
      <c r="D17" t="inlineStr">
        <is>
          <t>VÄSTMANLANDS LÄN</t>
        </is>
      </c>
      <c r="E17" t="inlineStr">
        <is>
          <t>SALA</t>
        </is>
      </c>
      <c r="G17" t="n">
        <v>3</v>
      </c>
      <c r="H17" t="n">
        <v>0</v>
      </c>
      <c r="I17" t="n">
        <v>3</v>
      </c>
      <c r="J17" t="n">
        <v>2</v>
      </c>
      <c r="K17" t="n">
        <v>0</v>
      </c>
      <c r="L17" t="n">
        <v>0</v>
      </c>
      <c r="M17" t="n">
        <v>0</v>
      </c>
      <c r="N17" t="n">
        <v>0</v>
      </c>
      <c r="O17" t="n">
        <v>2</v>
      </c>
      <c r="P17" t="n">
        <v>0</v>
      </c>
      <c r="Q17" t="n">
        <v>5</v>
      </c>
      <c r="R17" s="2" t="inlineStr">
        <is>
          <t>Kötticka
Skorpgelélav
Grönpyrola
Skinnlav
Vedticka</t>
        </is>
      </c>
      <c r="S17">
        <f>HYPERLINK("https://klasma.github.io/Logging_1981/artfynd/A 34065-2025 artfynd.xlsx", "A 34065-2025")</f>
        <v/>
      </c>
      <c r="T17">
        <f>HYPERLINK("https://klasma.github.io/Logging_1981/kartor/A 34065-2025 karta.png", "A 34065-2025")</f>
        <v/>
      </c>
      <c r="V17">
        <f>HYPERLINK("https://klasma.github.io/Logging_1981/klagomål/A 34065-2025 FSC-klagomål.docx", "A 34065-2025")</f>
        <v/>
      </c>
      <c r="W17">
        <f>HYPERLINK("https://klasma.github.io/Logging_1981/klagomålsmail/A 34065-2025 FSC-klagomål mail.docx", "A 34065-2025")</f>
        <v/>
      </c>
      <c r="X17">
        <f>HYPERLINK("https://klasma.github.io/Logging_1981/tillsyn/A 34065-2025 tillsynsbegäran.docx", "A 34065-2025")</f>
        <v/>
      </c>
      <c r="Y17">
        <f>HYPERLINK("https://klasma.github.io/Logging_1981/tillsynsmail/A 34065-2025 tillsynsbegäran mail.docx", "A 34065-2025")</f>
        <v/>
      </c>
    </row>
    <row r="18" ht="15" customHeight="1">
      <c r="A18" t="inlineStr">
        <is>
          <t>A 7643-2026</t>
        </is>
      </c>
      <c r="B18" s="1" t="n">
        <v>46062</v>
      </c>
      <c r="C18" s="1" t="n">
        <v>46196</v>
      </c>
      <c r="D18" t="inlineStr">
        <is>
          <t>VÄSTMANLANDS LÄN</t>
        </is>
      </c>
      <c r="E18" t="inlineStr">
        <is>
          <t>SALA</t>
        </is>
      </c>
      <c r="G18" t="n">
        <v>7.7</v>
      </c>
      <c r="H18" t="n">
        <v>0</v>
      </c>
      <c r="I18" t="n">
        <v>3</v>
      </c>
      <c r="J18" t="n">
        <v>2</v>
      </c>
      <c r="K18" t="n">
        <v>0</v>
      </c>
      <c r="L18" t="n">
        <v>0</v>
      </c>
      <c r="M18" t="n">
        <v>0</v>
      </c>
      <c r="N18" t="n">
        <v>0</v>
      </c>
      <c r="O18" t="n">
        <v>2</v>
      </c>
      <c r="P18" t="n">
        <v>0</v>
      </c>
      <c r="Q18" t="n">
        <v>5</v>
      </c>
      <c r="R18" s="2" t="inlineStr">
        <is>
          <t>Kandelabersvamp
Veckticka
Barkticka
Rävticka
Skinnlav</t>
        </is>
      </c>
      <c r="S18">
        <f>HYPERLINK("https://klasma.github.io/Logging_1981/artfynd/A 7643-2026 artfynd.xlsx", "A 7643-2026")</f>
        <v/>
      </c>
      <c r="T18">
        <f>HYPERLINK("https://klasma.github.io/Logging_1981/kartor/A 7643-2026 karta.png", "A 7643-2026")</f>
        <v/>
      </c>
      <c r="V18">
        <f>HYPERLINK("https://klasma.github.io/Logging_1981/klagomål/A 7643-2026 FSC-klagomål.docx", "A 7643-2026")</f>
        <v/>
      </c>
      <c r="W18">
        <f>HYPERLINK("https://klasma.github.io/Logging_1981/klagomålsmail/A 7643-2026 FSC-klagomål mail.docx", "A 7643-2026")</f>
        <v/>
      </c>
      <c r="X18">
        <f>HYPERLINK("https://klasma.github.io/Logging_1981/tillsyn/A 7643-2026 tillsynsbegäran.docx", "A 7643-2026")</f>
        <v/>
      </c>
      <c r="Y18">
        <f>HYPERLINK("https://klasma.github.io/Logging_1981/tillsynsmail/A 7643-2026 tillsynsbegäran mail.docx", "A 7643-2026")</f>
        <v/>
      </c>
    </row>
    <row r="19" ht="15" customHeight="1">
      <c r="A19" t="inlineStr">
        <is>
          <t>A 15099-2025</t>
        </is>
      </c>
      <c r="B19" s="1" t="n">
        <v>45744</v>
      </c>
      <c r="C19" s="1" t="n">
        <v>46196</v>
      </c>
      <c r="D19" t="inlineStr">
        <is>
          <t>VÄSTMANLANDS LÄN</t>
        </is>
      </c>
      <c r="E19" t="inlineStr">
        <is>
          <t>SALA</t>
        </is>
      </c>
      <c r="F19" t="inlineStr">
        <is>
          <t>Sveaskog</t>
        </is>
      </c>
      <c r="G19" t="n">
        <v>14.4</v>
      </c>
      <c r="H19" t="n">
        <v>3</v>
      </c>
      <c r="I19" t="n">
        <v>2</v>
      </c>
      <c r="J19" t="n">
        <v>0</v>
      </c>
      <c r="K19" t="n">
        <v>0</v>
      </c>
      <c r="L19" t="n">
        <v>0</v>
      </c>
      <c r="M19" t="n">
        <v>0</v>
      </c>
      <c r="N19" t="n">
        <v>0</v>
      </c>
      <c r="O19" t="n">
        <v>0</v>
      </c>
      <c r="P19" t="n">
        <v>0</v>
      </c>
      <c r="Q19" t="n">
        <v>5</v>
      </c>
      <c r="R19" s="2" t="inlineStr">
        <is>
          <t>Bronshjon
Vågbandad barkbock
Grönsiska
Orre
Revlummer</t>
        </is>
      </c>
      <c r="S19">
        <f>HYPERLINK("https://klasma.github.io/Logging_1981/artfynd/A 15099-2025 artfynd.xlsx", "A 15099-2025")</f>
        <v/>
      </c>
      <c r="T19">
        <f>HYPERLINK("https://klasma.github.io/Logging_1981/kartor/A 15099-2025 karta.png", "A 15099-2025")</f>
        <v/>
      </c>
      <c r="V19">
        <f>HYPERLINK("https://klasma.github.io/Logging_1981/klagomål/A 15099-2025 FSC-klagomål.docx", "A 15099-2025")</f>
        <v/>
      </c>
      <c r="W19">
        <f>HYPERLINK("https://klasma.github.io/Logging_1981/klagomålsmail/A 15099-2025 FSC-klagomål mail.docx", "A 15099-2025")</f>
        <v/>
      </c>
      <c r="X19">
        <f>HYPERLINK("https://klasma.github.io/Logging_1981/tillsyn/A 15099-2025 tillsynsbegäran.docx", "A 15099-2025")</f>
        <v/>
      </c>
      <c r="Y19">
        <f>HYPERLINK("https://klasma.github.io/Logging_1981/tillsynsmail/A 15099-2025 tillsynsbegäran mail.docx", "A 15099-2025")</f>
        <v/>
      </c>
      <c r="Z19">
        <f>HYPERLINK("https://klasma.github.io/Logging_1981/fåglar/A 15099-2025 prioriterade fågelarter.docx", "A 15099-2025")</f>
        <v/>
      </c>
    </row>
    <row r="20" ht="15" customHeight="1">
      <c r="A20" t="inlineStr">
        <is>
          <t>A 1182-2022</t>
        </is>
      </c>
      <c r="B20" s="1" t="n">
        <v>44572</v>
      </c>
      <c r="C20" s="1" t="n">
        <v>46196</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3566-2024</t>
        </is>
      </c>
      <c r="B21" s="1" t="n">
        <v>45320</v>
      </c>
      <c r="C21" s="1" t="n">
        <v>46196</v>
      </c>
      <c r="D21" t="inlineStr">
        <is>
          <t>VÄSTMANLANDS LÄN</t>
        </is>
      </c>
      <c r="E21" t="inlineStr">
        <is>
          <t>SALA</t>
        </is>
      </c>
      <c r="F21" t="inlineStr">
        <is>
          <t>Kommuner</t>
        </is>
      </c>
      <c r="G21" t="n">
        <v>4.3</v>
      </c>
      <c r="H21" t="n">
        <v>3</v>
      </c>
      <c r="I21" t="n">
        <v>1</v>
      </c>
      <c r="J21" t="n">
        <v>1</v>
      </c>
      <c r="K21" t="n">
        <v>1</v>
      </c>
      <c r="L21" t="n">
        <v>0</v>
      </c>
      <c r="M21" t="n">
        <v>0</v>
      </c>
      <c r="N21" t="n">
        <v>0</v>
      </c>
      <c r="O21" t="n">
        <v>2</v>
      </c>
      <c r="P21" t="n">
        <v>1</v>
      </c>
      <c r="Q21" t="n">
        <v>5</v>
      </c>
      <c r="R21" s="2" t="inlineStr">
        <is>
          <t>Knärot
Vågticka
Vedticka
Mattlummer
Fläcknycklar</t>
        </is>
      </c>
      <c r="S21">
        <f>HYPERLINK("https://klasma.github.io/Logging_1981/artfynd/A 3566-2024 artfynd.xlsx", "A 3566-2024")</f>
        <v/>
      </c>
      <c r="T21">
        <f>HYPERLINK("https://klasma.github.io/Logging_1981/kartor/A 3566-2024 karta.png", "A 3566-2024")</f>
        <v/>
      </c>
      <c r="U21">
        <f>HYPERLINK("https://klasma.github.io/Logging_1981/knärot/A 3566-2024 karta knärot.png", "A 3566-2024")</f>
        <v/>
      </c>
      <c r="V21">
        <f>HYPERLINK("https://klasma.github.io/Logging_1981/klagomål/A 3566-2024 FSC-klagomål.docx", "A 3566-2024")</f>
        <v/>
      </c>
      <c r="W21">
        <f>HYPERLINK("https://klasma.github.io/Logging_1981/klagomålsmail/A 3566-2024 FSC-klagomål mail.docx", "A 3566-2024")</f>
        <v/>
      </c>
      <c r="X21">
        <f>HYPERLINK("https://klasma.github.io/Logging_1981/tillsyn/A 3566-2024 tillsynsbegäran.docx", "A 3566-2024")</f>
        <v/>
      </c>
      <c r="Y21">
        <f>HYPERLINK("https://klasma.github.io/Logging_1981/tillsynsmail/A 3566-2024 tillsynsbegäran mail.docx", "A 3566-2024")</f>
        <v/>
      </c>
    </row>
    <row r="22" ht="15" customHeight="1">
      <c r="A22" t="inlineStr">
        <is>
          <t>A 34752-2023</t>
        </is>
      </c>
      <c r="B22" s="1" t="n">
        <v>45141</v>
      </c>
      <c r="C22" s="1" t="n">
        <v>46196</v>
      </c>
      <c r="D22" t="inlineStr">
        <is>
          <t>VÄSTMANLANDS LÄN</t>
        </is>
      </c>
      <c r="E22" t="inlineStr">
        <is>
          <t>SALA</t>
        </is>
      </c>
      <c r="G22" t="n">
        <v>4.9</v>
      </c>
      <c r="H22" t="n">
        <v>2</v>
      </c>
      <c r="I22" t="n">
        <v>1</v>
      </c>
      <c r="J22" t="n">
        <v>1</v>
      </c>
      <c r="K22" t="n">
        <v>2</v>
      </c>
      <c r="L22" t="n">
        <v>0</v>
      </c>
      <c r="M22" t="n">
        <v>0</v>
      </c>
      <c r="N22" t="n">
        <v>0</v>
      </c>
      <c r="O22" t="n">
        <v>3</v>
      </c>
      <c r="P22" t="n">
        <v>2</v>
      </c>
      <c r="Q22" t="n">
        <v>5</v>
      </c>
      <c r="R22" s="2" t="inlineStr">
        <is>
          <t>Knärot
Sprickporing
Svinrot
Grönpyrola
Spillkråka</t>
        </is>
      </c>
      <c r="S22">
        <f>HYPERLINK("https://klasma.github.io/Logging_1981/artfynd/A 34752-2023 artfynd.xlsx", "A 34752-2023")</f>
        <v/>
      </c>
      <c r="T22">
        <f>HYPERLINK("https://klasma.github.io/Logging_1981/kartor/A 34752-2023 karta.png", "A 34752-2023")</f>
        <v/>
      </c>
      <c r="U22">
        <f>HYPERLINK("https://klasma.github.io/Logging_1981/knärot/A 34752-2023 karta knärot.png", "A 34752-2023")</f>
        <v/>
      </c>
      <c r="V22">
        <f>HYPERLINK("https://klasma.github.io/Logging_1981/klagomål/A 34752-2023 FSC-klagomål.docx", "A 34752-2023")</f>
        <v/>
      </c>
      <c r="W22">
        <f>HYPERLINK("https://klasma.github.io/Logging_1981/klagomålsmail/A 34752-2023 FSC-klagomål mail.docx", "A 34752-2023")</f>
        <v/>
      </c>
      <c r="X22">
        <f>HYPERLINK("https://klasma.github.io/Logging_1981/tillsyn/A 34752-2023 tillsynsbegäran.docx", "A 34752-2023")</f>
        <v/>
      </c>
      <c r="Y22">
        <f>HYPERLINK("https://klasma.github.io/Logging_1981/tillsynsmail/A 34752-2023 tillsynsbegäran mail.docx", "A 34752-2023")</f>
        <v/>
      </c>
      <c r="Z22">
        <f>HYPERLINK("https://klasma.github.io/Logging_1981/fåglar/A 34752-2023 prioriterade fågelarter.docx", "A 34752-2023")</f>
        <v/>
      </c>
    </row>
    <row r="23" ht="15" customHeight="1">
      <c r="A23" t="inlineStr">
        <is>
          <t>A 37166-2024</t>
        </is>
      </c>
      <c r="B23" s="1" t="n">
        <v>45539</v>
      </c>
      <c r="C23" s="1" t="n">
        <v>46196</v>
      </c>
      <c r="D23" t="inlineStr">
        <is>
          <t>VÄSTMANLANDS LÄN</t>
        </is>
      </c>
      <c r="E23" t="inlineStr">
        <is>
          <t>SALA</t>
        </is>
      </c>
      <c r="G23" t="n">
        <v>1.3</v>
      </c>
      <c r="H23" t="n">
        <v>1</v>
      </c>
      <c r="I23" t="n">
        <v>3</v>
      </c>
      <c r="J23" t="n">
        <v>0</v>
      </c>
      <c r="K23" t="n">
        <v>1</v>
      </c>
      <c r="L23" t="n">
        <v>0</v>
      </c>
      <c r="M23" t="n">
        <v>0</v>
      </c>
      <c r="N23" t="n">
        <v>0</v>
      </c>
      <c r="O23" t="n">
        <v>1</v>
      </c>
      <c r="P23" t="n">
        <v>1</v>
      </c>
      <c r="Q23" t="n">
        <v>4</v>
      </c>
      <c r="R23" s="2" t="inlineStr">
        <is>
          <t>Knärot
Bronshjon
Vedticka
Vågbandad barkbock</t>
        </is>
      </c>
      <c r="S23">
        <f>HYPERLINK("https://klasma.github.io/Logging_1981/artfynd/A 37166-2024 artfynd.xlsx", "A 37166-2024")</f>
        <v/>
      </c>
      <c r="T23">
        <f>HYPERLINK("https://klasma.github.io/Logging_1981/kartor/A 37166-2024 karta.png", "A 37166-2024")</f>
        <v/>
      </c>
      <c r="U23">
        <f>HYPERLINK("https://klasma.github.io/Logging_1981/knärot/A 37166-2024 karta knärot.png", "A 37166-2024")</f>
        <v/>
      </c>
      <c r="V23">
        <f>HYPERLINK("https://klasma.github.io/Logging_1981/klagomål/A 37166-2024 FSC-klagomål.docx", "A 37166-2024")</f>
        <v/>
      </c>
      <c r="W23">
        <f>HYPERLINK("https://klasma.github.io/Logging_1981/klagomålsmail/A 37166-2024 FSC-klagomål mail.docx", "A 37166-2024")</f>
        <v/>
      </c>
      <c r="X23">
        <f>HYPERLINK("https://klasma.github.io/Logging_1981/tillsyn/A 37166-2024 tillsynsbegäran.docx", "A 37166-2024")</f>
        <v/>
      </c>
      <c r="Y23">
        <f>HYPERLINK("https://klasma.github.io/Logging_1981/tillsynsmail/A 37166-2024 tillsynsbegäran mail.docx", "A 37166-2024")</f>
        <v/>
      </c>
    </row>
    <row r="24" ht="15" customHeight="1">
      <c r="A24" t="inlineStr">
        <is>
          <t>A 50128-2025</t>
        </is>
      </c>
      <c r="B24" s="1" t="n">
        <v>45943</v>
      </c>
      <c r="C24" s="1" t="n">
        <v>46196</v>
      </c>
      <c r="D24" t="inlineStr">
        <is>
          <t>VÄSTMANLANDS LÄN</t>
        </is>
      </c>
      <c r="E24" t="inlineStr">
        <is>
          <t>SALA</t>
        </is>
      </c>
      <c r="G24" t="n">
        <v>1</v>
      </c>
      <c r="H24" t="n">
        <v>4</v>
      </c>
      <c r="I24" t="n">
        <v>0</v>
      </c>
      <c r="J24" t="n">
        <v>2</v>
      </c>
      <c r="K24" t="n">
        <v>0</v>
      </c>
      <c r="L24" t="n">
        <v>0</v>
      </c>
      <c r="M24" t="n">
        <v>0</v>
      </c>
      <c r="N24" t="n">
        <v>0</v>
      </c>
      <c r="O24" t="n">
        <v>2</v>
      </c>
      <c r="P24" t="n">
        <v>0</v>
      </c>
      <c r="Q24" t="n">
        <v>4</v>
      </c>
      <c r="R24" s="2" t="inlineStr">
        <is>
          <t>Entita
Järnsparv
Spillkråka
Tofsmes</t>
        </is>
      </c>
      <c r="S24">
        <f>HYPERLINK("https://klasma.github.io/Logging_1981/artfynd/A 50128-2025 artfynd.xlsx", "A 50128-2025")</f>
        <v/>
      </c>
      <c r="T24">
        <f>HYPERLINK("https://klasma.github.io/Logging_1981/kartor/A 50128-2025 karta.png", "A 50128-2025")</f>
        <v/>
      </c>
      <c r="V24">
        <f>HYPERLINK("https://klasma.github.io/Logging_1981/klagomål/A 50128-2025 FSC-klagomål.docx", "A 50128-2025")</f>
        <v/>
      </c>
      <c r="W24">
        <f>HYPERLINK("https://klasma.github.io/Logging_1981/klagomålsmail/A 50128-2025 FSC-klagomål mail.docx", "A 50128-2025")</f>
        <v/>
      </c>
      <c r="X24">
        <f>HYPERLINK("https://klasma.github.io/Logging_1981/tillsyn/A 50128-2025 tillsynsbegäran.docx", "A 50128-2025")</f>
        <v/>
      </c>
      <c r="Y24">
        <f>HYPERLINK("https://klasma.github.io/Logging_1981/tillsynsmail/A 50128-2025 tillsynsbegäran mail.docx", "A 50128-2025")</f>
        <v/>
      </c>
      <c r="Z24">
        <f>HYPERLINK("https://klasma.github.io/Logging_1981/fåglar/A 50128-2025 prioriterade fågelarter.docx", "A 50128-2025")</f>
        <v/>
      </c>
    </row>
    <row r="25" ht="15" customHeight="1">
      <c r="A25" t="inlineStr">
        <is>
          <t>A 14485-2026</t>
        </is>
      </c>
      <c r="B25" s="1" t="n">
        <v>46100</v>
      </c>
      <c r="C25" s="1" t="n">
        <v>46196</v>
      </c>
      <c r="D25" t="inlineStr">
        <is>
          <t>VÄSTMANLANDS LÄN</t>
        </is>
      </c>
      <c r="E25" t="inlineStr">
        <is>
          <t>SALA</t>
        </is>
      </c>
      <c r="F25" t="inlineStr">
        <is>
          <t>Sveaskog</t>
        </is>
      </c>
      <c r="G25" t="n">
        <v>13.6</v>
      </c>
      <c r="H25" t="n">
        <v>2</v>
      </c>
      <c r="I25" t="n">
        <v>0</v>
      </c>
      <c r="J25" t="n">
        <v>3</v>
      </c>
      <c r="K25" t="n">
        <v>0</v>
      </c>
      <c r="L25" t="n">
        <v>0</v>
      </c>
      <c r="M25" t="n">
        <v>0</v>
      </c>
      <c r="N25" t="n">
        <v>0</v>
      </c>
      <c r="O25" t="n">
        <v>3</v>
      </c>
      <c r="P25" t="n">
        <v>0</v>
      </c>
      <c r="Q25" t="n">
        <v>4</v>
      </c>
      <c r="R25" s="2" t="inlineStr">
        <is>
          <t>Dvärgbägarlav
Motaggsvamp
Talltita
Tjäder</t>
        </is>
      </c>
      <c r="S25">
        <f>HYPERLINK("https://klasma.github.io/Logging_1981/artfynd/A 14485-2026 artfynd.xlsx", "A 14485-2026")</f>
        <v/>
      </c>
      <c r="T25">
        <f>HYPERLINK("https://klasma.github.io/Logging_1981/kartor/A 14485-2026 karta.png", "A 14485-2026")</f>
        <v/>
      </c>
      <c r="V25">
        <f>HYPERLINK("https://klasma.github.io/Logging_1981/klagomål/A 14485-2026 FSC-klagomål.docx", "A 14485-2026")</f>
        <v/>
      </c>
      <c r="W25">
        <f>HYPERLINK("https://klasma.github.io/Logging_1981/klagomålsmail/A 14485-2026 FSC-klagomål mail.docx", "A 14485-2026")</f>
        <v/>
      </c>
      <c r="X25">
        <f>HYPERLINK("https://klasma.github.io/Logging_1981/tillsyn/A 14485-2026 tillsynsbegäran.docx", "A 14485-2026")</f>
        <v/>
      </c>
      <c r="Y25">
        <f>HYPERLINK("https://klasma.github.io/Logging_1981/tillsynsmail/A 14485-2026 tillsynsbegäran mail.docx", "A 14485-2026")</f>
        <v/>
      </c>
      <c r="Z25">
        <f>HYPERLINK("https://klasma.github.io/Logging_1981/fåglar/A 14485-2026 prioriterade fågelarter.docx", "A 14485-2026")</f>
        <v/>
      </c>
    </row>
    <row r="26" ht="15" customHeight="1">
      <c r="A26" t="inlineStr">
        <is>
          <t>A 21044-2026</t>
        </is>
      </c>
      <c r="B26" s="1" t="n">
        <v>46146</v>
      </c>
      <c r="C26" s="1" t="n">
        <v>46196</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29727-2023</t>
        </is>
      </c>
      <c r="B27" s="1" t="n">
        <v>45107</v>
      </c>
      <c r="C27" s="1" t="n">
        <v>46196</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63584-2025</t>
        </is>
      </c>
      <c r="B28" s="1" t="n">
        <v>46013</v>
      </c>
      <c r="C28" s="1" t="n">
        <v>46196</v>
      </c>
      <c r="D28" t="inlineStr">
        <is>
          <t>VÄSTMANLANDS LÄN</t>
        </is>
      </c>
      <c r="E28" t="inlineStr">
        <is>
          <t>SALA</t>
        </is>
      </c>
      <c r="G28" t="n">
        <v>7.3</v>
      </c>
      <c r="H28" t="n">
        <v>1</v>
      </c>
      <c r="I28" t="n">
        <v>0</v>
      </c>
      <c r="J28" t="n">
        <v>2</v>
      </c>
      <c r="K28" t="n">
        <v>1</v>
      </c>
      <c r="L28" t="n">
        <v>0</v>
      </c>
      <c r="M28" t="n">
        <v>0</v>
      </c>
      <c r="N28" t="n">
        <v>0</v>
      </c>
      <c r="O28" t="n">
        <v>3</v>
      </c>
      <c r="P28" t="n">
        <v>1</v>
      </c>
      <c r="Q28" t="n">
        <v>3</v>
      </c>
      <c r="R28" s="2" t="inlineStr">
        <is>
          <t>Knärot
Ullticka
Vedtrappmossa</t>
        </is>
      </c>
      <c r="S28">
        <f>HYPERLINK("https://klasma.github.io/Logging_1981/artfynd/A 63584-2025 artfynd.xlsx", "A 63584-2025")</f>
        <v/>
      </c>
      <c r="T28">
        <f>HYPERLINK("https://klasma.github.io/Logging_1981/kartor/A 63584-2025 karta.png", "A 63584-2025")</f>
        <v/>
      </c>
      <c r="U28">
        <f>HYPERLINK("https://klasma.github.io/Logging_1981/knärot/A 63584-2025 karta knärot.png", "A 63584-2025")</f>
        <v/>
      </c>
      <c r="V28">
        <f>HYPERLINK("https://klasma.github.io/Logging_1981/klagomål/A 63584-2025 FSC-klagomål.docx", "A 63584-2025")</f>
        <v/>
      </c>
      <c r="W28">
        <f>HYPERLINK("https://klasma.github.io/Logging_1981/klagomålsmail/A 63584-2025 FSC-klagomål mail.docx", "A 63584-2025")</f>
        <v/>
      </c>
      <c r="X28">
        <f>HYPERLINK("https://klasma.github.io/Logging_1981/tillsyn/A 63584-2025 tillsynsbegäran.docx", "A 63584-2025")</f>
        <v/>
      </c>
      <c r="Y28">
        <f>HYPERLINK("https://klasma.github.io/Logging_1981/tillsynsmail/A 63584-2025 tillsynsbegäran mail.docx", "A 63584-2025")</f>
        <v/>
      </c>
    </row>
    <row r="29" ht="15" customHeight="1">
      <c r="A29" t="inlineStr">
        <is>
          <t>A 22350-2024</t>
        </is>
      </c>
      <c r="B29" s="1" t="n">
        <v>45446</v>
      </c>
      <c r="C29" s="1" t="n">
        <v>46196</v>
      </c>
      <c r="D29" t="inlineStr">
        <is>
          <t>VÄSTMANLANDS LÄN</t>
        </is>
      </c>
      <c r="E29" t="inlineStr">
        <is>
          <t>SALA</t>
        </is>
      </c>
      <c r="G29" t="n">
        <v>1.2</v>
      </c>
      <c r="H29" t="n">
        <v>1</v>
      </c>
      <c r="I29" t="n">
        <v>1</v>
      </c>
      <c r="J29" t="n">
        <v>0</v>
      </c>
      <c r="K29" t="n">
        <v>1</v>
      </c>
      <c r="L29" t="n">
        <v>0</v>
      </c>
      <c r="M29" t="n">
        <v>0</v>
      </c>
      <c r="N29" t="n">
        <v>0</v>
      </c>
      <c r="O29" t="n">
        <v>1</v>
      </c>
      <c r="P29" t="n">
        <v>1</v>
      </c>
      <c r="Q29" t="n">
        <v>3</v>
      </c>
      <c r="R29" s="2" t="inlineStr">
        <is>
          <t>Laxporing
Rödgul trumpetsvamp
Blåsippa</t>
        </is>
      </c>
      <c r="S29">
        <f>HYPERLINK("https://klasma.github.io/Logging_1981/artfynd/A 22350-2024 artfynd.xlsx", "A 22350-2024")</f>
        <v/>
      </c>
      <c r="T29">
        <f>HYPERLINK("https://klasma.github.io/Logging_1981/kartor/A 22350-2024 karta.png", "A 22350-2024")</f>
        <v/>
      </c>
      <c r="V29">
        <f>HYPERLINK("https://klasma.github.io/Logging_1981/klagomål/A 22350-2024 FSC-klagomål.docx", "A 22350-2024")</f>
        <v/>
      </c>
      <c r="W29">
        <f>HYPERLINK("https://klasma.github.io/Logging_1981/klagomålsmail/A 22350-2024 FSC-klagomål mail.docx", "A 22350-2024")</f>
        <v/>
      </c>
      <c r="X29">
        <f>HYPERLINK("https://klasma.github.io/Logging_1981/tillsyn/A 22350-2024 tillsynsbegäran.docx", "A 22350-2024")</f>
        <v/>
      </c>
      <c r="Y29">
        <f>HYPERLINK("https://klasma.github.io/Logging_1981/tillsynsmail/A 22350-2024 tillsynsbegäran mail.docx", "A 22350-2024")</f>
        <v/>
      </c>
    </row>
    <row r="30" ht="15" customHeight="1">
      <c r="A30" t="inlineStr">
        <is>
          <t>A 15630-2026</t>
        </is>
      </c>
      <c r="B30" s="1" t="n">
        <v>46106</v>
      </c>
      <c r="C30" s="1" t="n">
        <v>46196</v>
      </c>
      <c r="D30" t="inlineStr">
        <is>
          <t>VÄSTMANLANDS LÄN</t>
        </is>
      </c>
      <c r="E30" t="inlineStr">
        <is>
          <t>SALA</t>
        </is>
      </c>
      <c r="G30" t="n">
        <v>1.1</v>
      </c>
      <c r="H30" t="n">
        <v>0</v>
      </c>
      <c r="I30" t="n">
        <v>1</v>
      </c>
      <c r="J30" t="n">
        <v>1</v>
      </c>
      <c r="K30" t="n">
        <v>0</v>
      </c>
      <c r="L30" t="n">
        <v>0</v>
      </c>
      <c r="M30" t="n">
        <v>0</v>
      </c>
      <c r="N30" t="n">
        <v>0</v>
      </c>
      <c r="O30" t="n">
        <v>1</v>
      </c>
      <c r="P30" t="n">
        <v>0</v>
      </c>
      <c r="Q30" t="n">
        <v>3</v>
      </c>
      <c r="R30" s="2" t="inlineStr">
        <is>
          <t>Kortskaftad ärgspik
Thomsons trägnagare
Krushättemossa</t>
        </is>
      </c>
      <c r="S30">
        <f>HYPERLINK("https://klasma.github.io/Logging_1981/artfynd/A 15630-2026 artfynd.xlsx", "A 15630-2026")</f>
        <v/>
      </c>
      <c r="T30">
        <f>HYPERLINK("https://klasma.github.io/Logging_1981/kartor/A 15630-2026 karta.png", "A 15630-2026")</f>
        <v/>
      </c>
      <c r="V30">
        <f>HYPERLINK("https://klasma.github.io/Logging_1981/klagomål/A 15630-2026 FSC-klagomål.docx", "A 15630-2026")</f>
        <v/>
      </c>
      <c r="W30">
        <f>HYPERLINK("https://klasma.github.io/Logging_1981/klagomålsmail/A 15630-2026 FSC-klagomål mail.docx", "A 15630-2026")</f>
        <v/>
      </c>
      <c r="X30">
        <f>HYPERLINK("https://klasma.github.io/Logging_1981/tillsyn/A 15630-2026 tillsynsbegäran.docx", "A 15630-2026")</f>
        <v/>
      </c>
      <c r="Y30">
        <f>HYPERLINK("https://klasma.github.io/Logging_1981/tillsynsmail/A 15630-2026 tillsynsbegäran mail.docx", "A 15630-2026")</f>
        <v/>
      </c>
    </row>
    <row r="31" ht="15" customHeight="1">
      <c r="A31" t="inlineStr">
        <is>
          <t>A 18896-2026</t>
        </is>
      </c>
      <c r="B31" s="1" t="n">
        <v>46129</v>
      </c>
      <c r="C31" s="1" t="n">
        <v>46196</v>
      </c>
      <c r="D31" t="inlineStr">
        <is>
          <t>VÄSTMANLANDS LÄN</t>
        </is>
      </c>
      <c r="E31" t="inlineStr">
        <is>
          <t>SALA</t>
        </is>
      </c>
      <c r="F31" t="inlineStr">
        <is>
          <t>Kommuner</t>
        </is>
      </c>
      <c r="G31" t="n">
        <v>1.1</v>
      </c>
      <c r="H31" t="n">
        <v>0</v>
      </c>
      <c r="I31" t="n">
        <v>2</v>
      </c>
      <c r="J31" t="n">
        <v>1</v>
      </c>
      <c r="K31" t="n">
        <v>0</v>
      </c>
      <c r="L31" t="n">
        <v>0</v>
      </c>
      <c r="M31" t="n">
        <v>0</v>
      </c>
      <c r="N31" t="n">
        <v>0</v>
      </c>
      <c r="O31" t="n">
        <v>1</v>
      </c>
      <c r="P31" t="n">
        <v>0</v>
      </c>
      <c r="Q31" t="n">
        <v>3</v>
      </c>
      <c r="R31" s="2" t="inlineStr">
        <is>
          <t>Ullticka
Bronshjon
Dvärgtufs</t>
        </is>
      </c>
      <c r="S31">
        <f>HYPERLINK("https://klasma.github.io/Logging_1981/artfynd/A 18896-2026 artfynd.xlsx", "A 18896-2026")</f>
        <v/>
      </c>
      <c r="T31">
        <f>HYPERLINK("https://klasma.github.io/Logging_1981/kartor/A 18896-2026 karta.png", "A 18896-2026")</f>
        <v/>
      </c>
      <c r="V31">
        <f>HYPERLINK("https://klasma.github.io/Logging_1981/klagomål/A 18896-2026 FSC-klagomål.docx", "A 18896-2026")</f>
        <v/>
      </c>
      <c r="W31">
        <f>HYPERLINK("https://klasma.github.io/Logging_1981/klagomålsmail/A 18896-2026 FSC-klagomål mail.docx", "A 18896-2026")</f>
        <v/>
      </c>
      <c r="X31">
        <f>HYPERLINK("https://klasma.github.io/Logging_1981/tillsyn/A 18896-2026 tillsynsbegäran.docx", "A 18896-2026")</f>
        <v/>
      </c>
      <c r="Y31">
        <f>HYPERLINK("https://klasma.github.io/Logging_1981/tillsynsmail/A 18896-2026 tillsynsbegäran mail.docx", "A 18896-2026")</f>
        <v/>
      </c>
    </row>
    <row r="32" ht="15" customHeight="1">
      <c r="A32" t="inlineStr">
        <is>
          <t>A 3930-2026</t>
        </is>
      </c>
      <c r="B32" s="1" t="n">
        <v>46043</v>
      </c>
      <c r="C32" s="1" t="n">
        <v>46196</v>
      </c>
      <c r="D32" t="inlineStr">
        <is>
          <t>VÄSTMANLANDS LÄN</t>
        </is>
      </c>
      <c r="E32" t="inlineStr">
        <is>
          <t>SALA</t>
        </is>
      </c>
      <c r="G32" t="n">
        <v>17.4</v>
      </c>
      <c r="H32" t="n">
        <v>1</v>
      </c>
      <c r="I32" t="n">
        <v>0</v>
      </c>
      <c r="J32" t="n">
        <v>1</v>
      </c>
      <c r="K32" t="n">
        <v>2</v>
      </c>
      <c r="L32" t="n">
        <v>0</v>
      </c>
      <c r="M32" t="n">
        <v>0</v>
      </c>
      <c r="N32" t="n">
        <v>0</v>
      </c>
      <c r="O32" t="n">
        <v>3</v>
      </c>
      <c r="P32" t="n">
        <v>2</v>
      </c>
      <c r="Q32" t="n">
        <v>3</v>
      </c>
      <c r="R32" s="2" t="inlineStr">
        <is>
          <t>Gränsticka
Knärot
Ullticka</t>
        </is>
      </c>
      <c r="S32">
        <f>HYPERLINK("https://klasma.github.io/Logging_1981/artfynd/A 3930-2026 artfynd.xlsx", "A 3930-2026")</f>
        <v/>
      </c>
      <c r="T32">
        <f>HYPERLINK("https://klasma.github.io/Logging_1981/kartor/A 3930-2026 karta.png", "A 3930-2026")</f>
        <v/>
      </c>
      <c r="U32">
        <f>HYPERLINK("https://klasma.github.io/Logging_1981/knärot/A 3930-2026 karta knärot.png", "A 3930-2026")</f>
        <v/>
      </c>
      <c r="V32">
        <f>HYPERLINK("https://klasma.github.io/Logging_1981/klagomål/A 3930-2026 FSC-klagomål.docx", "A 3930-2026")</f>
        <v/>
      </c>
      <c r="W32">
        <f>HYPERLINK("https://klasma.github.io/Logging_1981/klagomålsmail/A 3930-2026 FSC-klagomål mail.docx", "A 3930-2026")</f>
        <v/>
      </c>
      <c r="X32">
        <f>HYPERLINK("https://klasma.github.io/Logging_1981/tillsyn/A 3930-2026 tillsynsbegäran.docx", "A 3930-2026")</f>
        <v/>
      </c>
      <c r="Y32">
        <f>HYPERLINK("https://klasma.github.io/Logging_1981/tillsynsmail/A 3930-2026 tillsynsbegäran mail.docx", "A 3930-2026")</f>
        <v/>
      </c>
    </row>
    <row r="33" ht="15" customHeight="1">
      <c r="A33" t="inlineStr">
        <is>
          <t>A 3567-2024</t>
        </is>
      </c>
      <c r="B33" s="1" t="n">
        <v>45320</v>
      </c>
      <c r="C33" s="1" t="n">
        <v>46196</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46196</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12444-2024</t>
        </is>
      </c>
      <c r="B35" s="1" t="n">
        <v>45379</v>
      </c>
      <c r="C35" s="1" t="n">
        <v>46196</v>
      </c>
      <c r="D35" t="inlineStr">
        <is>
          <t>VÄSTMANLANDS LÄN</t>
        </is>
      </c>
      <c r="E35" t="inlineStr">
        <is>
          <t>SALA</t>
        </is>
      </c>
      <c r="G35" t="n">
        <v>5.5</v>
      </c>
      <c r="H35" t="n">
        <v>1</v>
      </c>
      <c r="I35" t="n">
        <v>1</v>
      </c>
      <c r="J35" t="n">
        <v>1</v>
      </c>
      <c r="K35" t="n">
        <v>1</v>
      </c>
      <c r="L35" t="n">
        <v>0</v>
      </c>
      <c r="M35" t="n">
        <v>0</v>
      </c>
      <c r="N35" t="n">
        <v>0</v>
      </c>
      <c r="O35" t="n">
        <v>2</v>
      </c>
      <c r="P35" t="n">
        <v>1</v>
      </c>
      <c r="Q35" t="n">
        <v>3</v>
      </c>
      <c r="R35" s="2" t="inlineStr">
        <is>
          <t>Knärot
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62768-2021</t>
        </is>
      </c>
      <c r="B36" s="1" t="n">
        <v>44504</v>
      </c>
      <c r="C36" s="1" t="n">
        <v>46196</v>
      </c>
      <c r="D36" t="inlineStr">
        <is>
          <t>VÄSTMANLANDS LÄN</t>
        </is>
      </c>
      <c r="E36" t="inlineStr">
        <is>
          <t>SALA</t>
        </is>
      </c>
      <c r="G36" t="n">
        <v>12.9</v>
      </c>
      <c r="H36" t="n">
        <v>1</v>
      </c>
      <c r="I36" t="n">
        <v>1</v>
      </c>
      <c r="J36" t="n">
        <v>1</v>
      </c>
      <c r="K36" t="n">
        <v>1</v>
      </c>
      <c r="L36" t="n">
        <v>0</v>
      </c>
      <c r="M36" t="n">
        <v>0</v>
      </c>
      <c r="N36" t="n">
        <v>0</v>
      </c>
      <c r="O36" t="n">
        <v>2</v>
      </c>
      <c r="P36" t="n">
        <v>1</v>
      </c>
      <c r="Q36" t="n">
        <v>3</v>
      </c>
      <c r="R36" s="2" t="inlineStr">
        <is>
          <t>Knärot
Vedtrappmossa
Grönpyrola</t>
        </is>
      </c>
      <c r="S36">
        <f>HYPERLINK("https://klasma.github.io/Logging_1981/artfynd/A 62768-2021 artfynd.xlsx", "A 62768-2021")</f>
        <v/>
      </c>
      <c r="T36">
        <f>HYPERLINK("https://klasma.github.io/Logging_1981/kartor/A 62768-2021 karta.png", "A 62768-2021")</f>
        <v/>
      </c>
      <c r="U36">
        <f>HYPERLINK("https://klasma.github.io/Logging_1981/knärot/A 62768-2021 karta knärot.png", "A 62768-2021")</f>
        <v/>
      </c>
      <c r="V36">
        <f>HYPERLINK("https://klasma.github.io/Logging_1981/klagomål/A 62768-2021 FSC-klagomål.docx", "A 62768-2021")</f>
        <v/>
      </c>
      <c r="W36">
        <f>HYPERLINK("https://klasma.github.io/Logging_1981/klagomålsmail/A 62768-2021 FSC-klagomål mail.docx", "A 62768-2021")</f>
        <v/>
      </c>
      <c r="X36">
        <f>HYPERLINK("https://klasma.github.io/Logging_1981/tillsyn/A 62768-2021 tillsynsbegäran.docx", "A 62768-2021")</f>
        <v/>
      </c>
      <c r="Y36">
        <f>HYPERLINK("https://klasma.github.io/Logging_1981/tillsynsmail/A 62768-2021 tillsynsbegäran mail.docx", "A 62768-2021")</f>
        <v/>
      </c>
    </row>
    <row r="37" ht="15" customHeight="1">
      <c r="A37" t="inlineStr">
        <is>
          <t>A 52909-2022</t>
        </is>
      </c>
      <c r="B37" s="1" t="n">
        <v>44875</v>
      </c>
      <c r="C37" s="1" t="n">
        <v>46196</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46196</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38574-2025</t>
        </is>
      </c>
      <c r="B39" s="1" t="n">
        <v>45884</v>
      </c>
      <c r="C39" s="1" t="n">
        <v>46196</v>
      </c>
      <c r="D39" t="inlineStr">
        <is>
          <t>VÄSTMANLANDS LÄN</t>
        </is>
      </c>
      <c r="E39" t="inlineStr">
        <is>
          <t>SALA</t>
        </is>
      </c>
      <c r="G39" t="n">
        <v>2.1</v>
      </c>
      <c r="H39" t="n">
        <v>0</v>
      </c>
      <c r="I39" t="n">
        <v>0</v>
      </c>
      <c r="J39" t="n">
        <v>1</v>
      </c>
      <c r="K39" t="n">
        <v>1</v>
      </c>
      <c r="L39" t="n">
        <v>0</v>
      </c>
      <c r="M39" t="n">
        <v>0</v>
      </c>
      <c r="N39" t="n">
        <v>0</v>
      </c>
      <c r="O39" t="n">
        <v>2</v>
      </c>
      <c r="P39" t="n">
        <v>1</v>
      </c>
      <c r="Q39" t="n">
        <v>2</v>
      </c>
      <c r="R39" s="2" t="inlineStr">
        <is>
          <t>Aspgelélav
Vedskivlav</t>
        </is>
      </c>
      <c r="S39">
        <f>HYPERLINK("https://klasma.github.io/Logging_1981/artfynd/A 38574-2025 artfynd.xlsx", "A 38574-2025")</f>
        <v/>
      </c>
      <c r="T39">
        <f>HYPERLINK("https://klasma.github.io/Logging_1981/kartor/A 38574-2025 karta.png", "A 38574-2025")</f>
        <v/>
      </c>
      <c r="V39">
        <f>HYPERLINK("https://klasma.github.io/Logging_1981/klagomål/A 38574-2025 FSC-klagomål.docx", "A 38574-2025")</f>
        <v/>
      </c>
      <c r="W39">
        <f>HYPERLINK("https://klasma.github.io/Logging_1981/klagomålsmail/A 38574-2025 FSC-klagomål mail.docx", "A 38574-2025")</f>
        <v/>
      </c>
      <c r="X39">
        <f>HYPERLINK("https://klasma.github.io/Logging_1981/tillsyn/A 38574-2025 tillsynsbegäran.docx", "A 38574-2025")</f>
        <v/>
      </c>
      <c r="Y39">
        <f>HYPERLINK("https://klasma.github.io/Logging_1981/tillsynsmail/A 38574-2025 tillsynsbegäran mail.docx", "A 38574-2025")</f>
        <v/>
      </c>
    </row>
    <row r="40" ht="15" customHeight="1">
      <c r="A40" t="inlineStr">
        <is>
          <t>A 53048-2025</t>
        </is>
      </c>
      <c r="B40" s="1" t="n">
        <v>45958</v>
      </c>
      <c r="C40" s="1" t="n">
        <v>46196</v>
      </c>
      <c r="D40" t="inlineStr">
        <is>
          <t>VÄSTMANLANDS LÄN</t>
        </is>
      </c>
      <c r="E40" t="inlineStr">
        <is>
          <t>SALA</t>
        </is>
      </c>
      <c r="F40" t="inlineStr">
        <is>
          <t>Sveaskog</t>
        </is>
      </c>
      <c r="G40" t="n">
        <v>7.5</v>
      </c>
      <c r="H40" t="n">
        <v>1</v>
      </c>
      <c r="I40" t="n">
        <v>1</v>
      </c>
      <c r="J40" t="n">
        <v>1</v>
      </c>
      <c r="K40" t="n">
        <v>0</v>
      </c>
      <c r="L40" t="n">
        <v>0</v>
      </c>
      <c r="M40" t="n">
        <v>0</v>
      </c>
      <c r="N40" t="n">
        <v>0</v>
      </c>
      <c r="O40" t="n">
        <v>1</v>
      </c>
      <c r="P40" t="n">
        <v>0</v>
      </c>
      <c r="Q40" t="n">
        <v>2</v>
      </c>
      <c r="R40" s="2" t="inlineStr">
        <is>
          <t>Motaggsvamp
Plattlummer</t>
        </is>
      </c>
      <c r="S40">
        <f>HYPERLINK("https://klasma.github.io/Logging_1981/artfynd/A 53048-2025 artfynd.xlsx", "A 53048-2025")</f>
        <v/>
      </c>
      <c r="T40">
        <f>HYPERLINK("https://klasma.github.io/Logging_1981/kartor/A 53048-2025 karta.png", "A 53048-2025")</f>
        <v/>
      </c>
      <c r="V40">
        <f>HYPERLINK("https://klasma.github.io/Logging_1981/klagomål/A 53048-2025 FSC-klagomål.docx", "A 53048-2025")</f>
        <v/>
      </c>
      <c r="W40">
        <f>HYPERLINK("https://klasma.github.io/Logging_1981/klagomålsmail/A 53048-2025 FSC-klagomål mail.docx", "A 53048-2025")</f>
        <v/>
      </c>
      <c r="X40">
        <f>HYPERLINK("https://klasma.github.io/Logging_1981/tillsyn/A 53048-2025 tillsynsbegäran.docx", "A 53048-2025")</f>
        <v/>
      </c>
      <c r="Y40">
        <f>HYPERLINK("https://klasma.github.io/Logging_1981/tillsynsmail/A 53048-2025 tillsynsbegäran mail.docx", "A 53048-2025")</f>
        <v/>
      </c>
    </row>
    <row r="41" ht="15" customHeight="1">
      <c r="A41" t="inlineStr">
        <is>
          <t>A 24872-2025</t>
        </is>
      </c>
      <c r="B41" s="1" t="n">
        <v>45799</v>
      </c>
      <c r="C41" s="1" t="n">
        <v>46196</v>
      </c>
      <c r="D41" t="inlineStr">
        <is>
          <t>VÄSTMANLANDS LÄN</t>
        </is>
      </c>
      <c r="E41" t="inlineStr">
        <is>
          <t>SALA</t>
        </is>
      </c>
      <c r="G41" t="n">
        <v>13.9</v>
      </c>
      <c r="H41" t="n">
        <v>1</v>
      </c>
      <c r="I41" t="n">
        <v>0</v>
      </c>
      <c r="J41" t="n">
        <v>1</v>
      </c>
      <c r="K41" t="n">
        <v>1</v>
      </c>
      <c r="L41" t="n">
        <v>0</v>
      </c>
      <c r="M41" t="n">
        <v>0</v>
      </c>
      <c r="N41" t="n">
        <v>0</v>
      </c>
      <c r="O41" t="n">
        <v>2</v>
      </c>
      <c r="P41" t="n">
        <v>1</v>
      </c>
      <c r="Q41" t="n">
        <v>2</v>
      </c>
      <c r="R41" s="2" t="inlineStr">
        <is>
          <t>Knärot
Motaggsvamp</t>
        </is>
      </c>
      <c r="S41">
        <f>HYPERLINK("https://klasma.github.io/Logging_1981/artfynd/A 24872-2025 artfynd.xlsx", "A 24872-2025")</f>
        <v/>
      </c>
      <c r="T41">
        <f>HYPERLINK("https://klasma.github.io/Logging_1981/kartor/A 24872-2025 karta.png", "A 24872-2025")</f>
        <v/>
      </c>
      <c r="U41">
        <f>HYPERLINK("https://klasma.github.io/Logging_1981/knärot/A 24872-2025 karta knärot.png", "A 24872-2025")</f>
        <v/>
      </c>
      <c r="V41">
        <f>HYPERLINK("https://klasma.github.io/Logging_1981/klagomål/A 24872-2025 FSC-klagomål.docx", "A 24872-2025")</f>
        <v/>
      </c>
      <c r="W41">
        <f>HYPERLINK("https://klasma.github.io/Logging_1981/klagomålsmail/A 24872-2025 FSC-klagomål mail.docx", "A 24872-2025")</f>
        <v/>
      </c>
      <c r="X41">
        <f>HYPERLINK("https://klasma.github.io/Logging_1981/tillsyn/A 24872-2025 tillsynsbegäran.docx", "A 24872-2025")</f>
        <v/>
      </c>
      <c r="Y41">
        <f>HYPERLINK("https://klasma.github.io/Logging_1981/tillsynsmail/A 24872-2025 tillsynsbegäran mail.docx", "A 24872-2025")</f>
        <v/>
      </c>
    </row>
    <row r="42" ht="15" customHeight="1">
      <c r="A42" t="inlineStr">
        <is>
          <t>A 59826-2025</t>
        </is>
      </c>
      <c r="B42" s="1" t="n">
        <v>45992</v>
      </c>
      <c r="C42" s="1" t="n">
        <v>46196</v>
      </c>
      <c r="D42" t="inlineStr">
        <is>
          <t>VÄSTMANLANDS LÄN</t>
        </is>
      </c>
      <c r="E42" t="inlineStr">
        <is>
          <t>SALA</t>
        </is>
      </c>
      <c r="G42" t="n">
        <v>2.7</v>
      </c>
      <c r="H42" t="n">
        <v>0</v>
      </c>
      <c r="I42" t="n">
        <v>1</v>
      </c>
      <c r="J42" t="n">
        <v>1</v>
      </c>
      <c r="K42" t="n">
        <v>0</v>
      </c>
      <c r="L42" t="n">
        <v>0</v>
      </c>
      <c r="M42" t="n">
        <v>0</v>
      </c>
      <c r="N42" t="n">
        <v>0</v>
      </c>
      <c r="O42" t="n">
        <v>1</v>
      </c>
      <c r="P42" t="n">
        <v>0</v>
      </c>
      <c r="Q42" t="n">
        <v>2</v>
      </c>
      <c r="R42" s="2" t="inlineStr">
        <is>
          <t>Motaggsvamp
Gullgröppa</t>
        </is>
      </c>
      <c r="S42">
        <f>HYPERLINK("https://klasma.github.io/Logging_1981/artfynd/A 59826-2025 artfynd.xlsx", "A 59826-2025")</f>
        <v/>
      </c>
      <c r="T42">
        <f>HYPERLINK("https://klasma.github.io/Logging_1981/kartor/A 59826-2025 karta.png", "A 59826-2025")</f>
        <v/>
      </c>
      <c r="V42">
        <f>HYPERLINK("https://klasma.github.io/Logging_1981/klagomål/A 59826-2025 FSC-klagomål.docx", "A 59826-2025")</f>
        <v/>
      </c>
      <c r="W42">
        <f>HYPERLINK("https://klasma.github.io/Logging_1981/klagomålsmail/A 59826-2025 FSC-klagomål mail.docx", "A 59826-2025")</f>
        <v/>
      </c>
      <c r="X42">
        <f>HYPERLINK("https://klasma.github.io/Logging_1981/tillsyn/A 59826-2025 tillsynsbegäran.docx", "A 59826-2025")</f>
        <v/>
      </c>
      <c r="Y42">
        <f>HYPERLINK("https://klasma.github.io/Logging_1981/tillsynsmail/A 59826-2025 tillsynsbegäran mail.docx", "A 59826-2025")</f>
        <v/>
      </c>
    </row>
    <row r="43" ht="15" customHeight="1">
      <c r="A43" t="inlineStr">
        <is>
          <t>A 48705-2025</t>
        </is>
      </c>
      <c r="B43" s="1" t="n">
        <v>45936</v>
      </c>
      <c r="C43" s="1" t="n">
        <v>46196</v>
      </c>
      <c r="D43" t="inlineStr">
        <is>
          <t>VÄSTMANLANDS LÄN</t>
        </is>
      </c>
      <c r="E43" t="inlineStr">
        <is>
          <t>SALA</t>
        </is>
      </c>
      <c r="G43" t="n">
        <v>4.4</v>
      </c>
      <c r="H43" t="n">
        <v>2</v>
      </c>
      <c r="I43" t="n">
        <v>1</v>
      </c>
      <c r="J43" t="n">
        <v>0</v>
      </c>
      <c r="K43" t="n">
        <v>0</v>
      </c>
      <c r="L43" t="n">
        <v>0</v>
      </c>
      <c r="M43" t="n">
        <v>0</v>
      </c>
      <c r="N43" t="n">
        <v>0</v>
      </c>
      <c r="O43" t="n">
        <v>0</v>
      </c>
      <c r="P43" t="n">
        <v>0</v>
      </c>
      <c r="Q43" t="n">
        <v>2</v>
      </c>
      <c r="R43" s="2" t="inlineStr">
        <is>
          <t>Plattlummer
Revlummer</t>
        </is>
      </c>
      <c r="S43">
        <f>HYPERLINK("https://klasma.github.io/Logging_1981/artfynd/A 48705-2025 artfynd.xlsx", "A 48705-2025")</f>
        <v/>
      </c>
      <c r="T43">
        <f>HYPERLINK("https://klasma.github.io/Logging_1981/kartor/A 48705-2025 karta.png", "A 48705-2025")</f>
        <v/>
      </c>
      <c r="V43">
        <f>HYPERLINK("https://klasma.github.io/Logging_1981/klagomål/A 48705-2025 FSC-klagomål.docx", "A 48705-2025")</f>
        <v/>
      </c>
      <c r="W43">
        <f>HYPERLINK("https://klasma.github.io/Logging_1981/klagomålsmail/A 48705-2025 FSC-klagomål mail.docx", "A 48705-2025")</f>
        <v/>
      </c>
      <c r="X43">
        <f>HYPERLINK("https://klasma.github.io/Logging_1981/tillsyn/A 48705-2025 tillsynsbegäran.docx", "A 48705-2025")</f>
        <v/>
      </c>
      <c r="Y43">
        <f>HYPERLINK("https://klasma.github.io/Logging_1981/tillsynsmail/A 48705-2025 tillsynsbegäran mail.docx", "A 48705-2025")</f>
        <v/>
      </c>
    </row>
    <row r="44" ht="15" customHeight="1">
      <c r="A44" t="inlineStr">
        <is>
          <t>A 13029-2023</t>
        </is>
      </c>
      <c r="B44" s="1" t="n">
        <v>45001</v>
      </c>
      <c r="C44" s="1" t="n">
        <v>46196</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1500-2022</t>
        </is>
      </c>
      <c r="B45" s="1" t="n">
        <v>44573</v>
      </c>
      <c r="C45" s="1" t="n">
        <v>46196</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15102-2025</t>
        </is>
      </c>
      <c r="B46" s="1" t="n">
        <v>45744</v>
      </c>
      <c r="C46" s="1" t="n">
        <v>46196</v>
      </c>
      <c r="D46" t="inlineStr">
        <is>
          <t>VÄSTMANLANDS LÄN</t>
        </is>
      </c>
      <c r="E46" t="inlineStr">
        <is>
          <t>SALA</t>
        </is>
      </c>
      <c r="F46" t="inlineStr">
        <is>
          <t>Sveaskog</t>
        </is>
      </c>
      <c r="G46" t="n">
        <v>4.2</v>
      </c>
      <c r="H46" t="n">
        <v>2</v>
      </c>
      <c r="I46" t="n">
        <v>0</v>
      </c>
      <c r="J46" t="n">
        <v>0</v>
      </c>
      <c r="K46" t="n">
        <v>0</v>
      </c>
      <c r="L46" t="n">
        <v>0</v>
      </c>
      <c r="M46" t="n">
        <v>0</v>
      </c>
      <c r="N46" t="n">
        <v>0</v>
      </c>
      <c r="O46" t="n">
        <v>0</v>
      </c>
      <c r="P46" t="n">
        <v>0</v>
      </c>
      <c r="Q46" t="n">
        <v>2</v>
      </c>
      <c r="R46" s="2" t="inlineStr">
        <is>
          <t>Spillkråka
Grönsiska</t>
        </is>
      </c>
      <c r="S46">
        <f>HYPERLINK("https://klasma.github.io/Logging_1981/artfynd/A 15102-2025 artfynd.xlsx", "A 15102-2025")</f>
        <v/>
      </c>
      <c r="T46">
        <f>HYPERLINK("https://klasma.github.io/Logging_1981/kartor/A 15102-2025 karta.png", "A 15102-2025")</f>
        <v/>
      </c>
      <c r="V46">
        <f>HYPERLINK("https://klasma.github.io/Logging_1981/klagomål/A 15102-2025 FSC-klagomål.docx", "A 15102-2025")</f>
        <v/>
      </c>
      <c r="W46">
        <f>HYPERLINK("https://klasma.github.io/Logging_1981/klagomålsmail/A 15102-2025 FSC-klagomål mail.docx", "A 15102-2025")</f>
        <v/>
      </c>
      <c r="X46">
        <f>HYPERLINK("https://klasma.github.io/Logging_1981/tillsyn/A 15102-2025 tillsynsbegäran.docx", "A 15102-2025")</f>
        <v/>
      </c>
      <c r="Y46">
        <f>HYPERLINK("https://klasma.github.io/Logging_1981/tillsynsmail/A 15102-2025 tillsynsbegäran mail.docx", "A 15102-2025")</f>
        <v/>
      </c>
      <c r="Z46">
        <f>HYPERLINK("https://klasma.github.io/Logging_1981/fåglar/A 15102-2025 prioriterade fågelarter.docx", "A 15102-2025")</f>
        <v/>
      </c>
    </row>
    <row r="47" ht="15" customHeight="1">
      <c r="A47" t="inlineStr">
        <is>
          <t>A 41570-2021</t>
        </is>
      </c>
      <c r="B47" s="1" t="n">
        <v>44425</v>
      </c>
      <c r="C47" s="1" t="n">
        <v>46196</v>
      </c>
      <c r="D47" t="inlineStr">
        <is>
          <t>VÄSTMANLANDS LÄN</t>
        </is>
      </c>
      <c r="E47" t="inlineStr">
        <is>
          <t>SALA</t>
        </is>
      </c>
      <c r="G47" t="n">
        <v>1.4</v>
      </c>
      <c r="H47" t="n">
        <v>0</v>
      </c>
      <c r="I47" t="n">
        <v>1</v>
      </c>
      <c r="J47" t="n">
        <v>1</v>
      </c>
      <c r="K47" t="n">
        <v>0</v>
      </c>
      <c r="L47" t="n">
        <v>0</v>
      </c>
      <c r="M47" t="n">
        <v>0</v>
      </c>
      <c r="N47" t="n">
        <v>0</v>
      </c>
      <c r="O47" t="n">
        <v>1</v>
      </c>
      <c r="P47" t="n">
        <v>0</v>
      </c>
      <c r="Q47" t="n">
        <v>2</v>
      </c>
      <c r="R47" s="2" t="inlineStr">
        <is>
          <t>Vedtrappmossa
Dvärghäxört</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18431-2023</t>
        </is>
      </c>
      <c r="B48" s="1" t="n">
        <v>45042</v>
      </c>
      <c r="C48" s="1" t="n">
        <v>46196</v>
      </c>
      <c r="D48" t="inlineStr">
        <is>
          <t>VÄSTMANLANDS LÄN</t>
        </is>
      </c>
      <c r="E48" t="inlineStr">
        <is>
          <t>SALA</t>
        </is>
      </c>
      <c r="G48" t="n">
        <v>1.9</v>
      </c>
      <c r="H48" t="n">
        <v>0</v>
      </c>
      <c r="I48" t="n">
        <v>1</v>
      </c>
      <c r="J48" t="n">
        <v>1</v>
      </c>
      <c r="K48" t="n">
        <v>0</v>
      </c>
      <c r="L48" t="n">
        <v>0</v>
      </c>
      <c r="M48" t="n">
        <v>0</v>
      </c>
      <c r="N48" t="n">
        <v>0</v>
      </c>
      <c r="O48" t="n">
        <v>1</v>
      </c>
      <c r="P48" t="n">
        <v>0</v>
      </c>
      <c r="Q48" t="n">
        <v>2</v>
      </c>
      <c r="R48" s="2" t="inlineStr">
        <is>
          <t>Scharlakansvaxing
Blodvaxing</t>
        </is>
      </c>
      <c r="S48">
        <f>HYPERLINK("https://klasma.github.io/Logging_1981/artfynd/A 18431-2023 artfynd.xlsx", "A 18431-2023")</f>
        <v/>
      </c>
      <c r="T48">
        <f>HYPERLINK("https://klasma.github.io/Logging_1981/kartor/A 18431-2023 karta.png", "A 18431-2023")</f>
        <v/>
      </c>
      <c r="V48">
        <f>HYPERLINK("https://klasma.github.io/Logging_1981/klagomål/A 18431-2023 FSC-klagomål.docx", "A 18431-2023")</f>
        <v/>
      </c>
      <c r="W48">
        <f>HYPERLINK("https://klasma.github.io/Logging_1981/klagomålsmail/A 18431-2023 FSC-klagomål mail.docx", "A 18431-2023")</f>
        <v/>
      </c>
      <c r="X48">
        <f>HYPERLINK("https://klasma.github.io/Logging_1981/tillsyn/A 18431-2023 tillsynsbegäran.docx", "A 18431-2023")</f>
        <v/>
      </c>
      <c r="Y48">
        <f>HYPERLINK("https://klasma.github.io/Logging_1981/tillsynsmail/A 18431-2023 tillsynsbegäran mail.docx", "A 18431-2023")</f>
        <v/>
      </c>
    </row>
    <row r="49" ht="15" customHeight="1">
      <c r="A49" t="inlineStr">
        <is>
          <t>A 6351-2023</t>
        </is>
      </c>
      <c r="B49" s="1" t="n">
        <v>44965</v>
      </c>
      <c r="C49" s="1" t="n">
        <v>46196</v>
      </c>
      <c r="D49" t="inlineStr">
        <is>
          <t>VÄSTMANLANDS LÄN</t>
        </is>
      </c>
      <c r="E49" t="inlineStr">
        <is>
          <t>SALA</t>
        </is>
      </c>
      <c r="F49" t="inlineStr">
        <is>
          <t>Kommuner</t>
        </is>
      </c>
      <c r="G49" t="n">
        <v>8.800000000000001</v>
      </c>
      <c r="H49" t="n">
        <v>2</v>
      </c>
      <c r="I49" t="n">
        <v>0</v>
      </c>
      <c r="J49" t="n">
        <v>0</v>
      </c>
      <c r="K49" t="n">
        <v>0</v>
      </c>
      <c r="L49" t="n">
        <v>0</v>
      </c>
      <c r="M49" t="n">
        <v>0</v>
      </c>
      <c r="N49" t="n">
        <v>0</v>
      </c>
      <c r="O49" t="n">
        <v>0</v>
      </c>
      <c r="P49" t="n">
        <v>0</v>
      </c>
      <c r="Q49" t="n">
        <v>2</v>
      </c>
      <c r="R49" s="2" t="inlineStr">
        <is>
          <t>Havsörn
Skogsödla</t>
        </is>
      </c>
      <c r="S49">
        <f>HYPERLINK("https://klasma.github.io/Logging_1981/artfynd/A 6351-2023 artfynd.xlsx", "A 6351-2023")</f>
        <v/>
      </c>
      <c r="T49">
        <f>HYPERLINK("https://klasma.github.io/Logging_1981/kartor/A 6351-2023 karta.png", "A 6351-2023")</f>
        <v/>
      </c>
      <c r="V49">
        <f>HYPERLINK("https://klasma.github.io/Logging_1981/klagomål/A 6351-2023 FSC-klagomål.docx", "A 6351-2023")</f>
        <v/>
      </c>
      <c r="W49">
        <f>HYPERLINK("https://klasma.github.io/Logging_1981/klagomålsmail/A 6351-2023 FSC-klagomål mail.docx", "A 6351-2023")</f>
        <v/>
      </c>
      <c r="X49">
        <f>HYPERLINK("https://klasma.github.io/Logging_1981/tillsyn/A 6351-2023 tillsynsbegäran.docx", "A 6351-2023")</f>
        <v/>
      </c>
      <c r="Y49">
        <f>HYPERLINK("https://klasma.github.io/Logging_1981/tillsynsmail/A 6351-2023 tillsynsbegäran mail.docx", "A 6351-2023")</f>
        <v/>
      </c>
      <c r="Z49">
        <f>HYPERLINK("https://klasma.github.io/Logging_1981/fåglar/A 6351-2023 prioriterade fågelarter.docx", "A 6351-2023")</f>
        <v/>
      </c>
    </row>
    <row r="50" ht="15" customHeight="1">
      <c r="A50" t="inlineStr">
        <is>
          <t>A 37624-2024</t>
        </is>
      </c>
      <c r="B50" s="1" t="n">
        <v>45541</v>
      </c>
      <c r="C50" s="1" t="n">
        <v>46196</v>
      </c>
      <c r="D50" t="inlineStr">
        <is>
          <t>VÄSTMANLANDS LÄN</t>
        </is>
      </c>
      <c r="E50" t="inlineStr">
        <is>
          <t>SALA</t>
        </is>
      </c>
      <c r="G50" t="n">
        <v>0.7</v>
      </c>
      <c r="H50" t="n">
        <v>0</v>
      </c>
      <c r="I50" t="n">
        <v>2</v>
      </c>
      <c r="J50" t="n">
        <v>0</v>
      </c>
      <c r="K50" t="n">
        <v>0</v>
      </c>
      <c r="L50" t="n">
        <v>0</v>
      </c>
      <c r="M50" t="n">
        <v>0</v>
      </c>
      <c r="N50" t="n">
        <v>0</v>
      </c>
      <c r="O50" t="n">
        <v>0</v>
      </c>
      <c r="P50" t="n">
        <v>0</v>
      </c>
      <c r="Q50" t="n">
        <v>2</v>
      </c>
      <c r="R50" s="2" t="inlineStr">
        <is>
          <t>Barkticka
Vedticka</t>
        </is>
      </c>
      <c r="S50">
        <f>HYPERLINK("https://klasma.github.io/Logging_1981/artfynd/A 37624-2024 artfynd.xlsx", "A 37624-2024")</f>
        <v/>
      </c>
      <c r="T50">
        <f>HYPERLINK("https://klasma.github.io/Logging_1981/kartor/A 37624-2024 karta.png", "A 37624-2024")</f>
        <v/>
      </c>
      <c r="V50">
        <f>HYPERLINK("https://klasma.github.io/Logging_1981/klagomål/A 37624-2024 FSC-klagomål.docx", "A 37624-2024")</f>
        <v/>
      </c>
      <c r="W50">
        <f>HYPERLINK("https://klasma.github.io/Logging_1981/klagomålsmail/A 37624-2024 FSC-klagomål mail.docx", "A 37624-2024")</f>
        <v/>
      </c>
      <c r="X50">
        <f>HYPERLINK("https://klasma.github.io/Logging_1981/tillsyn/A 37624-2024 tillsynsbegäran.docx", "A 37624-2024")</f>
        <v/>
      </c>
      <c r="Y50">
        <f>HYPERLINK("https://klasma.github.io/Logging_1981/tillsynsmail/A 37624-2024 tillsynsbegäran mail.docx", "A 37624-2024")</f>
        <v/>
      </c>
    </row>
    <row r="51" ht="15" customHeight="1">
      <c r="A51" t="inlineStr">
        <is>
          <t>A 11846-2024</t>
        </is>
      </c>
      <c r="B51" s="1" t="n">
        <v>45376</v>
      </c>
      <c r="C51" s="1" t="n">
        <v>46196</v>
      </c>
      <c r="D51" t="inlineStr">
        <is>
          <t>VÄSTMANLANDS LÄN</t>
        </is>
      </c>
      <c r="E51" t="inlineStr">
        <is>
          <t>SALA</t>
        </is>
      </c>
      <c r="G51" t="n">
        <v>8</v>
      </c>
      <c r="H51" t="n">
        <v>0</v>
      </c>
      <c r="I51" t="n">
        <v>2</v>
      </c>
      <c r="J51" t="n">
        <v>0</v>
      </c>
      <c r="K51" t="n">
        <v>0</v>
      </c>
      <c r="L51" t="n">
        <v>0</v>
      </c>
      <c r="M51" t="n">
        <v>0</v>
      </c>
      <c r="N51" t="n">
        <v>0</v>
      </c>
      <c r="O51" t="n">
        <v>0</v>
      </c>
      <c r="P51" t="n">
        <v>0</v>
      </c>
      <c r="Q51" t="n">
        <v>2</v>
      </c>
      <c r="R51" s="2" t="inlineStr">
        <is>
          <t>Bronshjon
Vågbandad barkbock</t>
        </is>
      </c>
      <c r="S51">
        <f>HYPERLINK("https://klasma.github.io/Logging_1981/artfynd/A 11846-2024 artfynd.xlsx", "A 11846-2024")</f>
        <v/>
      </c>
      <c r="T51">
        <f>HYPERLINK("https://klasma.github.io/Logging_1981/kartor/A 11846-2024 karta.png", "A 11846-2024")</f>
        <v/>
      </c>
      <c r="V51">
        <f>HYPERLINK("https://klasma.github.io/Logging_1981/klagomål/A 11846-2024 FSC-klagomål.docx", "A 11846-2024")</f>
        <v/>
      </c>
      <c r="W51">
        <f>HYPERLINK("https://klasma.github.io/Logging_1981/klagomålsmail/A 11846-2024 FSC-klagomål mail.docx", "A 11846-2024")</f>
        <v/>
      </c>
      <c r="X51">
        <f>HYPERLINK("https://klasma.github.io/Logging_1981/tillsyn/A 11846-2024 tillsynsbegäran.docx", "A 11846-2024")</f>
        <v/>
      </c>
      <c r="Y51">
        <f>HYPERLINK("https://klasma.github.io/Logging_1981/tillsynsmail/A 11846-2024 tillsynsbegäran mail.docx", "A 11846-2024")</f>
        <v/>
      </c>
    </row>
    <row r="52" ht="15" customHeight="1">
      <c r="A52" t="inlineStr">
        <is>
          <t>A 34494-2023</t>
        </is>
      </c>
      <c r="B52" s="1" t="n">
        <v>45133</v>
      </c>
      <c r="C52" s="1" t="n">
        <v>46196</v>
      </c>
      <c r="D52" t="inlineStr">
        <is>
          <t>VÄSTMANLANDS LÄN</t>
        </is>
      </c>
      <c r="E52" t="inlineStr">
        <is>
          <t>SALA</t>
        </is>
      </c>
      <c r="G52" t="n">
        <v>0.8</v>
      </c>
      <c r="H52" t="n">
        <v>0</v>
      </c>
      <c r="I52" t="n">
        <v>2</v>
      </c>
      <c r="J52" t="n">
        <v>0</v>
      </c>
      <c r="K52" t="n">
        <v>0</v>
      </c>
      <c r="L52" t="n">
        <v>0</v>
      </c>
      <c r="M52" t="n">
        <v>0</v>
      </c>
      <c r="N52" t="n">
        <v>0</v>
      </c>
      <c r="O52" t="n">
        <v>0</v>
      </c>
      <c r="P52" t="n">
        <v>0</v>
      </c>
      <c r="Q52" t="n">
        <v>2</v>
      </c>
      <c r="R52" s="2" t="inlineStr">
        <is>
          <t>Bronshjon
Thomsons trägnagare</t>
        </is>
      </c>
      <c r="S52">
        <f>HYPERLINK("https://klasma.github.io/Logging_1981/artfynd/A 34494-2023 artfynd.xlsx", "A 34494-2023")</f>
        <v/>
      </c>
      <c r="T52">
        <f>HYPERLINK("https://klasma.github.io/Logging_1981/kartor/A 34494-2023 karta.png", "A 34494-2023")</f>
        <v/>
      </c>
      <c r="V52">
        <f>HYPERLINK("https://klasma.github.io/Logging_1981/klagomål/A 34494-2023 FSC-klagomål.docx", "A 34494-2023")</f>
        <v/>
      </c>
      <c r="W52">
        <f>HYPERLINK("https://klasma.github.io/Logging_1981/klagomålsmail/A 34494-2023 FSC-klagomål mail.docx", "A 34494-2023")</f>
        <v/>
      </c>
      <c r="X52">
        <f>HYPERLINK("https://klasma.github.io/Logging_1981/tillsyn/A 34494-2023 tillsynsbegäran.docx", "A 34494-2023")</f>
        <v/>
      </c>
      <c r="Y52">
        <f>HYPERLINK("https://klasma.github.io/Logging_1981/tillsynsmail/A 34494-2023 tillsynsbegäran mail.docx", "A 34494-2023")</f>
        <v/>
      </c>
    </row>
    <row r="53" ht="15" customHeight="1">
      <c r="A53" t="inlineStr">
        <is>
          <t>A 43068-2024</t>
        </is>
      </c>
      <c r="B53" s="1" t="n">
        <v>45567</v>
      </c>
      <c r="C53" s="1" t="n">
        <v>46196</v>
      </c>
      <c r="D53" t="inlineStr">
        <is>
          <t>VÄSTMANLANDS LÄN</t>
        </is>
      </c>
      <c r="E53" t="inlineStr">
        <is>
          <t>SALA</t>
        </is>
      </c>
      <c r="G53" t="n">
        <v>1.1</v>
      </c>
      <c r="H53" t="n">
        <v>0</v>
      </c>
      <c r="I53" t="n">
        <v>1</v>
      </c>
      <c r="J53" t="n">
        <v>1</v>
      </c>
      <c r="K53" t="n">
        <v>0</v>
      </c>
      <c r="L53" t="n">
        <v>0</v>
      </c>
      <c r="M53" t="n">
        <v>0</v>
      </c>
      <c r="N53" t="n">
        <v>0</v>
      </c>
      <c r="O53" t="n">
        <v>1</v>
      </c>
      <c r="P53" t="n">
        <v>0</v>
      </c>
      <c r="Q53" t="n">
        <v>2</v>
      </c>
      <c r="R53" s="2" t="inlineStr">
        <is>
          <t>Skorpgelélav
Vedticka</t>
        </is>
      </c>
      <c r="S53">
        <f>HYPERLINK("https://klasma.github.io/Logging_1981/artfynd/A 43068-2024 artfynd.xlsx", "A 43068-2024")</f>
        <v/>
      </c>
      <c r="T53">
        <f>HYPERLINK("https://klasma.github.io/Logging_1981/kartor/A 43068-2024 karta.png", "A 43068-2024")</f>
        <v/>
      </c>
      <c r="V53">
        <f>HYPERLINK("https://klasma.github.io/Logging_1981/klagomål/A 43068-2024 FSC-klagomål.docx", "A 43068-2024")</f>
        <v/>
      </c>
      <c r="W53">
        <f>HYPERLINK("https://klasma.github.io/Logging_1981/klagomålsmail/A 43068-2024 FSC-klagomål mail.docx", "A 43068-2024")</f>
        <v/>
      </c>
      <c r="X53">
        <f>HYPERLINK("https://klasma.github.io/Logging_1981/tillsyn/A 43068-2024 tillsynsbegäran.docx", "A 43068-2024")</f>
        <v/>
      </c>
      <c r="Y53">
        <f>HYPERLINK("https://klasma.github.io/Logging_1981/tillsynsmail/A 43068-2024 tillsynsbegäran mail.docx", "A 43068-2024")</f>
        <v/>
      </c>
    </row>
    <row r="54" ht="15" customHeight="1">
      <c r="A54" t="inlineStr">
        <is>
          <t>A 56704-2022</t>
        </is>
      </c>
      <c r="B54" s="1" t="n">
        <v>44893</v>
      </c>
      <c r="C54" s="1" t="n">
        <v>46196</v>
      </c>
      <c r="D54" t="inlineStr">
        <is>
          <t>VÄSTMANLANDS LÄN</t>
        </is>
      </c>
      <c r="E54" t="inlineStr">
        <is>
          <t>SALA</t>
        </is>
      </c>
      <c r="G54" t="n">
        <v>3.2</v>
      </c>
      <c r="H54" t="n">
        <v>2</v>
      </c>
      <c r="I54" t="n">
        <v>0</v>
      </c>
      <c r="J54" t="n">
        <v>0</v>
      </c>
      <c r="K54" t="n">
        <v>1</v>
      </c>
      <c r="L54" t="n">
        <v>0</v>
      </c>
      <c r="M54" t="n">
        <v>0</v>
      </c>
      <c r="N54" t="n">
        <v>0</v>
      </c>
      <c r="O54" t="n">
        <v>1</v>
      </c>
      <c r="P54" t="n">
        <v>1</v>
      </c>
      <c r="Q54" t="n">
        <v>2</v>
      </c>
      <c r="R54" s="2" t="inlineStr">
        <is>
          <t>Knärot
Fläcknycklar</t>
        </is>
      </c>
      <c r="S54">
        <f>HYPERLINK("https://klasma.github.io/Logging_1981/artfynd/A 56704-2022 artfynd.xlsx", "A 56704-2022")</f>
        <v/>
      </c>
      <c r="T54">
        <f>HYPERLINK("https://klasma.github.io/Logging_1981/kartor/A 56704-2022 karta.png", "A 56704-2022")</f>
        <v/>
      </c>
      <c r="U54">
        <f>HYPERLINK("https://klasma.github.io/Logging_1981/knärot/A 56704-2022 karta knärot.png", "A 56704-2022")</f>
        <v/>
      </c>
      <c r="V54">
        <f>HYPERLINK("https://klasma.github.io/Logging_1981/klagomål/A 56704-2022 FSC-klagomål.docx", "A 56704-2022")</f>
        <v/>
      </c>
      <c r="W54">
        <f>HYPERLINK("https://klasma.github.io/Logging_1981/klagomålsmail/A 56704-2022 FSC-klagomål mail.docx", "A 56704-2022")</f>
        <v/>
      </c>
      <c r="X54">
        <f>HYPERLINK("https://klasma.github.io/Logging_1981/tillsyn/A 56704-2022 tillsynsbegäran.docx", "A 56704-2022")</f>
        <v/>
      </c>
      <c r="Y54">
        <f>HYPERLINK("https://klasma.github.io/Logging_1981/tillsynsmail/A 56704-2022 tillsynsbegäran mail.docx", "A 56704-2022")</f>
        <v/>
      </c>
    </row>
    <row r="55" ht="15" customHeight="1">
      <c r="A55" t="inlineStr">
        <is>
          <t>A 53432-2022</t>
        </is>
      </c>
      <c r="B55" s="1" t="n">
        <v>44879</v>
      </c>
      <c r="C55" s="1" t="n">
        <v>46196</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46196</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46196</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46196</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46196</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46196</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46196</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12246-2023</t>
        </is>
      </c>
      <c r="B62" s="1" t="n">
        <v>44995</v>
      </c>
      <c r="C62" s="1" t="n">
        <v>46196</v>
      </c>
      <c r="D62" t="inlineStr">
        <is>
          <t>VÄSTMANLANDS LÄN</t>
        </is>
      </c>
      <c r="E62" t="inlineStr">
        <is>
          <t>SALA</t>
        </is>
      </c>
      <c r="G62" t="n">
        <v>2.4</v>
      </c>
      <c r="H62" t="n">
        <v>1</v>
      </c>
      <c r="I62" t="n">
        <v>0</v>
      </c>
      <c r="J62" t="n">
        <v>0</v>
      </c>
      <c r="K62" t="n">
        <v>0</v>
      </c>
      <c r="L62" t="n">
        <v>0</v>
      </c>
      <c r="M62" t="n">
        <v>0</v>
      </c>
      <c r="N62" t="n">
        <v>0</v>
      </c>
      <c r="O62" t="n">
        <v>0</v>
      </c>
      <c r="P62" t="n">
        <v>0</v>
      </c>
      <c r="Q62" t="n">
        <v>1</v>
      </c>
      <c r="R62" s="2" t="inlineStr">
        <is>
          <t>Trana</t>
        </is>
      </c>
      <c r="S62">
        <f>HYPERLINK("https://klasma.github.io/Logging_1981/artfynd/A 12246-2023 artfynd.xlsx", "A 12246-2023")</f>
        <v/>
      </c>
      <c r="T62">
        <f>HYPERLINK("https://klasma.github.io/Logging_1981/kartor/A 12246-2023 karta.png", "A 12246-2023")</f>
        <v/>
      </c>
      <c r="V62">
        <f>HYPERLINK("https://klasma.github.io/Logging_1981/klagomål/A 12246-2023 FSC-klagomål.docx", "A 12246-2023")</f>
        <v/>
      </c>
      <c r="W62">
        <f>HYPERLINK("https://klasma.github.io/Logging_1981/klagomålsmail/A 12246-2023 FSC-klagomål mail.docx", "A 12246-2023")</f>
        <v/>
      </c>
      <c r="X62">
        <f>HYPERLINK("https://klasma.github.io/Logging_1981/tillsyn/A 12246-2023 tillsynsbegäran.docx", "A 12246-2023")</f>
        <v/>
      </c>
      <c r="Y62">
        <f>HYPERLINK("https://klasma.github.io/Logging_1981/tillsynsmail/A 12246-2023 tillsynsbegäran mail.docx", "A 12246-2023")</f>
        <v/>
      </c>
      <c r="Z62">
        <f>HYPERLINK("https://klasma.github.io/Logging_1981/fåglar/A 12246-2023 prioriterade fågelarter.docx", "A 12246-2023")</f>
        <v/>
      </c>
    </row>
    <row r="63" ht="15" customHeight="1">
      <c r="A63" t="inlineStr">
        <is>
          <t>A 53052-2025</t>
        </is>
      </c>
      <c r="B63" s="1" t="n">
        <v>45958</v>
      </c>
      <c r="C63" s="1" t="n">
        <v>46196</v>
      </c>
      <c r="D63" t="inlineStr">
        <is>
          <t>VÄSTMANLANDS LÄN</t>
        </is>
      </c>
      <c r="E63" t="inlineStr">
        <is>
          <t>SALA</t>
        </is>
      </c>
      <c r="F63" t="inlineStr">
        <is>
          <t>Sveaskog</t>
        </is>
      </c>
      <c r="G63" t="n">
        <v>1.1</v>
      </c>
      <c r="H63" t="n">
        <v>0</v>
      </c>
      <c r="I63" t="n">
        <v>0</v>
      </c>
      <c r="J63" t="n">
        <v>1</v>
      </c>
      <c r="K63" t="n">
        <v>0</v>
      </c>
      <c r="L63" t="n">
        <v>0</v>
      </c>
      <c r="M63" t="n">
        <v>0</v>
      </c>
      <c r="N63" t="n">
        <v>0</v>
      </c>
      <c r="O63" t="n">
        <v>1</v>
      </c>
      <c r="P63" t="n">
        <v>0</v>
      </c>
      <c r="Q63" t="n">
        <v>1</v>
      </c>
      <c r="R63" s="2" t="inlineStr">
        <is>
          <t>Motaggsvamp</t>
        </is>
      </c>
      <c r="S63">
        <f>HYPERLINK("https://klasma.github.io/Logging_1981/artfynd/A 53052-2025 artfynd.xlsx", "A 53052-2025")</f>
        <v/>
      </c>
      <c r="T63">
        <f>HYPERLINK("https://klasma.github.io/Logging_1981/kartor/A 53052-2025 karta.png", "A 53052-2025")</f>
        <v/>
      </c>
      <c r="V63">
        <f>HYPERLINK("https://klasma.github.io/Logging_1981/klagomål/A 53052-2025 FSC-klagomål.docx", "A 53052-2025")</f>
        <v/>
      </c>
      <c r="W63">
        <f>HYPERLINK("https://klasma.github.io/Logging_1981/klagomålsmail/A 53052-2025 FSC-klagomål mail.docx", "A 53052-2025")</f>
        <v/>
      </c>
      <c r="X63">
        <f>HYPERLINK("https://klasma.github.io/Logging_1981/tillsyn/A 53052-2025 tillsynsbegäran.docx", "A 53052-2025")</f>
        <v/>
      </c>
      <c r="Y63">
        <f>HYPERLINK("https://klasma.github.io/Logging_1981/tillsynsmail/A 53052-2025 tillsynsbegäran mail.docx", "A 53052-2025")</f>
        <v/>
      </c>
    </row>
    <row r="64" ht="15" customHeight="1">
      <c r="A64" t="inlineStr">
        <is>
          <t>A 24910-2025</t>
        </is>
      </c>
      <c r="B64" s="1" t="n">
        <v>45799</v>
      </c>
      <c r="C64" s="1" t="n">
        <v>46196</v>
      </c>
      <c r="D64" t="inlineStr">
        <is>
          <t>VÄSTMANLANDS LÄN</t>
        </is>
      </c>
      <c r="E64" t="inlineStr">
        <is>
          <t>SALA</t>
        </is>
      </c>
      <c r="G64" t="n">
        <v>3.5</v>
      </c>
      <c r="H64" t="n">
        <v>0</v>
      </c>
      <c r="I64" t="n">
        <v>0</v>
      </c>
      <c r="J64" t="n">
        <v>1</v>
      </c>
      <c r="K64" t="n">
        <v>0</v>
      </c>
      <c r="L64" t="n">
        <v>0</v>
      </c>
      <c r="M64" t="n">
        <v>0</v>
      </c>
      <c r="N64" t="n">
        <v>0</v>
      </c>
      <c r="O64" t="n">
        <v>1</v>
      </c>
      <c r="P64" t="n">
        <v>0</v>
      </c>
      <c r="Q64" t="n">
        <v>1</v>
      </c>
      <c r="R64" s="2" t="inlineStr">
        <is>
          <t>Motaggsvamp</t>
        </is>
      </c>
      <c r="S64">
        <f>HYPERLINK("https://klasma.github.io/Logging_1981/artfynd/A 24910-2025 artfynd.xlsx", "A 24910-2025")</f>
        <v/>
      </c>
      <c r="T64">
        <f>HYPERLINK("https://klasma.github.io/Logging_1981/kartor/A 24910-2025 karta.png", "A 24910-2025")</f>
        <v/>
      </c>
      <c r="V64">
        <f>HYPERLINK("https://klasma.github.io/Logging_1981/klagomål/A 24910-2025 FSC-klagomål.docx", "A 24910-2025")</f>
        <v/>
      </c>
      <c r="W64">
        <f>HYPERLINK("https://klasma.github.io/Logging_1981/klagomålsmail/A 24910-2025 FSC-klagomål mail.docx", "A 24910-2025")</f>
        <v/>
      </c>
      <c r="X64">
        <f>HYPERLINK("https://klasma.github.io/Logging_1981/tillsyn/A 24910-2025 tillsynsbegäran.docx", "A 24910-2025")</f>
        <v/>
      </c>
      <c r="Y64">
        <f>HYPERLINK("https://klasma.github.io/Logging_1981/tillsynsmail/A 24910-2025 tillsynsbegäran mail.docx", "A 24910-2025")</f>
        <v/>
      </c>
    </row>
    <row r="65" ht="15" customHeight="1">
      <c r="A65" t="inlineStr">
        <is>
          <t>A 10909-2024</t>
        </is>
      </c>
      <c r="B65" s="1" t="n">
        <v>45370</v>
      </c>
      <c r="C65" s="1" t="n">
        <v>46196</v>
      </c>
      <c r="D65" t="inlineStr">
        <is>
          <t>VÄSTMANLANDS LÄN</t>
        </is>
      </c>
      <c r="E65" t="inlineStr">
        <is>
          <t>SALA</t>
        </is>
      </c>
      <c r="G65" t="n">
        <v>3.3</v>
      </c>
      <c r="H65" t="n">
        <v>1</v>
      </c>
      <c r="I65" t="n">
        <v>0</v>
      </c>
      <c r="J65" t="n">
        <v>0</v>
      </c>
      <c r="K65" t="n">
        <v>0</v>
      </c>
      <c r="L65" t="n">
        <v>1</v>
      </c>
      <c r="M65" t="n">
        <v>0</v>
      </c>
      <c r="N65" t="n">
        <v>0</v>
      </c>
      <c r="O65" t="n">
        <v>1</v>
      </c>
      <c r="P65" t="n">
        <v>1</v>
      </c>
      <c r="Q65" t="n">
        <v>1</v>
      </c>
      <c r="R65" s="2" t="inlineStr">
        <is>
          <t>Mosippa</t>
        </is>
      </c>
      <c r="S65">
        <f>HYPERLINK("https://klasma.github.io/Logging_1981/artfynd/A 10909-2024 artfynd.xlsx", "A 10909-2024")</f>
        <v/>
      </c>
      <c r="T65">
        <f>HYPERLINK("https://klasma.github.io/Logging_1981/kartor/A 10909-2024 karta.png", "A 10909-2024")</f>
        <v/>
      </c>
      <c r="V65">
        <f>HYPERLINK("https://klasma.github.io/Logging_1981/klagomål/A 10909-2024 FSC-klagomål.docx", "A 10909-2024")</f>
        <v/>
      </c>
      <c r="W65">
        <f>HYPERLINK("https://klasma.github.io/Logging_1981/klagomålsmail/A 10909-2024 FSC-klagomål mail.docx", "A 10909-2024")</f>
        <v/>
      </c>
      <c r="X65">
        <f>HYPERLINK("https://klasma.github.io/Logging_1981/tillsyn/A 10909-2024 tillsynsbegäran.docx", "A 10909-2024")</f>
        <v/>
      </c>
      <c r="Y65">
        <f>HYPERLINK("https://klasma.github.io/Logging_1981/tillsynsmail/A 10909-2024 tillsynsbegäran mail.docx", "A 10909-2024")</f>
        <v/>
      </c>
    </row>
    <row r="66" ht="15" customHeight="1">
      <c r="A66" t="inlineStr">
        <is>
          <t>A 50249-2025</t>
        </is>
      </c>
      <c r="B66" s="1" t="n">
        <v>45944</v>
      </c>
      <c r="C66" s="1" t="n">
        <v>46196</v>
      </c>
      <c r="D66" t="inlineStr">
        <is>
          <t>VÄSTMANLANDS LÄN</t>
        </is>
      </c>
      <c r="E66" t="inlineStr">
        <is>
          <t>SALA</t>
        </is>
      </c>
      <c r="G66" t="n">
        <v>2.3</v>
      </c>
      <c r="H66" t="n">
        <v>1</v>
      </c>
      <c r="I66" t="n">
        <v>0</v>
      </c>
      <c r="J66" t="n">
        <v>0</v>
      </c>
      <c r="K66" t="n">
        <v>0</v>
      </c>
      <c r="L66" t="n">
        <v>0</v>
      </c>
      <c r="M66" t="n">
        <v>0</v>
      </c>
      <c r="N66" t="n">
        <v>0</v>
      </c>
      <c r="O66" t="n">
        <v>0</v>
      </c>
      <c r="P66" t="n">
        <v>0</v>
      </c>
      <c r="Q66" t="n">
        <v>1</v>
      </c>
      <c r="R66" s="2" t="inlineStr">
        <is>
          <t>Revlummer</t>
        </is>
      </c>
      <c r="S66">
        <f>HYPERLINK("https://klasma.github.io/Logging_1981/artfynd/A 50249-2025 artfynd.xlsx", "A 50249-2025")</f>
        <v/>
      </c>
      <c r="T66">
        <f>HYPERLINK("https://klasma.github.io/Logging_1981/kartor/A 50249-2025 karta.png", "A 50249-2025")</f>
        <v/>
      </c>
      <c r="V66">
        <f>HYPERLINK("https://klasma.github.io/Logging_1981/klagomål/A 50249-2025 FSC-klagomål.docx", "A 50249-2025")</f>
        <v/>
      </c>
      <c r="W66">
        <f>HYPERLINK("https://klasma.github.io/Logging_1981/klagomålsmail/A 50249-2025 FSC-klagomål mail.docx", "A 50249-2025")</f>
        <v/>
      </c>
      <c r="X66">
        <f>HYPERLINK("https://klasma.github.io/Logging_1981/tillsyn/A 50249-2025 tillsynsbegäran.docx", "A 50249-2025")</f>
        <v/>
      </c>
      <c r="Y66">
        <f>HYPERLINK("https://klasma.github.io/Logging_1981/tillsynsmail/A 50249-2025 tillsynsbegäran mail.docx", "A 50249-2025")</f>
        <v/>
      </c>
    </row>
    <row r="67" ht="15" customHeight="1">
      <c r="A67" t="inlineStr">
        <is>
          <t>A 50268-2025</t>
        </is>
      </c>
      <c r="B67" s="1" t="n">
        <v>45944</v>
      </c>
      <c r="C67" s="1" t="n">
        <v>46196</v>
      </c>
      <c r="D67" t="inlineStr">
        <is>
          <t>VÄSTMANLANDS LÄN</t>
        </is>
      </c>
      <c r="E67" t="inlineStr">
        <is>
          <t>SALA</t>
        </is>
      </c>
      <c r="G67" t="n">
        <v>0.7</v>
      </c>
      <c r="H67" t="n">
        <v>1</v>
      </c>
      <c r="I67" t="n">
        <v>0</v>
      </c>
      <c r="J67" t="n">
        <v>0</v>
      </c>
      <c r="K67" t="n">
        <v>0</v>
      </c>
      <c r="L67" t="n">
        <v>0</v>
      </c>
      <c r="M67" t="n">
        <v>0</v>
      </c>
      <c r="N67" t="n">
        <v>0</v>
      </c>
      <c r="O67" t="n">
        <v>0</v>
      </c>
      <c r="P67" t="n">
        <v>0</v>
      </c>
      <c r="Q67" t="n">
        <v>1</v>
      </c>
      <c r="R67" s="2" t="inlineStr">
        <is>
          <t>Fläcknycklar</t>
        </is>
      </c>
      <c r="S67">
        <f>HYPERLINK("https://klasma.github.io/Logging_1981/artfynd/A 50268-2025 artfynd.xlsx", "A 50268-2025")</f>
        <v/>
      </c>
      <c r="T67">
        <f>HYPERLINK("https://klasma.github.io/Logging_1981/kartor/A 50268-2025 karta.png", "A 50268-2025")</f>
        <v/>
      </c>
      <c r="V67">
        <f>HYPERLINK("https://klasma.github.io/Logging_1981/klagomål/A 50268-2025 FSC-klagomål.docx", "A 50268-2025")</f>
        <v/>
      </c>
      <c r="W67">
        <f>HYPERLINK("https://klasma.github.io/Logging_1981/klagomålsmail/A 50268-2025 FSC-klagomål mail.docx", "A 50268-2025")</f>
        <v/>
      </c>
      <c r="X67">
        <f>HYPERLINK("https://klasma.github.io/Logging_1981/tillsyn/A 50268-2025 tillsynsbegäran.docx", "A 50268-2025")</f>
        <v/>
      </c>
      <c r="Y67">
        <f>HYPERLINK("https://klasma.github.io/Logging_1981/tillsynsmail/A 50268-2025 tillsynsbegäran mail.docx", "A 50268-2025")</f>
        <v/>
      </c>
    </row>
    <row r="68" ht="15" customHeight="1">
      <c r="A68" t="inlineStr">
        <is>
          <t>A 25748-2022</t>
        </is>
      </c>
      <c r="B68" s="1" t="n">
        <v>44732</v>
      </c>
      <c r="C68" s="1" t="n">
        <v>46196</v>
      </c>
      <c r="D68" t="inlineStr">
        <is>
          <t>VÄSTMANLANDS LÄN</t>
        </is>
      </c>
      <c r="E68" t="inlineStr">
        <is>
          <t>SALA</t>
        </is>
      </c>
      <c r="G68" t="n">
        <v>7.7</v>
      </c>
      <c r="H68" t="n">
        <v>1</v>
      </c>
      <c r="I68" t="n">
        <v>0</v>
      </c>
      <c r="J68" t="n">
        <v>0</v>
      </c>
      <c r="K68" t="n">
        <v>0</v>
      </c>
      <c r="L68" t="n">
        <v>0</v>
      </c>
      <c r="M68" t="n">
        <v>0</v>
      </c>
      <c r="N68" t="n">
        <v>0</v>
      </c>
      <c r="O68" t="n">
        <v>0</v>
      </c>
      <c r="P68" t="n">
        <v>0</v>
      </c>
      <c r="Q68" t="n">
        <v>1</v>
      </c>
      <c r="R68" s="2" t="inlineStr">
        <is>
          <t>Kungsfågel</t>
        </is>
      </c>
      <c r="S68">
        <f>HYPERLINK("https://klasma.github.io/Logging_1981/artfynd/A 25748-2022 artfynd.xlsx", "A 25748-2022")</f>
        <v/>
      </c>
      <c r="T68">
        <f>HYPERLINK("https://klasma.github.io/Logging_1981/kartor/A 25748-2022 karta.png", "A 25748-2022")</f>
        <v/>
      </c>
      <c r="V68">
        <f>HYPERLINK("https://klasma.github.io/Logging_1981/klagomål/A 25748-2022 FSC-klagomål.docx", "A 25748-2022")</f>
        <v/>
      </c>
      <c r="W68">
        <f>HYPERLINK("https://klasma.github.io/Logging_1981/klagomålsmail/A 25748-2022 FSC-klagomål mail.docx", "A 25748-2022")</f>
        <v/>
      </c>
      <c r="X68">
        <f>HYPERLINK("https://klasma.github.io/Logging_1981/tillsyn/A 25748-2022 tillsynsbegäran.docx", "A 25748-2022")</f>
        <v/>
      </c>
      <c r="Y68">
        <f>HYPERLINK("https://klasma.github.io/Logging_1981/tillsynsmail/A 25748-2022 tillsynsbegäran mail.docx", "A 25748-2022")</f>
        <v/>
      </c>
    </row>
    <row r="69" ht="15" customHeight="1">
      <c r="A69" t="inlineStr">
        <is>
          <t>A 37593-2025</t>
        </is>
      </c>
      <c r="B69" s="1" t="n">
        <v>45880</v>
      </c>
      <c r="C69" s="1" t="n">
        <v>46196</v>
      </c>
      <c r="D69" t="inlineStr">
        <is>
          <t>VÄSTMANLANDS LÄN</t>
        </is>
      </c>
      <c r="E69" t="inlineStr">
        <is>
          <t>SALA</t>
        </is>
      </c>
      <c r="G69" t="n">
        <v>1.4</v>
      </c>
      <c r="H69" t="n">
        <v>1</v>
      </c>
      <c r="I69" t="n">
        <v>0</v>
      </c>
      <c r="J69" t="n">
        <v>0</v>
      </c>
      <c r="K69" t="n">
        <v>0</v>
      </c>
      <c r="L69" t="n">
        <v>0</v>
      </c>
      <c r="M69" t="n">
        <v>0</v>
      </c>
      <c r="N69" t="n">
        <v>0</v>
      </c>
      <c r="O69" t="n">
        <v>0</v>
      </c>
      <c r="P69" t="n">
        <v>0</v>
      </c>
      <c r="Q69" t="n">
        <v>1</v>
      </c>
      <c r="R69" s="2" t="inlineStr">
        <is>
          <t>Fläcknycklar</t>
        </is>
      </c>
      <c r="S69">
        <f>HYPERLINK("https://klasma.github.io/Logging_1981/artfynd/A 37593-2025 artfynd.xlsx", "A 37593-2025")</f>
        <v/>
      </c>
      <c r="T69">
        <f>HYPERLINK("https://klasma.github.io/Logging_1981/kartor/A 37593-2025 karta.png", "A 37593-2025")</f>
        <v/>
      </c>
      <c r="V69">
        <f>HYPERLINK("https://klasma.github.io/Logging_1981/klagomål/A 37593-2025 FSC-klagomål.docx", "A 37593-2025")</f>
        <v/>
      </c>
      <c r="W69">
        <f>HYPERLINK("https://klasma.github.io/Logging_1981/klagomålsmail/A 37593-2025 FSC-klagomål mail.docx", "A 37593-2025")</f>
        <v/>
      </c>
      <c r="X69">
        <f>HYPERLINK("https://klasma.github.io/Logging_1981/tillsyn/A 37593-2025 tillsynsbegäran.docx", "A 37593-2025")</f>
        <v/>
      </c>
      <c r="Y69">
        <f>HYPERLINK("https://klasma.github.io/Logging_1981/tillsynsmail/A 37593-2025 tillsynsbegäran mail.docx", "A 37593-2025")</f>
        <v/>
      </c>
    </row>
    <row r="70" ht="15" customHeight="1">
      <c r="A70" t="inlineStr">
        <is>
          <t>A 7672-2026</t>
        </is>
      </c>
      <c r="B70" s="1" t="n">
        <v>46062</v>
      </c>
      <c r="C70" s="1" t="n">
        <v>46196</v>
      </c>
      <c r="D70" t="inlineStr">
        <is>
          <t>VÄSTMANLANDS LÄN</t>
        </is>
      </c>
      <c r="E70" t="inlineStr">
        <is>
          <t>SALA</t>
        </is>
      </c>
      <c r="G70" t="n">
        <v>2.9</v>
      </c>
      <c r="H70" t="n">
        <v>1</v>
      </c>
      <c r="I70" t="n">
        <v>0</v>
      </c>
      <c r="J70" t="n">
        <v>0</v>
      </c>
      <c r="K70" t="n">
        <v>0</v>
      </c>
      <c r="L70" t="n">
        <v>0</v>
      </c>
      <c r="M70" t="n">
        <v>0</v>
      </c>
      <c r="N70" t="n">
        <v>0</v>
      </c>
      <c r="O70" t="n">
        <v>0</v>
      </c>
      <c r="P70" t="n">
        <v>0</v>
      </c>
      <c r="Q70" t="n">
        <v>1</v>
      </c>
      <c r="R70" s="2" t="inlineStr">
        <is>
          <t>Nattviol</t>
        </is>
      </c>
      <c r="S70">
        <f>HYPERLINK("https://klasma.github.io/Logging_1981/artfynd/A 7672-2026 artfynd.xlsx", "A 7672-2026")</f>
        <v/>
      </c>
      <c r="T70">
        <f>HYPERLINK("https://klasma.github.io/Logging_1981/kartor/A 7672-2026 karta.png", "A 7672-2026")</f>
        <v/>
      </c>
      <c r="V70">
        <f>HYPERLINK("https://klasma.github.io/Logging_1981/klagomål/A 7672-2026 FSC-klagomål.docx", "A 7672-2026")</f>
        <v/>
      </c>
      <c r="W70">
        <f>HYPERLINK("https://klasma.github.io/Logging_1981/klagomålsmail/A 7672-2026 FSC-klagomål mail.docx", "A 7672-2026")</f>
        <v/>
      </c>
      <c r="X70">
        <f>HYPERLINK("https://klasma.github.io/Logging_1981/tillsyn/A 7672-2026 tillsynsbegäran.docx", "A 7672-2026")</f>
        <v/>
      </c>
      <c r="Y70">
        <f>HYPERLINK("https://klasma.github.io/Logging_1981/tillsynsmail/A 7672-2026 tillsynsbegäran mail.docx", "A 7672-2026")</f>
        <v/>
      </c>
    </row>
    <row r="71" ht="15" customHeight="1">
      <c r="A71" t="inlineStr">
        <is>
          <t>A 7661-2026</t>
        </is>
      </c>
      <c r="B71" s="1" t="n">
        <v>46062</v>
      </c>
      <c r="C71" s="1" t="n">
        <v>46196</v>
      </c>
      <c r="D71" t="inlineStr">
        <is>
          <t>VÄSTMANLANDS LÄN</t>
        </is>
      </c>
      <c r="E71" t="inlineStr">
        <is>
          <t>SALA</t>
        </is>
      </c>
      <c r="G71" t="n">
        <v>1.3</v>
      </c>
      <c r="H71" t="n">
        <v>0</v>
      </c>
      <c r="I71" t="n">
        <v>0</v>
      </c>
      <c r="J71" t="n">
        <v>1</v>
      </c>
      <c r="K71" t="n">
        <v>0</v>
      </c>
      <c r="L71" t="n">
        <v>0</v>
      </c>
      <c r="M71" t="n">
        <v>0</v>
      </c>
      <c r="N71" t="n">
        <v>0</v>
      </c>
      <c r="O71" t="n">
        <v>1</v>
      </c>
      <c r="P71" t="n">
        <v>0</v>
      </c>
      <c r="Q71" t="n">
        <v>1</v>
      </c>
      <c r="R71" s="2" t="inlineStr">
        <is>
          <t>Vedtrappmossa</t>
        </is>
      </c>
      <c r="S71">
        <f>HYPERLINK("https://klasma.github.io/Logging_1981/artfynd/A 7661-2026 artfynd.xlsx", "A 7661-2026")</f>
        <v/>
      </c>
      <c r="T71">
        <f>HYPERLINK("https://klasma.github.io/Logging_1981/kartor/A 7661-2026 karta.png", "A 7661-2026")</f>
        <v/>
      </c>
      <c r="V71">
        <f>HYPERLINK("https://klasma.github.io/Logging_1981/klagomål/A 7661-2026 FSC-klagomål.docx", "A 7661-2026")</f>
        <v/>
      </c>
      <c r="W71">
        <f>HYPERLINK("https://klasma.github.io/Logging_1981/klagomålsmail/A 7661-2026 FSC-klagomål mail.docx", "A 7661-2026")</f>
        <v/>
      </c>
      <c r="X71">
        <f>HYPERLINK("https://klasma.github.io/Logging_1981/tillsyn/A 7661-2026 tillsynsbegäran.docx", "A 7661-2026")</f>
        <v/>
      </c>
      <c r="Y71">
        <f>HYPERLINK("https://klasma.github.io/Logging_1981/tillsynsmail/A 7661-2026 tillsynsbegäran mail.docx", "A 7661-2026")</f>
        <v/>
      </c>
    </row>
    <row r="72" ht="15" customHeight="1">
      <c r="A72" t="inlineStr">
        <is>
          <t>A 38255-2025</t>
        </is>
      </c>
      <c r="B72" s="1" t="n">
        <v>45883</v>
      </c>
      <c r="C72" s="1" t="n">
        <v>46196</v>
      </c>
      <c r="D72" t="inlineStr">
        <is>
          <t>VÄSTMANLANDS LÄN</t>
        </is>
      </c>
      <c r="E72" t="inlineStr">
        <is>
          <t>SALA</t>
        </is>
      </c>
      <c r="G72" t="n">
        <v>0.9</v>
      </c>
      <c r="H72" t="n">
        <v>1</v>
      </c>
      <c r="I72" t="n">
        <v>0</v>
      </c>
      <c r="J72" t="n">
        <v>0</v>
      </c>
      <c r="K72" t="n">
        <v>1</v>
      </c>
      <c r="L72" t="n">
        <v>0</v>
      </c>
      <c r="M72" t="n">
        <v>0</v>
      </c>
      <c r="N72" t="n">
        <v>0</v>
      </c>
      <c r="O72" t="n">
        <v>1</v>
      </c>
      <c r="P72" t="n">
        <v>1</v>
      </c>
      <c r="Q72" t="n">
        <v>1</v>
      </c>
      <c r="R72" s="2" t="inlineStr">
        <is>
          <t>Knärot</t>
        </is>
      </c>
      <c r="S72">
        <f>HYPERLINK("https://klasma.github.io/Logging_1981/artfynd/A 38255-2025 artfynd.xlsx", "A 38255-2025")</f>
        <v/>
      </c>
      <c r="T72">
        <f>HYPERLINK("https://klasma.github.io/Logging_1981/kartor/A 38255-2025 karta.png", "A 38255-2025")</f>
        <v/>
      </c>
      <c r="U72">
        <f>HYPERLINK("https://klasma.github.io/Logging_1981/knärot/A 38255-2025 karta knärot.png", "A 38255-2025")</f>
        <v/>
      </c>
      <c r="V72">
        <f>HYPERLINK("https://klasma.github.io/Logging_1981/klagomål/A 38255-2025 FSC-klagomål.docx", "A 38255-2025")</f>
        <v/>
      </c>
      <c r="W72">
        <f>HYPERLINK("https://klasma.github.io/Logging_1981/klagomålsmail/A 38255-2025 FSC-klagomål mail.docx", "A 38255-2025")</f>
        <v/>
      </c>
      <c r="X72">
        <f>HYPERLINK("https://klasma.github.io/Logging_1981/tillsyn/A 38255-2025 tillsynsbegäran.docx", "A 38255-2025")</f>
        <v/>
      </c>
      <c r="Y72">
        <f>HYPERLINK("https://klasma.github.io/Logging_1981/tillsynsmail/A 38255-2025 tillsynsbegäran mail.docx", "A 38255-2025")</f>
        <v/>
      </c>
    </row>
    <row r="73" ht="15" customHeight="1">
      <c r="A73" t="inlineStr">
        <is>
          <t>A 14481-2026</t>
        </is>
      </c>
      <c r="B73" s="1" t="n">
        <v>46100</v>
      </c>
      <c r="C73" s="1" t="n">
        <v>46196</v>
      </c>
      <c r="D73" t="inlineStr">
        <is>
          <t>VÄSTMANLANDS LÄN</t>
        </is>
      </c>
      <c r="E73" t="inlineStr">
        <is>
          <t>SALA</t>
        </is>
      </c>
      <c r="F73" t="inlineStr">
        <is>
          <t>Sveaskog</t>
        </is>
      </c>
      <c r="G73" t="n">
        <v>0.9</v>
      </c>
      <c r="H73" t="n">
        <v>1</v>
      </c>
      <c r="I73" t="n">
        <v>0</v>
      </c>
      <c r="J73" t="n">
        <v>0</v>
      </c>
      <c r="K73" t="n">
        <v>0</v>
      </c>
      <c r="L73" t="n">
        <v>0</v>
      </c>
      <c r="M73" t="n">
        <v>0</v>
      </c>
      <c r="N73" t="n">
        <v>0</v>
      </c>
      <c r="O73" t="n">
        <v>0</v>
      </c>
      <c r="P73" t="n">
        <v>0</v>
      </c>
      <c r="Q73" t="n">
        <v>1</v>
      </c>
      <c r="R73" s="2" t="inlineStr">
        <is>
          <t>Tjäder</t>
        </is>
      </c>
      <c r="S73">
        <f>HYPERLINK("https://klasma.github.io/Logging_1981/artfynd/A 14481-2026 artfynd.xlsx", "A 14481-2026")</f>
        <v/>
      </c>
      <c r="T73">
        <f>HYPERLINK("https://klasma.github.io/Logging_1981/kartor/A 14481-2026 karta.png", "A 14481-2026")</f>
        <v/>
      </c>
      <c r="V73">
        <f>HYPERLINK("https://klasma.github.io/Logging_1981/klagomål/A 14481-2026 FSC-klagomål.docx", "A 14481-2026")</f>
        <v/>
      </c>
      <c r="W73">
        <f>HYPERLINK("https://klasma.github.io/Logging_1981/klagomålsmail/A 14481-2026 FSC-klagomål mail.docx", "A 14481-2026")</f>
        <v/>
      </c>
      <c r="X73">
        <f>HYPERLINK("https://klasma.github.io/Logging_1981/tillsyn/A 14481-2026 tillsynsbegäran.docx", "A 14481-2026")</f>
        <v/>
      </c>
      <c r="Y73">
        <f>HYPERLINK("https://klasma.github.io/Logging_1981/tillsynsmail/A 14481-2026 tillsynsbegäran mail.docx", "A 14481-2026")</f>
        <v/>
      </c>
      <c r="Z73">
        <f>HYPERLINK("https://klasma.github.io/Logging_1981/fåglar/A 14481-2026 prioriterade fågelarter.docx", "A 14481-2026")</f>
        <v/>
      </c>
    </row>
    <row r="74" ht="15" customHeight="1">
      <c r="A74" t="inlineStr">
        <is>
          <t>A 14488-2026</t>
        </is>
      </c>
      <c r="B74" s="1" t="n">
        <v>46100</v>
      </c>
      <c r="C74" s="1" t="n">
        <v>46196</v>
      </c>
      <c r="D74" t="inlineStr">
        <is>
          <t>VÄSTMANLANDS LÄN</t>
        </is>
      </c>
      <c r="E74" t="inlineStr">
        <is>
          <t>SALA</t>
        </is>
      </c>
      <c r="F74" t="inlineStr">
        <is>
          <t>Sveaskog</t>
        </is>
      </c>
      <c r="G74" t="n">
        <v>1.5</v>
      </c>
      <c r="H74" t="n">
        <v>1</v>
      </c>
      <c r="I74" t="n">
        <v>0</v>
      </c>
      <c r="J74" t="n">
        <v>0</v>
      </c>
      <c r="K74" t="n">
        <v>0</v>
      </c>
      <c r="L74" t="n">
        <v>0</v>
      </c>
      <c r="M74" t="n">
        <v>0</v>
      </c>
      <c r="N74" t="n">
        <v>0</v>
      </c>
      <c r="O74" t="n">
        <v>0</v>
      </c>
      <c r="P74" t="n">
        <v>0</v>
      </c>
      <c r="Q74" t="n">
        <v>1</v>
      </c>
      <c r="R74" s="2" t="inlineStr">
        <is>
          <t>Mattlummer</t>
        </is>
      </c>
      <c r="S74">
        <f>HYPERLINK("https://klasma.github.io/Logging_1981/artfynd/A 14488-2026 artfynd.xlsx", "A 14488-2026")</f>
        <v/>
      </c>
      <c r="T74">
        <f>HYPERLINK("https://klasma.github.io/Logging_1981/kartor/A 14488-2026 karta.png", "A 14488-2026")</f>
        <v/>
      </c>
      <c r="V74">
        <f>HYPERLINK("https://klasma.github.io/Logging_1981/klagomål/A 14488-2026 FSC-klagomål.docx", "A 14488-2026")</f>
        <v/>
      </c>
      <c r="W74">
        <f>HYPERLINK("https://klasma.github.io/Logging_1981/klagomålsmail/A 14488-2026 FSC-klagomål mail.docx", "A 14488-2026")</f>
        <v/>
      </c>
      <c r="X74">
        <f>HYPERLINK("https://klasma.github.io/Logging_1981/tillsyn/A 14488-2026 tillsynsbegäran.docx", "A 14488-2026")</f>
        <v/>
      </c>
      <c r="Y74">
        <f>HYPERLINK("https://klasma.github.io/Logging_1981/tillsynsmail/A 14488-2026 tillsynsbegäran mail.docx", "A 14488-2026")</f>
        <v/>
      </c>
    </row>
    <row r="75" ht="15" customHeight="1">
      <c r="A75" t="inlineStr">
        <is>
          <t>A 14487-2026</t>
        </is>
      </c>
      <c r="B75" s="1" t="n">
        <v>46100</v>
      </c>
      <c r="C75" s="1" t="n">
        <v>46196</v>
      </c>
      <c r="D75" t="inlineStr">
        <is>
          <t>VÄSTMANLANDS LÄN</t>
        </is>
      </c>
      <c r="E75" t="inlineStr">
        <is>
          <t>SALA</t>
        </is>
      </c>
      <c r="F75" t="inlineStr">
        <is>
          <t>Sveaskog</t>
        </is>
      </c>
      <c r="G75" t="n">
        <v>6.7</v>
      </c>
      <c r="H75" t="n">
        <v>0</v>
      </c>
      <c r="I75" t="n">
        <v>0</v>
      </c>
      <c r="J75" t="n">
        <v>1</v>
      </c>
      <c r="K75" t="n">
        <v>0</v>
      </c>
      <c r="L75" t="n">
        <v>0</v>
      </c>
      <c r="M75" t="n">
        <v>0</v>
      </c>
      <c r="N75" t="n">
        <v>0</v>
      </c>
      <c r="O75" t="n">
        <v>1</v>
      </c>
      <c r="P75" t="n">
        <v>0</v>
      </c>
      <c r="Q75" t="n">
        <v>1</v>
      </c>
      <c r="R75" s="2" t="inlineStr">
        <is>
          <t>Motaggsvamp</t>
        </is>
      </c>
      <c r="S75">
        <f>HYPERLINK("https://klasma.github.io/Logging_1981/artfynd/A 14487-2026 artfynd.xlsx", "A 14487-2026")</f>
        <v/>
      </c>
      <c r="T75">
        <f>HYPERLINK("https://klasma.github.io/Logging_1981/kartor/A 14487-2026 karta.png", "A 14487-2026")</f>
        <v/>
      </c>
      <c r="V75">
        <f>HYPERLINK("https://klasma.github.io/Logging_1981/klagomål/A 14487-2026 FSC-klagomål.docx", "A 14487-2026")</f>
        <v/>
      </c>
      <c r="W75">
        <f>HYPERLINK("https://klasma.github.io/Logging_1981/klagomålsmail/A 14487-2026 FSC-klagomål mail.docx", "A 14487-2026")</f>
        <v/>
      </c>
      <c r="X75">
        <f>HYPERLINK("https://klasma.github.io/Logging_1981/tillsyn/A 14487-2026 tillsynsbegäran.docx", "A 14487-2026")</f>
        <v/>
      </c>
      <c r="Y75">
        <f>HYPERLINK("https://klasma.github.io/Logging_1981/tillsynsmail/A 14487-2026 tillsynsbegäran mail.docx", "A 14487-2026")</f>
        <v/>
      </c>
    </row>
    <row r="76" ht="15" customHeight="1">
      <c r="A76" t="inlineStr">
        <is>
          <t>A 3810-2023</t>
        </is>
      </c>
      <c r="B76" s="1" t="n">
        <v>44951</v>
      </c>
      <c r="C76" s="1" t="n">
        <v>46196</v>
      </c>
      <c r="D76" t="inlineStr">
        <is>
          <t>VÄSTMANLANDS LÄN</t>
        </is>
      </c>
      <c r="E76" t="inlineStr">
        <is>
          <t>SALA</t>
        </is>
      </c>
      <c r="G76" t="n">
        <v>4.2</v>
      </c>
      <c r="H76" t="n">
        <v>0</v>
      </c>
      <c r="I76" t="n">
        <v>0</v>
      </c>
      <c r="J76" t="n">
        <v>0</v>
      </c>
      <c r="K76" t="n">
        <v>0</v>
      </c>
      <c r="L76" t="n">
        <v>0</v>
      </c>
      <c r="M76" t="n">
        <v>0</v>
      </c>
      <c r="N76" t="n">
        <v>0</v>
      </c>
      <c r="O76" t="n">
        <v>0</v>
      </c>
      <c r="P76" t="n">
        <v>0</v>
      </c>
      <c r="Q76" t="n">
        <v>1</v>
      </c>
      <c r="R76" s="2" t="inlineStr">
        <is>
          <t>Kärrviol</t>
        </is>
      </c>
      <c r="S76">
        <f>HYPERLINK("https://klasma.github.io/Logging_1981/artfynd/A 3810-2023 artfynd.xlsx", "A 3810-2023")</f>
        <v/>
      </c>
      <c r="T76">
        <f>HYPERLINK("https://klasma.github.io/Logging_1981/kartor/A 3810-2023 karta.png", "A 3810-2023")</f>
        <v/>
      </c>
      <c r="V76">
        <f>HYPERLINK("https://klasma.github.io/Logging_1981/klagomål/A 3810-2023 FSC-klagomål.docx", "A 3810-2023")</f>
        <v/>
      </c>
      <c r="W76">
        <f>HYPERLINK("https://klasma.github.io/Logging_1981/klagomålsmail/A 3810-2023 FSC-klagomål mail.docx", "A 3810-2023")</f>
        <v/>
      </c>
      <c r="X76">
        <f>HYPERLINK("https://klasma.github.io/Logging_1981/tillsyn/A 3810-2023 tillsynsbegäran.docx", "A 3810-2023")</f>
        <v/>
      </c>
      <c r="Y76">
        <f>HYPERLINK("https://klasma.github.io/Logging_1981/tillsynsmail/A 3810-2023 tillsynsbegäran mail.docx", "A 3810-2023")</f>
        <v/>
      </c>
    </row>
    <row r="77" ht="15" customHeight="1">
      <c r="A77" t="inlineStr">
        <is>
          <t>A 14775-2023</t>
        </is>
      </c>
      <c r="B77" s="1" t="n">
        <v>45014</v>
      </c>
      <c r="C77" s="1" t="n">
        <v>46196</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26369-2026</t>
        </is>
      </c>
      <c r="B78" s="1" t="n">
        <v>46182</v>
      </c>
      <c r="C78" s="1" t="n">
        <v>46196</v>
      </c>
      <c r="D78" t="inlineStr">
        <is>
          <t>VÄSTMANLANDS LÄN</t>
        </is>
      </c>
      <c r="E78" t="inlineStr">
        <is>
          <t>SALA</t>
        </is>
      </c>
      <c r="G78" t="n">
        <v>5.7</v>
      </c>
      <c r="H78" t="n">
        <v>1</v>
      </c>
      <c r="I78" t="n">
        <v>0</v>
      </c>
      <c r="J78" t="n">
        <v>0</v>
      </c>
      <c r="K78" t="n">
        <v>0</v>
      </c>
      <c r="L78" t="n">
        <v>0</v>
      </c>
      <c r="M78" t="n">
        <v>0</v>
      </c>
      <c r="N78" t="n">
        <v>0</v>
      </c>
      <c r="O78" t="n">
        <v>0</v>
      </c>
      <c r="P78" t="n">
        <v>0</v>
      </c>
      <c r="Q78" t="n">
        <v>1</v>
      </c>
      <c r="R78" s="2" t="inlineStr">
        <is>
          <t>Fläcknycklar</t>
        </is>
      </c>
      <c r="S78">
        <f>HYPERLINK("https://klasma.github.io/Logging_1981/artfynd/A 26369-2026 artfynd.xlsx", "A 26369-2026")</f>
        <v/>
      </c>
      <c r="T78">
        <f>HYPERLINK("https://klasma.github.io/Logging_1981/kartor/A 26369-2026 karta.png", "A 26369-2026")</f>
        <v/>
      </c>
      <c r="V78">
        <f>HYPERLINK("https://klasma.github.io/Logging_1981/klagomål/A 26369-2026 FSC-klagomål.docx", "A 26369-2026")</f>
        <v/>
      </c>
      <c r="W78">
        <f>HYPERLINK("https://klasma.github.io/Logging_1981/klagomålsmail/A 26369-2026 FSC-klagomål mail.docx", "A 26369-2026")</f>
        <v/>
      </c>
      <c r="X78">
        <f>HYPERLINK("https://klasma.github.io/Logging_1981/tillsyn/A 26369-2026 tillsynsbegäran.docx", "A 26369-2026")</f>
        <v/>
      </c>
      <c r="Y78">
        <f>HYPERLINK("https://klasma.github.io/Logging_1981/tillsynsmail/A 26369-2026 tillsynsbegäran mail.docx", "A 26369-2026")</f>
        <v/>
      </c>
    </row>
    <row r="79" ht="15" customHeight="1">
      <c r="A79" t="inlineStr">
        <is>
          <t>A 31859-2023</t>
        </is>
      </c>
      <c r="B79" s="1" t="n">
        <v>45118</v>
      </c>
      <c r="C79" s="1" t="n">
        <v>46196</v>
      </c>
      <c r="D79" t="inlineStr">
        <is>
          <t>VÄSTMANLANDS LÄN</t>
        </is>
      </c>
      <c r="E79" t="inlineStr">
        <is>
          <t>SALA</t>
        </is>
      </c>
      <c r="G79" t="n">
        <v>0.5</v>
      </c>
      <c r="H79" t="n">
        <v>1</v>
      </c>
      <c r="I79" t="n">
        <v>0</v>
      </c>
      <c r="J79" t="n">
        <v>0</v>
      </c>
      <c r="K79" t="n">
        <v>1</v>
      </c>
      <c r="L79" t="n">
        <v>0</v>
      </c>
      <c r="M79" t="n">
        <v>0</v>
      </c>
      <c r="N79" t="n">
        <v>0</v>
      </c>
      <c r="O79" t="n">
        <v>1</v>
      </c>
      <c r="P79" t="n">
        <v>1</v>
      </c>
      <c r="Q79" t="n">
        <v>1</v>
      </c>
      <c r="R79" s="2" t="inlineStr">
        <is>
          <t>Knärot</t>
        </is>
      </c>
      <c r="S79">
        <f>HYPERLINK("https://klasma.github.io/Logging_1981/artfynd/A 31859-2023 artfynd.xlsx", "A 31859-2023")</f>
        <v/>
      </c>
      <c r="T79">
        <f>HYPERLINK("https://klasma.github.io/Logging_1981/kartor/A 31859-2023 karta.png", "A 31859-2023")</f>
        <v/>
      </c>
      <c r="U79">
        <f>HYPERLINK("https://klasma.github.io/Logging_1981/knärot/A 31859-2023 karta knärot.png", "A 31859-2023")</f>
        <v/>
      </c>
      <c r="V79">
        <f>HYPERLINK("https://klasma.github.io/Logging_1981/klagomål/A 31859-2023 FSC-klagomål.docx", "A 31859-2023")</f>
        <v/>
      </c>
      <c r="W79">
        <f>HYPERLINK("https://klasma.github.io/Logging_1981/klagomålsmail/A 31859-2023 FSC-klagomål mail.docx", "A 31859-2023")</f>
        <v/>
      </c>
      <c r="X79">
        <f>HYPERLINK("https://klasma.github.io/Logging_1981/tillsyn/A 31859-2023 tillsynsbegäran.docx", "A 31859-2023")</f>
        <v/>
      </c>
      <c r="Y79">
        <f>HYPERLINK("https://klasma.github.io/Logging_1981/tillsynsmail/A 31859-2023 tillsynsbegäran mail.docx", "A 31859-2023")</f>
        <v/>
      </c>
    </row>
    <row r="80" ht="15" customHeight="1">
      <c r="A80" t="inlineStr">
        <is>
          <t>A 43175-2023</t>
        </is>
      </c>
      <c r="B80" s="1" t="n">
        <v>45183</v>
      </c>
      <c r="C80" s="1" t="n">
        <v>46196</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3332-2024</t>
        </is>
      </c>
      <c r="B81" s="1" t="n">
        <v>45317</v>
      </c>
      <c r="C81" s="1" t="n">
        <v>46196</v>
      </c>
      <c r="D81" t="inlineStr">
        <is>
          <t>VÄSTMANLANDS LÄN</t>
        </is>
      </c>
      <c r="E81" t="inlineStr">
        <is>
          <t>SALA</t>
        </is>
      </c>
      <c r="G81" t="n">
        <v>2</v>
      </c>
      <c r="H81" t="n">
        <v>0</v>
      </c>
      <c r="I81" t="n">
        <v>0</v>
      </c>
      <c r="J81" t="n">
        <v>1</v>
      </c>
      <c r="K81" t="n">
        <v>0</v>
      </c>
      <c r="L81" t="n">
        <v>0</v>
      </c>
      <c r="M81" t="n">
        <v>0</v>
      </c>
      <c r="N81" t="n">
        <v>0</v>
      </c>
      <c r="O81" t="n">
        <v>1</v>
      </c>
      <c r="P81" t="n">
        <v>0</v>
      </c>
      <c r="Q81" t="n">
        <v>1</v>
      </c>
      <c r="R81" s="2" t="inlineStr">
        <is>
          <t>Rödlånke</t>
        </is>
      </c>
      <c r="S81">
        <f>HYPERLINK("https://klasma.github.io/Logging_1981/artfynd/A 3332-2024 artfynd.xlsx", "A 3332-2024")</f>
        <v/>
      </c>
      <c r="T81">
        <f>HYPERLINK("https://klasma.github.io/Logging_1981/kartor/A 3332-2024 karta.png", "A 3332-2024")</f>
        <v/>
      </c>
      <c r="V81">
        <f>HYPERLINK("https://klasma.github.io/Logging_1981/klagomål/A 3332-2024 FSC-klagomål.docx", "A 3332-2024")</f>
        <v/>
      </c>
      <c r="W81">
        <f>HYPERLINK("https://klasma.github.io/Logging_1981/klagomålsmail/A 3332-2024 FSC-klagomål mail.docx", "A 3332-2024")</f>
        <v/>
      </c>
      <c r="X81">
        <f>HYPERLINK("https://klasma.github.io/Logging_1981/tillsyn/A 3332-2024 tillsynsbegäran.docx", "A 3332-2024")</f>
        <v/>
      </c>
      <c r="Y81">
        <f>HYPERLINK("https://klasma.github.io/Logging_1981/tillsynsmail/A 3332-2024 tillsynsbegäran mail.docx", "A 3332-2024")</f>
        <v/>
      </c>
    </row>
    <row r="82" ht="15" customHeight="1">
      <c r="A82" t="inlineStr">
        <is>
          <t>A 55550-2023</t>
        </is>
      </c>
      <c r="B82" s="1" t="n">
        <v>45232</v>
      </c>
      <c r="C82" s="1" t="n">
        <v>46196</v>
      </c>
      <c r="D82" t="inlineStr">
        <is>
          <t>VÄSTMANLANDS LÄN</t>
        </is>
      </c>
      <c r="E82" t="inlineStr">
        <is>
          <t>SALA</t>
        </is>
      </c>
      <c r="G82" t="n">
        <v>9.9</v>
      </c>
      <c r="H82" t="n">
        <v>1</v>
      </c>
      <c r="I82" t="n">
        <v>0</v>
      </c>
      <c r="J82" t="n">
        <v>0</v>
      </c>
      <c r="K82" t="n">
        <v>1</v>
      </c>
      <c r="L82" t="n">
        <v>0</v>
      </c>
      <c r="M82" t="n">
        <v>0</v>
      </c>
      <c r="N82" t="n">
        <v>0</v>
      </c>
      <c r="O82" t="n">
        <v>1</v>
      </c>
      <c r="P82" t="n">
        <v>1</v>
      </c>
      <c r="Q82" t="n">
        <v>1</v>
      </c>
      <c r="R82" s="2" t="inlineStr">
        <is>
          <t>Knärot</t>
        </is>
      </c>
      <c r="S82">
        <f>HYPERLINK("https://klasma.github.io/Logging_1981/artfynd/A 55550-2023 artfynd.xlsx", "A 55550-2023")</f>
        <v/>
      </c>
      <c r="T82">
        <f>HYPERLINK("https://klasma.github.io/Logging_1981/kartor/A 55550-2023 karta.png", "A 55550-2023")</f>
        <v/>
      </c>
      <c r="U82">
        <f>HYPERLINK("https://klasma.github.io/Logging_1981/knärot/A 55550-2023 karta knärot.png", "A 55550-2023")</f>
        <v/>
      </c>
      <c r="V82">
        <f>HYPERLINK("https://klasma.github.io/Logging_1981/klagomål/A 55550-2023 FSC-klagomål.docx", "A 55550-2023")</f>
        <v/>
      </c>
      <c r="W82">
        <f>HYPERLINK("https://klasma.github.io/Logging_1981/klagomålsmail/A 55550-2023 FSC-klagomål mail.docx", "A 55550-2023")</f>
        <v/>
      </c>
      <c r="X82">
        <f>HYPERLINK("https://klasma.github.io/Logging_1981/tillsyn/A 55550-2023 tillsynsbegäran.docx", "A 55550-2023")</f>
        <v/>
      </c>
      <c r="Y82">
        <f>HYPERLINK("https://klasma.github.io/Logging_1981/tillsynsmail/A 55550-2023 tillsynsbegäran mail.docx", "A 55550-2023")</f>
        <v/>
      </c>
    </row>
    <row r="83" ht="15" customHeight="1">
      <c r="A83" t="inlineStr">
        <is>
          <t>A 43176-2023</t>
        </is>
      </c>
      <c r="B83" s="1" t="n">
        <v>45183</v>
      </c>
      <c r="C83" s="1" t="n">
        <v>46196</v>
      </c>
      <c r="D83" t="inlineStr">
        <is>
          <t>VÄSTMANLANDS LÄN</t>
        </is>
      </c>
      <c r="E83" t="inlineStr">
        <is>
          <t>SALA</t>
        </is>
      </c>
      <c r="G83" t="n">
        <v>1.2</v>
      </c>
      <c r="H83" t="n">
        <v>1</v>
      </c>
      <c r="I83" t="n">
        <v>0</v>
      </c>
      <c r="J83" t="n">
        <v>0</v>
      </c>
      <c r="K83" t="n">
        <v>0</v>
      </c>
      <c r="L83" t="n">
        <v>0</v>
      </c>
      <c r="M83" t="n">
        <v>0</v>
      </c>
      <c r="N83" t="n">
        <v>0</v>
      </c>
      <c r="O83" t="n">
        <v>0</v>
      </c>
      <c r="P83" t="n">
        <v>0</v>
      </c>
      <c r="Q83" t="n">
        <v>1</v>
      </c>
      <c r="R83" s="2" t="inlineStr">
        <is>
          <t>Mattlummer</t>
        </is>
      </c>
      <c r="S83">
        <f>HYPERLINK("https://klasma.github.io/Logging_1981/artfynd/A 43176-2023 artfynd.xlsx", "A 43176-2023")</f>
        <v/>
      </c>
      <c r="T83">
        <f>HYPERLINK("https://klasma.github.io/Logging_1981/kartor/A 43176-2023 karta.png", "A 43176-2023")</f>
        <v/>
      </c>
      <c r="V83">
        <f>HYPERLINK("https://klasma.github.io/Logging_1981/klagomål/A 43176-2023 FSC-klagomål.docx", "A 43176-2023")</f>
        <v/>
      </c>
      <c r="W83">
        <f>HYPERLINK("https://klasma.github.io/Logging_1981/klagomålsmail/A 43176-2023 FSC-klagomål mail.docx", "A 43176-2023")</f>
        <v/>
      </c>
      <c r="X83">
        <f>HYPERLINK("https://klasma.github.io/Logging_1981/tillsyn/A 43176-2023 tillsynsbegäran.docx", "A 43176-2023")</f>
        <v/>
      </c>
      <c r="Y83">
        <f>HYPERLINK("https://klasma.github.io/Logging_1981/tillsynsmail/A 43176-2023 tillsynsbegäran mail.docx", "A 43176-2023")</f>
        <v/>
      </c>
    </row>
    <row r="84" ht="15" customHeight="1">
      <c r="A84" t="inlineStr">
        <is>
          <t>A 41270-2024</t>
        </is>
      </c>
      <c r="B84" s="1" t="n">
        <v>45559</v>
      </c>
      <c r="C84" s="1" t="n">
        <v>46196</v>
      </c>
      <c r="D84" t="inlineStr">
        <is>
          <t>VÄSTMANLANDS LÄN</t>
        </is>
      </c>
      <c r="E84" t="inlineStr">
        <is>
          <t>SALA</t>
        </is>
      </c>
      <c r="G84" t="n">
        <v>15.2</v>
      </c>
      <c r="H84" t="n">
        <v>1</v>
      </c>
      <c r="I84" t="n">
        <v>0</v>
      </c>
      <c r="J84" t="n">
        <v>0</v>
      </c>
      <c r="K84" t="n">
        <v>0</v>
      </c>
      <c r="L84" t="n">
        <v>0</v>
      </c>
      <c r="M84" t="n">
        <v>0</v>
      </c>
      <c r="N84" t="n">
        <v>0</v>
      </c>
      <c r="O84" t="n">
        <v>0</v>
      </c>
      <c r="P84" t="n">
        <v>0</v>
      </c>
      <c r="Q84" t="n">
        <v>1</v>
      </c>
      <c r="R84" s="2" t="inlineStr">
        <is>
          <t>Havsörn</t>
        </is>
      </c>
      <c r="S84">
        <f>HYPERLINK("https://klasma.github.io/Logging_1981/artfynd/A 41270-2024 artfynd.xlsx", "A 41270-2024")</f>
        <v/>
      </c>
      <c r="T84">
        <f>HYPERLINK("https://klasma.github.io/Logging_1981/kartor/A 41270-2024 karta.png", "A 41270-2024")</f>
        <v/>
      </c>
      <c r="V84">
        <f>HYPERLINK("https://klasma.github.io/Logging_1981/klagomål/A 41270-2024 FSC-klagomål.docx", "A 41270-2024")</f>
        <v/>
      </c>
      <c r="W84">
        <f>HYPERLINK("https://klasma.github.io/Logging_1981/klagomålsmail/A 41270-2024 FSC-klagomål mail.docx", "A 41270-2024")</f>
        <v/>
      </c>
      <c r="X84">
        <f>HYPERLINK("https://klasma.github.io/Logging_1981/tillsyn/A 41270-2024 tillsynsbegäran.docx", "A 41270-2024")</f>
        <v/>
      </c>
      <c r="Y84">
        <f>HYPERLINK("https://klasma.github.io/Logging_1981/tillsynsmail/A 41270-2024 tillsynsbegäran mail.docx", "A 41270-2024")</f>
        <v/>
      </c>
      <c r="Z84">
        <f>HYPERLINK("https://klasma.github.io/Logging_1981/fåglar/A 41270-2024 prioriterade fågelarter.docx", "A 41270-2024")</f>
        <v/>
      </c>
    </row>
    <row r="85" ht="15" customHeight="1">
      <c r="A85" t="inlineStr">
        <is>
          <t>A 28661-2024</t>
        </is>
      </c>
      <c r="B85" s="1" t="n">
        <v>45478</v>
      </c>
      <c r="C85" s="1" t="n">
        <v>46196</v>
      </c>
      <c r="D85" t="inlineStr">
        <is>
          <t>VÄSTMANLANDS LÄN</t>
        </is>
      </c>
      <c r="E85" t="inlineStr">
        <is>
          <t>SALA</t>
        </is>
      </c>
      <c r="G85" t="n">
        <v>0.6</v>
      </c>
      <c r="H85" t="n">
        <v>0</v>
      </c>
      <c r="I85" t="n">
        <v>0</v>
      </c>
      <c r="J85" t="n">
        <v>1</v>
      </c>
      <c r="K85" t="n">
        <v>0</v>
      </c>
      <c r="L85" t="n">
        <v>0</v>
      </c>
      <c r="M85" t="n">
        <v>0</v>
      </c>
      <c r="N85" t="n">
        <v>0</v>
      </c>
      <c r="O85" t="n">
        <v>1</v>
      </c>
      <c r="P85" t="n">
        <v>0</v>
      </c>
      <c r="Q85" t="n">
        <v>1</v>
      </c>
      <c r="R85" s="2" t="inlineStr">
        <is>
          <t>Vedtrappmossa</t>
        </is>
      </c>
      <c r="S85">
        <f>HYPERLINK("https://klasma.github.io/Logging_1981/artfynd/A 28661-2024 artfynd.xlsx", "A 28661-2024")</f>
        <v/>
      </c>
      <c r="T85">
        <f>HYPERLINK("https://klasma.github.io/Logging_1981/kartor/A 28661-2024 karta.png", "A 28661-2024")</f>
        <v/>
      </c>
      <c r="V85">
        <f>HYPERLINK("https://klasma.github.io/Logging_1981/klagomål/A 28661-2024 FSC-klagomål.docx", "A 28661-2024")</f>
        <v/>
      </c>
      <c r="W85">
        <f>HYPERLINK("https://klasma.github.io/Logging_1981/klagomålsmail/A 28661-2024 FSC-klagomål mail.docx", "A 28661-2024")</f>
        <v/>
      </c>
      <c r="X85">
        <f>HYPERLINK("https://klasma.github.io/Logging_1981/tillsyn/A 28661-2024 tillsynsbegäran.docx", "A 28661-2024")</f>
        <v/>
      </c>
      <c r="Y85">
        <f>HYPERLINK("https://klasma.github.io/Logging_1981/tillsynsmail/A 28661-2024 tillsynsbegäran mail.docx", "A 28661-2024")</f>
        <v/>
      </c>
    </row>
    <row r="86" ht="15" customHeight="1">
      <c r="A86" t="inlineStr">
        <is>
          <t>A 23224-2023</t>
        </is>
      </c>
      <c r="B86" s="1" t="n">
        <v>45075</v>
      </c>
      <c r="C86" s="1" t="n">
        <v>46196</v>
      </c>
      <c r="D86" t="inlineStr">
        <is>
          <t>VÄSTMANLANDS LÄN</t>
        </is>
      </c>
      <c r="E86" t="inlineStr">
        <is>
          <t>SALA</t>
        </is>
      </c>
      <c r="G86" t="n">
        <v>0.8</v>
      </c>
      <c r="H86" t="n">
        <v>1</v>
      </c>
      <c r="I86" t="n">
        <v>0</v>
      </c>
      <c r="J86" t="n">
        <v>0</v>
      </c>
      <c r="K86" t="n">
        <v>0</v>
      </c>
      <c r="L86" t="n">
        <v>0</v>
      </c>
      <c r="M86" t="n">
        <v>0</v>
      </c>
      <c r="N86" t="n">
        <v>0</v>
      </c>
      <c r="O86" t="n">
        <v>0</v>
      </c>
      <c r="P86" t="n">
        <v>0</v>
      </c>
      <c r="Q86" t="n">
        <v>1</v>
      </c>
      <c r="R86" s="2" t="inlineStr">
        <is>
          <t>Mindre vattensalamander</t>
        </is>
      </c>
      <c r="S86">
        <f>HYPERLINK("https://klasma.github.io/Logging_1981/artfynd/A 23224-2023 artfynd.xlsx", "A 23224-2023")</f>
        <v/>
      </c>
      <c r="T86">
        <f>HYPERLINK("https://klasma.github.io/Logging_1981/kartor/A 23224-2023 karta.png", "A 23224-2023")</f>
        <v/>
      </c>
      <c r="V86">
        <f>HYPERLINK("https://klasma.github.io/Logging_1981/klagomål/A 23224-2023 FSC-klagomål.docx", "A 23224-2023")</f>
        <v/>
      </c>
      <c r="W86">
        <f>HYPERLINK("https://klasma.github.io/Logging_1981/klagomålsmail/A 23224-2023 FSC-klagomål mail.docx", "A 23224-2023")</f>
        <v/>
      </c>
      <c r="X86">
        <f>HYPERLINK("https://klasma.github.io/Logging_1981/tillsyn/A 23224-2023 tillsynsbegäran.docx", "A 23224-2023")</f>
        <v/>
      </c>
      <c r="Y86">
        <f>HYPERLINK("https://klasma.github.io/Logging_1981/tillsynsmail/A 23224-2023 tillsynsbegäran mail.docx", "A 23224-2023")</f>
        <v/>
      </c>
    </row>
    <row r="87" ht="15" customHeight="1">
      <c r="A87" t="inlineStr">
        <is>
          <t>A 17120-2023</t>
        </is>
      </c>
      <c r="B87" s="1" t="n">
        <v>45034</v>
      </c>
      <c r="C87" s="1" t="n">
        <v>46196</v>
      </c>
      <c r="D87" t="inlineStr">
        <is>
          <t>VÄSTMANLANDS LÄN</t>
        </is>
      </c>
      <c r="E87" t="inlineStr">
        <is>
          <t>SALA</t>
        </is>
      </c>
      <c r="G87" t="n">
        <v>0.1</v>
      </c>
      <c r="H87" t="n">
        <v>0</v>
      </c>
      <c r="I87" t="n">
        <v>0</v>
      </c>
      <c r="J87" t="n">
        <v>1</v>
      </c>
      <c r="K87" t="n">
        <v>0</v>
      </c>
      <c r="L87" t="n">
        <v>0</v>
      </c>
      <c r="M87" t="n">
        <v>0</v>
      </c>
      <c r="N87" t="n">
        <v>0</v>
      </c>
      <c r="O87" t="n">
        <v>1</v>
      </c>
      <c r="P87" t="n">
        <v>0</v>
      </c>
      <c r="Q87" t="n">
        <v>1</v>
      </c>
      <c r="R87" s="2" t="inlineStr">
        <is>
          <t>Backtimjan</t>
        </is>
      </c>
      <c r="S87">
        <f>HYPERLINK("https://klasma.github.io/Logging_1981/artfynd/A 17120-2023 artfynd.xlsx", "A 17120-2023")</f>
        <v/>
      </c>
      <c r="T87">
        <f>HYPERLINK("https://klasma.github.io/Logging_1981/kartor/A 17120-2023 karta.png", "A 17120-2023")</f>
        <v/>
      </c>
      <c r="V87">
        <f>HYPERLINK("https://klasma.github.io/Logging_1981/klagomål/A 17120-2023 FSC-klagomål.docx", "A 17120-2023")</f>
        <v/>
      </c>
      <c r="W87">
        <f>HYPERLINK("https://klasma.github.io/Logging_1981/klagomålsmail/A 17120-2023 FSC-klagomål mail.docx", "A 17120-2023")</f>
        <v/>
      </c>
      <c r="X87">
        <f>HYPERLINK("https://klasma.github.io/Logging_1981/tillsyn/A 17120-2023 tillsynsbegäran.docx", "A 17120-2023")</f>
        <v/>
      </c>
      <c r="Y87">
        <f>HYPERLINK("https://klasma.github.io/Logging_1981/tillsynsmail/A 17120-2023 tillsynsbegäran mail.docx", "A 17120-2023")</f>
        <v/>
      </c>
    </row>
    <row r="88" ht="15" customHeight="1">
      <c r="A88" t="inlineStr">
        <is>
          <t>A 1196-2023</t>
        </is>
      </c>
      <c r="B88" s="1" t="n">
        <v>44935</v>
      </c>
      <c r="C88" s="1" t="n">
        <v>46196</v>
      </c>
      <c r="D88" t="inlineStr">
        <is>
          <t>VÄSTMANLANDS LÄN</t>
        </is>
      </c>
      <c r="E88" t="inlineStr">
        <is>
          <t>SALA</t>
        </is>
      </c>
      <c r="G88" t="n">
        <v>4.1</v>
      </c>
      <c r="H88" t="n">
        <v>0</v>
      </c>
      <c r="I88" t="n">
        <v>1</v>
      </c>
      <c r="J88" t="n">
        <v>0</v>
      </c>
      <c r="K88" t="n">
        <v>0</v>
      </c>
      <c r="L88" t="n">
        <v>0</v>
      </c>
      <c r="M88" t="n">
        <v>0</v>
      </c>
      <c r="N88" t="n">
        <v>0</v>
      </c>
      <c r="O88" t="n">
        <v>0</v>
      </c>
      <c r="P88" t="n">
        <v>0</v>
      </c>
      <c r="Q88" t="n">
        <v>1</v>
      </c>
      <c r="R88" s="2" t="inlineStr">
        <is>
          <t>Guldlockmossa</t>
        </is>
      </c>
      <c r="S88">
        <f>HYPERLINK("https://klasma.github.io/Logging_1981/artfynd/A 1196-2023 artfynd.xlsx", "A 1196-2023")</f>
        <v/>
      </c>
      <c r="T88">
        <f>HYPERLINK("https://klasma.github.io/Logging_1981/kartor/A 1196-2023 karta.png", "A 1196-2023")</f>
        <v/>
      </c>
      <c r="V88">
        <f>HYPERLINK("https://klasma.github.io/Logging_1981/klagomål/A 1196-2023 FSC-klagomål.docx", "A 1196-2023")</f>
        <v/>
      </c>
      <c r="W88">
        <f>HYPERLINK("https://klasma.github.io/Logging_1981/klagomålsmail/A 1196-2023 FSC-klagomål mail.docx", "A 1196-2023")</f>
        <v/>
      </c>
      <c r="X88">
        <f>HYPERLINK("https://klasma.github.io/Logging_1981/tillsyn/A 1196-2023 tillsynsbegäran.docx", "A 1196-2023")</f>
        <v/>
      </c>
      <c r="Y88">
        <f>HYPERLINK("https://klasma.github.io/Logging_1981/tillsynsmail/A 1196-2023 tillsynsbegäran mail.docx", "A 1196-2023")</f>
        <v/>
      </c>
    </row>
    <row r="89" ht="15" customHeight="1">
      <c r="A89" t="inlineStr">
        <is>
          <t>A 29985-2022</t>
        </is>
      </c>
      <c r="B89" s="1" t="n">
        <v>44756</v>
      </c>
      <c r="C89" s="1" t="n">
        <v>46196</v>
      </c>
      <c r="D89" t="inlineStr">
        <is>
          <t>VÄSTMANLANDS LÄN</t>
        </is>
      </c>
      <c r="E89" t="inlineStr">
        <is>
          <t>SALA</t>
        </is>
      </c>
      <c r="F89" t="inlineStr">
        <is>
          <t>Kommuner</t>
        </is>
      </c>
      <c r="G89" t="n">
        <v>1</v>
      </c>
      <c r="H89" t="n">
        <v>1</v>
      </c>
      <c r="I89" t="n">
        <v>1</v>
      </c>
      <c r="J89" t="n">
        <v>0</v>
      </c>
      <c r="K89" t="n">
        <v>0</v>
      </c>
      <c r="L89" t="n">
        <v>0</v>
      </c>
      <c r="M89" t="n">
        <v>0</v>
      </c>
      <c r="N89" t="n">
        <v>0</v>
      </c>
      <c r="O89" t="n">
        <v>0</v>
      </c>
      <c r="P89" t="n">
        <v>0</v>
      </c>
      <c r="Q89" t="n">
        <v>1</v>
      </c>
      <c r="R89" s="2" t="inlineStr">
        <is>
          <t>Skogsknipprot</t>
        </is>
      </c>
      <c r="S89">
        <f>HYPERLINK("https://klasma.github.io/Logging_1981/artfynd/A 29985-2022 artfynd.xlsx", "A 29985-2022")</f>
        <v/>
      </c>
      <c r="T89">
        <f>HYPERLINK("https://klasma.github.io/Logging_1981/kartor/A 29985-2022 karta.png", "A 29985-2022")</f>
        <v/>
      </c>
      <c r="V89">
        <f>HYPERLINK("https://klasma.github.io/Logging_1981/klagomål/A 29985-2022 FSC-klagomål.docx", "A 29985-2022")</f>
        <v/>
      </c>
      <c r="W89">
        <f>HYPERLINK("https://klasma.github.io/Logging_1981/klagomålsmail/A 29985-2022 FSC-klagomål mail.docx", "A 29985-2022")</f>
        <v/>
      </c>
      <c r="X89">
        <f>HYPERLINK("https://klasma.github.io/Logging_1981/tillsyn/A 29985-2022 tillsynsbegäran.docx", "A 29985-2022")</f>
        <v/>
      </c>
      <c r="Y89">
        <f>HYPERLINK("https://klasma.github.io/Logging_1981/tillsynsmail/A 29985-2022 tillsynsbegäran mail.docx", "A 29985-2022")</f>
        <v/>
      </c>
    </row>
    <row r="90" ht="15" customHeight="1">
      <c r="A90" t="inlineStr">
        <is>
          <t>A 16693-2023</t>
        </is>
      </c>
      <c r="B90" s="1" t="n">
        <v>45028</v>
      </c>
      <c r="C90" s="1" t="n">
        <v>46196</v>
      </c>
      <c r="D90" t="inlineStr">
        <is>
          <t>VÄSTMANLANDS LÄN</t>
        </is>
      </c>
      <c r="E90" t="inlineStr">
        <is>
          <t>SALA</t>
        </is>
      </c>
      <c r="G90" t="n">
        <v>1.5</v>
      </c>
      <c r="H90" t="n">
        <v>0</v>
      </c>
      <c r="I90" t="n">
        <v>1</v>
      </c>
      <c r="J90" t="n">
        <v>0</v>
      </c>
      <c r="K90" t="n">
        <v>0</v>
      </c>
      <c r="L90" t="n">
        <v>0</v>
      </c>
      <c r="M90" t="n">
        <v>0</v>
      </c>
      <c r="N90" t="n">
        <v>0</v>
      </c>
      <c r="O90" t="n">
        <v>0</v>
      </c>
      <c r="P90" t="n">
        <v>0</v>
      </c>
      <c r="Q90" t="n">
        <v>1</v>
      </c>
      <c r="R90" s="2" t="inlineStr">
        <is>
          <t>Skinnlav</t>
        </is>
      </c>
      <c r="S90">
        <f>HYPERLINK("https://klasma.github.io/Logging_1981/artfynd/A 16693-2023 artfynd.xlsx", "A 16693-2023")</f>
        <v/>
      </c>
      <c r="T90">
        <f>HYPERLINK("https://klasma.github.io/Logging_1981/kartor/A 16693-2023 karta.png", "A 16693-2023")</f>
        <v/>
      </c>
      <c r="V90">
        <f>HYPERLINK("https://klasma.github.io/Logging_1981/klagomål/A 16693-2023 FSC-klagomål.docx", "A 16693-2023")</f>
        <v/>
      </c>
      <c r="W90">
        <f>HYPERLINK("https://klasma.github.io/Logging_1981/klagomålsmail/A 16693-2023 FSC-klagomål mail.docx", "A 16693-2023")</f>
        <v/>
      </c>
      <c r="X90">
        <f>HYPERLINK("https://klasma.github.io/Logging_1981/tillsyn/A 16693-2023 tillsynsbegäran.docx", "A 16693-2023")</f>
        <v/>
      </c>
      <c r="Y90">
        <f>HYPERLINK("https://klasma.github.io/Logging_1981/tillsynsmail/A 16693-2023 tillsynsbegäran mail.docx", "A 16693-2023")</f>
        <v/>
      </c>
    </row>
    <row r="91" ht="15" customHeight="1">
      <c r="A91" t="inlineStr">
        <is>
          <t>A 66561-2021</t>
        </is>
      </c>
      <c r="B91" s="1" t="n">
        <v>44519</v>
      </c>
      <c r="C91" s="1" t="n">
        <v>46196</v>
      </c>
      <c r="D91" t="inlineStr">
        <is>
          <t>VÄSTMANLANDS LÄN</t>
        </is>
      </c>
      <c r="E91" t="inlineStr">
        <is>
          <t>SALA</t>
        </is>
      </c>
      <c r="G91" t="n">
        <v>0.3</v>
      </c>
      <c r="H91" t="n">
        <v>0</v>
      </c>
      <c r="I91" t="n">
        <v>0</v>
      </c>
      <c r="J91" t="n">
        <v>0</v>
      </c>
      <c r="K91" t="n">
        <v>0</v>
      </c>
      <c r="L91" t="n">
        <v>0</v>
      </c>
      <c r="M91" t="n">
        <v>0</v>
      </c>
      <c r="N91" t="n">
        <v>0</v>
      </c>
      <c r="O91" t="n">
        <v>0</v>
      </c>
      <c r="P91" t="n">
        <v>0</v>
      </c>
      <c r="Q91" t="n">
        <v>0</v>
      </c>
      <c r="R91" s="2" t="inlineStr"/>
    </row>
    <row r="92" ht="15" customHeight="1">
      <c r="A92" t="inlineStr">
        <is>
          <t>A 73124-2021</t>
        </is>
      </c>
      <c r="B92" s="1" t="n">
        <v>44550</v>
      </c>
      <c r="C92" s="1" t="n">
        <v>46196</v>
      </c>
      <c r="D92" t="inlineStr">
        <is>
          <t>VÄSTMANLANDS LÄN</t>
        </is>
      </c>
      <c r="E92" t="inlineStr">
        <is>
          <t>SALA</t>
        </is>
      </c>
      <c r="G92" t="n">
        <v>2.8</v>
      </c>
      <c r="H92" t="n">
        <v>0</v>
      </c>
      <c r="I92" t="n">
        <v>0</v>
      </c>
      <c r="J92" t="n">
        <v>0</v>
      </c>
      <c r="K92" t="n">
        <v>0</v>
      </c>
      <c r="L92" t="n">
        <v>0</v>
      </c>
      <c r="M92" t="n">
        <v>0</v>
      </c>
      <c r="N92" t="n">
        <v>0</v>
      </c>
      <c r="O92" t="n">
        <v>0</v>
      </c>
      <c r="P92" t="n">
        <v>0</v>
      </c>
      <c r="Q92" t="n">
        <v>0</v>
      </c>
      <c r="R92" s="2" t="inlineStr"/>
    </row>
    <row r="93" ht="15" customHeight="1">
      <c r="A93" t="inlineStr">
        <is>
          <t>A 73788-2021</t>
        </is>
      </c>
      <c r="B93" s="1" t="n">
        <v>44552</v>
      </c>
      <c r="C93" s="1" t="n">
        <v>46196</v>
      </c>
      <c r="D93" t="inlineStr">
        <is>
          <t>VÄSTMANLANDS LÄN</t>
        </is>
      </c>
      <c r="E93" t="inlineStr">
        <is>
          <t>SALA</t>
        </is>
      </c>
      <c r="G93" t="n">
        <v>0.8</v>
      </c>
      <c r="H93" t="n">
        <v>0</v>
      </c>
      <c r="I93" t="n">
        <v>0</v>
      </c>
      <c r="J93" t="n">
        <v>0</v>
      </c>
      <c r="K93" t="n">
        <v>0</v>
      </c>
      <c r="L93" t="n">
        <v>0</v>
      </c>
      <c r="M93" t="n">
        <v>0</v>
      </c>
      <c r="N93" t="n">
        <v>0</v>
      </c>
      <c r="O93" t="n">
        <v>0</v>
      </c>
      <c r="P93" t="n">
        <v>0</v>
      </c>
      <c r="Q93" t="n">
        <v>0</v>
      </c>
      <c r="R93" s="2" t="inlineStr"/>
    </row>
    <row r="94" ht="15" customHeight="1">
      <c r="A94" t="inlineStr">
        <is>
          <t>A 34110-2022</t>
        </is>
      </c>
      <c r="B94" s="1" t="n">
        <v>44791</v>
      </c>
      <c r="C94" s="1" t="n">
        <v>46196</v>
      </c>
      <c r="D94" t="inlineStr">
        <is>
          <t>VÄSTMANLANDS LÄN</t>
        </is>
      </c>
      <c r="E94" t="inlineStr">
        <is>
          <t>SALA</t>
        </is>
      </c>
      <c r="G94" t="n">
        <v>0.2</v>
      </c>
      <c r="H94" t="n">
        <v>0</v>
      </c>
      <c r="I94" t="n">
        <v>0</v>
      </c>
      <c r="J94" t="n">
        <v>0</v>
      </c>
      <c r="K94" t="n">
        <v>0</v>
      </c>
      <c r="L94" t="n">
        <v>0</v>
      </c>
      <c r="M94" t="n">
        <v>0</v>
      </c>
      <c r="N94" t="n">
        <v>0</v>
      </c>
      <c r="O94" t="n">
        <v>0</v>
      </c>
      <c r="P94" t="n">
        <v>0</v>
      </c>
      <c r="Q94" t="n">
        <v>0</v>
      </c>
      <c r="R94" s="2" t="inlineStr"/>
    </row>
    <row r="95" ht="15" customHeight="1">
      <c r="A95" t="inlineStr">
        <is>
          <t>A 28999-2022</t>
        </is>
      </c>
      <c r="B95" s="1" t="n">
        <v>44749</v>
      </c>
      <c r="C95" s="1" t="n">
        <v>46196</v>
      </c>
      <c r="D95" t="inlineStr">
        <is>
          <t>VÄSTMANLANDS LÄN</t>
        </is>
      </c>
      <c r="E95" t="inlineStr">
        <is>
          <t>SALA</t>
        </is>
      </c>
      <c r="G95" t="n">
        <v>5.7</v>
      </c>
      <c r="H95" t="n">
        <v>0</v>
      </c>
      <c r="I95" t="n">
        <v>0</v>
      </c>
      <c r="J95" t="n">
        <v>0</v>
      </c>
      <c r="K95" t="n">
        <v>0</v>
      </c>
      <c r="L95" t="n">
        <v>0</v>
      </c>
      <c r="M95" t="n">
        <v>0</v>
      </c>
      <c r="N95" t="n">
        <v>0</v>
      </c>
      <c r="O95" t="n">
        <v>0</v>
      </c>
      <c r="P95" t="n">
        <v>0</v>
      </c>
      <c r="Q95" t="n">
        <v>0</v>
      </c>
      <c r="R95" s="2" t="inlineStr"/>
    </row>
    <row r="96" ht="15" customHeight="1">
      <c r="A96" t="inlineStr">
        <is>
          <t>A 33762-2021</t>
        </is>
      </c>
      <c r="B96" s="1" t="n">
        <v>44378</v>
      </c>
      <c r="C96" s="1" t="n">
        <v>46196</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47683-2021</t>
        </is>
      </c>
      <c r="B97" s="1" t="n">
        <v>44448</v>
      </c>
      <c r="C97" s="1" t="n">
        <v>46196</v>
      </c>
      <c r="D97" t="inlineStr">
        <is>
          <t>VÄSTMANLANDS LÄN</t>
        </is>
      </c>
      <c r="E97" t="inlineStr">
        <is>
          <t>SALA</t>
        </is>
      </c>
      <c r="G97" t="n">
        <v>0.7</v>
      </c>
      <c r="H97" t="n">
        <v>0</v>
      </c>
      <c r="I97" t="n">
        <v>0</v>
      </c>
      <c r="J97" t="n">
        <v>0</v>
      </c>
      <c r="K97" t="n">
        <v>0</v>
      </c>
      <c r="L97" t="n">
        <v>0</v>
      </c>
      <c r="M97" t="n">
        <v>0</v>
      </c>
      <c r="N97" t="n">
        <v>0</v>
      </c>
      <c r="O97" t="n">
        <v>0</v>
      </c>
      <c r="P97" t="n">
        <v>0</v>
      </c>
      <c r="Q97" t="n">
        <v>0</v>
      </c>
      <c r="R97" s="2" t="inlineStr"/>
    </row>
    <row r="98" ht="15" customHeight="1">
      <c r="A98" t="inlineStr">
        <is>
          <t>A 10083-2022</t>
        </is>
      </c>
      <c r="B98" s="1" t="n">
        <v>44621</v>
      </c>
      <c r="C98" s="1" t="n">
        <v>46196</v>
      </c>
      <c r="D98" t="inlineStr">
        <is>
          <t>VÄSTMANLANDS LÄN</t>
        </is>
      </c>
      <c r="E98" t="inlineStr">
        <is>
          <t>SALA</t>
        </is>
      </c>
      <c r="G98" t="n">
        <v>7.8</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46196</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46196</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46196</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31387-2022</t>
        </is>
      </c>
      <c r="B102" s="1" t="n">
        <v>44774</v>
      </c>
      <c r="C102" s="1" t="n">
        <v>46196</v>
      </c>
      <c r="D102" t="inlineStr">
        <is>
          <t>VÄSTMANLANDS LÄN</t>
        </is>
      </c>
      <c r="E102" t="inlineStr">
        <is>
          <t>SALA</t>
        </is>
      </c>
      <c r="G102" t="n">
        <v>5.8</v>
      </c>
      <c r="H102" t="n">
        <v>0</v>
      </c>
      <c r="I102" t="n">
        <v>0</v>
      </c>
      <c r="J102" t="n">
        <v>0</v>
      </c>
      <c r="K102" t="n">
        <v>0</v>
      </c>
      <c r="L102" t="n">
        <v>0</v>
      </c>
      <c r="M102" t="n">
        <v>0</v>
      </c>
      <c r="N102" t="n">
        <v>0</v>
      </c>
      <c r="O102" t="n">
        <v>0</v>
      </c>
      <c r="P102" t="n">
        <v>0</v>
      </c>
      <c r="Q102" t="n">
        <v>0</v>
      </c>
      <c r="R102" s="2" t="inlineStr"/>
    </row>
    <row r="103" ht="15" customHeight="1">
      <c r="A103" t="inlineStr">
        <is>
          <t>A 62850-2021</t>
        </is>
      </c>
      <c r="B103" s="1" t="n">
        <v>44504</v>
      </c>
      <c r="C103" s="1" t="n">
        <v>46196</v>
      </c>
      <c r="D103" t="inlineStr">
        <is>
          <t>VÄSTMANLANDS LÄN</t>
        </is>
      </c>
      <c r="E103" t="inlineStr">
        <is>
          <t>SALA</t>
        </is>
      </c>
      <c r="G103" t="n">
        <v>5.2</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46196</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46196</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46196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43103-2022</t>
        </is>
      </c>
      <c r="B107" s="1" t="n">
        <v>44833</v>
      </c>
      <c r="C107" s="1" t="n">
        <v>46196</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4281-2022</t>
        </is>
      </c>
      <c r="B108" s="1" t="n">
        <v>44588</v>
      </c>
      <c r="C108" s="1" t="n">
        <v>46196</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73687-2021</t>
        </is>
      </c>
      <c r="B109" s="1" t="n">
        <v>44552</v>
      </c>
      <c r="C109" s="1" t="n">
        <v>46196</v>
      </c>
      <c r="D109" t="inlineStr">
        <is>
          <t>VÄSTMANLANDS LÄN</t>
        </is>
      </c>
      <c r="E109" t="inlineStr">
        <is>
          <t>SALA</t>
        </is>
      </c>
      <c r="G109" t="n">
        <v>5.6</v>
      </c>
      <c r="H109" t="n">
        <v>0</v>
      </c>
      <c r="I109" t="n">
        <v>0</v>
      </c>
      <c r="J109" t="n">
        <v>0</v>
      </c>
      <c r="K109" t="n">
        <v>0</v>
      </c>
      <c r="L109" t="n">
        <v>0</v>
      </c>
      <c r="M109" t="n">
        <v>0</v>
      </c>
      <c r="N109" t="n">
        <v>0</v>
      </c>
      <c r="O109" t="n">
        <v>0</v>
      </c>
      <c r="P109" t="n">
        <v>0</v>
      </c>
      <c r="Q109" t="n">
        <v>0</v>
      </c>
      <c r="R109" s="2" t="inlineStr"/>
    </row>
    <row r="110" ht="15" customHeight="1">
      <c r="A110" t="inlineStr">
        <is>
          <t>A 55733-2022</t>
        </is>
      </c>
      <c r="B110" s="1" t="n">
        <v>44888</v>
      </c>
      <c r="C110" s="1" t="n">
        <v>46196</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19058-2022</t>
        </is>
      </c>
      <c r="B111" s="1" t="n">
        <v>44691</v>
      </c>
      <c r="C111" s="1" t="n">
        <v>46196</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73663-2021</t>
        </is>
      </c>
      <c r="B112" s="1" t="n">
        <v>44552</v>
      </c>
      <c r="C112" s="1" t="n">
        <v>46196</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29228-2022</t>
        </is>
      </c>
      <c r="B113" s="1" t="n">
        <v>44750</v>
      </c>
      <c r="C113" s="1" t="n">
        <v>46196</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6667-2022</t>
        </is>
      </c>
      <c r="B114" s="1" t="n">
        <v>44602</v>
      </c>
      <c r="C114" s="1" t="n">
        <v>46196</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939-2022</t>
        </is>
      </c>
      <c r="B115" s="1" t="n">
        <v>44571</v>
      </c>
      <c r="C115" s="1" t="n">
        <v>46196</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46196</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42976-2021</t>
        </is>
      </c>
      <c r="B117" s="1" t="n">
        <v>44431</v>
      </c>
      <c r="C117" s="1" t="n">
        <v>46196</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4237-2022</t>
        </is>
      </c>
      <c r="B118" s="1" t="n">
        <v>44588</v>
      </c>
      <c r="C118" s="1" t="n">
        <v>46196</v>
      </c>
      <c r="D118" t="inlineStr">
        <is>
          <t>VÄSTMANLANDS LÄN</t>
        </is>
      </c>
      <c r="E118" t="inlineStr">
        <is>
          <t>SALA</t>
        </is>
      </c>
      <c r="G118" t="n">
        <v>1.2</v>
      </c>
      <c r="H118" t="n">
        <v>0</v>
      </c>
      <c r="I118" t="n">
        <v>0</v>
      </c>
      <c r="J118" t="n">
        <v>0</v>
      </c>
      <c r="K118" t="n">
        <v>0</v>
      </c>
      <c r="L118" t="n">
        <v>0</v>
      </c>
      <c r="M118" t="n">
        <v>0</v>
      </c>
      <c r="N118" t="n">
        <v>0</v>
      </c>
      <c r="O118" t="n">
        <v>0</v>
      </c>
      <c r="P118" t="n">
        <v>0</v>
      </c>
      <c r="Q118" t="n">
        <v>0</v>
      </c>
      <c r="R118" s="2" t="inlineStr"/>
    </row>
    <row r="119" ht="15" customHeight="1">
      <c r="A119" t="inlineStr">
        <is>
          <t>A 51377-2022</t>
        </is>
      </c>
      <c r="B119" s="1" t="n">
        <v>44866</v>
      </c>
      <c r="C119" s="1" t="n">
        <v>46196</v>
      </c>
      <c r="D119" t="inlineStr">
        <is>
          <t>VÄSTMANLANDS LÄN</t>
        </is>
      </c>
      <c r="E119" t="inlineStr">
        <is>
          <t>SALA</t>
        </is>
      </c>
      <c r="G119" t="n">
        <v>6.3</v>
      </c>
      <c r="H119" t="n">
        <v>0</v>
      </c>
      <c r="I119" t="n">
        <v>0</v>
      </c>
      <c r="J119" t="n">
        <v>0</v>
      </c>
      <c r="K119" t="n">
        <v>0</v>
      </c>
      <c r="L119" t="n">
        <v>0</v>
      </c>
      <c r="M119" t="n">
        <v>0</v>
      </c>
      <c r="N119" t="n">
        <v>0</v>
      </c>
      <c r="O119" t="n">
        <v>0</v>
      </c>
      <c r="P119" t="n">
        <v>0</v>
      </c>
      <c r="Q119" t="n">
        <v>0</v>
      </c>
      <c r="R119" s="2" t="inlineStr"/>
    </row>
    <row r="120" ht="15" customHeight="1">
      <c r="A120" t="inlineStr">
        <is>
          <t>A 68355-2021</t>
        </is>
      </c>
      <c r="B120" s="1" t="n">
        <v>44528</v>
      </c>
      <c r="C120" s="1" t="n">
        <v>46196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44318-2022</t>
        </is>
      </c>
      <c r="B121" s="1" t="n">
        <v>44839</v>
      </c>
      <c r="C121" s="1" t="n">
        <v>46196</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15850-2022</t>
        </is>
      </c>
      <c r="B122" s="1" t="n">
        <v>44664</v>
      </c>
      <c r="C122" s="1" t="n">
        <v>46196</v>
      </c>
      <c r="D122" t="inlineStr">
        <is>
          <t>VÄSTMANLANDS LÄN</t>
        </is>
      </c>
      <c r="E122" t="inlineStr">
        <is>
          <t>SALA</t>
        </is>
      </c>
      <c r="G122" t="n">
        <v>1</v>
      </c>
      <c r="H122" t="n">
        <v>0</v>
      </c>
      <c r="I122" t="n">
        <v>0</v>
      </c>
      <c r="J122" t="n">
        <v>0</v>
      </c>
      <c r="K122" t="n">
        <v>0</v>
      </c>
      <c r="L122" t="n">
        <v>0</v>
      </c>
      <c r="M122" t="n">
        <v>0</v>
      </c>
      <c r="N122" t="n">
        <v>0</v>
      </c>
      <c r="O122" t="n">
        <v>0</v>
      </c>
      <c r="P122" t="n">
        <v>0</v>
      </c>
      <c r="Q122" t="n">
        <v>0</v>
      </c>
      <c r="R122" s="2" t="inlineStr"/>
    </row>
    <row r="123" ht="15" customHeight="1">
      <c r="A123" t="inlineStr">
        <is>
          <t>A 1043-2022</t>
        </is>
      </c>
      <c r="B123" s="1" t="n">
        <v>44571</v>
      </c>
      <c r="C123" s="1" t="n">
        <v>46196</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35921-2021</t>
        </is>
      </c>
      <c r="B124" s="1" t="n">
        <v>44388</v>
      </c>
      <c r="C124" s="1" t="n">
        <v>46196</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37856-2021</t>
        </is>
      </c>
      <c r="B125" s="1" t="n">
        <v>44403</v>
      </c>
      <c r="C125" s="1" t="n">
        <v>46196</v>
      </c>
      <c r="D125" t="inlineStr">
        <is>
          <t>VÄSTMANLANDS LÄN</t>
        </is>
      </c>
      <c r="E125" t="inlineStr">
        <is>
          <t>SALA</t>
        </is>
      </c>
      <c r="G125" t="n">
        <v>3.1</v>
      </c>
      <c r="H125" t="n">
        <v>0</v>
      </c>
      <c r="I125" t="n">
        <v>0</v>
      </c>
      <c r="J125" t="n">
        <v>0</v>
      </c>
      <c r="K125" t="n">
        <v>0</v>
      </c>
      <c r="L125" t="n">
        <v>0</v>
      </c>
      <c r="M125" t="n">
        <v>0</v>
      </c>
      <c r="N125" t="n">
        <v>0</v>
      </c>
      <c r="O125" t="n">
        <v>0</v>
      </c>
      <c r="P125" t="n">
        <v>0</v>
      </c>
      <c r="Q125" t="n">
        <v>0</v>
      </c>
      <c r="R125" s="2" t="inlineStr"/>
    </row>
    <row r="126" ht="15" customHeight="1">
      <c r="A126" t="inlineStr">
        <is>
          <t>A 37872-2021</t>
        </is>
      </c>
      <c r="B126" s="1" t="n">
        <v>44403</v>
      </c>
      <c r="C126" s="1" t="n">
        <v>46196</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65835-2021</t>
        </is>
      </c>
      <c r="B127" s="1" t="n">
        <v>44517</v>
      </c>
      <c r="C127" s="1" t="n">
        <v>46196</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31904-2021</t>
        </is>
      </c>
      <c r="B128" s="1" t="n">
        <v>44370</v>
      </c>
      <c r="C128" s="1" t="n">
        <v>46196</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46196</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46196</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46196</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46196</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46196</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v>
      </c>
      <c r="C134" s="1" t="n">
        <v>46196</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65213-2021</t>
        </is>
      </c>
      <c r="B135" s="1" t="n">
        <v>44515</v>
      </c>
      <c r="C135" s="1" t="n">
        <v>46196</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46196</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23181-2022</t>
        </is>
      </c>
      <c r="B137" s="1" t="n">
        <v>44719</v>
      </c>
      <c r="C137" s="1" t="n">
        <v>46196</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65860-2021</t>
        </is>
      </c>
      <c r="B138" s="1" t="n">
        <v>44517</v>
      </c>
      <c r="C138" s="1" t="n">
        <v>46196</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65818-2021</t>
        </is>
      </c>
      <c r="B139" s="1" t="n">
        <v>44517</v>
      </c>
      <c r="C139" s="1" t="n">
        <v>46196</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49254-2022</t>
        </is>
      </c>
      <c r="B140" s="1" t="n">
        <v>44861</v>
      </c>
      <c r="C140" s="1" t="n">
        <v>46196</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46196</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46196</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24882-2022</t>
        </is>
      </c>
      <c r="B143" s="1" t="n">
        <v>44728</v>
      </c>
      <c r="C143" s="1" t="n">
        <v>46196</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v>
      </c>
      <c r="C144" s="1" t="n">
        <v>46196</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3204-2022</t>
        </is>
      </c>
      <c r="B145" s="1" t="n">
        <v>44582</v>
      </c>
      <c r="C145" s="1" t="n">
        <v>46196</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46196</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46196</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v>
      </c>
      <c r="C148" s="1" t="n">
        <v>46196</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46196</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46196</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46196</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46196</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v>
      </c>
      <c r="C153" s="1" t="n">
        <v>46196</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46196</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v>
      </c>
      <c r="C155" s="1" t="n">
        <v>46196</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46196</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46196</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46196</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46196</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46196</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v>
      </c>
      <c r="C161" s="1" t="n">
        <v>46196</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72405-2021</t>
        </is>
      </c>
      <c r="B162" s="1" t="n">
        <v>44545</v>
      </c>
      <c r="C162" s="1" t="n">
        <v>46196</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46196</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46196</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46196</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46196</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46196</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v>
      </c>
      <c r="C168" s="1" t="n">
        <v>46196</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46196</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46196</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v>
      </c>
      <c r="C171" s="1" t="n">
        <v>46196</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v>
      </c>
      <c r="C172" s="1" t="n">
        <v>46196</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v>
      </c>
      <c r="C173" s="1" t="n">
        <v>46196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64932-2021</t>
        </is>
      </c>
      <c r="B174" s="1" t="n">
        <v>44512</v>
      </c>
      <c r="C174" s="1" t="n">
        <v>46196</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54910-2023</t>
        </is>
      </c>
      <c r="B175" s="1" t="n">
        <v>45229</v>
      </c>
      <c r="C175" s="1" t="n">
        <v>46196</v>
      </c>
      <c r="D175" t="inlineStr">
        <is>
          <t>VÄSTMANLANDS LÄN</t>
        </is>
      </c>
      <c r="E175" t="inlineStr">
        <is>
          <t>SALA</t>
        </is>
      </c>
      <c r="G175" t="n">
        <v>2.4</v>
      </c>
      <c r="H175" t="n">
        <v>0</v>
      </c>
      <c r="I175" t="n">
        <v>0</v>
      </c>
      <c r="J175" t="n">
        <v>0</v>
      </c>
      <c r="K175" t="n">
        <v>0</v>
      </c>
      <c r="L175" t="n">
        <v>0</v>
      </c>
      <c r="M175" t="n">
        <v>0</v>
      </c>
      <c r="N175" t="n">
        <v>0</v>
      </c>
      <c r="O175" t="n">
        <v>0</v>
      </c>
      <c r="P175" t="n">
        <v>0</v>
      </c>
      <c r="Q175" t="n">
        <v>0</v>
      </c>
      <c r="R175" s="2" t="inlineStr"/>
    </row>
    <row r="176" ht="15" customHeight="1">
      <c r="A176" t="inlineStr">
        <is>
          <t>A 62449-2023</t>
        </is>
      </c>
      <c r="B176" s="1" t="n">
        <v>45268</v>
      </c>
      <c r="C176" s="1" t="n">
        <v>46196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14024-2025</t>
        </is>
      </c>
      <c r="B177" s="1" t="n">
        <v>45740</v>
      </c>
      <c r="C177" s="1" t="n">
        <v>46196</v>
      </c>
      <c r="D177" t="inlineStr">
        <is>
          <t>VÄSTMANLANDS LÄN</t>
        </is>
      </c>
      <c r="E177" t="inlineStr">
        <is>
          <t>SALA</t>
        </is>
      </c>
      <c r="G177" t="n">
        <v>1.1</v>
      </c>
      <c r="H177" t="n">
        <v>0</v>
      </c>
      <c r="I177" t="n">
        <v>0</v>
      </c>
      <c r="J177" t="n">
        <v>0</v>
      </c>
      <c r="K177" t="n">
        <v>0</v>
      </c>
      <c r="L177" t="n">
        <v>0</v>
      </c>
      <c r="M177" t="n">
        <v>0</v>
      </c>
      <c r="N177" t="n">
        <v>0</v>
      </c>
      <c r="O177" t="n">
        <v>0</v>
      </c>
      <c r="P177" t="n">
        <v>0</v>
      </c>
      <c r="Q177" t="n">
        <v>0</v>
      </c>
      <c r="R177" s="2" t="inlineStr"/>
    </row>
    <row r="178" ht="15" customHeight="1">
      <c r="A178" t="inlineStr">
        <is>
          <t>A 17458-2024</t>
        </is>
      </c>
      <c r="B178" s="1" t="n">
        <v>45415</v>
      </c>
      <c r="C178" s="1" t="n">
        <v>46196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58107-2021</t>
        </is>
      </c>
      <c r="B179" s="1" t="n">
        <v>44487</v>
      </c>
      <c r="C179" s="1" t="n">
        <v>46196</v>
      </c>
      <c r="D179" t="inlineStr">
        <is>
          <t>VÄSTMANLANDS LÄN</t>
        </is>
      </c>
      <c r="E179" t="inlineStr">
        <is>
          <t>SALA</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v>
      </c>
      <c r="C180" s="1" t="n">
        <v>46196</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6097-2022</t>
        </is>
      </c>
      <c r="B181" s="1" t="n">
        <v>44599</v>
      </c>
      <c r="C181" s="1" t="n">
        <v>46196</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13022-2023</t>
        </is>
      </c>
      <c r="B182" s="1" t="n">
        <v>45002</v>
      </c>
      <c r="C182" s="1" t="n">
        <v>46196</v>
      </c>
      <c r="D182" t="inlineStr">
        <is>
          <t>VÄSTMANLANDS LÄN</t>
        </is>
      </c>
      <c r="E182" t="inlineStr">
        <is>
          <t>SALA</t>
        </is>
      </c>
      <c r="G182" t="n">
        <v>1.5</v>
      </c>
      <c r="H182" t="n">
        <v>0</v>
      </c>
      <c r="I182" t="n">
        <v>0</v>
      </c>
      <c r="J182" t="n">
        <v>0</v>
      </c>
      <c r="K182" t="n">
        <v>0</v>
      </c>
      <c r="L182" t="n">
        <v>0</v>
      </c>
      <c r="M182" t="n">
        <v>0</v>
      </c>
      <c r="N182" t="n">
        <v>0</v>
      </c>
      <c r="O182" t="n">
        <v>0</v>
      </c>
      <c r="P182" t="n">
        <v>0</v>
      </c>
      <c r="Q182" t="n">
        <v>0</v>
      </c>
      <c r="R182" s="2" t="inlineStr"/>
    </row>
    <row r="183" ht="15" customHeight="1">
      <c r="A183" t="inlineStr">
        <is>
          <t>A 4853-2023</t>
        </is>
      </c>
      <c r="B183" s="1" t="n">
        <v>44957</v>
      </c>
      <c r="C183" s="1" t="n">
        <v>46196</v>
      </c>
      <c r="D183" t="inlineStr">
        <is>
          <t>VÄSTMANLANDS LÄN</t>
        </is>
      </c>
      <c r="E183" t="inlineStr">
        <is>
          <t>SALA</t>
        </is>
      </c>
      <c r="G183" t="n">
        <v>2.7</v>
      </c>
      <c r="H183" t="n">
        <v>0</v>
      </c>
      <c r="I183" t="n">
        <v>0</v>
      </c>
      <c r="J183" t="n">
        <v>0</v>
      </c>
      <c r="K183" t="n">
        <v>0</v>
      </c>
      <c r="L183" t="n">
        <v>0</v>
      </c>
      <c r="M183" t="n">
        <v>0</v>
      </c>
      <c r="N183" t="n">
        <v>0</v>
      </c>
      <c r="O183" t="n">
        <v>0</v>
      </c>
      <c r="P183" t="n">
        <v>0</v>
      </c>
      <c r="Q183" t="n">
        <v>0</v>
      </c>
      <c r="R183" s="2" t="inlineStr"/>
    </row>
    <row r="184" ht="15" customHeight="1">
      <c r="A184" t="inlineStr">
        <is>
          <t>A 33732-2023</t>
        </is>
      </c>
      <c r="B184" s="1" t="n">
        <v>45133</v>
      </c>
      <c r="C184" s="1" t="n">
        <v>46196</v>
      </c>
      <c r="D184" t="inlineStr">
        <is>
          <t>VÄSTMANLANDS LÄN</t>
        </is>
      </c>
      <c r="E184" t="inlineStr">
        <is>
          <t>SALA</t>
        </is>
      </c>
      <c r="G184" t="n">
        <v>2</v>
      </c>
      <c r="H184" t="n">
        <v>0</v>
      </c>
      <c r="I184" t="n">
        <v>0</v>
      </c>
      <c r="J184" t="n">
        <v>0</v>
      </c>
      <c r="K184" t="n">
        <v>0</v>
      </c>
      <c r="L184" t="n">
        <v>0</v>
      </c>
      <c r="M184" t="n">
        <v>0</v>
      </c>
      <c r="N184" t="n">
        <v>0</v>
      </c>
      <c r="O184" t="n">
        <v>0</v>
      </c>
      <c r="P184" t="n">
        <v>0</v>
      </c>
      <c r="Q184" t="n">
        <v>0</v>
      </c>
      <c r="R184" s="2" t="inlineStr"/>
    </row>
    <row r="185" ht="15" customHeight="1">
      <c r="A185" t="inlineStr">
        <is>
          <t>A 42447-2022</t>
        </is>
      </c>
      <c r="B185" s="1" t="n">
        <v>44831</v>
      </c>
      <c r="C185" s="1" t="n">
        <v>46196</v>
      </c>
      <c r="D185" t="inlineStr">
        <is>
          <t>VÄSTMANLANDS LÄN</t>
        </is>
      </c>
      <c r="E185" t="inlineStr">
        <is>
          <t>SALA</t>
        </is>
      </c>
      <c r="G185" t="n">
        <v>1.1</v>
      </c>
      <c r="H185" t="n">
        <v>0</v>
      </c>
      <c r="I185" t="n">
        <v>0</v>
      </c>
      <c r="J185" t="n">
        <v>0</v>
      </c>
      <c r="K185" t="n">
        <v>0</v>
      </c>
      <c r="L185" t="n">
        <v>0</v>
      </c>
      <c r="M185" t="n">
        <v>0</v>
      </c>
      <c r="N185" t="n">
        <v>0</v>
      </c>
      <c r="O185" t="n">
        <v>0</v>
      </c>
      <c r="P185" t="n">
        <v>0</v>
      </c>
      <c r="Q185" t="n">
        <v>0</v>
      </c>
      <c r="R185" s="2" t="inlineStr"/>
    </row>
    <row r="186" ht="15" customHeight="1">
      <c r="A186" t="inlineStr">
        <is>
          <t>A 37587-2024</t>
        </is>
      </c>
      <c r="B186" s="1" t="n">
        <v>45541</v>
      </c>
      <c r="C186" s="1" t="n">
        <v>46196</v>
      </c>
      <c r="D186" t="inlineStr">
        <is>
          <t>VÄSTMANLANDS LÄN</t>
        </is>
      </c>
      <c r="E186" t="inlineStr">
        <is>
          <t>SALA</t>
        </is>
      </c>
      <c r="G186" t="n">
        <v>1.2</v>
      </c>
      <c r="H186" t="n">
        <v>0</v>
      </c>
      <c r="I186" t="n">
        <v>0</v>
      </c>
      <c r="J186" t="n">
        <v>0</v>
      </c>
      <c r="K186" t="n">
        <v>0</v>
      </c>
      <c r="L186" t="n">
        <v>0</v>
      </c>
      <c r="M186" t="n">
        <v>0</v>
      </c>
      <c r="N186" t="n">
        <v>0</v>
      </c>
      <c r="O186" t="n">
        <v>0</v>
      </c>
      <c r="P186" t="n">
        <v>0</v>
      </c>
      <c r="Q186" t="n">
        <v>0</v>
      </c>
      <c r="R186" s="2" t="inlineStr"/>
    </row>
    <row r="187" ht="15" customHeight="1">
      <c r="A187" t="inlineStr">
        <is>
          <t>A 64724-2023</t>
        </is>
      </c>
      <c r="B187" s="1" t="n">
        <v>45281</v>
      </c>
      <c r="C187" s="1" t="n">
        <v>46196</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7176-2023</t>
        </is>
      </c>
      <c r="B188" s="1" t="n">
        <v>44970</v>
      </c>
      <c r="C188" s="1" t="n">
        <v>46196</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43600-2024</t>
        </is>
      </c>
      <c r="B189" s="1" t="n">
        <v>45569</v>
      </c>
      <c r="C189" s="1" t="n">
        <v>46196</v>
      </c>
      <c r="D189" t="inlineStr">
        <is>
          <t>VÄSTMANLANDS LÄN</t>
        </is>
      </c>
      <c r="E189" t="inlineStr">
        <is>
          <t>SALA</t>
        </is>
      </c>
      <c r="G189" t="n">
        <v>0.9</v>
      </c>
      <c r="H189" t="n">
        <v>0</v>
      </c>
      <c r="I189" t="n">
        <v>0</v>
      </c>
      <c r="J189" t="n">
        <v>0</v>
      </c>
      <c r="K189" t="n">
        <v>0</v>
      </c>
      <c r="L189" t="n">
        <v>0</v>
      </c>
      <c r="M189" t="n">
        <v>0</v>
      </c>
      <c r="N189" t="n">
        <v>0</v>
      </c>
      <c r="O189" t="n">
        <v>0</v>
      </c>
      <c r="P189" t="n">
        <v>0</v>
      </c>
      <c r="Q189" t="n">
        <v>0</v>
      </c>
      <c r="R189" s="2" t="inlineStr"/>
    </row>
    <row r="190" ht="15" customHeight="1">
      <c r="A190" t="inlineStr">
        <is>
          <t>A 31405-2024</t>
        </is>
      </c>
      <c r="B190" s="1" t="n">
        <v>45505</v>
      </c>
      <c r="C190" s="1" t="n">
        <v>46196</v>
      </c>
      <c r="D190" t="inlineStr">
        <is>
          <t>VÄSTMANLANDS LÄN</t>
        </is>
      </c>
      <c r="E190" t="inlineStr">
        <is>
          <t>SALA</t>
        </is>
      </c>
      <c r="G190" t="n">
        <v>5.2</v>
      </c>
      <c r="H190" t="n">
        <v>0</v>
      </c>
      <c r="I190" t="n">
        <v>0</v>
      </c>
      <c r="J190" t="n">
        <v>0</v>
      </c>
      <c r="K190" t="n">
        <v>0</v>
      </c>
      <c r="L190" t="n">
        <v>0</v>
      </c>
      <c r="M190" t="n">
        <v>0</v>
      </c>
      <c r="N190" t="n">
        <v>0</v>
      </c>
      <c r="O190" t="n">
        <v>0</v>
      </c>
      <c r="P190" t="n">
        <v>0</v>
      </c>
      <c r="Q190" t="n">
        <v>0</v>
      </c>
      <c r="R190" s="2" t="inlineStr"/>
    </row>
    <row r="191" ht="15" customHeight="1">
      <c r="A191" t="inlineStr">
        <is>
          <t>A 51764-2025</t>
        </is>
      </c>
      <c r="B191" s="1" t="n">
        <v>45951</v>
      </c>
      <c r="C191" s="1" t="n">
        <v>46196</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51626-2025</t>
        </is>
      </c>
      <c r="B192" s="1" t="n">
        <v>45951</v>
      </c>
      <c r="C192" s="1" t="n">
        <v>46196</v>
      </c>
      <c r="D192" t="inlineStr">
        <is>
          <t>VÄSTMANLANDS LÄN</t>
        </is>
      </c>
      <c r="E192" t="inlineStr">
        <is>
          <t>SALA</t>
        </is>
      </c>
      <c r="G192" t="n">
        <v>2.6</v>
      </c>
      <c r="H192" t="n">
        <v>0</v>
      </c>
      <c r="I192" t="n">
        <v>0</v>
      </c>
      <c r="J192" t="n">
        <v>0</v>
      </c>
      <c r="K192" t="n">
        <v>0</v>
      </c>
      <c r="L192" t="n">
        <v>0</v>
      </c>
      <c r="M192" t="n">
        <v>0</v>
      </c>
      <c r="N192" t="n">
        <v>0</v>
      </c>
      <c r="O192" t="n">
        <v>0</v>
      </c>
      <c r="P192" t="n">
        <v>0</v>
      </c>
      <c r="Q192" t="n">
        <v>0</v>
      </c>
      <c r="R192" s="2" t="inlineStr"/>
    </row>
    <row r="193" ht="15" customHeight="1">
      <c r="A193" t="inlineStr">
        <is>
          <t>A 22353-2025</t>
        </is>
      </c>
      <c r="B193" s="1" t="n">
        <v>45786</v>
      </c>
      <c r="C193" s="1" t="n">
        <v>46196</v>
      </c>
      <c r="D193" t="inlineStr">
        <is>
          <t>VÄSTMANLANDS LÄN</t>
        </is>
      </c>
      <c r="E193" t="inlineStr">
        <is>
          <t>SALA</t>
        </is>
      </c>
      <c r="G193" t="n">
        <v>2.5</v>
      </c>
      <c r="H193" t="n">
        <v>0</v>
      </c>
      <c r="I193" t="n">
        <v>0</v>
      </c>
      <c r="J193" t="n">
        <v>0</v>
      </c>
      <c r="K193" t="n">
        <v>0</v>
      </c>
      <c r="L193" t="n">
        <v>0</v>
      </c>
      <c r="M193" t="n">
        <v>0</v>
      </c>
      <c r="N193" t="n">
        <v>0</v>
      </c>
      <c r="O193" t="n">
        <v>0</v>
      </c>
      <c r="P193" t="n">
        <v>0</v>
      </c>
      <c r="Q193" t="n">
        <v>0</v>
      </c>
      <c r="R193" s="2" t="inlineStr"/>
    </row>
    <row r="194" ht="15" customHeight="1">
      <c r="A194" t="inlineStr">
        <is>
          <t>A 22383-2025</t>
        </is>
      </c>
      <c r="B194" s="1" t="n">
        <v>45786</v>
      </c>
      <c r="C194" s="1" t="n">
        <v>46196</v>
      </c>
      <c r="D194" t="inlineStr">
        <is>
          <t>VÄSTMANLANDS LÄN</t>
        </is>
      </c>
      <c r="E194" t="inlineStr">
        <is>
          <t>SALA</t>
        </is>
      </c>
      <c r="G194" t="n">
        <v>2.2</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46196</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22370-2025</t>
        </is>
      </c>
      <c r="B196" s="1" t="n">
        <v>45786</v>
      </c>
      <c r="C196" s="1" t="n">
        <v>46196</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46196</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13130-2025</t>
        </is>
      </c>
      <c r="B198" s="1" t="n">
        <v>45734</v>
      </c>
      <c r="C198" s="1" t="n">
        <v>46196</v>
      </c>
      <c r="D198" t="inlineStr">
        <is>
          <t>VÄSTMANLANDS LÄN</t>
        </is>
      </c>
      <c r="E198" t="inlineStr">
        <is>
          <t>SALA</t>
        </is>
      </c>
      <c r="G198" t="n">
        <v>1.5</v>
      </c>
      <c r="H198" t="n">
        <v>0</v>
      </c>
      <c r="I198" t="n">
        <v>0</v>
      </c>
      <c r="J198" t="n">
        <v>0</v>
      </c>
      <c r="K198" t="n">
        <v>0</v>
      </c>
      <c r="L198" t="n">
        <v>0</v>
      </c>
      <c r="M198" t="n">
        <v>0</v>
      </c>
      <c r="N198" t="n">
        <v>0</v>
      </c>
      <c r="O198" t="n">
        <v>0</v>
      </c>
      <c r="P198" t="n">
        <v>0</v>
      </c>
      <c r="Q198" t="n">
        <v>0</v>
      </c>
      <c r="R198" s="2" t="inlineStr"/>
    </row>
    <row r="199" ht="15" customHeight="1">
      <c r="A199" t="inlineStr">
        <is>
          <t>A 31864-2025</t>
        </is>
      </c>
      <c r="B199" s="1" t="n">
        <v>45834</v>
      </c>
      <c r="C199" s="1" t="n">
        <v>46196</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53725-2025</t>
        </is>
      </c>
      <c r="B200" s="1" t="n">
        <v>45960</v>
      </c>
      <c r="C200" s="1" t="n">
        <v>46196</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53744-2025</t>
        </is>
      </c>
      <c r="B201" s="1" t="n">
        <v>45960</v>
      </c>
      <c r="C201" s="1" t="n">
        <v>46196</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23804-2025</t>
        </is>
      </c>
      <c r="B202" s="1" t="n">
        <v>45793</v>
      </c>
      <c r="C202" s="1" t="n">
        <v>46196</v>
      </c>
      <c r="D202" t="inlineStr">
        <is>
          <t>VÄSTMANLANDS LÄN</t>
        </is>
      </c>
      <c r="E202" t="inlineStr">
        <is>
          <t>SALA</t>
        </is>
      </c>
      <c r="G202" t="n">
        <v>1.9</v>
      </c>
      <c r="H202" t="n">
        <v>0</v>
      </c>
      <c r="I202" t="n">
        <v>0</v>
      </c>
      <c r="J202" t="n">
        <v>0</v>
      </c>
      <c r="K202" t="n">
        <v>0</v>
      </c>
      <c r="L202" t="n">
        <v>0</v>
      </c>
      <c r="M202" t="n">
        <v>0</v>
      </c>
      <c r="N202" t="n">
        <v>0</v>
      </c>
      <c r="O202" t="n">
        <v>0</v>
      </c>
      <c r="P202" t="n">
        <v>0</v>
      </c>
      <c r="Q202" t="n">
        <v>0</v>
      </c>
      <c r="R202" s="2" t="inlineStr"/>
    </row>
    <row r="203" ht="15" customHeight="1">
      <c r="A203" t="inlineStr">
        <is>
          <t>A 22126-2025</t>
        </is>
      </c>
      <c r="B203" s="1" t="n">
        <v>45785</v>
      </c>
      <c r="C203" s="1" t="n">
        <v>46196</v>
      </c>
      <c r="D203" t="inlineStr">
        <is>
          <t>VÄSTMANLANDS LÄN</t>
        </is>
      </c>
      <c r="E203" t="inlineStr">
        <is>
          <t>SALA</t>
        </is>
      </c>
      <c r="G203" t="n">
        <v>10.6</v>
      </c>
      <c r="H203" t="n">
        <v>0</v>
      </c>
      <c r="I203" t="n">
        <v>0</v>
      </c>
      <c r="J203" t="n">
        <v>0</v>
      </c>
      <c r="K203" t="n">
        <v>0</v>
      </c>
      <c r="L203" t="n">
        <v>0</v>
      </c>
      <c r="M203" t="n">
        <v>0</v>
      </c>
      <c r="N203" t="n">
        <v>0</v>
      </c>
      <c r="O203" t="n">
        <v>0</v>
      </c>
      <c r="P203" t="n">
        <v>0</v>
      </c>
      <c r="Q203" t="n">
        <v>0</v>
      </c>
      <c r="R203" s="2" t="inlineStr"/>
    </row>
    <row r="204" ht="15" customHeight="1">
      <c r="A204" t="inlineStr">
        <is>
          <t>A 19297-2025</t>
        </is>
      </c>
      <c r="B204" s="1" t="n">
        <v>45769</v>
      </c>
      <c r="C204" s="1" t="n">
        <v>46196</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23810-2025</t>
        </is>
      </c>
      <c r="B205" s="1" t="n">
        <v>45793</v>
      </c>
      <c r="C205" s="1" t="n">
        <v>46196</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53724-2025</t>
        </is>
      </c>
      <c r="B206" s="1" t="n">
        <v>45960</v>
      </c>
      <c r="C206" s="1" t="n">
        <v>46196</v>
      </c>
      <c r="D206" t="inlineStr">
        <is>
          <t>VÄSTMANLANDS LÄN</t>
        </is>
      </c>
      <c r="E206" t="inlineStr">
        <is>
          <t>SALA</t>
        </is>
      </c>
      <c r="G206" t="n">
        <v>2.8</v>
      </c>
      <c r="H206" t="n">
        <v>0</v>
      </c>
      <c r="I206" t="n">
        <v>0</v>
      </c>
      <c r="J206" t="n">
        <v>0</v>
      </c>
      <c r="K206" t="n">
        <v>0</v>
      </c>
      <c r="L206" t="n">
        <v>0</v>
      </c>
      <c r="M206" t="n">
        <v>0</v>
      </c>
      <c r="N206" t="n">
        <v>0</v>
      </c>
      <c r="O206" t="n">
        <v>0</v>
      </c>
      <c r="P206" t="n">
        <v>0</v>
      </c>
      <c r="Q206" t="n">
        <v>0</v>
      </c>
      <c r="R206" s="2" t="inlineStr"/>
    </row>
    <row r="207" ht="15" customHeight="1">
      <c r="A207" t="inlineStr">
        <is>
          <t>A 11210-2025</t>
        </is>
      </c>
      <c r="B207" s="1" t="n">
        <v>45726</v>
      </c>
      <c r="C207" s="1" t="n">
        <v>46196</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24944-2023</t>
        </is>
      </c>
      <c r="B208" s="1" t="n">
        <v>45085</v>
      </c>
      <c r="C208" s="1" t="n">
        <v>46196</v>
      </c>
      <c r="D208" t="inlineStr">
        <is>
          <t>VÄSTMANLANDS LÄN</t>
        </is>
      </c>
      <c r="E208" t="inlineStr">
        <is>
          <t>SALA</t>
        </is>
      </c>
      <c r="G208" t="n">
        <v>3.8</v>
      </c>
      <c r="H208" t="n">
        <v>0</v>
      </c>
      <c r="I208" t="n">
        <v>0</v>
      </c>
      <c r="J208" t="n">
        <v>0</v>
      </c>
      <c r="K208" t="n">
        <v>0</v>
      </c>
      <c r="L208" t="n">
        <v>0</v>
      </c>
      <c r="M208" t="n">
        <v>0</v>
      </c>
      <c r="N208" t="n">
        <v>0</v>
      </c>
      <c r="O208" t="n">
        <v>0</v>
      </c>
      <c r="P208" t="n">
        <v>0</v>
      </c>
      <c r="Q208" t="n">
        <v>0</v>
      </c>
      <c r="R208" s="2" t="inlineStr"/>
    </row>
    <row r="209" ht="15" customHeight="1">
      <c r="A209" t="inlineStr">
        <is>
          <t>A 52498-2022</t>
        </is>
      </c>
      <c r="B209" s="1" t="n">
        <v>44874</v>
      </c>
      <c r="C209" s="1" t="n">
        <v>46196</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19033-2025</t>
        </is>
      </c>
      <c r="B210" s="1" t="n">
        <v>45764</v>
      </c>
      <c r="C210" s="1" t="n">
        <v>46196</v>
      </c>
      <c r="D210" t="inlineStr">
        <is>
          <t>VÄSTMANLANDS LÄN</t>
        </is>
      </c>
      <c r="E210" t="inlineStr">
        <is>
          <t>SALA</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51464-2024</t>
        </is>
      </c>
      <c r="B211" s="1" t="n">
        <v>45604</v>
      </c>
      <c r="C211" s="1" t="n">
        <v>46196</v>
      </c>
      <c r="D211" t="inlineStr">
        <is>
          <t>VÄSTMANLANDS LÄN</t>
        </is>
      </c>
      <c r="E211" t="inlineStr">
        <is>
          <t>SALA</t>
        </is>
      </c>
      <c r="G211" t="n">
        <v>3.9</v>
      </c>
      <c r="H211" t="n">
        <v>0</v>
      </c>
      <c r="I211" t="n">
        <v>0</v>
      </c>
      <c r="J211" t="n">
        <v>0</v>
      </c>
      <c r="K211" t="n">
        <v>0</v>
      </c>
      <c r="L211" t="n">
        <v>0</v>
      </c>
      <c r="M211" t="n">
        <v>0</v>
      </c>
      <c r="N211" t="n">
        <v>0</v>
      </c>
      <c r="O211" t="n">
        <v>0</v>
      </c>
      <c r="P211" t="n">
        <v>0</v>
      </c>
      <c r="Q211" t="n">
        <v>0</v>
      </c>
      <c r="R211" s="2" t="inlineStr"/>
    </row>
    <row r="212" ht="15" customHeight="1">
      <c r="A212" t="inlineStr">
        <is>
          <t>A 54603-2024</t>
        </is>
      </c>
      <c r="B212" s="1" t="n">
        <v>45617</v>
      </c>
      <c r="C212" s="1" t="n">
        <v>46196</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55065-2024</t>
        </is>
      </c>
      <c r="B213" s="1" t="n">
        <v>45618</v>
      </c>
      <c r="C213" s="1" t="n">
        <v>46196</v>
      </c>
      <c r="D213" t="inlineStr">
        <is>
          <t>VÄSTMANLANDS LÄN</t>
        </is>
      </c>
      <c r="E213" t="inlineStr">
        <is>
          <t>SALA</t>
        </is>
      </c>
      <c r="G213" t="n">
        <v>3.5</v>
      </c>
      <c r="H213" t="n">
        <v>0</v>
      </c>
      <c r="I213" t="n">
        <v>0</v>
      </c>
      <c r="J213" t="n">
        <v>0</v>
      </c>
      <c r="K213" t="n">
        <v>0</v>
      </c>
      <c r="L213" t="n">
        <v>0</v>
      </c>
      <c r="M213" t="n">
        <v>0</v>
      </c>
      <c r="N213" t="n">
        <v>0</v>
      </c>
      <c r="O213" t="n">
        <v>0</v>
      </c>
      <c r="P213" t="n">
        <v>0</v>
      </c>
      <c r="Q213" t="n">
        <v>0</v>
      </c>
      <c r="R213" s="2" t="inlineStr"/>
    </row>
    <row r="214" ht="15" customHeight="1">
      <c r="A214" t="inlineStr">
        <is>
          <t>A 24907-2025</t>
        </is>
      </c>
      <c r="B214" s="1" t="n">
        <v>45799</v>
      </c>
      <c r="C214" s="1" t="n">
        <v>46196</v>
      </c>
      <c r="D214" t="inlineStr">
        <is>
          <t>VÄSTMANLANDS LÄN</t>
        </is>
      </c>
      <c r="E214" t="inlineStr">
        <is>
          <t>SALA</t>
        </is>
      </c>
      <c r="G214" t="n">
        <v>3.5</v>
      </c>
      <c r="H214" t="n">
        <v>0</v>
      </c>
      <c r="I214" t="n">
        <v>0</v>
      </c>
      <c r="J214" t="n">
        <v>0</v>
      </c>
      <c r="K214" t="n">
        <v>0</v>
      </c>
      <c r="L214" t="n">
        <v>0</v>
      </c>
      <c r="M214" t="n">
        <v>0</v>
      </c>
      <c r="N214" t="n">
        <v>0</v>
      </c>
      <c r="O214" t="n">
        <v>0</v>
      </c>
      <c r="P214" t="n">
        <v>0</v>
      </c>
      <c r="Q214" t="n">
        <v>0</v>
      </c>
      <c r="R214" s="2" t="inlineStr"/>
    </row>
    <row r="215" ht="15" customHeight="1">
      <c r="A215" t="inlineStr">
        <is>
          <t>A 40559-2025</t>
        </is>
      </c>
      <c r="B215" s="1" t="n">
        <v>45896</v>
      </c>
      <c r="C215" s="1" t="n">
        <v>46196</v>
      </c>
      <c r="D215" t="inlineStr">
        <is>
          <t>VÄSTMANLANDS LÄN</t>
        </is>
      </c>
      <c r="E215" t="inlineStr">
        <is>
          <t>SALA</t>
        </is>
      </c>
      <c r="G215" t="n">
        <v>0.9</v>
      </c>
      <c r="H215" t="n">
        <v>0</v>
      </c>
      <c r="I215" t="n">
        <v>0</v>
      </c>
      <c r="J215" t="n">
        <v>0</v>
      </c>
      <c r="K215" t="n">
        <v>0</v>
      </c>
      <c r="L215" t="n">
        <v>0</v>
      </c>
      <c r="M215" t="n">
        <v>0</v>
      </c>
      <c r="N215" t="n">
        <v>0</v>
      </c>
      <c r="O215" t="n">
        <v>0</v>
      </c>
      <c r="P215" t="n">
        <v>0</v>
      </c>
      <c r="Q215" t="n">
        <v>0</v>
      </c>
      <c r="R215" s="2" t="inlineStr"/>
    </row>
    <row r="216" ht="15" customHeight="1">
      <c r="A216" t="inlineStr">
        <is>
          <t>A 40556-2025</t>
        </is>
      </c>
      <c r="B216" s="1" t="n">
        <v>45896</v>
      </c>
      <c r="C216" s="1" t="n">
        <v>46196</v>
      </c>
      <c r="D216" t="inlineStr">
        <is>
          <t>VÄSTMANLANDS LÄN</t>
        </is>
      </c>
      <c r="E216" t="inlineStr">
        <is>
          <t>SALA</t>
        </is>
      </c>
      <c r="G216" t="n">
        <v>1.9</v>
      </c>
      <c r="H216" t="n">
        <v>0</v>
      </c>
      <c r="I216" t="n">
        <v>0</v>
      </c>
      <c r="J216" t="n">
        <v>0</v>
      </c>
      <c r="K216" t="n">
        <v>0</v>
      </c>
      <c r="L216" t="n">
        <v>0</v>
      </c>
      <c r="M216" t="n">
        <v>0</v>
      </c>
      <c r="N216" t="n">
        <v>0</v>
      </c>
      <c r="O216" t="n">
        <v>0</v>
      </c>
      <c r="P216" t="n">
        <v>0</v>
      </c>
      <c r="Q216" t="n">
        <v>0</v>
      </c>
      <c r="R216" s="2" t="inlineStr"/>
    </row>
    <row r="217" ht="15" customHeight="1">
      <c r="A217" t="inlineStr">
        <is>
          <t>A 69232-2021</t>
        </is>
      </c>
      <c r="B217" s="1" t="n">
        <v>44531</v>
      </c>
      <c r="C217" s="1" t="n">
        <v>46196</v>
      </c>
      <c r="D217" t="inlineStr">
        <is>
          <t>VÄSTMANLANDS LÄN</t>
        </is>
      </c>
      <c r="E217" t="inlineStr">
        <is>
          <t>SALA</t>
        </is>
      </c>
      <c r="G217" t="n">
        <v>2.3</v>
      </c>
      <c r="H217" t="n">
        <v>0</v>
      </c>
      <c r="I217" t="n">
        <v>0</v>
      </c>
      <c r="J217" t="n">
        <v>0</v>
      </c>
      <c r="K217" t="n">
        <v>0</v>
      </c>
      <c r="L217" t="n">
        <v>0</v>
      </c>
      <c r="M217" t="n">
        <v>0</v>
      </c>
      <c r="N217" t="n">
        <v>0</v>
      </c>
      <c r="O217" t="n">
        <v>0</v>
      </c>
      <c r="P217" t="n">
        <v>0</v>
      </c>
      <c r="Q217" t="n">
        <v>0</v>
      </c>
      <c r="R217" s="2" t="inlineStr"/>
    </row>
    <row r="218" ht="15" customHeight="1">
      <c r="A218" t="inlineStr">
        <is>
          <t>A 19398-2025</t>
        </is>
      </c>
      <c r="B218" s="1" t="n">
        <v>45769</v>
      </c>
      <c r="C218" s="1" t="n">
        <v>46196</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4797-2023</t>
        </is>
      </c>
      <c r="B219" s="1" t="n">
        <v>44957</v>
      </c>
      <c r="C219" s="1" t="n">
        <v>46196</v>
      </c>
      <c r="D219" t="inlineStr">
        <is>
          <t>VÄSTMANLANDS LÄN</t>
        </is>
      </c>
      <c r="E219" t="inlineStr">
        <is>
          <t>SALA</t>
        </is>
      </c>
      <c r="G219" t="n">
        <v>5.7</v>
      </c>
      <c r="H219" t="n">
        <v>0</v>
      </c>
      <c r="I219" t="n">
        <v>0</v>
      </c>
      <c r="J219" t="n">
        <v>0</v>
      </c>
      <c r="K219" t="n">
        <v>0</v>
      </c>
      <c r="L219" t="n">
        <v>0</v>
      </c>
      <c r="M219" t="n">
        <v>0</v>
      </c>
      <c r="N219" t="n">
        <v>0</v>
      </c>
      <c r="O219" t="n">
        <v>0</v>
      </c>
      <c r="P219" t="n">
        <v>0</v>
      </c>
      <c r="Q219" t="n">
        <v>0</v>
      </c>
      <c r="R219" s="2" t="inlineStr"/>
    </row>
    <row r="220" ht="15" customHeight="1">
      <c r="A220" t="inlineStr">
        <is>
          <t>A 56593-2025</t>
        </is>
      </c>
      <c r="B220" s="1" t="n">
        <v>45975</v>
      </c>
      <c r="C220" s="1" t="n">
        <v>46196</v>
      </c>
      <c r="D220" t="inlineStr">
        <is>
          <t>VÄSTMANLANDS LÄN</t>
        </is>
      </c>
      <c r="E220" t="inlineStr">
        <is>
          <t>SALA</t>
        </is>
      </c>
      <c r="F220" t="inlineStr">
        <is>
          <t>Kyrkan</t>
        </is>
      </c>
      <c r="G220" t="n">
        <v>0.1</v>
      </c>
      <c r="H220" t="n">
        <v>0</v>
      </c>
      <c r="I220" t="n">
        <v>0</v>
      </c>
      <c r="J220" t="n">
        <v>0</v>
      </c>
      <c r="K220" t="n">
        <v>0</v>
      </c>
      <c r="L220" t="n">
        <v>0</v>
      </c>
      <c r="M220" t="n">
        <v>0</v>
      </c>
      <c r="N220" t="n">
        <v>0</v>
      </c>
      <c r="O220" t="n">
        <v>0</v>
      </c>
      <c r="P220" t="n">
        <v>0</v>
      </c>
      <c r="Q220" t="n">
        <v>0</v>
      </c>
      <c r="R220" s="2" t="inlineStr"/>
    </row>
    <row r="221" ht="15" customHeight="1">
      <c r="A221" t="inlineStr">
        <is>
          <t>A 1638-2023</t>
        </is>
      </c>
      <c r="B221" s="1" t="n">
        <v>44937</v>
      </c>
      <c r="C221" s="1" t="n">
        <v>46196</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56645-2025</t>
        </is>
      </c>
      <c r="B222" s="1" t="n">
        <v>45975</v>
      </c>
      <c r="C222" s="1" t="n">
        <v>46196</v>
      </c>
      <c r="D222" t="inlineStr">
        <is>
          <t>VÄSTMANLANDS LÄN</t>
        </is>
      </c>
      <c r="E222" t="inlineStr">
        <is>
          <t>SALA</t>
        </is>
      </c>
      <c r="F222" t="inlineStr">
        <is>
          <t>Bergvik skog öst AB</t>
        </is>
      </c>
      <c r="G222" t="n">
        <v>5.3</v>
      </c>
      <c r="H222" t="n">
        <v>0</v>
      </c>
      <c r="I222" t="n">
        <v>0</v>
      </c>
      <c r="J222" t="n">
        <v>0</v>
      </c>
      <c r="K222" t="n">
        <v>0</v>
      </c>
      <c r="L222" t="n">
        <v>0</v>
      </c>
      <c r="M222" t="n">
        <v>0</v>
      </c>
      <c r="N222" t="n">
        <v>0</v>
      </c>
      <c r="O222" t="n">
        <v>0</v>
      </c>
      <c r="P222" t="n">
        <v>0</v>
      </c>
      <c r="Q222" t="n">
        <v>0</v>
      </c>
      <c r="R222" s="2" t="inlineStr"/>
    </row>
    <row r="223" ht="15" customHeight="1">
      <c r="A223" t="inlineStr">
        <is>
          <t>A 56614-2025</t>
        </is>
      </c>
      <c r="B223" s="1" t="n">
        <v>45975</v>
      </c>
      <c r="C223" s="1" t="n">
        <v>46196</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56611-2025</t>
        </is>
      </c>
      <c r="B224" s="1" t="n">
        <v>45975</v>
      </c>
      <c r="C224" s="1" t="n">
        <v>46196</v>
      </c>
      <c r="D224" t="inlineStr">
        <is>
          <t>VÄSTMANLANDS LÄN</t>
        </is>
      </c>
      <c r="E224" t="inlineStr">
        <is>
          <t>SALA</t>
        </is>
      </c>
      <c r="G224" t="n">
        <v>2.8</v>
      </c>
      <c r="H224" t="n">
        <v>0</v>
      </c>
      <c r="I224" t="n">
        <v>0</v>
      </c>
      <c r="J224" t="n">
        <v>0</v>
      </c>
      <c r="K224" t="n">
        <v>0</v>
      </c>
      <c r="L224" t="n">
        <v>0</v>
      </c>
      <c r="M224" t="n">
        <v>0</v>
      </c>
      <c r="N224" t="n">
        <v>0</v>
      </c>
      <c r="O224" t="n">
        <v>0</v>
      </c>
      <c r="P224" t="n">
        <v>0</v>
      </c>
      <c r="Q224" t="n">
        <v>0</v>
      </c>
      <c r="R224" s="2" t="inlineStr"/>
    </row>
    <row r="225" ht="15" customHeight="1">
      <c r="A225" t="inlineStr">
        <is>
          <t>A 21968-2024</t>
        </is>
      </c>
      <c r="B225" s="1" t="n">
        <v>45443</v>
      </c>
      <c r="C225" s="1" t="n">
        <v>46196</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42421-2025</t>
        </is>
      </c>
      <c r="B226" s="1" t="n">
        <v>45905</v>
      </c>
      <c r="C226" s="1" t="n">
        <v>46196</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37263-2025</t>
        </is>
      </c>
      <c r="B227" s="1" t="n">
        <v>45876</v>
      </c>
      <c r="C227" s="1" t="n">
        <v>46196</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57014-2025</t>
        </is>
      </c>
      <c r="B228" s="1" t="n">
        <v>45978</v>
      </c>
      <c r="C228" s="1" t="n">
        <v>46196</v>
      </c>
      <c r="D228" t="inlineStr">
        <is>
          <t>VÄSTMANLANDS LÄN</t>
        </is>
      </c>
      <c r="E228" t="inlineStr">
        <is>
          <t>SALA</t>
        </is>
      </c>
      <c r="G228" t="n">
        <v>2.2</v>
      </c>
      <c r="H228" t="n">
        <v>0</v>
      </c>
      <c r="I228" t="n">
        <v>0</v>
      </c>
      <c r="J228" t="n">
        <v>0</v>
      </c>
      <c r="K228" t="n">
        <v>0</v>
      </c>
      <c r="L228" t="n">
        <v>0</v>
      </c>
      <c r="M228" t="n">
        <v>0</v>
      </c>
      <c r="N228" t="n">
        <v>0</v>
      </c>
      <c r="O228" t="n">
        <v>0</v>
      </c>
      <c r="P228" t="n">
        <v>0</v>
      </c>
      <c r="Q228" t="n">
        <v>0</v>
      </c>
      <c r="R228" s="2" t="inlineStr"/>
    </row>
    <row r="229" ht="15" customHeight="1">
      <c r="A229" t="inlineStr">
        <is>
          <t>A 43128-2025</t>
        </is>
      </c>
      <c r="B229" s="1" t="n">
        <v>45909</v>
      </c>
      <c r="C229" s="1" t="n">
        <v>46196</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40554-2025</t>
        </is>
      </c>
      <c r="B230" s="1" t="n">
        <v>45896</v>
      </c>
      <c r="C230" s="1" t="n">
        <v>46196</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43130-2025</t>
        </is>
      </c>
      <c r="B231" s="1" t="n">
        <v>45909</v>
      </c>
      <c r="C231" s="1" t="n">
        <v>46196</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43028-2025</t>
        </is>
      </c>
      <c r="B232" s="1" t="n">
        <v>45909</v>
      </c>
      <c r="C232" s="1" t="n">
        <v>46196</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43031-2025</t>
        </is>
      </c>
      <c r="B233" s="1" t="n">
        <v>45909</v>
      </c>
      <c r="C233" s="1" t="n">
        <v>46196</v>
      </c>
      <c r="D233" t="inlineStr">
        <is>
          <t>VÄSTMANLANDS LÄN</t>
        </is>
      </c>
      <c r="E233" t="inlineStr">
        <is>
          <t>SALA</t>
        </is>
      </c>
      <c r="G233" t="n">
        <v>0.2</v>
      </c>
      <c r="H233" t="n">
        <v>0</v>
      </c>
      <c r="I233" t="n">
        <v>0</v>
      </c>
      <c r="J233" t="n">
        <v>0</v>
      </c>
      <c r="K233" t="n">
        <v>0</v>
      </c>
      <c r="L233" t="n">
        <v>0</v>
      </c>
      <c r="M233" t="n">
        <v>0</v>
      </c>
      <c r="N233" t="n">
        <v>0</v>
      </c>
      <c r="O233" t="n">
        <v>0</v>
      </c>
      <c r="P233" t="n">
        <v>0</v>
      </c>
      <c r="Q233" t="n">
        <v>0</v>
      </c>
      <c r="R233" s="2" t="inlineStr"/>
    </row>
    <row r="234" ht="15" customHeight="1">
      <c r="A234" t="inlineStr">
        <is>
          <t>A 57414-2025</t>
        </is>
      </c>
      <c r="B234" s="1" t="n">
        <v>45980</v>
      </c>
      <c r="C234" s="1" t="n">
        <v>46196</v>
      </c>
      <c r="D234" t="inlineStr">
        <is>
          <t>VÄSTMANLANDS LÄN</t>
        </is>
      </c>
      <c r="E234" t="inlineStr">
        <is>
          <t>SALA</t>
        </is>
      </c>
      <c r="F234" t="inlineStr">
        <is>
          <t>Bergvik skog öst AB</t>
        </is>
      </c>
      <c r="G234" t="n">
        <v>2</v>
      </c>
      <c r="H234" t="n">
        <v>0</v>
      </c>
      <c r="I234" t="n">
        <v>0</v>
      </c>
      <c r="J234" t="n">
        <v>0</v>
      </c>
      <c r="K234" t="n">
        <v>0</v>
      </c>
      <c r="L234" t="n">
        <v>0</v>
      </c>
      <c r="M234" t="n">
        <v>0</v>
      </c>
      <c r="N234" t="n">
        <v>0</v>
      </c>
      <c r="O234" t="n">
        <v>0</v>
      </c>
      <c r="P234" t="n">
        <v>0</v>
      </c>
      <c r="Q234" t="n">
        <v>0</v>
      </c>
      <c r="R234" s="2" t="inlineStr"/>
    </row>
    <row r="235" ht="15" customHeight="1">
      <c r="A235" t="inlineStr">
        <is>
          <t>A 57415-2025</t>
        </is>
      </c>
      <c r="B235" s="1" t="n">
        <v>45980</v>
      </c>
      <c r="C235" s="1" t="n">
        <v>46196</v>
      </c>
      <c r="D235" t="inlineStr">
        <is>
          <t>VÄSTMANLANDS LÄN</t>
        </is>
      </c>
      <c r="E235" t="inlineStr">
        <is>
          <t>SALA</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57412-2025</t>
        </is>
      </c>
      <c r="B236" s="1" t="n">
        <v>45980</v>
      </c>
      <c r="C236" s="1" t="n">
        <v>46196</v>
      </c>
      <c r="D236" t="inlineStr">
        <is>
          <t>VÄSTMANLANDS LÄN</t>
        </is>
      </c>
      <c r="E236" t="inlineStr">
        <is>
          <t>SALA</t>
        </is>
      </c>
      <c r="F236" t="inlineStr">
        <is>
          <t>Bergvik skog öst AB</t>
        </is>
      </c>
      <c r="G236" t="n">
        <v>4.5</v>
      </c>
      <c r="H236" t="n">
        <v>0</v>
      </c>
      <c r="I236" t="n">
        <v>0</v>
      </c>
      <c r="J236" t="n">
        <v>0</v>
      </c>
      <c r="K236" t="n">
        <v>0</v>
      </c>
      <c r="L236" t="n">
        <v>0</v>
      </c>
      <c r="M236" t="n">
        <v>0</v>
      </c>
      <c r="N236" t="n">
        <v>0</v>
      </c>
      <c r="O236" t="n">
        <v>0</v>
      </c>
      <c r="P236" t="n">
        <v>0</v>
      </c>
      <c r="Q236" t="n">
        <v>0</v>
      </c>
      <c r="R236" s="2" t="inlineStr"/>
    </row>
    <row r="237" ht="15" customHeight="1">
      <c r="A237" t="inlineStr">
        <is>
          <t>A 15972-2024</t>
        </is>
      </c>
      <c r="B237" s="1" t="n">
        <v>45405</v>
      </c>
      <c r="C237" s="1" t="n">
        <v>46196</v>
      </c>
      <c r="D237" t="inlineStr">
        <is>
          <t>VÄSTMANLANDS LÄN</t>
        </is>
      </c>
      <c r="E237" t="inlineStr">
        <is>
          <t>SALA</t>
        </is>
      </c>
      <c r="G237" t="n">
        <v>1.8</v>
      </c>
      <c r="H237" t="n">
        <v>0</v>
      </c>
      <c r="I237" t="n">
        <v>0</v>
      </c>
      <c r="J237" t="n">
        <v>0</v>
      </c>
      <c r="K237" t="n">
        <v>0</v>
      </c>
      <c r="L237" t="n">
        <v>0</v>
      </c>
      <c r="M237" t="n">
        <v>0</v>
      </c>
      <c r="N237" t="n">
        <v>0</v>
      </c>
      <c r="O237" t="n">
        <v>0</v>
      </c>
      <c r="P237" t="n">
        <v>0</v>
      </c>
      <c r="Q237" t="n">
        <v>0</v>
      </c>
      <c r="R237" s="2" t="inlineStr"/>
    </row>
    <row r="238" ht="15" customHeight="1">
      <c r="A238" t="inlineStr">
        <is>
          <t>A 37958-2024</t>
        </is>
      </c>
      <c r="B238" s="1" t="n">
        <v>45544</v>
      </c>
      <c r="C238" s="1" t="n">
        <v>46196</v>
      </c>
      <c r="D238" t="inlineStr">
        <is>
          <t>VÄSTMANLANDS LÄN</t>
        </is>
      </c>
      <c r="E238" t="inlineStr">
        <is>
          <t>SALA</t>
        </is>
      </c>
      <c r="G238" t="n">
        <v>5.6</v>
      </c>
      <c r="H238" t="n">
        <v>0</v>
      </c>
      <c r="I238" t="n">
        <v>0</v>
      </c>
      <c r="J238" t="n">
        <v>0</v>
      </c>
      <c r="K238" t="n">
        <v>0</v>
      </c>
      <c r="L238" t="n">
        <v>0</v>
      </c>
      <c r="M238" t="n">
        <v>0</v>
      </c>
      <c r="N238" t="n">
        <v>0</v>
      </c>
      <c r="O238" t="n">
        <v>0</v>
      </c>
      <c r="P238" t="n">
        <v>0</v>
      </c>
      <c r="Q238" t="n">
        <v>0</v>
      </c>
      <c r="R238" s="2" t="inlineStr"/>
    </row>
    <row r="239" ht="15" customHeight="1">
      <c r="A239" t="inlineStr">
        <is>
          <t>A 58359-2025</t>
        </is>
      </c>
      <c r="B239" s="1" t="n">
        <v>45985</v>
      </c>
      <c r="C239" s="1" t="n">
        <v>46196</v>
      </c>
      <c r="D239" t="inlineStr">
        <is>
          <t>VÄSTMANLANDS LÄN</t>
        </is>
      </c>
      <c r="E239" t="inlineStr">
        <is>
          <t>SALA</t>
        </is>
      </c>
      <c r="G239" t="n">
        <v>3.7</v>
      </c>
      <c r="H239" t="n">
        <v>0</v>
      </c>
      <c r="I239" t="n">
        <v>0</v>
      </c>
      <c r="J239" t="n">
        <v>0</v>
      </c>
      <c r="K239" t="n">
        <v>0</v>
      </c>
      <c r="L239" t="n">
        <v>0</v>
      </c>
      <c r="M239" t="n">
        <v>0</v>
      </c>
      <c r="N239" t="n">
        <v>0</v>
      </c>
      <c r="O239" t="n">
        <v>0</v>
      </c>
      <c r="P239" t="n">
        <v>0</v>
      </c>
      <c r="Q239" t="n">
        <v>0</v>
      </c>
      <c r="R239" s="2" t="inlineStr"/>
    </row>
    <row r="240" ht="15" customHeight="1">
      <c r="A240" t="inlineStr">
        <is>
          <t>A 58364-2025</t>
        </is>
      </c>
      <c r="B240" s="1" t="n">
        <v>45985</v>
      </c>
      <c r="C240" s="1" t="n">
        <v>46196</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55760-2025</t>
        </is>
      </c>
      <c r="B241" s="1" t="n">
        <v>45972</v>
      </c>
      <c r="C241" s="1" t="n">
        <v>46196</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58357-2025</t>
        </is>
      </c>
      <c r="B242" s="1" t="n">
        <v>45985</v>
      </c>
      <c r="C242" s="1" t="n">
        <v>46196</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1555-2024</t>
        </is>
      </c>
      <c r="B243" s="1" t="n">
        <v>45306</v>
      </c>
      <c r="C243" s="1" t="n">
        <v>46196</v>
      </c>
      <c r="D243" t="inlineStr">
        <is>
          <t>VÄSTMANLANDS LÄN</t>
        </is>
      </c>
      <c r="E243" t="inlineStr">
        <is>
          <t>SALA</t>
        </is>
      </c>
      <c r="G243" t="n">
        <v>1.3</v>
      </c>
      <c r="H243" t="n">
        <v>0</v>
      </c>
      <c r="I243" t="n">
        <v>0</v>
      </c>
      <c r="J243" t="n">
        <v>0</v>
      </c>
      <c r="K243" t="n">
        <v>0</v>
      </c>
      <c r="L243" t="n">
        <v>0</v>
      </c>
      <c r="M243" t="n">
        <v>0</v>
      </c>
      <c r="N243" t="n">
        <v>0</v>
      </c>
      <c r="O243" t="n">
        <v>0</v>
      </c>
      <c r="P243" t="n">
        <v>0</v>
      </c>
      <c r="Q243" t="n">
        <v>0</v>
      </c>
      <c r="R243" s="2" t="inlineStr"/>
    </row>
    <row r="244" ht="15" customHeight="1">
      <c r="A244" t="inlineStr">
        <is>
          <t>A 58365-2025</t>
        </is>
      </c>
      <c r="B244" s="1" t="n">
        <v>45985</v>
      </c>
      <c r="C244" s="1" t="n">
        <v>46196</v>
      </c>
      <c r="D244" t="inlineStr">
        <is>
          <t>VÄSTMANLANDS LÄN</t>
        </is>
      </c>
      <c r="E244" t="inlineStr">
        <is>
          <t>SALA</t>
        </is>
      </c>
      <c r="G244" t="n">
        <v>3.9</v>
      </c>
      <c r="H244" t="n">
        <v>0</v>
      </c>
      <c r="I244" t="n">
        <v>0</v>
      </c>
      <c r="J244" t="n">
        <v>0</v>
      </c>
      <c r="K244" t="n">
        <v>0</v>
      </c>
      <c r="L244" t="n">
        <v>0</v>
      </c>
      <c r="M244" t="n">
        <v>0</v>
      </c>
      <c r="N244" t="n">
        <v>0</v>
      </c>
      <c r="O244" t="n">
        <v>0</v>
      </c>
      <c r="P244" t="n">
        <v>0</v>
      </c>
      <c r="Q244" t="n">
        <v>0</v>
      </c>
      <c r="R244" s="2" t="inlineStr"/>
    </row>
    <row r="245" ht="15" customHeight="1">
      <c r="A245" t="inlineStr">
        <is>
          <t>A 44524-2025</t>
        </is>
      </c>
      <c r="B245" s="1" t="n">
        <v>45916</v>
      </c>
      <c r="C245" s="1" t="n">
        <v>46196</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44486-2025</t>
        </is>
      </c>
      <c r="B246" s="1" t="n">
        <v>45916</v>
      </c>
      <c r="C246" s="1" t="n">
        <v>46196</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59385-2025</t>
        </is>
      </c>
      <c r="B247" s="1" t="n">
        <v>45989</v>
      </c>
      <c r="C247" s="1" t="n">
        <v>46196</v>
      </c>
      <c r="D247" t="inlineStr">
        <is>
          <t>VÄSTMANLANDS LÄN</t>
        </is>
      </c>
      <c r="E247" t="inlineStr">
        <is>
          <t>SALA</t>
        </is>
      </c>
      <c r="G247" t="n">
        <v>0.4</v>
      </c>
      <c r="H247" t="n">
        <v>0</v>
      </c>
      <c r="I247" t="n">
        <v>0</v>
      </c>
      <c r="J247" t="n">
        <v>0</v>
      </c>
      <c r="K247" t="n">
        <v>0</v>
      </c>
      <c r="L247" t="n">
        <v>0</v>
      </c>
      <c r="M247" t="n">
        <v>0</v>
      </c>
      <c r="N247" t="n">
        <v>0</v>
      </c>
      <c r="O247" t="n">
        <v>0</v>
      </c>
      <c r="P247" t="n">
        <v>0</v>
      </c>
      <c r="Q247" t="n">
        <v>0</v>
      </c>
      <c r="R247" s="2" t="inlineStr"/>
    </row>
    <row r="248" ht="15" customHeight="1">
      <c r="A248" t="inlineStr">
        <is>
          <t>A 59390-2025</t>
        </is>
      </c>
      <c r="B248" s="1" t="n">
        <v>45989</v>
      </c>
      <c r="C248" s="1" t="n">
        <v>46196</v>
      </c>
      <c r="D248" t="inlineStr">
        <is>
          <t>VÄSTMANLANDS LÄN</t>
        </is>
      </c>
      <c r="E248" t="inlineStr">
        <is>
          <t>SALA</t>
        </is>
      </c>
      <c r="G248" t="n">
        <v>1.8</v>
      </c>
      <c r="H248" t="n">
        <v>0</v>
      </c>
      <c r="I248" t="n">
        <v>0</v>
      </c>
      <c r="J248" t="n">
        <v>0</v>
      </c>
      <c r="K248" t="n">
        <v>0</v>
      </c>
      <c r="L248" t="n">
        <v>0</v>
      </c>
      <c r="M248" t="n">
        <v>0</v>
      </c>
      <c r="N248" t="n">
        <v>0</v>
      </c>
      <c r="O248" t="n">
        <v>0</v>
      </c>
      <c r="P248" t="n">
        <v>0</v>
      </c>
      <c r="Q248" t="n">
        <v>0</v>
      </c>
      <c r="R248" s="2" t="inlineStr"/>
    </row>
    <row r="249" ht="15" customHeight="1">
      <c r="A249" t="inlineStr">
        <is>
          <t>A 31000-2022</t>
        </is>
      </c>
      <c r="B249" s="1" t="n">
        <v>44768</v>
      </c>
      <c r="C249" s="1" t="n">
        <v>46196</v>
      </c>
      <c r="D249" t="inlineStr">
        <is>
          <t>VÄSTMANLANDS LÄN</t>
        </is>
      </c>
      <c r="E249" t="inlineStr">
        <is>
          <t>SALA</t>
        </is>
      </c>
      <c r="G249" t="n">
        <v>5.7</v>
      </c>
      <c r="H249" t="n">
        <v>0</v>
      </c>
      <c r="I249" t="n">
        <v>0</v>
      </c>
      <c r="J249" t="n">
        <v>0</v>
      </c>
      <c r="K249" t="n">
        <v>0</v>
      </c>
      <c r="L249" t="n">
        <v>0</v>
      </c>
      <c r="M249" t="n">
        <v>0</v>
      </c>
      <c r="N249" t="n">
        <v>0</v>
      </c>
      <c r="O249" t="n">
        <v>0</v>
      </c>
      <c r="P249" t="n">
        <v>0</v>
      </c>
      <c r="Q249" t="n">
        <v>0</v>
      </c>
      <c r="R249" s="2" t="inlineStr"/>
    </row>
    <row r="250" ht="15" customHeight="1">
      <c r="A250" t="inlineStr">
        <is>
          <t>A 37183-2024</t>
        </is>
      </c>
      <c r="B250" s="1" t="n">
        <v>45539</v>
      </c>
      <c r="C250" s="1" t="n">
        <v>46196</v>
      </c>
      <c r="D250" t="inlineStr">
        <is>
          <t>VÄSTMANLANDS LÄN</t>
        </is>
      </c>
      <c r="E250" t="inlineStr">
        <is>
          <t>SALA</t>
        </is>
      </c>
      <c r="G250" t="n">
        <v>1.2</v>
      </c>
      <c r="H250" t="n">
        <v>0</v>
      </c>
      <c r="I250" t="n">
        <v>0</v>
      </c>
      <c r="J250" t="n">
        <v>0</v>
      </c>
      <c r="K250" t="n">
        <v>0</v>
      </c>
      <c r="L250" t="n">
        <v>0</v>
      </c>
      <c r="M250" t="n">
        <v>0</v>
      </c>
      <c r="N250" t="n">
        <v>0</v>
      </c>
      <c r="O250" t="n">
        <v>0</v>
      </c>
      <c r="P250" t="n">
        <v>0</v>
      </c>
      <c r="Q250" t="n">
        <v>0</v>
      </c>
      <c r="R250" s="2" t="inlineStr"/>
    </row>
    <row r="251" ht="15" customHeight="1">
      <c r="A251" t="inlineStr">
        <is>
          <t>A 59926-2025</t>
        </is>
      </c>
      <c r="B251" s="1" t="n">
        <v>45993</v>
      </c>
      <c r="C251" s="1" t="n">
        <v>46196</v>
      </c>
      <c r="D251" t="inlineStr">
        <is>
          <t>VÄSTMANLANDS LÄN</t>
        </is>
      </c>
      <c r="E251" t="inlineStr">
        <is>
          <t>SALA</t>
        </is>
      </c>
      <c r="G251" t="n">
        <v>7.1</v>
      </c>
      <c r="H251" t="n">
        <v>0</v>
      </c>
      <c r="I251" t="n">
        <v>0</v>
      </c>
      <c r="J251" t="n">
        <v>0</v>
      </c>
      <c r="K251" t="n">
        <v>0</v>
      </c>
      <c r="L251" t="n">
        <v>0</v>
      </c>
      <c r="M251" t="n">
        <v>0</v>
      </c>
      <c r="N251" t="n">
        <v>0</v>
      </c>
      <c r="O251" t="n">
        <v>0</v>
      </c>
      <c r="P251" t="n">
        <v>0</v>
      </c>
      <c r="Q251" t="n">
        <v>0</v>
      </c>
      <c r="R251" s="2" t="inlineStr"/>
    </row>
    <row r="252" ht="15" customHeight="1">
      <c r="A252" t="inlineStr">
        <is>
          <t>A 45371-2025</t>
        </is>
      </c>
      <c r="B252" s="1" t="n">
        <v>45922</v>
      </c>
      <c r="C252" s="1" t="n">
        <v>46196</v>
      </c>
      <c r="D252" t="inlineStr">
        <is>
          <t>VÄSTMANLANDS LÄN</t>
        </is>
      </c>
      <c r="E252" t="inlineStr">
        <is>
          <t>SALA</t>
        </is>
      </c>
      <c r="G252" t="n">
        <v>2.1</v>
      </c>
      <c r="H252" t="n">
        <v>0</v>
      </c>
      <c r="I252" t="n">
        <v>0</v>
      </c>
      <c r="J252" t="n">
        <v>0</v>
      </c>
      <c r="K252" t="n">
        <v>0</v>
      </c>
      <c r="L252" t="n">
        <v>0</v>
      </c>
      <c r="M252" t="n">
        <v>0</v>
      </c>
      <c r="N252" t="n">
        <v>0</v>
      </c>
      <c r="O252" t="n">
        <v>0</v>
      </c>
      <c r="P252" t="n">
        <v>0</v>
      </c>
      <c r="Q252" t="n">
        <v>0</v>
      </c>
      <c r="R252" s="2" t="inlineStr"/>
    </row>
    <row r="253" ht="15" customHeight="1">
      <c r="A253" t="inlineStr">
        <is>
          <t>A 27229-2022</t>
        </is>
      </c>
      <c r="B253" s="1" t="n">
        <v>44741</v>
      </c>
      <c r="C253" s="1" t="n">
        <v>46196</v>
      </c>
      <c r="D253" t="inlineStr">
        <is>
          <t>VÄSTMANLANDS LÄN</t>
        </is>
      </c>
      <c r="E253" t="inlineStr">
        <is>
          <t>SALA</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60017-2025</t>
        </is>
      </c>
      <c r="B254" s="1" t="n">
        <v>45993</v>
      </c>
      <c r="C254" s="1" t="n">
        <v>46196</v>
      </c>
      <c r="D254" t="inlineStr">
        <is>
          <t>VÄSTMANLANDS LÄN</t>
        </is>
      </c>
      <c r="E254" t="inlineStr">
        <is>
          <t>SALA</t>
        </is>
      </c>
      <c r="G254" t="n">
        <v>4.4</v>
      </c>
      <c r="H254" t="n">
        <v>0</v>
      </c>
      <c r="I254" t="n">
        <v>0</v>
      </c>
      <c r="J254" t="n">
        <v>0</v>
      </c>
      <c r="K254" t="n">
        <v>0</v>
      </c>
      <c r="L254" t="n">
        <v>0</v>
      </c>
      <c r="M254" t="n">
        <v>0</v>
      </c>
      <c r="N254" t="n">
        <v>0</v>
      </c>
      <c r="O254" t="n">
        <v>0</v>
      </c>
      <c r="P254" t="n">
        <v>0</v>
      </c>
      <c r="Q254" t="n">
        <v>0</v>
      </c>
      <c r="R254" s="2" t="inlineStr"/>
    </row>
    <row r="255" ht="15" customHeight="1">
      <c r="A255" t="inlineStr">
        <is>
          <t>A 60254-2025</t>
        </is>
      </c>
      <c r="B255" s="1" t="n">
        <v>45994</v>
      </c>
      <c r="C255" s="1" t="n">
        <v>46196</v>
      </c>
      <c r="D255" t="inlineStr">
        <is>
          <t>VÄSTMANLANDS LÄN</t>
        </is>
      </c>
      <c r="E255" t="inlineStr">
        <is>
          <t>SALA</t>
        </is>
      </c>
      <c r="G255" t="n">
        <v>1.7</v>
      </c>
      <c r="H255" t="n">
        <v>0</v>
      </c>
      <c r="I255" t="n">
        <v>0</v>
      </c>
      <c r="J255" t="n">
        <v>0</v>
      </c>
      <c r="K255" t="n">
        <v>0</v>
      </c>
      <c r="L255" t="n">
        <v>0</v>
      </c>
      <c r="M255" t="n">
        <v>0</v>
      </c>
      <c r="N255" t="n">
        <v>0</v>
      </c>
      <c r="O255" t="n">
        <v>0</v>
      </c>
      <c r="P255" t="n">
        <v>0</v>
      </c>
      <c r="Q255" t="n">
        <v>0</v>
      </c>
      <c r="R255" s="2" t="inlineStr"/>
    </row>
    <row r="256" ht="15" customHeight="1">
      <c r="A256" t="inlineStr">
        <is>
          <t>A 60259-2025</t>
        </is>
      </c>
      <c r="B256" s="1" t="n">
        <v>45994</v>
      </c>
      <c r="C256" s="1" t="n">
        <v>46196</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29248-2022</t>
        </is>
      </c>
      <c r="B257" s="1" t="n">
        <v>44750</v>
      </c>
      <c r="C257" s="1" t="n">
        <v>46196</v>
      </c>
      <c r="D257" t="inlineStr">
        <is>
          <t>VÄSTMANLANDS LÄN</t>
        </is>
      </c>
      <c r="E257" t="inlineStr">
        <is>
          <t>SALA</t>
        </is>
      </c>
      <c r="G257" t="n">
        <v>1.6</v>
      </c>
      <c r="H257" t="n">
        <v>0</v>
      </c>
      <c r="I257" t="n">
        <v>0</v>
      </c>
      <c r="J257" t="n">
        <v>0</v>
      </c>
      <c r="K257" t="n">
        <v>0</v>
      </c>
      <c r="L257" t="n">
        <v>0</v>
      </c>
      <c r="M257" t="n">
        <v>0</v>
      </c>
      <c r="N257" t="n">
        <v>0</v>
      </c>
      <c r="O257" t="n">
        <v>0</v>
      </c>
      <c r="P257" t="n">
        <v>0</v>
      </c>
      <c r="Q257" t="n">
        <v>0</v>
      </c>
      <c r="R257" s="2" t="inlineStr"/>
    </row>
    <row r="258" ht="15" customHeight="1">
      <c r="A258" t="inlineStr">
        <is>
          <t>A 22397-2022</t>
        </is>
      </c>
      <c r="B258" s="1" t="n">
        <v>44713</v>
      </c>
      <c r="C258" s="1" t="n">
        <v>46196</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46915-2025</t>
        </is>
      </c>
      <c r="B259" s="1" t="n">
        <v>45929</v>
      </c>
      <c r="C259" s="1" t="n">
        <v>46196</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60258-2025</t>
        </is>
      </c>
      <c r="B260" s="1" t="n">
        <v>45994</v>
      </c>
      <c r="C260" s="1" t="n">
        <v>46196</v>
      </c>
      <c r="D260" t="inlineStr">
        <is>
          <t>VÄSTMANLANDS LÄN</t>
        </is>
      </c>
      <c r="E260" t="inlineStr">
        <is>
          <t>SALA</t>
        </is>
      </c>
      <c r="G260" t="n">
        <v>2.2</v>
      </c>
      <c r="H260" t="n">
        <v>0</v>
      </c>
      <c r="I260" t="n">
        <v>0</v>
      </c>
      <c r="J260" t="n">
        <v>0</v>
      </c>
      <c r="K260" t="n">
        <v>0</v>
      </c>
      <c r="L260" t="n">
        <v>0</v>
      </c>
      <c r="M260" t="n">
        <v>0</v>
      </c>
      <c r="N260" t="n">
        <v>0</v>
      </c>
      <c r="O260" t="n">
        <v>0</v>
      </c>
      <c r="P260" t="n">
        <v>0</v>
      </c>
      <c r="Q260" t="n">
        <v>0</v>
      </c>
      <c r="R260" s="2" t="inlineStr"/>
    </row>
    <row r="261" ht="15" customHeight="1">
      <c r="A261" t="inlineStr">
        <is>
          <t>A 28863-2022</t>
        </is>
      </c>
      <c r="B261" s="1" t="n">
        <v>44749</v>
      </c>
      <c r="C261" s="1" t="n">
        <v>46196</v>
      </c>
      <c r="D261" t="inlineStr">
        <is>
          <t>VÄSTMANLANDS LÄN</t>
        </is>
      </c>
      <c r="E261" t="inlineStr">
        <is>
          <t>SALA</t>
        </is>
      </c>
      <c r="G261" t="n">
        <v>1.6</v>
      </c>
      <c r="H261" t="n">
        <v>0</v>
      </c>
      <c r="I261" t="n">
        <v>0</v>
      </c>
      <c r="J261" t="n">
        <v>0</v>
      </c>
      <c r="K261" t="n">
        <v>0</v>
      </c>
      <c r="L261" t="n">
        <v>0</v>
      </c>
      <c r="M261" t="n">
        <v>0</v>
      </c>
      <c r="N261" t="n">
        <v>0</v>
      </c>
      <c r="O261" t="n">
        <v>0</v>
      </c>
      <c r="P261" t="n">
        <v>0</v>
      </c>
      <c r="Q261" t="n">
        <v>0</v>
      </c>
      <c r="R261" s="2" t="inlineStr"/>
    </row>
    <row r="262" ht="15" customHeight="1">
      <c r="A262" t="inlineStr">
        <is>
          <t>A 60246-2025</t>
        </is>
      </c>
      <c r="B262" s="1" t="n">
        <v>45994</v>
      </c>
      <c r="C262" s="1" t="n">
        <v>46196</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46597-2025</t>
        </is>
      </c>
      <c r="B263" s="1" t="n">
        <v>45926</v>
      </c>
      <c r="C263" s="1" t="n">
        <v>46196</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47577-2025</t>
        </is>
      </c>
      <c r="B264" s="1" t="n">
        <v>45931</v>
      </c>
      <c r="C264" s="1" t="n">
        <v>46196</v>
      </c>
      <c r="D264" t="inlineStr">
        <is>
          <t>VÄSTMANLANDS LÄN</t>
        </is>
      </c>
      <c r="E264" t="inlineStr">
        <is>
          <t>SALA</t>
        </is>
      </c>
      <c r="G264" t="n">
        <v>3.7</v>
      </c>
      <c r="H264" t="n">
        <v>0</v>
      </c>
      <c r="I264" t="n">
        <v>0</v>
      </c>
      <c r="J264" t="n">
        <v>0</v>
      </c>
      <c r="K264" t="n">
        <v>0</v>
      </c>
      <c r="L264" t="n">
        <v>0</v>
      </c>
      <c r="M264" t="n">
        <v>0</v>
      </c>
      <c r="N264" t="n">
        <v>0</v>
      </c>
      <c r="O264" t="n">
        <v>0</v>
      </c>
      <c r="P264" t="n">
        <v>0</v>
      </c>
      <c r="Q264" t="n">
        <v>0</v>
      </c>
      <c r="R264" s="2" t="inlineStr"/>
    </row>
    <row r="265" ht="15" customHeight="1">
      <c r="A265" t="inlineStr">
        <is>
          <t>A 46661-2025</t>
        </is>
      </c>
      <c r="B265" s="1" t="n">
        <v>45926</v>
      </c>
      <c r="C265" s="1" t="n">
        <v>46196</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14919-2025</t>
        </is>
      </c>
      <c r="B266" s="1" t="n">
        <v>45743</v>
      </c>
      <c r="C266" s="1" t="n">
        <v>46196</v>
      </c>
      <c r="D266" t="inlineStr">
        <is>
          <t>VÄSTMANLANDS LÄN</t>
        </is>
      </c>
      <c r="E266" t="inlineStr">
        <is>
          <t>SALA</t>
        </is>
      </c>
      <c r="G266" t="n">
        <v>0.6</v>
      </c>
      <c r="H266" t="n">
        <v>0</v>
      </c>
      <c r="I266" t="n">
        <v>0</v>
      </c>
      <c r="J266" t="n">
        <v>0</v>
      </c>
      <c r="K266" t="n">
        <v>0</v>
      </c>
      <c r="L266" t="n">
        <v>0</v>
      </c>
      <c r="M266" t="n">
        <v>0</v>
      </c>
      <c r="N266" t="n">
        <v>0</v>
      </c>
      <c r="O266" t="n">
        <v>0</v>
      </c>
      <c r="P266" t="n">
        <v>0</v>
      </c>
      <c r="Q266" t="n">
        <v>0</v>
      </c>
      <c r="R266" s="2" t="inlineStr"/>
    </row>
    <row r="267" ht="15" customHeight="1">
      <c r="A267" t="inlineStr">
        <is>
          <t>A 14920-2025</t>
        </is>
      </c>
      <c r="B267" s="1" t="n">
        <v>45743</v>
      </c>
      <c r="C267" s="1" t="n">
        <v>46196</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40398-2021</t>
        </is>
      </c>
      <c r="B268" s="1" t="n">
        <v>44419</v>
      </c>
      <c r="C268" s="1" t="n">
        <v>46196</v>
      </c>
      <c r="D268" t="inlineStr">
        <is>
          <t>VÄSTMANLANDS LÄN</t>
        </is>
      </c>
      <c r="E268" t="inlineStr">
        <is>
          <t>SALA</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43362-2023</t>
        </is>
      </c>
      <c r="B269" s="1" t="n">
        <v>45183</v>
      </c>
      <c r="C269" s="1" t="n">
        <v>46196</v>
      </c>
      <c r="D269" t="inlineStr">
        <is>
          <t>VÄSTMANLANDS LÄN</t>
        </is>
      </c>
      <c r="E269" t="inlineStr">
        <is>
          <t>SALA</t>
        </is>
      </c>
      <c r="G269" t="n">
        <v>2</v>
      </c>
      <c r="H269" t="n">
        <v>0</v>
      </c>
      <c r="I269" t="n">
        <v>0</v>
      </c>
      <c r="J269" t="n">
        <v>0</v>
      </c>
      <c r="K269" t="n">
        <v>0</v>
      </c>
      <c r="L269" t="n">
        <v>0</v>
      </c>
      <c r="M269" t="n">
        <v>0</v>
      </c>
      <c r="N269" t="n">
        <v>0</v>
      </c>
      <c r="O269" t="n">
        <v>0</v>
      </c>
      <c r="P269" t="n">
        <v>0</v>
      </c>
      <c r="Q269" t="n">
        <v>0</v>
      </c>
      <c r="R269" s="2" t="inlineStr"/>
    </row>
    <row r="270" ht="15" customHeight="1">
      <c r="A270" t="inlineStr">
        <is>
          <t>A 28284-2025</t>
        </is>
      </c>
      <c r="B270" s="1" t="n">
        <v>45818</v>
      </c>
      <c r="C270" s="1" t="n">
        <v>46196</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48710-2025</t>
        </is>
      </c>
      <c r="B271" s="1" t="n">
        <v>45936</v>
      </c>
      <c r="C271" s="1" t="n">
        <v>46196</v>
      </c>
      <c r="D271" t="inlineStr">
        <is>
          <t>VÄSTMANLANDS LÄN</t>
        </is>
      </c>
      <c r="E271" t="inlineStr">
        <is>
          <t>SALA</t>
        </is>
      </c>
      <c r="G271" t="n">
        <v>2.7</v>
      </c>
      <c r="H271" t="n">
        <v>0</v>
      </c>
      <c r="I271" t="n">
        <v>0</v>
      </c>
      <c r="J271" t="n">
        <v>0</v>
      </c>
      <c r="K271" t="n">
        <v>0</v>
      </c>
      <c r="L271" t="n">
        <v>0</v>
      </c>
      <c r="M271" t="n">
        <v>0</v>
      </c>
      <c r="N271" t="n">
        <v>0</v>
      </c>
      <c r="O271" t="n">
        <v>0</v>
      </c>
      <c r="P271" t="n">
        <v>0</v>
      </c>
      <c r="Q271" t="n">
        <v>0</v>
      </c>
      <c r="R271" s="2" t="inlineStr"/>
    </row>
    <row r="272" ht="15" customHeight="1">
      <c r="A272" t="inlineStr">
        <is>
          <t>A 2900-2023</t>
        </is>
      </c>
      <c r="B272" s="1" t="n">
        <v>44943</v>
      </c>
      <c r="C272" s="1" t="n">
        <v>46196</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62523-2025</t>
        </is>
      </c>
      <c r="B273" s="1" t="n">
        <v>46007</v>
      </c>
      <c r="C273" s="1" t="n">
        <v>46196</v>
      </c>
      <c r="D273" t="inlineStr">
        <is>
          <t>VÄSTMANLANDS LÄN</t>
        </is>
      </c>
      <c r="E273" t="inlineStr">
        <is>
          <t>SALA</t>
        </is>
      </c>
      <c r="G273" t="n">
        <v>1.5</v>
      </c>
      <c r="H273" t="n">
        <v>0</v>
      </c>
      <c r="I273" t="n">
        <v>0</v>
      </c>
      <c r="J273" t="n">
        <v>0</v>
      </c>
      <c r="K273" t="n">
        <v>0</v>
      </c>
      <c r="L273" t="n">
        <v>0</v>
      </c>
      <c r="M273" t="n">
        <v>0</v>
      </c>
      <c r="N273" t="n">
        <v>0</v>
      </c>
      <c r="O273" t="n">
        <v>0</v>
      </c>
      <c r="P273" t="n">
        <v>0</v>
      </c>
      <c r="Q273" t="n">
        <v>0</v>
      </c>
      <c r="R273" s="2" t="inlineStr"/>
    </row>
    <row r="274" ht="15" customHeight="1">
      <c r="A274" t="inlineStr">
        <is>
          <t>A 6030-2024</t>
        </is>
      </c>
      <c r="B274" s="1" t="n">
        <v>45336</v>
      </c>
      <c r="C274" s="1" t="n">
        <v>46196</v>
      </c>
      <c r="D274" t="inlineStr">
        <is>
          <t>VÄSTMANLANDS LÄN</t>
        </is>
      </c>
      <c r="E274" t="inlineStr">
        <is>
          <t>SALA</t>
        </is>
      </c>
      <c r="G274" t="n">
        <v>3.9</v>
      </c>
      <c r="H274" t="n">
        <v>0</v>
      </c>
      <c r="I274" t="n">
        <v>0</v>
      </c>
      <c r="J274" t="n">
        <v>0</v>
      </c>
      <c r="K274" t="n">
        <v>0</v>
      </c>
      <c r="L274" t="n">
        <v>0</v>
      </c>
      <c r="M274" t="n">
        <v>0</v>
      </c>
      <c r="N274" t="n">
        <v>0</v>
      </c>
      <c r="O274" t="n">
        <v>0</v>
      </c>
      <c r="P274" t="n">
        <v>0</v>
      </c>
      <c r="Q274" t="n">
        <v>0</v>
      </c>
      <c r="R274" s="2" t="inlineStr"/>
    </row>
    <row r="275" ht="15" customHeight="1">
      <c r="A275" t="inlineStr">
        <is>
          <t>A 52630-2022</t>
        </is>
      </c>
      <c r="B275" s="1" t="n">
        <v>44874</v>
      </c>
      <c r="C275" s="1" t="n">
        <v>46196</v>
      </c>
      <c r="D275" t="inlineStr">
        <is>
          <t>VÄSTMANLANDS LÄN</t>
        </is>
      </c>
      <c r="E275" t="inlineStr">
        <is>
          <t>SALA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29085-2025</t>
        </is>
      </c>
      <c r="B276" s="1" t="n">
        <v>45821</v>
      </c>
      <c r="C276" s="1" t="n">
        <v>46196</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63055-2025</t>
        </is>
      </c>
      <c r="B277" s="1" t="n">
        <v>46009</v>
      </c>
      <c r="C277" s="1" t="n">
        <v>46196</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49640-2025</t>
        </is>
      </c>
      <c r="B278" s="1" t="n">
        <v>45939</v>
      </c>
      <c r="C278" s="1" t="n">
        <v>46196</v>
      </c>
      <c r="D278" t="inlineStr">
        <is>
          <t>VÄSTMANLANDS LÄN</t>
        </is>
      </c>
      <c r="E278" t="inlineStr">
        <is>
          <t>SALA</t>
        </is>
      </c>
      <c r="F278" t="inlineStr">
        <is>
          <t>Kommuner</t>
        </is>
      </c>
      <c r="G278" t="n">
        <v>18.8</v>
      </c>
      <c r="H278" t="n">
        <v>0</v>
      </c>
      <c r="I278" t="n">
        <v>0</v>
      </c>
      <c r="J278" t="n">
        <v>0</v>
      </c>
      <c r="K278" t="n">
        <v>0</v>
      </c>
      <c r="L278" t="n">
        <v>0</v>
      </c>
      <c r="M278" t="n">
        <v>0</v>
      </c>
      <c r="N278" t="n">
        <v>0</v>
      </c>
      <c r="O278" t="n">
        <v>0</v>
      </c>
      <c r="P278" t="n">
        <v>0</v>
      </c>
      <c r="Q278" t="n">
        <v>0</v>
      </c>
      <c r="R278" s="2" t="inlineStr"/>
    </row>
    <row r="279" ht="15" customHeight="1">
      <c r="A279" t="inlineStr">
        <is>
          <t>A 63046-2025</t>
        </is>
      </c>
      <c r="B279" s="1" t="n">
        <v>46009</v>
      </c>
      <c r="C279" s="1" t="n">
        <v>46196</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2521-2025</t>
        </is>
      </c>
      <c r="B280" s="1" t="n">
        <v>45674</v>
      </c>
      <c r="C280" s="1" t="n">
        <v>46196</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60541-2024</t>
        </is>
      </c>
      <c r="B281" s="1" t="n">
        <v>45643</v>
      </c>
      <c r="C281" s="1" t="n">
        <v>46196</v>
      </c>
      <c r="D281" t="inlineStr">
        <is>
          <t>VÄSTMANLANDS LÄN</t>
        </is>
      </c>
      <c r="E281" t="inlineStr">
        <is>
          <t>SALA</t>
        </is>
      </c>
      <c r="G281" t="n">
        <v>10.6</v>
      </c>
      <c r="H281" t="n">
        <v>0</v>
      </c>
      <c r="I281" t="n">
        <v>0</v>
      </c>
      <c r="J281" t="n">
        <v>0</v>
      </c>
      <c r="K281" t="n">
        <v>0</v>
      </c>
      <c r="L281" t="n">
        <v>0</v>
      </c>
      <c r="M281" t="n">
        <v>0</v>
      </c>
      <c r="N281" t="n">
        <v>0</v>
      </c>
      <c r="O281" t="n">
        <v>0</v>
      </c>
      <c r="P281" t="n">
        <v>0</v>
      </c>
      <c r="Q281" t="n">
        <v>0</v>
      </c>
      <c r="R281" s="2" t="inlineStr"/>
    </row>
    <row r="282" ht="15" customHeight="1">
      <c r="A282" t="inlineStr">
        <is>
          <t>A 50119-2025</t>
        </is>
      </c>
      <c r="B282" s="1" t="n">
        <v>45943</v>
      </c>
      <c r="C282" s="1" t="n">
        <v>46196</v>
      </c>
      <c r="D282" t="inlineStr">
        <is>
          <t>VÄSTMANLANDS LÄN</t>
        </is>
      </c>
      <c r="E282" t="inlineStr">
        <is>
          <t>SALA</t>
        </is>
      </c>
      <c r="G282" t="n">
        <v>3.3</v>
      </c>
      <c r="H282" t="n">
        <v>0</v>
      </c>
      <c r="I282" t="n">
        <v>0</v>
      </c>
      <c r="J282" t="n">
        <v>0</v>
      </c>
      <c r="K282" t="n">
        <v>0</v>
      </c>
      <c r="L282" t="n">
        <v>0</v>
      </c>
      <c r="M282" t="n">
        <v>0</v>
      </c>
      <c r="N282" t="n">
        <v>0</v>
      </c>
      <c r="O282" t="n">
        <v>0</v>
      </c>
      <c r="P282" t="n">
        <v>0</v>
      </c>
      <c r="Q282" t="n">
        <v>0</v>
      </c>
      <c r="R282" s="2" t="inlineStr"/>
    </row>
    <row r="283" ht="15" customHeight="1">
      <c r="A283" t="inlineStr">
        <is>
          <t>A 50059-2025</t>
        </is>
      </c>
      <c r="B283" s="1" t="n">
        <v>45943</v>
      </c>
      <c r="C283" s="1" t="n">
        <v>46196</v>
      </c>
      <c r="D283" t="inlineStr">
        <is>
          <t>VÄSTMANLANDS LÄN</t>
        </is>
      </c>
      <c r="E283" t="inlineStr">
        <is>
          <t>SALA</t>
        </is>
      </c>
      <c r="G283" t="n">
        <v>4.4</v>
      </c>
      <c r="H283" t="n">
        <v>0</v>
      </c>
      <c r="I283" t="n">
        <v>0</v>
      </c>
      <c r="J283" t="n">
        <v>0</v>
      </c>
      <c r="K283" t="n">
        <v>0</v>
      </c>
      <c r="L283" t="n">
        <v>0</v>
      </c>
      <c r="M283" t="n">
        <v>0</v>
      </c>
      <c r="N283" t="n">
        <v>0</v>
      </c>
      <c r="O283" t="n">
        <v>0</v>
      </c>
      <c r="P283" t="n">
        <v>0</v>
      </c>
      <c r="Q283" t="n">
        <v>0</v>
      </c>
      <c r="R283" s="2" t="inlineStr"/>
    </row>
    <row r="284" ht="15" customHeight="1">
      <c r="A284" t="inlineStr">
        <is>
          <t>A 63749-2025</t>
        </is>
      </c>
      <c r="B284" s="1" t="n">
        <v>46017</v>
      </c>
      <c r="C284" s="1" t="n">
        <v>46196</v>
      </c>
      <c r="D284" t="inlineStr">
        <is>
          <t>VÄSTMANLANDS LÄN</t>
        </is>
      </c>
      <c r="E284" t="inlineStr">
        <is>
          <t>SALA</t>
        </is>
      </c>
      <c r="G284" t="n">
        <v>1.5</v>
      </c>
      <c r="H284" t="n">
        <v>0</v>
      </c>
      <c r="I284" t="n">
        <v>0</v>
      </c>
      <c r="J284" t="n">
        <v>0</v>
      </c>
      <c r="K284" t="n">
        <v>0</v>
      </c>
      <c r="L284" t="n">
        <v>0</v>
      </c>
      <c r="M284" t="n">
        <v>0</v>
      </c>
      <c r="N284" t="n">
        <v>0</v>
      </c>
      <c r="O284" t="n">
        <v>0</v>
      </c>
      <c r="P284" t="n">
        <v>0</v>
      </c>
      <c r="Q284" t="n">
        <v>0</v>
      </c>
      <c r="R284" s="2" t="inlineStr"/>
    </row>
    <row r="285" ht="15" customHeight="1">
      <c r="A285" t="inlineStr">
        <is>
          <t>A 63748-2025</t>
        </is>
      </c>
      <c r="B285" s="1" t="n">
        <v>46017</v>
      </c>
      <c r="C285" s="1" t="n">
        <v>46196</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29826-2025</t>
        </is>
      </c>
      <c r="B286" s="1" t="n">
        <v>45825</v>
      </c>
      <c r="C286" s="1" t="n">
        <v>46196</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60548-2024</t>
        </is>
      </c>
      <c r="B287" s="1" t="n">
        <v>45643</v>
      </c>
      <c r="C287" s="1" t="n">
        <v>46196</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26761-2023</t>
        </is>
      </c>
      <c r="B288" s="1" t="n">
        <v>45093</v>
      </c>
      <c r="C288" s="1" t="n">
        <v>46196</v>
      </c>
      <c r="D288" t="inlineStr">
        <is>
          <t>VÄSTMANLANDS LÄN</t>
        </is>
      </c>
      <c r="E288" t="inlineStr">
        <is>
          <t>SALA</t>
        </is>
      </c>
      <c r="G288" t="n">
        <v>4.3</v>
      </c>
      <c r="H288" t="n">
        <v>0</v>
      </c>
      <c r="I288" t="n">
        <v>0</v>
      </c>
      <c r="J288" t="n">
        <v>0</v>
      </c>
      <c r="K288" t="n">
        <v>0</v>
      </c>
      <c r="L288" t="n">
        <v>0</v>
      </c>
      <c r="M288" t="n">
        <v>0</v>
      </c>
      <c r="N288" t="n">
        <v>0</v>
      </c>
      <c r="O288" t="n">
        <v>0</v>
      </c>
      <c r="P288" t="n">
        <v>0</v>
      </c>
      <c r="Q288" t="n">
        <v>0</v>
      </c>
      <c r="R288" s="2" t="inlineStr"/>
    </row>
    <row r="289" ht="15" customHeight="1">
      <c r="A289" t="inlineStr">
        <is>
          <t>A 910-2026</t>
        </is>
      </c>
      <c r="B289" s="1" t="n">
        <v>46030</v>
      </c>
      <c r="C289" s="1" t="n">
        <v>46196</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914-2026</t>
        </is>
      </c>
      <c r="B290" s="1" t="n">
        <v>46030</v>
      </c>
      <c r="C290" s="1" t="n">
        <v>46196</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948-2026</t>
        </is>
      </c>
      <c r="B291" s="1" t="n">
        <v>46030</v>
      </c>
      <c r="C291" s="1" t="n">
        <v>46196</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1705-2026</t>
        </is>
      </c>
      <c r="B292" s="1" t="n">
        <v>46034</v>
      </c>
      <c r="C292" s="1" t="n">
        <v>46196</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32286-2025</t>
        </is>
      </c>
      <c r="B293" s="1" t="n">
        <v>45835</v>
      </c>
      <c r="C293" s="1" t="n">
        <v>46196</v>
      </c>
      <c r="D293" t="inlineStr">
        <is>
          <t>VÄSTMANLANDS LÄN</t>
        </is>
      </c>
      <c r="E293" t="inlineStr">
        <is>
          <t>SALA</t>
        </is>
      </c>
      <c r="G293" t="n">
        <v>6.4</v>
      </c>
      <c r="H293" t="n">
        <v>0</v>
      </c>
      <c r="I293" t="n">
        <v>0</v>
      </c>
      <c r="J293" t="n">
        <v>0</v>
      </c>
      <c r="K293" t="n">
        <v>0</v>
      </c>
      <c r="L293" t="n">
        <v>0</v>
      </c>
      <c r="M293" t="n">
        <v>0</v>
      </c>
      <c r="N293" t="n">
        <v>0</v>
      </c>
      <c r="O293" t="n">
        <v>0</v>
      </c>
      <c r="P293" t="n">
        <v>0</v>
      </c>
      <c r="Q293" t="n">
        <v>0</v>
      </c>
      <c r="R293" s="2" t="inlineStr"/>
    </row>
    <row r="294" ht="15" customHeight="1">
      <c r="A294" t="inlineStr">
        <is>
          <t>A 55035-2023</t>
        </is>
      </c>
      <c r="B294" s="1" t="n">
        <v>45229</v>
      </c>
      <c r="C294" s="1" t="n">
        <v>46196</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60249-2023</t>
        </is>
      </c>
      <c r="B295" s="1" t="n">
        <v>45258</v>
      </c>
      <c r="C295" s="1" t="n">
        <v>46196</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34069-2025</t>
        </is>
      </c>
      <c r="B296" s="1" t="n">
        <v>45845</v>
      </c>
      <c r="C296" s="1" t="n">
        <v>46196</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c r="U296">
        <f>HYPERLINK("https://klasma.github.io/Logging_1981/knärot/A 34069-2025 karta knärot.png", "A 34069-2025")</f>
        <v/>
      </c>
      <c r="V296">
        <f>HYPERLINK("https://klasma.github.io/Logging_1981/klagomål/A 34069-2025 FSC-klagomål.docx", "A 34069-2025")</f>
        <v/>
      </c>
      <c r="W296">
        <f>HYPERLINK("https://klasma.github.io/Logging_1981/klagomålsmail/A 34069-2025 FSC-klagomål mail.docx", "A 34069-2025")</f>
        <v/>
      </c>
      <c r="X296">
        <f>HYPERLINK("https://klasma.github.io/Logging_1981/tillsyn/A 34069-2025 tillsynsbegäran.docx", "A 34069-2025")</f>
        <v/>
      </c>
      <c r="Y296">
        <f>HYPERLINK("https://klasma.github.io/Logging_1981/tillsynsmail/A 34069-2025 tillsynsbegäran mail.docx", "A 34069-2025")</f>
        <v/>
      </c>
    </row>
    <row r="297" ht="15" customHeight="1">
      <c r="A297" t="inlineStr">
        <is>
          <t>A 4214-2026</t>
        </is>
      </c>
      <c r="B297" s="1" t="n">
        <v>46044</v>
      </c>
      <c r="C297" s="1" t="n">
        <v>46196</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4664-2026</t>
        </is>
      </c>
      <c r="B298" s="1" t="n">
        <v>46048</v>
      </c>
      <c r="C298" s="1" t="n">
        <v>46196</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4683-2026</t>
        </is>
      </c>
      <c r="B299" s="1" t="n">
        <v>46048</v>
      </c>
      <c r="C299" s="1" t="n">
        <v>46196</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4624-2026</t>
        </is>
      </c>
      <c r="B300" s="1" t="n">
        <v>46048</v>
      </c>
      <c r="C300" s="1" t="n">
        <v>46196</v>
      </c>
      <c r="D300" t="inlineStr">
        <is>
          <t>VÄSTMANLANDS LÄN</t>
        </is>
      </c>
      <c r="E300" t="inlineStr">
        <is>
          <t>SALA</t>
        </is>
      </c>
      <c r="G300" t="n">
        <v>12.3</v>
      </c>
      <c r="H300" t="n">
        <v>0</v>
      </c>
      <c r="I300" t="n">
        <v>0</v>
      </c>
      <c r="J300" t="n">
        <v>0</v>
      </c>
      <c r="K300" t="n">
        <v>0</v>
      </c>
      <c r="L300" t="n">
        <v>0</v>
      </c>
      <c r="M300" t="n">
        <v>0</v>
      </c>
      <c r="N300" t="n">
        <v>0</v>
      </c>
      <c r="O300" t="n">
        <v>0</v>
      </c>
      <c r="P300" t="n">
        <v>0</v>
      </c>
      <c r="Q300" t="n">
        <v>0</v>
      </c>
      <c r="R300" s="2" t="inlineStr"/>
    </row>
    <row r="301" ht="15" customHeight="1">
      <c r="A301" t="inlineStr">
        <is>
          <t>A 5219-2026</t>
        </is>
      </c>
      <c r="B301" s="1" t="n">
        <v>46049</v>
      </c>
      <c r="C301" s="1" t="n">
        <v>46196</v>
      </c>
      <c r="D301" t="inlineStr">
        <is>
          <t>VÄSTMANLANDS LÄN</t>
        </is>
      </c>
      <c r="E301" t="inlineStr">
        <is>
          <t>SALA</t>
        </is>
      </c>
      <c r="G301" t="n">
        <v>1.9</v>
      </c>
      <c r="H301" t="n">
        <v>0</v>
      </c>
      <c r="I301" t="n">
        <v>0</v>
      </c>
      <c r="J301" t="n">
        <v>0</v>
      </c>
      <c r="K301" t="n">
        <v>0</v>
      </c>
      <c r="L301" t="n">
        <v>0</v>
      </c>
      <c r="M301" t="n">
        <v>0</v>
      </c>
      <c r="N301" t="n">
        <v>0</v>
      </c>
      <c r="O301" t="n">
        <v>0</v>
      </c>
      <c r="P301" t="n">
        <v>0</v>
      </c>
      <c r="Q301" t="n">
        <v>0</v>
      </c>
      <c r="R301" s="2" t="inlineStr"/>
    </row>
    <row r="302" ht="15" customHeight="1">
      <c r="A302" t="inlineStr">
        <is>
          <t>A 5418-2026</t>
        </is>
      </c>
      <c r="B302" s="1" t="n">
        <v>46050</v>
      </c>
      <c r="C302" s="1" t="n">
        <v>46196</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5894-2026</t>
        </is>
      </c>
      <c r="B303" s="1" t="n">
        <v>46052</v>
      </c>
      <c r="C303" s="1" t="n">
        <v>46196</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31597-2024</t>
        </is>
      </c>
      <c r="B304" s="1" t="n">
        <v>45506</v>
      </c>
      <c r="C304" s="1" t="n">
        <v>46196</v>
      </c>
      <c r="D304" t="inlineStr">
        <is>
          <t>VÄSTMANLANDS LÄN</t>
        </is>
      </c>
      <c r="E304" t="inlineStr">
        <is>
          <t>SALA</t>
        </is>
      </c>
      <c r="G304" t="n">
        <v>2.4</v>
      </c>
      <c r="H304" t="n">
        <v>0</v>
      </c>
      <c r="I304" t="n">
        <v>0</v>
      </c>
      <c r="J304" t="n">
        <v>0</v>
      </c>
      <c r="K304" t="n">
        <v>0</v>
      </c>
      <c r="L304" t="n">
        <v>0</v>
      </c>
      <c r="M304" t="n">
        <v>0</v>
      </c>
      <c r="N304" t="n">
        <v>0</v>
      </c>
      <c r="O304" t="n">
        <v>0</v>
      </c>
      <c r="P304" t="n">
        <v>0</v>
      </c>
      <c r="Q304" t="n">
        <v>0</v>
      </c>
      <c r="R304" s="2" t="inlineStr"/>
    </row>
    <row r="305" ht="15" customHeight="1">
      <c r="A305" t="inlineStr">
        <is>
          <t>A 31599-2024</t>
        </is>
      </c>
      <c r="B305" s="1" t="n">
        <v>45506</v>
      </c>
      <c r="C305" s="1" t="n">
        <v>46196</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31601-2024</t>
        </is>
      </c>
      <c r="B306" s="1" t="n">
        <v>45506</v>
      </c>
      <c r="C306" s="1" t="n">
        <v>46196</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31608-2024</t>
        </is>
      </c>
      <c r="B307" s="1" t="n">
        <v>45506</v>
      </c>
      <c r="C307" s="1" t="n">
        <v>46196</v>
      </c>
      <c r="D307" t="inlineStr">
        <is>
          <t>VÄSTMANLANDS LÄN</t>
        </is>
      </c>
      <c r="E307" t="inlineStr">
        <is>
          <t>SALA</t>
        </is>
      </c>
      <c r="G307" t="n">
        <v>1.7</v>
      </c>
      <c r="H307" t="n">
        <v>0</v>
      </c>
      <c r="I307" t="n">
        <v>0</v>
      </c>
      <c r="J307" t="n">
        <v>0</v>
      </c>
      <c r="K307" t="n">
        <v>0</v>
      </c>
      <c r="L307" t="n">
        <v>0</v>
      </c>
      <c r="M307" t="n">
        <v>0</v>
      </c>
      <c r="N307" t="n">
        <v>0</v>
      </c>
      <c r="O307" t="n">
        <v>0</v>
      </c>
      <c r="P307" t="n">
        <v>0</v>
      </c>
      <c r="Q307" t="n">
        <v>0</v>
      </c>
      <c r="R307" s="2" t="inlineStr"/>
    </row>
    <row r="308" ht="15" customHeight="1">
      <c r="A308" t="inlineStr">
        <is>
          <t>A 31612-2024</t>
        </is>
      </c>
      <c r="B308" s="1" t="n">
        <v>45506</v>
      </c>
      <c r="C308" s="1" t="n">
        <v>46196</v>
      </c>
      <c r="D308" t="inlineStr">
        <is>
          <t>VÄSTMANLANDS LÄN</t>
        </is>
      </c>
      <c r="E308" t="inlineStr">
        <is>
          <t>SALA</t>
        </is>
      </c>
      <c r="G308" t="n">
        <v>3.2</v>
      </c>
      <c r="H308" t="n">
        <v>0</v>
      </c>
      <c r="I308" t="n">
        <v>0</v>
      </c>
      <c r="J308" t="n">
        <v>0</v>
      </c>
      <c r="K308" t="n">
        <v>0</v>
      </c>
      <c r="L308" t="n">
        <v>0</v>
      </c>
      <c r="M308" t="n">
        <v>0</v>
      </c>
      <c r="N308" t="n">
        <v>0</v>
      </c>
      <c r="O308" t="n">
        <v>0</v>
      </c>
      <c r="P308" t="n">
        <v>0</v>
      </c>
      <c r="Q308" t="n">
        <v>0</v>
      </c>
      <c r="R308" s="2" t="inlineStr"/>
    </row>
    <row r="309" ht="15" customHeight="1">
      <c r="A309" t="inlineStr">
        <is>
          <t>A 52500-2024</t>
        </is>
      </c>
      <c r="B309" s="1" t="n">
        <v>45609</v>
      </c>
      <c r="C309" s="1" t="n">
        <v>46196</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36049-2025</t>
        </is>
      </c>
      <c r="B310" s="1" t="n">
        <v>45866</v>
      </c>
      <c r="C310" s="1" t="n">
        <v>46196</v>
      </c>
      <c r="D310" t="inlineStr">
        <is>
          <t>VÄSTMANLANDS LÄN</t>
        </is>
      </c>
      <c r="E310" t="inlineStr">
        <is>
          <t>SALA</t>
        </is>
      </c>
      <c r="F310" t="inlineStr">
        <is>
          <t>Kommuner</t>
        </is>
      </c>
      <c r="G310" t="n">
        <v>1.9</v>
      </c>
      <c r="H310" t="n">
        <v>0</v>
      </c>
      <c r="I310" t="n">
        <v>0</v>
      </c>
      <c r="J310" t="n">
        <v>0</v>
      </c>
      <c r="K310" t="n">
        <v>0</v>
      </c>
      <c r="L310" t="n">
        <v>0</v>
      </c>
      <c r="M310" t="n">
        <v>0</v>
      </c>
      <c r="N310" t="n">
        <v>0</v>
      </c>
      <c r="O310" t="n">
        <v>0</v>
      </c>
      <c r="P310" t="n">
        <v>0</v>
      </c>
      <c r="Q310" t="n">
        <v>0</v>
      </c>
      <c r="R310" s="2" t="inlineStr"/>
    </row>
    <row r="311" ht="15" customHeight="1">
      <c r="A311" t="inlineStr">
        <is>
          <t>A 36045-2025</t>
        </is>
      </c>
      <c r="B311" s="1" t="n">
        <v>45866</v>
      </c>
      <c r="C311" s="1" t="n">
        <v>46196</v>
      </c>
      <c r="D311" t="inlineStr">
        <is>
          <t>VÄSTMANLANDS LÄN</t>
        </is>
      </c>
      <c r="E311" t="inlineStr">
        <is>
          <t>SALA</t>
        </is>
      </c>
      <c r="F311" t="inlineStr">
        <is>
          <t>Kommuner</t>
        </is>
      </c>
      <c r="G311" t="n">
        <v>1.7</v>
      </c>
      <c r="H311" t="n">
        <v>0</v>
      </c>
      <c r="I311" t="n">
        <v>0</v>
      </c>
      <c r="J311" t="n">
        <v>0</v>
      </c>
      <c r="K311" t="n">
        <v>0</v>
      </c>
      <c r="L311" t="n">
        <v>0</v>
      </c>
      <c r="M311" t="n">
        <v>0</v>
      </c>
      <c r="N311" t="n">
        <v>0</v>
      </c>
      <c r="O311" t="n">
        <v>0</v>
      </c>
      <c r="P311" t="n">
        <v>0</v>
      </c>
      <c r="Q311" t="n">
        <v>0</v>
      </c>
      <c r="R311" s="2" t="inlineStr"/>
    </row>
    <row r="312" ht="15" customHeight="1">
      <c r="A312" t="inlineStr">
        <is>
          <t>A 31863-2025</t>
        </is>
      </c>
      <c r="B312" s="1" t="n">
        <v>45834</v>
      </c>
      <c r="C312" s="1" t="n">
        <v>46196</v>
      </c>
      <c r="D312" t="inlineStr">
        <is>
          <t>VÄSTMANLANDS LÄN</t>
        </is>
      </c>
      <c r="E312" t="inlineStr">
        <is>
          <t>SALA</t>
        </is>
      </c>
      <c r="G312" t="n">
        <v>2.5</v>
      </c>
      <c r="H312" t="n">
        <v>0</v>
      </c>
      <c r="I312" t="n">
        <v>0</v>
      </c>
      <c r="J312" t="n">
        <v>0</v>
      </c>
      <c r="K312" t="n">
        <v>0</v>
      </c>
      <c r="L312" t="n">
        <v>0</v>
      </c>
      <c r="M312" t="n">
        <v>0</v>
      </c>
      <c r="N312" t="n">
        <v>0</v>
      </c>
      <c r="O312" t="n">
        <v>0</v>
      </c>
      <c r="P312" t="n">
        <v>0</v>
      </c>
      <c r="Q312" t="n">
        <v>0</v>
      </c>
      <c r="R312" s="2" t="inlineStr"/>
    </row>
    <row r="313" ht="15" customHeight="1">
      <c r="A313" t="inlineStr">
        <is>
          <t>A 3546-2025</t>
        </is>
      </c>
      <c r="B313" s="1" t="n">
        <v>45680</v>
      </c>
      <c r="C313" s="1" t="n">
        <v>46196</v>
      </c>
      <c r="D313" t="inlineStr">
        <is>
          <t>VÄSTMANLANDS LÄN</t>
        </is>
      </c>
      <c r="E313" t="inlineStr">
        <is>
          <t>SALA</t>
        </is>
      </c>
      <c r="G313" t="n">
        <v>0.4</v>
      </c>
      <c r="H313" t="n">
        <v>0</v>
      </c>
      <c r="I313" t="n">
        <v>0</v>
      </c>
      <c r="J313" t="n">
        <v>0</v>
      </c>
      <c r="K313" t="n">
        <v>0</v>
      </c>
      <c r="L313" t="n">
        <v>0</v>
      </c>
      <c r="M313" t="n">
        <v>0</v>
      </c>
      <c r="N313" t="n">
        <v>0</v>
      </c>
      <c r="O313" t="n">
        <v>0</v>
      </c>
      <c r="P313" t="n">
        <v>0</v>
      </c>
      <c r="Q313" t="n">
        <v>0</v>
      </c>
      <c r="R313" s="2" t="inlineStr"/>
    </row>
    <row r="314" ht="15" customHeight="1">
      <c r="A314" t="inlineStr">
        <is>
          <t>A 31869-2025</t>
        </is>
      </c>
      <c r="B314" s="1" t="n">
        <v>45834</v>
      </c>
      <c r="C314" s="1" t="n">
        <v>46196</v>
      </c>
      <c r="D314" t="inlineStr">
        <is>
          <t>VÄSTMANLANDS LÄN</t>
        </is>
      </c>
      <c r="E314" t="inlineStr">
        <is>
          <t>SALA</t>
        </is>
      </c>
      <c r="G314" t="n">
        <v>17.5</v>
      </c>
      <c r="H314" t="n">
        <v>0</v>
      </c>
      <c r="I314" t="n">
        <v>0</v>
      </c>
      <c r="J314" t="n">
        <v>0</v>
      </c>
      <c r="K314" t="n">
        <v>0</v>
      </c>
      <c r="L314" t="n">
        <v>0</v>
      </c>
      <c r="M314" t="n">
        <v>0</v>
      </c>
      <c r="N314" t="n">
        <v>0</v>
      </c>
      <c r="O314" t="n">
        <v>0</v>
      </c>
      <c r="P314" t="n">
        <v>0</v>
      </c>
      <c r="Q314" t="n">
        <v>0</v>
      </c>
      <c r="R314" s="2" t="inlineStr"/>
    </row>
    <row r="315" ht="15" customHeight="1">
      <c r="A315" t="inlineStr">
        <is>
          <t>A 7664-2023</t>
        </is>
      </c>
      <c r="B315" s="1" t="n">
        <v>44972</v>
      </c>
      <c r="C315" s="1" t="n">
        <v>46196</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37017-2025</t>
        </is>
      </c>
      <c r="B316" s="1" t="n">
        <v>45874</v>
      </c>
      <c r="C316" s="1" t="n">
        <v>46196</v>
      </c>
      <c r="D316" t="inlineStr">
        <is>
          <t>VÄSTMANLANDS LÄN</t>
        </is>
      </c>
      <c r="E316" t="inlineStr">
        <is>
          <t>SALA</t>
        </is>
      </c>
      <c r="G316" t="n">
        <v>11.1</v>
      </c>
      <c r="H316" t="n">
        <v>0</v>
      </c>
      <c r="I316" t="n">
        <v>0</v>
      </c>
      <c r="J316" t="n">
        <v>0</v>
      </c>
      <c r="K316" t="n">
        <v>0</v>
      </c>
      <c r="L316" t="n">
        <v>0</v>
      </c>
      <c r="M316" t="n">
        <v>0</v>
      </c>
      <c r="N316" t="n">
        <v>0</v>
      </c>
      <c r="O316" t="n">
        <v>0</v>
      </c>
      <c r="P316" t="n">
        <v>0</v>
      </c>
      <c r="Q316" t="n">
        <v>0</v>
      </c>
      <c r="R316" s="2" t="inlineStr"/>
    </row>
    <row r="317" ht="15" customHeight="1">
      <c r="A317" t="inlineStr">
        <is>
          <t>A 96-2024</t>
        </is>
      </c>
      <c r="B317" s="1" t="n">
        <v>45293</v>
      </c>
      <c r="C317" s="1" t="n">
        <v>46196</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54118-2023</t>
        </is>
      </c>
      <c r="B318" s="1" t="n">
        <v>45232</v>
      </c>
      <c r="C318" s="1" t="n">
        <v>46196</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37246-2025</t>
        </is>
      </c>
      <c r="B319" s="1" t="n">
        <v>45876</v>
      </c>
      <c r="C319" s="1" t="n">
        <v>46196</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7327-2026</t>
        </is>
      </c>
      <c r="B320" s="1" t="n">
        <v>46058</v>
      </c>
      <c r="C320" s="1" t="n">
        <v>46196</v>
      </c>
      <c r="D320" t="inlineStr">
        <is>
          <t>VÄSTMANLANDS LÄN</t>
        </is>
      </c>
      <c r="E320" t="inlineStr">
        <is>
          <t>SALA</t>
        </is>
      </c>
      <c r="G320" t="n">
        <v>5.8</v>
      </c>
      <c r="H320" t="n">
        <v>0</v>
      </c>
      <c r="I320" t="n">
        <v>0</v>
      </c>
      <c r="J320" t="n">
        <v>0</v>
      </c>
      <c r="K320" t="n">
        <v>0</v>
      </c>
      <c r="L320" t="n">
        <v>0</v>
      </c>
      <c r="M320" t="n">
        <v>0</v>
      </c>
      <c r="N320" t="n">
        <v>0</v>
      </c>
      <c r="O320" t="n">
        <v>0</v>
      </c>
      <c r="P320" t="n">
        <v>0</v>
      </c>
      <c r="Q320" t="n">
        <v>0</v>
      </c>
      <c r="R320" s="2" t="inlineStr"/>
    </row>
    <row r="321" ht="15" customHeight="1">
      <c r="A321" t="inlineStr">
        <is>
          <t>A 7332-2026</t>
        </is>
      </c>
      <c r="B321" s="1" t="n">
        <v>46058</v>
      </c>
      <c r="C321" s="1" t="n">
        <v>46196</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7324-2026</t>
        </is>
      </c>
      <c r="B322" s="1" t="n">
        <v>46058</v>
      </c>
      <c r="C322" s="1" t="n">
        <v>46196</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7329-2026</t>
        </is>
      </c>
      <c r="B323" s="1" t="n">
        <v>46058</v>
      </c>
      <c r="C323" s="1" t="n">
        <v>46196</v>
      </c>
      <c r="D323" t="inlineStr">
        <is>
          <t>VÄSTMANLANDS LÄN</t>
        </is>
      </c>
      <c r="E323" t="inlineStr">
        <is>
          <t>SALA</t>
        </is>
      </c>
      <c r="G323" t="n">
        <v>3.1</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46196</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37590-2025</t>
        </is>
      </c>
      <c r="B325" s="1" t="n">
        <v>45880</v>
      </c>
      <c r="C325" s="1" t="n">
        <v>46196</v>
      </c>
      <c r="D325" t="inlineStr">
        <is>
          <t>VÄSTMANLANDS LÄN</t>
        </is>
      </c>
      <c r="E325" t="inlineStr">
        <is>
          <t>SALA</t>
        </is>
      </c>
      <c r="G325" t="n">
        <v>2.2</v>
      </c>
      <c r="H325" t="n">
        <v>0</v>
      </c>
      <c r="I325" t="n">
        <v>0</v>
      </c>
      <c r="J325" t="n">
        <v>0</v>
      </c>
      <c r="K325" t="n">
        <v>0</v>
      </c>
      <c r="L325" t="n">
        <v>0</v>
      </c>
      <c r="M325" t="n">
        <v>0</v>
      </c>
      <c r="N325" t="n">
        <v>0</v>
      </c>
      <c r="O325" t="n">
        <v>0</v>
      </c>
      <c r="P325" t="n">
        <v>0</v>
      </c>
      <c r="Q325" t="n">
        <v>0</v>
      </c>
      <c r="R325" s="2" t="inlineStr"/>
    </row>
    <row r="326" ht="15" customHeight="1">
      <c r="A326" t="inlineStr">
        <is>
          <t>A 7654-2026</t>
        </is>
      </c>
      <c r="B326" s="1" t="n">
        <v>46062</v>
      </c>
      <c r="C326" s="1" t="n">
        <v>46196</v>
      </c>
      <c r="D326" t="inlineStr">
        <is>
          <t>VÄSTMANLANDS LÄN</t>
        </is>
      </c>
      <c r="E326" t="inlineStr">
        <is>
          <t>SALA</t>
        </is>
      </c>
      <c r="G326" t="n">
        <v>4.5</v>
      </c>
      <c r="H326" t="n">
        <v>0</v>
      </c>
      <c r="I326" t="n">
        <v>0</v>
      </c>
      <c r="J326" t="n">
        <v>0</v>
      </c>
      <c r="K326" t="n">
        <v>0</v>
      </c>
      <c r="L326" t="n">
        <v>0</v>
      </c>
      <c r="M326" t="n">
        <v>0</v>
      </c>
      <c r="N326" t="n">
        <v>0</v>
      </c>
      <c r="O326" t="n">
        <v>0</v>
      </c>
      <c r="P326" t="n">
        <v>0</v>
      </c>
      <c r="Q326" t="n">
        <v>0</v>
      </c>
      <c r="R326" s="2" t="inlineStr"/>
    </row>
    <row r="327" ht="15" customHeight="1">
      <c r="A327" t="inlineStr">
        <is>
          <t>A 7588-2026</t>
        </is>
      </c>
      <c r="B327" s="1" t="n">
        <v>46061</v>
      </c>
      <c r="C327" s="1" t="n">
        <v>46196</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3733-2023</t>
        </is>
      </c>
      <c r="B328" s="1" t="n">
        <v>44951</v>
      </c>
      <c r="C328" s="1" t="n">
        <v>46196</v>
      </c>
      <c r="D328" t="inlineStr">
        <is>
          <t>VÄSTMANLANDS LÄN</t>
        </is>
      </c>
      <c r="E328" t="inlineStr">
        <is>
          <t>SALA</t>
        </is>
      </c>
      <c r="G328" t="n">
        <v>3.1</v>
      </c>
      <c r="H328" t="n">
        <v>0</v>
      </c>
      <c r="I328" t="n">
        <v>0</v>
      </c>
      <c r="J328" t="n">
        <v>0</v>
      </c>
      <c r="K328" t="n">
        <v>0</v>
      </c>
      <c r="L328" t="n">
        <v>0</v>
      </c>
      <c r="M328" t="n">
        <v>0</v>
      </c>
      <c r="N328" t="n">
        <v>0</v>
      </c>
      <c r="O328" t="n">
        <v>0</v>
      </c>
      <c r="P328" t="n">
        <v>0</v>
      </c>
      <c r="Q328" t="n">
        <v>0</v>
      </c>
      <c r="R328" s="2" t="inlineStr"/>
    </row>
    <row r="329" ht="15" customHeight="1">
      <c r="A329" t="inlineStr">
        <is>
          <t>A 7611-2026</t>
        </is>
      </c>
      <c r="B329" s="1" t="n">
        <v>46062</v>
      </c>
      <c r="C329" s="1" t="n">
        <v>46196</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7676-2026</t>
        </is>
      </c>
      <c r="B330" s="1" t="n">
        <v>46062</v>
      </c>
      <c r="C330" s="1" t="n">
        <v>46196</v>
      </c>
      <c r="D330" t="inlineStr">
        <is>
          <t>VÄSTMANLANDS LÄN</t>
        </is>
      </c>
      <c r="E330" t="inlineStr">
        <is>
          <t>SALA</t>
        </is>
      </c>
      <c r="G330" t="n">
        <v>2.1</v>
      </c>
      <c r="H330" t="n">
        <v>0</v>
      </c>
      <c r="I330" t="n">
        <v>0</v>
      </c>
      <c r="J330" t="n">
        <v>0</v>
      </c>
      <c r="K330" t="n">
        <v>0</v>
      </c>
      <c r="L330" t="n">
        <v>0</v>
      </c>
      <c r="M330" t="n">
        <v>0</v>
      </c>
      <c r="N330" t="n">
        <v>0</v>
      </c>
      <c r="O330" t="n">
        <v>0</v>
      </c>
      <c r="P330" t="n">
        <v>0</v>
      </c>
      <c r="Q330" t="n">
        <v>0</v>
      </c>
      <c r="R330" s="2" t="inlineStr"/>
    </row>
    <row r="331" ht="15" customHeight="1">
      <c r="A331" t="inlineStr">
        <is>
          <t>A 7593-2026</t>
        </is>
      </c>
      <c r="B331" s="1" t="n">
        <v>46061</v>
      </c>
      <c r="C331" s="1" t="n">
        <v>46196</v>
      </c>
      <c r="D331" t="inlineStr">
        <is>
          <t>VÄSTMANLANDS LÄN</t>
        </is>
      </c>
      <c r="E331" t="inlineStr">
        <is>
          <t>SALA</t>
        </is>
      </c>
      <c r="G331" t="n">
        <v>7.5</v>
      </c>
      <c r="H331" t="n">
        <v>0</v>
      </c>
      <c r="I331" t="n">
        <v>0</v>
      </c>
      <c r="J331" t="n">
        <v>0</v>
      </c>
      <c r="K331" t="n">
        <v>0</v>
      </c>
      <c r="L331" t="n">
        <v>0</v>
      </c>
      <c r="M331" t="n">
        <v>0</v>
      </c>
      <c r="N331" t="n">
        <v>0</v>
      </c>
      <c r="O331" t="n">
        <v>0</v>
      </c>
      <c r="P331" t="n">
        <v>0</v>
      </c>
      <c r="Q331" t="n">
        <v>0</v>
      </c>
      <c r="R331" s="2" t="inlineStr"/>
    </row>
    <row r="332" ht="15" customHeight="1">
      <c r="A332" t="inlineStr">
        <is>
          <t>A 7597-2026</t>
        </is>
      </c>
      <c r="B332" s="1" t="n">
        <v>46061</v>
      </c>
      <c r="C332" s="1" t="n">
        <v>46196</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7584-2026</t>
        </is>
      </c>
      <c r="B333" s="1" t="n">
        <v>46061</v>
      </c>
      <c r="C333" s="1" t="n">
        <v>46196</v>
      </c>
      <c r="D333" t="inlineStr">
        <is>
          <t>VÄSTMANLANDS LÄN</t>
        </is>
      </c>
      <c r="E333" t="inlineStr">
        <is>
          <t>SALA</t>
        </is>
      </c>
      <c r="G333" t="n">
        <v>16.7</v>
      </c>
      <c r="H333" t="n">
        <v>0</v>
      </c>
      <c r="I333" t="n">
        <v>0</v>
      </c>
      <c r="J333" t="n">
        <v>0</v>
      </c>
      <c r="K333" t="n">
        <v>0</v>
      </c>
      <c r="L333" t="n">
        <v>0</v>
      </c>
      <c r="M333" t="n">
        <v>0</v>
      </c>
      <c r="N333" t="n">
        <v>0</v>
      </c>
      <c r="O333" t="n">
        <v>0</v>
      </c>
      <c r="P333" t="n">
        <v>0</v>
      </c>
      <c r="Q333" t="n">
        <v>0</v>
      </c>
      <c r="R333" s="2" t="inlineStr"/>
    </row>
    <row r="334" ht="15" customHeight="1">
      <c r="A334" t="inlineStr">
        <is>
          <t>A 7590-2026</t>
        </is>
      </c>
      <c r="B334" s="1" t="n">
        <v>46061</v>
      </c>
      <c r="C334" s="1" t="n">
        <v>46196</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7596-2026</t>
        </is>
      </c>
      <c r="B335" s="1" t="n">
        <v>46061</v>
      </c>
      <c r="C335" s="1" t="n">
        <v>46196</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7595-2026</t>
        </is>
      </c>
      <c r="B336" s="1" t="n">
        <v>46061</v>
      </c>
      <c r="C336" s="1" t="n">
        <v>46196</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7680-2026</t>
        </is>
      </c>
      <c r="B337" s="1" t="n">
        <v>46062</v>
      </c>
      <c r="C337" s="1" t="n">
        <v>46196</v>
      </c>
      <c r="D337" t="inlineStr">
        <is>
          <t>VÄSTMANLANDS LÄN</t>
        </is>
      </c>
      <c r="E337" t="inlineStr">
        <is>
          <t>SALA</t>
        </is>
      </c>
      <c r="G337" t="n">
        <v>2.7</v>
      </c>
      <c r="H337" t="n">
        <v>0</v>
      </c>
      <c r="I337" t="n">
        <v>0</v>
      </c>
      <c r="J337" t="n">
        <v>0</v>
      </c>
      <c r="K337" t="n">
        <v>0</v>
      </c>
      <c r="L337" t="n">
        <v>0</v>
      </c>
      <c r="M337" t="n">
        <v>0</v>
      </c>
      <c r="N337" t="n">
        <v>0</v>
      </c>
      <c r="O337" t="n">
        <v>0</v>
      </c>
      <c r="P337" t="n">
        <v>0</v>
      </c>
      <c r="Q337" t="n">
        <v>0</v>
      </c>
      <c r="R337" s="2" t="inlineStr"/>
    </row>
    <row r="338" ht="15" customHeight="1">
      <c r="A338" t="inlineStr">
        <is>
          <t>A 43359-2024</t>
        </is>
      </c>
      <c r="B338" s="1" t="n">
        <v>45568</v>
      </c>
      <c r="C338" s="1" t="n">
        <v>46196</v>
      </c>
      <c r="D338" t="inlineStr">
        <is>
          <t>VÄSTMANLANDS LÄN</t>
        </is>
      </c>
      <c r="E338" t="inlineStr">
        <is>
          <t>SALA</t>
        </is>
      </c>
      <c r="G338" t="n">
        <v>1.6</v>
      </c>
      <c r="H338" t="n">
        <v>0</v>
      </c>
      <c r="I338" t="n">
        <v>0</v>
      </c>
      <c r="J338" t="n">
        <v>0</v>
      </c>
      <c r="K338" t="n">
        <v>0</v>
      </c>
      <c r="L338" t="n">
        <v>0</v>
      </c>
      <c r="M338" t="n">
        <v>0</v>
      </c>
      <c r="N338" t="n">
        <v>0</v>
      </c>
      <c r="O338" t="n">
        <v>0</v>
      </c>
      <c r="P338" t="n">
        <v>0</v>
      </c>
      <c r="Q338" t="n">
        <v>0</v>
      </c>
      <c r="R338" s="2" t="inlineStr"/>
    </row>
    <row r="339" ht="15" customHeight="1">
      <c r="A339" t="inlineStr">
        <is>
          <t>A 73673-2021</t>
        </is>
      </c>
      <c r="B339" s="1" t="n">
        <v>44552</v>
      </c>
      <c r="C339" s="1" t="n">
        <v>46196</v>
      </c>
      <c r="D339" t="inlineStr">
        <is>
          <t>VÄSTMANLANDS LÄN</t>
        </is>
      </c>
      <c r="E339" t="inlineStr">
        <is>
          <t>SALA</t>
        </is>
      </c>
      <c r="G339" t="n">
        <v>11.4</v>
      </c>
      <c r="H339" t="n">
        <v>0</v>
      </c>
      <c r="I339" t="n">
        <v>0</v>
      </c>
      <c r="J339" t="n">
        <v>0</v>
      </c>
      <c r="K339" t="n">
        <v>0</v>
      </c>
      <c r="L339" t="n">
        <v>0</v>
      </c>
      <c r="M339" t="n">
        <v>0</v>
      </c>
      <c r="N339" t="n">
        <v>0</v>
      </c>
      <c r="O339" t="n">
        <v>0</v>
      </c>
      <c r="P339" t="n">
        <v>0</v>
      </c>
      <c r="Q339" t="n">
        <v>0</v>
      </c>
      <c r="R339" s="2" t="inlineStr"/>
    </row>
    <row r="340" ht="15" customHeight="1">
      <c r="A340" t="inlineStr">
        <is>
          <t>A 10239-2026</t>
        </is>
      </c>
      <c r="B340" s="1" t="n">
        <v>46076</v>
      </c>
      <c r="C340" s="1" t="n">
        <v>46196</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10245-2026</t>
        </is>
      </c>
      <c r="B341" s="1" t="n">
        <v>46076</v>
      </c>
      <c r="C341" s="1" t="n">
        <v>46196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10252-2026</t>
        </is>
      </c>
      <c r="B342" s="1" t="n">
        <v>46076</v>
      </c>
      <c r="C342" s="1" t="n">
        <v>46196</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988-2025</t>
        </is>
      </c>
      <c r="B343" s="1" t="n">
        <v>45666</v>
      </c>
      <c r="C343" s="1" t="n">
        <v>46196</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60328-2024</t>
        </is>
      </c>
      <c r="B344" s="1" t="n">
        <v>45643</v>
      </c>
      <c r="C344" s="1" t="n">
        <v>46196</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35016-2024</t>
        </is>
      </c>
      <c r="B345" s="1" t="n">
        <v>45527</v>
      </c>
      <c r="C345" s="1" t="n">
        <v>46196</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25897-2024</t>
        </is>
      </c>
      <c r="B346" s="1" t="n">
        <v>45467</v>
      </c>
      <c r="C346" s="1" t="n">
        <v>46196</v>
      </c>
      <c r="D346" t="inlineStr">
        <is>
          <t>VÄSTMANLANDS LÄN</t>
        </is>
      </c>
      <c r="E346" t="inlineStr">
        <is>
          <t>SALA</t>
        </is>
      </c>
      <c r="G346" t="n">
        <v>9.9</v>
      </c>
      <c r="H346" t="n">
        <v>0</v>
      </c>
      <c r="I346" t="n">
        <v>0</v>
      </c>
      <c r="J346" t="n">
        <v>0</v>
      </c>
      <c r="K346" t="n">
        <v>0</v>
      </c>
      <c r="L346" t="n">
        <v>0</v>
      </c>
      <c r="M346" t="n">
        <v>0</v>
      </c>
      <c r="N346" t="n">
        <v>0</v>
      </c>
      <c r="O346" t="n">
        <v>0</v>
      </c>
      <c r="P346" t="n">
        <v>0</v>
      </c>
      <c r="Q346" t="n">
        <v>0</v>
      </c>
      <c r="R346" s="2" t="inlineStr"/>
    </row>
    <row r="347" ht="15" customHeight="1">
      <c r="A347" t="inlineStr">
        <is>
          <t>A 57371-2022</t>
        </is>
      </c>
      <c r="B347" s="1" t="n">
        <v>44896</v>
      </c>
      <c r="C347" s="1" t="n">
        <v>46196</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12144-2026</t>
        </is>
      </c>
      <c r="B348" s="1" t="n">
        <v>46086</v>
      </c>
      <c r="C348" s="1" t="n">
        <v>46196</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19803-2024</t>
        </is>
      </c>
      <c r="B349" s="1" t="n">
        <v>45432</v>
      </c>
      <c r="C349" s="1" t="n">
        <v>46196</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12497-2026</t>
        </is>
      </c>
      <c r="B350" s="1" t="n">
        <v>46090</v>
      </c>
      <c r="C350" s="1" t="n">
        <v>46196</v>
      </c>
      <c r="D350" t="inlineStr">
        <is>
          <t>VÄSTMANLANDS LÄN</t>
        </is>
      </c>
      <c r="E350" t="inlineStr">
        <is>
          <t>SALA</t>
        </is>
      </c>
      <c r="G350" t="n">
        <v>1.3</v>
      </c>
      <c r="H350" t="n">
        <v>0</v>
      </c>
      <c r="I350" t="n">
        <v>0</v>
      </c>
      <c r="J350" t="n">
        <v>0</v>
      </c>
      <c r="K350" t="n">
        <v>0</v>
      </c>
      <c r="L350" t="n">
        <v>0</v>
      </c>
      <c r="M350" t="n">
        <v>0</v>
      </c>
      <c r="N350" t="n">
        <v>0</v>
      </c>
      <c r="O350" t="n">
        <v>0</v>
      </c>
      <c r="P350" t="n">
        <v>0</v>
      </c>
      <c r="Q350" t="n">
        <v>0</v>
      </c>
      <c r="R350" s="2" t="inlineStr"/>
    </row>
    <row r="351" ht="15" customHeight="1">
      <c r="A351" t="inlineStr">
        <is>
          <t>A 40597-2022</t>
        </is>
      </c>
      <c r="B351" s="1" t="n">
        <v>44823</v>
      </c>
      <c r="C351" s="1" t="n">
        <v>46196</v>
      </c>
      <c r="D351" t="inlineStr">
        <is>
          <t>VÄSTMANLANDS LÄN</t>
        </is>
      </c>
      <c r="E351" t="inlineStr">
        <is>
          <t>SALA</t>
        </is>
      </c>
      <c r="G351" t="n">
        <v>3.5</v>
      </c>
      <c r="H351" t="n">
        <v>0</v>
      </c>
      <c r="I351" t="n">
        <v>0</v>
      </c>
      <c r="J351" t="n">
        <v>0</v>
      </c>
      <c r="K351" t="n">
        <v>0</v>
      </c>
      <c r="L351" t="n">
        <v>0</v>
      </c>
      <c r="M351" t="n">
        <v>0</v>
      </c>
      <c r="N351" t="n">
        <v>0</v>
      </c>
      <c r="O351" t="n">
        <v>0</v>
      </c>
      <c r="P351" t="n">
        <v>0</v>
      </c>
      <c r="Q351" t="n">
        <v>0</v>
      </c>
      <c r="R351" s="2" t="inlineStr"/>
    </row>
    <row r="352" ht="15" customHeight="1">
      <c r="A352" t="inlineStr">
        <is>
          <t>A 64925-2023</t>
        </is>
      </c>
      <c r="B352" s="1" t="n">
        <v>45282</v>
      </c>
      <c r="C352" s="1" t="n">
        <v>46196</v>
      </c>
      <c r="D352" t="inlineStr">
        <is>
          <t>VÄSTMANLANDS LÄN</t>
        </is>
      </c>
      <c r="E352" t="inlineStr">
        <is>
          <t>SALA</t>
        </is>
      </c>
      <c r="G352" t="n">
        <v>2.5</v>
      </c>
      <c r="H352" t="n">
        <v>0</v>
      </c>
      <c r="I352" t="n">
        <v>0</v>
      </c>
      <c r="J352" t="n">
        <v>0</v>
      </c>
      <c r="K352" t="n">
        <v>0</v>
      </c>
      <c r="L352" t="n">
        <v>0</v>
      </c>
      <c r="M352" t="n">
        <v>0</v>
      </c>
      <c r="N352" t="n">
        <v>0</v>
      </c>
      <c r="O352" t="n">
        <v>0</v>
      </c>
      <c r="P352" t="n">
        <v>0</v>
      </c>
      <c r="Q352" t="n">
        <v>0</v>
      </c>
      <c r="R352" s="2" t="inlineStr"/>
    </row>
    <row r="353" ht="15" customHeight="1">
      <c r="A353" t="inlineStr">
        <is>
          <t>A 13032-2026</t>
        </is>
      </c>
      <c r="B353" s="1" t="n">
        <v>46092</v>
      </c>
      <c r="C353" s="1" t="n">
        <v>46196</v>
      </c>
      <c r="D353" t="inlineStr">
        <is>
          <t>VÄSTMANLANDS LÄN</t>
        </is>
      </c>
      <c r="E353" t="inlineStr">
        <is>
          <t>SALA</t>
        </is>
      </c>
      <c r="G353" t="n">
        <v>3.4</v>
      </c>
      <c r="H353" t="n">
        <v>0</v>
      </c>
      <c r="I353" t="n">
        <v>0</v>
      </c>
      <c r="J353" t="n">
        <v>0</v>
      </c>
      <c r="K353" t="n">
        <v>0</v>
      </c>
      <c r="L353" t="n">
        <v>0</v>
      </c>
      <c r="M353" t="n">
        <v>0</v>
      </c>
      <c r="N353" t="n">
        <v>0</v>
      </c>
      <c r="O353" t="n">
        <v>0</v>
      </c>
      <c r="P353" t="n">
        <v>0</v>
      </c>
      <c r="Q353" t="n">
        <v>0</v>
      </c>
      <c r="R353" s="2" t="inlineStr"/>
    </row>
    <row r="354" ht="15" customHeight="1">
      <c r="A354" t="inlineStr">
        <is>
          <t>A 14000-2026</t>
        </is>
      </c>
      <c r="B354" s="1" t="n">
        <v>46098</v>
      </c>
      <c r="C354" s="1" t="n">
        <v>46196</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13996-2026</t>
        </is>
      </c>
      <c r="B355" s="1" t="n">
        <v>46098</v>
      </c>
      <c r="C355" s="1" t="n">
        <v>46196</v>
      </c>
      <c r="D355" t="inlineStr">
        <is>
          <t>VÄSTMANLANDS LÄN</t>
        </is>
      </c>
      <c r="E355" t="inlineStr">
        <is>
          <t>SALA</t>
        </is>
      </c>
      <c r="G355" t="n">
        <v>2.5</v>
      </c>
      <c r="H355" t="n">
        <v>0</v>
      </c>
      <c r="I355" t="n">
        <v>0</v>
      </c>
      <c r="J355" t="n">
        <v>0</v>
      </c>
      <c r="K355" t="n">
        <v>0</v>
      </c>
      <c r="L355" t="n">
        <v>0</v>
      </c>
      <c r="M355" t="n">
        <v>0</v>
      </c>
      <c r="N355" t="n">
        <v>0</v>
      </c>
      <c r="O355" t="n">
        <v>0</v>
      </c>
      <c r="P355" t="n">
        <v>0</v>
      </c>
      <c r="Q355" t="n">
        <v>0</v>
      </c>
      <c r="R355" s="2" t="inlineStr"/>
    </row>
    <row r="356" ht="15" customHeight="1">
      <c r="A356" t="inlineStr">
        <is>
          <t>A 52827-2024</t>
        </is>
      </c>
      <c r="B356" s="1" t="n">
        <v>45610</v>
      </c>
      <c r="C356" s="1" t="n">
        <v>46196</v>
      </c>
      <c r="D356" t="inlineStr">
        <is>
          <t>VÄSTMANLANDS LÄN</t>
        </is>
      </c>
      <c r="E356" t="inlineStr">
        <is>
          <t>SALA</t>
        </is>
      </c>
      <c r="G356" t="n">
        <v>0.2</v>
      </c>
      <c r="H356" t="n">
        <v>0</v>
      </c>
      <c r="I356" t="n">
        <v>0</v>
      </c>
      <c r="J356" t="n">
        <v>0</v>
      </c>
      <c r="K356" t="n">
        <v>0</v>
      </c>
      <c r="L356" t="n">
        <v>0</v>
      </c>
      <c r="M356" t="n">
        <v>0</v>
      </c>
      <c r="N356" t="n">
        <v>0</v>
      </c>
      <c r="O356" t="n">
        <v>0</v>
      </c>
      <c r="P356" t="n">
        <v>0</v>
      </c>
      <c r="Q356" t="n">
        <v>0</v>
      </c>
      <c r="R356" s="2" t="inlineStr"/>
    </row>
    <row r="357" ht="15" customHeight="1">
      <c r="A357" t="inlineStr">
        <is>
          <t>A 13639-2026</t>
        </is>
      </c>
      <c r="B357" s="1" t="n">
        <v>46097</v>
      </c>
      <c r="C357" s="1" t="n">
        <v>46196</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16328-2025</t>
        </is>
      </c>
      <c r="B358" s="1" t="n">
        <v>45751</v>
      </c>
      <c r="C358" s="1" t="n">
        <v>46196</v>
      </c>
      <c r="D358" t="inlineStr">
        <is>
          <t>VÄSTMANLANDS LÄN</t>
        </is>
      </c>
      <c r="E358" t="inlineStr">
        <is>
          <t>SALA</t>
        </is>
      </c>
      <c r="G358" t="n">
        <v>2.9</v>
      </c>
      <c r="H358" t="n">
        <v>0</v>
      </c>
      <c r="I358" t="n">
        <v>0</v>
      </c>
      <c r="J358" t="n">
        <v>0</v>
      </c>
      <c r="K358" t="n">
        <v>0</v>
      </c>
      <c r="L358" t="n">
        <v>0</v>
      </c>
      <c r="M358" t="n">
        <v>0</v>
      </c>
      <c r="N358" t="n">
        <v>0</v>
      </c>
      <c r="O358" t="n">
        <v>0</v>
      </c>
      <c r="P358" t="n">
        <v>0</v>
      </c>
      <c r="Q358" t="n">
        <v>0</v>
      </c>
      <c r="R358" s="2" t="inlineStr"/>
    </row>
    <row r="359" ht="15" customHeight="1">
      <c r="A359" t="inlineStr">
        <is>
          <t>A 14482-2026</t>
        </is>
      </c>
      <c r="B359" s="1" t="n">
        <v>46100</v>
      </c>
      <c r="C359" s="1" t="n">
        <v>46196</v>
      </c>
      <c r="D359" t="inlineStr">
        <is>
          <t>VÄSTMANLANDS LÄN</t>
        </is>
      </c>
      <c r="E359" t="inlineStr">
        <is>
          <t>SALA</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14484-2026</t>
        </is>
      </c>
      <c r="B360" s="1" t="n">
        <v>46100</v>
      </c>
      <c r="C360" s="1" t="n">
        <v>46196</v>
      </c>
      <c r="D360" t="inlineStr">
        <is>
          <t>VÄSTMANLANDS LÄN</t>
        </is>
      </c>
      <c r="E360" t="inlineStr">
        <is>
          <t>SALA</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14490-2026</t>
        </is>
      </c>
      <c r="B361" s="1" t="n">
        <v>46100</v>
      </c>
      <c r="C361" s="1" t="n">
        <v>46196</v>
      </c>
      <c r="D361" t="inlineStr">
        <is>
          <t>VÄSTMANLANDS LÄN</t>
        </is>
      </c>
      <c r="E361" t="inlineStr">
        <is>
          <t>SALA</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16354-2026</t>
        </is>
      </c>
      <c r="B362" s="1" t="n">
        <v>46111</v>
      </c>
      <c r="C362" s="1" t="n">
        <v>46196</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16367-2026</t>
        </is>
      </c>
      <c r="B363" s="1" t="n">
        <v>46111</v>
      </c>
      <c r="C363" s="1" t="n">
        <v>46196</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16369-2026</t>
        </is>
      </c>
      <c r="B364" s="1" t="n">
        <v>46111</v>
      </c>
      <c r="C364" s="1" t="n">
        <v>46196</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16598-2026</t>
        </is>
      </c>
      <c r="B365" s="1" t="n">
        <v>46112</v>
      </c>
      <c r="C365" s="1" t="n">
        <v>46196</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16364-2026</t>
        </is>
      </c>
      <c r="B366" s="1" t="n">
        <v>46111</v>
      </c>
      <c r="C366" s="1" t="n">
        <v>46196</v>
      </c>
      <c r="D366" t="inlineStr">
        <is>
          <t>VÄSTMANLANDS LÄN</t>
        </is>
      </c>
      <c r="E366" t="inlineStr">
        <is>
          <t>SALA</t>
        </is>
      </c>
      <c r="G366" t="n">
        <v>4.7</v>
      </c>
      <c r="H366" t="n">
        <v>0</v>
      </c>
      <c r="I366" t="n">
        <v>0</v>
      </c>
      <c r="J366" t="n">
        <v>0</v>
      </c>
      <c r="K366" t="n">
        <v>0</v>
      </c>
      <c r="L366" t="n">
        <v>0</v>
      </c>
      <c r="M366" t="n">
        <v>0</v>
      </c>
      <c r="N366" t="n">
        <v>0</v>
      </c>
      <c r="O366" t="n">
        <v>0</v>
      </c>
      <c r="P366" t="n">
        <v>0</v>
      </c>
      <c r="Q366" t="n">
        <v>0</v>
      </c>
      <c r="R366" s="2" t="inlineStr"/>
    </row>
    <row r="367" ht="15" customHeight="1">
      <c r="A367" t="inlineStr">
        <is>
          <t>A 66908-2021</t>
        </is>
      </c>
      <c r="B367" s="1" t="n">
        <v>44522</v>
      </c>
      <c r="C367" s="1" t="n">
        <v>46196</v>
      </c>
      <c r="D367" t="inlineStr">
        <is>
          <t>VÄSTMANLANDS LÄN</t>
        </is>
      </c>
      <c r="E367" t="inlineStr">
        <is>
          <t>SALA</t>
        </is>
      </c>
      <c r="G367" t="n">
        <v>2.6</v>
      </c>
      <c r="H367" t="n">
        <v>0</v>
      </c>
      <c r="I367" t="n">
        <v>0</v>
      </c>
      <c r="J367" t="n">
        <v>0</v>
      </c>
      <c r="K367" t="n">
        <v>0</v>
      </c>
      <c r="L367" t="n">
        <v>0</v>
      </c>
      <c r="M367" t="n">
        <v>0</v>
      </c>
      <c r="N367" t="n">
        <v>0</v>
      </c>
      <c r="O367" t="n">
        <v>0</v>
      </c>
      <c r="P367" t="n">
        <v>0</v>
      </c>
      <c r="Q367" t="n">
        <v>0</v>
      </c>
      <c r="R367" s="2" t="inlineStr"/>
    </row>
    <row r="368" ht="15" customHeight="1">
      <c r="A368" t="inlineStr">
        <is>
          <t>A 73835-2021</t>
        </is>
      </c>
      <c r="B368" s="1" t="n">
        <v>44552</v>
      </c>
      <c r="C368" s="1" t="n">
        <v>46196</v>
      </c>
      <c r="D368" t="inlineStr">
        <is>
          <t>VÄSTMANLANDS LÄN</t>
        </is>
      </c>
      <c r="E368" t="inlineStr">
        <is>
          <t>SALA</t>
        </is>
      </c>
      <c r="G368" t="n">
        <v>2</v>
      </c>
      <c r="H368" t="n">
        <v>0</v>
      </c>
      <c r="I368" t="n">
        <v>0</v>
      </c>
      <c r="J368" t="n">
        <v>0</v>
      </c>
      <c r="K368" t="n">
        <v>0</v>
      </c>
      <c r="L368" t="n">
        <v>0</v>
      </c>
      <c r="M368" t="n">
        <v>0</v>
      </c>
      <c r="N368" t="n">
        <v>0</v>
      </c>
      <c r="O368" t="n">
        <v>0</v>
      </c>
      <c r="P368" t="n">
        <v>0</v>
      </c>
      <c r="Q368" t="n">
        <v>0</v>
      </c>
      <c r="R368" s="2" t="inlineStr"/>
    </row>
    <row r="369" ht="15" customHeight="1">
      <c r="A369" t="inlineStr">
        <is>
          <t>A 22869-2026</t>
        </is>
      </c>
      <c r="B369" s="1" t="n">
        <v>46160</v>
      </c>
      <c r="C369" s="1" t="n">
        <v>46196</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12252-2023</t>
        </is>
      </c>
      <c r="B370" s="1" t="n">
        <v>44995</v>
      </c>
      <c r="C370" s="1" t="n">
        <v>46196</v>
      </c>
      <c r="D370" t="inlineStr">
        <is>
          <t>VÄSTMANLANDS LÄN</t>
        </is>
      </c>
      <c r="E370" t="inlineStr">
        <is>
          <t>SALA</t>
        </is>
      </c>
      <c r="G370" t="n">
        <v>2.6</v>
      </c>
      <c r="H370" t="n">
        <v>0</v>
      </c>
      <c r="I370" t="n">
        <v>0</v>
      </c>
      <c r="J370" t="n">
        <v>0</v>
      </c>
      <c r="K370" t="n">
        <v>0</v>
      </c>
      <c r="L370" t="n">
        <v>0</v>
      </c>
      <c r="M370" t="n">
        <v>0</v>
      </c>
      <c r="N370" t="n">
        <v>0</v>
      </c>
      <c r="O370" t="n">
        <v>0</v>
      </c>
      <c r="P370" t="n">
        <v>0</v>
      </c>
      <c r="Q370" t="n">
        <v>0</v>
      </c>
      <c r="R370" s="2" t="inlineStr"/>
    </row>
    <row r="371" ht="15" customHeight="1">
      <c r="A371" t="inlineStr">
        <is>
          <t>A 23578-2026</t>
        </is>
      </c>
      <c r="B371" s="1" t="n">
        <v>46163</v>
      </c>
      <c r="C371" s="1" t="n">
        <v>46196</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18382-2026</t>
        </is>
      </c>
      <c r="B372" s="1" t="n">
        <v>46126</v>
      </c>
      <c r="C372" s="1" t="n">
        <v>46196</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18592-2026</t>
        </is>
      </c>
      <c r="B373" s="1" t="n">
        <v>46127</v>
      </c>
      <c r="C373" s="1" t="n">
        <v>46196</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24292-2026</t>
        </is>
      </c>
      <c r="B374" s="1" t="n">
        <v>46169</v>
      </c>
      <c r="C374" s="1" t="n">
        <v>46196</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19376-2026</t>
        </is>
      </c>
      <c r="B375" s="1" t="n">
        <v>46133</v>
      </c>
      <c r="C375" s="1" t="n">
        <v>46196</v>
      </c>
      <c r="D375" t="inlineStr">
        <is>
          <t>VÄSTMANLANDS LÄN</t>
        </is>
      </c>
      <c r="E375" t="inlineStr">
        <is>
          <t>SALA</t>
        </is>
      </c>
      <c r="G375" t="n">
        <v>3.8</v>
      </c>
      <c r="H375" t="n">
        <v>0</v>
      </c>
      <c r="I375" t="n">
        <v>0</v>
      </c>
      <c r="J375" t="n">
        <v>0</v>
      </c>
      <c r="K375" t="n">
        <v>0</v>
      </c>
      <c r="L375" t="n">
        <v>0</v>
      </c>
      <c r="M375" t="n">
        <v>0</v>
      </c>
      <c r="N375" t="n">
        <v>0</v>
      </c>
      <c r="O375" t="n">
        <v>0</v>
      </c>
      <c r="P375" t="n">
        <v>0</v>
      </c>
      <c r="Q375" t="n">
        <v>0</v>
      </c>
      <c r="R375" s="2" t="inlineStr"/>
    </row>
    <row r="376" ht="15" customHeight="1">
      <c r="A376" t="inlineStr">
        <is>
          <t>A 19044-2026</t>
        </is>
      </c>
      <c r="B376" s="1" t="n">
        <v>46132</v>
      </c>
      <c r="C376" s="1" t="n">
        <v>46196</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24846-2026</t>
        </is>
      </c>
      <c r="B377" s="1" t="n">
        <v>46174</v>
      </c>
      <c r="C377" s="1" t="n">
        <v>46196</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25228-2026</t>
        </is>
      </c>
      <c r="B378" s="1" t="n">
        <v>46171</v>
      </c>
      <c r="C378" s="1" t="n">
        <v>46196</v>
      </c>
      <c r="D378" t="inlineStr">
        <is>
          <t>VÄSTMANLANDS LÄN</t>
        </is>
      </c>
      <c r="E378" t="inlineStr">
        <is>
          <t>SALA</t>
        </is>
      </c>
      <c r="G378" t="n">
        <v>1.2</v>
      </c>
      <c r="H378" t="n">
        <v>0</v>
      </c>
      <c r="I378" t="n">
        <v>0</v>
      </c>
      <c r="J378" t="n">
        <v>0</v>
      </c>
      <c r="K378" t="n">
        <v>0</v>
      </c>
      <c r="L378" t="n">
        <v>0</v>
      </c>
      <c r="M378" t="n">
        <v>0</v>
      </c>
      <c r="N378" t="n">
        <v>0</v>
      </c>
      <c r="O378" t="n">
        <v>0</v>
      </c>
      <c r="P378" t="n">
        <v>0</v>
      </c>
      <c r="Q378" t="n">
        <v>0</v>
      </c>
      <c r="R378" s="2" t="inlineStr"/>
    </row>
    <row r="379" ht="15" customHeight="1">
      <c r="A379" t="inlineStr">
        <is>
          <t>A 25227-2026</t>
        </is>
      </c>
      <c r="B379" s="1" t="n">
        <v>46171</v>
      </c>
      <c r="C379" s="1" t="n">
        <v>46196</v>
      </c>
      <c r="D379" t="inlineStr">
        <is>
          <t>VÄSTMANLANDS LÄN</t>
        </is>
      </c>
      <c r="E379" t="inlineStr">
        <is>
          <t>SALA</t>
        </is>
      </c>
      <c r="G379" t="n">
        <v>2.9</v>
      </c>
      <c r="H379" t="n">
        <v>0</v>
      </c>
      <c r="I379" t="n">
        <v>0</v>
      </c>
      <c r="J379" t="n">
        <v>0</v>
      </c>
      <c r="K379" t="n">
        <v>0</v>
      </c>
      <c r="L379" t="n">
        <v>0</v>
      </c>
      <c r="M379" t="n">
        <v>0</v>
      </c>
      <c r="N379" t="n">
        <v>0</v>
      </c>
      <c r="O379" t="n">
        <v>0</v>
      </c>
      <c r="P379" t="n">
        <v>0</v>
      </c>
      <c r="Q379" t="n">
        <v>0</v>
      </c>
      <c r="R379" s="2" t="inlineStr"/>
    </row>
    <row r="380" ht="15" customHeight="1">
      <c r="A380" t="inlineStr">
        <is>
          <t>A 6132-2025</t>
        </is>
      </c>
      <c r="B380" s="1" t="n">
        <v>45698</v>
      </c>
      <c r="C380" s="1" t="n">
        <v>46196</v>
      </c>
      <c r="D380" t="inlineStr">
        <is>
          <t>VÄSTMANLANDS LÄN</t>
        </is>
      </c>
      <c r="E380" t="inlineStr">
        <is>
          <t>SALA</t>
        </is>
      </c>
      <c r="F380" t="inlineStr">
        <is>
          <t>Bergvik skog öst AB</t>
        </is>
      </c>
      <c r="G380" t="n">
        <v>1.5</v>
      </c>
      <c r="H380" t="n">
        <v>0</v>
      </c>
      <c r="I380" t="n">
        <v>0</v>
      </c>
      <c r="J380" t="n">
        <v>0</v>
      </c>
      <c r="K380" t="n">
        <v>0</v>
      </c>
      <c r="L380" t="n">
        <v>0</v>
      </c>
      <c r="M380" t="n">
        <v>0</v>
      </c>
      <c r="N380" t="n">
        <v>0</v>
      </c>
      <c r="O380" t="n">
        <v>0</v>
      </c>
      <c r="P380" t="n">
        <v>0</v>
      </c>
      <c r="Q380" t="n">
        <v>0</v>
      </c>
      <c r="R380" s="2" t="inlineStr"/>
    </row>
    <row r="381" ht="15" customHeight="1">
      <c r="A381" t="inlineStr">
        <is>
          <t>A 39597-2022</t>
        </is>
      </c>
      <c r="B381" s="1" t="n">
        <v>44818</v>
      </c>
      <c r="C381" s="1" t="n">
        <v>46196</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39597-2022</t>
        </is>
      </c>
      <c r="B382" s="1" t="n">
        <v>44818</v>
      </c>
      <c r="C382" s="1" t="n">
        <v>46196</v>
      </c>
      <c r="D382" t="inlineStr">
        <is>
          <t>VÄSTMANLANDS LÄN</t>
        </is>
      </c>
      <c r="E382" t="inlineStr">
        <is>
          <t>SALA</t>
        </is>
      </c>
      <c r="G382" t="n">
        <v>2.3</v>
      </c>
      <c r="H382" t="n">
        <v>0</v>
      </c>
      <c r="I382" t="n">
        <v>0</v>
      </c>
      <c r="J382" t="n">
        <v>0</v>
      </c>
      <c r="K382" t="n">
        <v>0</v>
      </c>
      <c r="L382" t="n">
        <v>0</v>
      </c>
      <c r="M382" t="n">
        <v>0</v>
      </c>
      <c r="N382" t="n">
        <v>0</v>
      </c>
      <c r="O382" t="n">
        <v>0</v>
      </c>
      <c r="P382" t="n">
        <v>0</v>
      </c>
      <c r="Q382" t="n">
        <v>0</v>
      </c>
      <c r="R382" s="2" t="inlineStr"/>
    </row>
    <row r="383" ht="15" customHeight="1">
      <c r="A383" t="inlineStr">
        <is>
          <t>A 25260-2023</t>
        </is>
      </c>
      <c r="B383" s="1" t="n">
        <v>45086</v>
      </c>
      <c r="C383" s="1" t="n">
        <v>46196</v>
      </c>
      <c r="D383" t="inlineStr">
        <is>
          <t>VÄSTMANLANDS LÄN</t>
        </is>
      </c>
      <c r="E383" t="inlineStr">
        <is>
          <t>SALA</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57404-2024</t>
        </is>
      </c>
      <c r="B384" s="1" t="n">
        <v>45629</v>
      </c>
      <c r="C384" s="1" t="n">
        <v>46196</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43129-2025</t>
        </is>
      </c>
      <c r="B385" s="1" t="n">
        <v>45909</v>
      </c>
      <c r="C385" s="1" t="n">
        <v>46196</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40157-2021</t>
        </is>
      </c>
      <c r="B386" s="1" t="n">
        <v>44418</v>
      </c>
      <c r="C386" s="1" t="n">
        <v>46196</v>
      </c>
      <c r="D386" t="inlineStr">
        <is>
          <t>VÄSTMANLANDS LÄN</t>
        </is>
      </c>
      <c r="E386" t="inlineStr">
        <is>
          <t>SALA</t>
        </is>
      </c>
      <c r="G386" t="n">
        <v>1.7</v>
      </c>
      <c r="H386" t="n">
        <v>0</v>
      </c>
      <c r="I386" t="n">
        <v>0</v>
      </c>
      <c r="J386" t="n">
        <v>0</v>
      </c>
      <c r="K386" t="n">
        <v>0</v>
      </c>
      <c r="L386" t="n">
        <v>0</v>
      </c>
      <c r="M386" t="n">
        <v>0</v>
      </c>
      <c r="N386" t="n">
        <v>0</v>
      </c>
      <c r="O386" t="n">
        <v>0</v>
      </c>
      <c r="P386" t="n">
        <v>0</v>
      </c>
      <c r="Q386" t="n">
        <v>0</v>
      </c>
      <c r="R386" s="2" t="inlineStr"/>
    </row>
    <row r="387" ht="15" customHeight="1">
      <c r="A387" t="inlineStr">
        <is>
          <t>A 38636-2024</t>
        </is>
      </c>
      <c r="B387" s="1" t="n">
        <v>45546</v>
      </c>
      <c r="C387" s="1" t="n">
        <v>46196</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30866-2025</t>
        </is>
      </c>
      <c r="B388" s="1" t="n">
        <v>45832</v>
      </c>
      <c r="C388" s="1" t="n">
        <v>46196</v>
      </c>
      <c r="D388" t="inlineStr">
        <is>
          <t>VÄSTMANLANDS LÄN</t>
        </is>
      </c>
      <c r="E388" t="inlineStr">
        <is>
          <t>SALA</t>
        </is>
      </c>
      <c r="G388" t="n">
        <v>14.3</v>
      </c>
      <c r="H388" t="n">
        <v>0</v>
      </c>
      <c r="I388" t="n">
        <v>0</v>
      </c>
      <c r="J388" t="n">
        <v>0</v>
      </c>
      <c r="K388" t="n">
        <v>0</v>
      </c>
      <c r="L388" t="n">
        <v>0</v>
      </c>
      <c r="M388" t="n">
        <v>0</v>
      </c>
      <c r="N388" t="n">
        <v>0</v>
      </c>
      <c r="O388" t="n">
        <v>0</v>
      </c>
      <c r="P388" t="n">
        <v>0</v>
      </c>
      <c r="Q388" t="n">
        <v>0</v>
      </c>
      <c r="R388" s="2" t="inlineStr"/>
    </row>
    <row r="389" ht="15" customHeight="1">
      <c r="A389" t="inlineStr">
        <is>
          <t>A 13128-2023</t>
        </is>
      </c>
      <c r="B389" s="1" t="n">
        <v>45002</v>
      </c>
      <c r="C389" s="1" t="n">
        <v>46196</v>
      </c>
      <c r="D389" t="inlineStr">
        <is>
          <t>VÄSTMANLANDS LÄN</t>
        </is>
      </c>
      <c r="E389" t="inlineStr">
        <is>
          <t>SALA</t>
        </is>
      </c>
      <c r="G389" t="n">
        <v>7.9</v>
      </c>
      <c r="H389" t="n">
        <v>0</v>
      </c>
      <c r="I389" t="n">
        <v>0</v>
      </c>
      <c r="J389" t="n">
        <v>0</v>
      </c>
      <c r="K389" t="n">
        <v>0</v>
      </c>
      <c r="L389" t="n">
        <v>0</v>
      </c>
      <c r="M389" t="n">
        <v>0</v>
      </c>
      <c r="N389" t="n">
        <v>0</v>
      </c>
      <c r="O389" t="n">
        <v>0</v>
      </c>
      <c r="P389" t="n">
        <v>0</v>
      </c>
      <c r="Q389" t="n">
        <v>0</v>
      </c>
      <c r="R389" s="2" t="inlineStr"/>
    </row>
    <row r="390" ht="15" customHeight="1">
      <c r="A390" t="inlineStr">
        <is>
          <t>A 43122-2025</t>
        </is>
      </c>
      <c r="B390" s="1" t="n">
        <v>45909</v>
      </c>
      <c r="C390" s="1" t="n">
        <v>46196</v>
      </c>
      <c r="D390" t="inlineStr">
        <is>
          <t>VÄSTMANLANDS LÄN</t>
        </is>
      </c>
      <c r="E390" t="inlineStr">
        <is>
          <t>SALA</t>
        </is>
      </c>
      <c r="G390" t="n">
        <v>3.2</v>
      </c>
      <c r="H390" t="n">
        <v>0</v>
      </c>
      <c r="I390" t="n">
        <v>0</v>
      </c>
      <c r="J390" t="n">
        <v>0</v>
      </c>
      <c r="K390" t="n">
        <v>0</v>
      </c>
      <c r="L390" t="n">
        <v>0</v>
      </c>
      <c r="M390" t="n">
        <v>0</v>
      </c>
      <c r="N390" t="n">
        <v>0</v>
      </c>
      <c r="O390" t="n">
        <v>0</v>
      </c>
      <c r="P390" t="n">
        <v>0</v>
      </c>
      <c r="Q390" t="n">
        <v>0</v>
      </c>
      <c r="R390" s="2" t="inlineStr"/>
    </row>
    <row r="391" ht="15" customHeight="1">
      <c r="A391" t="inlineStr">
        <is>
          <t>A 19304-2025</t>
        </is>
      </c>
      <c r="B391" s="1" t="n">
        <v>45769</v>
      </c>
      <c r="C391" s="1" t="n">
        <v>46196</v>
      </c>
      <c r="D391" t="inlineStr">
        <is>
          <t>VÄSTMANLANDS LÄN</t>
        </is>
      </c>
      <c r="E391" t="inlineStr">
        <is>
          <t>SALA</t>
        </is>
      </c>
      <c r="F391" t="inlineStr">
        <is>
          <t>Bergvik skog öst AB</t>
        </is>
      </c>
      <c r="G391" t="n">
        <v>1.3</v>
      </c>
      <c r="H391" t="n">
        <v>0</v>
      </c>
      <c r="I391" t="n">
        <v>0</v>
      </c>
      <c r="J391" t="n">
        <v>0</v>
      </c>
      <c r="K391" t="n">
        <v>0</v>
      </c>
      <c r="L391" t="n">
        <v>0</v>
      </c>
      <c r="M391" t="n">
        <v>0</v>
      </c>
      <c r="N391" t="n">
        <v>0</v>
      </c>
      <c r="O391" t="n">
        <v>0</v>
      </c>
      <c r="P391" t="n">
        <v>0</v>
      </c>
      <c r="Q391" t="n">
        <v>0</v>
      </c>
      <c r="R391" s="2" t="inlineStr"/>
    </row>
    <row r="392" ht="15" customHeight="1">
      <c r="A392" t="inlineStr">
        <is>
          <t>A 37103-2025</t>
        </is>
      </c>
      <c r="B392" s="1" t="n">
        <v>45875</v>
      </c>
      <c r="C392" s="1" t="n">
        <v>46196</v>
      </c>
      <c r="D392" t="inlineStr">
        <is>
          <t>VÄSTMANLANDS LÄN</t>
        </is>
      </c>
      <c r="E392" t="inlineStr">
        <is>
          <t>SALA</t>
        </is>
      </c>
      <c r="G392" t="n">
        <v>1.9</v>
      </c>
      <c r="H392" t="n">
        <v>0</v>
      </c>
      <c r="I392" t="n">
        <v>0</v>
      </c>
      <c r="J392" t="n">
        <v>0</v>
      </c>
      <c r="K392" t="n">
        <v>0</v>
      </c>
      <c r="L392" t="n">
        <v>0</v>
      </c>
      <c r="M392" t="n">
        <v>0</v>
      </c>
      <c r="N392" t="n">
        <v>0</v>
      </c>
      <c r="O392" t="n">
        <v>0</v>
      </c>
      <c r="P392" t="n">
        <v>0</v>
      </c>
      <c r="Q392" t="n">
        <v>0</v>
      </c>
      <c r="R392" s="2" t="inlineStr"/>
    </row>
    <row r="393" ht="15" customHeight="1">
      <c r="A393" t="inlineStr">
        <is>
          <t>A 26419-2026</t>
        </is>
      </c>
      <c r="B393" s="1" t="n">
        <v>46183</v>
      </c>
      <c r="C393" s="1" t="n">
        <v>46196</v>
      </c>
      <c r="D393" t="inlineStr">
        <is>
          <t>VÄSTMANLANDS LÄN</t>
        </is>
      </c>
      <c r="E393" t="inlineStr">
        <is>
          <t>SALA</t>
        </is>
      </c>
      <c r="G393" t="n">
        <v>3.4</v>
      </c>
      <c r="H393" t="n">
        <v>0</v>
      </c>
      <c r="I393" t="n">
        <v>0</v>
      </c>
      <c r="J393" t="n">
        <v>0</v>
      </c>
      <c r="K393" t="n">
        <v>0</v>
      </c>
      <c r="L393" t="n">
        <v>0</v>
      </c>
      <c r="M393" t="n">
        <v>0</v>
      </c>
      <c r="N393" t="n">
        <v>0</v>
      </c>
      <c r="O393" t="n">
        <v>0</v>
      </c>
      <c r="P393" t="n">
        <v>0</v>
      </c>
      <c r="Q393" t="n">
        <v>0</v>
      </c>
      <c r="R393" s="2" t="inlineStr"/>
    </row>
    <row r="394" ht="15" customHeight="1">
      <c r="A394" t="inlineStr">
        <is>
          <t>A 28278-2025</t>
        </is>
      </c>
      <c r="B394" s="1" t="n">
        <v>45818</v>
      </c>
      <c r="C394" s="1" t="n">
        <v>46196</v>
      </c>
      <c r="D394" t="inlineStr">
        <is>
          <t>VÄSTMANLANDS LÄN</t>
        </is>
      </c>
      <c r="E394" t="inlineStr">
        <is>
          <t>SALA</t>
        </is>
      </c>
      <c r="G394" t="n">
        <v>7.6</v>
      </c>
      <c r="H394" t="n">
        <v>0</v>
      </c>
      <c r="I394" t="n">
        <v>0</v>
      </c>
      <c r="J394" t="n">
        <v>0</v>
      </c>
      <c r="K394" t="n">
        <v>0</v>
      </c>
      <c r="L394" t="n">
        <v>0</v>
      </c>
      <c r="M394" t="n">
        <v>0</v>
      </c>
      <c r="N394" t="n">
        <v>0</v>
      </c>
      <c r="O394" t="n">
        <v>0</v>
      </c>
      <c r="P394" t="n">
        <v>0</v>
      </c>
      <c r="Q394" t="n">
        <v>0</v>
      </c>
      <c r="R394" s="2" t="inlineStr"/>
    </row>
    <row r="395" ht="15" customHeight="1">
      <c r="A395" t="inlineStr">
        <is>
          <t>A 26414-2026</t>
        </is>
      </c>
      <c r="B395" s="1" t="n">
        <v>46183</v>
      </c>
      <c r="C395" s="1" t="n">
        <v>46196</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24864-2024</t>
        </is>
      </c>
      <c r="B396" s="1" t="n">
        <v>45461</v>
      </c>
      <c r="C396" s="1" t="n">
        <v>46196</v>
      </c>
      <c r="D396" t="inlineStr">
        <is>
          <t>VÄSTMANLANDS LÄN</t>
        </is>
      </c>
      <c r="E396" t="inlineStr">
        <is>
          <t>SALA</t>
        </is>
      </c>
      <c r="G396" t="n">
        <v>0.6</v>
      </c>
      <c r="H396" t="n">
        <v>0</v>
      </c>
      <c r="I396" t="n">
        <v>0</v>
      </c>
      <c r="J396" t="n">
        <v>0</v>
      </c>
      <c r="K396" t="n">
        <v>0</v>
      </c>
      <c r="L396" t="n">
        <v>0</v>
      </c>
      <c r="M396" t="n">
        <v>0</v>
      </c>
      <c r="N396" t="n">
        <v>0</v>
      </c>
      <c r="O396" t="n">
        <v>0</v>
      </c>
      <c r="P396" t="n">
        <v>0</v>
      </c>
      <c r="Q396" t="n">
        <v>0</v>
      </c>
      <c r="R396" s="2" t="inlineStr"/>
    </row>
    <row r="397" ht="15" customHeight="1">
      <c r="A397" t="inlineStr">
        <is>
          <t>A 20838-2026</t>
        </is>
      </c>
      <c r="B397" s="1" t="n">
        <v>46142</v>
      </c>
      <c r="C397" s="1" t="n">
        <v>46196</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27431-2026</t>
        </is>
      </c>
      <c r="B398" s="1" t="n">
        <v>46189</v>
      </c>
      <c r="C398" s="1" t="n">
        <v>46196</v>
      </c>
      <c r="D398" t="inlineStr">
        <is>
          <t>VÄSTMANLANDS LÄN</t>
        </is>
      </c>
      <c r="E398" t="inlineStr">
        <is>
          <t>SALA</t>
        </is>
      </c>
      <c r="G398" t="n">
        <v>1.4</v>
      </c>
      <c r="H398" t="n">
        <v>0</v>
      </c>
      <c r="I398" t="n">
        <v>0</v>
      </c>
      <c r="J398" t="n">
        <v>0</v>
      </c>
      <c r="K398" t="n">
        <v>0</v>
      </c>
      <c r="L398" t="n">
        <v>0</v>
      </c>
      <c r="M398" t="n">
        <v>0</v>
      </c>
      <c r="N398" t="n">
        <v>0</v>
      </c>
      <c r="O398" t="n">
        <v>0</v>
      </c>
      <c r="P398" t="n">
        <v>0</v>
      </c>
      <c r="Q398" t="n">
        <v>0</v>
      </c>
      <c r="R398" s="2" t="inlineStr"/>
    </row>
    <row r="399" ht="15" customHeight="1">
      <c r="A399" t="inlineStr">
        <is>
          <t>A 21435-2026</t>
        </is>
      </c>
      <c r="B399" s="1" t="n">
        <v>46148</v>
      </c>
      <c r="C399" s="1" t="n">
        <v>46196</v>
      </c>
      <c r="D399" t="inlineStr">
        <is>
          <t>VÄSTMANLANDS LÄN</t>
        </is>
      </c>
      <c r="E399" t="inlineStr">
        <is>
          <t>SALA</t>
        </is>
      </c>
      <c r="G399" t="n">
        <v>2.3</v>
      </c>
      <c r="H399" t="n">
        <v>0</v>
      </c>
      <c r="I399" t="n">
        <v>0</v>
      </c>
      <c r="J399" t="n">
        <v>0</v>
      </c>
      <c r="K399" t="n">
        <v>0</v>
      </c>
      <c r="L399" t="n">
        <v>0</v>
      </c>
      <c r="M399" t="n">
        <v>0</v>
      </c>
      <c r="N399" t="n">
        <v>0</v>
      </c>
      <c r="O399" t="n">
        <v>0</v>
      </c>
      <c r="P399" t="n">
        <v>0</v>
      </c>
      <c r="Q399" t="n">
        <v>0</v>
      </c>
      <c r="R399" s="2" t="inlineStr"/>
    </row>
    <row r="400" ht="15" customHeight="1">
      <c r="A400" t="inlineStr">
        <is>
          <t>A 26416-2023</t>
        </is>
      </c>
      <c r="B400" s="1" t="n">
        <v>45092</v>
      </c>
      <c r="C400" s="1" t="n">
        <v>46196</v>
      </c>
      <c r="D400" t="inlineStr">
        <is>
          <t>VÄSTMANLANDS LÄN</t>
        </is>
      </c>
      <c r="E400" t="inlineStr">
        <is>
          <t>SALA</t>
        </is>
      </c>
      <c r="G400" t="n">
        <v>2.9</v>
      </c>
      <c r="H400" t="n">
        <v>0</v>
      </c>
      <c r="I400" t="n">
        <v>0</v>
      </c>
      <c r="J400" t="n">
        <v>0</v>
      </c>
      <c r="K400" t="n">
        <v>0</v>
      </c>
      <c r="L400" t="n">
        <v>0</v>
      </c>
      <c r="M400" t="n">
        <v>0</v>
      </c>
      <c r="N400" t="n">
        <v>0</v>
      </c>
      <c r="O400" t="n">
        <v>0</v>
      </c>
      <c r="P400" t="n">
        <v>0</v>
      </c>
      <c r="Q400" t="n">
        <v>0</v>
      </c>
      <c r="R400" s="2" t="inlineStr"/>
    </row>
    <row r="401" ht="15" customHeight="1">
      <c r="A401" t="inlineStr">
        <is>
          <t>A 28696-2023</t>
        </is>
      </c>
      <c r="B401" s="1" t="n">
        <v>45103</v>
      </c>
      <c r="C401" s="1" t="n">
        <v>46196</v>
      </c>
      <c r="D401" t="inlineStr">
        <is>
          <t>VÄSTMANLANDS LÄN</t>
        </is>
      </c>
      <c r="E401" t="inlineStr">
        <is>
          <t>SALA</t>
        </is>
      </c>
      <c r="F401" t="inlineStr">
        <is>
          <t>Kommuner</t>
        </is>
      </c>
      <c r="G401" t="n">
        <v>5.9</v>
      </c>
      <c r="H401" t="n">
        <v>0</v>
      </c>
      <c r="I401" t="n">
        <v>0</v>
      </c>
      <c r="J401" t="n">
        <v>0</v>
      </c>
      <c r="K401" t="n">
        <v>0</v>
      </c>
      <c r="L401" t="n">
        <v>0</v>
      </c>
      <c r="M401" t="n">
        <v>0</v>
      </c>
      <c r="N401" t="n">
        <v>0</v>
      </c>
      <c r="O401" t="n">
        <v>0</v>
      </c>
      <c r="P401" t="n">
        <v>0</v>
      </c>
      <c r="Q401" t="n">
        <v>0</v>
      </c>
      <c r="R401" s="2" t="inlineStr"/>
    </row>
    <row r="402" ht="15" customHeight="1">
      <c r="A402" t="inlineStr">
        <is>
          <t>A 1934-2023</t>
        </is>
      </c>
      <c r="B402" s="1" t="n">
        <v>44939</v>
      </c>
      <c r="C402" s="1" t="n">
        <v>46196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50241-2023</t>
        </is>
      </c>
      <c r="B403" s="1" t="n">
        <v>45216</v>
      </c>
      <c r="C403" s="1" t="n">
        <v>46196</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30971-2022</t>
        </is>
      </c>
      <c r="B404" s="1" t="n">
        <v>44768</v>
      </c>
      <c r="C404" s="1" t="n">
        <v>46196</v>
      </c>
      <c r="D404" t="inlineStr">
        <is>
          <t>VÄSTMANLANDS LÄN</t>
        </is>
      </c>
      <c r="E404" t="inlineStr">
        <is>
          <t>SALA</t>
        </is>
      </c>
      <c r="G404" t="n">
        <v>2.4</v>
      </c>
      <c r="H404" t="n">
        <v>0</v>
      </c>
      <c r="I404" t="n">
        <v>0</v>
      </c>
      <c r="J404" t="n">
        <v>0</v>
      </c>
      <c r="K404" t="n">
        <v>0</v>
      </c>
      <c r="L404" t="n">
        <v>0</v>
      </c>
      <c r="M404" t="n">
        <v>0</v>
      </c>
      <c r="N404" t="n">
        <v>0</v>
      </c>
      <c r="O404" t="n">
        <v>0</v>
      </c>
      <c r="P404" t="n">
        <v>0</v>
      </c>
      <c r="Q404" t="n">
        <v>0</v>
      </c>
      <c r="R404" s="2" t="inlineStr"/>
    </row>
    <row r="405" ht="15" customHeight="1">
      <c r="A405" t="inlineStr">
        <is>
          <t>A 35637-2022</t>
        </is>
      </c>
      <c r="B405" s="1" t="n">
        <v>44799</v>
      </c>
      <c r="C405" s="1" t="n">
        <v>46196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27038-2023</t>
        </is>
      </c>
      <c r="B406" s="1" t="n">
        <v>45095</v>
      </c>
      <c r="C406" s="1" t="n">
        <v>46196</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23182-2022</t>
        </is>
      </c>
      <c r="B407" s="1" t="n">
        <v>44719</v>
      </c>
      <c r="C407" s="1" t="n">
        <v>46196</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7469-2025</t>
        </is>
      </c>
      <c r="B408" s="1" t="n">
        <v>45705</v>
      </c>
      <c r="C408" s="1" t="n">
        <v>46196</v>
      </c>
      <c r="D408" t="inlineStr">
        <is>
          <t>VÄSTMANLANDS LÄN</t>
        </is>
      </c>
      <c r="E408" t="inlineStr">
        <is>
          <t>SALA</t>
        </is>
      </c>
      <c r="G408" t="n">
        <v>2.1</v>
      </c>
      <c r="H408" t="n">
        <v>0</v>
      </c>
      <c r="I408" t="n">
        <v>0</v>
      </c>
      <c r="J408" t="n">
        <v>0</v>
      </c>
      <c r="K408" t="n">
        <v>0</v>
      </c>
      <c r="L408" t="n">
        <v>0</v>
      </c>
      <c r="M408" t="n">
        <v>0</v>
      </c>
      <c r="N408" t="n">
        <v>0</v>
      </c>
      <c r="O408" t="n">
        <v>0</v>
      </c>
      <c r="P408" t="n">
        <v>0</v>
      </c>
      <c r="Q408" t="n">
        <v>0</v>
      </c>
      <c r="R408" s="2" t="inlineStr"/>
    </row>
    <row r="409" ht="15" customHeight="1">
      <c r="A409" t="inlineStr">
        <is>
          <t>A 34867-2023</t>
        </is>
      </c>
      <c r="B409" s="1" t="n">
        <v>45142</v>
      </c>
      <c r="C409" s="1" t="n">
        <v>46196</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11631-2023</t>
        </is>
      </c>
      <c r="B410" s="1" t="n">
        <v>44994</v>
      </c>
      <c r="C410" s="1" t="n">
        <v>46196</v>
      </c>
      <c r="D410" t="inlineStr">
        <is>
          <t>VÄSTMANLANDS LÄN</t>
        </is>
      </c>
      <c r="E410" t="inlineStr">
        <is>
          <t>SALA</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8775-2024</t>
        </is>
      </c>
      <c r="B411" s="1" t="n">
        <v>45356</v>
      </c>
      <c r="C411" s="1" t="n">
        <v>46196</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48710-2024</t>
        </is>
      </c>
      <c r="B412" s="1" t="n">
        <v>45593</v>
      </c>
      <c r="C412" s="1" t="n">
        <v>46196</v>
      </c>
      <c r="D412" t="inlineStr">
        <is>
          <t>VÄSTMANLANDS LÄN</t>
        </is>
      </c>
      <c r="E412" t="inlineStr">
        <is>
          <t>SALA</t>
        </is>
      </c>
      <c r="G412" t="n">
        <v>6.5</v>
      </c>
      <c r="H412" t="n">
        <v>0</v>
      </c>
      <c r="I412" t="n">
        <v>0</v>
      </c>
      <c r="J412" t="n">
        <v>0</v>
      </c>
      <c r="K412" t="n">
        <v>0</v>
      </c>
      <c r="L412" t="n">
        <v>0</v>
      </c>
      <c r="M412" t="n">
        <v>0</v>
      </c>
      <c r="N412" t="n">
        <v>0</v>
      </c>
      <c r="O412" t="n">
        <v>0</v>
      </c>
      <c r="P412" t="n">
        <v>0</v>
      </c>
      <c r="Q412" t="n">
        <v>0</v>
      </c>
      <c r="R412" s="2" t="inlineStr"/>
    </row>
    <row r="413" ht="15" customHeight="1">
      <c r="A413" t="inlineStr">
        <is>
          <t>A 16404-2022</t>
        </is>
      </c>
      <c r="B413" s="1" t="n">
        <v>44671</v>
      </c>
      <c r="C413" s="1" t="n">
        <v>46196</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24248-2023</t>
        </is>
      </c>
      <c r="B414" s="1" t="n">
        <v>45079</v>
      </c>
      <c r="C414" s="1" t="n">
        <v>46196</v>
      </c>
      <c r="D414" t="inlineStr">
        <is>
          <t>VÄSTMANLANDS LÄN</t>
        </is>
      </c>
      <c r="E414" t="inlineStr">
        <is>
          <t>SALA</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10559-2024</t>
        </is>
      </c>
      <c r="B415" s="1" t="n">
        <v>45366</v>
      </c>
      <c r="C415" s="1" t="n">
        <v>46196</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40214-2023</t>
        </is>
      </c>
      <c r="B416" s="1" t="n">
        <v>45169</v>
      </c>
      <c r="C416" s="1" t="n">
        <v>46196</v>
      </c>
      <c r="D416" t="inlineStr">
        <is>
          <t>VÄSTMANLANDS LÄN</t>
        </is>
      </c>
      <c r="E416" t="inlineStr">
        <is>
          <t>SALA</t>
        </is>
      </c>
      <c r="G416" t="n">
        <v>5.5</v>
      </c>
      <c r="H416" t="n">
        <v>0</v>
      </c>
      <c r="I416" t="n">
        <v>0</v>
      </c>
      <c r="J416" t="n">
        <v>0</v>
      </c>
      <c r="K416" t="n">
        <v>0</v>
      </c>
      <c r="L416" t="n">
        <v>0</v>
      </c>
      <c r="M416" t="n">
        <v>0</v>
      </c>
      <c r="N416" t="n">
        <v>0</v>
      </c>
      <c r="O416" t="n">
        <v>0</v>
      </c>
      <c r="P416" t="n">
        <v>0</v>
      </c>
      <c r="Q416" t="n">
        <v>0</v>
      </c>
      <c r="R416" s="2" t="inlineStr"/>
    </row>
    <row r="417" ht="15" customHeight="1">
      <c r="A417" t="inlineStr">
        <is>
          <t>A 9856-2022</t>
        </is>
      </c>
      <c r="B417" s="1" t="n">
        <v>44620</v>
      </c>
      <c r="C417" s="1" t="n">
        <v>46196</v>
      </c>
      <c r="D417" t="inlineStr">
        <is>
          <t>VÄSTMANLANDS LÄN</t>
        </is>
      </c>
      <c r="E417" t="inlineStr">
        <is>
          <t>SALA</t>
        </is>
      </c>
      <c r="G417" t="n">
        <v>2.4</v>
      </c>
      <c r="H417" t="n">
        <v>0</v>
      </c>
      <c r="I417" t="n">
        <v>0</v>
      </c>
      <c r="J417" t="n">
        <v>0</v>
      </c>
      <c r="K417" t="n">
        <v>0</v>
      </c>
      <c r="L417" t="n">
        <v>0</v>
      </c>
      <c r="M417" t="n">
        <v>0</v>
      </c>
      <c r="N417" t="n">
        <v>0</v>
      </c>
      <c r="O417" t="n">
        <v>0</v>
      </c>
      <c r="P417" t="n">
        <v>0</v>
      </c>
      <c r="Q417" t="n">
        <v>0</v>
      </c>
      <c r="R417" s="2" t="inlineStr"/>
    </row>
    <row r="418" ht="15" customHeight="1">
      <c r="A418" t="inlineStr">
        <is>
          <t>A 18100-2023</t>
        </is>
      </c>
      <c r="B418" s="1" t="n">
        <v>45040</v>
      </c>
      <c r="C418" s="1" t="n">
        <v>46196</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23374-2023</t>
        </is>
      </c>
      <c r="B419" s="1" t="n">
        <v>45076</v>
      </c>
      <c r="C419" s="1" t="n">
        <v>46196</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6134-2024</t>
        </is>
      </c>
      <c r="B420" s="1" t="n">
        <v>45337</v>
      </c>
      <c r="C420" s="1" t="n">
        <v>46196</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48117-2024</t>
        </is>
      </c>
      <c r="B421" s="1" t="n">
        <v>45589</v>
      </c>
      <c r="C421" s="1" t="n">
        <v>46196</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24175-2024</t>
        </is>
      </c>
      <c r="B422" s="1" t="n">
        <v>45456</v>
      </c>
      <c r="C422" s="1" t="n">
        <v>46196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28328-2023</t>
        </is>
      </c>
      <c r="B423" s="1" t="n">
        <v>45099</v>
      </c>
      <c r="C423" s="1" t="n">
        <v>46196</v>
      </c>
      <c r="D423" t="inlineStr">
        <is>
          <t>VÄSTMANLANDS LÄN</t>
        </is>
      </c>
      <c r="E423" t="inlineStr">
        <is>
          <t>SALA</t>
        </is>
      </c>
      <c r="G423" t="n">
        <v>1.8</v>
      </c>
      <c r="H423" t="n">
        <v>0</v>
      </c>
      <c r="I423" t="n">
        <v>0</v>
      </c>
      <c r="J423" t="n">
        <v>0</v>
      </c>
      <c r="K423" t="n">
        <v>0</v>
      </c>
      <c r="L423" t="n">
        <v>0</v>
      </c>
      <c r="M423" t="n">
        <v>0</v>
      </c>
      <c r="N423" t="n">
        <v>0</v>
      </c>
      <c r="O423" t="n">
        <v>0</v>
      </c>
      <c r="P423" t="n">
        <v>0</v>
      </c>
      <c r="Q423" t="n">
        <v>0</v>
      </c>
      <c r="R423" s="2" t="inlineStr"/>
    </row>
    <row r="424" ht="15" customHeight="1">
      <c r="A424" t="inlineStr">
        <is>
          <t>A 38195-2021</t>
        </is>
      </c>
      <c r="B424" s="1" t="n">
        <v>44405</v>
      </c>
      <c r="C424" s="1" t="n">
        <v>46196</v>
      </c>
      <c r="D424" t="inlineStr">
        <is>
          <t>VÄSTMANLANDS LÄN</t>
        </is>
      </c>
      <c r="E424" t="inlineStr">
        <is>
          <t>SALA</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21777-2022</t>
        </is>
      </c>
      <c r="B425" s="1" t="n">
        <v>44708</v>
      </c>
      <c r="C425" s="1" t="n">
        <v>46196</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11389-2024</t>
        </is>
      </c>
      <c r="B426" s="1" t="n">
        <v>45372</v>
      </c>
      <c r="C426" s="1" t="n">
        <v>46196</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2925-2024</t>
        </is>
      </c>
      <c r="B427" s="1" t="n">
        <v>45315</v>
      </c>
      <c r="C427" s="1" t="n">
        <v>46196</v>
      </c>
      <c r="D427" t="inlineStr">
        <is>
          <t>VÄSTMANLANDS LÄN</t>
        </is>
      </c>
      <c r="E427" t="inlineStr">
        <is>
          <t>SALA</t>
        </is>
      </c>
      <c r="G427" t="n">
        <v>1.3</v>
      </c>
      <c r="H427" t="n">
        <v>0</v>
      </c>
      <c r="I427" t="n">
        <v>0</v>
      </c>
      <c r="J427" t="n">
        <v>0</v>
      </c>
      <c r="K427" t="n">
        <v>0</v>
      </c>
      <c r="L427" t="n">
        <v>0</v>
      </c>
      <c r="M427" t="n">
        <v>0</v>
      </c>
      <c r="N427" t="n">
        <v>0</v>
      </c>
      <c r="O427" t="n">
        <v>0</v>
      </c>
      <c r="P427" t="n">
        <v>0</v>
      </c>
      <c r="Q427" t="n">
        <v>0</v>
      </c>
      <c r="R427" s="2" t="inlineStr"/>
    </row>
    <row r="428" ht="15" customHeight="1">
      <c r="A428" t="inlineStr">
        <is>
          <t>A 39439-2021</t>
        </is>
      </c>
      <c r="B428" s="1" t="n">
        <v>44414</v>
      </c>
      <c r="C428" s="1" t="n">
        <v>46196</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46196</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13471-2025</t>
        </is>
      </c>
      <c r="B430" s="1" t="n">
        <v>45736</v>
      </c>
      <c r="C430" s="1" t="n">
        <v>46196</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27424-2023</t>
        </is>
      </c>
      <c r="B431" s="1" t="n">
        <v>45097</v>
      </c>
      <c r="C431" s="1" t="n">
        <v>46196</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58701-2021</t>
        </is>
      </c>
      <c r="B432" s="1" t="n">
        <v>44489</v>
      </c>
      <c r="C432" s="1" t="n">
        <v>46196</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11244-2024</t>
        </is>
      </c>
      <c r="B433" s="1" t="n">
        <v>45371</v>
      </c>
      <c r="C433" s="1" t="n">
        <v>46196</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12225-2023</t>
        </is>
      </c>
      <c r="B434" s="1" t="n">
        <v>44995</v>
      </c>
      <c r="C434" s="1" t="n">
        <v>46196</v>
      </c>
      <c r="D434" t="inlineStr">
        <is>
          <t>VÄSTMANLANDS LÄN</t>
        </is>
      </c>
      <c r="E434" t="inlineStr">
        <is>
          <t>SALA</t>
        </is>
      </c>
      <c r="G434" t="n">
        <v>0.9</v>
      </c>
      <c r="H434" t="n">
        <v>0</v>
      </c>
      <c r="I434" t="n">
        <v>0</v>
      </c>
      <c r="J434" t="n">
        <v>0</v>
      </c>
      <c r="K434" t="n">
        <v>0</v>
      </c>
      <c r="L434" t="n">
        <v>0</v>
      </c>
      <c r="M434" t="n">
        <v>0</v>
      </c>
      <c r="N434" t="n">
        <v>0</v>
      </c>
      <c r="O434" t="n">
        <v>0</v>
      </c>
      <c r="P434" t="n">
        <v>0</v>
      </c>
      <c r="Q434" t="n">
        <v>0</v>
      </c>
      <c r="R434" s="2" t="inlineStr"/>
    </row>
    <row r="435" ht="15" customHeight="1">
      <c r="A435" t="inlineStr">
        <is>
          <t>A 61874-2021</t>
        </is>
      </c>
      <c r="B435" s="1" t="n">
        <v>44502</v>
      </c>
      <c r="C435" s="1" t="n">
        <v>46196</v>
      </c>
      <c r="D435" t="inlineStr">
        <is>
          <t>VÄSTMANLANDS LÄN</t>
        </is>
      </c>
      <c r="E435" t="inlineStr">
        <is>
          <t>SALA</t>
        </is>
      </c>
      <c r="F435" t="inlineStr">
        <is>
          <t>Kyrkan</t>
        </is>
      </c>
      <c r="G435" t="n">
        <v>1.3</v>
      </c>
      <c r="H435" t="n">
        <v>0</v>
      </c>
      <c r="I435" t="n">
        <v>0</v>
      </c>
      <c r="J435" t="n">
        <v>0</v>
      </c>
      <c r="K435" t="n">
        <v>0</v>
      </c>
      <c r="L435" t="n">
        <v>0</v>
      </c>
      <c r="M435" t="n">
        <v>0</v>
      </c>
      <c r="N435" t="n">
        <v>0</v>
      </c>
      <c r="O435" t="n">
        <v>0</v>
      </c>
      <c r="P435" t="n">
        <v>0</v>
      </c>
      <c r="Q435" t="n">
        <v>0</v>
      </c>
      <c r="R435" s="2" t="inlineStr"/>
    </row>
    <row r="436" ht="15" customHeight="1">
      <c r="A436" t="inlineStr">
        <is>
          <t>A 62651-2022</t>
        </is>
      </c>
      <c r="B436" s="1" t="n">
        <v>44917</v>
      </c>
      <c r="C436" s="1" t="n">
        <v>46196</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15968-2024</t>
        </is>
      </c>
      <c r="B437" s="1" t="n">
        <v>45405</v>
      </c>
      <c r="C437" s="1" t="n">
        <v>46196</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60730-2023</t>
        </is>
      </c>
      <c r="B438" s="1" t="n">
        <v>45260</v>
      </c>
      <c r="C438" s="1" t="n">
        <v>46196</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60731-2023</t>
        </is>
      </c>
      <c r="B439" s="1" t="n">
        <v>45260</v>
      </c>
      <c r="C439" s="1" t="n">
        <v>46196</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18461-2024</t>
        </is>
      </c>
      <c r="B440" s="1" t="n">
        <v>45425</v>
      </c>
      <c r="C440" s="1" t="n">
        <v>46196</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46196</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2766-2024</t>
        </is>
      </c>
      <c r="B442" s="1" t="n">
        <v>45314</v>
      </c>
      <c r="C442" s="1" t="n">
        <v>46196</v>
      </c>
      <c r="D442" t="inlineStr">
        <is>
          <t>VÄSTMANLANDS LÄN</t>
        </is>
      </c>
      <c r="E442" t="inlineStr">
        <is>
          <t>SALA</t>
        </is>
      </c>
      <c r="G442" t="n">
        <v>2.8</v>
      </c>
      <c r="H442" t="n">
        <v>0</v>
      </c>
      <c r="I442" t="n">
        <v>0</v>
      </c>
      <c r="J442" t="n">
        <v>0</v>
      </c>
      <c r="K442" t="n">
        <v>0</v>
      </c>
      <c r="L442" t="n">
        <v>0</v>
      </c>
      <c r="M442" t="n">
        <v>0</v>
      </c>
      <c r="N442" t="n">
        <v>0</v>
      </c>
      <c r="O442" t="n">
        <v>0</v>
      </c>
      <c r="P442" t="n">
        <v>0</v>
      </c>
      <c r="Q442" t="n">
        <v>0</v>
      </c>
      <c r="R442" s="2" t="inlineStr"/>
    </row>
    <row r="443" ht="15" customHeight="1">
      <c r="A443" t="inlineStr">
        <is>
          <t>A 45187-2024</t>
        </is>
      </c>
      <c r="B443" s="1" t="n">
        <v>45575</v>
      </c>
      <c r="C443" s="1" t="n">
        <v>46196</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33527-2023</t>
        </is>
      </c>
      <c r="B444" s="1" t="n">
        <v>45131</v>
      </c>
      <c r="C444" s="1" t="n">
        <v>46196</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7377-2023</t>
        </is>
      </c>
      <c r="B445" s="1" t="n">
        <v>44971</v>
      </c>
      <c r="C445" s="1" t="n">
        <v>46196</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21159-2022</t>
        </is>
      </c>
      <c r="B446" s="1" t="n">
        <v>44704</v>
      </c>
      <c r="C446" s="1" t="n">
        <v>46196</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16159-2024</t>
        </is>
      </c>
      <c r="B447" s="1" t="n">
        <v>45406</v>
      </c>
      <c r="C447" s="1" t="n">
        <v>46196</v>
      </c>
      <c r="D447" t="inlineStr">
        <is>
          <t>VÄSTMANLANDS LÄN</t>
        </is>
      </c>
      <c r="E447" t="inlineStr">
        <is>
          <t>SALA</t>
        </is>
      </c>
      <c r="G447" t="n">
        <v>0.4</v>
      </c>
      <c r="H447" t="n">
        <v>0</v>
      </c>
      <c r="I447" t="n">
        <v>0</v>
      </c>
      <c r="J447" t="n">
        <v>0</v>
      </c>
      <c r="K447" t="n">
        <v>0</v>
      </c>
      <c r="L447" t="n">
        <v>0</v>
      </c>
      <c r="M447" t="n">
        <v>0</v>
      </c>
      <c r="N447" t="n">
        <v>0</v>
      </c>
      <c r="O447" t="n">
        <v>0</v>
      </c>
      <c r="P447" t="n">
        <v>0</v>
      </c>
      <c r="Q447" t="n">
        <v>0</v>
      </c>
      <c r="R447" s="2" t="inlineStr"/>
    </row>
    <row r="448" ht="15" customHeight="1">
      <c r="A448" t="inlineStr">
        <is>
          <t>A 66307-2021</t>
        </is>
      </c>
      <c r="B448" s="1" t="n">
        <v>44518</v>
      </c>
      <c r="C448" s="1" t="n">
        <v>46196</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27262-2024</t>
        </is>
      </c>
      <c r="B449" s="1" t="n">
        <v>45471</v>
      </c>
      <c r="C449" s="1" t="n">
        <v>46196</v>
      </c>
      <c r="D449" t="inlineStr">
        <is>
          <t>VÄSTMANLANDS LÄN</t>
        </is>
      </c>
      <c r="E449" t="inlineStr">
        <is>
          <t>SALA</t>
        </is>
      </c>
      <c r="G449" t="n">
        <v>0.8</v>
      </c>
      <c r="H449" t="n">
        <v>0</v>
      </c>
      <c r="I449" t="n">
        <v>0</v>
      </c>
      <c r="J449" t="n">
        <v>0</v>
      </c>
      <c r="K449" t="n">
        <v>0</v>
      </c>
      <c r="L449" t="n">
        <v>0</v>
      </c>
      <c r="M449" t="n">
        <v>0</v>
      </c>
      <c r="N449" t="n">
        <v>0</v>
      </c>
      <c r="O449" t="n">
        <v>0</v>
      </c>
      <c r="P449" t="n">
        <v>0</v>
      </c>
      <c r="Q449" t="n">
        <v>0</v>
      </c>
      <c r="R449" s="2" t="inlineStr"/>
    </row>
    <row r="450" ht="15" customHeight="1">
      <c r="A450" t="inlineStr">
        <is>
          <t>A 10913-2025</t>
        </is>
      </c>
      <c r="B450" s="1" t="n">
        <v>45722</v>
      </c>
      <c r="C450" s="1" t="n">
        <v>46196</v>
      </c>
      <c r="D450" t="inlineStr">
        <is>
          <t>VÄSTMANLANDS LÄN</t>
        </is>
      </c>
      <c r="E450" t="inlineStr">
        <is>
          <t>SALA</t>
        </is>
      </c>
      <c r="G450" t="n">
        <v>7.6</v>
      </c>
      <c r="H450" t="n">
        <v>0</v>
      </c>
      <c r="I450" t="n">
        <v>0</v>
      </c>
      <c r="J450" t="n">
        <v>0</v>
      </c>
      <c r="K450" t="n">
        <v>0</v>
      </c>
      <c r="L450" t="n">
        <v>0</v>
      </c>
      <c r="M450" t="n">
        <v>0</v>
      </c>
      <c r="N450" t="n">
        <v>0</v>
      </c>
      <c r="O450" t="n">
        <v>0</v>
      </c>
      <c r="P450" t="n">
        <v>0</v>
      </c>
      <c r="Q450" t="n">
        <v>0</v>
      </c>
      <c r="R450" s="2" t="inlineStr"/>
    </row>
    <row r="451" ht="15" customHeight="1">
      <c r="A451" t="inlineStr">
        <is>
          <t>A 35410-2022</t>
        </is>
      </c>
      <c r="B451" s="1" t="n">
        <v>44798</v>
      </c>
      <c r="C451" s="1" t="n">
        <v>46196</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1118-2024</t>
        </is>
      </c>
      <c r="B452" s="1" t="n">
        <v>45302</v>
      </c>
      <c r="C452" s="1" t="n">
        <v>46196</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53864-2022</t>
        </is>
      </c>
      <c r="B453" s="1" t="n">
        <v>44880</v>
      </c>
      <c r="C453" s="1" t="n">
        <v>46196</v>
      </c>
      <c r="D453" t="inlineStr">
        <is>
          <t>VÄSTMANLANDS LÄN</t>
        </is>
      </c>
      <c r="E453" t="inlineStr">
        <is>
          <t>SALA</t>
        </is>
      </c>
      <c r="G453" t="n">
        <v>5.9</v>
      </c>
      <c r="H453" t="n">
        <v>0</v>
      </c>
      <c r="I453" t="n">
        <v>0</v>
      </c>
      <c r="J453" t="n">
        <v>0</v>
      </c>
      <c r="K453" t="n">
        <v>0</v>
      </c>
      <c r="L453" t="n">
        <v>0</v>
      </c>
      <c r="M453" t="n">
        <v>0</v>
      </c>
      <c r="N453" t="n">
        <v>0</v>
      </c>
      <c r="O453" t="n">
        <v>0</v>
      </c>
      <c r="P453" t="n">
        <v>0</v>
      </c>
      <c r="Q453" t="n">
        <v>0</v>
      </c>
      <c r="R453" s="2" t="inlineStr"/>
    </row>
    <row r="454" ht="15" customHeight="1">
      <c r="A454" t="inlineStr">
        <is>
          <t>A 3551-2024</t>
        </is>
      </c>
      <c r="B454" s="1" t="n">
        <v>45320</v>
      </c>
      <c r="C454" s="1" t="n">
        <v>46196</v>
      </c>
      <c r="D454" t="inlineStr">
        <is>
          <t>VÄSTMANLANDS LÄN</t>
        </is>
      </c>
      <c r="E454" t="inlineStr">
        <is>
          <t>SALA</t>
        </is>
      </c>
      <c r="F454" t="inlineStr">
        <is>
          <t>Kommuner</t>
        </is>
      </c>
      <c r="G454" t="n">
        <v>6</v>
      </c>
      <c r="H454" t="n">
        <v>0</v>
      </c>
      <c r="I454" t="n">
        <v>0</v>
      </c>
      <c r="J454" t="n">
        <v>0</v>
      </c>
      <c r="K454" t="n">
        <v>0</v>
      </c>
      <c r="L454" t="n">
        <v>0</v>
      </c>
      <c r="M454" t="n">
        <v>0</v>
      </c>
      <c r="N454" t="n">
        <v>0</v>
      </c>
      <c r="O454" t="n">
        <v>0</v>
      </c>
      <c r="P454" t="n">
        <v>0</v>
      </c>
      <c r="Q454" t="n">
        <v>0</v>
      </c>
      <c r="R454" s="2" t="inlineStr"/>
    </row>
    <row r="455" ht="15" customHeight="1">
      <c r="A455" t="inlineStr">
        <is>
          <t>A 22961-2023</t>
        </is>
      </c>
      <c r="B455" s="1" t="n">
        <v>45072</v>
      </c>
      <c r="C455" s="1" t="n">
        <v>46196</v>
      </c>
      <c r="D455" t="inlineStr">
        <is>
          <t>VÄSTMANLANDS LÄN</t>
        </is>
      </c>
      <c r="E455" t="inlineStr">
        <is>
          <t>SALA</t>
        </is>
      </c>
      <c r="G455" t="n">
        <v>2.7</v>
      </c>
      <c r="H455" t="n">
        <v>0</v>
      </c>
      <c r="I455" t="n">
        <v>0</v>
      </c>
      <c r="J455" t="n">
        <v>0</v>
      </c>
      <c r="K455" t="n">
        <v>0</v>
      </c>
      <c r="L455" t="n">
        <v>0</v>
      </c>
      <c r="M455" t="n">
        <v>0</v>
      </c>
      <c r="N455" t="n">
        <v>0</v>
      </c>
      <c r="O455" t="n">
        <v>0</v>
      </c>
      <c r="P455" t="n">
        <v>0</v>
      </c>
      <c r="Q455" t="n">
        <v>0</v>
      </c>
      <c r="R455" s="2" t="inlineStr"/>
    </row>
    <row r="456" ht="15" customHeight="1">
      <c r="A456" t="inlineStr">
        <is>
          <t>A 22963-2023</t>
        </is>
      </c>
      <c r="B456" s="1" t="n">
        <v>45072</v>
      </c>
      <c r="C456" s="1" t="n">
        <v>46196</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27228-2023</t>
        </is>
      </c>
      <c r="B457" s="1" t="n">
        <v>45096</v>
      </c>
      <c r="C457" s="1" t="n">
        <v>46196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26507-2023</t>
        </is>
      </c>
      <c r="B458" s="1" t="n">
        <v>45092</v>
      </c>
      <c r="C458" s="1" t="n">
        <v>46196</v>
      </c>
      <c r="D458" t="inlineStr">
        <is>
          <t>VÄSTMANLANDS LÄN</t>
        </is>
      </c>
      <c r="E458" t="inlineStr">
        <is>
          <t>SALA</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16543-2023</t>
        </is>
      </c>
      <c r="B459" s="1" t="n">
        <v>45029</v>
      </c>
      <c r="C459" s="1" t="n">
        <v>46196</v>
      </c>
      <c r="D459" t="inlineStr">
        <is>
          <t>VÄSTMANLANDS LÄN</t>
        </is>
      </c>
      <c r="E459" t="inlineStr">
        <is>
          <t>SALA</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57895-2024</t>
        </is>
      </c>
      <c r="B460" s="1" t="n">
        <v>45631</v>
      </c>
      <c r="C460" s="1" t="n">
        <v>46196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47086-2022</t>
        </is>
      </c>
      <c r="B461" s="1" t="n">
        <v>44852</v>
      </c>
      <c r="C461" s="1" t="n">
        <v>46196</v>
      </c>
      <c r="D461" t="inlineStr">
        <is>
          <t>VÄSTMANLANDS LÄN</t>
        </is>
      </c>
      <c r="E461" t="inlineStr">
        <is>
          <t>SALA</t>
        </is>
      </c>
      <c r="G461" t="n">
        <v>12.5</v>
      </c>
      <c r="H461" t="n">
        <v>0</v>
      </c>
      <c r="I461" t="n">
        <v>0</v>
      </c>
      <c r="J461" t="n">
        <v>0</v>
      </c>
      <c r="K461" t="n">
        <v>0</v>
      </c>
      <c r="L461" t="n">
        <v>0</v>
      </c>
      <c r="M461" t="n">
        <v>0</v>
      </c>
      <c r="N461" t="n">
        <v>0</v>
      </c>
      <c r="O461" t="n">
        <v>0</v>
      </c>
      <c r="P461" t="n">
        <v>0</v>
      </c>
      <c r="Q461" t="n">
        <v>0</v>
      </c>
      <c r="R461" s="2" t="inlineStr"/>
    </row>
    <row r="462" ht="15" customHeight="1">
      <c r="A462" t="inlineStr">
        <is>
          <t>A 54347-2024</t>
        </is>
      </c>
      <c r="B462" s="1" t="n">
        <v>45617</v>
      </c>
      <c r="C462" s="1" t="n">
        <v>46196</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64693-2023</t>
        </is>
      </c>
      <c r="B463" s="1" t="n">
        <v>45281</v>
      </c>
      <c r="C463" s="1" t="n">
        <v>46196</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64695-2023</t>
        </is>
      </c>
      <c r="B464" s="1" t="n">
        <v>45281</v>
      </c>
      <c r="C464" s="1" t="n">
        <v>46196</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27486-2022</t>
        </is>
      </c>
      <c r="B465" s="1" t="n">
        <v>44742</v>
      </c>
      <c r="C465" s="1" t="n">
        <v>46196</v>
      </c>
      <c r="D465" t="inlineStr">
        <is>
          <t>VÄSTMANLANDS LÄN</t>
        </is>
      </c>
      <c r="E465" t="inlineStr">
        <is>
          <t>SALA</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35003-2024</t>
        </is>
      </c>
      <c r="B466" s="1" t="n">
        <v>45527</v>
      </c>
      <c r="C466" s="1" t="n">
        <v>46196</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48688-2024</t>
        </is>
      </c>
      <c r="B467" s="1" t="n">
        <v>45593</v>
      </c>
      <c r="C467" s="1" t="n">
        <v>46196</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63933-2023</t>
        </is>
      </c>
      <c r="B468" s="1" t="n">
        <v>45278</v>
      </c>
      <c r="C468" s="1" t="n">
        <v>46196</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44746-2024</t>
        </is>
      </c>
      <c r="B469" s="1" t="n">
        <v>45574</v>
      </c>
      <c r="C469" s="1" t="n">
        <v>46196</v>
      </c>
      <c r="D469" t="inlineStr">
        <is>
          <t>VÄSTMANLANDS LÄN</t>
        </is>
      </c>
      <c r="E469" t="inlineStr">
        <is>
          <t>SALA</t>
        </is>
      </c>
      <c r="G469" t="n">
        <v>6.7</v>
      </c>
      <c r="H469" t="n">
        <v>0</v>
      </c>
      <c r="I469" t="n">
        <v>0</v>
      </c>
      <c r="J469" t="n">
        <v>0</v>
      </c>
      <c r="K469" t="n">
        <v>0</v>
      </c>
      <c r="L469" t="n">
        <v>0</v>
      </c>
      <c r="M469" t="n">
        <v>0</v>
      </c>
      <c r="N469" t="n">
        <v>0</v>
      </c>
      <c r="O469" t="n">
        <v>0</v>
      </c>
      <c r="P469" t="n">
        <v>0</v>
      </c>
      <c r="Q469" t="n">
        <v>0</v>
      </c>
      <c r="R469" s="2" t="inlineStr"/>
    </row>
    <row r="470" ht="15" customHeight="1">
      <c r="A470" t="inlineStr">
        <is>
          <t>A 33273-2023</t>
        </is>
      </c>
      <c r="B470" s="1" t="n">
        <v>45127</v>
      </c>
      <c r="C470" s="1" t="n">
        <v>46196</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60545-2024</t>
        </is>
      </c>
      <c r="B471" s="1" t="n">
        <v>45643</v>
      </c>
      <c r="C471" s="1" t="n">
        <v>46196</v>
      </c>
      <c r="D471" t="inlineStr">
        <is>
          <t>VÄSTMANLANDS LÄN</t>
        </is>
      </c>
      <c r="E471" t="inlineStr">
        <is>
          <t>SALA</t>
        </is>
      </c>
      <c r="G471" t="n">
        <v>3.3</v>
      </c>
      <c r="H471" t="n">
        <v>0</v>
      </c>
      <c r="I471" t="n">
        <v>0</v>
      </c>
      <c r="J471" t="n">
        <v>0</v>
      </c>
      <c r="K471" t="n">
        <v>0</v>
      </c>
      <c r="L471" t="n">
        <v>0</v>
      </c>
      <c r="M471" t="n">
        <v>0</v>
      </c>
      <c r="N471" t="n">
        <v>0</v>
      </c>
      <c r="O471" t="n">
        <v>0</v>
      </c>
      <c r="P471" t="n">
        <v>0</v>
      </c>
      <c r="Q471" t="n">
        <v>0</v>
      </c>
      <c r="R471" s="2" t="inlineStr"/>
    </row>
    <row r="472" ht="15" customHeight="1">
      <c r="A472" t="inlineStr">
        <is>
          <t>A 60547-2024</t>
        </is>
      </c>
      <c r="B472" s="1" t="n">
        <v>45643</v>
      </c>
      <c r="C472" s="1" t="n">
        <v>46196</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1985-2022</t>
        </is>
      </c>
      <c r="B473" s="1" t="n">
        <v>44575</v>
      </c>
      <c r="C473" s="1" t="n">
        <v>46196</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27261-2024</t>
        </is>
      </c>
      <c r="B474" s="1" t="n">
        <v>45471</v>
      </c>
      <c r="C474" s="1" t="n">
        <v>46196</v>
      </c>
      <c r="D474" t="inlineStr">
        <is>
          <t>VÄSTMANLANDS LÄN</t>
        </is>
      </c>
      <c r="E474" t="inlineStr">
        <is>
          <t>SALA</t>
        </is>
      </c>
      <c r="G474" t="n">
        <v>6.1</v>
      </c>
      <c r="H474" t="n">
        <v>0</v>
      </c>
      <c r="I474" t="n">
        <v>0</v>
      </c>
      <c r="J474" t="n">
        <v>0</v>
      </c>
      <c r="K474" t="n">
        <v>0</v>
      </c>
      <c r="L474" t="n">
        <v>0</v>
      </c>
      <c r="M474" t="n">
        <v>0</v>
      </c>
      <c r="N474" t="n">
        <v>0</v>
      </c>
      <c r="O474" t="n">
        <v>0</v>
      </c>
      <c r="P474" t="n">
        <v>0</v>
      </c>
      <c r="Q474" t="n">
        <v>0</v>
      </c>
      <c r="R474" s="2" t="inlineStr"/>
    </row>
    <row r="475" ht="15" customHeight="1">
      <c r="A475" t="inlineStr">
        <is>
          <t>A 35976-2024</t>
        </is>
      </c>
      <c r="B475" s="1" t="n">
        <v>45533</v>
      </c>
      <c r="C475" s="1" t="n">
        <v>46196</v>
      </c>
      <c r="D475" t="inlineStr">
        <is>
          <t>VÄSTMANLANDS LÄN</t>
        </is>
      </c>
      <c r="E475" t="inlineStr">
        <is>
          <t>SALA</t>
        </is>
      </c>
      <c r="G475" t="n">
        <v>2.3</v>
      </c>
      <c r="H475" t="n">
        <v>0</v>
      </c>
      <c r="I475" t="n">
        <v>0</v>
      </c>
      <c r="J475" t="n">
        <v>0</v>
      </c>
      <c r="K475" t="n">
        <v>0</v>
      </c>
      <c r="L475" t="n">
        <v>0</v>
      </c>
      <c r="M475" t="n">
        <v>0</v>
      </c>
      <c r="N475" t="n">
        <v>0</v>
      </c>
      <c r="O475" t="n">
        <v>0</v>
      </c>
      <c r="P475" t="n">
        <v>0</v>
      </c>
      <c r="Q475" t="n">
        <v>0</v>
      </c>
      <c r="R475" s="2" t="inlineStr"/>
    </row>
    <row r="476" ht="15" customHeight="1">
      <c r="A476" t="inlineStr">
        <is>
          <t>A 55556-2023</t>
        </is>
      </c>
      <c r="B476" s="1" t="n">
        <v>45232</v>
      </c>
      <c r="C476" s="1" t="n">
        <v>46196</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50479-2022</t>
        </is>
      </c>
      <c r="B477" s="1" t="n">
        <v>44861</v>
      </c>
      <c r="C477" s="1" t="n">
        <v>46196</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45790-2023</t>
        </is>
      </c>
      <c r="B478" s="1" t="n">
        <v>45195</v>
      </c>
      <c r="C478" s="1" t="n">
        <v>46196</v>
      </c>
      <c r="D478" t="inlineStr">
        <is>
          <t>VÄSTMANLANDS LÄN</t>
        </is>
      </c>
      <c r="E478" t="inlineStr">
        <is>
          <t>SALA</t>
        </is>
      </c>
      <c r="G478" t="n">
        <v>5.7</v>
      </c>
      <c r="H478" t="n">
        <v>0</v>
      </c>
      <c r="I478" t="n">
        <v>0</v>
      </c>
      <c r="J478" t="n">
        <v>0</v>
      </c>
      <c r="K478" t="n">
        <v>0</v>
      </c>
      <c r="L478" t="n">
        <v>0</v>
      </c>
      <c r="M478" t="n">
        <v>0</v>
      </c>
      <c r="N478" t="n">
        <v>0</v>
      </c>
      <c r="O478" t="n">
        <v>0</v>
      </c>
      <c r="P478" t="n">
        <v>0</v>
      </c>
      <c r="Q478" t="n">
        <v>0</v>
      </c>
      <c r="R478" s="2" t="inlineStr"/>
    </row>
    <row r="479" ht="15" customHeight="1">
      <c r="A479" t="inlineStr">
        <is>
          <t>A 2928-2024</t>
        </is>
      </c>
      <c r="B479" s="1" t="n">
        <v>45315</v>
      </c>
      <c r="C479" s="1" t="n">
        <v>46196</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73673-2021</t>
        </is>
      </c>
      <c r="B480" s="1" t="n">
        <v>44552</v>
      </c>
      <c r="C480" s="1" t="n">
        <v>46196</v>
      </c>
      <c r="D480" t="inlineStr">
        <is>
          <t>VÄSTMANLANDS LÄN</t>
        </is>
      </c>
      <c r="E480" t="inlineStr">
        <is>
          <t>SALA</t>
        </is>
      </c>
      <c r="G480" t="n">
        <v>11.4</v>
      </c>
      <c r="H480" t="n">
        <v>0</v>
      </c>
      <c r="I480" t="n">
        <v>0</v>
      </c>
      <c r="J480" t="n">
        <v>0</v>
      </c>
      <c r="K480" t="n">
        <v>0</v>
      </c>
      <c r="L480" t="n">
        <v>0</v>
      </c>
      <c r="M480" t="n">
        <v>0</v>
      </c>
      <c r="N480" t="n">
        <v>0</v>
      </c>
      <c r="O480" t="n">
        <v>0</v>
      </c>
      <c r="P480" t="n">
        <v>0</v>
      </c>
      <c r="Q480" t="n">
        <v>0</v>
      </c>
      <c r="R480" s="2" t="inlineStr"/>
    </row>
    <row r="481" ht="15" customHeight="1">
      <c r="A481" t="inlineStr">
        <is>
          <t>A 40871-2021</t>
        </is>
      </c>
      <c r="B481" s="1" t="n">
        <v>44421</v>
      </c>
      <c r="C481" s="1" t="n">
        <v>46196</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14271-2025</t>
        </is>
      </c>
      <c r="B482" s="1" t="n">
        <v>45740</v>
      </c>
      <c r="C482" s="1" t="n">
        <v>46196</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54199-2024</t>
        </is>
      </c>
      <c r="B483" s="1" t="n">
        <v>45616</v>
      </c>
      <c r="C483" s="1" t="n">
        <v>46196</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6312-2025</t>
        </is>
      </c>
      <c r="B484" s="1" t="n">
        <v>45698</v>
      </c>
      <c r="C484" s="1" t="n">
        <v>46196</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44857-2023</t>
        </is>
      </c>
      <c r="B485" s="1" t="n">
        <v>45190</v>
      </c>
      <c r="C485" s="1" t="n">
        <v>46196</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62654-2022</t>
        </is>
      </c>
      <c r="B486" s="1" t="n">
        <v>44917</v>
      </c>
      <c r="C486" s="1" t="n">
        <v>46196</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43188-2023</t>
        </is>
      </c>
      <c r="B487" s="1" t="n">
        <v>45183</v>
      </c>
      <c r="C487" s="1" t="n">
        <v>46196</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43205-2023</t>
        </is>
      </c>
      <c r="B488" s="1" t="n">
        <v>45183</v>
      </c>
      <c r="C488" s="1" t="n">
        <v>46196</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61892-2021</t>
        </is>
      </c>
      <c r="B489" s="1" t="n">
        <v>44502</v>
      </c>
      <c r="C489" s="1" t="n">
        <v>46196</v>
      </c>
      <c r="D489" t="inlineStr">
        <is>
          <t>VÄSTMANLANDS LÄN</t>
        </is>
      </c>
      <c r="E489" t="inlineStr">
        <is>
          <t>SALA</t>
        </is>
      </c>
      <c r="G489" t="n">
        <v>1.4</v>
      </c>
      <c r="H489" t="n">
        <v>0</v>
      </c>
      <c r="I489" t="n">
        <v>0</v>
      </c>
      <c r="J489" t="n">
        <v>0</v>
      </c>
      <c r="K489" t="n">
        <v>0</v>
      </c>
      <c r="L489" t="n">
        <v>0</v>
      </c>
      <c r="M489" t="n">
        <v>0</v>
      </c>
      <c r="N489" t="n">
        <v>0</v>
      </c>
      <c r="O489" t="n">
        <v>0</v>
      </c>
      <c r="P489" t="n">
        <v>0</v>
      </c>
      <c r="Q489" t="n">
        <v>0</v>
      </c>
      <c r="R489" s="2" t="inlineStr"/>
    </row>
    <row r="490" ht="15" customHeight="1">
      <c r="A490" t="inlineStr">
        <is>
          <t>A 29213-2022</t>
        </is>
      </c>
      <c r="B490" s="1" t="n">
        <v>44750</v>
      </c>
      <c r="C490" s="1" t="n">
        <v>46196</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59483-2022</t>
        </is>
      </c>
      <c r="B491" s="1" t="n">
        <v>44907</v>
      </c>
      <c r="C491" s="1" t="n">
        <v>46196</v>
      </c>
      <c r="D491" t="inlineStr">
        <is>
          <t>VÄSTMANLANDS LÄN</t>
        </is>
      </c>
      <c r="E491" t="inlineStr">
        <is>
          <t>SALA</t>
        </is>
      </c>
      <c r="G491" t="n">
        <v>5.2</v>
      </c>
      <c r="H491" t="n">
        <v>0</v>
      </c>
      <c r="I491" t="n">
        <v>0</v>
      </c>
      <c r="J491" t="n">
        <v>0</v>
      </c>
      <c r="K491" t="n">
        <v>0</v>
      </c>
      <c r="L491" t="n">
        <v>0</v>
      </c>
      <c r="M491" t="n">
        <v>0</v>
      </c>
      <c r="N491" t="n">
        <v>0</v>
      </c>
      <c r="O491" t="n">
        <v>0</v>
      </c>
      <c r="P491" t="n">
        <v>0</v>
      </c>
      <c r="Q491" t="n">
        <v>0</v>
      </c>
      <c r="R491" s="2" t="inlineStr"/>
    </row>
    <row r="492" ht="15" customHeight="1">
      <c r="A492" t="inlineStr">
        <is>
          <t>A 16160-2024</t>
        </is>
      </c>
      <c r="B492" s="1" t="n">
        <v>45406</v>
      </c>
      <c r="C492" s="1" t="n">
        <v>46196</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22921-2023</t>
        </is>
      </c>
      <c r="B493" s="1" t="n">
        <v>45070</v>
      </c>
      <c r="C493" s="1" t="n">
        <v>46196</v>
      </c>
      <c r="D493" t="inlineStr">
        <is>
          <t>VÄSTMANLANDS LÄN</t>
        </is>
      </c>
      <c r="E493" t="inlineStr">
        <is>
          <t>SALA</t>
        </is>
      </c>
      <c r="G493" t="n">
        <v>1.3</v>
      </c>
      <c r="H493" t="n">
        <v>0</v>
      </c>
      <c r="I493" t="n">
        <v>0</v>
      </c>
      <c r="J493" t="n">
        <v>0</v>
      </c>
      <c r="K493" t="n">
        <v>0</v>
      </c>
      <c r="L493" t="n">
        <v>0</v>
      </c>
      <c r="M493" t="n">
        <v>0</v>
      </c>
      <c r="N493" t="n">
        <v>0</v>
      </c>
      <c r="O493" t="n">
        <v>0</v>
      </c>
      <c r="P493" t="n">
        <v>0</v>
      </c>
      <c r="Q493" t="n">
        <v>0</v>
      </c>
      <c r="R493" s="2" t="inlineStr"/>
    </row>
    <row r="494" ht="15" customHeight="1">
      <c r="A494" t="inlineStr">
        <is>
          <t>A 36858-2023</t>
        </is>
      </c>
      <c r="B494" s="1" t="n">
        <v>45154</v>
      </c>
      <c r="C494" s="1" t="n">
        <v>46196</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55024-2023</t>
        </is>
      </c>
      <c r="B495" s="1" t="n">
        <v>45229</v>
      </c>
      <c r="C495" s="1" t="n">
        <v>46196</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55032-2023</t>
        </is>
      </c>
      <c r="B496" s="1" t="n">
        <v>45229</v>
      </c>
      <c r="C496" s="1" t="n">
        <v>46196</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20352-2022</t>
        </is>
      </c>
      <c r="B497" s="1" t="n">
        <v>44699</v>
      </c>
      <c r="C497" s="1" t="n">
        <v>46196</v>
      </c>
      <c r="D497" t="inlineStr">
        <is>
          <t>VÄSTMANLANDS LÄN</t>
        </is>
      </c>
      <c r="E497" t="inlineStr">
        <is>
          <t>SALA</t>
        </is>
      </c>
      <c r="G497" t="n">
        <v>1.3</v>
      </c>
      <c r="H497" t="n">
        <v>0</v>
      </c>
      <c r="I497" t="n">
        <v>0</v>
      </c>
      <c r="J497" t="n">
        <v>0</v>
      </c>
      <c r="K497" t="n">
        <v>0</v>
      </c>
      <c r="L497" t="n">
        <v>0</v>
      </c>
      <c r="M497" t="n">
        <v>0</v>
      </c>
      <c r="N497" t="n">
        <v>0</v>
      </c>
      <c r="O497" t="n">
        <v>0</v>
      </c>
      <c r="P497" t="n">
        <v>0</v>
      </c>
      <c r="Q497" t="n">
        <v>0</v>
      </c>
      <c r="R497" s="2" t="inlineStr"/>
    </row>
    <row r="498" ht="15" customHeight="1">
      <c r="A498" t="inlineStr">
        <is>
          <t>A 17117-2023</t>
        </is>
      </c>
      <c r="B498" s="1" t="n">
        <v>45034</v>
      </c>
      <c r="C498" s="1" t="n">
        <v>46196</v>
      </c>
      <c r="D498" t="inlineStr">
        <is>
          <t>VÄSTMANLANDS LÄN</t>
        </is>
      </c>
      <c r="E498" t="inlineStr">
        <is>
          <t>SALA</t>
        </is>
      </c>
      <c r="G498" t="n">
        <v>0.4</v>
      </c>
      <c r="H498" t="n">
        <v>0</v>
      </c>
      <c r="I498" t="n">
        <v>0</v>
      </c>
      <c r="J498" t="n">
        <v>0</v>
      </c>
      <c r="K498" t="n">
        <v>0</v>
      </c>
      <c r="L498" t="n">
        <v>0</v>
      </c>
      <c r="M498" t="n">
        <v>0</v>
      </c>
      <c r="N498" t="n">
        <v>0</v>
      </c>
      <c r="O498" t="n">
        <v>0</v>
      </c>
      <c r="P498" t="n">
        <v>0</v>
      </c>
      <c r="Q498" t="n">
        <v>0</v>
      </c>
      <c r="R498" s="2" t="inlineStr"/>
    </row>
    <row r="499" ht="15" customHeight="1">
      <c r="A499" t="inlineStr">
        <is>
          <t>A 36393-2023</t>
        </is>
      </c>
      <c r="B499" s="1" t="n">
        <v>45152</v>
      </c>
      <c r="C499" s="1" t="n">
        <v>46196</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27255-2023</t>
        </is>
      </c>
      <c r="B500" s="1" t="n">
        <v>45096</v>
      </c>
      <c r="C500" s="1" t="n">
        <v>46196</v>
      </c>
      <c r="D500" t="inlineStr">
        <is>
          <t>VÄSTMANLANDS LÄN</t>
        </is>
      </c>
      <c r="E500" t="inlineStr">
        <is>
          <t>SALA</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7197-2025</t>
        </is>
      </c>
      <c r="B501" s="1" t="n">
        <v>45702</v>
      </c>
      <c r="C501" s="1" t="n">
        <v>46196</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13752-2025</t>
        </is>
      </c>
      <c r="B502" s="1" t="n">
        <v>45737</v>
      </c>
      <c r="C502" s="1" t="n">
        <v>46196</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2927-2024</t>
        </is>
      </c>
      <c r="B503" s="1" t="n">
        <v>45315</v>
      </c>
      <c r="C503" s="1" t="n">
        <v>46196</v>
      </c>
      <c r="D503" t="inlineStr">
        <is>
          <t>VÄSTMANLANDS LÄN</t>
        </is>
      </c>
      <c r="E503" t="inlineStr">
        <is>
          <t>SALA</t>
        </is>
      </c>
      <c r="G503" t="n">
        <v>2.5</v>
      </c>
      <c r="H503" t="n">
        <v>0</v>
      </c>
      <c r="I503" t="n">
        <v>0</v>
      </c>
      <c r="J503" t="n">
        <v>0</v>
      </c>
      <c r="K503" t="n">
        <v>0</v>
      </c>
      <c r="L503" t="n">
        <v>0</v>
      </c>
      <c r="M503" t="n">
        <v>0</v>
      </c>
      <c r="N503" t="n">
        <v>0</v>
      </c>
      <c r="O503" t="n">
        <v>0</v>
      </c>
      <c r="P503" t="n">
        <v>0</v>
      </c>
      <c r="Q503" t="n">
        <v>0</v>
      </c>
      <c r="R503" s="2" t="inlineStr"/>
    </row>
    <row r="504" ht="15" customHeight="1">
      <c r="A504" t="inlineStr">
        <is>
          <t>A 26854-2024</t>
        </is>
      </c>
      <c r="B504" s="1" t="n">
        <v>45470</v>
      </c>
      <c r="C504" s="1" t="n">
        <v>46196</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57883-2024</t>
        </is>
      </c>
      <c r="B505" s="1" t="n">
        <v>45630</v>
      </c>
      <c r="C505" s="1" t="n">
        <v>46196</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18877-2023</t>
        </is>
      </c>
      <c r="B506" s="1" t="n">
        <v>45044</v>
      </c>
      <c r="C506" s="1" t="n">
        <v>46196</v>
      </c>
      <c r="D506" t="inlineStr">
        <is>
          <t>VÄSTMANLANDS LÄN</t>
        </is>
      </c>
      <c r="E506" t="inlineStr">
        <is>
          <t>SALA</t>
        </is>
      </c>
      <c r="F506" t="inlineStr">
        <is>
          <t>Kommuner</t>
        </is>
      </c>
      <c r="G506" t="n">
        <v>4.4</v>
      </c>
      <c r="H506" t="n">
        <v>0</v>
      </c>
      <c r="I506" t="n">
        <v>0</v>
      </c>
      <c r="J506" t="n">
        <v>0</v>
      </c>
      <c r="K506" t="n">
        <v>0</v>
      </c>
      <c r="L506" t="n">
        <v>0</v>
      </c>
      <c r="M506" t="n">
        <v>0</v>
      </c>
      <c r="N506" t="n">
        <v>0</v>
      </c>
      <c r="O506" t="n">
        <v>0</v>
      </c>
      <c r="P506" t="n">
        <v>0</v>
      </c>
      <c r="Q506" t="n">
        <v>0</v>
      </c>
      <c r="R506" s="2" t="inlineStr"/>
    </row>
    <row r="507" ht="15" customHeight="1">
      <c r="A507" t="inlineStr">
        <is>
          <t>A 44544-2024</t>
        </is>
      </c>
      <c r="B507" s="1" t="n">
        <v>45574</v>
      </c>
      <c r="C507" s="1" t="n">
        <v>46196</v>
      </c>
      <c r="D507" t="inlineStr">
        <is>
          <t>VÄSTMANLANDS LÄN</t>
        </is>
      </c>
      <c r="E507" t="inlineStr">
        <is>
          <t>SALA</t>
        </is>
      </c>
      <c r="G507" t="n">
        <v>3.3</v>
      </c>
      <c r="H507" t="n">
        <v>0</v>
      </c>
      <c r="I507" t="n">
        <v>0</v>
      </c>
      <c r="J507" t="n">
        <v>0</v>
      </c>
      <c r="K507" t="n">
        <v>0</v>
      </c>
      <c r="L507" t="n">
        <v>0</v>
      </c>
      <c r="M507" t="n">
        <v>0</v>
      </c>
      <c r="N507" t="n">
        <v>0</v>
      </c>
      <c r="O507" t="n">
        <v>0</v>
      </c>
      <c r="P507" t="n">
        <v>0</v>
      </c>
      <c r="Q507" t="n">
        <v>0</v>
      </c>
      <c r="R507" s="2" t="inlineStr"/>
    </row>
    <row r="508" ht="15" customHeight="1">
      <c r="A508" t="inlineStr">
        <is>
          <t>A 60379-2022</t>
        </is>
      </c>
      <c r="B508" s="1" t="n">
        <v>44910</v>
      </c>
      <c r="C508" s="1" t="n">
        <v>46196</v>
      </c>
      <c r="D508" t="inlineStr">
        <is>
          <t>VÄSTMANLANDS LÄN</t>
        </is>
      </c>
      <c r="E508" t="inlineStr">
        <is>
          <t>SALA</t>
        </is>
      </c>
      <c r="F508" t="inlineStr">
        <is>
          <t>Kyrkan</t>
        </is>
      </c>
      <c r="G508" t="n">
        <v>2.5</v>
      </c>
      <c r="H508" t="n">
        <v>0</v>
      </c>
      <c r="I508" t="n">
        <v>0</v>
      </c>
      <c r="J508" t="n">
        <v>0</v>
      </c>
      <c r="K508" t="n">
        <v>0</v>
      </c>
      <c r="L508" t="n">
        <v>0</v>
      </c>
      <c r="M508" t="n">
        <v>0</v>
      </c>
      <c r="N508" t="n">
        <v>0</v>
      </c>
      <c r="O508" t="n">
        <v>0</v>
      </c>
      <c r="P508" t="n">
        <v>0</v>
      </c>
      <c r="Q508" t="n">
        <v>0</v>
      </c>
      <c r="R508" s="2" t="inlineStr"/>
    </row>
    <row r="509" ht="15" customHeight="1">
      <c r="A509" t="inlineStr">
        <is>
          <t>A 56547-2022</t>
        </is>
      </c>
      <c r="B509" s="1" t="n">
        <v>44893</v>
      </c>
      <c r="C509" s="1" t="n">
        <v>46196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29542-2023</t>
        </is>
      </c>
      <c r="B510" s="1" t="n">
        <v>45098</v>
      </c>
      <c r="C510" s="1" t="n">
        <v>46196</v>
      </c>
      <c r="D510" t="inlineStr">
        <is>
          <t>VÄSTMANLANDS LÄN</t>
        </is>
      </c>
      <c r="E510" t="inlineStr">
        <is>
          <t>SALA</t>
        </is>
      </c>
      <c r="G510" t="n">
        <v>4.8</v>
      </c>
      <c r="H510" t="n">
        <v>0</v>
      </c>
      <c r="I510" t="n">
        <v>0</v>
      </c>
      <c r="J510" t="n">
        <v>0</v>
      </c>
      <c r="K510" t="n">
        <v>0</v>
      </c>
      <c r="L510" t="n">
        <v>0</v>
      </c>
      <c r="M510" t="n">
        <v>0</v>
      </c>
      <c r="N510" t="n">
        <v>0</v>
      </c>
      <c r="O510" t="n">
        <v>0</v>
      </c>
      <c r="P510" t="n">
        <v>0</v>
      </c>
      <c r="Q510" t="n">
        <v>0</v>
      </c>
      <c r="R510" s="2" t="inlineStr"/>
    </row>
    <row r="511" ht="15" customHeight="1">
      <c r="A511" t="inlineStr">
        <is>
          <t>A 16638-2023</t>
        </is>
      </c>
      <c r="B511" s="1" t="n">
        <v>45027</v>
      </c>
      <c r="C511" s="1" t="n">
        <v>46196</v>
      </c>
      <c r="D511" t="inlineStr">
        <is>
          <t>VÄSTMANLANDS LÄN</t>
        </is>
      </c>
      <c r="E511" t="inlineStr">
        <is>
          <t>SALA</t>
        </is>
      </c>
      <c r="G511" t="n">
        <v>14.8</v>
      </c>
      <c r="H511" t="n">
        <v>0</v>
      </c>
      <c r="I511" t="n">
        <v>0</v>
      </c>
      <c r="J511" t="n">
        <v>0</v>
      </c>
      <c r="K511" t="n">
        <v>0</v>
      </c>
      <c r="L511" t="n">
        <v>0</v>
      </c>
      <c r="M511" t="n">
        <v>0</v>
      </c>
      <c r="N511" t="n">
        <v>0</v>
      </c>
      <c r="O511" t="n">
        <v>0</v>
      </c>
      <c r="P511" t="n">
        <v>0</v>
      </c>
      <c r="Q511" t="n">
        <v>0</v>
      </c>
      <c r="R511" s="2" t="inlineStr"/>
    </row>
    <row r="512" ht="15" customHeight="1">
      <c r="A512" t="inlineStr">
        <is>
          <t>A 37190-2024</t>
        </is>
      </c>
      <c r="B512" s="1" t="n">
        <v>45539</v>
      </c>
      <c r="C512" s="1" t="n">
        <v>46196</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23222-2023</t>
        </is>
      </c>
      <c r="B513" s="1" t="n">
        <v>45075</v>
      </c>
      <c r="C513" s="1" t="n">
        <v>46196</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68864-2021</t>
        </is>
      </c>
      <c r="B514" s="1" t="n">
        <v>44530</v>
      </c>
      <c r="C514" s="1" t="n">
        <v>46196</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19065-2022</t>
        </is>
      </c>
      <c r="B515" s="1" t="n">
        <v>44691</v>
      </c>
      <c r="C515" s="1" t="n">
        <v>46196</v>
      </c>
      <c r="D515" t="inlineStr">
        <is>
          <t>VÄSTMANLANDS LÄN</t>
        </is>
      </c>
      <c r="E515" t="inlineStr">
        <is>
          <t>SALA</t>
        </is>
      </c>
      <c r="G515" t="n">
        <v>3.4</v>
      </c>
      <c r="H515" t="n">
        <v>0</v>
      </c>
      <c r="I515" t="n">
        <v>0</v>
      </c>
      <c r="J515" t="n">
        <v>0</v>
      </c>
      <c r="K515" t="n">
        <v>0</v>
      </c>
      <c r="L515" t="n">
        <v>0</v>
      </c>
      <c r="M515" t="n">
        <v>0</v>
      </c>
      <c r="N515" t="n">
        <v>0</v>
      </c>
      <c r="O515" t="n">
        <v>0</v>
      </c>
      <c r="P515" t="n">
        <v>0</v>
      </c>
      <c r="Q515" t="n">
        <v>0</v>
      </c>
      <c r="R515" s="2" t="inlineStr"/>
    </row>
    <row r="516" ht="15" customHeight="1">
      <c r="A516" t="inlineStr">
        <is>
          <t>A 37602-2024</t>
        </is>
      </c>
      <c r="B516" s="1" t="n">
        <v>45541</v>
      </c>
      <c r="C516" s="1" t="n">
        <v>46196</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18762-2024</t>
        </is>
      </c>
      <c r="B517" s="1" t="n">
        <v>45426</v>
      </c>
      <c r="C517" s="1" t="n">
        <v>46196</v>
      </c>
      <c r="D517" t="inlineStr">
        <is>
          <t>VÄSTMANLANDS LÄN</t>
        </is>
      </c>
      <c r="E517" t="inlineStr">
        <is>
          <t>SALA</t>
        </is>
      </c>
      <c r="G517" t="n">
        <v>6.2</v>
      </c>
      <c r="H517" t="n">
        <v>0</v>
      </c>
      <c r="I517" t="n">
        <v>0</v>
      </c>
      <c r="J517" t="n">
        <v>0</v>
      </c>
      <c r="K517" t="n">
        <v>0</v>
      </c>
      <c r="L517" t="n">
        <v>0</v>
      </c>
      <c r="M517" t="n">
        <v>0</v>
      </c>
      <c r="N517" t="n">
        <v>0</v>
      </c>
      <c r="O517" t="n">
        <v>0</v>
      </c>
      <c r="P517" t="n">
        <v>0</v>
      </c>
      <c r="Q517" t="n">
        <v>0</v>
      </c>
      <c r="R517" s="2" t="inlineStr"/>
    </row>
    <row r="518" ht="15" customHeight="1">
      <c r="A518" t="inlineStr">
        <is>
          <t>A 39011-2023</t>
        </is>
      </c>
      <c r="B518" s="1" t="n">
        <v>45162</v>
      </c>
      <c r="C518" s="1" t="n">
        <v>46196</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46352-2023</t>
        </is>
      </c>
      <c r="B519" s="1" t="n">
        <v>45192</v>
      </c>
      <c r="C519" s="1" t="n">
        <v>46196</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43751-2021</t>
        </is>
      </c>
      <c r="B520" s="1" t="n">
        <v>44433</v>
      </c>
      <c r="C520" s="1" t="n">
        <v>46196</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1128-2025</t>
        </is>
      </c>
      <c r="B521" s="1" t="n">
        <v>45666</v>
      </c>
      <c r="C521" s="1" t="n">
        <v>46196</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56540-2024</t>
        </is>
      </c>
      <c r="B522" s="1" t="n">
        <v>45625</v>
      </c>
      <c r="C522" s="1" t="n">
        <v>46196</v>
      </c>
      <c r="D522" t="inlineStr">
        <is>
          <t>VÄSTMANLANDS LÄN</t>
        </is>
      </c>
      <c r="E522" t="inlineStr">
        <is>
          <t>SALA</t>
        </is>
      </c>
      <c r="G522" t="n">
        <v>1.8</v>
      </c>
      <c r="H522" t="n">
        <v>0</v>
      </c>
      <c r="I522" t="n">
        <v>0</v>
      </c>
      <c r="J522" t="n">
        <v>0</v>
      </c>
      <c r="K522" t="n">
        <v>0</v>
      </c>
      <c r="L522" t="n">
        <v>0</v>
      </c>
      <c r="M522" t="n">
        <v>0</v>
      </c>
      <c r="N522" t="n">
        <v>0</v>
      </c>
      <c r="O522" t="n">
        <v>0</v>
      </c>
      <c r="P522" t="n">
        <v>0</v>
      </c>
      <c r="Q522" t="n">
        <v>0</v>
      </c>
      <c r="R522" s="2" t="inlineStr"/>
    </row>
    <row r="523" ht="15" customHeight="1">
      <c r="A523" t="inlineStr">
        <is>
          <t>A 6116-2023</t>
        </is>
      </c>
      <c r="B523" s="1" t="n">
        <v>44964</v>
      </c>
      <c r="C523" s="1" t="n">
        <v>46196</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25860-2024</t>
        </is>
      </c>
      <c r="B524" s="1" t="n">
        <v>45467</v>
      </c>
      <c r="C524" s="1" t="n">
        <v>46196</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56916-2022</t>
        </is>
      </c>
      <c r="B525" s="1" t="n">
        <v>44888</v>
      </c>
      <c r="C525" s="1" t="n">
        <v>46196</v>
      </c>
      <c r="D525" t="inlineStr">
        <is>
          <t>VÄSTMANLANDS LÄN</t>
        </is>
      </c>
      <c r="E525" t="inlineStr">
        <is>
          <t>SALA</t>
        </is>
      </c>
      <c r="G525" t="n">
        <v>1.7</v>
      </c>
      <c r="H525" t="n">
        <v>0</v>
      </c>
      <c r="I525" t="n">
        <v>0</v>
      </c>
      <c r="J525" t="n">
        <v>0</v>
      </c>
      <c r="K525" t="n">
        <v>0</v>
      </c>
      <c r="L525" t="n">
        <v>0</v>
      </c>
      <c r="M525" t="n">
        <v>0</v>
      </c>
      <c r="N525" t="n">
        <v>0</v>
      </c>
      <c r="O525" t="n">
        <v>0</v>
      </c>
      <c r="P525" t="n">
        <v>0</v>
      </c>
      <c r="Q525" t="n">
        <v>0</v>
      </c>
      <c r="R525" s="2" t="inlineStr"/>
    </row>
    <row r="526" ht="15" customHeight="1">
      <c r="A526" t="inlineStr">
        <is>
          <t>A 71471-2021</t>
        </is>
      </c>
      <c r="B526" s="1" t="n">
        <v>44540</v>
      </c>
      <c r="C526" s="1" t="n">
        <v>46196</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13987-2023</t>
        </is>
      </c>
      <c r="B527" s="1" t="n">
        <v>45007</v>
      </c>
      <c r="C527" s="1" t="n">
        <v>46196</v>
      </c>
      <c r="D527" t="inlineStr">
        <is>
          <t>VÄSTMANLANDS LÄN</t>
        </is>
      </c>
      <c r="E527" t="inlineStr">
        <is>
          <t>SALA</t>
        </is>
      </c>
      <c r="G527" t="n">
        <v>3.2</v>
      </c>
      <c r="H527" t="n">
        <v>0</v>
      </c>
      <c r="I527" t="n">
        <v>0</v>
      </c>
      <c r="J527" t="n">
        <v>0</v>
      </c>
      <c r="K527" t="n">
        <v>0</v>
      </c>
      <c r="L527" t="n">
        <v>0</v>
      </c>
      <c r="M527" t="n">
        <v>0</v>
      </c>
      <c r="N527" t="n">
        <v>0</v>
      </c>
      <c r="O527" t="n">
        <v>0</v>
      </c>
      <c r="P527" t="n">
        <v>0</v>
      </c>
      <c r="Q527" t="n">
        <v>0</v>
      </c>
      <c r="R527" s="2" t="inlineStr"/>
    </row>
    <row r="528" ht="15" customHeight="1">
      <c r="A528" t="inlineStr">
        <is>
          <t>A 13990-2023</t>
        </is>
      </c>
      <c r="B528" s="1" t="n">
        <v>45007</v>
      </c>
      <c r="C528" s="1" t="n">
        <v>46196</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1993-2022</t>
        </is>
      </c>
      <c r="B529" s="1" t="n">
        <v>44575</v>
      </c>
      <c r="C529" s="1" t="n">
        <v>46196</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43509-2021</t>
        </is>
      </c>
      <c r="B530" s="1" t="n">
        <v>44433</v>
      </c>
      <c r="C530" s="1" t="n">
        <v>46196</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54959-2024</t>
        </is>
      </c>
      <c r="B531" s="1" t="n">
        <v>45619</v>
      </c>
      <c r="C531" s="1" t="n">
        <v>46196</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10579-2022</t>
        </is>
      </c>
      <c r="B532" s="1" t="n">
        <v>44624</v>
      </c>
      <c r="C532" s="1" t="n">
        <v>46196</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9335-2022</t>
        </is>
      </c>
      <c r="B533" s="1" t="n">
        <v>44616</v>
      </c>
      <c r="C533" s="1" t="n">
        <v>46196</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23119-2022</t>
        </is>
      </c>
      <c r="B534" s="1" t="n">
        <v>44719</v>
      </c>
      <c r="C534" s="1" t="n">
        <v>46196</v>
      </c>
      <c r="D534" t="inlineStr">
        <is>
          <t>VÄSTMANLANDS LÄN</t>
        </is>
      </c>
      <c r="E534" t="inlineStr">
        <is>
          <t>SALA</t>
        </is>
      </c>
      <c r="G534" t="n">
        <v>7</v>
      </c>
      <c r="H534" t="n">
        <v>0</v>
      </c>
      <c r="I534" t="n">
        <v>0</v>
      </c>
      <c r="J534" t="n">
        <v>0</v>
      </c>
      <c r="K534" t="n">
        <v>0</v>
      </c>
      <c r="L534" t="n">
        <v>0</v>
      </c>
      <c r="M534" t="n">
        <v>0</v>
      </c>
      <c r="N534" t="n">
        <v>0</v>
      </c>
      <c r="O534" t="n">
        <v>0</v>
      </c>
      <c r="P534" t="n">
        <v>0</v>
      </c>
      <c r="Q534" t="n">
        <v>0</v>
      </c>
      <c r="R534" s="2" t="inlineStr"/>
    </row>
    <row r="535" ht="15" customHeight="1">
      <c r="A535" t="inlineStr">
        <is>
          <t>A 52503-2024</t>
        </is>
      </c>
      <c r="B535" s="1" t="n">
        <v>45609</v>
      </c>
      <c r="C535" s="1" t="n">
        <v>46196</v>
      </c>
      <c r="D535" t="inlineStr">
        <is>
          <t>VÄSTMANLANDS LÄN</t>
        </is>
      </c>
      <c r="E535" t="inlineStr">
        <is>
          <t>SALA</t>
        </is>
      </c>
      <c r="G535" t="n">
        <v>0.8</v>
      </c>
      <c r="H535" t="n">
        <v>0</v>
      </c>
      <c r="I535" t="n">
        <v>0</v>
      </c>
      <c r="J535" t="n">
        <v>0</v>
      </c>
      <c r="K535" t="n">
        <v>0</v>
      </c>
      <c r="L535" t="n">
        <v>0</v>
      </c>
      <c r="M535" t="n">
        <v>0</v>
      </c>
      <c r="N535" t="n">
        <v>0</v>
      </c>
      <c r="O535" t="n">
        <v>0</v>
      </c>
      <c r="P535" t="n">
        <v>0</v>
      </c>
      <c r="Q535" t="n">
        <v>0</v>
      </c>
      <c r="R535" s="2" t="inlineStr"/>
    </row>
    <row r="536" ht="15" customHeight="1">
      <c r="A536" t="inlineStr">
        <is>
          <t>A 7953-2024</t>
        </is>
      </c>
      <c r="B536" s="1" t="n">
        <v>45350</v>
      </c>
      <c r="C536" s="1" t="n">
        <v>46196</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27657-2023</t>
        </is>
      </c>
      <c r="B537" s="1" t="n">
        <v>45097</v>
      </c>
      <c r="C537" s="1" t="n">
        <v>46196</v>
      </c>
      <c r="D537" t="inlineStr">
        <is>
          <t>VÄSTMANLANDS LÄN</t>
        </is>
      </c>
      <c r="E537" t="inlineStr">
        <is>
          <t>SALA</t>
        </is>
      </c>
      <c r="G537" t="n">
        <v>0.1</v>
      </c>
      <c r="H537" t="n">
        <v>0</v>
      </c>
      <c r="I537" t="n">
        <v>0</v>
      </c>
      <c r="J537" t="n">
        <v>0</v>
      </c>
      <c r="K537" t="n">
        <v>0</v>
      </c>
      <c r="L537" t="n">
        <v>0</v>
      </c>
      <c r="M537" t="n">
        <v>0</v>
      </c>
      <c r="N537" t="n">
        <v>0</v>
      </c>
      <c r="O537" t="n">
        <v>0</v>
      </c>
      <c r="P537" t="n">
        <v>0</v>
      </c>
      <c r="Q537" t="n">
        <v>0</v>
      </c>
      <c r="R537" s="2" t="inlineStr"/>
    </row>
    <row r="538" ht="15" customHeight="1">
      <c r="A538" t="inlineStr">
        <is>
          <t>A 13855-2023</t>
        </is>
      </c>
      <c r="B538" s="1" t="n">
        <v>45007</v>
      </c>
      <c r="C538" s="1" t="n">
        <v>46196</v>
      </c>
      <c r="D538" t="inlineStr">
        <is>
          <t>VÄSTMANLANDS LÄN</t>
        </is>
      </c>
      <c r="E538" t="inlineStr">
        <is>
          <t>SALA</t>
        </is>
      </c>
      <c r="G538" t="n">
        <v>2.9</v>
      </c>
      <c r="H538" t="n">
        <v>0</v>
      </c>
      <c r="I538" t="n">
        <v>0</v>
      </c>
      <c r="J538" t="n">
        <v>0</v>
      </c>
      <c r="K538" t="n">
        <v>0</v>
      </c>
      <c r="L538" t="n">
        <v>0</v>
      </c>
      <c r="M538" t="n">
        <v>0</v>
      </c>
      <c r="N538" t="n">
        <v>0</v>
      </c>
      <c r="O538" t="n">
        <v>0</v>
      </c>
      <c r="P538" t="n">
        <v>0</v>
      </c>
      <c r="Q538" t="n">
        <v>0</v>
      </c>
      <c r="R538" s="2" t="inlineStr"/>
    </row>
    <row r="539" ht="15" customHeight="1">
      <c r="A539" t="inlineStr">
        <is>
          <t>A 33309-2022</t>
        </is>
      </c>
      <c r="B539" s="1" t="n">
        <v>44788</v>
      </c>
      <c r="C539" s="1" t="n">
        <v>46196</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47909-2022</t>
        </is>
      </c>
      <c r="B540" s="1" t="n">
        <v>44855</v>
      </c>
      <c r="C540" s="1" t="n">
        <v>46196</v>
      </c>
      <c r="D540" t="inlineStr">
        <is>
          <t>VÄSTMANLANDS LÄN</t>
        </is>
      </c>
      <c r="E540" t="inlineStr">
        <is>
          <t>SALA</t>
        </is>
      </c>
      <c r="F540" t="inlineStr">
        <is>
          <t>Bergvik skog öst AB</t>
        </is>
      </c>
      <c r="G540" t="n">
        <v>2</v>
      </c>
      <c r="H540" t="n">
        <v>0</v>
      </c>
      <c r="I540" t="n">
        <v>0</v>
      </c>
      <c r="J540" t="n">
        <v>0</v>
      </c>
      <c r="K540" t="n">
        <v>0</v>
      </c>
      <c r="L540" t="n">
        <v>0</v>
      </c>
      <c r="M540" t="n">
        <v>0</v>
      </c>
      <c r="N540" t="n">
        <v>0</v>
      </c>
      <c r="O540" t="n">
        <v>0</v>
      </c>
      <c r="P540" t="n">
        <v>0</v>
      </c>
      <c r="Q540" t="n">
        <v>0</v>
      </c>
      <c r="R540" s="2" t="inlineStr"/>
    </row>
    <row r="541" ht="15" customHeight="1">
      <c r="A541" t="inlineStr">
        <is>
          <t>A 11183-2023</t>
        </is>
      </c>
      <c r="B541" s="1" t="n">
        <v>44992</v>
      </c>
      <c r="C541" s="1" t="n">
        <v>46196</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11190-2023</t>
        </is>
      </c>
      <c r="B542" s="1" t="n">
        <v>44992</v>
      </c>
      <c r="C542" s="1" t="n">
        <v>46196</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53838-2022</t>
        </is>
      </c>
      <c r="B543" s="1" t="n">
        <v>44880</v>
      </c>
      <c r="C543" s="1" t="n">
        <v>46196</v>
      </c>
      <c r="D543" t="inlineStr">
        <is>
          <t>VÄSTMANLANDS LÄN</t>
        </is>
      </c>
      <c r="E543" t="inlineStr">
        <is>
          <t>SALA</t>
        </is>
      </c>
      <c r="G543" t="n">
        <v>3.9</v>
      </c>
      <c r="H543" t="n">
        <v>0</v>
      </c>
      <c r="I543" t="n">
        <v>0</v>
      </c>
      <c r="J543" t="n">
        <v>0</v>
      </c>
      <c r="K543" t="n">
        <v>0</v>
      </c>
      <c r="L543" t="n">
        <v>0</v>
      </c>
      <c r="M543" t="n">
        <v>0</v>
      </c>
      <c r="N543" t="n">
        <v>0</v>
      </c>
      <c r="O543" t="n">
        <v>0</v>
      </c>
      <c r="P543" t="n">
        <v>0</v>
      </c>
      <c r="Q543" t="n">
        <v>0</v>
      </c>
      <c r="R543" s="2" t="inlineStr"/>
    </row>
    <row r="544" ht="15" customHeight="1">
      <c r="A544" t="inlineStr">
        <is>
          <t>A 28827-2022</t>
        </is>
      </c>
      <c r="B544" s="1" t="n">
        <v>44749</v>
      </c>
      <c r="C544" s="1" t="n">
        <v>46196</v>
      </c>
      <c r="D544" t="inlineStr">
        <is>
          <t>VÄSTMANLANDS LÄN</t>
        </is>
      </c>
      <c r="E544" t="inlineStr">
        <is>
          <t>SALA</t>
        </is>
      </c>
      <c r="F544" t="inlineStr">
        <is>
          <t>Kommuner</t>
        </is>
      </c>
      <c r="G544" t="n">
        <v>11.9</v>
      </c>
      <c r="H544" t="n">
        <v>0</v>
      </c>
      <c r="I544" t="n">
        <v>0</v>
      </c>
      <c r="J544" t="n">
        <v>0</v>
      </c>
      <c r="K544" t="n">
        <v>0</v>
      </c>
      <c r="L544" t="n">
        <v>0</v>
      </c>
      <c r="M544" t="n">
        <v>0</v>
      </c>
      <c r="N544" t="n">
        <v>0</v>
      </c>
      <c r="O544" t="n">
        <v>0</v>
      </c>
      <c r="P544" t="n">
        <v>0</v>
      </c>
      <c r="Q544" t="n">
        <v>0</v>
      </c>
      <c r="R544" s="2" t="inlineStr"/>
    </row>
    <row r="545" ht="15" customHeight="1">
      <c r="A545" t="inlineStr">
        <is>
          <t>A 54836-2024</t>
        </is>
      </c>
      <c r="B545" s="1" t="n">
        <v>45618</v>
      </c>
      <c r="C545" s="1" t="n">
        <v>46196</v>
      </c>
      <c r="D545" t="inlineStr">
        <is>
          <t>VÄSTMANLANDS LÄN</t>
        </is>
      </c>
      <c r="E545" t="inlineStr">
        <is>
          <t>SALA</t>
        </is>
      </c>
      <c r="G545" t="n">
        <v>0.6</v>
      </c>
      <c r="H545" t="n">
        <v>0</v>
      </c>
      <c r="I545" t="n">
        <v>0</v>
      </c>
      <c r="J545" t="n">
        <v>0</v>
      </c>
      <c r="K545" t="n">
        <v>0</v>
      </c>
      <c r="L545" t="n">
        <v>0</v>
      </c>
      <c r="M545" t="n">
        <v>0</v>
      </c>
      <c r="N545" t="n">
        <v>0</v>
      </c>
      <c r="O545" t="n">
        <v>0</v>
      </c>
      <c r="P545" t="n">
        <v>0</v>
      </c>
      <c r="Q545" t="n">
        <v>0</v>
      </c>
      <c r="R545" s="2" t="inlineStr"/>
    </row>
    <row r="546" ht="15" customHeight="1">
      <c r="A546" t="inlineStr">
        <is>
          <t>A 64729-2023</t>
        </is>
      </c>
      <c r="B546" s="1" t="n">
        <v>45281</v>
      </c>
      <c r="C546" s="1" t="n">
        <v>46196</v>
      </c>
      <c r="D546" t="inlineStr">
        <is>
          <t>VÄSTMANLANDS LÄN</t>
        </is>
      </c>
      <c r="E546" t="inlineStr">
        <is>
          <t>SALA</t>
        </is>
      </c>
      <c r="G546" t="n">
        <v>1.8</v>
      </c>
      <c r="H546" t="n">
        <v>0</v>
      </c>
      <c r="I546" t="n">
        <v>0</v>
      </c>
      <c r="J546" t="n">
        <v>0</v>
      </c>
      <c r="K546" t="n">
        <v>0</v>
      </c>
      <c r="L546" t="n">
        <v>0</v>
      </c>
      <c r="M546" t="n">
        <v>0</v>
      </c>
      <c r="N546" t="n">
        <v>0</v>
      </c>
      <c r="O546" t="n">
        <v>0</v>
      </c>
      <c r="P546" t="n">
        <v>0</v>
      </c>
      <c r="Q546" t="n">
        <v>0</v>
      </c>
      <c r="R546" s="2" t="inlineStr"/>
    </row>
    <row r="547" ht="15" customHeight="1">
      <c r="A547" t="inlineStr">
        <is>
          <t>A 10585-2022</t>
        </is>
      </c>
      <c r="B547" s="1" t="n">
        <v>44624</v>
      </c>
      <c r="C547" s="1" t="n">
        <v>46196</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31609-2024</t>
        </is>
      </c>
      <c r="B548" s="1" t="n">
        <v>45506</v>
      </c>
      <c r="C548" s="1" t="n">
        <v>46196</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56057-2023</t>
        </is>
      </c>
      <c r="B549" s="1" t="n">
        <v>45233</v>
      </c>
      <c r="C549" s="1" t="n">
        <v>46196</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62635-2022</t>
        </is>
      </c>
      <c r="B550" s="1" t="n">
        <v>44917</v>
      </c>
      <c r="C550" s="1" t="n">
        <v>46196</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4852-2023</t>
        </is>
      </c>
      <c r="B551" s="1" t="n">
        <v>44957</v>
      </c>
      <c r="C551" s="1" t="n">
        <v>46196</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39714-2023</t>
        </is>
      </c>
      <c r="B552" s="1" t="n">
        <v>45167</v>
      </c>
      <c r="C552" s="1" t="n">
        <v>46196</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42984-2023</t>
        </is>
      </c>
      <c r="B553" s="1" t="n">
        <v>45179</v>
      </c>
      <c r="C553" s="1" t="n">
        <v>46196</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56535-2022</t>
        </is>
      </c>
      <c r="B554" s="1" t="n">
        <v>44893</v>
      </c>
      <c r="C554" s="1" t="n">
        <v>46196</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60550-2024</t>
        </is>
      </c>
      <c r="B555" s="1" t="n">
        <v>45643</v>
      </c>
      <c r="C555" s="1" t="n">
        <v>46196</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29230-2022</t>
        </is>
      </c>
      <c r="B556" s="1" t="n">
        <v>44750</v>
      </c>
      <c r="C556" s="1" t="n">
        <v>46196</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59175-2022</t>
        </is>
      </c>
      <c r="B557" s="1" t="n">
        <v>44904</v>
      </c>
      <c r="C557" s="1" t="n">
        <v>46196</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19381-2025</t>
        </is>
      </c>
      <c r="B558" s="1" t="n">
        <v>45769</v>
      </c>
      <c r="C558" s="1" t="n">
        <v>46196</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42938-2023</t>
        </is>
      </c>
      <c r="B559" s="1" t="n">
        <v>45179</v>
      </c>
      <c r="C559" s="1" t="n">
        <v>46196</v>
      </c>
      <c r="D559" t="inlineStr">
        <is>
          <t>VÄSTMANLANDS LÄN</t>
        </is>
      </c>
      <c r="E559" t="inlineStr">
        <is>
          <t>SALA</t>
        </is>
      </c>
      <c r="G559" t="n">
        <v>10.9</v>
      </c>
      <c r="H559" t="n">
        <v>0</v>
      </c>
      <c r="I559" t="n">
        <v>0</v>
      </c>
      <c r="J559" t="n">
        <v>0</v>
      </c>
      <c r="K559" t="n">
        <v>0</v>
      </c>
      <c r="L559" t="n">
        <v>0</v>
      </c>
      <c r="M559" t="n">
        <v>0</v>
      </c>
      <c r="N559" t="n">
        <v>0</v>
      </c>
      <c r="O559" t="n">
        <v>0</v>
      </c>
      <c r="P559" t="n">
        <v>0</v>
      </c>
      <c r="Q559" t="n">
        <v>0</v>
      </c>
      <c r="R559" s="2" t="inlineStr"/>
    </row>
    <row r="560" ht="15" customHeight="1">
      <c r="A560" t="inlineStr">
        <is>
          <t>A 19222-2025</t>
        </is>
      </c>
      <c r="B560" s="1" t="n">
        <v>45769</v>
      </c>
      <c r="C560" s="1" t="n">
        <v>46196</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19241-2025</t>
        </is>
      </c>
      <c r="B561" s="1" t="n">
        <v>45769</v>
      </c>
      <c r="C561" s="1" t="n">
        <v>46196</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60823-2024</t>
        </is>
      </c>
      <c r="B562" s="1" t="n">
        <v>45644</v>
      </c>
      <c r="C562" s="1" t="n">
        <v>46196</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61681-2024</t>
        </is>
      </c>
      <c r="B563" s="1" t="n">
        <v>45647</v>
      </c>
      <c r="C563" s="1" t="n">
        <v>46196</v>
      </c>
      <c r="D563" t="inlineStr">
        <is>
          <t>VÄSTMANLANDS LÄN</t>
        </is>
      </c>
      <c r="E563" t="inlineStr">
        <is>
          <t>SALA</t>
        </is>
      </c>
      <c r="F563" t="inlineStr">
        <is>
          <t>Kommuner</t>
        </is>
      </c>
      <c r="G563" t="n">
        <v>1</v>
      </c>
      <c r="H563" t="n">
        <v>0</v>
      </c>
      <c r="I563" t="n">
        <v>0</v>
      </c>
      <c r="J563" t="n">
        <v>0</v>
      </c>
      <c r="K563" t="n">
        <v>0</v>
      </c>
      <c r="L563" t="n">
        <v>0</v>
      </c>
      <c r="M563" t="n">
        <v>0</v>
      </c>
      <c r="N563" t="n">
        <v>0</v>
      </c>
      <c r="O563" t="n">
        <v>0</v>
      </c>
      <c r="P563" t="n">
        <v>0</v>
      </c>
      <c r="Q563" t="n">
        <v>0</v>
      </c>
      <c r="R563" s="2" t="inlineStr"/>
    </row>
    <row r="564" ht="15" customHeight="1">
      <c r="A564" t="inlineStr">
        <is>
          <t>A 49661-2024</t>
        </is>
      </c>
      <c r="B564" s="1" t="n">
        <v>45596</v>
      </c>
      <c r="C564" s="1" t="n">
        <v>46196</v>
      </c>
      <c r="D564" t="inlineStr">
        <is>
          <t>VÄSTMANLANDS LÄN</t>
        </is>
      </c>
      <c r="E564" t="inlineStr">
        <is>
          <t>SALA</t>
        </is>
      </c>
      <c r="G564" t="n">
        <v>6.7</v>
      </c>
      <c r="H564" t="n">
        <v>0</v>
      </c>
      <c r="I564" t="n">
        <v>0</v>
      </c>
      <c r="J564" t="n">
        <v>0</v>
      </c>
      <c r="K564" t="n">
        <v>0</v>
      </c>
      <c r="L564" t="n">
        <v>0</v>
      </c>
      <c r="M564" t="n">
        <v>0</v>
      </c>
      <c r="N564" t="n">
        <v>0</v>
      </c>
      <c r="O564" t="n">
        <v>0</v>
      </c>
      <c r="P564" t="n">
        <v>0</v>
      </c>
      <c r="Q564" t="n">
        <v>0</v>
      </c>
      <c r="R564" s="2" t="inlineStr"/>
    </row>
    <row r="565" ht="15" customHeight="1">
      <c r="A565" t="inlineStr">
        <is>
          <t>A 59297-2023</t>
        </is>
      </c>
      <c r="B565" s="1" t="n">
        <v>45253</v>
      </c>
      <c r="C565" s="1" t="n">
        <v>46196</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15965-2024</t>
        </is>
      </c>
      <c r="B566" s="1" t="n">
        <v>45405</v>
      </c>
      <c r="C566" s="1" t="n">
        <v>46196</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23180-2022</t>
        </is>
      </c>
      <c r="B567" s="1" t="n">
        <v>44719</v>
      </c>
      <c r="C567" s="1" t="n">
        <v>46196</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21455-2023</t>
        </is>
      </c>
      <c r="B568" s="1" t="n">
        <v>45058</v>
      </c>
      <c r="C568" s="1" t="n">
        <v>46196</v>
      </c>
      <c r="D568" t="inlineStr">
        <is>
          <t>VÄSTMANLANDS LÄN</t>
        </is>
      </c>
      <c r="E568" t="inlineStr">
        <is>
          <t>SALA</t>
        </is>
      </c>
      <c r="G568" t="n">
        <v>6.4</v>
      </c>
      <c r="H568" t="n">
        <v>0</v>
      </c>
      <c r="I568" t="n">
        <v>0</v>
      </c>
      <c r="J568" t="n">
        <v>0</v>
      </c>
      <c r="K568" t="n">
        <v>0</v>
      </c>
      <c r="L568" t="n">
        <v>0</v>
      </c>
      <c r="M568" t="n">
        <v>0</v>
      </c>
      <c r="N568" t="n">
        <v>0</v>
      </c>
      <c r="O568" t="n">
        <v>0</v>
      </c>
      <c r="P568" t="n">
        <v>0</v>
      </c>
      <c r="Q568" t="n">
        <v>0</v>
      </c>
      <c r="R568" s="2" t="inlineStr"/>
    </row>
    <row r="569" ht="15" customHeight="1">
      <c r="A569" t="inlineStr">
        <is>
          <t>A 21053-2022</t>
        </is>
      </c>
      <c r="B569" s="1" t="n">
        <v>44704</v>
      </c>
      <c r="C569" s="1" t="n">
        <v>46196</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11927-2025</t>
        </is>
      </c>
      <c r="B570" s="1" t="n">
        <v>45728</v>
      </c>
      <c r="C570" s="1" t="n">
        <v>46196</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50876-2023</t>
        </is>
      </c>
      <c r="B571" s="1" t="n">
        <v>45211</v>
      </c>
      <c r="C571" s="1" t="n">
        <v>46196</v>
      </c>
      <c r="D571" t="inlineStr">
        <is>
          <t>VÄSTMANLANDS LÄN</t>
        </is>
      </c>
      <c r="E571" t="inlineStr">
        <is>
          <t>SALA</t>
        </is>
      </c>
      <c r="G571" t="n">
        <v>1.9</v>
      </c>
      <c r="H571" t="n">
        <v>0</v>
      </c>
      <c r="I571" t="n">
        <v>0</v>
      </c>
      <c r="J571" t="n">
        <v>0</v>
      </c>
      <c r="K571" t="n">
        <v>0</v>
      </c>
      <c r="L571" t="n">
        <v>0</v>
      </c>
      <c r="M571" t="n">
        <v>0</v>
      </c>
      <c r="N571" t="n">
        <v>0</v>
      </c>
      <c r="O571" t="n">
        <v>0</v>
      </c>
      <c r="P571" t="n">
        <v>0</v>
      </c>
      <c r="Q571" t="n">
        <v>0</v>
      </c>
      <c r="R571" s="2" t="inlineStr"/>
    </row>
    <row r="572" ht="15" customHeight="1">
      <c r="A572" t="inlineStr">
        <is>
          <t>A 10255-2024</t>
        </is>
      </c>
      <c r="B572" s="1" t="n">
        <v>45365</v>
      </c>
      <c r="C572" s="1" t="n">
        <v>46196</v>
      </c>
      <c r="D572" t="inlineStr">
        <is>
          <t>VÄSTMANLANDS LÄN</t>
        </is>
      </c>
      <c r="E572" t="inlineStr">
        <is>
          <t>SALA</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62648-2022</t>
        </is>
      </c>
      <c r="B573" s="1" t="n">
        <v>44917</v>
      </c>
      <c r="C573" s="1" t="n">
        <v>46196</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5477-2024</t>
        </is>
      </c>
      <c r="B574" s="1" t="n">
        <v>45333</v>
      </c>
      <c r="C574" s="1" t="n">
        <v>46196</v>
      </c>
      <c r="D574" t="inlineStr">
        <is>
          <t>VÄSTMANLANDS LÄN</t>
        </is>
      </c>
      <c r="E574" t="inlineStr">
        <is>
          <t>SALA</t>
        </is>
      </c>
      <c r="G574" t="n">
        <v>2.3</v>
      </c>
      <c r="H574" t="n">
        <v>0</v>
      </c>
      <c r="I574" t="n">
        <v>0</v>
      </c>
      <c r="J574" t="n">
        <v>0</v>
      </c>
      <c r="K574" t="n">
        <v>0</v>
      </c>
      <c r="L574" t="n">
        <v>0</v>
      </c>
      <c r="M574" t="n">
        <v>0</v>
      </c>
      <c r="N574" t="n">
        <v>0</v>
      </c>
      <c r="O574" t="n">
        <v>0</v>
      </c>
      <c r="P574" t="n">
        <v>0</v>
      </c>
      <c r="Q574" t="n">
        <v>0</v>
      </c>
      <c r="R574" s="2" t="inlineStr"/>
    </row>
    <row r="575" ht="15" customHeight="1">
      <c r="A575" t="inlineStr">
        <is>
          <t>A 39451-2022</t>
        </is>
      </c>
      <c r="B575" s="1" t="n">
        <v>44818</v>
      </c>
      <c r="C575" s="1" t="n">
        <v>46196</v>
      </c>
      <c r="D575" t="inlineStr">
        <is>
          <t>VÄSTMANLANDS LÄN</t>
        </is>
      </c>
      <c r="E575" t="inlineStr">
        <is>
          <t>SALA</t>
        </is>
      </c>
      <c r="G575" t="n">
        <v>9.4</v>
      </c>
      <c r="H575" t="n">
        <v>0</v>
      </c>
      <c r="I575" t="n">
        <v>0</v>
      </c>
      <c r="J575" t="n">
        <v>0</v>
      </c>
      <c r="K575" t="n">
        <v>0</v>
      </c>
      <c r="L575" t="n">
        <v>0</v>
      </c>
      <c r="M575" t="n">
        <v>0</v>
      </c>
      <c r="N575" t="n">
        <v>0</v>
      </c>
      <c r="O575" t="n">
        <v>0</v>
      </c>
      <c r="P575" t="n">
        <v>0</v>
      </c>
      <c r="Q575" t="n">
        <v>0</v>
      </c>
      <c r="R575" s="2" t="inlineStr"/>
    </row>
    <row r="576" ht="15" customHeight="1">
      <c r="A576" t="inlineStr">
        <is>
          <t>A 7772-2023</t>
        </is>
      </c>
      <c r="B576" s="1" t="n">
        <v>44973</v>
      </c>
      <c r="C576" s="1" t="n">
        <v>46196</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19751-2022</t>
        </is>
      </c>
      <c r="B577" s="1" t="n">
        <v>44694</v>
      </c>
      <c r="C577" s="1" t="n">
        <v>46196</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44713-2023</t>
        </is>
      </c>
      <c r="B578" s="1" t="n">
        <v>45184</v>
      </c>
      <c r="C578" s="1" t="n">
        <v>46196</v>
      </c>
      <c r="D578" t="inlineStr">
        <is>
          <t>VÄSTMANLANDS LÄN</t>
        </is>
      </c>
      <c r="E578" t="inlineStr">
        <is>
          <t>SALA</t>
        </is>
      </c>
      <c r="F578" t="inlineStr">
        <is>
          <t>Kyrkan</t>
        </is>
      </c>
      <c r="G578" t="n">
        <v>7.6</v>
      </c>
      <c r="H578" t="n">
        <v>0</v>
      </c>
      <c r="I578" t="n">
        <v>0</v>
      </c>
      <c r="J578" t="n">
        <v>0</v>
      </c>
      <c r="K578" t="n">
        <v>0</v>
      </c>
      <c r="L578" t="n">
        <v>0</v>
      </c>
      <c r="M578" t="n">
        <v>0</v>
      </c>
      <c r="N578" t="n">
        <v>0</v>
      </c>
      <c r="O578" t="n">
        <v>0</v>
      </c>
      <c r="P578" t="n">
        <v>0</v>
      </c>
      <c r="Q578" t="n">
        <v>0</v>
      </c>
      <c r="R578" s="2" t="inlineStr"/>
    </row>
    <row r="579" ht="15" customHeight="1">
      <c r="A579" t="inlineStr">
        <is>
          <t>A 69236-2021</t>
        </is>
      </c>
      <c r="B579" s="1" t="n">
        <v>44531</v>
      </c>
      <c r="C579" s="1" t="n">
        <v>46196</v>
      </c>
      <c r="D579" t="inlineStr">
        <is>
          <t>VÄSTMANLANDS LÄN</t>
        </is>
      </c>
      <c r="E579" t="inlineStr">
        <is>
          <t>SALA</t>
        </is>
      </c>
      <c r="G579" t="n">
        <v>2.8</v>
      </c>
      <c r="H579" t="n">
        <v>0</v>
      </c>
      <c r="I579" t="n">
        <v>0</v>
      </c>
      <c r="J579" t="n">
        <v>0</v>
      </c>
      <c r="K579" t="n">
        <v>0</v>
      </c>
      <c r="L579" t="n">
        <v>0</v>
      </c>
      <c r="M579" t="n">
        <v>0</v>
      </c>
      <c r="N579" t="n">
        <v>0</v>
      </c>
      <c r="O579" t="n">
        <v>0</v>
      </c>
      <c r="P579" t="n">
        <v>0</v>
      </c>
      <c r="Q579" t="n">
        <v>0</v>
      </c>
      <c r="R579" s="2" t="inlineStr"/>
    </row>
    <row r="580" ht="15" customHeight="1">
      <c r="A580" t="inlineStr">
        <is>
          <t>A 25541-2024</t>
        </is>
      </c>
      <c r="B580" s="1" t="n">
        <v>45463</v>
      </c>
      <c r="C580" s="1" t="n">
        <v>46196</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5728-2022</t>
        </is>
      </c>
      <c r="B581" s="1" t="n">
        <v>44596</v>
      </c>
      <c r="C581" s="1" t="n">
        <v>46196</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10250-2025</t>
        </is>
      </c>
      <c r="B582" s="1" t="n">
        <v>45720</v>
      </c>
      <c r="C582" s="1" t="n">
        <v>46196</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42416-2022</t>
        </is>
      </c>
      <c r="B583" s="1" t="n">
        <v>44831</v>
      </c>
      <c r="C583" s="1" t="n">
        <v>46196</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6135-2023</t>
        </is>
      </c>
      <c r="B584" s="1" t="n">
        <v>44964</v>
      </c>
      <c r="C584" s="1" t="n">
        <v>46196</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18340-2025</t>
        </is>
      </c>
      <c r="B585" s="1" t="n">
        <v>45762</v>
      </c>
      <c r="C585" s="1" t="n">
        <v>46196</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56706-2022</t>
        </is>
      </c>
      <c r="B586" s="1" t="n">
        <v>44893</v>
      </c>
      <c r="C586" s="1" t="n">
        <v>46196</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56707-2022</t>
        </is>
      </c>
      <c r="B587" s="1" t="n">
        <v>44893</v>
      </c>
      <c r="C587" s="1" t="n">
        <v>46196</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48571-2024</t>
        </is>
      </c>
      <c r="B588" s="1" t="n">
        <v>45591</v>
      </c>
      <c r="C588" s="1" t="n">
        <v>46196</v>
      </c>
      <c r="D588" t="inlineStr">
        <is>
          <t>VÄSTMANLANDS LÄN</t>
        </is>
      </c>
      <c r="E588" t="inlineStr">
        <is>
          <t>SALA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13188-2025</t>
        </is>
      </c>
      <c r="B589" s="1" t="n">
        <v>45735</v>
      </c>
      <c r="C589" s="1" t="n">
        <v>46196</v>
      </c>
      <c r="D589" t="inlineStr">
        <is>
          <t>VÄSTMANLANDS LÄN</t>
        </is>
      </c>
      <c r="E589" t="inlineStr">
        <is>
          <t>SALA</t>
        </is>
      </c>
      <c r="F589" t="inlineStr">
        <is>
          <t>Naturvårdsverket</t>
        </is>
      </c>
      <c r="G589" t="n">
        <v>18.4</v>
      </c>
      <c r="H589" t="n">
        <v>0</v>
      </c>
      <c r="I589" t="n">
        <v>0</v>
      </c>
      <c r="J589" t="n">
        <v>0</v>
      </c>
      <c r="K589" t="n">
        <v>0</v>
      </c>
      <c r="L589" t="n">
        <v>0</v>
      </c>
      <c r="M589" t="n">
        <v>0</v>
      </c>
      <c r="N589" t="n">
        <v>0</v>
      </c>
      <c r="O589" t="n">
        <v>0</v>
      </c>
      <c r="P589" t="n">
        <v>0</v>
      </c>
      <c r="Q589" t="n">
        <v>0</v>
      </c>
      <c r="R589" s="2" t="inlineStr"/>
    </row>
    <row r="590" ht="15" customHeight="1">
      <c r="A590" t="inlineStr">
        <is>
          <t>A 23431-2024</t>
        </is>
      </c>
      <c r="B590" s="1" t="n">
        <v>45453</v>
      </c>
      <c r="C590" s="1" t="n">
        <v>46196</v>
      </c>
      <c r="D590" t="inlineStr">
        <is>
          <t>VÄSTMANLANDS LÄN</t>
        </is>
      </c>
      <c r="E590" t="inlineStr">
        <is>
          <t>SALA</t>
        </is>
      </c>
      <c r="G590" t="n">
        <v>1.6</v>
      </c>
      <c r="H590" t="n">
        <v>0</v>
      </c>
      <c r="I590" t="n">
        <v>0</v>
      </c>
      <c r="J590" t="n">
        <v>0</v>
      </c>
      <c r="K590" t="n">
        <v>0</v>
      </c>
      <c r="L590" t="n">
        <v>0</v>
      </c>
      <c r="M590" t="n">
        <v>0</v>
      </c>
      <c r="N590" t="n">
        <v>0</v>
      </c>
      <c r="O590" t="n">
        <v>0</v>
      </c>
      <c r="P590" t="n">
        <v>0</v>
      </c>
      <c r="Q590" t="n">
        <v>0</v>
      </c>
      <c r="R590" s="2" t="inlineStr"/>
    </row>
    <row r="591" ht="15" customHeight="1">
      <c r="A591" t="inlineStr">
        <is>
          <t>A 21754-2025</t>
        </is>
      </c>
      <c r="B591" s="1" t="n">
        <v>45783</v>
      </c>
      <c r="C591" s="1" t="n">
        <v>46196</v>
      </c>
      <c r="D591" t="inlineStr">
        <is>
          <t>VÄSTMANLANDS LÄN</t>
        </is>
      </c>
      <c r="E591" t="inlineStr">
        <is>
          <t>SALA</t>
        </is>
      </c>
      <c r="G591" t="n">
        <v>8.699999999999999</v>
      </c>
      <c r="H591" t="n">
        <v>0</v>
      </c>
      <c r="I591" t="n">
        <v>0</v>
      </c>
      <c r="J591" t="n">
        <v>0</v>
      </c>
      <c r="K591" t="n">
        <v>0</v>
      </c>
      <c r="L591" t="n">
        <v>0</v>
      </c>
      <c r="M591" t="n">
        <v>0</v>
      </c>
      <c r="N591" t="n">
        <v>0</v>
      </c>
      <c r="O591" t="n">
        <v>0</v>
      </c>
      <c r="P591" t="n">
        <v>0</v>
      </c>
      <c r="Q591" t="n">
        <v>0</v>
      </c>
      <c r="R591" s="2" t="inlineStr"/>
    </row>
    <row r="592">
      <c r="A592" t="inlineStr">
        <is>
          <t>A 21751-2025</t>
        </is>
      </c>
      <c r="B592" s="1" t="n">
        <v>45783</v>
      </c>
      <c r="C592" s="1" t="n">
        <v>46196</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2026-06-23T04:34:01Z</dcterms:created>
  <dcterms:modified xmlns:dcterms="http://purl.org/dc/terms/" xmlns:xsi="http://www.w3.org/2001/XMLSchema-instance" xsi:type="dcterms:W3CDTF">2026-06-23T04:34:02Z</dcterms:modified>
</cp:coreProperties>
</file>