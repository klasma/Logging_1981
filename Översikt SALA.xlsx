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45886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45886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45886</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45886</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45886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53009-2024</t>
        </is>
      </c>
      <c r="B14" s="1" t="n">
        <v>45610</v>
      </c>
      <c r="C14" s="1" t="n">
        <v>45886</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27488-2023</t>
        </is>
      </c>
      <c r="B15" s="1" t="n">
        <v>45097</v>
      </c>
      <c r="C15" s="1" t="n">
        <v>45886</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45886</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45886</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40493-2024</t>
        </is>
      </c>
      <c r="B18" s="1" t="n">
        <v>45555</v>
      </c>
      <c r="C18" s="1" t="n">
        <v>45886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4264-2024</t>
        </is>
      </c>
      <c r="B19" s="1" t="n">
        <v>45324</v>
      </c>
      <c r="C19" s="1" t="n">
        <v>45886</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3567-2024</t>
        </is>
      </c>
      <c r="B20" s="1" t="n">
        <v>45320.63706018519</v>
      </c>
      <c r="C20" s="1" t="n">
        <v>45886</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35461-2024</t>
        </is>
      </c>
      <c r="B21" s="1" t="n">
        <v>45531</v>
      </c>
      <c r="C21" s="1" t="n">
        <v>45886</v>
      </c>
      <c r="D21" t="inlineStr">
        <is>
          <t>VÄSTMANLANDS LÄN</t>
        </is>
      </c>
      <c r="E21" t="inlineStr">
        <is>
          <t>SALA</t>
        </is>
      </c>
      <c r="G21" t="n">
        <v>4.4</v>
      </c>
      <c r="H21" t="n">
        <v>2</v>
      </c>
      <c r="I21" t="n">
        <v>1</v>
      </c>
      <c r="J21" t="n">
        <v>2</v>
      </c>
      <c r="K21" t="n">
        <v>0</v>
      </c>
      <c r="L21" t="n">
        <v>0</v>
      </c>
      <c r="M21" t="n">
        <v>0</v>
      </c>
      <c r="N21" t="n">
        <v>0</v>
      </c>
      <c r="O21" t="n">
        <v>2</v>
      </c>
      <c r="P21" t="n">
        <v>0</v>
      </c>
      <c r="Q21" t="n">
        <v>3</v>
      </c>
      <c r="R21" s="2" t="inlineStr">
        <is>
          <t>Duvhök
Talltita
Grönpyrola</t>
        </is>
      </c>
      <c r="S21">
        <f>HYPERLINK("https://klasma.github.io/Logging_1981/artfynd/A 35461-2024 artfynd.xlsx", "A 35461-2024")</f>
        <v/>
      </c>
      <c r="T21">
        <f>HYPERLINK("https://klasma.github.io/Logging_1981/kartor/A 35461-2024 karta.png", "A 35461-2024")</f>
        <v/>
      </c>
      <c r="V21">
        <f>HYPERLINK("https://klasma.github.io/Logging_1981/klagomål/A 35461-2024 FSC-klagomål.docx", "A 35461-2024")</f>
        <v/>
      </c>
      <c r="W21">
        <f>HYPERLINK("https://klasma.github.io/Logging_1981/klagomålsmail/A 35461-2024 FSC-klagomål mail.docx", "A 35461-2024")</f>
        <v/>
      </c>
      <c r="X21">
        <f>HYPERLINK("https://klasma.github.io/Logging_1981/tillsyn/A 35461-2024 tillsynsbegäran.docx", "A 35461-2024")</f>
        <v/>
      </c>
      <c r="Y21">
        <f>HYPERLINK("https://klasma.github.io/Logging_1981/tillsynsmail/A 35461-2024 tillsynsbegäran mail.docx", "A 35461-2024")</f>
        <v/>
      </c>
      <c r="Z21">
        <f>HYPERLINK("https://klasma.github.io/Logging_1981/fåglar/A 35461-2024 prioriterade fågelarter.docx", "A 35461-2024")</f>
        <v/>
      </c>
    </row>
    <row r="22" ht="15" customHeight="1">
      <c r="A22" t="inlineStr">
        <is>
          <t>A 34065-2025</t>
        </is>
      </c>
      <c r="B22" s="1" t="n">
        <v>45845.42806712963</v>
      </c>
      <c r="C22" s="1" t="n">
        <v>45886</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53019-2024</t>
        </is>
      </c>
      <c r="B23" s="1" t="n">
        <v>45610</v>
      </c>
      <c r="C23" s="1" t="n">
        <v>45886</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47475-2024</t>
        </is>
      </c>
      <c r="B24" s="1" t="n">
        <v>45587.57552083334</v>
      </c>
      <c r="C24" s="1" t="n">
        <v>45886</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52909-2022</t>
        </is>
      </c>
      <c r="B25" s="1" t="n">
        <v>44875</v>
      </c>
      <c r="C25" s="1" t="n">
        <v>45886</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45886</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45886</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45886</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24327-2025</t>
        </is>
      </c>
      <c r="B29" s="1" t="n">
        <v>45797</v>
      </c>
      <c r="C29" s="1" t="n">
        <v>45886</v>
      </c>
      <c r="D29" t="inlineStr">
        <is>
          <t>VÄSTMANLANDS LÄN</t>
        </is>
      </c>
      <c r="E29" t="inlineStr">
        <is>
          <t>SALA</t>
        </is>
      </c>
      <c r="G29" t="n">
        <v>13.1</v>
      </c>
      <c r="H29" t="n">
        <v>1</v>
      </c>
      <c r="I29" t="n">
        <v>1</v>
      </c>
      <c r="J29" t="n">
        <v>0</v>
      </c>
      <c r="K29" t="n">
        <v>0</v>
      </c>
      <c r="L29" t="n">
        <v>0</v>
      </c>
      <c r="M29" t="n">
        <v>0</v>
      </c>
      <c r="N29" t="n">
        <v>0</v>
      </c>
      <c r="O29" t="n">
        <v>0</v>
      </c>
      <c r="P29" t="n">
        <v>0</v>
      </c>
      <c r="Q29" t="n">
        <v>2</v>
      </c>
      <c r="R29" s="2" t="inlineStr">
        <is>
          <t>Blomkålssvamp
Blåsippa</t>
        </is>
      </c>
      <c r="S29">
        <f>HYPERLINK("https://klasma.github.io/Logging_1981/artfynd/A 24327-2025 artfynd.xlsx", "A 24327-2025")</f>
        <v/>
      </c>
      <c r="T29">
        <f>HYPERLINK("https://klasma.github.io/Logging_1981/kartor/A 24327-2025 karta.png", "A 24327-2025")</f>
        <v/>
      </c>
      <c r="U29">
        <f>HYPERLINK("https://klasma.github.io/Logging_1981/knärot/A 24327-2025 karta knärot.png", "A 24327-2025")</f>
        <v/>
      </c>
      <c r="V29">
        <f>HYPERLINK("https://klasma.github.io/Logging_1981/klagomål/A 24327-2025 FSC-klagomål.docx", "A 24327-2025")</f>
        <v/>
      </c>
      <c r="W29">
        <f>HYPERLINK("https://klasma.github.io/Logging_1981/klagomålsmail/A 24327-2025 FSC-klagomål mail.docx", "A 24327-2025")</f>
        <v/>
      </c>
      <c r="X29">
        <f>HYPERLINK("https://klasma.github.io/Logging_1981/tillsyn/A 24327-2025 tillsynsbegäran.docx", "A 24327-2025")</f>
        <v/>
      </c>
      <c r="Y29">
        <f>HYPERLINK("https://klasma.github.io/Logging_1981/tillsynsmail/A 24327-2025 tillsynsbegäran mail.docx", "A 24327-2025")</f>
        <v/>
      </c>
    </row>
    <row r="30" ht="15" customHeight="1">
      <c r="A30" t="inlineStr">
        <is>
          <t>A 24872-2025</t>
        </is>
      </c>
      <c r="B30" s="1" t="n">
        <v>45799.49038194444</v>
      </c>
      <c r="C30" s="1" t="n">
        <v>45886</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45886</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15102-2025</t>
        </is>
      </c>
      <c r="B32" s="1" t="n">
        <v>45744.34585648148</v>
      </c>
      <c r="C32" s="1" t="n">
        <v>45886</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13029-2023</t>
        </is>
      </c>
      <c r="B33" s="1" t="n">
        <v>45001</v>
      </c>
      <c r="C33" s="1" t="n">
        <v>45886</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61454-2024</t>
        </is>
      </c>
      <c r="B34" s="1" t="n">
        <v>45646</v>
      </c>
      <c r="C34" s="1" t="n">
        <v>45886</v>
      </c>
      <c r="D34" t="inlineStr">
        <is>
          <t>VÄSTMANLANDS LÄN</t>
        </is>
      </c>
      <c r="E34" t="inlineStr">
        <is>
          <t>SALA</t>
        </is>
      </c>
      <c r="G34" t="n">
        <v>15</v>
      </c>
      <c r="H34" t="n">
        <v>2</v>
      </c>
      <c r="I34" t="n">
        <v>0</v>
      </c>
      <c r="J34" t="n">
        <v>0</v>
      </c>
      <c r="K34" t="n">
        <v>1</v>
      </c>
      <c r="L34" t="n">
        <v>0</v>
      </c>
      <c r="M34" t="n">
        <v>0</v>
      </c>
      <c r="N34" t="n">
        <v>0</v>
      </c>
      <c r="O34" t="n">
        <v>1</v>
      </c>
      <c r="P34" t="n">
        <v>1</v>
      </c>
      <c r="Q34" t="n">
        <v>2</v>
      </c>
      <c r="R34" s="2" t="inlineStr">
        <is>
          <t>Knärot
Mindre vattensalamander</t>
        </is>
      </c>
      <c r="S34">
        <f>HYPERLINK("https://klasma.github.io/Logging_1981/artfynd/A 61454-2024 artfynd.xlsx", "A 61454-2024")</f>
        <v/>
      </c>
      <c r="T34">
        <f>HYPERLINK("https://klasma.github.io/Logging_1981/kartor/A 61454-2024 karta.png", "A 61454-2024")</f>
        <v/>
      </c>
      <c r="U34">
        <f>HYPERLINK("https://klasma.github.io/Logging_1981/knärot/A 61454-2024 karta knärot.png", "A 61454-2024")</f>
        <v/>
      </c>
      <c r="V34">
        <f>HYPERLINK("https://klasma.github.io/Logging_1981/klagomål/A 61454-2024 FSC-klagomål.docx", "A 61454-2024")</f>
        <v/>
      </c>
      <c r="W34">
        <f>HYPERLINK("https://klasma.github.io/Logging_1981/klagomålsmail/A 61454-2024 FSC-klagomål mail.docx", "A 61454-2024")</f>
        <v/>
      </c>
      <c r="X34">
        <f>HYPERLINK("https://klasma.github.io/Logging_1981/tillsyn/A 61454-2024 tillsynsbegäran.docx", "A 61454-2024")</f>
        <v/>
      </c>
      <c r="Y34">
        <f>HYPERLINK("https://klasma.github.io/Logging_1981/tillsynsmail/A 61454-2024 tillsynsbegäran mail.docx", "A 61454-2024")</f>
        <v/>
      </c>
    </row>
    <row r="35" ht="15" customHeight="1">
      <c r="A35" t="inlineStr">
        <is>
          <t>A 44970-2021</t>
        </is>
      </c>
      <c r="B35" s="1" t="n">
        <v>44438.74399305556</v>
      </c>
      <c r="C35" s="1" t="n">
        <v>45886</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45886</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45886</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45886</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45886</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37166-2024</t>
        </is>
      </c>
      <c r="B40" s="1" t="n">
        <v>45539</v>
      </c>
      <c r="C40" s="1" t="n">
        <v>45886</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37166-2024 artfynd.xlsx", "A 37166-2024")</f>
        <v/>
      </c>
      <c r="T40">
        <f>HYPERLINK("https://klasma.github.io/Logging_1981/kartor/A 37166-2024 karta.png", "A 37166-2024")</f>
        <v/>
      </c>
      <c r="U40">
        <f>HYPERLINK("https://klasma.github.io/Logging_1981/knärot/A 37166-2024 karta knärot.png", "A 37166-2024")</f>
        <v/>
      </c>
      <c r="V40">
        <f>HYPERLINK("https://klasma.github.io/Logging_1981/klagomål/A 37166-2024 FSC-klagomål.docx", "A 37166-2024")</f>
        <v/>
      </c>
      <c r="W40">
        <f>HYPERLINK("https://klasma.github.io/Logging_1981/klagomålsmail/A 37166-2024 FSC-klagomål mail.docx", "A 37166-2024")</f>
        <v/>
      </c>
      <c r="X40">
        <f>HYPERLINK("https://klasma.github.io/Logging_1981/tillsyn/A 37166-2024 tillsynsbegäran.docx", "A 37166-2024")</f>
        <v/>
      </c>
      <c r="Y40">
        <f>HYPERLINK("https://klasma.github.io/Logging_1981/tillsynsmail/A 37166-2024 tillsynsbegäran mail.docx", "A 37166-2024")</f>
        <v/>
      </c>
    </row>
    <row r="41" ht="15" customHeight="1">
      <c r="A41" t="inlineStr">
        <is>
          <t>A 60852-2024</t>
        </is>
      </c>
      <c r="B41" s="1" t="n">
        <v>45644</v>
      </c>
      <c r="C41" s="1" t="n">
        <v>45886</v>
      </c>
      <c r="D41" t="inlineStr">
        <is>
          <t>VÄSTMANLANDS LÄN</t>
        </is>
      </c>
      <c r="E41" t="inlineStr">
        <is>
          <t>SALA</t>
        </is>
      </c>
      <c r="G41" t="n">
        <v>7.6</v>
      </c>
      <c r="H41" t="n">
        <v>1</v>
      </c>
      <c r="I41" t="n">
        <v>0</v>
      </c>
      <c r="J41" t="n">
        <v>0</v>
      </c>
      <c r="K41" t="n">
        <v>0</v>
      </c>
      <c r="L41" t="n">
        <v>0</v>
      </c>
      <c r="M41" t="n">
        <v>0</v>
      </c>
      <c r="N41" t="n">
        <v>0</v>
      </c>
      <c r="O41" t="n">
        <v>0</v>
      </c>
      <c r="P41" t="n">
        <v>0</v>
      </c>
      <c r="Q41" t="n">
        <v>1</v>
      </c>
      <c r="R41" s="2" t="inlineStr">
        <is>
          <t>Blåsippa</t>
        </is>
      </c>
      <c r="S41">
        <f>HYPERLINK("https://klasma.github.io/Logging_1981/artfynd/A 60852-2024 artfynd.xlsx", "A 60852-2024")</f>
        <v/>
      </c>
      <c r="T41">
        <f>HYPERLINK("https://klasma.github.io/Logging_1981/kartor/A 60852-2024 karta.png", "A 60852-2024")</f>
        <v/>
      </c>
      <c r="V41">
        <f>HYPERLINK("https://klasma.github.io/Logging_1981/klagomål/A 60852-2024 FSC-klagomål.docx", "A 60852-2024")</f>
        <v/>
      </c>
      <c r="W41">
        <f>HYPERLINK("https://klasma.github.io/Logging_1981/klagomålsmail/A 60852-2024 FSC-klagomål mail.docx", "A 60852-2024")</f>
        <v/>
      </c>
      <c r="X41">
        <f>HYPERLINK("https://klasma.github.io/Logging_1981/tillsyn/A 60852-2024 tillsynsbegäran.docx", "A 60852-2024")</f>
        <v/>
      </c>
      <c r="Y41">
        <f>HYPERLINK("https://klasma.github.io/Logging_1981/tillsynsmail/A 60852-2024 tillsynsbegäran mail.docx", "A 60852-2024")</f>
        <v/>
      </c>
    </row>
    <row r="42" ht="15" customHeight="1">
      <c r="A42" t="inlineStr">
        <is>
          <t>A 22950-2025</t>
        </is>
      </c>
      <c r="B42" s="1" t="n">
        <v>45790.50728009259</v>
      </c>
      <c r="C42" s="1" t="n">
        <v>45886</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56704-2022</t>
        </is>
      </c>
      <c r="B43" s="1" t="n">
        <v>44893.78075231481</v>
      </c>
      <c r="C43" s="1" t="n">
        <v>45886</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39800-2020</t>
        </is>
      </c>
      <c r="B44" s="1" t="n">
        <v>44067</v>
      </c>
      <c r="C44" s="1" t="n">
        <v>45886</v>
      </c>
      <c r="D44" t="inlineStr">
        <is>
          <t>VÄSTMANLANDS LÄN</t>
        </is>
      </c>
      <c r="E44" t="inlineStr">
        <is>
          <t>SALA</t>
        </is>
      </c>
      <c r="F44" t="inlineStr">
        <is>
          <t>Sveaskog</t>
        </is>
      </c>
      <c r="G44" t="n">
        <v>1.8</v>
      </c>
      <c r="H44" t="n">
        <v>1</v>
      </c>
      <c r="I44" t="n">
        <v>0</v>
      </c>
      <c r="J44" t="n">
        <v>0</v>
      </c>
      <c r="K44" t="n">
        <v>1</v>
      </c>
      <c r="L44" t="n">
        <v>0</v>
      </c>
      <c r="M44" t="n">
        <v>0</v>
      </c>
      <c r="N44" t="n">
        <v>0</v>
      </c>
      <c r="O44" t="n">
        <v>1</v>
      </c>
      <c r="P44" t="n">
        <v>1</v>
      </c>
      <c r="Q44" t="n">
        <v>1</v>
      </c>
      <c r="R44" s="2" t="inlineStr">
        <is>
          <t>Bombmurkla</t>
        </is>
      </c>
      <c r="S44">
        <f>HYPERLINK("https://klasma.github.io/Logging_1981/artfynd/A 39800-2020 artfynd.xlsx", "A 39800-2020")</f>
        <v/>
      </c>
      <c r="T44">
        <f>HYPERLINK("https://klasma.github.io/Logging_1981/kartor/A 39800-2020 karta.png", "A 39800-2020")</f>
        <v/>
      </c>
      <c r="V44">
        <f>HYPERLINK("https://klasma.github.io/Logging_1981/klagomål/A 39800-2020 FSC-klagomål.docx", "A 39800-2020")</f>
        <v/>
      </c>
      <c r="W44">
        <f>HYPERLINK("https://klasma.github.io/Logging_1981/klagomålsmail/A 39800-2020 FSC-klagomål mail.docx", "A 39800-2020")</f>
        <v/>
      </c>
      <c r="X44">
        <f>HYPERLINK("https://klasma.github.io/Logging_1981/tillsyn/A 39800-2020 tillsynsbegäran.docx", "A 39800-2020")</f>
        <v/>
      </c>
      <c r="Y44">
        <f>HYPERLINK("https://klasma.github.io/Logging_1981/tillsynsmail/A 39800-2020 tillsynsbegäran mail.docx", "A 39800-2020")</f>
        <v/>
      </c>
    </row>
    <row r="45" ht="15" customHeight="1">
      <c r="A45" t="inlineStr">
        <is>
          <t>A 43175-2023</t>
        </is>
      </c>
      <c r="B45" s="1" t="n">
        <v>45183</v>
      </c>
      <c r="C45" s="1" t="n">
        <v>45886</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29985-2022</t>
        </is>
      </c>
      <c r="B46" s="1" t="n">
        <v>44756</v>
      </c>
      <c r="C46" s="1" t="n">
        <v>45886</v>
      </c>
      <c r="D46" t="inlineStr">
        <is>
          <t>VÄSTMANLANDS LÄN</t>
        </is>
      </c>
      <c r="E46" t="inlineStr">
        <is>
          <t>SALA</t>
        </is>
      </c>
      <c r="F46" t="inlineStr">
        <is>
          <t>Kommuner</t>
        </is>
      </c>
      <c r="G46" t="n">
        <v>1</v>
      </c>
      <c r="H46" t="n">
        <v>1</v>
      </c>
      <c r="I46" t="n">
        <v>1</v>
      </c>
      <c r="J46" t="n">
        <v>0</v>
      </c>
      <c r="K46" t="n">
        <v>0</v>
      </c>
      <c r="L46" t="n">
        <v>0</v>
      </c>
      <c r="M46" t="n">
        <v>0</v>
      </c>
      <c r="N46" t="n">
        <v>0</v>
      </c>
      <c r="O46" t="n">
        <v>0</v>
      </c>
      <c r="P46" t="n">
        <v>0</v>
      </c>
      <c r="Q46" t="n">
        <v>1</v>
      </c>
      <c r="R46" s="2" t="inlineStr">
        <is>
          <t>Skogsknipprot</t>
        </is>
      </c>
      <c r="S46">
        <f>HYPERLINK("https://klasma.github.io/Logging_1981/artfynd/A 29985-2022 artfynd.xlsx", "A 29985-2022")</f>
        <v/>
      </c>
      <c r="T46">
        <f>HYPERLINK("https://klasma.github.io/Logging_1981/kartor/A 29985-2022 karta.png", "A 29985-2022")</f>
        <v/>
      </c>
      <c r="V46">
        <f>HYPERLINK("https://klasma.github.io/Logging_1981/klagomål/A 29985-2022 FSC-klagomål.docx", "A 29985-2022")</f>
        <v/>
      </c>
      <c r="W46">
        <f>HYPERLINK("https://klasma.github.io/Logging_1981/klagomålsmail/A 29985-2022 FSC-klagomål mail.docx", "A 29985-2022")</f>
        <v/>
      </c>
      <c r="X46">
        <f>HYPERLINK("https://klasma.github.io/Logging_1981/tillsyn/A 29985-2022 tillsynsbegäran.docx", "A 29985-2022")</f>
        <v/>
      </c>
      <c r="Y46">
        <f>HYPERLINK("https://klasma.github.io/Logging_1981/tillsynsmail/A 29985-2022 tillsynsbegäran mail.docx", "A 29985-2022")</f>
        <v/>
      </c>
    </row>
    <row r="47" ht="15" customHeight="1">
      <c r="A47" t="inlineStr">
        <is>
          <t>A 32594-2025</t>
        </is>
      </c>
      <c r="B47" s="1" t="n">
        <v>45838</v>
      </c>
      <c r="C47" s="1" t="n">
        <v>45886</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7919-2022</t>
        </is>
      </c>
      <c r="B48" s="1" t="n">
        <v>44608</v>
      </c>
      <c r="C48" s="1" t="n">
        <v>45886</v>
      </c>
      <c r="D48" t="inlineStr">
        <is>
          <t>VÄSTMANLANDS LÄN</t>
        </is>
      </c>
      <c r="E48" t="inlineStr">
        <is>
          <t>SALA</t>
        </is>
      </c>
      <c r="F48" t="inlineStr">
        <is>
          <t>Bergvik skog öst AB</t>
        </is>
      </c>
      <c r="G48" t="n">
        <v>4.5</v>
      </c>
      <c r="H48" t="n">
        <v>1</v>
      </c>
      <c r="I48" t="n">
        <v>0</v>
      </c>
      <c r="J48" t="n">
        <v>1</v>
      </c>
      <c r="K48" t="n">
        <v>0</v>
      </c>
      <c r="L48" t="n">
        <v>0</v>
      </c>
      <c r="M48" t="n">
        <v>0</v>
      </c>
      <c r="N48" t="n">
        <v>0</v>
      </c>
      <c r="O48" t="n">
        <v>1</v>
      </c>
      <c r="P48" t="n">
        <v>0</v>
      </c>
      <c r="Q48" t="n">
        <v>1</v>
      </c>
      <c r="R48" s="2" t="inlineStr">
        <is>
          <t>Ävjepilört</t>
        </is>
      </c>
      <c r="S48">
        <f>HYPERLINK("https://klasma.github.io/Logging_1981/artfynd/A 7919-2022 artfynd.xlsx", "A 7919-2022")</f>
        <v/>
      </c>
      <c r="T48">
        <f>HYPERLINK("https://klasma.github.io/Logging_1981/kartor/A 7919-2022 karta.png", "A 7919-2022")</f>
        <v/>
      </c>
      <c r="V48">
        <f>HYPERLINK("https://klasma.github.io/Logging_1981/klagomål/A 7919-2022 FSC-klagomål.docx", "A 7919-2022")</f>
        <v/>
      </c>
      <c r="W48">
        <f>HYPERLINK("https://klasma.github.io/Logging_1981/klagomålsmail/A 7919-2022 FSC-klagomål mail.docx", "A 7919-2022")</f>
        <v/>
      </c>
      <c r="X48">
        <f>HYPERLINK("https://klasma.github.io/Logging_1981/tillsyn/A 7919-2022 tillsynsbegäran.docx", "A 7919-2022")</f>
        <v/>
      </c>
      <c r="Y48">
        <f>HYPERLINK("https://klasma.github.io/Logging_1981/tillsynsmail/A 7919-2022 tillsynsbegäran mail.docx", "A 7919-2022")</f>
        <v/>
      </c>
    </row>
    <row r="49" ht="15" customHeight="1">
      <c r="A49" t="inlineStr">
        <is>
          <t>A 38255-2025</t>
        </is>
      </c>
      <c r="B49" s="1" t="n">
        <v>45883.38020833334</v>
      </c>
      <c r="C49" s="1" t="n">
        <v>45886</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41270-2024</t>
        </is>
      </c>
      <c r="B50" s="1" t="n">
        <v>45559</v>
      </c>
      <c r="C50" s="1" t="n">
        <v>45886</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43068-2024</t>
        </is>
      </c>
      <c r="B51" s="1" t="n">
        <v>45567</v>
      </c>
      <c r="C51" s="1" t="n">
        <v>45886</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56014-2020</t>
        </is>
      </c>
      <c r="B52" s="1" t="n">
        <v>44132</v>
      </c>
      <c r="C52" s="1" t="n">
        <v>45886</v>
      </c>
      <c r="D52" t="inlineStr">
        <is>
          <t>VÄSTMANLANDS LÄN</t>
        </is>
      </c>
      <c r="E52" t="inlineStr">
        <is>
          <t>SALA</t>
        </is>
      </c>
      <c r="G52" t="n">
        <v>5.6</v>
      </c>
      <c r="H52" t="n">
        <v>0</v>
      </c>
      <c r="I52" t="n">
        <v>0</v>
      </c>
      <c r="J52" t="n">
        <v>0</v>
      </c>
      <c r="K52" t="n">
        <v>1</v>
      </c>
      <c r="L52" t="n">
        <v>0</v>
      </c>
      <c r="M52" t="n">
        <v>0</v>
      </c>
      <c r="N52" t="n">
        <v>0</v>
      </c>
      <c r="O52" t="n">
        <v>1</v>
      </c>
      <c r="P52" t="n">
        <v>1</v>
      </c>
      <c r="Q52" t="n">
        <v>1</v>
      </c>
      <c r="R52" s="2" t="inlineStr">
        <is>
          <t>Blackticka</t>
        </is>
      </c>
      <c r="S52">
        <f>HYPERLINK("https://klasma.github.io/Logging_1981/artfynd/A 56014-2020 artfynd.xlsx", "A 56014-2020")</f>
        <v/>
      </c>
      <c r="T52">
        <f>HYPERLINK("https://klasma.github.io/Logging_1981/kartor/A 56014-2020 karta.png", "A 56014-2020")</f>
        <v/>
      </c>
      <c r="V52">
        <f>HYPERLINK("https://klasma.github.io/Logging_1981/klagomål/A 56014-2020 FSC-klagomål.docx", "A 56014-2020")</f>
        <v/>
      </c>
      <c r="W52">
        <f>HYPERLINK("https://klasma.github.io/Logging_1981/klagomålsmail/A 56014-2020 FSC-klagomål mail.docx", "A 56014-2020")</f>
        <v/>
      </c>
      <c r="X52">
        <f>HYPERLINK("https://klasma.github.io/Logging_1981/tillsyn/A 56014-2020 tillsynsbegäran.docx", "A 56014-2020")</f>
        <v/>
      </c>
      <c r="Y52">
        <f>HYPERLINK("https://klasma.github.io/Logging_1981/tillsynsmail/A 56014-2020 tillsynsbegäran mail.docx", "A 56014-2020")</f>
        <v/>
      </c>
    </row>
    <row r="53" ht="15" customHeight="1">
      <c r="A53" t="inlineStr">
        <is>
          <t>A 29727-2023</t>
        </is>
      </c>
      <c r="B53" s="1" t="n">
        <v>45107</v>
      </c>
      <c r="C53" s="1" t="n">
        <v>45886</v>
      </c>
      <c r="D53" t="inlineStr">
        <is>
          <t>VÄSTMANLANDS LÄN</t>
        </is>
      </c>
      <c r="E53" t="inlineStr">
        <is>
          <t>SALA</t>
        </is>
      </c>
      <c r="G53" t="n">
        <v>1.9</v>
      </c>
      <c r="H53" t="n">
        <v>0</v>
      </c>
      <c r="I53" t="n">
        <v>0</v>
      </c>
      <c r="J53" t="n">
        <v>1</v>
      </c>
      <c r="K53" t="n">
        <v>0</v>
      </c>
      <c r="L53" t="n">
        <v>0</v>
      </c>
      <c r="M53" t="n">
        <v>0</v>
      </c>
      <c r="N53" t="n">
        <v>0</v>
      </c>
      <c r="O53" t="n">
        <v>1</v>
      </c>
      <c r="P53" t="n">
        <v>0</v>
      </c>
      <c r="Q53" t="n">
        <v>1</v>
      </c>
      <c r="R53" s="2" t="inlineStr">
        <is>
          <t>Vedtrappmossa</t>
        </is>
      </c>
      <c r="S53">
        <f>HYPERLINK("https://klasma.github.io/Logging_1981/artfynd/A 29727-2023 artfynd.xlsx", "A 29727-2023")</f>
        <v/>
      </c>
      <c r="T53">
        <f>HYPERLINK("https://klasma.github.io/Logging_1981/kartor/A 29727-2023 karta.png", "A 29727-2023")</f>
        <v/>
      </c>
      <c r="V53">
        <f>HYPERLINK("https://klasma.github.io/Logging_1981/klagomål/A 29727-2023 FSC-klagomål.docx", "A 29727-2023")</f>
        <v/>
      </c>
      <c r="W53">
        <f>HYPERLINK("https://klasma.github.io/Logging_1981/klagomålsmail/A 29727-2023 FSC-klagomål mail.docx", "A 29727-2023")</f>
        <v/>
      </c>
      <c r="X53">
        <f>HYPERLINK("https://klasma.github.io/Logging_1981/tillsyn/A 29727-2023 tillsynsbegäran.docx", "A 29727-2023")</f>
        <v/>
      </c>
      <c r="Y53">
        <f>HYPERLINK("https://klasma.github.io/Logging_1981/tillsynsmail/A 29727-2023 tillsynsbegäran mail.docx", "A 29727-2023")</f>
        <v/>
      </c>
    </row>
    <row r="54" ht="15" customHeight="1">
      <c r="A54" t="inlineStr">
        <is>
          <t>A 7731-2023</t>
        </is>
      </c>
      <c r="B54" s="1" t="n">
        <v>44973</v>
      </c>
      <c r="C54" s="1" t="n">
        <v>45886</v>
      </c>
      <c r="D54" t="inlineStr">
        <is>
          <t>VÄSTMANLANDS LÄN</t>
        </is>
      </c>
      <c r="E54" t="inlineStr">
        <is>
          <t>SALA</t>
        </is>
      </c>
      <c r="F54" t="inlineStr">
        <is>
          <t>Bergvik skog öst AB</t>
        </is>
      </c>
      <c r="G54" t="n">
        <v>1.7</v>
      </c>
      <c r="H54" t="n">
        <v>1</v>
      </c>
      <c r="I54" t="n">
        <v>0</v>
      </c>
      <c r="J54" t="n">
        <v>1</v>
      </c>
      <c r="K54" t="n">
        <v>0</v>
      </c>
      <c r="L54" t="n">
        <v>0</v>
      </c>
      <c r="M54" t="n">
        <v>0</v>
      </c>
      <c r="N54" t="n">
        <v>0</v>
      </c>
      <c r="O54" t="n">
        <v>1</v>
      </c>
      <c r="P54" t="n">
        <v>0</v>
      </c>
      <c r="Q54" t="n">
        <v>1</v>
      </c>
      <c r="R54" s="2" t="inlineStr">
        <is>
          <t>Ävjepilört</t>
        </is>
      </c>
      <c r="S54">
        <f>HYPERLINK("https://klasma.github.io/Logging_1981/artfynd/A 7731-2023 artfynd.xlsx", "A 7731-2023")</f>
        <v/>
      </c>
      <c r="T54">
        <f>HYPERLINK("https://klasma.github.io/Logging_1981/kartor/A 7731-2023 karta.png", "A 7731-2023")</f>
        <v/>
      </c>
      <c r="V54">
        <f>HYPERLINK("https://klasma.github.io/Logging_1981/klagomål/A 7731-2023 FSC-klagomål.docx", "A 7731-2023")</f>
        <v/>
      </c>
      <c r="W54">
        <f>HYPERLINK("https://klasma.github.io/Logging_1981/klagomålsmail/A 7731-2023 FSC-klagomål mail.docx", "A 7731-2023")</f>
        <v/>
      </c>
      <c r="X54">
        <f>HYPERLINK("https://klasma.github.io/Logging_1981/tillsyn/A 7731-2023 tillsynsbegäran.docx", "A 7731-2023")</f>
        <v/>
      </c>
      <c r="Y54">
        <f>HYPERLINK("https://klasma.github.io/Logging_1981/tillsynsmail/A 7731-2023 tillsynsbegäran mail.docx", "A 7731-2023")</f>
        <v/>
      </c>
    </row>
    <row r="55" ht="15" customHeight="1">
      <c r="A55" t="inlineStr">
        <is>
          <t>A 12509-2023</t>
        </is>
      </c>
      <c r="B55" s="1" t="n">
        <v>44999.95988425926</v>
      </c>
      <c r="C55" s="1" t="n">
        <v>45886</v>
      </c>
      <c r="D55" t="inlineStr">
        <is>
          <t>VÄSTMANLANDS LÄN</t>
        </is>
      </c>
      <c r="E55" t="inlineStr">
        <is>
          <t>SALA</t>
        </is>
      </c>
      <c r="G55" t="n">
        <v>13.9</v>
      </c>
      <c r="H55" t="n">
        <v>1</v>
      </c>
      <c r="I55" t="n">
        <v>0</v>
      </c>
      <c r="J55" t="n">
        <v>0</v>
      </c>
      <c r="K55" t="n">
        <v>0</v>
      </c>
      <c r="L55" t="n">
        <v>0</v>
      </c>
      <c r="M55" t="n">
        <v>0</v>
      </c>
      <c r="N55" t="n">
        <v>0</v>
      </c>
      <c r="O55" t="n">
        <v>0</v>
      </c>
      <c r="P55" t="n">
        <v>0</v>
      </c>
      <c r="Q55" t="n">
        <v>1</v>
      </c>
      <c r="R55" s="2" t="inlineStr">
        <is>
          <t>Grönvit nattviol</t>
        </is>
      </c>
      <c r="S55">
        <f>HYPERLINK("https://klasma.github.io/Logging_1981/artfynd/A 12509-2023 artfynd.xlsx", "A 12509-2023")</f>
        <v/>
      </c>
      <c r="T55">
        <f>HYPERLINK("https://klasma.github.io/Logging_1981/kartor/A 12509-2023 karta.png", "A 12509-2023")</f>
        <v/>
      </c>
      <c r="V55">
        <f>HYPERLINK("https://klasma.github.io/Logging_1981/klagomål/A 12509-2023 FSC-klagomål.docx", "A 12509-2023")</f>
        <v/>
      </c>
      <c r="W55">
        <f>HYPERLINK("https://klasma.github.io/Logging_1981/klagomålsmail/A 12509-2023 FSC-klagomål mail.docx", "A 12509-2023")</f>
        <v/>
      </c>
      <c r="X55">
        <f>HYPERLINK("https://klasma.github.io/Logging_1981/tillsyn/A 12509-2023 tillsynsbegäran.docx", "A 12509-2023")</f>
        <v/>
      </c>
      <c r="Y55">
        <f>HYPERLINK("https://klasma.github.io/Logging_1981/tillsynsmail/A 12509-2023 tillsynsbegäran mail.docx", "A 12509-2023")</f>
        <v/>
      </c>
    </row>
    <row r="56" ht="15" customHeight="1">
      <c r="A56" t="inlineStr">
        <is>
          <t>A 42352-2020</t>
        </is>
      </c>
      <c r="B56" s="1" t="n">
        <v>44076</v>
      </c>
      <c r="C56" s="1" t="n">
        <v>45886</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14775-2023</t>
        </is>
      </c>
      <c r="B57" s="1" t="n">
        <v>45014</v>
      </c>
      <c r="C57" s="1" t="n">
        <v>45886</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14775-2023 artfynd.xlsx", "A 14775-2023")</f>
        <v/>
      </c>
      <c r="T57">
        <f>HYPERLINK("https://klasma.github.io/Logging_1981/kartor/A 14775-2023 karta.png", "A 14775-2023")</f>
        <v/>
      </c>
      <c r="U57">
        <f>HYPERLINK("https://klasma.github.io/Logging_1981/knärot/A 14775-2023 karta knärot.png", "A 14775-2023")</f>
        <v/>
      </c>
      <c r="V57">
        <f>HYPERLINK("https://klasma.github.io/Logging_1981/klagomål/A 14775-2023 FSC-klagomål.docx", "A 14775-2023")</f>
        <v/>
      </c>
      <c r="W57">
        <f>HYPERLINK("https://klasma.github.io/Logging_1981/klagomålsmail/A 14775-2023 FSC-klagomål mail.docx", "A 14775-2023")</f>
        <v/>
      </c>
      <c r="X57">
        <f>HYPERLINK("https://klasma.github.io/Logging_1981/tillsyn/A 14775-2023 tillsynsbegäran.docx", "A 14775-2023")</f>
        <v/>
      </c>
      <c r="Y57">
        <f>HYPERLINK("https://klasma.github.io/Logging_1981/tillsynsmail/A 14775-2023 tillsynsbegäran mail.docx", "A 14775-2023")</f>
        <v/>
      </c>
    </row>
    <row r="58" ht="15" customHeight="1">
      <c r="A58" t="inlineStr">
        <is>
          <t>A 19361-2025</t>
        </is>
      </c>
      <c r="B58" s="1" t="n">
        <v>45769.63357638889</v>
      </c>
      <c r="C58" s="1" t="n">
        <v>45886</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45886</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22350-2024</t>
        </is>
      </c>
      <c r="B60" s="1" t="n">
        <v>45446</v>
      </c>
      <c r="C60" s="1" t="n">
        <v>45886</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Blåsippa</t>
        </is>
      </c>
      <c r="S60">
        <f>HYPERLINK("https://klasma.github.io/Logging_1981/artfynd/A 22350-2024 artfynd.xlsx", "A 22350-2024")</f>
        <v/>
      </c>
      <c r="T60">
        <f>HYPERLINK("https://klasma.github.io/Logging_1981/kartor/A 22350-2024 karta.png", "A 22350-2024")</f>
        <v/>
      </c>
      <c r="V60">
        <f>HYPERLINK("https://klasma.github.io/Logging_1981/klagomål/A 22350-2024 FSC-klagomål.docx", "A 22350-2024")</f>
        <v/>
      </c>
      <c r="W60">
        <f>HYPERLINK("https://klasma.github.io/Logging_1981/klagomålsmail/A 22350-2024 FSC-klagomål mail.docx", "A 22350-2024")</f>
        <v/>
      </c>
      <c r="X60">
        <f>HYPERLINK("https://klasma.github.io/Logging_1981/tillsyn/A 22350-2024 tillsynsbegäran.docx", "A 22350-2024")</f>
        <v/>
      </c>
      <c r="Y60">
        <f>HYPERLINK("https://klasma.github.io/Logging_1981/tillsynsmail/A 22350-2024 tillsynsbegäran mail.docx", "A 22350-2024")</f>
        <v/>
      </c>
    </row>
    <row r="61" ht="15" customHeight="1">
      <c r="A61" t="inlineStr">
        <is>
          <t>A 58314-2020</t>
        </is>
      </c>
      <c r="B61" s="1" t="n">
        <v>44145</v>
      </c>
      <c r="C61" s="1" t="n">
        <v>45886</v>
      </c>
      <c r="D61" t="inlineStr">
        <is>
          <t>VÄSTMANLANDS LÄN</t>
        </is>
      </c>
      <c r="E61" t="inlineStr">
        <is>
          <t>SALA</t>
        </is>
      </c>
      <c r="G61" t="n">
        <v>0.9</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45886</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69194-2020</t>
        </is>
      </c>
      <c r="B63" s="1" t="n">
        <v>44191</v>
      </c>
      <c r="C63" s="1" t="n">
        <v>45886</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45886</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45886</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45886</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45886</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45886</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45886</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45886</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45886</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45886</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45886</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45886</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45886</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45886</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38579-2020</t>
        </is>
      </c>
      <c r="B77" s="1" t="n">
        <v>44061</v>
      </c>
      <c r="C77" s="1" t="n">
        <v>45886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45886</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45886</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45886</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45886</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45886</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45886</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45886</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45886</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45886</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45886</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45886</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28215-2022</t>
        </is>
      </c>
      <c r="B89" s="1" t="n">
        <v>44746</v>
      </c>
      <c r="C89" s="1" t="n">
        <v>45886</v>
      </c>
      <c r="D89" t="inlineStr">
        <is>
          <t>VÄSTMANLANDS LÄN</t>
        </is>
      </c>
      <c r="E89" t="inlineStr">
        <is>
          <t>SALA</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45886</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45886</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70958-2021</t>
        </is>
      </c>
      <c r="B92" s="1" t="n">
        <v>44538</v>
      </c>
      <c r="C92" s="1" t="n">
        <v>45886</v>
      </c>
      <c r="D92" t="inlineStr">
        <is>
          <t>VÄSTMANLANDS LÄN</t>
        </is>
      </c>
      <c r="E92" t="inlineStr">
        <is>
          <t>SALA</t>
        </is>
      </c>
      <c r="G92" t="n">
        <v>6.5</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45886</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45886</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45886</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45886</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45886</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45886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45886</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45886</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45886</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69195-2020</t>
        </is>
      </c>
      <c r="B102" s="1" t="n">
        <v>44191</v>
      </c>
      <c r="C102" s="1" t="n">
        <v>45886</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45886</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45886</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42976-2021</t>
        </is>
      </c>
      <c r="B105" s="1" t="n">
        <v>44431</v>
      </c>
      <c r="C105" s="1" t="n">
        <v>45886</v>
      </c>
      <c r="D105" t="inlineStr">
        <is>
          <t>VÄSTMANLANDS LÄN</t>
        </is>
      </c>
      <c r="E105" t="inlineStr">
        <is>
          <t>SALA</t>
        </is>
      </c>
      <c r="G105" t="n">
        <v>1.1</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45886</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45886</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7955-2021</t>
        </is>
      </c>
      <c r="B108" s="1" t="n">
        <v>44243</v>
      </c>
      <c r="C108" s="1" t="n">
        <v>45886</v>
      </c>
      <c r="D108" t="inlineStr">
        <is>
          <t>VÄSTMANLANDS LÄN</t>
        </is>
      </c>
      <c r="E108" t="inlineStr">
        <is>
          <t>SALA</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30859-2021</t>
        </is>
      </c>
      <c r="B109" s="1" t="n">
        <v>44365.57377314815</v>
      </c>
      <c r="C109" s="1" t="n">
        <v>45886</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39519-2020</t>
        </is>
      </c>
      <c r="B110" s="1" t="n">
        <v>44064.50172453704</v>
      </c>
      <c r="C110" s="1" t="n">
        <v>45886</v>
      </c>
      <c r="D110" t="inlineStr">
        <is>
          <t>VÄSTMANLANDS LÄN</t>
        </is>
      </c>
      <c r="E110" t="inlineStr">
        <is>
          <t>SALA</t>
        </is>
      </c>
      <c r="G110" t="n">
        <v>0.8</v>
      </c>
      <c r="H110" t="n">
        <v>0</v>
      </c>
      <c r="I110" t="n">
        <v>0</v>
      </c>
      <c r="J110" t="n">
        <v>0</v>
      </c>
      <c r="K110" t="n">
        <v>0</v>
      </c>
      <c r="L110" t="n">
        <v>0</v>
      </c>
      <c r="M110" t="n">
        <v>0</v>
      </c>
      <c r="N110" t="n">
        <v>0</v>
      </c>
      <c r="O110" t="n">
        <v>0</v>
      </c>
      <c r="P110" t="n">
        <v>0</v>
      </c>
      <c r="Q110" t="n">
        <v>0</v>
      </c>
      <c r="R110" s="2" t="inlineStr"/>
    </row>
    <row r="111" ht="15" customHeight="1">
      <c r="A111" t="inlineStr">
        <is>
          <t>A 4237-2022</t>
        </is>
      </c>
      <c r="B111" s="1" t="n">
        <v>44588.64377314815</v>
      </c>
      <c r="C111" s="1" t="n">
        <v>45886</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51377-2022</t>
        </is>
      </c>
      <c r="B112" s="1" t="n">
        <v>44866</v>
      </c>
      <c r="C112" s="1" t="n">
        <v>45886</v>
      </c>
      <c r="D112" t="inlineStr">
        <is>
          <t>VÄSTMANLANDS LÄN</t>
        </is>
      </c>
      <c r="E112" t="inlineStr">
        <is>
          <t>SALA</t>
        </is>
      </c>
      <c r="G112" t="n">
        <v>6.3</v>
      </c>
      <c r="H112" t="n">
        <v>0</v>
      </c>
      <c r="I112" t="n">
        <v>0</v>
      </c>
      <c r="J112" t="n">
        <v>0</v>
      </c>
      <c r="K112" t="n">
        <v>0</v>
      </c>
      <c r="L112" t="n">
        <v>0</v>
      </c>
      <c r="M112" t="n">
        <v>0</v>
      </c>
      <c r="N112" t="n">
        <v>0</v>
      </c>
      <c r="O112" t="n">
        <v>0</v>
      </c>
      <c r="P112" t="n">
        <v>0</v>
      </c>
      <c r="Q112" t="n">
        <v>0</v>
      </c>
      <c r="R112" s="2" t="inlineStr"/>
    </row>
    <row r="113" ht="15" customHeight="1">
      <c r="A113" t="inlineStr">
        <is>
          <t>A 68355-2021</t>
        </is>
      </c>
      <c r="B113" s="1" t="n">
        <v>44528</v>
      </c>
      <c r="C113" s="1" t="n">
        <v>45886</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44318-2022</t>
        </is>
      </c>
      <c r="B114" s="1" t="n">
        <v>44839.64516203704</v>
      </c>
      <c r="C114" s="1" t="n">
        <v>45886</v>
      </c>
      <c r="D114" t="inlineStr">
        <is>
          <t>VÄSTMANLANDS LÄN</t>
        </is>
      </c>
      <c r="E114" t="inlineStr">
        <is>
          <t>SALA</t>
        </is>
      </c>
      <c r="G114" t="n">
        <v>0.6</v>
      </c>
      <c r="H114" t="n">
        <v>0</v>
      </c>
      <c r="I114" t="n">
        <v>0</v>
      </c>
      <c r="J114" t="n">
        <v>0</v>
      </c>
      <c r="K114" t="n">
        <v>0</v>
      </c>
      <c r="L114" t="n">
        <v>0</v>
      </c>
      <c r="M114" t="n">
        <v>0</v>
      </c>
      <c r="N114" t="n">
        <v>0</v>
      </c>
      <c r="O114" t="n">
        <v>0</v>
      </c>
      <c r="P114" t="n">
        <v>0</v>
      </c>
      <c r="Q114" t="n">
        <v>0</v>
      </c>
      <c r="R114" s="2" t="inlineStr"/>
    </row>
    <row r="115" ht="15" customHeight="1">
      <c r="A115" t="inlineStr">
        <is>
          <t>A 46965-2020</t>
        </is>
      </c>
      <c r="B115" s="1" t="n">
        <v>44096</v>
      </c>
      <c r="C115" s="1" t="n">
        <v>45886</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15850-2022</t>
        </is>
      </c>
      <c r="B116" s="1" t="n">
        <v>44664.43082175926</v>
      </c>
      <c r="C116" s="1" t="n">
        <v>45886</v>
      </c>
      <c r="D116" t="inlineStr">
        <is>
          <t>VÄSTMANLANDS LÄN</t>
        </is>
      </c>
      <c r="E116" t="inlineStr">
        <is>
          <t>SALA</t>
        </is>
      </c>
      <c r="G116" t="n">
        <v>1</v>
      </c>
      <c r="H116" t="n">
        <v>0</v>
      </c>
      <c r="I116" t="n">
        <v>0</v>
      </c>
      <c r="J116" t="n">
        <v>0</v>
      </c>
      <c r="K116" t="n">
        <v>0</v>
      </c>
      <c r="L116" t="n">
        <v>0</v>
      </c>
      <c r="M116" t="n">
        <v>0</v>
      </c>
      <c r="N116" t="n">
        <v>0</v>
      </c>
      <c r="O116" t="n">
        <v>0</v>
      </c>
      <c r="P116" t="n">
        <v>0</v>
      </c>
      <c r="Q116" t="n">
        <v>0</v>
      </c>
      <c r="R116" s="2" t="inlineStr"/>
    </row>
    <row r="117" ht="15" customHeight="1">
      <c r="A117" t="inlineStr">
        <is>
          <t>A 1043-2022</t>
        </is>
      </c>
      <c r="B117" s="1" t="n">
        <v>44571.66552083333</v>
      </c>
      <c r="C117" s="1" t="n">
        <v>45886</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18378-2021</t>
        </is>
      </c>
      <c r="B118" s="1" t="n">
        <v>44305</v>
      </c>
      <c r="C118" s="1" t="n">
        <v>45886</v>
      </c>
      <c r="D118" t="inlineStr">
        <is>
          <t>VÄSTMANLANDS LÄN</t>
        </is>
      </c>
      <c r="E118" t="inlineStr">
        <is>
          <t>SALA</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18189-2021</t>
        </is>
      </c>
      <c r="B119" s="1" t="n">
        <v>44302.67659722222</v>
      </c>
      <c r="C119" s="1" t="n">
        <v>45886</v>
      </c>
      <c r="D119" t="inlineStr">
        <is>
          <t>VÄSTMANLANDS LÄN</t>
        </is>
      </c>
      <c r="E119" t="inlineStr">
        <is>
          <t>SALA</t>
        </is>
      </c>
      <c r="G119" t="n">
        <v>0.7</v>
      </c>
      <c r="H119" t="n">
        <v>0</v>
      </c>
      <c r="I119" t="n">
        <v>0</v>
      </c>
      <c r="J119" t="n">
        <v>0</v>
      </c>
      <c r="K119" t="n">
        <v>0</v>
      </c>
      <c r="L119" t="n">
        <v>0</v>
      </c>
      <c r="M119" t="n">
        <v>0</v>
      </c>
      <c r="N119" t="n">
        <v>0</v>
      </c>
      <c r="O119" t="n">
        <v>0</v>
      </c>
      <c r="P119" t="n">
        <v>0</v>
      </c>
      <c r="Q119" t="n">
        <v>0</v>
      </c>
      <c r="R119" s="2" t="inlineStr"/>
    </row>
    <row r="120" ht="15" customHeight="1">
      <c r="A120" t="inlineStr">
        <is>
          <t>A 18259-2021</t>
        </is>
      </c>
      <c r="B120" s="1" t="n">
        <v>44305</v>
      </c>
      <c r="C120" s="1" t="n">
        <v>45886</v>
      </c>
      <c r="D120" t="inlineStr">
        <is>
          <t>VÄSTMANLANDS LÄN</t>
        </is>
      </c>
      <c r="E120" t="inlineStr">
        <is>
          <t>SALA</t>
        </is>
      </c>
      <c r="G120" t="n">
        <v>0</v>
      </c>
      <c r="H120" t="n">
        <v>0</v>
      </c>
      <c r="I120" t="n">
        <v>0</v>
      </c>
      <c r="J120" t="n">
        <v>0</v>
      </c>
      <c r="K120" t="n">
        <v>0</v>
      </c>
      <c r="L120" t="n">
        <v>0</v>
      </c>
      <c r="M120" t="n">
        <v>0</v>
      </c>
      <c r="N120" t="n">
        <v>0</v>
      </c>
      <c r="O120" t="n">
        <v>0</v>
      </c>
      <c r="P120" t="n">
        <v>0</v>
      </c>
      <c r="Q120" t="n">
        <v>0</v>
      </c>
      <c r="R120" s="2" t="inlineStr"/>
    </row>
    <row r="121" ht="15" customHeight="1">
      <c r="A121" t="inlineStr">
        <is>
          <t>A 18951-2021</t>
        </is>
      </c>
      <c r="B121" s="1" t="n">
        <v>44308</v>
      </c>
      <c r="C121" s="1" t="n">
        <v>45886</v>
      </c>
      <c r="D121" t="inlineStr">
        <is>
          <t>VÄSTMANLANDS LÄN</t>
        </is>
      </c>
      <c r="E121" t="inlineStr">
        <is>
          <t>SALA</t>
        </is>
      </c>
      <c r="G121" t="n">
        <v>0.3</v>
      </c>
      <c r="H121" t="n">
        <v>0</v>
      </c>
      <c r="I121" t="n">
        <v>0</v>
      </c>
      <c r="J121" t="n">
        <v>0</v>
      </c>
      <c r="K121" t="n">
        <v>0</v>
      </c>
      <c r="L121" t="n">
        <v>0</v>
      </c>
      <c r="M121" t="n">
        <v>0</v>
      </c>
      <c r="N121" t="n">
        <v>0</v>
      </c>
      <c r="O121" t="n">
        <v>0</v>
      </c>
      <c r="P121" t="n">
        <v>0</v>
      </c>
      <c r="Q121" t="n">
        <v>0</v>
      </c>
      <c r="R121" s="2" t="inlineStr"/>
    </row>
    <row r="122" ht="15" customHeight="1">
      <c r="A122" t="inlineStr">
        <is>
          <t>A 35921-2021</t>
        </is>
      </c>
      <c r="B122" s="1" t="n">
        <v>44388.37549768519</v>
      </c>
      <c r="C122" s="1" t="n">
        <v>45886</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38713-2020</t>
        </is>
      </c>
      <c r="B123" s="1" t="n">
        <v>44061</v>
      </c>
      <c r="C123" s="1" t="n">
        <v>45886</v>
      </c>
      <c r="D123" t="inlineStr">
        <is>
          <t>VÄSTMANLANDS LÄN</t>
        </is>
      </c>
      <c r="E123" t="inlineStr">
        <is>
          <t>SALA</t>
        </is>
      </c>
      <c r="G123" t="n">
        <v>1.4</v>
      </c>
      <c r="H123" t="n">
        <v>0</v>
      </c>
      <c r="I123" t="n">
        <v>0</v>
      </c>
      <c r="J123" t="n">
        <v>0</v>
      </c>
      <c r="K123" t="n">
        <v>0</v>
      </c>
      <c r="L123" t="n">
        <v>0</v>
      </c>
      <c r="M123" t="n">
        <v>0</v>
      </c>
      <c r="N123" t="n">
        <v>0</v>
      </c>
      <c r="O123" t="n">
        <v>0</v>
      </c>
      <c r="P123" t="n">
        <v>0</v>
      </c>
      <c r="Q123" t="n">
        <v>0</v>
      </c>
      <c r="R123" s="2" t="inlineStr"/>
    </row>
    <row r="124" ht="15" customHeight="1">
      <c r="A124" t="inlineStr">
        <is>
          <t>A 37856-2021</t>
        </is>
      </c>
      <c r="B124" s="1" t="n">
        <v>44403</v>
      </c>
      <c r="C124" s="1" t="n">
        <v>45886</v>
      </c>
      <c r="D124" t="inlineStr">
        <is>
          <t>VÄSTMANLANDS LÄN</t>
        </is>
      </c>
      <c r="E124" t="inlineStr">
        <is>
          <t>SALA</t>
        </is>
      </c>
      <c r="G124" t="n">
        <v>3.1</v>
      </c>
      <c r="H124" t="n">
        <v>0</v>
      </c>
      <c r="I124" t="n">
        <v>0</v>
      </c>
      <c r="J124" t="n">
        <v>0</v>
      </c>
      <c r="K124" t="n">
        <v>0</v>
      </c>
      <c r="L124" t="n">
        <v>0</v>
      </c>
      <c r="M124" t="n">
        <v>0</v>
      </c>
      <c r="N124" t="n">
        <v>0</v>
      </c>
      <c r="O124" t="n">
        <v>0</v>
      </c>
      <c r="P124" t="n">
        <v>0</v>
      </c>
      <c r="Q124" t="n">
        <v>0</v>
      </c>
      <c r="R124" s="2" t="inlineStr"/>
    </row>
    <row r="125" ht="15" customHeight="1">
      <c r="A125" t="inlineStr">
        <is>
          <t>A 37872-2021</t>
        </is>
      </c>
      <c r="B125" s="1" t="n">
        <v>44403</v>
      </c>
      <c r="C125" s="1" t="n">
        <v>45886</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65835-2021</t>
        </is>
      </c>
      <c r="B126" s="1" t="n">
        <v>44517</v>
      </c>
      <c r="C126" s="1" t="n">
        <v>45886</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31904-2021</t>
        </is>
      </c>
      <c r="B127" s="1" t="n">
        <v>44370.46853009259</v>
      </c>
      <c r="C127" s="1" t="n">
        <v>45886</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45886</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44217-2022</t>
        </is>
      </c>
      <c r="B129" s="1" t="n">
        <v>44839.49953703704</v>
      </c>
      <c r="C129" s="1" t="n">
        <v>45886</v>
      </c>
      <c r="D129" t="inlineStr">
        <is>
          <t>VÄSTMANLANDS LÄN</t>
        </is>
      </c>
      <c r="E129" t="inlineStr">
        <is>
          <t>SALA</t>
        </is>
      </c>
      <c r="G129" t="n">
        <v>0.4</v>
      </c>
      <c r="H129" t="n">
        <v>0</v>
      </c>
      <c r="I129" t="n">
        <v>0</v>
      </c>
      <c r="J129" t="n">
        <v>0</v>
      </c>
      <c r="K129" t="n">
        <v>0</v>
      </c>
      <c r="L129" t="n">
        <v>0</v>
      </c>
      <c r="M129" t="n">
        <v>0</v>
      </c>
      <c r="N129" t="n">
        <v>0</v>
      </c>
      <c r="O129" t="n">
        <v>0</v>
      </c>
      <c r="P129" t="n">
        <v>0</v>
      </c>
      <c r="Q129" t="n">
        <v>0</v>
      </c>
      <c r="R129" s="2" t="inlineStr"/>
    </row>
    <row r="130" ht="15" customHeight="1">
      <c r="A130" t="inlineStr">
        <is>
          <t>A 43482-2020</t>
        </is>
      </c>
      <c r="B130" s="1" t="n">
        <v>44082</v>
      </c>
      <c r="C130" s="1" t="n">
        <v>45886</v>
      </c>
      <c r="D130" t="inlineStr">
        <is>
          <t>VÄSTMANLANDS LÄN</t>
        </is>
      </c>
      <c r="E130" t="inlineStr">
        <is>
          <t>SALA</t>
        </is>
      </c>
      <c r="G130" t="n">
        <v>4.7</v>
      </c>
      <c r="H130" t="n">
        <v>0</v>
      </c>
      <c r="I130" t="n">
        <v>0</v>
      </c>
      <c r="J130" t="n">
        <v>0</v>
      </c>
      <c r="K130" t="n">
        <v>0</v>
      </c>
      <c r="L130" t="n">
        <v>0</v>
      </c>
      <c r="M130" t="n">
        <v>0</v>
      </c>
      <c r="N130" t="n">
        <v>0</v>
      </c>
      <c r="O130" t="n">
        <v>0</v>
      </c>
      <c r="P130" t="n">
        <v>0</v>
      </c>
      <c r="Q130" t="n">
        <v>0</v>
      </c>
      <c r="R130" s="2" t="inlineStr"/>
    </row>
    <row r="131" ht="15" customHeight="1">
      <c r="A131" t="inlineStr">
        <is>
          <t>A 30170-2021</t>
        </is>
      </c>
      <c r="B131" s="1" t="n">
        <v>44363</v>
      </c>
      <c r="C131" s="1" t="n">
        <v>45886</v>
      </c>
      <c r="D131" t="inlineStr">
        <is>
          <t>VÄSTMANLANDS LÄN</t>
        </is>
      </c>
      <c r="E131" t="inlineStr">
        <is>
          <t>SALA</t>
        </is>
      </c>
      <c r="G131" t="n">
        <v>7.2</v>
      </c>
      <c r="H131" t="n">
        <v>0</v>
      </c>
      <c r="I131" t="n">
        <v>0</v>
      </c>
      <c r="J131" t="n">
        <v>0</v>
      </c>
      <c r="K131" t="n">
        <v>0</v>
      </c>
      <c r="L131" t="n">
        <v>0</v>
      </c>
      <c r="M131" t="n">
        <v>0</v>
      </c>
      <c r="N131" t="n">
        <v>0</v>
      </c>
      <c r="O131" t="n">
        <v>0</v>
      </c>
      <c r="P131" t="n">
        <v>0</v>
      </c>
      <c r="Q131" t="n">
        <v>0</v>
      </c>
      <c r="R131" s="2" t="inlineStr"/>
    </row>
    <row r="132" ht="15" customHeight="1">
      <c r="A132" t="inlineStr">
        <is>
          <t>A 44950-2020</t>
        </is>
      </c>
      <c r="B132" s="1" t="n">
        <v>44088</v>
      </c>
      <c r="C132" s="1" t="n">
        <v>45886</v>
      </c>
      <c r="D132" t="inlineStr">
        <is>
          <t>VÄSTMANLANDS LÄN</t>
        </is>
      </c>
      <c r="E132" t="inlineStr">
        <is>
          <t>SALA</t>
        </is>
      </c>
      <c r="G132" t="n">
        <v>9</v>
      </c>
      <c r="H132" t="n">
        <v>0</v>
      </c>
      <c r="I132" t="n">
        <v>0</v>
      </c>
      <c r="J132" t="n">
        <v>0</v>
      </c>
      <c r="K132" t="n">
        <v>0</v>
      </c>
      <c r="L132" t="n">
        <v>0</v>
      </c>
      <c r="M132" t="n">
        <v>0</v>
      </c>
      <c r="N132" t="n">
        <v>0</v>
      </c>
      <c r="O132" t="n">
        <v>0</v>
      </c>
      <c r="P132" t="n">
        <v>0</v>
      </c>
      <c r="Q132" t="n">
        <v>0</v>
      </c>
      <c r="R132" s="2" t="inlineStr"/>
    </row>
    <row r="133" ht="15" customHeight="1">
      <c r="A133" t="inlineStr">
        <is>
          <t>A 57517-2021</t>
        </is>
      </c>
      <c r="B133" s="1" t="n">
        <v>44483</v>
      </c>
      <c r="C133" s="1" t="n">
        <v>45886</v>
      </c>
      <c r="D133" t="inlineStr">
        <is>
          <t>VÄSTMANLANDS LÄN</t>
        </is>
      </c>
      <c r="E133" t="inlineStr">
        <is>
          <t>SALA</t>
        </is>
      </c>
      <c r="G133" t="n">
        <v>1.1</v>
      </c>
      <c r="H133" t="n">
        <v>0</v>
      </c>
      <c r="I133" t="n">
        <v>0</v>
      </c>
      <c r="J133" t="n">
        <v>0</v>
      </c>
      <c r="K133" t="n">
        <v>0</v>
      </c>
      <c r="L133" t="n">
        <v>0</v>
      </c>
      <c r="M133" t="n">
        <v>0</v>
      </c>
      <c r="N133" t="n">
        <v>0</v>
      </c>
      <c r="O133" t="n">
        <v>0</v>
      </c>
      <c r="P133" t="n">
        <v>0</v>
      </c>
      <c r="Q133" t="n">
        <v>0</v>
      </c>
      <c r="R133" s="2" t="inlineStr"/>
    </row>
    <row r="134" ht="15" customHeight="1">
      <c r="A134" t="inlineStr">
        <is>
          <t>A 26575-2021</t>
        </is>
      </c>
      <c r="B134" s="1" t="n">
        <v>44348</v>
      </c>
      <c r="C134" s="1" t="n">
        <v>45886</v>
      </c>
      <c r="D134" t="inlineStr">
        <is>
          <t>VÄSTMANLANDS LÄN</t>
        </is>
      </c>
      <c r="E134" t="inlineStr">
        <is>
          <t>SALA</t>
        </is>
      </c>
      <c r="G134" t="n">
        <v>2.7</v>
      </c>
      <c r="H134" t="n">
        <v>0</v>
      </c>
      <c r="I134" t="n">
        <v>0</v>
      </c>
      <c r="J134" t="n">
        <v>0</v>
      </c>
      <c r="K134" t="n">
        <v>0</v>
      </c>
      <c r="L134" t="n">
        <v>0</v>
      </c>
      <c r="M134" t="n">
        <v>0</v>
      </c>
      <c r="N134" t="n">
        <v>0</v>
      </c>
      <c r="O134" t="n">
        <v>0</v>
      </c>
      <c r="P134" t="n">
        <v>0</v>
      </c>
      <c r="Q134" t="n">
        <v>0</v>
      </c>
      <c r="R134" s="2" t="inlineStr"/>
    </row>
    <row r="135" ht="15" customHeight="1">
      <c r="A135" t="inlineStr">
        <is>
          <t>A 29235-2022</t>
        </is>
      </c>
      <c r="B135" s="1" t="n">
        <v>44750</v>
      </c>
      <c r="C135" s="1" t="n">
        <v>45886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23757-2022</t>
        </is>
      </c>
      <c r="B136" s="1" t="n">
        <v>44722.37339120371</v>
      </c>
      <c r="C136" s="1" t="n">
        <v>45886</v>
      </c>
      <c r="D136" t="inlineStr">
        <is>
          <t>VÄSTMANLANDS LÄN</t>
        </is>
      </c>
      <c r="E136" t="inlineStr">
        <is>
          <t>SALA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51596-2022</t>
        </is>
      </c>
      <c r="B137" s="1" t="n">
        <v>44871</v>
      </c>
      <c r="C137" s="1" t="n">
        <v>45886</v>
      </c>
      <c r="D137" t="inlineStr">
        <is>
          <t>VÄSTMANLANDS LÄN</t>
        </is>
      </c>
      <c r="E137" t="inlineStr">
        <is>
          <t>SALA</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66508-2021</t>
        </is>
      </c>
      <c r="B138" s="1" t="n">
        <v>44519.33401620371</v>
      </c>
      <c r="C138" s="1" t="n">
        <v>45886</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31452-2021</t>
        </is>
      </c>
      <c r="B139" s="1" t="n">
        <v>44369</v>
      </c>
      <c r="C139" s="1" t="n">
        <v>45886</v>
      </c>
      <c r="D139" t="inlineStr">
        <is>
          <t>VÄSTMANLANDS LÄN</t>
        </is>
      </c>
      <c r="E139" t="inlineStr">
        <is>
          <t>SALA</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60951-2021</t>
        </is>
      </c>
      <c r="B140" s="1" t="n">
        <v>44497.51435185185</v>
      </c>
      <c r="C140" s="1" t="n">
        <v>45886</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22811-2022</t>
        </is>
      </c>
      <c r="B141" s="1" t="n">
        <v>44715</v>
      </c>
      <c r="C141" s="1" t="n">
        <v>45886</v>
      </c>
      <c r="D141" t="inlineStr">
        <is>
          <t>VÄSTMANLANDS LÄN</t>
        </is>
      </c>
      <c r="E141" t="inlineStr">
        <is>
          <t>SALA</t>
        </is>
      </c>
      <c r="G141" t="n">
        <v>5</v>
      </c>
      <c r="H141" t="n">
        <v>0</v>
      </c>
      <c r="I141" t="n">
        <v>0</v>
      </c>
      <c r="J141" t="n">
        <v>0</v>
      </c>
      <c r="K141" t="n">
        <v>0</v>
      </c>
      <c r="L141" t="n">
        <v>0</v>
      </c>
      <c r="M141" t="n">
        <v>0</v>
      </c>
      <c r="N141" t="n">
        <v>0</v>
      </c>
      <c r="O141" t="n">
        <v>0</v>
      </c>
      <c r="P141" t="n">
        <v>0</v>
      </c>
      <c r="Q141" t="n">
        <v>0</v>
      </c>
      <c r="R141" s="2" t="inlineStr"/>
    </row>
    <row r="142" ht="15" customHeight="1">
      <c r="A142" t="inlineStr">
        <is>
          <t>A 65213-2021</t>
        </is>
      </c>
      <c r="B142" s="1" t="n">
        <v>44515</v>
      </c>
      <c r="C142" s="1" t="n">
        <v>45886</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45886</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23181-2022</t>
        </is>
      </c>
      <c r="B144" s="1" t="n">
        <v>44719.79537037037</v>
      </c>
      <c r="C144" s="1" t="n">
        <v>45886</v>
      </c>
      <c r="D144" t="inlineStr">
        <is>
          <t>VÄSTMANLANDS LÄN</t>
        </is>
      </c>
      <c r="E144" t="inlineStr">
        <is>
          <t>SALA</t>
        </is>
      </c>
      <c r="G144" t="n">
        <v>0.8</v>
      </c>
      <c r="H144" t="n">
        <v>0</v>
      </c>
      <c r="I144" t="n">
        <v>0</v>
      </c>
      <c r="J144" t="n">
        <v>0</v>
      </c>
      <c r="K144" t="n">
        <v>0</v>
      </c>
      <c r="L144" t="n">
        <v>0</v>
      </c>
      <c r="M144" t="n">
        <v>0</v>
      </c>
      <c r="N144" t="n">
        <v>0</v>
      </c>
      <c r="O144" t="n">
        <v>0</v>
      </c>
      <c r="P144" t="n">
        <v>0</v>
      </c>
      <c r="Q144" t="n">
        <v>0</v>
      </c>
      <c r="R144" s="2" t="inlineStr"/>
    </row>
    <row r="145" ht="15" customHeight="1">
      <c r="A145" t="inlineStr">
        <is>
          <t>A 65860-2021</t>
        </is>
      </c>
      <c r="B145" s="1" t="n">
        <v>44517.38163194444</v>
      </c>
      <c r="C145" s="1" t="n">
        <v>45886</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45886</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65353-2021</t>
        </is>
      </c>
      <c r="B147" s="1" t="n">
        <v>44515</v>
      </c>
      <c r="C147" s="1" t="n">
        <v>45886</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41876-2022</t>
        </is>
      </c>
      <c r="B148" s="1" t="n">
        <v>44829.97008101852</v>
      </c>
      <c r="C148" s="1" t="n">
        <v>45886</v>
      </c>
      <c r="D148" t="inlineStr">
        <is>
          <t>VÄSTMANLANDS LÄN</t>
        </is>
      </c>
      <c r="E148" t="inlineStr">
        <is>
          <t>SALA</t>
        </is>
      </c>
      <c r="G148" t="n">
        <v>3.6</v>
      </c>
      <c r="H148" t="n">
        <v>0</v>
      </c>
      <c r="I148" t="n">
        <v>0</v>
      </c>
      <c r="J148" t="n">
        <v>0</v>
      </c>
      <c r="K148" t="n">
        <v>0</v>
      </c>
      <c r="L148" t="n">
        <v>0</v>
      </c>
      <c r="M148" t="n">
        <v>0</v>
      </c>
      <c r="N148" t="n">
        <v>0</v>
      </c>
      <c r="O148" t="n">
        <v>0</v>
      </c>
      <c r="P148" t="n">
        <v>0</v>
      </c>
      <c r="Q148" t="n">
        <v>0</v>
      </c>
      <c r="R148" s="2" t="inlineStr"/>
    </row>
    <row r="149" ht="15" customHeight="1">
      <c r="A149" t="inlineStr">
        <is>
          <t>A 67958-2021</t>
        </is>
      </c>
      <c r="B149" s="1" t="n">
        <v>44525</v>
      </c>
      <c r="C149" s="1" t="n">
        <v>45886</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67965-2021</t>
        </is>
      </c>
      <c r="B150" s="1" t="n">
        <v>44525</v>
      </c>
      <c r="C150" s="1" t="n">
        <v>45886</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22575-2022</t>
        </is>
      </c>
      <c r="B151" s="1" t="n">
        <v>44713</v>
      </c>
      <c r="C151" s="1" t="n">
        <v>45886</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8130-2022</t>
        </is>
      </c>
      <c r="B152" s="1" t="n">
        <v>44609.5984837963</v>
      </c>
      <c r="C152" s="1" t="n">
        <v>45886</v>
      </c>
      <c r="D152" t="inlineStr">
        <is>
          <t>VÄSTMANLANDS LÄN</t>
        </is>
      </c>
      <c r="E152" t="inlineStr">
        <is>
          <t>SALA</t>
        </is>
      </c>
      <c r="G152" t="n">
        <v>3.5</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45886</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40094-2022</t>
        </is>
      </c>
      <c r="B154" s="1" t="n">
        <v>44819</v>
      </c>
      <c r="C154" s="1" t="n">
        <v>45886</v>
      </c>
      <c r="D154" t="inlineStr">
        <is>
          <t>VÄSTMANLANDS LÄN</t>
        </is>
      </c>
      <c r="E154" t="inlineStr">
        <is>
          <t>SALA</t>
        </is>
      </c>
      <c r="G154" t="n">
        <v>1.7</v>
      </c>
      <c r="H154" t="n">
        <v>0</v>
      </c>
      <c r="I154" t="n">
        <v>0</v>
      </c>
      <c r="J154" t="n">
        <v>0</v>
      </c>
      <c r="K154" t="n">
        <v>0</v>
      </c>
      <c r="L154" t="n">
        <v>0</v>
      </c>
      <c r="M154" t="n">
        <v>0</v>
      </c>
      <c r="N154" t="n">
        <v>0</v>
      </c>
      <c r="O154" t="n">
        <v>0</v>
      </c>
      <c r="P154" t="n">
        <v>0</v>
      </c>
      <c r="Q154" t="n">
        <v>0</v>
      </c>
      <c r="R154" s="2" t="inlineStr"/>
    </row>
    <row r="155" ht="15" customHeight="1">
      <c r="A155" t="inlineStr">
        <is>
          <t>A 45015-2022</t>
        </is>
      </c>
      <c r="B155" s="1" t="n">
        <v>44841.63766203704</v>
      </c>
      <c r="C155" s="1" t="n">
        <v>45886</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58912-2020</t>
        </is>
      </c>
      <c r="B156" s="1" t="n">
        <v>44146</v>
      </c>
      <c r="C156" s="1" t="n">
        <v>45886</v>
      </c>
      <c r="D156" t="inlineStr">
        <is>
          <t>VÄSTMANLANDS LÄN</t>
        </is>
      </c>
      <c r="E156" t="inlineStr">
        <is>
          <t>SALA</t>
        </is>
      </c>
      <c r="G156" t="n">
        <v>1.1</v>
      </c>
      <c r="H156" t="n">
        <v>0</v>
      </c>
      <c r="I156" t="n">
        <v>0</v>
      </c>
      <c r="J156" t="n">
        <v>0</v>
      </c>
      <c r="K156" t="n">
        <v>0</v>
      </c>
      <c r="L156" t="n">
        <v>0</v>
      </c>
      <c r="M156" t="n">
        <v>0</v>
      </c>
      <c r="N156" t="n">
        <v>0</v>
      </c>
      <c r="O156" t="n">
        <v>0</v>
      </c>
      <c r="P156" t="n">
        <v>0</v>
      </c>
      <c r="Q156" t="n">
        <v>0</v>
      </c>
      <c r="R156" s="2" t="inlineStr"/>
    </row>
    <row r="157" ht="15" customHeight="1">
      <c r="A157" t="inlineStr">
        <is>
          <t>A 65818-2021</t>
        </is>
      </c>
      <c r="B157" s="1" t="n">
        <v>44517</v>
      </c>
      <c r="C157" s="1" t="n">
        <v>45886</v>
      </c>
      <c r="D157" t="inlineStr">
        <is>
          <t>VÄSTMANLANDS LÄN</t>
        </is>
      </c>
      <c r="E157" t="inlineStr">
        <is>
          <t>SALA</t>
        </is>
      </c>
      <c r="G157" t="n">
        <v>0.6</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45886</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73606-2021</t>
        </is>
      </c>
      <c r="B159" s="1" t="n">
        <v>44552</v>
      </c>
      <c r="C159" s="1" t="n">
        <v>45886</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55881-2020</t>
        </is>
      </c>
      <c r="B160" s="1" t="n">
        <v>44132</v>
      </c>
      <c r="C160" s="1" t="n">
        <v>45886</v>
      </c>
      <c r="D160" t="inlineStr">
        <is>
          <t>VÄSTMANLANDS LÄN</t>
        </is>
      </c>
      <c r="E160" t="inlineStr">
        <is>
          <t>SALA</t>
        </is>
      </c>
      <c r="G160" t="n">
        <v>3</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45886</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69192-2020</t>
        </is>
      </c>
      <c r="B162" s="1" t="n">
        <v>44191</v>
      </c>
      <c r="C162" s="1" t="n">
        <v>45886</v>
      </c>
      <c r="D162" t="inlineStr">
        <is>
          <t>VÄSTMANLANDS LÄN</t>
        </is>
      </c>
      <c r="E162" t="inlineStr">
        <is>
          <t>SALA</t>
        </is>
      </c>
      <c r="G162" t="n">
        <v>0.8</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45886</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53735-2022</t>
        </is>
      </c>
      <c r="B164" s="1" t="n">
        <v>44880.42752314815</v>
      </c>
      <c r="C164" s="1" t="n">
        <v>45886</v>
      </c>
      <c r="D164" t="inlineStr">
        <is>
          <t>VÄSTMANLANDS LÄN</t>
        </is>
      </c>
      <c r="E164" t="inlineStr">
        <is>
          <t>SALA</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9050-2022</t>
        </is>
      </c>
      <c r="B165" s="1" t="n">
        <v>44615.45451388889</v>
      </c>
      <c r="C165" s="1" t="n">
        <v>45886</v>
      </c>
      <c r="D165" t="inlineStr">
        <is>
          <t>VÄSTMANLANDS LÄN</t>
        </is>
      </c>
      <c r="E165" t="inlineStr">
        <is>
          <t>SALA</t>
        </is>
      </c>
      <c r="G165" t="n">
        <v>3.1</v>
      </c>
      <c r="H165" t="n">
        <v>0</v>
      </c>
      <c r="I165" t="n">
        <v>0</v>
      </c>
      <c r="J165" t="n">
        <v>0</v>
      </c>
      <c r="K165" t="n">
        <v>0</v>
      </c>
      <c r="L165" t="n">
        <v>0</v>
      </c>
      <c r="M165" t="n">
        <v>0</v>
      </c>
      <c r="N165" t="n">
        <v>0</v>
      </c>
      <c r="O165" t="n">
        <v>0</v>
      </c>
      <c r="P165" t="n">
        <v>0</v>
      </c>
      <c r="Q165" t="n">
        <v>0</v>
      </c>
      <c r="R165" s="2" t="inlineStr"/>
    </row>
    <row r="166" ht="15" customHeight="1">
      <c r="A166" t="inlineStr">
        <is>
          <t>A 10168-2022</t>
        </is>
      </c>
      <c r="B166" s="1" t="n">
        <v>44622.37693287037</v>
      </c>
      <c r="C166" s="1" t="n">
        <v>45886</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43349-2020</t>
        </is>
      </c>
      <c r="B167" s="1" t="n">
        <v>44081</v>
      </c>
      <c r="C167" s="1" t="n">
        <v>45886</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49254-2022</t>
        </is>
      </c>
      <c r="B168" s="1" t="n">
        <v>44861</v>
      </c>
      <c r="C168" s="1" t="n">
        <v>45886</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65856-2021</t>
        </is>
      </c>
      <c r="B169" s="1" t="n">
        <v>44517</v>
      </c>
      <c r="C169" s="1" t="n">
        <v>45886</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47054-2020</t>
        </is>
      </c>
      <c r="B170" s="1" t="n">
        <v>44096</v>
      </c>
      <c r="C170" s="1" t="n">
        <v>45886</v>
      </c>
      <c r="D170" t="inlineStr">
        <is>
          <t>VÄSTMANLANDS LÄN</t>
        </is>
      </c>
      <c r="E170" t="inlineStr">
        <is>
          <t>SALA</t>
        </is>
      </c>
      <c r="F170" t="inlineStr">
        <is>
          <t>Kommuner</t>
        </is>
      </c>
      <c r="G170" t="n">
        <v>1.1</v>
      </c>
      <c r="H170" t="n">
        <v>0</v>
      </c>
      <c r="I170" t="n">
        <v>0</v>
      </c>
      <c r="J170" t="n">
        <v>0</v>
      </c>
      <c r="K170" t="n">
        <v>0</v>
      </c>
      <c r="L170" t="n">
        <v>0</v>
      </c>
      <c r="M170" t="n">
        <v>0</v>
      </c>
      <c r="N170" t="n">
        <v>0</v>
      </c>
      <c r="O170" t="n">
        <v>0</v>
      </c>
      <c r="P170" t="n">
        <v>0</v>
      </c>
      <c r="Q170" t="n">
        <v>0</v>
      </c>
      <c r="R170" s="2" t="inlineStr"/>
    </row>
    <row r="171" ht="15" customHeight="1">
      <c r="A171" t="inlineStr">
        <is>
          <t>A 11370-2022</t>
        </is>
      </c>
      <c r="B171" s="1" t="n">
        <v>44630</v>
      </c>
      <c r="C171" s="1" t="n">
        <v>45886</v>
      </c>
      <c r="D171" t="inlineStr">
        <is>
          <t>VÄSTMANLANDS LÄN</t>
        </is>
      </c>
      <c r="E171" t="inlineStr">
        <is>
          <t>SALA</t>
        </is>
      </c>
      <c r="G171" t="n">
        <v>4.3</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45886</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44224-2022</t>
        </is>
      </c>
      <c r="B173" s="1" t="n">
        <v>44839.506875</v>
      </c>
      <c r="C173" s="1" t="n">
        <v>45886</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45886</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58781-2020</t>
        </is>
      </c>
      <c r="B175" s="1" t="n">
        <v>44146</v>
      </c>
      <c r="C175" s="1" t="n">
        <v>45886</v>
      </c>
      <c r="D175" t="inlineStr">
        <is>
          <t>VÄSTMANLANDS LÄN</t>
        </is>
      </c>
      <c r="E175" t="inlineStr">
        <is>
          <t>SALA</t>
        </is>
      </c>
      <c r="G175" t="n">
        <v>1.2</v>
      </c>
      <c r="H175" t="n">
        <v>0</v>
      </c>
      <c r="I175" t="n">
        <v>0</v>
      </c>
      <c r="J175" t="n">
        <v>0</v>
      </c>
      <c r="K175" t="n">
        <v>0</v>
      </c>
      <c r="L175" t="n">
        <v>0</v>
      </c>
      <c r="M175" t="n">
        <v>0</v>
      </c>
      <c r="N175" t="n">
        <v>0</v>
      </c>
      <c r="O175" t="n">
        <v>0</v>
      </c>
      <c r="P175" t="n">
        <v>0</v>
      </c>
      <c r="Q175" t="n">
        <v>0</v>
      </c>
      <c r="R175" s="2" t="inlineStr"/>
    </row>
    <row r="176" ht="15" customHeight="1">
      <c r="A176" t="inlineStr">
        <is>
          <t>A 25603-2022</t>
        </is>
      </c>
      <c r="B176" s="1" t="n">
        <v>44732</v>
      </c>
      <c r="C176" s="1" t="n">
        <v>45886</v>
      </c>
      <c r="D176" t="inlineStr">
        <is>
          <t>VÄSTMANLANDS LÄN</t>
        </is>
      </c>
      <c r="E176" t="inlineStr">
        <is>
          <t>SALA</t>
        </is>
      </c>
      <c r="G176" t="n">
        <v>2</v>
      </c>
      <c r="H176" t="n">
        <v>0</v>
      </c>
      <c r="I176" t="n">
        <v>0</v>
      </c>
      <c r="J176" t="n">
        <v>0</v>
      </c>
      <c r="K176" t="n">
        <v>0</v>
      </c>
      <c r="L176" t="n">
        <v>0</v>
      </c>
      <c r="M176" t="n">
        <v>0</v>
      </c>
      <c r="N176" t="n">
        <v>0</v>
      </c>
      <c r="O176" t="n">
        <v>0</v>
      </c>
      <c r="P176" t="n">
        <v>0</v>
      </c>
      <c r="Q176" t="n">
        <v>0</v>
      </c>
      <c r="R176" s="2" t="inlineStr"/>
    </row>
    <row r="177" ht="15" customHeight="1">
      <c r="A177" t="inlineStr">
        <is>
          <t>A 67962-2021</t>
        </is>
      </c>
      <c r="B177" s="1" t="n">
        <v>44525</v>
      </c>
      <c r="C177" s="1" t="n">
        <v>45886</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47208-2020</t>
        </is>
      </c>
      <c r="B178" s="1" t="n">
        <v>44097.41038194444</v>
      </c>
      <c r="C178" s="1" t="n">
        <v>45886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45886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53628-2022</t>
        </is>
      </c>
      <c r="B180" s="1" t="n">
        <v>44879.87171296297</v>
      </c>
      <c r="C180" s="1" t="n">
        <v>45886</v>
      </c>
      <c r="D180" t="inlineStr">
        <is>
          <t>VÄSTMANLANDS LÄN</t>
        </is>
      </c>
      <c r="E180" t="inlineStr">
        <is>
          <t>SALA</t>
        </is>
      </c>
      <c r="G180" t="n">
        <v>2.7</v>
      </c>
      <c r="H180" t="n">
        <v>0</v>
      </c>
      <c r="I180" t="n">
        <v>0</v>
      </c>
      <c r="J180" t="n">
        <v>0</v>
      </c>
      <c r="K180" t="n">
        <v>0</v>
      </c>
      <c r="L180" t="n">
        <v>0</v>
      </c>
      <c r="M180" t="n">
        <v>0</v>
      </c>
      <c r="N180" t="n">
        <v>0</v>
      </c>
      <c r="O180" t="n">
        <v>0</v>
      </c>
      <c r="P180" t="n">
        <v>0</v>
      </c>
      <c r="Q180" t="n">
        <v>0</v>
      </c>
      <c r="R180" s="2" t="inlineStr"/>
    </row>
    <row r="181" ht="15" customHeight="1">
      <c r="A181" t="inlineStr">
        <is>
          <t>A 26579-2021</t>
        </is>
      </c>
      <c r="B181" s="1" t="n">
        <v>44348</v>
      </c>
      <c r="C181" s="1" t="n">
        <v>45886</v>
      </c>
      <c r="D181" t="inlineStr">
        <is>
          <t>VÄSTMANLANDS LÄN</t>
        </is>
      </c>
      <c r="E181" t="inlineStr">
        <is>
          <t>SALA</t>
        </is>
      </c>
      <c r="G181" t="n">
        <v>1.6</v>
      </c>
      <c r="H181" t="n">
        <v>0</v>
      </c>
      <c r="I181" t="n">
        <v>0</v>
      </c>
      <c r="J181" t="n">
        <v>0</v>
      </c>
      <c r="K181" t="n">
        <v>0</v>
      </c>
      <c r="L181" t="n">
        <v>0</v>
      </c>
      <c r="M181" t="n">
        <v>0</v>
      </c>
      <c r="N181" t="n">
        <v>0</v>
      </c>
      <c r="O181" t="n">
        <v>0</v>
      </c>
      <c r="P181" t="n">
        <v>0</v>
      </c>
      <c r="Q181" t="n">
        <v>0</v>
      </c>
      <c r="R181" s="2" t="inlineStr"/>
    </row>
    <row r="182" ht="15" customHeight="1">
      <c r="A182" t="inlineStr">
        <is>
          <t>A 73519-2021</t>
        </is>
      </c>
      <c r="B182" s="1" t="n">
        <v>44551</v>
      </c>
      <c r="C182" s="1" t="n">
        <v>45886</v>
      </c>
      <c r="D182" t="inlineStr">
        <is>
          <t>VÄSTMANLANDS LÄN</t>
        </is>
      </c>
      <c r="E182" t="inlineStr">
        <is>
          <t>SALA</t>
        </is>
      </c>
      <c r="G182" t="n">
        <v>0.3</v>
      </c>
      <c r="H182" t="n">
        <v>0</v>
      </c>
      <c r="I182" t="n">
        <v>0</v>
      </c>
      <c r="J182" t="n">
        <v>0</v>
      </c>
      <c r="K182" t="n">
        <v>0</v>
      </c>
      <c r="L182" t="n">
        <v>0</v>
      </c>
      <c r="M182" t="n">
        <v>0</v>
      </c>
      <c r="N182" t="n">
        <v>0</v>
      </c>
      <c r="O182" t="n">
        <v>0</v>
      </c>
      <c r="P182" t="n">
        <v>0</v>
      </c>
      <c r="Q182" t="n">
        <v>0</v>
      </c>
      <c r="R182" s="2" t="inlineStr"/>
    </row>
    <row r="183" ht="15" customHeight="1">
      <c r="A183" t="inlineStr">
        <is>
          <t>A 37881-2021</t>
        </is>
      </c>
      <c r="B183" s="1" t="n">
        <v>44403</v>
      </c>
      <c r="C183" s="1" t="n">
        <v>45886</v>
      </c>
      <c r="D183" t="inlineStr">
        <is>
          <t>VÄSTMANLANDS LÄN</t>
        </is>
      </c>
      <c r="E183" t="inlineStr">
        <is>
          <t>SALA</t>
        </is>
      </c>
      <c r="G183" t="n">
        <v>4.6</v>
      </c>
      <c r="H183" t="n">
        <v>0</v>
      </c>
      <c r="I183" t="n">
        <v>0</v>
      </c>
      <c r="J183" t="n">
        <v>0</v>
      </c>
      <c r="K183" t="n">
        <v>0</v>
      </c>
      <c r="L183" t="n">
        <v>0</v>
      </c>
      <c r="M183" t="n">
        <v>0</v>
      </c>
      <c r="N183" t="n">
        <v>0</v>
      </c>
      <c r="O183" t="n">
        <v>0</v>
      </c>
      <c r="P183" t="n">
        <v>0</v>
      </c>
      <c r="Q183" t="n">
        <v>0</v>
      </c>
      <c r="R183" s="2" t="inlineStr"/>
    </row>
    <row r="184" ht="15" customHeight="1">
      <c r="A184" t="inlineStr">
        <is>
          <t>A 61415-2020</t>
        </is>
      </c>
      <c r="B184" s="1" t="n">
        <v>44156</v>
      </c>
      <c r="C184" s="1" t="n">
        <v>45886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72805-2021</t>
        </is>
      </c>
      <c r="B185" s="1" t="n">
        <v>44546</v>
      </c>
      <c r="C185" s="1" t="n">
        <v>45886</v>
      </c>
      <c r="D185" t="inlineStr">
        <is>
          <t>VÄSTMANLANDS LÄN</t>
        </is>
      </c>
      <c r="E185" t="inlineStr">
        <is>
          <t>SALA</t>
        </is>
      </c>
      <c r="G185" t="n">
        <v>7.8</v>
      </c>
      <c r="H185" t="n">
        <v>0</v>
      </c>
      <c r="I185" t="n">
        <v>0</v>
      </c>
      <c r="J185" t="n">
        <v>0</v>
      </c>
      <c r="K185" t="n">
        <v>0</v>
      </c>
      <c r="L185" t="n">
        <v>0</v>
      </c>
      <c r="M185" t="n">
        <v>0</v>
      </c>
      <c r="N185" t="n">
        <v>0</v>
      </c>
      <c r="O185" t="n">
        <v>0</v>
      </c>
      <c r="P185" t="n">
        <v>0</v>
      </c>
      <c r="Q185" t="n">
        <v>0</v>
      </c>
      <c r="R185" s="2" t="inlineStr"/>
    </row>
    <row r="186" ht="15" customHeight="1">
      <c r="A186" t="inlineStr">
        <is>
          <t>A 72808-2021</t>
        </is>
      </c>
      <c r="B186" s="1" t="n">
        <v>44546</v>
      </c>
      <c r="C186" s="1" t="n">
        <v>45886</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45886</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24882-2022</t>
        </is>
      </c>
      <c r="B188" s="1" t="n">
        <v>44728.56488425926</v>
      </c>
      <c r="C188" s="1" t="n">
        <v>45886</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45886</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40113-2022</t>
        </is>
      </c>
      <c r="B190" s="1" t="n">
        <v>44819</v>
      </c>
      <c r="C190" s="1" t="n">
        <v>45886</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30915-2021</t>
        </is>
      </c>
      <c r="B191" s="1" t="n">
        <v>44365</v>
      </c>
      <c r="C191" s="1" t="n">
        <v>45886</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30918-2021</t>
        </is>
      </c>
      <c r="B192" s="1" t="n">
        <v>44365.60569444444</v>
      </c>
      <c r="C192" s="1" t="n">
        <v>45886</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22562-2022</t>
        </is>
      </c>
      <c r="B193" s="1" t="n">
        <v>44713</v>
      </c>
      <c r="C193" s="1" t="n">
        <v>45886</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30904-2021</t>
        </is>
      </c>
      <c r="B194" s="1" t="n">
        <v>44365.5983449074</v>
      </c>
      <c r="C194" s="1" t="n">
        <v>45886</v>
      </c>
      <c r="D194" t="inlineStr">
        <is>
          <t>VÄSTMANLANDS LÄN</t>
        </is>
      </c>
      <c r="E194" t="inlineStr">
        <is>
          <t>SALA</t>
        </is>
      </c>
      <c r="G194" t="n">
        <v>1.9</v>
      </c>
      <c r="H194" t="n">
        <v>0</v>
      </c>
      <c r="I194" t="n">
        <v>0</v>
      </c>
      <c r="J194" t="n">
        <v>0</v>
      </c>
      <c r="K194" t="n">
        <v>0</v>
      </c>
      <c r="L194" t="n">
        <v>0</v>
      </c>
      <c r="M194" t="n">
        <v>0</v>
      </c>
      <c r="N194" t="n">
        <v>0</v>
      </c>
      <c r="O194" t="n">
        <v>0</v>
      </c>
      <c r="P194" t="n">
        <v>0</v>
      </c>
      <c r="Q194" t="n">
        <v>0</v>
      </c>
      <c r="R194" s="2" t="inlineStr"/>
    </row>
    <row r="195" ht="15" customHeight="1">
      <c r="A195" t="inlineStr">
        <is>
          <t>A 44652-2020</t>
        </is>
      </c>
      <c r="B195" s="1" t="n">
        <v>44085</v>
      </c>
      <c r="C195" s="1" t="n">
        <v>45886</v>
      </c>
      <c r="D195" t="inlineStr">
        <is>
          <t>VÄSTMANLANDS LÄN</t>
        </is>
      </c>
      <c r="E195" t="inlineStr">
        <is>
          <t>SALA</t>
        </is>
      </c>
      <c r="G195" t="n">
        <v>1.8</v>
      </c>
      <c r="H195" t="n">
        <v>0</v>
      </c>
      <c r="I195" t="n">
        <v>0</v>
      </c>
      <c r="J195" t="n">
        <v>0</v>
      </c>
      <c r="K195" t="n">
        <v>0</v>
      </c>
      <c r="L195" t="n">
        <v>0</v>
      </c>
      <c r="M195" t="n">
        <v>0</v>
      </c>
      <c r="N195" t="n">
        <v>0</v>
      </c>
      <c r="O195" t="n">
        <v>0</v>
      </c>
      <c r="P195" t="n">
        <v>0</v>
      </c>
      <c r="Q195" t="n">
        <v>0</v>
      </c>
      <c r="R195" s="2" t="inlineStr"/>
    </row>
    <row r="196" ht="15" customHeight="1">
      <c r="A196" t="inlineStr">
        <is>
          <t>A 56688-2024</t>
        </is>
      </c>
      <c r="B196" s="1" t="n">
        <v>45627.66478009259</v>
      </c>
      <c r="C196" s="1" t="n">
        <v>45886</v>
      </c>
      <c r="D196" t="inlineStr">
        <is>
          <t>VÄSTMANLANDS LÄN</t>
        </is>
      </c>
      <c r="E196" t="inlineStr">
        <is>
          <t>SALA</t>
        </is>
      </c>
      <c r="G196" t="n">
        <v>0.9</v>
      </c>
      <c r="H196" t="n">
        <v>0</v>
      </c>
      <c r="I196" t="n">
        <v>0</v>
      </c>
      <c r="J196" t="n">
        <v>0</v>
      </c>
      <c r="K196" t="n">
        <v>0</v>
      </c>
      <c r="L196" t="n">
        <v>0</v>
      </c>
      <c r="M196" t="n">
        <v>0</v>
      </c>
      <c r="N196" t="n">
        <v>0</v>
      </c>
      <c r="O196" t="n">
        <v>0</v>
      </c>
      <c r="P196" t="n">
        <v>0</v>
      </c>
      <c r="Q196" t="n">
        <v>0</v>
      </c>
      <c r="R196" s="2" t="inlineStr"/>
    </row>
    <row r="197" ht="15" customHeight="1">
      <c r="A197" t="inlineStr">
        <is>
          <t>A 27261-2024</t>
        </is>
      </c>
      <c r="B197" s="1" t="n">
        <v>45471</v>
      </c>
      <c r="C197" s="1" t="n">
        <v>45886</v>
      </c>
      <c r="D197" t="inlineStr">
        <is>
          <t>VÄSTMANLANDS LÄN</t>
        </is>
      </c>
      <c r="E197" t="inlineStr">
        <is>
          <t>SALA</t>
        </is>
      </c>
      <c r="G197" t="n">
        <v>6.1</v>
      </c>
      <c r="H197" t="n">
        <v>0</v>
      </c>
      <c r="I197" t="n">
        <v>0</v>
      </c>
      <c r="J197" t="n">
        <v>0</v>
      </c>
      <c r="K197" t="n">
        <v>0</v>
      </c>
      <c r="L197" t="n">
        <v>0</v>
      </c>
      <c r="M197" t="n">
        <v>0</v>
      </c>
      <c r="N197" t="n">
        <v>0</v>
      </c>
      <c r="O197" t="n">
        <v>0</v>
      </c>
      <c r="P197" t="n">
        <v>0</v>
      </c>
      <c r="Q197" t="n">
        <v>0</v>
      </c>
      <c r="R197" s="2" t="inlineStr"/>
    </row>
    <row r="198" ht="15" customHeight="1">
      <c r="A198" t="inlineStr">
        <is>
          <t>A 29233-2022</t>
        </is>
      </c>
      <c r="B198" s="1" t="n">
        <v>44750</v>
      </c>
      <c r="C198" s="1" t="n">
        <v>45886</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70218-2021</t>
        </is>
      </c>
      <c r="B199" s="1" t="n">
        <v>44535.6571412037</v>
      </c>
      <c r="C199" s="1" t="n">
        <v>45886</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18713-2025</t>
        </is>
      </c>
      <c r="B200" s="1" t="n">
        <v>45763</v>
      </c>
      <c r="C200" s="1" t="n">
        <v>45886</v>
      </c>
      <c r="D200" t="inlineStr">
        <is>
          <t>VÄSTMANLANDS LÄN</t>
        </is>
      </c>
      <c r="E200" t="inlineStr">
        <is>
          <t>SALA</t>
        </is>
      </c>
      <c r="F200" t="inlineStr">
        <is>
          <t>Bergvik skog öst AB</t>
        </is>
      </c>
      <c r="G200" t="n">
        <v>11.6</v>
      </c>
      <c r="H200" t="n">
        <v>0</v>
      </c>
      <c r="I200" t="n">
        <v>0</v>
      </c>
      <c r="J200" t="n">
        <v>0</v>
      </c>
      <c r="K200" t="n">
        <v>0</v>
      </c>
      <c r="L200" t="n">
        <v>0</v>
      </c>
      <c r="M200" t="n">
        <v>0</v>
      </c>
      <c r="N200" t="n">
        <v>0</v>
      </c>
      <c r="O200" t="n">
        <v>0</v>
      </c>
      <c r="P200" t="n">
        <v>0</v>
      </c>
      <c r="Q200" t="n">
        <v>0</v>
      </c>
      <c r="R200" s="2" t="inlineStr"/>
    </row>
    <row r="201" ht="15" customHeight="1">
      <c r="A201" t="inlineStr">
        <is>
          <t>A 54959-2024</t>
        </is>
      </c>
      <c r="B201" s="1" t="n">
        <v>45619</v>
      </c>
      <c r="C201" s="1" t="n">
        <v>45886</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42345-2020</t>
        </is>
      </c>
      <c r="B202" s="1" t="n">
        <v>44076</v>
      </c>
      <c r="C202" s="1" t="n">
        <v>45886</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54347-2024</t>
        </is>
      </c>
      <c r="B203" s="1" t="n">
        <v>45617.39325231482</v>
      </c>
      <c r="C203" s="1" t="n">
        <v>45886</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27486-2022</t>
        </is>
      </c>
      <c r="B204" s="1" t="n">
        <v>44742.60846064815</v>
      </c>
      <c r="C204" s="1" t="n">
        <v>45886</v>
      </c>
      <c r="D204" t="inlineStr">
        <is>
          <t>VÄSTMANLANDS LÄN</t>
        </is>
      </c>
      <c r="E204" t="inlineStr">
        <is>
          <t>SALA</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16651-2021</t>
        </is>
      </c>
      <c r="B205" s="1" t="n">
        <v>44294.50096064815</v>
      </c>
      <c r="C205" s="1" t="n">
        <v>45886</v>
      </c>
      <c r="D205" t="inlineStr">
        <is>
          <t>VÄSTMANLANDS LÄN</t>
        </is>
      </c>
      <c r="E205" t="inlineStr">
        <is>
          <t>SALA</t>
        </is>
      </c>
      <c r="G205" t="n">
        <v>7.7</v>
      </c>
      <c r="H205" t="n">
        <v>0</v>
      </c>
      <c r="I205" t="n">
        <v>0</v>
      </c>
      <c r="J205" t="n">
        <v>0</v>
      </c>
      <c r="K205" t="n">
        <v>0</v>
      </c>
      <c r="L205" t="n">
        <v>0</v>
      </c>
      <c r="M205" t="n">
        <v>0</v>
      </c>
      <c r="N205" t="n">
        <v>0</v>
      </c>
      <c r="O205" t="n">
        <v>0</v>
      </c>
      <c r="P205" t="n">
        <v>0</v>
      </c>
      <c r="Q205" t="n">
        <v>0</v>
      </c>
      <c r="R205" s="2" t="inlineStr"/>
    </row>
    <row r="206" ht="15" customHeight="1">
      <c r="A206" t="inlineStr">
        <is>
          <t>A 3204-2022</t>
        </is>
      </c>
      <c r="B206" s="1" t="n">
        <v>44582</v>
      </c>
      <c r="C206" s="1" t="n">
        <v>45886</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16160-2024</t>
        </is>
      </c>
      <c r="B207" s="1" t="n">
        <v>45406</v>
      </c>
      <c r="C207" s="1" t="n">
        <v>45886</v>
      </c>
      <c r="D207" t="inlineStr">
        <is>
          <t>VÄSTMANLANDS LÄN</t>
        </is>
      </c>
      <c r="E207" t="inlineStr">
        <is>
          <t>SALA</t>
        </is>
      </c>
      <c r="G207" t="n">
        <v>1.1</v>
      </c>
      <c r="H207" t="n">
        <v>0</v>
      </c>
      <c r="I207" t="n">
        <v>0</v>
      </c>
      <c r="J207" t="n">
        <v>0</v>
      </c>
      <c r="K207" t="n">
        <v>0</v>
      </c>
      <c r="L207" t="n">
        <v>0</v>
      </c>
      <c r="M207" t="n">
        <v>0</v>
      </c>
      <c r="N207" t="n">
        <v>0</v>
      </c>
      <c r="O207" t="n">
        <v>0</v>
      </c>
      <c r="P207" t="n">
        <v>0</v>
      </c>
      <c r="Q207" t="n">
        <v>0</v>
      </c>
      <c r="R207" s="2" t="inlineStr"/>
    </row>
    <row r="208" ht="15" customHeight="1">
      <c r="A208" t="inlineStr">
        <is>
          <t>A 40597-2022</t>
        </is>
      </c>
      <c r="B208" s="1" t="n">
        <v>44823.84862268518</v>
      </c>
      <c r="C208" s="1" t="n">
        <v>45886</v>
      </c>
      <c r="D208" t="inlineStr">
        <is>
          <t>VÄSTMANLANDS LÄN</t>
        </is>
      </c>
      <c r="E208" t="inlineStr">
        <is>
          <t>SALA</t>
        </is>
      </c>
      <c r="G208" t="n">
        <v>3.5</v>
      </c>
      <c r="H208" t="n">
        <v>0</v>
      </c>
      <c r="I208" t="n">
        <v>0</v>
      </c>
      <c r="J208" t="n">
        <v>0</v>
      </c>
      <c r="K208" t="n">
        <v>0</v>
      </c>
      <c r="L208" t="n">
        <v>0</v>
      </c>
      <c r="M208" t="n">
        <v>0</v>
      </c>
      <c r="N208" t="n">
        <v>0</v>
      </c>
      <c r="O208" t="n">
        <v>0</v>
      </c>
      <c r="P208" t="n">
        <v>0</v>
      </c>
      <c r="Q208" t="n">
        <v>0</v>
      </c>
      <c r="R208" s="2" t="inlineStr"/>
    </row>
    <row r="209" ht="15" customHeight="1">
      <c r="A209" t="inlineStr">
        <is>
          <t>A 13022-2023</t>
        </is>
      </c>
      <c r="B209" s="1" t="n">
        <v>45002.33291666667</v>
      </c>
      <c r="C209" s="1" t="n">
        <v>45886</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26570-2021</t>
        </is>
      </c>
      <c r="B210" s="1" t="n">
        <v>44348</v>
      </c>
      <c r="C210" s="1" t="n">
        <v>45886</v>
      </c>
      <c r="D210" t="inlineStr">
        <is>
          <t>VÄSTMANLANDS LÄN</t>
        </is>
      </c>
      <c r="E210" t="inlineStr">
        <is>
          <t>SALA</t>
        </is>
      </c>
      <c r="G210" t="n">
        <v>2.5</v>
      </c>
      <c r="H210" t="n">
        <v>0</v>
      </c>
      <c r="I210" t="n">
        <v>0</v>
      </c>
      <c r="J210" t="n">
        <v>0</v>
      </c>
      <c r="K210" t="n">
        <v>0</v>
      </c>
      <c r="L210" t="n">
        <v>0</v>
      </c>
      <c r="M210" t="n">
        <v>0</v>
      </c>
      <c r="N210" t="n">
        <v>0</v>
      </c>
      <c r="O210" t="n">
        <v>0</v>
      </c>
      <c r="P210" t="n">
        <v>0</v>
      </c>
      <c r="Q210" t="n">
        <v>0</v>
      </c>
      <c r="R210" s="2" t="inlineStr"/>
    </row>
    <row r="211" ht="15" customHeight="1">
      <c r="A211" t="inlineStr">
        <is>
          <t>A 35003-2024</t>
        </is>
      </c>
      <c r="B211" s="1" t="n">
        <v>45527.56790509259</v>
      </c>
      <c r="C211" s="1" t="n">
        <v>45886</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6134-2024</t>
        </is>
      </c>
      <c r="B212" s="1" t="n">
        <v>45337</v>
      </c>
      <c r="C212" s="1" t="n">
        <v>45886</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15354-2021</t>
        </is>
      </c>
      <c r="B213" s="1" t="n">
        <v>44284</v>
      </c>
      <c r="C213" s="1" t="n">
        <v>45886</v>
      </c>
      <c r="D213" t="inlineStr">
        <is>
          <t>VÄSTMANLANDS LÄN</t>
        </is>
      </c>
      <c r="E213" t="inlineStr">
        <is>
          <t>SALA</t>
        </is>
      </c>
      <c r="F213" t="inlineStr">
        <is>
          <t>Kyrkan</t>
        </is>
      </c>
      <c r="G213" t="n">
        <v>8.5</v>
      </c>
      <c r="H213" t="n">
        <v>0</v>
      </c>
      <c r="I213" t="n">
        <v>0</v>
      </c>
      <c r="J213" t="n">
        <v>0</v>
      </c>
      <c r="K213" t="n">
        <v>0</v>
      </c>
      <c r="L213" t="n">
        <v>0</v>
      </c>
      <c r="M213" t="n">
        <v>0</v>
      </c>
      <c r="N213" t="n">
        <v>0</v>
      </c>
      <c r="O213" t="n">
        <v>0</v>
      </c>
      <c r="P213" t="n">
        <v>0</v>
      </c>
      <c r="Q213" t="n">
        <v>0</v>
      </c>
      <c r="R213" s="2" t="inlineStr"/>
    </row>
    <row r="214" ht="15" customHeight="1">
      <c r="A214" t="inlineStr">
        <is>
          <t>A 7196-2025</t>
        </is>
      </c>
      <c r="B214" s="1" t="n">
        <v>45702</v>
      </c>
      <c r="C214" s="1" t="n">
        <v>45886</v>
      </c>
      <c r="D214" t="inlineStr">
        <is>
          <t>VÄSTMANLANDS LÄN</t>
        </is>
      </c>
      <c r="E214" t="inlineStr">
        <is>
          <t>SALA</t>
        </is>
      </c>
      <c r="G214" t="n">
        <v>1.3</v>
      </c>
      <c r="H214" t="n">
        <v>0</v>
      </c>
      <c r="I214" t="n">
        <v>0</v>
      </c>
      <c r="J214" t="n">
        <v>0</v>
      </c>
      <c r="K214" t="n">
        <v>0</v>
      </c>
      <c r="L214" t="n">
        <v>0</v>
      </c>
      <c r="M214" t="n">
        <v>0</v>
      </c>
      <c r="N214" t="n">
        <v>0</v>
      </c>
      <c r="O214" t="n">
        <v>0</v>
      </c>
      <c r="P214" t="n">
        <v>0</v>
      </c>
      <c r="Q214" t="n">
        <v>0</v>
      </c>
      <c r="R214" s="2" t="inlineStr"/>
    </row>
    <row r="215" ht="15" customHeight="1">
      <c r="A215" t="inlineStr">
        <is>
          <t>A 6183-2025</t>
        </is>
      </c>
      <c r="B215" s="1" t="n">
        <v>45698</v>
      </c>
      <c r="C215" s="1" t="n">
        <v>45886</v>
      </c>
      <c r="D215" t="inlineStr">
        <is>
          <t>VÄSTMANLANDS LÄN</t>
        </is>
      </c>
      <c r="E215" t="inlineStr">
        <is>
          <t>SALA</t>
        </is>
      </c>
      <c r="F215" t="inlineStr">
        <is>
          <t>Bergvik skog öst AB</t>
        </is>
      </c>
      <c r="G215" t="n">
        <v>2.3</v>
      </c>
      <c r="H215" t="n">
        <v>0</v>
      </c>
      <c r="I215" t="n">
        <v>0</v>
      </c>
      <c r="J215" t="n">
        <v>0</v>
      </c>
      <c r="K215" t="n">
        <v>0</v>
      </c>
      <c r="L215" t="n">
        <v>0</v>
      </c>
      <c r="M215" t="n">
        <v>0</v>
      </c>
      <c r="N215" t="n">
        <v>0</v>
      </c>
      <c r="O215" t="n">
        <v>0</v>
      </c>
      <c r="P215" t="n">
        <v>0</v>
      </c>
      <c r="Q215" t="n">
        <v>0</v>
      </c>
      <c r="R215" s="2" t="inlineStr"/>
    </row>
    <row r="216" ht="15" customHeight="1">
      <c r="A216" t="inlineStr">
        <is>
          <t>A 66307-2021</t>
        </is>
      </c>
      <c r="B216" s="1" t="n">
        <v>44518.48670138889</v>
      </c>
      <c r="C216" s="1" t="n">
        <v>45886</v>
      </c>
      <c r="D216" t="inlineStr">
        <is>
          <t>VÄSTMANLANDS LÄN</t>
        </is>
      </c>
      <c r="E216" t="inlineStr">
        <is>
          <t>SALA</t>
        </is>
      </c>
      <c r="G216" t="n">
        <v>0.7</v>
      </c>
      <c r="H216" t="n">
        <v>0</v>
      </c>
      <c r="I216" t="n">
        <v>0</v>
      </c>
      <c r="J216" t="n">
        <v>0</v>
      </c>
      <c r="K216" t="n">
        <v>0</v>
      </c>
      <c r="L216" t="n">
        <v>0</v>
      </c>
      <c r="M216" t="n">
        <v>0</v>
      </c>
      <c r="N216" t="n">
        <v>0</v>
      </c>
      <c r="O216" t="n">
        <v>0</v>
      </c>
      <c r="P216" t="n">
        <v>0</v>
      </c>
      <c r="Q216" t="n">
        <v>0</v>
      </c>
      <c r="R216" s="2" t="inlineStr"/>
    </row>
    <row r="217" ht="15" customHeight="1">
      <c r="A217" t="inlineStr">
        <is>
          <t>A 6030-2024</t>
        </is>
      </c>
      <c r="B217" s="1" t="n">
        <v>45336.62782407407</v>
      </c>
      <c r="C217" s="1" t="n">
        <v>45886</v>
      </c>
      <c r="D217" t="inlineStr">
        <is>
          <t>VÄSTMANLANDS LÄN</t>
        </is>
      </c>
      <c r="E217" t="inlineStr">
        <is>
          <t>SALA</t>
        </is>
      </c>
      <c r="G217" t="n">
        <v>3.9</v>
      </c>
      <c r="H217" t="n">
        <v>0</v>
      </c>
      <c r="I217" t="n">
        <v>0</v>
      </c>
      <c r="J217" t="n">
        <v>0</v>
      </c>
      <c r="K217" t="n">
        <v>0</v>
      </c>
      <c r="L217" t="n">
        <v>0</v>
      </c>
      <c r="M217" t="n">
        <v>0</v>
      </c>
      <c r="N217" t="n">
        <v>0</v>
      </c>
      <c r="O217" t="n">
        <v>0</v>
      </c>
      <c r="P217" t="n">
        <v>0</v>
      </c>
      <c r="Q217" t="n">
        <v>0</v>
      </c>
      <c r="R217" s="2" t="inlineStr"/>
    </row>
    <row r="218" ht="15" customHeight="1">
      <c r="A218" t="inlineStr">
        <is>
          <t>A 12921-2025</t>
        </is>
      </c>
      <c r="B218" s="1" t="n">
        <v>45734.28016203704</v>
      </c>
      <c r="C218" s="1" t="n">
        <v>45886</v>
      </c>
      <c r="D218" t="inlineStr">
        <is>
          <t>VÄSTMANLANDS LÄN</t>
        </is>
      </c>
      <c r="E218" t="inlineStr">
        <is>
          <t>SALA</t>
        </is>
      </c>
      <c r="G218" t="n">
        <v>0.9</v>
      </c>
      <c r="H218" t="n">
        <v>0</v>
      </c>
      <c r="I218" t="n">
        <v>0</v>
      </c>
      <c r="J218" t="n">
        <v>0</v>
      </c>
      <c r="K218" t="n">
        <v>0</v>
      </c>
      <c r="L218" t="n">
        <v>0</v>
      </c>
      <c r="M218" t="n">
        <v>0</v>
      </c>
      <c r="N218" t="n">
        <v>0</v>
      </c>
      <c r="O218" t="n">
        <v>0</v>
      </c>
      <c r="P218" t="n">
        <v>0</v>
      </c>
      <c r="Q218" t="n">
        <v>0</v>
      </c>
      <c r="R218" s="2" t="inlineStr"/>
    </row>
    <row r="219" ht="15" customHeight="1">
      <c r="A219" t="inlineStr">
        <is>
          <t>A 26761-2023</t>
        </is>
      </c>
      <c r="B219" s="1" t="n">
        <v>45093</v>
      </c>
      <c r="C219" s="1" t="n">
        <v>45886</v>
      </c>
      <c r="D219" t="inlineStr">
        <is>
          <t>VÄSTMANLANDS LÄN</t>
        </is>
      </c>
      <c r="E219" t="inlineStr">
        <is>
          <t>SALA</t>
        </is>
      </c>
      <c r="G219" t="n">
        <v>4.3</v>
      </c>
      <c r="H219" t="n">
        <v>0</v>
      </c>
      <c r="I219" t="n">
        <v>0</v>
      </c>
      <c r="J219" t="n">
        <v>0</v>
      </c>
      <c r="K219" t="n">
        <v>0</v>
      </c>
      <c r="L219" t="n">
        <v>0</v>
      </c>
      <c r="M219" t="n">
        <v>0</v>
      </c>
      <c r="N219" t="n">
        <v>0</v>
      </c>
      <c r="O219" t="n">
        <v>0</v>
      </c>
      <c r="P219" t="n">
        <v>0</v>
      </c>
      <c r="Q219" t="n">
        <v>0</v>
      </c>
      <c r="R219" s="2" t="inlineStr"/>
    </row>
    <row r="220" ht="15" customHeight="1">
      <c r="A220" t="inlineStr">
        <is>
          <t>A 61892-2021</t>
        </is>
      </c>
      <c r="B220" s="1" t="n">
        <v>44502</v>
      </c>
      <c r="C220" s="1" t="n">
        <v>45886</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6154-2025</t>
        </is>
      </c>
      <c r="B221" s="1" t="n">
        <v>45698.40719907408</v>
      </c>
      <c r="C221" s="1" t="n">
        <v>45886</v>
      </c>
      <c r="D221" t="inlineStr">
        <is>
          <t>VÄSTMANLANDS LÄN</t>
        </is>
      </c>
      <c r="E221" t="inlineStr">
        <is>
          <t>SALA</t>
        </is>
      </c>
      <c r="F221" t="inlineStr">
        <is>
          <t>Bergvik skog öst AB</t>
        </is>
      </c>
      <c r="G221" t="n">
        <v>3.9</v>
      </c>
      <c r="H221" t="n">
        <v>0</v>
      </c>
      <c r="I221" t="n">
        <v>0</v>
      </c>
      <c r="J221" t="n">
        <v>0</v>
      </c>
      <c r="K221" t="n">
        <v>0</v>
      </c>
      <c r="L221" t="n">
        <v>0</v>
      </c>
      <c r="M221" t="n">
        <v>0</v>
      </c>
      <c r="N221" t="n">
        <v>0</v>
      </c>
      <c r="O221" t="n">
        <v>0</v>
      </c>
      <c r="P221" t="n">
        <v>0</v>
      </c>
      <c r="Q221" t="n">
        <v>0</v>
      </c>
      <c r="R221" s="2" t="inlineStr"/>
    </row>
    <row r="222" ht="15" customHeight="1">
      <c r="A222" t="inlineStr">
        <is>
          <t>A 40871-2021</t>
        </is>
      </c>
      <c r="B222" s="1" t="n">
        <v>44421</v>
      </c>
      <c r="C222" s="1" t="n">
        <v>45886</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19803-2024</t>
        </is>
      </c>
      <c r="B223" s="1" t="n">
        <v>45432</v>
      </c>
      <c r="C223" s="1" t="n">
        <v>45886</v>
      </c>
      <c r="D223" t="inlineStr">
        <is>
          <t>VÄSTMANLANDS LÄN</t>
        </is>
      </c>
      <c r="E223" t="inlineStr">
        <is>
          <t>SALA</t>
        </is>
      </c>
      <c r="G223" t="n">
        <v>3.1</v>
      </c>
      <c r="H223" t="n">
        <v>0</v>
      </c>
      <c r="I223" t="n">
        <v>0</v>
      </c>
      <c r="J223" t="n">
        <v>0</v>
      </c>
      <c r="K223" t="n">
        <v>0</v>
      </c>
      <c r="L223" t="n">
        <v>0</v>
      </c>
      <c r="M223" t="n">
        <v>0</v>
      </c>
      <c r="N223" t="n">
        <v>0</v>
      </c>
      <c r="O223" t="n">
        <v>0</v>
      </c>
      <c r="P223" t="n">
        <v>0</v>
      </c>
      <c r="Q223" t="n">
        <v>0</v>
      </c>
      <c r="R223" s="2" t="inlineStr"/>
    </row>
    <row r="224" ht="15" customHeight="1">
      <c r="A224" t="inlineStr">
        <is>
          <t>A 39597-2022</t>
        </is>
      </c>
      <c r="B224" s="1" t="n">
        <v>44818</v>
      </c>
      <c r="C224" s="1" t="n">
        <v>45886</v>
      </c>
      <c r="D224" t="inlineStr">
        <is>
          <t>VÄSTMANLANDS LÄN</t>
        </is>
      </c>
      <c r="E224" t="inlineStr">
        <is>
          <t>SALA</t>
        </is>
      </c>
      <c r="G224" t="n">
        <v>2.3</v>
      </c>
      <c r="H224" t="n">
        <v>0</v>
      </c>
      <c r="I224" t="n">
        <v>0</v>
      </c>
      <c r="J224" t="n">
        <v>0</v>
      </c>
      <c r="K224" t="n">
        <v>0</v>
      </c>
      <c r="L224" t="n">
        <v>0</v>
      </c>
      <c r="M224" t="n">
        <v>0</v>
      </c>
      <c r="N224" t="n">
        <v>0</v>
      </c>
      <c r="O224" t="n">
        <v>0</v>
      </c>
      <c r="P224" t="n">
        <v>0</v>
      </c>
      <c r="Q224" t="n">
        <v>0</v>
      </c>
      <c r="R224" s="2" t="inlineStr"/>
    </row>
    <row r="225" ht="15" customHeight="1">
      <c r="A225" t="inlineStr">
        <is>
          <t>A 19396-2025</t>
        </is>
      </c>
      <c r="B225" s="1" t="n">
        <v>45769</v>
      </c>
      <c r="C225" s="1" t="n">
        <v>45886</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17495-2024</t>
        </is>
      </c>
      <c r="B226" s="1" t="n">
        <v>45415</v>
      </c>
      <c r="C226" s="1" t="n">
        <v>45886</v>
      </c>
      <c r="D226" t="inlineStr">
        <is>
          <t>VÄSTMANLANDS LÄN</t>
        </is>
      </c>
      <c r="E226" t="inlineStr">
        <is>
          <t>SALA</t>
        </is>
      </c>
      <c r="G226" t="n">
        <v>3.1</v>
      </c>
      <c r="H226" t="n">
        <v>0</v>
      </c>
      <c r="I226" t="n">
        <v>0</v>
      </c>
      <c r="J226" t="n">
        <v>0</v>
      </c>
      <c r="K226" t="n">
        <v>0</v>
      </c>
      <c r="L226" t="n">
        <v>0</v>
      </c>
      <c r="M226" t="n">
        <v>0</v>
      </c>
      <c r="N226" t="n">
        <v>0</v>
      </c>
      <c r="O226" t="n">
        <v>0</v>
      </c>
      <c r="P226" t="n">
        <v>0</v>
      </c>
      <c r="Q226" t="n">
        <v>0</v>
      </c>
      <c r="R226" s="2" t="inlineStr"/>
    </row>
    <row r="227" ht="15" customHeight="1">
      <c r="A227" t="inlineStr">
        <is>
          <t>A 7772-2023</t>
        </is>
      </c>
      <c r="B227" s="1" t="n">
        <v>44973.40076388889</v>
      </c>
      <c r="C227" s="1" t="n">
        <v>45886</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25860-2024</t>
        </is>
      </c>
      <c r="B228" s="1" t="n">
        <v>45467.46278935186</v>
      </c>
      <c r="C228" s="1" t="n">
        <v>45886</v>
      </c>
      <c r="D228" t="inlineStr">
        <is>
          <t>VÄSTMANLANDS LÄN</t>
        </is>
      </c>
      <c r="E228" t="inlineStr">
        <is>
          <t>SALA</t>
        </is>
      </c>
      <c r="G228" t="n">
        <v>0.7</v>
      </c>
      <c r="H228" t="n">
        <v>0</v>
      </c>
      <c r="I228" t="n">
        <v>0</v>
      </c>
      <c r="J228" t="n">
        <v>0</v>
      </c>
      <c r="K228" t="n">
        <v>0</v>
      </c>
      <c r="L228" t="n">
        <v>0</v>
      </c>
      <c r="M228" t="n">
        <v>0</v>
      </c>
      <c r="N228" t="n">
        <v>0</v>
      </c>
      <c r="O228" t="n">
        <v>0</v>
      </c>
      <c r="P228" t="n">
        <v>0</v>
      </c>
      <c r="Q228" t="n">
        <v>0</v>
      </c>
      <c r="R228" s="2" t="inlineStr"/>
    </row>
    <row r="229" ht="15" customHeight="1">
      <c r="A229" t="inlineStr">
        <is>
          <t>A 2925-2024</t>
        </is>
      </c>
      <c r="B229" s="1" t="n">
        <v>45315.58909722222</v>
      </c>
      <c r="C229" s="1" t="n">
        <v>45886</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24864-2024</t>
        </is>
      </c>
      <c r="B230" s="1" t="n">
        <v>45461.48888888889</v>
      </c>
      <c r="C230" s="1" t="n">
        <v>45886</v>
      </c>
      <c r="D230" t="inlineStr">
        <is>
          <t>VÄSTMANLANDS LÄN</t>
        </is>
      </c>
      <c r="E230" t="inlineStr">
        <is>
          <t>SALA</t>
        </is>
      </c>
      <c r="G230" t="n">
        <v>0.6</v>
      </c>
      <c r="H230" t="n">
        <v>0</v>
      </c>
      <c r="I230" t="n">
        <v>0</v>
      </c>
      <c r="J230" t="n">
        <v>0</v>
      </c>
      <c r="K230" t="n">
        <v>0</v>
      </c>
      <c r="L230" t="n">
        <v>0</v>
      </c>
      <c r="M230" t="n">
        <v>0</v>
      </c>
      <c r="N230" t="n">
        <v>0</v>
      </c>
      <c r="O230" t="n">
        <v>0</v>
      </c>
      <c r="P230" t="n">
        <v>0</v>
      </c>
      <c r="Q230" t="n">
        <v>0</v>
      </c>
      <c r="R230" s="2" t="inlineStr"/>
    </row>
    <row r="231" ht="15" customHeight="1">
      <c r="A231" t="inlineStr">
        <is>
          <t>A 17719-2025</t>
        </is>
      </c>
      <c r="B231" s="1" t="n">
        <v>45758.45111111111</v>
      </c>
      <c r="C231" s="1" t="n">
        <v>45886</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1118-2024</t>
        </is>
      </c>
      <c r="B232" s="1" t="n">
        <v>45302</v>
      </c>
      <c r="C232" s="1" t="n">
        <v>45886</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22026-2021</t>
        </is>
      </c>
      <c r="B233" s="1" t="n">
        <v>44323</v>
      </c>
      <c r="C233" s="1" t="n">
        <v>45886</v>
      </c>
      <c r="D233" t="inlineStr">
        <is>
          <t>VÄSTMANLANDS LÄN</t>
        </is>
      </c>
      <c r="E233" t="inlineStr">
        <is>
          <t>SALA</t>
        </is>
      </c>
      <c r="G233" t="n">
        <v>2.9</v>
      </c>
      <c r="H233" t="n">
        <v>0</v>
      </c>
      <c r="I233" t="n">
        <v>0</v>
      </c>
      <c r="J233" t="n">
        <v>0</v>
      </c>
      <c r="K233" t="n">
        <v>0</v>
      </c>
      <c r="L233" t="n">
        <v>0</v>
      </c>
      <c r="M233" t="n">
        <v>0</v>
      </c>
      <c r="N233" t="n">
        <v>0</v>
      </c>
      <c r="O233" t="n">
        <v>0</v>
      </c>
      <c r="P233" t="n">
        <v>0</v>
      </c>
      <c r="Q233" t="n">
        <v>0</v>
      </c>
      <c r="R233" s="2" t="inlineStr"/>
    </row>
    <row r="234" ht="15" customHeight="1">
      <c r="A234" t="inlineStr">
        <is>
          <t>A 63933-2023</t>
        </is>
      </c>
      <c r="B234" s="1" t="n">
        <v>45278</v>
      </c>
      <c r="C234" s="1" t="n">
        <v>45886</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44746-2024</t>
        </is>
      </c>
      <c r="B235" s="1" t="n">
        <v>45574.59813657407</v>
      </c>
      <c r="C235" s="1" t="n">
        <v>45886</v>
      </c>
      <c r="D235" t="inlineStr">
        <is>
          <t>VÄSTMANLANDS LÄN</t>
        </is>
      </c>
      <c r="E235" t="inlineStr">
        <is>
          <t>SALA</t>
        </is>
      </c>
      <c r="G235" t="n">
        <v>6.7</v>
      </c>
      <c r="H235" t="n">
        <v>0</v>
      </c>
      <c r="I235" t="n">
        <v>0</v>
      </c>
      <c r="J235" t="n">
        <v>0</v>
      </c>
      <c r="K235" t="n">
        <v>0</v>
      </c>
      <c r="L235" t="n">
        <v>0</v>
      </c>
      <c r="M235" t="n">
        <v>0</v>
      </c>
      <c r="N235" t="n">
        <v>0</v>
      </c>
      <c r="O235" t="n">
        <v>0</v>
      </c>
      <c r="P235" t="n">
        <v>0</v>
      </c>
      <c r="Q235" t="n">
        <v>0</v>
      </c>
      <c r="R235" s="2" t="inlineStr"/>
    </row>
    <row r="236" ht="15" customHeight="1">
      <c r="A236" t="inlineStr">
        <is>
          <t>A 44713-2023</t>
        </is>
      </c>
      <c r="B236" s="1" t="n">
        <v>45184</v>
      </c>
      <c r="C236" s="1" t="n">
        <v>45886</v>
      </c>
      <c r="D236" t="inlineStr">
        <is>
          <t>VÄSTMANLANDS LÄN</t>
        </is>
      </c>
      <c r="E236" t="inlineStr">
        <is>
          <t>SALA</t>
        </is>
      </c>
      <c r="F236" t="inlineStr">
        <is>
          <t>Kyrkan</t>
        </is>
      </c>
      <c r="G236" t="n">
        <v>7.6</v>
      </c>
      <c r="H236" t="n">
        <v>0</v>
      </c>
      <c r="I236" t="n">
        <v>0</v>
      </c>
      <c r="J236" t="n">
        <v>0</v>
      </c>
      <c r="K236" t="n">
        <v>0</v>
      </c>
      <c r="L236" t="n">
        <v>0</v>
      </c>
      <c r="M236" t="n">
        <v>0</v>
      </c>
      <c r="N236" t="n">
        <v>0</v>
      </c>
      <c r="O236" t="n">
        <v>0</v>
      </c>
      <c r="P236" t="n">
        <v>0</v>
      </c>
      <c r="Q236" t="n">
        <v>0</v>
      </c>
      <c r="R236" s="2" t="inlineStr"/>
    </row>
    <row r="237" ht="15" customHeight="1">
      <c r="A237" t="inlineStr">
        <is>
          <t>A 42416-2022</t>
        </is>
      </c>
      <c r="B237" s="1" t="n">
        <v>44831</v>
      </c>
      <c r="C237" s="1" t="n">
        <v>45886</v>
      </c>
      <c r="D237" t="inlineStr">
        <is>
          <t>VÄSTMANLANDS LÄN</t>
        </is>
      </c>
      <c r="E237" t="inlineStr">
        <is>
          <t>SALA</t>
        </is>
      </c>
      <c r="G237" t="n">
        <v>2.2</v>
      </c>
      <c r="H237" t="n">
        <v>0</v>
      </c>
      <c r="I237" t="n">
        <v>0</v>
      </c>
      <c r="J237" t="n">
        <v>0</v>
      </c>
      <c r="K237" t="n">
        <v>0</v>
      </c>
      <c r="L237" t="n">
        <v>0</v>
      </c>
      <c r="M237" t="n">
        <v>0</v>
      </c>
      <c r="N237" t="n">
        <v>0</v>
      </c>
      <c r="O237" t="n">
        <v>0</v>
      </c>
      <c r="P237" t="n">
        <v>0</v>
      </c>
      <c r="Q237" t="n">
        <v>0</v>
      </c>
      <c r="R237" s="2" t="inlineStr"/>
    </row>
    <row r="238" ht="15" customHeight="1">
      <c r="A238" t="inlineStr">
        <is>
          <t>A 37190-2024</t>
        </is>
      </c>
      <c r="B238" s="1" t="n">
        <v>45539</v>
      </c>
      <c r="C238" s="1" t="n">
        <v>45886</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19381-2025</t>
        </is>
      </c>
      <c r="B239" s="1" t="n">
        <v>45769</v>
      </c>
      <c r="C239" s="1" t="n">
        <v>45886</v>
      </c>
      <c r="D239" t="inlineStr">
        <is>
          <t>VÄSTMANLANDS LÄN</t>
        </is>
      </c>
      <c r="E239" t="inlineStr">
        <is>
          <t>SALA</t>
        </is>
      </c>
      <c r="G239" t="n">
        <v>0.6</v>
      </c>
      <c r="H239" t="n">
        <v>0</v>
      </c>
      <c r="I239" t="n">
        <v>0</v>
      </c>
      <c r="J239" t="n">
        <v>0</v>
      </c>
      <c r="K239" t="n">
        <v>0</v>
      </c>
      <c r="L239" t="n">
        <v>0</v>
      </c>
      <c r="M239" t="n">
        <v>0</v>
      </c>
      <c r="N239" t="n">
        <v>0</v>
      </c>
      <c r="O239" t="n">
        <v>0</v>
      </c>
      <c r="P239" t="n">
        <v>0</v>
      </c>
      <c r="Q239" t="n">
        <v>0</v>
      </c>
      <c r="R239" s="2" t="inlineStr"/>
    </row>
    <row r="240" ht="15" customHeight="1">
      <c r="A240" t="inlineStr">
        <is>
          <t>A 23431-2024</t>
        </is>
      </c>
      <c r="B240" s="1" t="n">
        <v>45453</v>
      </c>
      <c r="C240" s="1" t="n">
        <v>45886</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48688-2024</t>
        </is>
      </c>
      <c r="B241" s="1" t="n">
        <v>45593.50541666667</v>
      </c>
      <c r="C241" s="1" t="n">
        <v>45886</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39439-2021</t>
        </is>
      </c>
      <c r="B242" s="1" t="n">
        <v>44414</v>
      </c>
      <c r="C242" s="1" t="n">
        <v>45886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21168-2025</t>
        </is>
      </c>
      <c r="B243" s="1" t="n">
        <v>45777</v>
      </c>
      <c r="C243" s="1" t="n">
        <v>45886</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45187-2024</t>
        </is>
      </c>
      <c r="B244" s="1" t="n">
        <v>45575</v>
      </c>
      <c r="C244" s="1" t="n">
        <v>45886</v>
      </c>
      <c r="D244" t="inlineStr">
        <is>
          <t>VÄSTMANLANDS LÄN</t>
        </is>
      </c>
      <c r="E244" t="inlineStr">
        <is>
          <t>SALA</t>
        </is>
      </c>
      <c r="G244" t="n">
        <v>0.7</v>
      </c>
      <c r="H244" t="n">
        <v>0</v>
      </c>
      <c r="I244" t="n">
        <v>0</v>
      </c>
      <c r="J244" t="n">
        <v>0</v>
      </c>
      <c r="K244" t="n">
        <v>0</v>
      </c>
      <c r="L244" t="n">
        <v>0</v>
      </c>
      <c r="M244" t="n">
        <v>0</v>
      </c>
      <c r="N244" t="n">
        <v>0</v>
      </c>
      <c r="O244" t="n">
        <v>0</v>
      </c>
      <c r="P244" t="n">
        <v>0</v>
      </c>
      <c r="Q244" t="n">
        <v>0</v>
      </c>
      <c r="R244" s="2" t="inlineStr"/>
    </row>
    <row r="245" ht="15" customHeight="1">
      <c r="A245" t="inlineStr">
        <is>
          <t>A 15968-2024</t>
        </is>
      </c>
      <c r="B245" s="1" t="n">
        <v>45405.56021990741</v>
      </c>
      <c r="C245" s="1" t="n">
        <v>45886</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21751-2025</t>
        </is>
      </c>
      <c r="B246" s="1" t="n">
        <v>45783.61372685185</v>
      </c>
      <c r="C246" s="1" t="n">
        <v>45886</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21721-2025</t>
        </is>
      </c>
      <c r="B247" s="1" t="n">
        <v>45783</v>
      </c>
      <c r="C247" s="1" t="n">
        <v>45886</v>
      </c>
      <c r="D247" t="inlineStr">
        <is>
          <t>VÄSTMANLANDS LÄN</t>
        </is>
      </c>
      <c r="E247" t="inlineStr">
        <is>
          <t>SALA</t>
        </is>
      </c>
      <c r="G247" t="n">
        <v>6.1</v>
      </c>
      <c r="H247" t="n">
        <v>0</v>
      </c>
      <c r="I247" t="n">
        <v>0</v>
      </c>
      <c r="J247" t="n">
        <v>0</v>
      </c>
      <c r="K247" t="n">
        <v>0</v>
      </c>
      <c r="L247" t="n">
        <v>0</v>
      </c>
      <c r="M247" t="n">
        <v>0</v>
      </c>
      <c r="N247" t="n">
        <v>0</v>
      </c>
      <c r="O247" t="n">
        <v>0</v>
      </c>
      <c r="P247" t="n">
        <v>0</v>
      </c>
      <c r="Q247" t="n">
        <v>0</v>
      </c>
      <c r="R247" s="2" t="inlineStr"/>
    </row>
    <row r="248" ht="15" customHeight="1">
      <c r="A248" t="inlineStr">
        <is>
          <t>A 3733-2023</t>
        </is>
      </c>
      <c r="B248" s="1" t="n">
        <v>44951.42501157407</v>
      </c>
      <c r="C248" s="1" t="n">
        <v>45886</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21738-2025</t>
        </is>
      </c>
      <c r="B249" s="1" t="n">
        <v>45783.59173611111</v>
      </c>
      <c r="C249" s="1" t="n">
        <v>45886</v>
      </c>
      <c r="D249" t="inlineStr">
        <is>
          <t>VÄSTMANLANDS LÄN</t>
        </is>
      </c>
      <c r="E249" t="inlineStr">
        <is>
          <t>SALA</t>
        </is>
      </c>
      <c r="G249" t="n">
        <v>2.1</v>
      </c>
      <c r="H249" t="n">
        <v>0</v>
      </c>
      <c r="I249" t="n">
        <v>0</v>
      </c>
      <c r="J249" t="n">
        <v>0</v>
      </c>
      <c r="K249" t="n">
        <v>0</v>
      </c>
      <c r="L249" t="n">
        <v>0</v>
      </c>
      <c r="M249" t="n">
        <v>0</v>
      </c>
      <c r="N249" t="n">
        <v>0</v>
      </c>
      <c r="O249" t="n">
        <v>0</v>
      </c>
      <c r="P249" t="n">
        <v>0</v>
      </c>
      <c r="Q249" t="n">
        <v>0</v>
      </c>
      <c r="R249" s="2" t="inlineStr"/>
    </row>
    <row r="250" ht="15" customHeight="1">
      <c r="A250" t="inlineStr">
        <is>
          <t>A 21754-2025</t>
        </is>
      </c>
      <c r="B250" s="1" t="n">
        <v>45783.61837962963</v>
      </c>
      <c r="C250" s="1" t="n">
        <v>45886</v>
      </c>
      <c r="D250" t="inlineStr">
        <is>
          <t>VÄSTMANLANDS LÄN</t>
        </is>
      </c>
      <c r="E250" t="inlineStr">
        <is>
          <t>SALA</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44544-2024</t>
        </is>
      </c>
      <c r="B251" s="1" t="n">
        <v>45574.46119212963</v>
      </c>
      <c r="C251" s="1" t="n">
        <v>45886</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64729-2023</t>
        </is>
      </c>
      <c r="B252" s="1" t="n">
        <v>45281</v>
      </c>
      <c r="C252" s="1" t="n">
        <v>45886</v>
      </c>
      <c r="D252" t="inlineStr">
        <is>
          <t>VÄSTMANLANDS LÄN</t>
        </is>
      </c>
      <c r="E252" t="inlineStr">
        <is>
          <t>SALA</t>
        </is>
      </c>
      <c r="G252" t="n">
        <v>1.8</v>
      </c>
      <c r="H252" t="n">
        <v>0</v>
      </c>
      <c r="I252" t="n">
        <v>0</v>
      </c>
      <c r="J252" t="n">
        <v>0</v>
      </c>
      <c r="K252" t="n">
        <v>0</v>
      </c>
      <c r="L252" t="n">
        <v>0</v>
      </c>
      <c r="M252" t="n">
        <v>0</v>
      </c>
      <c r="N252" t="n">
        <v>0</v>
      </c>
      <c r="O252" t="n">
        <v>0</v>
      </c>
      <c r="P252" t="n">
        <v>0</v>
      </c>
      <c r="Q252" t="n">
        <v>0</v>
      </c>
      <c r="R252" s="2" t="inlineStr"/>
    </row>
    <row r="253" ht="15" customHeight="1">
      <c r="A253" t="inlineStr">
        <is>
          <t>A 37587-2024</t>
        </is>
      </c>
      <c r="B253" s="1" t="n">
        <v>45541</v>
      </c>
      <c r="C253" s="1" t="n">
        <v>45886</v>
      </c>
      <c r="D253" t="inlineStr">
        <is>
          <t>VÄSTMANLANDS LÄN</t>
        </is>
      </c>
      <c r="E253" t="inlineStr">
        <is>
          <t>SALA</t>
        </is>
      </c>
      <c r="G253" t="n">
        <v>1.2</v>
      </c>
      <c r="H253" t="n">
        <v>0</v>
      </c>
      <c r="I253" t="n">
        <v>0</v>
      </c>
      <c r="J253" t="n">
        <v>0</v>
      </c>
      <c r="K253" t="n">
        <v>0</v>
      </c>
      <c r="L253" t="n">
        <v>0</v>
      </c>
      <c r="M253" t="n">
        <v>0</v>
      </c>
      <c r="N253" t="n">
        <v>0</v>
      </c>
      <c r="O253" t="n">
        <v>0</v>
      </c>
      <c r="P253" t="n">
        <v>0</v>
      </c>
      <c r="Q253" t="n">
        <v>0</v>
      </c>
      <c r="R253" s="2" t="inlineStr"/>
    </row>
    <row r="254" ht="15" customHeight="1">
      <c r="A254" t="inlineStr">
        <is>
          <t>A 68864-2021</t>
        </is>
      </c>
      <c r="B254" s="1" t="n">
        <v>44530</v>
      </c>
      <c r="C254" s="1" t="n">
        <v>45886</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22353-2025</t>
        </is>
      </c>
      <c r="B255" s="1" t="n">
        <v>45786</v>
      </c>
      <c r="C255" s="1" t="n">
        <v>45886</v>
      </c>
      <c r="D255" t="inlineStr">
        <is>
          <t>VÄSTMANLANDS LÄN</t>
        </is>
      </c>
      <c r="E255" t="inlineStr">
        <is>
          <t>SALA</t>
        </is>
      </c>
      <c r="G255" t="n">
        <v>2.5</v>
      </c>
      <c r="H255" t="n">
        <v>0</v>
      </c>
      <c r="I255" t="n">
        <v>0</v>
      </c>
      <c r="J255" t="n">
        <v>0</v>
      </c>
      <c r="K255" t="n">
        <v>0</v>
      </c>
      <c r="L255" t="n">
        <v>0</v>
      </c>
      <c r="M255" t="n">
        <v>0</v>
      </c>
      <c r="N255" t="n">
        <v>0</v>
      </c>
      <c r="O255" t="n">
        <v>0</v>
      </c>
      <c r="P255" t="n">
        <v>0</v>
      </c>
      <c r="Q255" t="n">
        <v>0</v>
      </c>
      <c r="R255" s="2" t="inlineStr"/>
    </row>
    <row r="256" ht="15" customHeight="1">
      <c r="A256" t="inlineStr">
        <is>
          <t>A 64724-2023</t>
        </is>
      </c>
      <c r="B256" s="1" t="n">
        <v>45281.7602662037</v>
      </c>
      <c r="C256" s="1" t="n">
        <v>45886</v>
      </c>
      <c r="D256" t="inlineStr">
        <is>
          <t>VÄSTMANLANDS LÄN</t>
        </is>
      </c>
      <c r="E256" t="inlineStr">
        <is>
          <t>SALA</t>
        </is>
      </c>
      <c r="G256" t="n">
        <v>2.3</v>
      </c>
      <c r="H256" t="n">
        <v>0</v>
      </c>
      <c r="I256" t="n">
        <v>0</v>
      </c>
      <c r="J256" t="n">
        <v>0</v>
      </c>
      <c r="K256" t="n">
        <v>0</v>
      </c>
      <c r="L256" t="n">
        <v>0</v>
      </c>
      <c r="M256" t="n">
        <v>0</v>
      </c>
      <c r="N256" t="n">
        <v>0</v>
      </c>
      <c r="O256" t="n">
        <v>0</v>
      </c>
      <c r="P256" t="n">
        <v>0</v>
      </c>
      <c r="Q256" t="n">
        <v>0</v>
      </c>
      <c r="R256" s="2" t="inlineStr"/>
    </row>
    <row r="257" ht="15" customHeight="1">
      <c r="A257" t="inlineStr">
        <is>
          <t>A 22370-2025</t>
        </is>
      </c>
      <c r="B257" s="1" t="n">
        <v>45786</v>
      </c>
      <c r="C257" s="1" t="n">
        <v>45886</v>
      </c>
      <c r="D257" t="inlineStr">
        <is>
          <t>VÄSTMANLANDS LÄN</t>
        </is>
      </c>
      <c r="E257" t="inlineStr">
        <is>
          <t>SALA</t>
        </is>
      </c>
      <c r="G257" t="n">
        <v>3.2</v>
      </c>
      <c r="H257" t="n">
        <v>0</v>
      </c>
      <c r="I257" t="n">
        <v>0</v>
      </c>
      <c r="J257" t="n">
        <v>0</v>
      </c>
      <c r="K257" t="n">
        <v>0</v>
      </c>
      <c r="L257" t="n">
        <v>0</v>
      </c>
      <c r="M257" t="n">
        <v>0</v>
      </c>
      <c r="N257" t="n">
        <v>0</v>
      </c>
      <c r="O257" t="n">
        <v>0</v>
      </c>
      <c r="P257" t="n">
        <v>0</v>
      </c>
      <c r="Q257" t="n">
        <v>0</v>
      </c>
      <c r="R257" s="2" t="inlineStr"/>
    </row>
    <row r="258" ht="15" customHeight="1">
      <c r="A258" t="inlineStr">
        <is>
          <t>A 22383-2025</t>
        </is>
      </c>
      <c r="B258" s="1" t="n">
        <v>45786</v>
      </c>
      <c r="C258" s="1" t="n">
        <v>45886</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64925-2023</t>
        </is>
      </c>
      <c r="B259" s="1" t="n">
        <v>45282</v>
      </c>
      <c r="C259" s="1" t="n">
        <v>45886</v>
      </c>
      <c r="D259" t="inlineStr">
        <is>
          <t>VÄSTMANLANDS LÄN</t>
        </is>
      </c>
      <c r="E259" t="inlineStr">
        <is>
          <t>SALA</t>
        </is>
      </c>
      <c r="G259" t="n">
        <v>2.5</v>
      </c>
      <c r="H259" t="n">
        <v>0</v>
      </c>
      <c r="I259" t="n">
        <v>0</v>
      </c>
      <c r="J259" t="n">
        <v>0</v>
      </c>
      <c r="K259" t="n">
        <v>0</v>
      </c>
      <c r="L259" t="n">
        <v>0</v>
      </c>
      <c r="M259" t="n">
        <v>0</v>
      </c>
      <c r="N259" t="n">
        <v>0</v>
      </c>
      <c r="O259" t="n">
        <v>0</v>
      </c>
      <c r="P259" t="n">
        <v>0</v>
      </c>
      <c r="Q259" t="n">
        <v>0</v>
      </c>
      <c r="R259" s="2" t="inlineStr"/>
    </row>
    <row r="260" ht="15" customHeight="1">
      <c r="A260" t="inlineStr">
        <is>
          <t>A 48570-2024</t>
        </is>
      </c>
      <c r="B260" s="1" t="n">
        <v>45591</v>
      </c>
      <c r="C260" s="1" t="n">
        <v>45886</v>
      </c>
      <c r="D260" t="inlineStr">
        <is>
          <t>VÄSTMANLANDS LÄN</t>
        </is>
      </c>
      <c r="E260" t="inlineStr">
        <is>
          <t>SALA</t>
        </is>
      </c>
      <c r="G260" t="n">
        <v>3</v>
      </c>
      <c r="H260" t="n">
        <v>0</v>
      </c>
      <c r="I260" t="n">
        <v>0</v>
      </c>
      <c r="J260" t="n">
        <v>0</v>
      </c>
      <c r="K260" t="n">
        <v>0</v>
      </c>
      <c r="L260" t="n">
        <v>0</v>
      </c>
      <c r="M260" t="n">
        <v>0</v>
      </c>
      <c r="N260" t="n">
        <v>0</v>
      </c>
      <c r="O260" t="n">
        <v>0</v>
      </c>
      <c r="P260" t="n">
        <v>0</v>
      </c>
      <c r="Q260" t="n">
        <v>0</v>
      </c>
      <c r="R260" s="2" t="inlineStr"/>
    </row>
    <row r="261" ht="15" customHeight="1">
      <c r="A261" t="inlineStr">
        <is>
          <t>A 7176-2023</t>
        </is>
      </c>
      <c r="B261" s="1" t="n">
        <v>44970</v>
      </c>
      <c r="C261" s="1" t="n">
        <v>45886</v>
      </c>
      <c r="D261" t="inlineStr">
        <is>
          <t>VÄSTMANLANDS LÄN</t>
        </is>
      </c>
      <c r="E261" t="inlineStr">
        <is>
          <t>SALA</t>
        </is>
      </c>
      <c r="G261" t="n">
        <v>1.5</v>
      </c>
      <c r="H261" t="n">
        <v>0</v>
      </c>
      <c r="I261" t="n">
        <v>0</v>
      </c>
      <c r="J261" t="n">
        <v>0</v>
      </c>
      <c r="K261" t="n">
        <v>0</v>
      </c>
      <c r="L261" t="n">
        <v>0</v>
      </c>
      <c r="M261" t="n">
        <v>0</v>
      </c>
      <c r="N261" t="n">
        <v>0</v>
      </c>
      <c r="O261" t="n">
        <v>0</v>
      </c>
      <c r="P261" t="n">
        <v>0</v>
      </c>
      <c r="Q261" t="n">
        <v>0</v>
      </c>
      <c r="R261" s="2" t="inlineStr"/>
    </row>
    <row r="262" ht="15" customHeight="1">
      <c r="A262" t="inlineStr">
        <is>
          <t>A 61517-2024</t>
        </is>
      </c>
      <c r="B262" s="1" t="n">
        <v>45645</v>
      </c>
      <c r="C262" s="1" t="n">
        <v>45886</v>
      </c>
      <c r="D262" t="inlineStr">
        <is>
          <t>VÄSTMANLANDS LÄN</t>
        </is>
      </c>
      <c r="E262" t="inlineStr">
        <is>
          <t>SALA</t>
        </is>
      </c>
      <c r="G262" t="n">
        <v>0.6</v>
      </c>
      <c r="H262" t="n">
        <v>0</v>
      </c>
      <c r="I262" t="n">
        <v>0</v>
      </c>
      <c r="J262" t="n">
        <v>0</v>
      </c>
      <c r="K262" t="n">
        <v>0</v>
      </c>
      <c r="L262" t="n">
        <v>0</v>
      </c>
      <c r="M262" t="n">
        <v>0</v>
      </c>
      <c r="N262" t="n">
        <v>0</v>
      </c>
      <c r="O262" t="n">
        <v>0</v>
      </c>
      <c r="P262" t="n">
        <v>0</v>
      </c>
      <c r="Q262" t="n">
        <v>0</v>
      </c>
      <c r="R262" s="2" t="inlineStr"/>
    </row>
    <row r="263" ht="15" customHeight="1">
      <c r="A263" t="inlineStr">
        <is>
          <t>A 16760-2024</t>
        </is>
      </c>
      <c r="B263" s="1" t="n">
        <v>45411</v>
      </c>
      <c r="C263" s="1" t="n">
        <v>45886</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22624-2025</t>
        </is>
      </c>
      <c r="B264" s="1" t="n">
        <v>45789.43327546296</v>
      </c>
      <c r="C264" s="1" t="n">
        <v>45886</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53164-2024</t>
        </is>
      </c>
      <c r="B265" s="1" t="n">
        <v>45611.64887731482</v>
      </c>
      <c r="C265" s="1" t="n">
        <v>45886</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54603-2024</t>
        </is>
      </c>
      <c r="B266" s="1" t="n">
        <v>45617.68224537037</v>
      </c>
      <c r="C266" s="1" t="n">
        <v>45886</v>
      </c>
      <c r="D266" t="inlineStr">
        <is>
          <t>VÄSTMANLANDS LÄN</t>
        </is>
      </c>
      <c r="E266" t="inlineStr">
        <is>
          <t>SALA</t>
        </is>
      </c>
      <c r="G266" t="n">
        <v>1</v>
      </c>
      <c r="H266" t="n">
        <v>0</v>
      </c>
      <c r="I266" t="n">
        <v>0</v>
      </c>
      <c r="J266" t="n">
        <v>0</v>
      </c>
      <c r="K266" t="n">
        <v>0</v>
      </c>
      <c r="L266" t="n">
        <v>0</v>
      </c>
      <c r="M266" t="n">
        <v>0</v>
      </c>
      <c r="N266" t="n">
        <v>0</v>
      </c>
      <c r="O266" t="n">
        <v>0</v>
      </c>
      <c r="P266" t="n">
        <v>0</v>
      </c>
      <c r="Q266" t="n">
        <v>0</v>
      </c>
      <c r="R266" s="2" t="inlineStr"/>
    </row>
    <row r="267" ht="15" customHeight="1">
      <c r="A267" t="inlineStr">
        <is>
          <t>A 31405-2024</t>
        </is>
      </c>
      <c r="B267" s="1" t="n">
        <v>45505.5490625</v>
      </c>
      <c r="C267" s="1" t="n">
        <v>45886</v>
      </c>
      <c r="D267" t="inlineStr">
        <is>
          <t>VÄSTMANLANDS LÄN</t>
        </is>
      </c>
      <c r="E267" t="inlineStr">
        <is>
          <t>SALA</t>
        </is>
      </c>
      <c r="G267" t="n">
        <v>5.2</v>
      </c>
      <c r="H267" t="n">
        <v>0</v>
      </c>
      <c r="I267" t="n">
        <v>0</v>
      </c>
      <c r="J267" t="n">
        <v>0</v>
      </c>
      <c r="K267" t="n">
        <v>0</v>
      </c>
      <c r="L267" t="n">
        <v>0</v>
      </c>
      <c r="M267" t="n">
        <v>0</v>
      </c>
      <c r="N267" t="n">
        <v>0</v>
      </c>
      <c r="O267" t="n">
        <v>0</v>
      </c>
      <c r="P267" t="n">
        <v>0</v>
      </c>
      <c r="Q267" t="n">
        <v>0</v>
      </c>
      <c r="R267" s="2" t="inlineStr"/>
    </row>
    <row r="268" ht="15" customHeight="1">
      <c r="A268" t="inlineStr">
        <is>
          <t>A 22616-2025</t>
        </is>
      </c>
      <c r="B268" s="1" t="n">
        <v>45789.42752314815</v>
      </c>
      <c r="C268" s="1" t="n">
        <v>45886</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43600-2024</t>
        </is>
      </c>
      <c r="B269" s="1" t="n">
        <v>45569</v>
      </c>
      <c r="C269" s="1" t="n">
        <v>45886</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13130-2025</t>
        </is>
      </c>
      <c r="B270" s="1" t="n">
        <v>45734</v>
      </c>
      <c r="C270" s="1" t="n">
        <v>45886</v>
      </c>
      <c r="D270" t="inlineStr">
        <is>
          <t>VÄSTMANLANDS LÄN</t>
        </is>
      </c>
      <c r="E270" t="inlineStr">
        <is>
          <t>SALA</t>
        </is>
      </c>
      <c r="G270" t="n">
        <v>1.5</v>
      </c>
      <c r="H270" t="n">
        <v>0</v>
      </c>
      <c r="I270" t="n">
        <v>0</v>
      </c>
      <c r="J270" t="n">
        <v>0</v>
      </c>
      <c r="K270" t="n">
        <v>0</v>
      </c>
      <c r="L270" t="n">
        <v>0</v>
      </c>
      <c r="M270" t="n">
        <v>0</v>
      </c>
      <c r="N270" t="n">
        <v>0</v>
      </c>
      <c r="O270" t="n">
        <v>0</v>
      </c>
      <c r="P270" t="n">
        <v>0</v>
      </c>
      <c r="Q270" t="n">
        <v>0</v>
      </c>
      <c r="R270" s="2" t="inlineStr"/>
    </row>
    <row r="271" ht="15" customHeight="1">
      <c r="A271" t="inlineStr">
        <is>
          <t>A 39604-2023</t>
        </is>
      </c>
      <c r="B271" s="1" t="n">
        <v>45163</v>
      </c>
      <c r="C271" s="1" t="n">
        <v>45886</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18762-2024</t>
        </is>
      </c>
      <c r="B272" s="1" t="n">
        <v>45426.55240740741</v>
      </c>
      <c r="C272" s="1" t="n">
        <v>45886</v>
      </c>
      <c r="D272" t="inlineStr">
        <is>
          <t>VÄSTMANLANDS LÄN</t>
        </is>
      </c>
      <c r="E272" t="inlineStr">
        <is>
          <t>SALA</t>
        </is>
      </c>
      <c r="G272" t="n">
        <v>6.2</v>
      </c>
      <c r="H272" t="n">
        <v>0</v>
      </c>
      <c r="I272" t="n">
        <v>0</v>
      </c>
      <c r="J272" t="n">
        <v>0</v>
      </c>
      <c r="K272" t="n">
        <v>0</v>
      </c>
      <c r="L272" t="n">
        <v>0</v>
      </c>
      <c r="M272" t="n">
        <v>0</v>
      </c>
      <c r="N272" t="n">
        <v>0</v>
      </c>
      <c r="O272" t="n">
        <v>0</v>
      </c>
      <c r="P272" t="n">
        <v>0</v>
      </c>
      <c r="Q272" t="n">
        <v>0</v>
      </c>
      <c r="R272" s="2" t="inlineStr"/>
    </row>
    <row r="273" ht="15" customHeight="1">
      <c r="A273" t="inlineStr">
        <is>
          <t>A 17120-2023</t>
        </is>
      </c>
      <c r="B273" s="1" t="n">
        <v>45034</v>
      </c>
      <c r="C273" s="1" t="n">
        <v>45886</v>
      </c>
      <c r="D273" t="inlineStr">
        <is>
          <t>VÄSTMANLANDS LÄN</t>
        </is>
      </c>
      <c r="E273" t="inlineStr">
        <is>
          <t>SALA</t>
        </is>
      </c>
      <c r="G273" t="n">
        <v>0.1</v>
      </c>
      <c r="H273" t="n">
        <v>0</v>
      </c>
      <c r="I273" t="n">
        <v>0</v>
      </c>
      <c r="J273" t="n">
        <v>0</v>
      </c>
      <c r="K273" t="n">
        <v>0</v>
      </c>
      <c r="L273" t="n">
        <v>0</v>
      </c>
      <c r="M273" t="n">
        <v>0</v>
      </c>
      <c r="N273" t="n">
        <v>0</v>
      </c>
      <c r="O273" t="n">
        <v>0</v>
      </c>
      <c r="P273" t="n">
        <v>0</v>
      </c>
      <c r="Q273" t="n">
        <v>0</v>
      </c>
      <c r="R273" s="2" t="inlineStr"/>
    </row>
    <row r="274" ht="15" customHeight="1">
      <c r="A274" t="inlineStr">
        <is>
          <t>A 42938-2023</t>
        </is>
      </c>
      <c r="B274" s="1" t="n">
        <v>45179</v>
      </c>
      <c r="C274" s="1" t="n">
        <v>45886</v>
      </c>
      <c r="D274" t="inlineStr">
        <is>
          <t>VÄSTMANLANDS LÄN</t>
        </is>
      </c>
      <c r="E274" t="inlineStr">
        <is>
          <t>SALA</t>
        </is>
      </c>
      <c r="G274" t="n">
        <v>10.9</v>
      </c>
      <c r="H274" t="n">
        <v>0</v>
      </c>
      <c r="I274" t="n">
        <v>0</v>
      </c>
      <c r="J274" t="n">
        <v>0</v>
      </c>
      <c r="K274" t="n">
        <v>0</v>
      </c>
      <c r="L274" t="n">
        <v>0</v>
      </c>
      <c r="M274" t="n">
        <v>0</v>
      </c>
      <c r="N274" t="n">
        <v>0</v>
      </c>
      <c r="O274" t="n">
        <v>0</v>
      </c>
      <c r="P274" t="n">
        <v>0</v>
      </c>
      <c r="Q274" t="n">
        <v>0</v>
      </c>
      <c r="R274" s="2" t="inlineStr"/>
    </row>
    <row r="275" ht="15" customHeight="1">
      <c r="A275" t="inlineStr">
        <is>
          <t>A 42984-2023</t>
        </is>
      </c>
      <c r="B275" s="1" t="n">
        <v>45179</v>
      </c>
      <c r="C275" s="1" t="n">
        <v>45886</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15972-2024</t>
        </is>
      </c>
      <c r="B276" s="1" t="n">
        <v>45405.56498842593</v>
      </c>
      <c r="C276" s="1" t="n">
        <v>45886</v>
      </c>
      <c r="D276" t="inlineStr">
        <is>
          <t>VÄSTMANLANDS LÄN</t>
        </is>
      </c>
      <c r="E276" t="inlineStr">
        <is>
          <t>SALA</t>
        </is>
      </c>
      <c r="G276" t="n">
        <v>1.8</v>
      </c>
      <c r="H276" t="n">
        <v>0</v>
      </c>
      <c r="I276" t="n">
        <v>0</v>
      </c>
      <c r="J276" t="n">
        <v>0</v>
      </c>
      <c r="K276" t="n">
        <v>0</v>
      </c>
      <c r="L276" t="n">
        <v>0</v>
      </c>
      <c r="M276" t="n">
        <v>0</v>
      </c>
      <c r="N276" t="n">
        <v>0</v>
      </c>
      <c r="O276" t="n">
        <v>0</v>
      </c>
      <c r="P276" t="n">
        <v>0</v>
      </c>
      <c r="Q276" t="n">
        <v>0</v>
      </c>
      <c r="R276" s="2" t="inlineStr"/>
    </row>
    <row r="277" ht="15" customHeight="1">
      <c r="A277" t="inlineStr">
        <is>
          <t>A 39714-2023</t>
        </is>
      </c>
      <c r="B277" s="1" t="n">
        <v>45167.62133101852</v>
      </c>
      <c r="C277" s="1" t="n">
        <v>45886</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33527-2023</t>
        </is>
      </c>
      <c r="B278" s="1" t="n">
        <v>45131</v>
      </c>
      <c r="C278" s="1" t="n">
        <v>45886</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10913-2025</t>
        </is>
      </c>
      <c r="B279" s="1" t="n">
        <v>45722.73423611111</v>
      </c>
      <c r="C279" s="1" t="n">
        <v>45886</v>
      </c>
      <c r="D279" t="inlineStr">
        <is>
          <t>VÄSTMANLANDS LÄN</t>
        </is>
      </c>
      <c r="E279" t="inlineStr">
        <is>
          <t>SALA</t>
        </is>
      </c>
      <c r="G279" t="n">
        <v>7.6</v>
      </c>
      <c r="H279" t="n">
        <v>0</v>
      </c>
      <c r="I279" t="n">
        <v>0</v>
      </c>
      <c r="J279" t="n">
        <v>0</v>
      </c>
      <c r="K279" t="n">
        <v>0</v>
      </c>
      <c r="L279" t="n">
        <v>0</v>
      </c>
      <c r="M279" t="n">
        <v>0</v>
      </c>
      <c r="N279" t="n">
        <v>0</v>
      </c>
      <c r="O279" t="n">
        <v>0</v>
      </c>
      <c r="P279" t="n">
        <v>0</v>
      </c>
      <c r="Q279" t="n">
        <v>0</v>
      </c>
      <c r="R279" s="2" t="inlineStr"/>
    </row>
    <row r="280" ht="15" customHeight="1">
      <c r="A280" t="inlineStr">
        <is>
          <t>A 58107-2021</t>
        </is>
      </c>
      <c r="B280" s="1" t="n">
        <v>44487</v>
      </c>
      <c r="C280" s="1" t="n">
        <v>45886</v>
      </c>
      <c r="D280" t="inlineStr">
        <is>
          <t>VÄSTMANLANDS LÄN</t>
        </is>
      </c>
      <c r="E280" t="inlineStr">
        <is>
          <t>SALA</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2927-2024</t>
        </is>
      </c>
      <c r="B281" s="1" t="n">
        <v>45315.58989583333</v>
      </c>
      <c r="C281" s="1" t="n">
        <v>45886</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11389-2024</t>
        </is>
      </c>
      <c r="B282" s="1" t="n">
        <v>45372.45016203704</v>
      </c>
      <c r="C282" s="1" t="n">
        <v>45886</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37183-2024</t>
        </is>
      </c>
      <c r="B283" s="1" t="n">
        <v>45539</v>
      </c>
      <c r="C283" s="1" t="n">
        <v>45886</v>
      </c>
      <c r="D283" t="inlineStr">
        <is>
          <t>VÄSTMANLANDS LÄN</t>
        </is>
      </c>
      <c r="E283" t="inlineStr">
        <is>
          <t>SALA</t>
        </is>
      </c>
      <c r="G283" t="n">
        <v>1.2</v>
      </c>
      <c r="H283" t="n">
        <v>0</v>
      </c>
      <c r="I283" t="n">
        <v>0</v>
      </c>
      <c r="J283" t="n">
        <v>0</v>
      </c>
      <c r="K283" t="n">
        <v>0</v>
      </c>
      <c r="L283" t="n">
        <v>0</v>
      </c>
      <c r="M283" t="n">
        <v>0</v>
      </c>
      <c r="N283" t="n">
        <v>0</v>
      </c>
      <c r="O283" t="n">
        <v>0</v>
      </c>
      <c r="P283" t="n">
        <v>0</v>
      </c>
      <c r="Q283" t="n">
        <v>0</v>
      </c>
      <c r="R283" s="2" t="inlineStr"/>
    </row>
    <row r="284" ht="15" customHeight="1">
      <c r="A284" t="inlineStr">
        <is>
          <t>A 56706-2022</t>
        </is>
      </c>
      <c r="B284" s="1" t="n">
        <v>44893.78893518518</v>
      </c>
      <c r="C284" s="1" t="n">
        <v>45886</v>
      </c>
      <c r="D284" t="inlineStr">
        <is>
          <t>VÄSTMANLANDS LÄN</t>
        </is>
      </c>
      <c r="E284" t="inlineStr">
        <is>
          <t>SALA</t>
        </is>
      </c>
      <c r="G284" t="n">
        <v>4.5</v>
      </c>
      <c r="H284" t="n">
        <v>0</v>
      </c>
      <c r="I284" t="n">
        <v>0</v>
      </c>
      <c r="J284" t="n">
        <v>0</v>
      </c>
      <c r="K284" t="n">
        <v>0</v>
      </c>
      <c r="L284" t="n">
        <v>0</v>
      </c>
      <c r="M284" t="n">
        <v>0</v>
      </c>
      <c r="N284" t="n">
        <v>0</v>
      </c>
      <c r="O284" t="n">
        <v>0</v>
      </c>
      <c r="P284" t="n">
        <v>0</v>
      </c>
      <c r="Q284" t="n">
        <v>0</v>
      </c>
      <c r="R284" s="2" t="inlineStr"/>
    </row>
    <row r="285" ht="15" customHeight="1">
      <c r="A285" t="inlineStr">
        <is>
          <t>A 56707-2022</t>
        </is>
      </c>
      <c r="B285" s="1" t="n">
        <v>44893.79412037037</v>
      </c>
      <c r="C285" s="1" t="n">
        <v>45886</v>
      </c>
      <c r="D285" t="inlineStr">
        <is>
          <t>VÄSTMANLANDS LÄN</t>
        </is>
      </c>
      <c r="E285" t="inlineStr">
        <is>
          <t>SALA</t>
        </is>
      </c>
      <c r="G285" t="n">
        <v>1</v>
      </c>
      <c r="H285" t="n">
        <v>0</v>
      </c>
      <c r="I285" t="n">
        <v>0</v>
      </c>
      <c r="J285" t="n">
        <v>0</v>
      </c>
      <c r="K285" t="n">
        <v>0</v>
      </c>
      <c r="L285" t="n">
        <v>0</v>
      </c>
      <c r="M285" t="n">
        <v>0</v>
      </c>
      <c r="N285" t="n">
        <v>0</v>
      </c>
      <c r="O285" t="n">
        <v>0</v>
      </c>
      <c r="P285" t="n">
        <v>0</v>
      </c>
      <c r="Q285" t="n">
        <v>0</v>
      </c>
      <c r="R285" s="2" t="inlineStr"/>
    </row>
    <row r="286" ht="15" customHeight="1">
      <c r="A286" t="inlineStr">
        <is>
          <t>A 24169-2025</t>
        </is>
      </c>
      <c r="B286" s="1" t="n">
        <v>45796</v>
      </c>
      <c r="C286" s="1" t="n">
        <v>45886</v>
      </c>
      <c r="D286" t="inlineStr">
        <is>
          <t>VÄSTMANLANDS LÄN</t>
        </is>
      </c>
      <c r="E286" t="inlineStr">
        <is>
          <t>SALA</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22126-2025</t>
        </is>
      </c>
      <c r="B287" s="1" t="n">
        <v>45785</v>
      </c>
      <c r="C287" s="1" t="n">
        <v>45886</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23810-2025</t>
        </is>
      </c>
      <c r="B288" s="1" t="n">
        <v>45793.56989583333</v>
      </c>
      <c r="C288" s="1" t="n">
        <v>45886</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30971-2022</t>
        </is>
      </c>
      <c r="B289" s="1" t="n">
        <v>44768.46725694444</v>
      </c>
      <c r="C289" s="1" t="n">
        <v>45886</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54199-2024</t>
        </is>
      </c>
      <c r="B290" s="1" t="n">
        <v>45616.64703703704</v>
      </c>
      <c r="C290" s="1" t="n">
        <v>45886</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24944-2023</t>
        </is>
      </c>
      <c r="B291" s="1" t="n">
        <v>45085</v>
      </c>
      <c r="C291" s="1" t="n">
        <v>45886</v>
      </c>
      <c r="D291" t="inlineStr">
        <is>
          <t>VÄSTMANLANDS LÄN</t>
        </is>
      </c>
      <c r="E291" t="inlineStr">
        <is>
          <t>SALA</t>
        </is>
      </c>
      <c r="G291" t="n">
        <v>3.8</v>
      </c>
      <c r="H291" t="n">
        <v>0</v>
      </c>
      <c r="I291" t="n">
        <v>0</v>
      </c>
      <c r="J291" t="n">
        <v>0</v>
      </c>
      <c r="K291" t="n">
        <v>0</v>
      </c>
      <c r="L291" t="n">
        <v>0</v>
      </c>
      <c r="M291" t="n">
        <v>0</v>
      </c>
      <c r="N291" t="n">
        <v>0</v>
      </c>
      <c r="O291" t="n">
        <v>0</v>
      </c>
      <c r="P291" t="n">
        <v>0</v>
      </c>
      <c r="Q291" t="n">
        <v>0</v>
      </c>
      <c r="R291" s="2" t="inlineStr"/>
    </row>
    <row r="292" ht="15" customHeight="1">
      <c r="A292" t="inlineStr">
        <is>
          <t>A 60548-2024</t>
        </is>
      </c>
      <c r="B292" s="1" t="n">
        <v>45643.80978009259</v>
      </c>
      <c r="C292" s="1" t="n">
        <v>45886</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45886</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11210-2025</t>
        </is>
      </c>
      <c r="B294" s="1" t="n">
        <v>45726</v>
      </c>
      <c r="C294" s="1" t="n">
        <v>45886</v>
      </c>
      <c r="D294" t="inlineStr">
        <is>
          <t>VÄSTMANLANDS LÄN</t>
        </is>
      </c>
      <c r="E294" t="inlineStr">
        <is>
          <t>SALA</t>
        </is>
      </c>
      <c r="G294" t="n">
        <v>4.1</v>
      </c>
      <c r="H294" t="n">
        <v>0</v>
      </c>
      <c r="I294" t="n">
        <v>0</v>
      </c>
      <c r="J294" t="n">
        <v>0</v>
      </c>
      <c r="K294" t="n">
        <v>0</v>
      </c>
      <c r="L294" t="n">
        <v>0</v>
      </c>
      <c r="M294" t="n">
        <v>0</v>
      </c>
      <c r="N294" t="n">
        <v>0</v>
      </c>
      <c r="O294" t="n">
        <v>0</v>
      </c>
      <c r="P294" t="n">
        <v>0</v>
      </c>
      <c r="Q294" t="n">
        <v>0</v>
      </c>
      <c r="R294" s="2" t="inlineStr"/>
    </row>
    <row r="295" ht="15" customHeight="1">
      <c r="A295" t="inlineStr">
        <is>
          <t>A 19297-2025</t>
        </is>
      </c>
      <c r="B295" s="1" t="n">
        <v>45769.56261574074</v>
      </c>
      <c r="C295" s="1" t="n">
        <v>45886</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12922-2025</t>
        </is>
      </c>
      <c r="B296" s="1" t="n">
        <v>45734.28572916667</v>
      </c>
      <c r="C296" s="1" t="n">
        <v>45886</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24460-2025</t>
        </is>
      </c>
      <c r="B297" s="1" t="n">
        <v>45798</v>
      </c>
      <c r="C297" s="1" t="n">
        <v>45886</v>
      </c>
      <c r="D297" t="inlineStr">
        <is>
          <t>VÄSTMANLANDS LÄN</t>
        </is>
      </c>
      <c r="E297" t="inlineStr">
        <is>
          <t>SALA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57895-2024</t>
        </is>
      </c>
      <c r="B298" s="1" t="n">
        <v>45631</v>
      </c>
      <c r="C298" s="1" t="n">
        <v>45886</v>
      </c>
      <c r="D298" t="inlineStr">
        <is>
          <t>VÄSTMANLANDS LÄN</t>
        </is>
      </c>
      <c r="E298" t="inlineStr">
        <is>
          <t>SALA</t>
        </is>
      </c>
      <c r="G298" t="n">
        <v>1</v>
      </c>
      <c r="H298" t="n">
        <v>0</v>
      </c>
      <c r="I298" t="n">
        <v>0</v>
      </c>
      <c r="J298" t="n">
        <v>0</v>
      </c>
      <c r="K298" t="n">
        <v>0</v>
      </c>
      <c r="L298" t="n">
        <v>0</v>
      </c>
      <c r="M298" t="n">
        <v>0</v>
      </c>
      <c r="N298" t="n">
        <v>0</v>
      </c>
      <c r="O298" t="n">
        <v>0</v>
      </c>
      <c r="P298" t="n">
        <v>0</v>
      </c>
      <c r="Q298" t="n">
        <v>0</v>
      </c>
      <c r="R298" s="2" t="inlineStr"/>
    </row>
    <row r="299" ht="15" customHeight="1">
      <c r="A299" t="inlineStr">
        <is>
          <t>A 31597-2024</t>
        </is>
      </c>
      <c r="B299" s="1" t="n">
        <v>45506</v>
      </c>
      <c r="C299" s="1" t="n">
        <v>45886</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55065-2024</t>
        </is>
      </c>
      <c r="B300" s="1" t="n">
        <v>45618</v>
      </c>
      <c r="C300" s="1" t="n">
        <v>45886</v>
      </c>
      <c r="D300" t="inlineStr">
        <is>
          <t>VÄSTMANLANDS LÄN</t>
        </is>
      </c>
      <c r="E300" t="inlineStr">
        <is>
          <t>SALA</t>
        </is>
      </c>
      <c r="G300" t="n">
        <v>3.5</v>
      </c>
      <c r="H300" t="n">
        <v>0</v>
      </c>
      <c r="I300" t="n">
        <v>0</v>
      </c>
      <c r="J300" t="n">
        <v>0</v>
      </c>
      <c r="K300" t="n">
        <v>0</v>
      </c>
      <c r="L300" t="n">
        <v>0</v>
      </c>
      <c r="M300" t="n">
        <v>0</v>
      </c>
      <c r="N300" t="n">
        <v>0</v>
      </c>
      <c r="O300" t="n">
        <v>0</v>
      </c>
      <c r="P300" t="n">
        <v>0</v>
      </c>
      <c r="Q300" t="n">
        <v>0</v>
      </c>
      <c r="R300" s="2" t="inlineStr"/>
    </row>
    <row r="301" ht="15" customHeight="1">
      <c r="A301" t="inlineStr">
        <is>
          <t>A 17458-2024</t>
        </is>
      </c>
      <c r="B301" s="1" t="n">
        <v>45415</v>
      </c>
      <c r="C301" s="1" t="n">
        <v>45886</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56543-2024</t>
        </is>
      </c>
      <c r="B302" s="1" t="n">
        <v>45625</v>
      </c>
      <c r="C302" s="1" t="n">
        <v>45886</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45886</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28661-2024</t>
        </is>
      </c>
      <c r="B304" s="1" t="n">
        <v>45478</v>
      </c>
      <c r="C304" s="1" t="n">
        <v>45886</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2529-2022</t>
        </is>
      </c>
      <c r="B305" s="1" t="n">
        <v>44579.86452546297</v>
      </c>
      <c r="C305" s="1" t="n">
        <v>45886</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56540-2024</t>
        </is>
      </c>
      <c r="B306" s="1" t="n">
        <v>45625</v>
      </c>
      <c r="C306" s="1" t="n">
        <v>45886</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45886</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45886</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31599-2024</t>
        </is>
      </c>
      <c r="B309" s="1" t="n">
        <v>45506</v>
      </c>
      <c r="C309" s="1" t="n">
        <v>45886</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31601-2024</t>
        </is>
      </c>
      <c r="B310" s="1" t="n">
        <v>45506</v>
      </c>
      <c r="C310" s="1" t="n">
        <v>45886</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31608-2024</t>
        </is>
      </c>
      <c r="B311" s="1" t="n">
        <v>45506</v>
      </c>
      <c r="C311" s="1" t="n">
        <v>45886</v>
      </c>
      <c r="D311" t="inlineStr">
        <is>
          <t>VÄSTMANLANDS LÄN</t>
        </is>
      </c>
      <c r="E311" t="inlineStr">
        <is>
          <t>SALA</t>
        </is>
      </c>
      <c r="G311" t="n">
        <v>1.7</v>
      </c>
      <c r="H311" t="n">
        <v>0</v>
      </c>
      <c r="I311" t="n">
        <v>0</v>
      </c>
      <c r="J311" t="n">
        <v>0</v>
      </c>
      <c r="K311" t="n">
        <v>0</v>
      </c>
      <c r="L311" t="n">
        <v>0</v>
      </c>
      <c r="M311" t="n">
        <v>0</v>
      </c>
      <c r="N311" t="n">
        <v>0</v>
      </c>
      <c r="O311" t="n">
        <v>0</v>
      </c>
      <c r="P311" t="n">
        <v>0</v>
      </c>
      <c r="Q311" t="n">
        <v>0</v>
      </c>
      <c r="R311" s="2" t="inlineStr"/>
    </row>
    <row r="312" ht="15" customHeight="1">
      <c r="A312" t="inlineStr">
        <is>
          <t>A 31612-2024</t>
        </is>
      </c>
      <c r="B312" s="1" t="n">
        <v>45506</v>
      </c>
      <c r="C312" s="1" t="n">
        <v>45886</v>
      </c>
      <c r="D312" t="inlineStr">
        <is>
          <t>VÄSTMANLANDS LÄN</t>
        </is>
      </c>
      <c r="E312" t="inlineStr">
        <is>
          <t>SALA</t>
        </is>
      </c>
      <c r="G312" t="n">
        <v>3.2</v>
      </c>
      <c r="H312" t="n">
        <v>0</v>
      </c>
      <c r="I312" t="n">
        <v>0</v>
      </c>
      <c r="J312" t="n">
        <v>0</v>
      </c>
      <c r="K312" t="n">
        <v>0</v>
      </c>
      <c r="L312" t="n">
        <v>0</v>
      </c>
      <c r="M312" t="n">
        <v>0</v>
      </c>
      <c r="N312" t="n">
        <v>0</v>
      </c>
      <c r="O312" t="n">
        <v>0</v>
      </c>
      <c r="P312" t="n">
        <v>0</v>
      </c>
      <c r="Q312" t="n">
        <v>0</v>
      </c>
      <c r="R312" s="2" t="inlineStr"/>
    </row>
    <row r="313" ht="15" customHeight="1">
      <c r="A313" t="inlineStr">
        <is>
          <t>A 10579-2022</t>
        </is>
      </c>
      <c r="B313" s="1" t="n">
        <v>44624</v>
      </c>
      <c r="C313" s="1" t="n">
        <v>45886</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64693-2023</t>
        </is>
      </c>
      <c r="B314" s="1" t="n">
        <v>45281.63850694444</v>
      </c>
      <c r="C314" s="1" t="n">
        <v>45886</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10909-2024</t>
        </is>
      </c>
      <c r="B315" s="1" t="n">
        <v>45370</v>
      </c>
      <c r="C315" s="1" t="n">
        <v>45886</v>
      </c>
      <c r="D315" t="inlineStr">
        <is>
          <t>VÄSTMANLANDS LÄN</t>
        </is>
      </c>
      <c r="E315" t="inlineStr">
        <is>
          <t>SALA</t>
        </is>
      </c>
      <c r="G315" t="n">
        <v>3.3</v>
      </c>
      <c r="H315" t="n">
        <v>0</v>
      </c>
      <c r="I315" t="n">
        <v>0</v>
      </c>
      <c r="J315" t="n">
        <v>0</v>
      </c>
      <c r="K315" t="n">
        <v>0</v>
      </c>
      <c r="L315" t="n">
        <v>0</v>
      </c>
      <c r="M315" t="n">
        <v>0</v>
      </c>
      <c r="N315" t="n">
        <v>0</v>
      </c>
      <c r="O315" t="n">
        <v>0</v>
      </c>
      <c r="P315" t="n">
        <v>0</v>
      </c>
      <c r="Q315" t="n">
        <v>0</v>
      </c>
      <c r="R315" s="2" t="inlineStr"/>
    </row>
    <row r="316" ht="15" customHeight="1">
      <c r="A316" t="inlineStr">
        <is>
          <t>A 64695-2023</t>
        </is>
      </c>
      <c r="B316" s="1" t="n">
        <v>45281.64099537037</v>
      </c>
      <c r="C316" s="1" t="n">
        <v>45886</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17722-2025</t>
        </is>
      </c>
      <c r="B317" s="1" t="n">
        <v>45758</v>
      </c>
      <c r="C317" s="1" t="n">
        <v>45886</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55784-2024</t>
        </is>
      </c>
      <c r="B318" s="1" t="n">
        <v>45623</v>
      </c>
      <c r="C318" s="1" t="n">
        <v>45886</v>
      </c>
      <c r="D318" t="inlineStr">
        <is>
          <t>VÄSTMANLANDS LÄN</t>
        </is>
      </c>
      <c r="E318" t="inlineStr">
        <is>
          <t>SALA</t>
        </is>
      </c>
      <c r="F318" t="inlineStr">
        <is>
          <t>Bergvik skog öst AB</t>
        </is>
      </c>
      <c r="G318" t="n">
        <v>28.4</v>
      </c>
      <c r="H318" t="n">
        <v>0</v>
      </c>
      <c r="I318" t="n">
        <v>0</v>
      </c>
      <c r="J318" t="n">
        <v>0</v>
      </c>
      <c r="K318" t="n">
        <v>0</v>
      </c>
      <c r="L318" t="n">
        <v>0</v>
      </c>
      <c r="M318" t="n">
        <v>0</v>
      </c>
      <c r="N318" t="n">
        <v>0</v>
      </c>
      <c r="O318" t="n">
        <v>0</v>
      </c>
      <c r="P318" t="n">
        <v>0</v>
      </c>
      <c r="Q318" t="n">
        <v>0</v>
      </c>
      <c r="R318" s="2" t="inlineStr"/>
    </row>
    <row r="319" ht="15" customHeight="1">
      <c r="A319" t="inlineStr">
        <is>
          <t>A 39818-2020</t>
        </is>
      </c>
      <c r="B319" s="1" t="n">
        <v>44067</v>
      </c>
      <c r="C319" s="1" t="n">
        <v>45886</v>
      </c>
      <c r="D319" t="inlineStr">
        <is>
          <t>VÄSTMANLANDS LÄN</t>
        </is>
      </c>
      <c r="E319" t="inlineStr">
        <is>
          <t>SALA</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29542-2023</t>
        </is>
      </c>
      <c r="B320" s="1" t="n">
        <v>45098</v>
      </c>
      <c r="C320" s="1" t="n">
        <v>45886</v>
      </c>
      <c r="D320" t="inlineStr">
        <is>
          <t>VÄSTMANLANDS LÄN</t>
        </is>
      </c>
      <c r="E320" t="inlineStr">
        <is>
          <t>SALA</t>
        </is>
      </c>
      <c r="G320" t="n">
        <v>4.8</v>
      </c>
      <c r="H320" t="n">
        <v>0</v>
      </c>
      <c r="I320" t="n">
        <v>0</v>
      </c>
      <c r="J320" t="n">
        <v>0</v>
      </c>
      <c r="K320" t="n">
        <v>0</v>
      </c>
      <c r="L320" t="n">
        <v>0</v>
      </c>
      <c r="M320" t="n">
        <v>0</v>
      </c>
      <c r="N320" t="n">
        <v>0</v>
      </c>
      <c r="O320" t="n">
        <v>0</v>
      </c>
      <c r="P320" t="n">
        <v>0</v>
      </c>
      <c r="Q320" t="n">
        <v>0</v>
      </c>
      <c r="R320" s="2" t="inlineStr"/>
    </row>
    <row r="321" ht="15" customHeight="1">
      <c r="A321" t="inlineStr">
        <is>
          <t>A 27038-2023</t>
        </is>
      </c>
      <c r="B321" s="1" t="n">
        <v>45095</v>
      </c>
      <c r="C321" s="1" t="n">
        <v>45886</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2900-2023</t>
        </is>
      </c>
      <c r="B322" s="1" t="n">
        <v>44943</v>
      </c>
      <c r="C322" s="1" t="n">
        <v>45886</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60730-2023</t>
        </is>
      </c>
      <c r="B323" s="1" t="n">
        <v>45260</v>
      </c>
      <c r="C323" s="1" t="n">
        <v>45886</v>
      </c>
      <c r="D323" t="inlineStr">
        <is>
          <t>VÄSTMANLANDS LÄN</t>
        </is>
      </c>
      <c r="E323" t="inlineStr">
        <is>
          <t>SALA</t>
        </is>
      </c>
      <c r="G323" t="n">
        <v>1.3</v>
      </c>
      <c r="H323" t="n">
        <v>0</v>
      </c>
      <c r="I323" t="n">
        <v>0</v>
      </c>
      <c r="J323" t="n">
        <v>0</v>
      </c>
      <c r="K323" t="n">
        <v>0</v>
      </c>
      <c r="L323" t="n">
        <v>0</v>
      </c>
      <c r="M323" t="n">
        <v>0</v>
      </c>
      <c r="N323" t="n">
        <v>0</v>
      </c>
      <c r="O323" t="n">
        <v>0</v>
      </c>
      <c r="P323" t="n">
        <v>0</v>
      </c>
      <c r="Q323" t="n">
        <v>0</v>
      </c>
      <c r="R323" s="2" t="inlineStr"/>
    </row>
    <row r="324" ht="15" customHeight="1">
      <c r="A324" t="inlineStr">
        <is>
          <t>A 60731-2023</t>
        </is>
      </c>
      <c r="B324" s="1" t="n">
        <v>45260</v>
      </c>
      <c r="C324" s="1" t="n">
        <v>45886</v>
      </c>
      <c r="D324" t="inlineStr">
        <is>
          <t>VÄSTMANLANDS LÄN</t>
        </is>
      </c>
      <c r="E324" t="inlineStr">
        <is>
          <t>SALA</t>
        </is>
      </c>
      <c r="G324" t="n">
        <v>1</v>
      </c>
      <c r="H324" t="n">
        <v>0</v>
      </c>
      <c r="I324" t="n">
        <v>0</v>
      </c>
      <c r="J324" t="n">
        <v>0</v>
      </c>
      <c r="K324" t="n">
        <v>0</v>
      </c>
      <c r="L324" t="n">
        <v>0</v>
      </c>
      <c r="M324" t="n">
        <v>0</v>
      </c>
      <c r="N324" t="n">
        <v>0</v>
      </c>
      <c r="O324" t="n">
        <v>0</v>
      </c>
      <c r="P324" t="n">
        <v>0</v>
      </c>
      <c r="Q324" t="n">
        <v>0</v>
      </c>
      <c r="R324" s="2" t="inlineStr"/>
    </row>
    <row r="325" ht="15" customHeight="1">
      <c r="A325" t="inlineStr">
        <is>
          <t>A 66821-2020</t>
        </is>
      </c>
      <c r="B325" s="1" t="n">
        <v>44179.88008101852</v>
      </c>
      <c r="C325" s="1" t="n">
        <v>45886</v>
      </c>
      <c r="D325" t="inlineStr">
        <is>
          <t>VÄSTMANLANDS LÄN</t>
        </is>
      </c>
      <c r="E325" t="inlineStr">
        <is>
          <t>SALA</t>
        </is>
      </c>
      <c r="G325" t="n">
        <v>1.4</v>
      </c>
      <c r="H325" t="n">
        <v>0</v>
      </c>
      <c r="I325" t="n">
        <v>0</v>
      </c>
      <c r="J325" t="n">
        <v>0</v>
      </c>
      <c r="K325" t="n">
        <v>0</v>
      </c>
      <c r="L325" t="n">
        <v>0</v>
      </c>
      <c r="M325" t="n">
        <v>0</v>
      </c>
      <c r="N325" t="n">
        <v>0</v>
      </c>
      <c r="O325" t="n">
        <v>0</v>
      </c>
      <c r="P325" t="n">
        <v>0</v>
      </c>
      <c r="Q325" t="n">
        <v>0</v>
      </c>
      <c r="R325" s="2" t="inlineStr"/>
    </row>
    <row r="326" ht="15" customHeight="1">
      <c r="A326" t="inlineStr">
        <is>
          <t>A 17051-2025</t>
        </is>
      </c>
      <c r="B326" s="1" t="n">
        <v>45755</v>
      </c>
      <c r="C326" s="1" t="n">
        <v>45886</v>
      </c>
      <c r="D326" t="inlineStr">
        <is>
          <t>VÄSTMANLANDS LÄN</t>
        </is>
      </c>
      <c r="E326" t="inlineStr">
        <is>
          <t>SALA</t>
        </is>
      </c>
      <c r="G326" t="n">
        <v>2.9</v>
      </c>
      <c r="H326" t="n">
        <v>0</v>
      </c>
      <c r="I326" t="n">
        <v>0</v>
      </c>
      <c r="J326" t="n">
        <v>0</v>
      </c>
      <c r="K326" t="n">
        <v>0</v>
      </c>
      <c r="L326" t="n">
        <v>0</v>
      </c>
      <c r="M326" t="n">
        <v>0</v>
      </c>
      <c r="N326" t="n">
        <v>0</v>
      </c>
      <c r="O326" t="n">
        <v>0</v>
      </c>
      <c r="P326" t="n">
        <v>0</v>
      </c>
      <c r="Q326" t="n">
        <v>0</v>
      </c>
      <c r="R326" s="2" t="inlineStr"/>
    </row>
    <row r="327" ht="15" customHeight="1">
      <c r="A327" t="inlineStr">
        <is>
          <t>A 8285-2025</t>
        </is>
      </c>
      <c r="B327" s="1" t="n">
        <v>45708</v>
      </c>
      <c r="C327" s="1" t="n">
        <v>45886</v>
      </c>
      <c r="D327" t="inlineStr">
        <is>
          <t>VÄSTMANLANDS LÄN</t>
        </is>
      </c>
      <c r="E327" t="inlineStr">
        <is>
          <t>SALA</t>
        </is>
      </c>
      <c r="G327" t="n">
        <v>5.7</v>
      </c>
      <c r="H327" t="n">
        <v>0</v>
      </c>
      <c r="I327" t="n">
        <v>0</v>
      </c>
      <c r="J327" t="n">
        <v>0</v>
      </c>
      <c r="K327" t="n">
        <v>0</v>
      </c>
      <c r="L327" t="n">
        <v>0</v>
      </c>
      <c r="M327" t="n">
        <v>0</v>
      </c>
      <c r="N327" t="n">
        <v>0</v>
      </c>
      <c r="O327" t="n">
        <v>0</v>
      </c>
      <c r="P327" t="n">
        <v>0</v>
      </c>
      <c r="Q327" t="n">
        <v>0</v>
      </c>
      <c r="R327" s="2" t="inlineStr"/>
    </row>
    <row r="328" ht="15" customHeight="1">
      <c r="A328" t="inlineStr">
        <is>
          <t>A 56098-2020</t>
        </is>
      </c>
      <c r="B328" s="1" t="n">
        <v>44132</v>
      </c>
      <c r="C328" s="1" t="n">
        <v>45886</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14010-2021</t>
        </is>
      </c>
      <c r="B329" s="1" t="n">
        <v>44277.63396990741</v>
      </c>
      <c r="C329" s="1" t="n">
        <v>45886</v>
      </c>
      <c r="D329" t="inlineStr">
        <is>
          <t>VÄSTMANLANDS LÄN</t>
        </is>
      </c>
      <c r="E329" t="inlineStr">
        <is>
          <t>SALA</t>
        </is>
      </c>
      <c r="G329" t="n">
        <v>3.5</v>
      </c>
      <c r="H329" t="n">
        <v>0</v>
      </c>
      <c r="I329" t="n">
        <v>0</v>
      </c>
      <c r="J329" t="n">
        <v>0</v>
      </c>
      <c r="K329" t="n">
        <v>0</v>
      </c>
      <c r="L329" t="n">
        <v>0</v>
      </c>
      <c r="M329" t="n">
        <v>0</v>
      </c>
      <c r="N329" t="n">
        <v>0</v>
      </c>
      <c r="O329" t="n">
        <v>0</v>
      </c>
      <c r="P329" t="n">
        <v>0</v>
      </c>
      <c r="Q329" t="n">
        <v>0</v>
      </c>
      <c r="R329" s="2" t="inlineStr"/>
    </row>
    <row r="330" ht="15" customHeight="1">
      <c r="A330" t="inlineStr">
        <is>
          <t>A 22019-2021</t>
        </is>
      </c>
      <c r="B330" s="1" t="n">
        <v>44323</v>
      </c>
      <c r="C330" s="1" t="n">
        <v>45886</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57404-2024</t>
        </is>
      </c>
      <c r="B331" s="1" t="n">
        <v>45629.71967592592</v>
      </c>
      <c r="C331" s="1" t="n">
        <v>45886</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35976-2024</t>
        </is>
      </c>
      <c r="B332" s="1" t="n">
        <v>45533.49555555556</v>
      </c>
      <c r="C332" s="1" t="n">
        <v>45886</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38636-2024</t>
        </is>
      </c>
      <c r="B333" s="1" t="n">
        <v>45546</v>
      </c>
      <c r="C333" s="1" t="n">
        <v>45886</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21777-2022</t>
        </is>
      </c>
      <c r="B334" s="1" t="n">
        <v>44708.48194444444</v>
      </c>
      <c r="C334" s="1" t="n">
        <v>45886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17866-2025</t>
        </is>
      </c>
      <c r="B335" s="1" t="n">
        <v>45758</v>
      </c>
      <c r="C335" s="1" t="n">
        <v>45886</v>
      </c>
      <c r="D335" t="inlineStr">
        <is>
          <t>VÄSTMANLANDS LÄN</t>
        </is>
      </c>
      <c r="E335" t="inlineStr">
        <is>
          <t>SALA</t>
        </is>
      </c>
      <c r="F335" t="inlineStr">
        <is>
          <t>Bergvik skog öst AB</t>
        </is>
      </c>
      <c r="G335" t="n">
        <v>2.1</v>
      </c>
      <c r="H335" t="n">
        <v>0</v>
      </c>
      <c r="I335" t="n">
        <v>0</v>
      </c>
      <c r="J335" t="n">
        <v>0</v>
      </c>
      <c r="K335" t="n">
        <v>0</v>
      </c>
      <c r="L335" t="n">
        <v>0</v>
      </c>
      <c r="M335" t="n">
        <v>0</v>
      </c>
      <c r="N335" t="n">
        <v>0</v>
      </c>
      <c r="O335" t="n">
        <v>0</v>
      </c>
      <c r="P335" t="n">
        <v>0</v>
      </c>
      <c r="Q335" t="n">
        <v>0</v>
      </c>
      <c r="R335" s="2" t="inlineStr"/>
    </row>
    <row r="336" ht="15" customHeight="1">
      <c r="A336" t="inlineStr">
        <is>
          <t>A 33732-2023</t>
        </is>
      </c>
      <c r="B336" s="1" t="n">
        <v>45133.32409722222</v>
      </c>
      <c r="C336" s="1" t="n">
        <v>45886</v>
      </c>
      <c r="D336" t="inlineStr">
        <is>
          <t>VÄSTMANLANDS LÄN</t>
        </is>
      </c>
      <c r="E336" t="inlineStr">
        <is>
          <t>SALA</t>
        </is>
      </c>
      <c r="G336" t="n">
        <v>2</v>
      </c>
      <c r="H336" t="n">
        <v>0</v>
      </c>
      <c r="I336" t="n">
        <v>0</v>
      </c>
      <c r="J336" t="n">
        <v>0</v>
      </c>
      <c r="K336" t="n">
        <v>0</v>
      </c>
      <c r="L336" t="n">
        <v>0</v>
      </c>
      <c r="M336" t="n">
        <v>0</v>
      </c>
      <c r="N336" t="n">
        <v>0</v>
      </c>
      <c r="O336" t="n">
        <v>0</v>
      </c>
      <c r="P336" t="n">
        <v>0</v>
      </c>
      <c r="Q336" t="n">
        <v>0</v>
      </c>
      <c r="R336" s="2" t="inlineStr"/>
    </row>
    <row r="337" ht="15" customHeight="1">
      <c r="A337" t="inlineStr">
        <is>
          <t>A 25868-2024</t>
        </is>
      </c>
      <c r="B337" s="1" t="n">
        <v>45467.47506944444</v>
      </c>
      <c r="C337" s="1" t="n">
        <v>45886</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7166-2025</t>
        </is>
      </c>
      <c r="B338" s="1" t="n">
        <v>45702</v>
      </c>
      <c r="C338" s="1" t="n">
        <v>45886</v>
      </c>
      <c r="D338" t="inlineStr">
        <is>
          <t>VÄSTMANLANDS LÄN</t>
        </is>
      </c>
      <c r="E338" t="inlineStr">
        <is>
          <t>SALA</t>
        </is>
      </c>
      <c r="G338" t="n">
        <v>6.1</v>
      </c>
      <c r="H338" t="n">
        <v>0</v>
      </c>
      <c r="I338" t="n">
        <v>0</v>
      </c>
      <c r="J338" t="n">
        <v>0</v>
      </c>
      <c r="K338" t="n">
        <v>0</v>
      </c>
      <c r="L338" t="n">
        <v>0</v>
      </c>
      <c r="M338" t="n">
        <v>0</v>
      </c>
      <c r="N338" t="n">
        <v>0</v>
      </c>
      <c r="O338" t="n">
        <v>0</v>
      </c>
      <c r="P338" t="n">
        <v>0</v>
      </c>
      <c r="Q338" t="n">
        <v>0</v>
      </c>
      <c r="R338" s="2" t="inlineStr"/>
    </row>
    <row r="339" ht="15" customHeight="1">
      <c r="A339" t="inlineStr">
        <is>
          <t>A 44857-2023</t>
        </is>
      </c>
      <c r="B339" s="1" t="n">
        <v>45190.58479166667</v>
      </c>
      <c r="C339" s="1" t="n">
        <v>45886</v>
      </c>
      <c r="D339" t="inlineStr">
        <is>
          <t>VÄSTMANLANDS LÄN</t>
        </is>
      </c>
      <c r="E339" t="inlineStr">
        <is>
          <t>SALA</t>
        </is>
      </c>
      <c r="G339" t="n">
        <v>1</v>
      </c>
      <c r="H339" t="n">
        <v>0</v>
      </c>
      <c r="I339" t="n">
        <v>0</v>
      </c>
      <c r="J339" t="n">
        <v>0</v>
      </c>
      <c r="K339" t="n">
        <v>0</v>
      </c>
      <c r="L339" t="n">
        <v>0</v>
      </c>
      <c r="M339" t="n">
        <v>0</v>
      </c>
      <c r="N339" t="n">
        <v>0</v>
      </c>
      <c r="O339" t="n">
        <v>0</v>
      </c>
      <c r="P339" t="n">
        <v>0</v>
      </c>
      <c r="Q339" t="n">
        <v>0</v>
      </c>
      <c r="R339" s="2" t="inlineStr"/>
    </row>
    <row r="340" ht="15" customHeight="1">
      <c r="A340" t="inlineStr">
        <is>
          <t>A 46352-2023</t>
        </is>
      </c>
      <c r="B340" s="1" t="n">
        <v>45192</v>
      </c>
      <c r="C340" s="1" t="n">
        <v>45886</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26661-2025</t>
        </is>
      </c>
      <c r="B341" s="1" t="n">
        <v>45810</v>
      </c>
      <c r="C341" s="1" t="n">
        <v>45886</v>
      </c>
      <c r="D341" t="inlineStr">
        <is>
          <t>VÄSTMANLANDS LÄN</t>
        </is>
      </c>
      <c r="E341" t="inlineStr">
        <is>
          <t>SALA</t>
        </is>
      </c>
      <c r="G341" t="n">
        <v>3.5</v>
      </c>
      <c r="H341" t="n">
        <v>0</v>
      </c>
      <c r="I341" t="n">
        <v>0</v>
      </c>
      <c r="J341" t="n">
        <v>0</v>
      </c>
      <c r="K341" t="n">
        <v>0</v>
      </c>
      <c r="L341" t="n">
        <v>0</v>
      </c>
      <c r="M341" t="n">
        <v>0</v>
      </c>
      <c r="N341" t="n">
        <v>0</v>
      </c>
      <c r="O341" t="n">
        <v>0</v>
      </c>
      <c r="P341" t="n">
        <v>0</v>
      </c>
      <c r="Q341" t="n">
        <v>0</v>
      </c>
      <c r="R341" s="2" t="inlineStr"/>
    </row>
    <row r="342" ht="15" customHeight="1">
      <c r="A342" t="inlineStr">
        <is>
          <t>A 22397-2022</t>
        </is>
      </c>
      <c r="B342" s="1" t="n">
        <v>44713</v>
      </c>
      <c r="C342" s="1" t="n">
        <v>45886</v>
      </c>
      <c r="D342" t="inlineStr">
        <is>
          <t>VÄSTMANLANDS LÄN</t>
        </is>
      </c>
      <c r="E342" t="inlineStr">
        <is>
          <t>SALA</t>
        </is>
      </c>
      <c r="G342" t="n">
        <v>2.1</v>
      </c>
      <c r="H342" t="n">
        <v>0</v>
      </c>
      <c r="I342" t="n">
        <v>0</v>
      </c>
      <c r="J342" t="n">
        <v>0</v>
      </c>
      <c r="K342" t="n">
        <v>0</v>
      </c>
      <c r="L342" t="n">
        <v>0</v>
      </c>
      <c r="M342" t="n">
        <v>0</v>
      </c>
      <c r="N342" t="n">
        <v>0</v>
      </c>
      <c r="O342" t="n">
        <v>0</v>
      </c>
      <c r="P342" t="n">
        <v>0</v>
      </c>
      <c r="Q342" t="n">
        <v>0</v>
      </c>
      <c r="R342" s="2" t="inlineStr"/>
    </row>
    <row r="343" ht="15" customHeight="1">
      <c r="A343" t="inlineStr">
        <is>
          <t>A 41485-2020</t>
        </is>
      </c>
      <c r="B343" s="1" t="n">
        <v>44074</v>
      </c>
      <c r="C343" s="1" t="n">
        <v>45886</v>
      </c>
      <c r="D343" t="inlineStr">
        <is>
          <t>VÄSTMANLANDS LÄN</t>
        </is>
      </c>
      <c r="E343" t="inlineStr">
        <is>
          <t>SALA</t>
        </is>
      </c>
      <c r="G343" t="n">
        <v>4.7</v>
      </c>
      <c r="H343" t="n">
        <v>0</v>
      </c>
      <c r="I343" t="n">
        <v>0</v>
      </c>
      <c r="J343" t="n">
        <v>0</v>
      </c>
      <c r="K343" t="n">
        <v>0</v>
      </c>
      <c r="L343" t="n">
        <v>0</v>
      </c>
      <c r="M343" t="n">
        <v>0</v>
      </c>
      <c r="N343" t="n">
        <v>0</v>
      </c>
      <c r="O343" t="n">
        <v>0</v>
      </c>
      <c r="P343" t="n">
        <v>0</v>
      </c>
      <c r="Q343" t="n">
        <v>0</v>
      </c>
      <c r="R343" s="2" t="inlineStr"/>
    </row>
    <row r="344" ht="15" customHeight="1">
      <c r="A344" t="inlineStr">
        <is>
          <t>A 27424-2023</t>
        </is>
      </c>
      <c r="B344" s="1" t="n">
        <v>45097.37690972222</v>
      </c>
      <c r="C344" s="1" t="n">
        <v>45886</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71471-2021</t>
        </is>
      </c>
      <c r="B345" s="1" t="n">
        <v>44540.53421296296</v>
      </c>
      <c r="C345" s="1" t="n">
        <v>45886</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8775-2024</t>
        </is>
      </c>
      <c r="B346" s="1" t="n">
        <v>45356</v>
      </c>
      <c r="C346" s="1" t="n">
        <v>45886</v>
      </c>
      <c r="D346" t="inlineStr">
        <is>
          <t>VÄSTMANLANDS LÄN</t>
        </is>
      </c>
      <c r="E346" t="inlineStr">
        <is>
          <t>SALA</t>
        </is>
      </c>
      <c r="G346" t="n">
        <v>0.6</v>
      </c>
      <c r="H346" t="n">
        <v>0</v>
      </c>
      <c r="I346" t="n">
        <v>0</v>
      </c>
      <c r="J346" t="n">
        <v>0</v>
      </c>
      <c r="K346" t="n">
        <v>0</v>
      </c>
      <c r="L346" t="n">
        <v>0</v>
      </c>
      <c r="M346" t="n">
        <v>0</v>
      </c>
      <c r="N346" t="n">
        <v>0</v>
      </c>
      <c r="O346" t="n">
        <v>0</v>
      </c>
      <c r="P346" t="n">
        <v>0</v>
      </c>
      <c r="Q346" t="n">
        <v>0</v>
      </c>
      <c r="R346" s="2" t="inlineStr"/>
    </row>
    <row r="347" ht="15" customHeight="1">
      <c r="A347" t="inlineStr">
        <is>
          <t>A 7469-2025</t>
        </is>
      </c>
      <c r="B347" s="1" t="n">
        <v>45705</v>
      </c>
      <c r="C347" s="1" t="n">
        <v>45886</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6691-2025</t>
        </is>
      </c>
      <c r="B348" s="1" t="n">
        <v>45700.50625</v>
      </c>
      <c r="C348" s="1" t="n">
        <v>45886</v>
      </c>
      <c r="D348" t="inlineStr">
        <is>
          <t>VÄSTMANLANDS LÄN</t>
        </is>
      </c>
      <c r="E348" t="inlineStr">
        <is>
          <t>SALA</t>
        </is>
      </c>
      <c r="G348" t="n">
        <v>2.1</v>
      </c>
      <c r="H348" t="n">
        <v>0</v>
      </c>
      <c r="I348" t="n">
        <v>0</v>
      </c>
      <c r="J348" t="n">
        <v>0</v>
      </c>
      <c r="K348" t="n">
        <v>0</v>
      </c>
      <c r="L348" t="n">
        <v>0</v>
      </c>
      <c r="M348" t="n">
        <v>0</v>
      </c>
      <c r="N348" t="n">
        <v>0</v>
      </c>
      <c r="O348" t="n">
        <v>0</v>
      </c>
      <c r="P348" t="n">
        <v>0</v>
      </c>
      <c r="Q348" t="n">
        <v>0</v>
      </c>
      <c r="R348" s="2" t="inlineStr"/>
    </row>
    <row r="349" ht="15" customHeight="1">
      <c r="A349" t="inlineStr">
        <is>
          <t>A 60036-2024</t>
        </is>
      </c>
      <c r="B349" s="1" t="n">
        <v>45642.46434027778</v>
      </c>
      <c r="C349" s="1" t="n">
        <v>45886</v>
      </c>
      <c r="D349" t="inlineStr">
        <is>
          <t>VÄSTMANLANDS LÄN</t>
        </is>
      </c>
      <c r="E349" t="inlineStr">
        <is>
          <t>SALA</t>
        </is>
      </c>
      <c r="G349" t="n">
        <v>2.5</v>
      </c>
      <c r="H349" t="n">
        <v>0</v>
      </c>
      <c r="I349" t="n">
        <v>0</v>
      </c>
      <c r="J349" t="n">
        <v>0</v>
      </c>
      <c r="K349" t="n">
        <v>0</v>
      </c>
      <c r="L349" t="n">
        <v>0</v>
      </c>
      <c r="M349" t="n">
        <v>0</v>
      </c>
      <c r="N349" t="n">
        <v>0</v>
      </c>
      <c r="O349" t="n">
        <v>0</v>
      </c>
      <c r="P349" t="n">
        <v>0</v>
      </c>
      <c r="Q349" t="n">
        <v>0</v>
      </c>
      <c r="R349" s="2" t="inlineStr"/>
    </row>
    <row r="350" ht="15" customHeight="1">
      <c r="A350" t="inlineStr">
        <is>
          <t>A 39011-2023</t>
        </is>
      </c>
      <c r="B350" s="1" t="n">
        <v>45162</v>
      </c>
      <c r="C350" s="1" t="n">
        <v>45886</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56547-2022</t>
        </is>
      </c>
      <c r="B351" s="1" t="n">
        <v>44893.48284722222</v>
      </c>
      <c r="C351" s="1" t="n">
        <v>45886</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56916-2022</t>
        </is>
      </c>
      <c r="B352" s="1" t="n">
        <v>44888</v>
      </c>
      <c r="C352" s="1" t="n">
        <v>45886</v>
      </c>
      <c r="D352" t="inlineStr">
        <is>
          <t>VÄSTMANLANDS LÄN</t>
        </is>
      </c>
      <c r="E352" t="inlineStr">
        <is>
          <t>SALA</t>
        </is>
      </c>
      <c r="G352" t="n">
        <v>1.7</v>
      </c>
      <c r="H352" t="n">
        <v>0</v>
      </c>
      <c r="I352" t="n">
        <v>0</v>
      </c>
      <c r="J352" t="n">
        <v>0</v>
      </c>
      <c r="K352" t="n">
        <v>0</v>
      </c>
      <c r="L352" t="n">
        <v>0</v>
      </c>
      <c r="M352" t="n">
        <v>0</v>
      </c>
      <c r="N352" t="n">
        <v>0</v>
      </c>
      <c r="O352" t="n">
        <v>0</v>
      </c>
      <c r="P352" t="n">
        <v>0</v>
      </c>
      <c r="Q352" t="n">
        <v>0</v>
      </c>
      <c r="R352" s="2" t="inlineStr"/>
    </row>
    <row r="353" ht="15" customHeight="1">
      <c r="A353" t="inlineStr">
        <is>
          <t>A 43188-2023</t>
        </is>
      </c>
      <c r="B353" s="1" t="n">
        <v>45183</v>
      </c>
      <c r="C353" s="1" t="n">
        <v>45886</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43205-2023</t>
        </is>
      </c>
      <c r="B354" s="1" t="n">
        <v>45183</v>
      </c>
      <c r="C354" s="1" t="n">
        <v>45886</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28827-2022</t>
        </is>
      </c>
      <c r="B355" s="1" t="n">
        <v>44749.45561342593</v>
      </c>
      <c r="C355" s="1" t="n">
        <v>45886</v>
      </c>
      <c r="D355" t="inlineStr">
        <is>
          <t>VÄSTMANLANDS LÄN</t>
        </is>
      </c>
      <c r="E355" t="inlineStr">
        <is>
          <t>SALA</t>
        </is>
      </c>
      <c r="F355" t="inlineStr">
        <is>
          <t>Kommuner</t>
        </is>
      </c>
      <c r="G355" t="n">
        <v>11.9</v>
      </c>
      <c r="H355" t="n">
        <v>0</v>
      </c>
      <c r="I355" t="n">
        <v>0</v>
      </c>
      <c r="J355" t="n">
        <v>0</v>
      </c>
      <c r="K355" t="n">
        <v>0</v>
      </c>
      <c r="L355" t="n">
        <v>0</v>
      </c>
      <c r="M355" t="n">
        <v>0</v>
      </c>
      <c r="N355" t="n">
        <v>0</v>
      </c>
      <c r="O355" t="n">
        <v>0</v>
      </c>
      <c r="P355" t="n">
        <v>0</v>
      </c>
      <c r="Q355" t="n">
        <v>0</v>
      </c>
      <c r="R355" s="2" t="inlineStr"/>
    </row>
    <row r="356" ht="15" customHeight="1">
      <c r="A356" t="inlineStr">
        <is>
          <t>A 15756-2025</t>
        </is>
      </c>
      <c r="B356" s="1" t="n">
        <v>45748.56810185185</v>
      </c>
      <c r="C356" s="1" t="n">
        <v>45886</v>
      </c>
      <c r="D356" t="inlineStr">
        <is>
          <t>VÄSTMANLANDS LÄN</t>
        </is>
      </c>
      <c r="E356" t="inlineStr">
        <is>
          <t>SALA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19243-2025</t>
        </is>
      </c>
      <c r="B357" s="1" t="n">
        <v>45769</v>
      </c>
      <c r="C357" s="1" t="n">
        <v>45886</v>
      </c>
      <c r="D357" t="inlineStr">
        <is>
          <t>VÄSTMANLANDS LÄN</t>
        </is>
      </c>
      <c r="E357" t="inlineStr">
        <is>
          <t>SALA</t>
        </is>
      </c>
      <c r="F357" t="inlineStr">
        <is>
          <t>Bergvik skog öst AB</t>
        </is>
      </c>
      <c r="G357" t="n">
        <v>1.5</v>
      </c>
      <c r="H357" t="n">
        <v>0</v>
      </c>
      <c r="I357" t="n">
        <v>0</v>
      </c>
      <c r="J357" t="n">
        <v>0</v>
      </c>
      <c r="K357" t="n">
        <v>0</v>
      </c>
      <c r="L357" t="n">
        <v>0</v>
      </c>
      <c r="M357" t="n">
        <v>0</v>
      </c>
      <c r="N357" t="n">
        <v>0</v>
      </c>
      <c r="O357" t="n">
        <v>0</v>
      </c>
      <c r="P357" t="n">
        <v>0</v>
      </c>
      <c r="Q357" t="n">
        <v>0</v>
      </c>
      <c r="R357" s="2" t="inlineStr"/>
    </row>
    <row r="358" ht="15" customHeight="1">
      <c r="A358" t="inlineStr">
        <is>
          <t>A 59297-2023</t>
        </is>
      </c>
      <c r="B358" s="1" t="n">
        <v>45253</v>
      </c>
      <c r="C358" s="1" t="n">
        <v>45886</v>
      </c>
      <c r="D358" t="inlineStr">
        <is>
          <t>VÄSTMANLANDS LÄN</t>
        </is>
      </c>
      <c r="E358" t="inlineStr">
        <is>
          <t>SALA</t>
        </is>
      </c>
      <c r="G358" t="n">
        <v>2</v>
      </c>
      <c r="H358" t="n">
        <v>0</v>
      </c>
      <c r="I358" t="n">
        <v>0</v>
      </c>
      <c r="J358" t="n">
        <v>0</v>
      </c>
      <c r="K358" t="n">
        <v>0</v>
      </c>
      <c r="L358" t="n">
        <v>0</v>
      </c>
      <c r="M358" t="n">
        <v>0</v>
      </c>
      <c r="N358" t="n">
        <v>0</v>
      </c>
      <c r="O358" t="n">
        <v>0</v>
      </c>
      <c r="P358" t="n">
        <v>0</v>
      </c>
      <c r="Q358" t="n">
        <v>0</v>
      </c>
      <c r="R358" s="2" t="inlineStr"/>
    </row>
    <row r="359" ht="15" customHeight="1">
      <c r="A359" t="inlineStr">
        <is>
          <t>A 6136-2025</t>
        </is>
      </c>
      <c r="B359" s="1" t="n">
        <v>45698.37601851852</v>
      </c>
      <c r="C359" s="1" t="n">
        <v>45886</v>
      </c>
      <c r="D359" t="inlineStr">
        <is>
          <t>VÄSTMANLANDS LÄN</t>
        </is>
      </c>
      <c r="E359" t="inlineStr">
        <is>
          <t>SALA</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6190-2025</t>
        </is>
      </c>
      <c r="B360" s="1" t="n">
        <v>45698</v>
      </c>
      <c r="C360" s="1" t="n">
        <v>45886</v>
      </c>
      <c r="D360" t="inlineStr">
        <is>
          <t>VÄSTMANLANDS LÄN</t>
        </is>
      </c>
      <c r="E360" t="inlineStr">
        <is>
          <t>SALA</t>
        </is>
      </c>
      <c r="F360" t="inlineStr">
        <is>
          <t>Bergvik skog öst AB</t>
        </is>
      </c>
      <c r="G360" t="n">
        <v>4.6</v>
      </c>
      <c r="H360" t="n">
        <v>0</v>
      </c>
      <c r="I360" t="n">
        <v>0</v>
      </c>
      <c r="J360" t="n">
        <v>0</v>
      </c>
      <c r="K360" t="n">
        <v>0</v>
      </c>
      <c r="L360" t="n">
        <v>0</v>
      </c>
      <c r="M360" t="n">
        <v>0</v>
      </c>
      <c r="N360" t="n">
        <v>0</v>
      </c>
      <c r="O360" t="n">
        <v>0</v>
      </c>
      <c r="P360" t="n">
        <v>0</v>
      </c>
      <c r="Q360" t="n">
        <v>0</v>
      </c>
      <c r="R360" s="2" t="inlineStr"/>
    </row>
    <row r="361" ht="15" customHeight="1">
      <c r="A361" t="inlineStr">
        <is>
          <t>A 15744-2025</t>
        </is>
      </c>
      <c r="B361" s="1" t="n">
        <v>45748</v>
      </c>
      <c r="C361" s="1" t="n">
        <v>45886</v>
      </c>
      <c r="D361" t="inlineStr">
        <is>
          <t>VÄSTMANLANDS LÄN</t>
        </is>
      </c>
      <c r="E361" t="inlineStr">
        <is>
          <t>SALA</t>
        </is>
      </c>
      <c r="G361" t="n">
        <v>1.6</v>
      </c>
      <c r="H361" t="n">
        <v>0</v>
      </c>
      <c r="I361" t="n">
        <v>0</v>
      </c>
      <c r="J361" t="n">
        <v>0</v>
      </c>
      <c r="K361" t="n">
        <v>0</v>
      </c>
      <c r="L361" t="n">
        <v>0</v>
      </c>
      <c r="M361" t="n">
        <v>0</v>
      </c>
      <c r="N361" t="n">
        <v>0</v>
      </c>
      <c r="O361" t="n">
        <v>0</v>
      </c>
      <c r="P361" t="n">
        <v>0</v>
      </c>
      <c r="Q361" t="n">
        <v>0</v>
      </c>
      <c r="R361" s="2" t="inlineStr"/>
    </row>
    <row r="362" ht="15" customHeight="1">
      <c r="A362" t="inlineStr">
        <is>
          <t>A 28863-2022</t>
        </is>
      </c>
      <c r="B362" s="1" t="n">
        <v>44749.50649305555</v>
      </c>
      <c r="C362" s="1" t="n">
        <v>45886</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45313-2024</t>
        </is>
      </c>
      <c r="B363" s="1" t="n">
        <v>45576</v>
      </c>
      <c r="C363" s="1" t="n">
        <v>45886</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56535-2022</t>
        </is>
      </c>
      <c r="B364" s="1" t="n">
        <v>44893.47173611111</v>
      </c>
      <c r="C364" s="1" t="n">
        <v>45886</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47909-2022</t>
        </is>
      </c>
      <c r="B365" s="1" t="n">
        <v>44855</v>
      </c>
      <c r="C365" s="1" t="n">
        <v>45886</v>
      </c>
      <c r="D365" t="inlineStr">
        <is>
          <t>VÄSTMANLANDS LÄN</t>
        </is>
      </c>
      <c r="E365" t="inlineStr">
        <is>
          <t>SALA</t>
        </is>
      </c>
      <c r="F365" t="inlineStr">
        <is>
          <t>Bergvik skog öst AB</t>
        </is>
      </c>
      <c r="G365" t="n">
        <v>2</v>
      </c>
      <c r="H365" t="n">
        <v>0</v>
      </c>
      <c r="I365" t="n">
        <v>0</v>
      </c>
      <c r="J365" t="n">
        <v>0</v>
      </c>
      <c r="K365" t="n">
        <v>0</v>
      </c>
      <c r="L365" t="n">
        <v>0</v>
      </c>
      <c r="M365" t="n">
        <v>0</v>
      </c>
      <c r="N365" t="n">
        <v>0</v>
      </c>
      <c r="O365" t="n">
        <v>0</v>
      </c>
      <c r="P365" t="n">
        <v>0</v>
      </c>
      <c r="Q365" t="n">
        <v>0</v>
      </c>
      <c r="R365" s="2" t="inlineStr"/>
    </row>
    <row r="366" ht="15" customHeight="1">
      <c r="A366" t="inlineStr">
        <is>
          <t>A 35776-2025</t>
        </is>
      </c>
      <c r="B366" s="1" t="n">
        <v>45860.69211805556</v>
      </c>
      <c r="C366" s="1" t="n">
        <v>45886</v>
      </c>
      <c r="D366" t="inlineStr">
        <is>
          <t>VÄSTMANLANDS LÄN</t>
        </is>
      </c>
      <c r="E366" t="inlineStr">
        <is>
          <t>SALA</t>
        </is>
      </c>
      <c r="G366" t="n">
        <v>14.2</v>
      </c>
      <c r="H366" t="n">
        <v>0</v>
      </c>
      <c r="I366" t="n">
        <v>0</v>
      </c>
      <c r="J366" t="n">
        <v>0</v>
      </c>
      <c r="K366" t="n">
        <v>0</v>
      </c>
      <c r="L366" t="n">
        <v>0</v>
      </c>
      <c r="M366" t="n">
        <v>0</v>
      </c>
      <c r="N366" t="n">
        <v>0</v>
      </c>
      <c r="O366" t="n">
        <v>0</v>
      </c>
      <c r="P366" t="n">
        <v>0</v>
      </c>
      <c r="Q366" t="n">
        <v>0</v>
      </c>
      <c r="R366" s="2" t="inlineStr"/>
    </row>
    <row r="367" ht="15" customHeight="1">
      <c r="A367" t="inlineStr">
        <is>
          <t>A 52630-2022</t>
        </is>
      </c>
      <c r="B367" s="1" t="n">
        <v>44874</v>
      </c>
      <c r="C367" s="1" t="n">
        <v>45886</v>
      </c>
      <c r="D367" t="inlineStr">
        <is>
          <t>VÄSTMANLANDS LÄN</t>
        </is>
      </c>
      <c r="E367" t="inlineStr">
        <is>
          <t>SALA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28193-2025</t>
        </is>
      </c>
      <c r="B368" s="1" t="n">
        <v>45818.425625</v>
      </c>
      <c r="C368" s="1" t="n">
        <v>45886</v>
      </c>
      <c r="D368" t="inlineStr">
        <is>
          <t>VÄSTMANLANDS LÄN</t>
        </is>
      </c>
      <c r="E368" t="inlineStr">
        <is>
          <t>SALA</t>
        </is>
      </c>
      <c r="G368" t="n">
        <v>1.8</v>
      </c>
      <c r="H368" t="n">
        <v>0</v>
      </c>
      <c r="I368" t="n">
        <v>0</v>
      </c>
      <c r="J368" t="n">
        <v>0</v>
      </c>
      <c r="K368" t="n">
        <v>0</v>
      </c>
      <c r="L368" t="n">
        <v>0</v>
      </c>
      <c r="M368" t="n">
        <v>0</v>
      </c>
      <c r="N368" t="n">
        <v>0</v>
      </c>
      <c r="O368" t="n">
        <v>0</v>
      </c>
      <c r="P368" t="n">
        <v>0</v>
      </c>
      <c r="Q368" t="n">
        <v>0</v>
      </c>
      <c r="R368" s="2" t="inlineStr"/>
    </row>
    <row r="369" ht="15" customHeight="1">
      <c r="A369" t="inlineStr">
        <is>
          <t>A 35779-2025</t>
        </is>
      </c>
      <c r="B369" s="1" t="n">
        <v>45860.69495370371</v>
      </c>
      <c r="C369" s="1" t="n">
        <v>45886</v>
      </c>
      <c r="D369" t="inlineStr">
        <is>
          <t>VÄSTMANLANDS LÄN</t>
        </is>
      </c>
      <c r="E369" t="inlineStr">
        <is>
          <t>SALA</t>
        </is>
      </c>
      <c r="G369" t="n">
        <v>2.4</v>
      </c>
      <c r="H369" t="n">
        <v>0</v>
      </c>
      <c r="I369" t="n">
        <v>0</v>
      </c>
      <c r="J369" t="n">
        <v>0</v>
      </c>
      <c r="K369" t="n">
        <v>0</v>
      </c>
      <c r="L369" t="n">
        <v>0</v>
      </c>
      <c r="M369" t="n">
        <v>0</v>
      </c>
      <c r="N369" t="n">
        <v>0</v>
      </c>
      <c r="O369" t="n">
        <v>0</v>
      </c>
      <c r="P369" t="n">
        <v>0</v>
      </c>
      <c r="Q369" t="n">
        <v>0</v>
      </c>
      <c r="R369" s="2" t="inlineStr"/>
    </row>
    <row r="370" ht="15" customHeight="1">
      <c r="A370" t="inlineStr">
        <is>
          <t>A 27981-2025</t>
        </is>
      </c>
      <c r="B370" s="1" t="n">
        <v>45817.57471064815</v>
      </c>
      <c r="C370" s="1" t="n">
        <v>45886</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7664-2023</t>
        </is>
      </c>
      <c r="B371" s="1" t="n">
        <v>44972</v>
      </c>
      <c r="C371" s="1" t="n">
        <v>45886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row>
    <row r="372" ht="15" customHeight="1">
      <c r="A372" t="inlineStr">
        <is>
          <t>A 56687-2024</t>
        </is>
      </c>
      <c r="B372" s="1" t="n">
        <v>45627.63271990741</v>
      </c>
      <c r="C372" s="1" t="n">
        <v>45886</v>
      </c>
      <c r="D372" t="inlineStr">
        <is>
          <t>VÄSTMANLANDS LÄN</t>
        </is>
      </c>
      <c r="E372" t="inlineStr">
        <is>
          <t>SALA</t>
        </is>
      </c>
      <c r="G372" t="n">
        <v>1.2</v>
      </c>
      <c r="H372" t="n">
        <v>0</v>
      </c>
      <c r="I372" t="n">
        <v>0</v>
      </c>
      <c r="J372" t="n">
        <v>0</v>
      </c>
      <c r="K372" t="n">
        <v>0</v>
      </c>
      <c r="L372" t="n">
        <v>0</v>
      </c>
      <c r="M372" t="n">
        <v>0</v>
      </c>
      <c r="N372" t="n">
        <v>0</v>
      </c>
      <c r="O372" t="n">
        <v>0</v>
      </c>
      <c r="P372" t="n">
        <v>0</v>
      </c>
      <c r="Q372" t="n">
        <v>0</v>
      </c>
      <c r="R372" s="2" t="inlineStr"/>
    </row>
    <row r="373" ht="15" customHeight="1">
      <c r="A373" t="inlineStr">
        <is>
          <t>A 54768-2024</t>
        </is>
      </c>
      <c r="B373" s="1" t="n">
        <v>45618</v>
      </c>
      <c r="C373" s="1" t="n">
        <v>45886</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28278-2025</t>
        </is>
      </c>
      <c r="B374" s="1" t="n">
        <v>45818.58454861111</v>
      </c>
      <c r="C374" s="1" t="n">
        <v>45886</v>
      </c>
      <c r="D374" t="inlineStr">
        <is>
          <t>VÄSTMANLANDS LÄN</t>
        </is>
      </c>
      <c r="E374" t="inlineStr">
        <is>
          <t>SALA</t>
        </is>
      </c>
      <c r="G374" t="n">
        <v>7.6</v>
      </c>
      <c r="H374" t="n">
        <v>0</v>
      </c>
      <c r="I374" t="n">
        <v>0</v>
      </c>
      <c r="J374" t="n">
        <v>0</v>
      </c>
      <c r="K374" t="n">
        <v>0</v>
      </c>
      <c r="L374" t="n">
        <v>0</v>
      </c>
      <c r="M374" t="n">
        <v>0</v>
      </c>
      <c r="N374" t="n">
        <v>0</v>
      </c>
      <c r="O374" t="n">
        <v>0</v>
      </c>
      <c r="P374" t="n">
        <v>0</v>
      </c>
      <c r="Q374" t="n">
        <v>0</v>
      </c>
      <c r="R374" s="2" t="inlineStr"/>
    </row>
    <row r="375" ht="15" customHeight="1">
      <c r="A375" t="inlineStr">
        <is>
          <t>A 35715-2025</t>
        </is>
      </c>
      <c r="B375" s="1" t="n">
        <v>45860.42148148148</v>
      </c>
      <c r="C375" s="1" t="n">
        <v>45886</v>
      </c>
      <c r="D375" t="inlineStr">
        <is>
          <t>VÄSTMANLANDS LÄN</t>
        </is>
      </c>
      <c r="E375" t="inlineStr">
        <is>
          <t>SALA</t>
        </is>
      </c>
      <c r="G375" t="n">
        <v>3.8</v>
      </c>
      <c r="H375" t="n">
        <v>0</v>
      </c>
      <c r="I375" t="n">
        <v>0</v>
      </c>
      <c r="J375" t="n">
        <v>0</v>
      </c>
      <c r="K375" t="n">
        <v>0</v>
      </c>
      <c r="L375" t="n">
        <v>0</v>
      </c>
      <c r="M375" t="n">
        <v>0</v>
      </c>
      <c r="N375" t="n">
        <v>0</v>
      </c>
      <c r="O375" t="n">
        <v>0</v>
      </c>
      <c r="P375" t="n">
        <v>0</v>
      </c>
      <c r="Q375" t="n">
        <v>0</v>
      </c>
      <c r="R375" s="2" t="inlineStr"/>
    </row>
    <row r="376" ht="15" customHeight="1">
      <c r="A376" t="inlineStr">
        <is>
          <t>A 61715-2024</t>
        </is>
      </c>
      <c r="B376" s="1" t="n">
        <v>45648.89519675926</v>
      </c>
      <c r="C376" s="1" t="n">
        <v>45886</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35651-2025</t>
        </is>
      </c>
      <c r="B377" s="1" t="n">
        <v>45859.52435185185</v>
      </c>
      <c r="C377" s="1" t="n">
        <v>45886</v>
      </c>
      <c r="D377" t="inlineStr">
        <is>
          <t>VÄSTMANLANDS LÄN</t>
        </is>
      </c>
      <c r="E377" t="inlineStr">
        <is>
          <t>SALA</t>
        </is>
      </c>
      <c r="G377" t="n">
        <v>6.3</v>
      </c>
      <c r="H377" t="n">
        <v>0</v>
      </c>
      <c r="I377" t="n">
        <v>0</v>
      </c>
      <c r="J377" t="n">
        <v>0</v>
      </c>
      <c r="K377" t="n">
        <v>0</v>
      </c>
      <c r="L377" t="n">
        <v>0</v>
      </c>
      <c r="M377" t="n">
        <v>0</v>
      </c>
      <c r="N377" t="n">
        <v>0</v>
      </c>
      <c r="O377" t="n">
        <v>0</v>
      </c>
      <c r="P377" t="n">
        <v>0</v>
      </c>
      <c r="Q377" t="n">
        <v>0</v>
      </c>
      <c r="R377" s="2" t="inlineStr"/>
    </row>
    <row r="378" ht="15" customHeight="1">
      <c r="A378" t="inlineStr">
        <is>
          <t>A 27989-2025</t>
        </is>
      </c>
      <c r="B378" s="1" t="n">
        <v>45817.58716435185</v>
      </c>
      <c r="C378" s="1" t="n">
        <v>45886</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25541-2024</t>
        </is>
      </c>
      <c r="B379" s="1" t="n">
        <v>45463.56337962963</v>
      </c>
      <c r="C379" s="1" t="n">
        <v>45886</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28284-2025</t>
        </is>
      </c>
      <c r="B380" s="1" t="n">
        <v>45818.58893518519</v>
      </c>
      <c r="C380" s="1" t="n">
        <v>45886</v>
      </c>
      <c r="D380" t="inlineStr">
        <is>
          <t>VÄSTMANLANDS LÄN</t>
        </is>
      </c>
      <c r="E380" t="inlineStr">
        <is>
          <t>SALA</t>
        </is>
      </c>
      <c r="G380" t="n">
        <v>2.4</v>
      </c>
      <c r="H380" t="n">
        <v>0</v>
      </c>
      <c r="I380" t="n">
        <v>0</v>
      </c>
      <c r="J380" t="n">
        <v>0</v>
      </c>
      <c r="K380" t="n">
        <v>0</v>
      </c>
      <c r="L380" t="n">
        <v>0</v>
      </c>
      <c r="M380" t="n">
        <v>0</v>
      </c>
      <c r="N380" t="n">
        <v>0</v>
      </c>
      <c r="O380" t="n">
        <v>0</v>
      </c>
      <c r="P380" t="n">
        <v>0</v>
      </c>
      <c r="Q380" t="n">
        <v>0</v>
      </c>
      <c r="R380" s="2" t="inlineStr"/>
    </row>
    <row r="381" ht="15" customHeight="1">
      <c r="A381" t="inlineStr">
        <is>
          <t>A 56150-2024</t>
        </is>
      </c>
      <c r="B381" s="1" t="n">
        <v>45624.51481481481</v>
      </c>
      <c r="C381" s="1" t="n">
        <v>45886</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16404-2022</t>
        </is>
      </c>
      <c r="B382" s="1" t="n">
        <v>44671</v>
      </c>
      <c r="C382" s="1" t="n">
        <v>45886</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35774-2025</t>
        </is>
      </c>
      <c r="B383" s="1" t="n">
        <v>45860.68780092592</v>
      </c>
      <c r="C383" s="1" t="n">
        <v>45886</v>
      </c>
      <c r="D383" t="inlineStr">
        <is>
          <t>VÄSTMANLANDS LÄN</t>
        </is>
      </c>
      <c r="E383" t="inlineStr">
        <is>
          <t>SALA</t>
        </is>
      </c>
      <c r="G383" t="n">
        <v>6.5</v>
      </c>
      <c r="H383" t="n">
        <v>0</v>
      </c>
      <c r="I383" t="n">
        <v>0</v>
      </c>
      <c r="J383" t="n">
        <v>0</v>
      </c>
      <c r="K383" t="n">
        <v>0</v>
      </c>
      <c r="L383" t="n">
        <v>0</v>
      </c>
      <c r="M383" t="n">
        <v>0</v>
      </c>
      <c r="N383" t="n">
        <v>0</v>
      </c>
      <c r="O383" t="n">
        <v>0</v>
      </c>
      <c r="P383" t="n">
        <v>0</v>
      </c>
      <c r="Q383" t="n">
        <v>0</v>
      </c>
      <c r="R383" s="2" t="inlineStr"/>
    </row>
    <row r="384" ht="15" customHeight="1">
      <c r="A384" t="inlineStr">
        <is>
          <t>A 6097-2022</t>
        </is>
      </c>
      <c r="B384" s="1" t="n">
        <v>44599</v>
      </c>
      <c r="C384" s="1" t="n">
        <v>45886</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29213-2022</t>
        </is>
      </c>
      <c r="B385" s="1" t="n">
        <v>44750.57474537037</v>
      </c>
      <c r="C385" s="1" t="n">
        <v>45886</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10559-2024</t>
        </is>
      </c>
      <c r="B386" s="1" t="n">
        <v>45366</v>
      </c>
      <c r="C386" s="1" t="n">
        <v>45886</v>
      </c>
      <c r="D386" t="inlineStr">
        <is>
          <t>VÄSTMANLANDS LÄN</t>
        </is>
      </c>
      <c r="E386" t="inlineStr">
        <is>
          <t>SALA</t>
        </is>
      </c>
      <c r="G386" t="n">
        <v>0.3</v>
      </c>
      <c r="H386" t="n">
        <v>0</v>
      </c>
      <c r="I386" t="n">
        <v>0</v>
      </c>
      <c r="J386" t="n">
        <v>0</v>
      </c>
      <c r="K386" t="n">
        <v>0</v>
      </c>
      <c r="L386" t="n">
        <v>0</v>
      </c>
      <c r="M386" t="n">
        <v>0</v>
      </c>
      <c r="N386" t="n">
        <v>0</v>
      </c>
      <c r="O386" t="n">
        <v>0</v>
      </c>
      <c r="P386" t="n">
        <v>0</v>
      </c>
      <c r="Q386" t="n">
        <v>0</v>
      </c>
      <c r="R386" s="2" t="inlineStr"/>
    </row>
    <row r="387" ht="15" customHeight="1">
      <c r="A387" t="inlineStr">
        <is>
          <t>A 28632-2025</t>
        </is>
      </c>
      <c r="B387" s="1" t="n">
        <v>45819.62344907408</v>
      </c>
      <c r="C387" s="1" t="n">
        <v>45886</v>
      </c>
      <c r="D387" t="inlineStr">
        <is>
          <t>VÄSTMANLANDS LÄN</t>
        </is>
      </c>
      <c r="E387" t="inlineStr">
        <is>
          <t>SALA</t>
        </is>
      </c>
      <c r="F387" t="inlineStr">
        <is>
          <t>Sveaskog</t>
        </is>
      </c>
      <c r="G387" t="n">
        <v>2.4</v>
      </c>
      <c r="H387" t="n">
        <v>0</v>
      </c>
      <c r="I387" t="n">
        <v>0</v>
      </c>
      <c r="J387" t="n">
        <v>0</v>
      </c>
      <c r="K387" t="n">
        <v>0</v>
      </c>
      <c r="L387" t="n">
        <v>0</v>
      </c>
      <c r="M387" t="n">
        <v>0</v>
      </c>
      <c r="N387" t="n">
        <v>0</v>
      </c>
      <c r="O387" t="n">
        <v>0</v>
      </c>
      <c r="P387" t="n">
        <v>0</v>
      </c>
      <c r="Q387" t="n">
        <v>0</v>
      </c>
      <c r="R387" s="2" t="inlineStr"/>
    </row>
    <row r="388" ht="15" customHeight="1">
      <c r="A388" t="inlineStr">
        <is>
          <t>A 56964-2023</t>
        </is>
      </c>
      <c r="B388" s="1" t="n">
        <v>45244.63140046296</v>
      </c>
      <c r="C388" s="1" t="n">
        <v>45886</v>
      </c>
      <c r="D388" t="inlineStr">
        <is>
          <t>VÄSTMANLANDS LÄN</t>
        </is>
      </c>
      <c r="E388" t="inlineStr">
        <is>
          <t>SALA</t>
        </is>
      </c>
      <c r="G388" t="n">
        <v>4.6</v>
      </c>
      <c r="H388" t="n">
        <v>0</v>
      </c>
      <c r="I388" t="n">
        <v>0</v>
      </c>
      <c r="J388" t="n">
        <v>0</v>
      </c>
      <c r="K388" t="n">
        <v>0</v>
      </c>
      <c r="L388" t="n">
        <v>0</v>
      </c>
      <c r="M388" t="n">
        <v>0</v>
      </c>
      <c r="N388" t="n">
        <v>0</v>
      </c>
      <c r="O388" t="n">
        <v>0</v>
      </c>
      <c r="P388" t="n">
        <v>0</v>
      </c>
      <c r="Q388" t="n">
        <v>0</v>
      </c>
      <c r="R388" s="2" t="inlineStr"/>
    </row>
    <row r="389" ht="15" customHeight="1">
      <c r="A389" t="inlineStr">
        <is>
          <t>A 60545-2024</t>
        </is>
      </c>
      <c r="B389" s="1" t="n">
        <v>45643</v>
      </c>
      <c r="C389" s="1" t="n">
        <v>45886</v>
      </c>
      <c r="D389" t="inlineStr">
        <is>
          <t>VÄSTMANLANDS LÄN</t>
        </is>
      </c>
      <c r="E389" t="inlineStr">
        <is>
          <t>SALA</t>
        </is>
      </c>
      <c r="G389" t="n">
        <v>3.3</v>
      </c>
      <c r="H389" t="n">
        <v>0</v>
      </c>
      <c r="I389" t="n">
        <v>0</v>
      </c>
      <c r="J389" t="n">
        <v>0</v>
      </c>
      <c r="K389" t="n">
        <v>0</v>
      </c>
      <c r="L389" t="n">
        <v>0</v>
      </c>
      <c r="M389" t="n">
        <v>0</v>
      </c>
      <c r="N389" t="n">
        <v>0</v>
      </c>
      <c r="O389" t="n">
        <v>0</v>
      </c>
      <c r="P389" t="n">
        <v>0</v>
      </c>
      <c r="Q389" t="n">
        <v>0</v>
      </c>
      <c r="R389" s="2" t="inlineStr"/>
    </row>
    <row r="390" ht="15" customHeight="1">
      <c r="A390" t="inlineStr">
        <is>
          <t>A 60547-2024</t>
        </is>
      </c>
      <c r="B390" s="1" t="n">
        <v>45643</v>
      </c>
      <c r="C390" s="1" t="n">
        <v>45886</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28628-2025</t>
        </is>
      </c>
      <c r="B391" s="1" t="n">
        <v>45819.62158564815</v>
      </c>
      <c r="C391" s="1" t="n">
        <v>45886</v>
      </c>
      <c r="D391" t="inlineStr">
        <is>
          <t>VÄSTMANLANDS LÄN</t>
        </is>
      </c>
      <c r="E391" t="inlineStr">
        <is>
          <t>SALA</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28630-2025</t>
        </is>
      </c>
      <c r="B392" s="1" t="n">
        <v>45819.62274305556</v>
      </c>
      <c r="C392" s="1" t="n">
        <v>45886</v>
      </c>
      <c r="D392" t="inlineStr">
        <is>
          <t>VÄSTMANLANDS LÄN</t>
        </is>
      </c>
      <c r="E392" t="inlineStr">
        <is>
          <t>SALA</t>
        </is>
      </c>
      <c r="F392" t="inlineStr">
        <is>
          <t>Sveaskog</t>
        </is>
      </c>
      <c r="G392" t="n">
        <v>9</v>
      </c>
      <c r="H392" t="n">
        <v>0</v>
      </c>
      <c r="I392" t="n">
        <v>0</v>
      </c>
      <c r="J392" t="n">
        <v>0</v>
      </c>
      <c r="K392" t="n">
        <v>0</v>
      </c>
      <c r="L392" t="n">
        <v>0</v>
      </c>
      <c r="M392" t="n">
        <v>0</v>
      </c>
      <c r="N392" t="n">
        <v>0</v>
      </c>
      <c r="O392" t="n">
        <v>0</v>
      </c>
      <c r="P392" t="n">
        <v>0</v>
      </c>
      <c r="Q392" t="n">
        <v>0</v>
      </c>
      <c r="R392" s="2" t="inlineStr"/>
    </row>
    <row r="393" ht="15" customHeight="1">
      <c r="A393" t="inlineStr">
        <is>
          <t>A 28837-2025</t>
        </is>
      </c>
      <c r="B393" s="1" t="n">
        <v>45820.56243055555</v>
      </c>
      <c r="C393" s="1" t="n">
        <v>45886</v>
      </c>
      <c r="D393" t="inlineStr">
        <is>
          <t>VÄSTMANLANDS LÄN</t>
        </is>
      </c>
      <c r="E393" t="inlineStr">
        <is>
          <t>SALA</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28849-2025</t>
        </is>
      </c>
      <c r="B394" s="1" t="n">
        <v>45820</v>
      </c>
      <c r="C394" s="1" t="n">
        <v>45886</v>
      </c>
      <c r="D394" t="inlineStr">
        <is>
          <t>VÄSTMANLANDS LÄN</t>
        </is>
      </c>
      <c r="E394" t="inlineStr">
        <is>
          <t>SALA</t>
        </is>
      </c>
      <c r="G394" t="n">
        <v>1.1</v>
      </c>
      <c r="H394" t="n">
        <v>0</v>
      </c>
      <c r="I394" t="n">
        <v>0</v>
      </c>
      <c r="J394" t="n">
        <v>0</v>
      </c>
      <c r="K394" t="n">
        <v>0</v>
      </c>
      <c r="L394" t="n">
        <v>0</v>
      </c>
      <c r="M394" t="n">
        <v>0</v>
      </c>
      <c r="N394" t="n">
        <v>0</v>
      </c>
      <c r="O394" t="n">
        <v>0</v>
      </c>
      <c r="P394" t="n">
        <v>0</v>
      </c>
      <c r="Q394" t="n">
        <v>0</v>
      </c>
      <c r="R394" s="2" t="inlineStr"/>
    </row>
    <row r="395" ht="15" customHeight="1">
      <c r="A395" t="inlineStr">
        <is>
          <t>A 15965-2024</t>
        </is>
      </c>
      <c r="B395" s="1" t="n">
        <v>45405.55740740741</v>
      </c>
      <c r="C395" s="1" t="n">
        <v>45886</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1196-2023</t>
        </is>
      </c>
      <c r="B396" s="1" t="n">
        <v>44935.82290509259</v>
      </c>
      <c r="C396" s="1" t="n">
        <v>45886</v>
      </c>
      <c r="D396" t="inlineStr">
        <is>
          <t>VÄSTMANLANDS LÄN</t>
        </is>
      </c>
      <c r="E396" t="inlineStr">
        <is>
          <t>SALA</t>
        </is>
      </c>
      <c r="G396" t="n">
        <v>4.1</v>
      </c>
      <c r="H396" t="n">
        <v>0</v>
      </c>
      <c r="I396" t="n">
        <v>0</v>
      </c>
      <c r="J396" t="n">
        <v>0</v>
      </c>
      <c r="K396" t="n">
        <v>0</v>
      </c>
      <c r="L396" t="n">
        <v>0</v>
      </c>
      <c r="M396" t="n">
        <v>0</v>
      </c>
      <c r="N396" t="n">
        <v>0</v>
      </c>
      <c r="O396" t="n">
        <v>0</v>
      </c>
      <c r="P396" t="n">
        <v>0</v>
      </c>
      <c r="Q396" t="n">
        <v>0</v>
      </c>
      <c r="R396" s="2" t="inlineStr"/>
    </row>
    <row r="397" ht="15" customHeight="1">
      <c r="A397" t="inlineStr">
        <is>
          <t>A 35775-2025</t>
        </is>
      </c>
      <c r="B397" s="1" t="n">
        <v>45860</v>
      </c>
      <c r="C397" s="1" t="n">
        <v>45886</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29085-2025</t>
        </is>
      </c>
      <c r="B398" s="1" t="n">
        <v>45821</v>
      </c>
      <c r="C398" s="1" t="n">
        <v>45886</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1555-2024</t>
        </is>
      </c>
      <c r="B399" s="1" t="n">
        <v>45306</v>
      </c>
      <c r="C399" s="1" t="n">
        <v>45886</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13128-2025</t>
        </is>
      </c>
      <c r="B400" s="1" t="n">
        <v>45734.9083912037</v>
      </c>
      <c r="C400" s="1" t="n">
        <v>45886</v>
      </c>
      <c r="D400" t="inlineStr">
        <is>
          <t>VÄSTMANLANDS LÄN</t>
        </is>
      </c>
      <c r="E400" t="inlineStr">
        <is>
          <t>SALA</t>
        </is>
      </c>
      <c r="G400" t="n">
        <v>2.5</v>
      </c>
      <c r="H400" t="n">
        <v>0</v>
      </c>
      <c r="I400" t="n">
        <v>0</v>
      </c>
      <c r="J400" t="n">
        <v>0</v>
      </c>
      <c r="K400" t="n">
        <v>0</v>
      </c>
      <c r="L400" t="n">
        <v>0</v>
      </c>
      <c r="M400" t="n">
        <v>0</v>
      </c>
      <c r="N400" t="n">
        <v>0</v>
      </c>
      <c r="O400" t="n">
        <v>0</v>
      </c>
      <c r="P400" t="n">
        <v>0</v>
      </c>
      <c r="Q400" t="n">
        <v>0</v>
      </c>
      <c r="R400" s="2" t="inlineStr"/>
    </row>
    <row r="401" ht="15" customHeight="1">
      <c r="A401" t="inlineStr">
        <is>
          <t>A 13188-2025</t>
        </is>
      </c>
      <c r="B401" s="1" t="n">
        <v>45735.39246527778</v>
      </c>
      <c r="C401" s="1" t="n">
        <v>45886</v>
      </c>
      <c r="D401" t="inlineStr">
        <is>
          <t>VÄSTMANLANDS LÄN</t>
        </is>
      </c>
      <c r="E401" t="inlineStr">
        <is>
          <t>SALA</t>
        </is>
      </c>
      <c r="F401" t="inlineStr">
        <is>
          <t>Naturvårdsverket</t>
        </is>
      </c>
      <c r="G401" t="n">
        <v>18.4</v>
      </c>
      <c r="H401" t="n">
        <v>0</v>
      </c>
      <c r="I401" t="n">
        <v>0</v>
      </c>
      <c r="J401" t="n">
        <v>0</v>
      </c>
      <c r="K401" t="n">
        <v>0</v>
      </c>
      <c r="L401" t="n">
        <v>0</v>
      </c>
      <c r="M401" t="n">
        <v>0</v>
      </c>
      <c r="N401" t="n">
        <v>0</v>
      </c>
      <c r="O401" t="n">
        <v>0</v>
      </c>
      <c r="P401" t="n">
        <v>0</v>
      </c>
      <c r="Q401" t="n">
        <v>0</v>
      </c>
      <c r="R401" s="2" t="inlineStr"/>
    </row>
    <row r="402" ht="15" customHeight="1">
      <c r="A402" t="inlineStr">
        <is>
          <t>A 36031-2025</t>
        </is>
      </c>
      <c r="B402" s="1" t="n">
        <v>45865.46111111111</v>
      </c>
      <c r="C402" s="1" t="n">
        <v>45886</v>
      </c>
      <c r="D402" t="inlineStr">
        <is>
          <t>VÄSTMANLANDS LÄN</t>
        </is>
      </c>
      <c r="E402" t="inlineStr">
        <is>
          <t>SALA</t>
        </is>
      </c>
      <c r="G402" t="n">
        <v>7.2</v>
      </c>
      <c r="H402" t="n">
        <v>0</v>
      </c>
      <c r="I402" t="n">
        <v>0</v>
      </c>
      <c r="J402" t="n">
        <v>0</v>
      </c>
      <c r="K402" t="n">
        <v>0</v>
      </c>
      <c r="L402" t="n">
        <v>0</v>
      </c>
      <c r="M402" t="n">
        <v>0</v>
      </c>
      <c r="N402" t="n">
        <v>0</v>
      </c>
      <c r="O402" t="n">
        <v>0</v>
      </c>
      <c r="P402" t="n">
        <v>0</v>
      </c>
      <c r="Q402" t="n">
        <v>0</v>
      </c>
      <c r="R402" s="2" t="inlineStr"/>
    </row>
    <row r="403" ht="15" customHeight="1">
      <c r="A403" t="inlineStr">
        <is>
          <t>A 36043-2025</t>
        </is>
      </c>
      <c r="B403" s="1" t="n">
        <v>45866.35333333333</v>
      </c>
      <c r="C403" s="1" t="n">
        <v>45886</v>
      </c>
      <c r="D403" t="inlineStr">
        <is>
          <t>VÄSTMANLANDS LÄN</t>
        </is>
      </c>
      <c r="E403" t="inlineStr">
        <is>
          <t>SALA</t>
        </is>
      </c>
      <c r="F403" t="inlineStr">
        <is>
          <t>Kommuner</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36045-2025</t>
        </is>
      </c>
      <c r="B404" s="1" t="n">
        <v>45866.36200231482</v>
      </c>
      <c r="C404" s="1" t="n">
        <v>45886</v>
      </c>
      <c r="D404" t="inlineStr">
        <is>
          <t>VÄSTMANLANDS LÄN</t>
        </is>
      </c>
      <c r="E404" t="inlineStr">
        <is>
          <t>SALA</t>
        </is>
      </c>
      <c r="F404" t="inlineStr">
        <is>
          <t>Kommuner</t>
        </is>
      </c>
      <c r="G404" t="n">
        <v>1.7</v>
      </c>
      <c r="H404" t="n">
        <v>0</v>
      </c>
      <c r="I404" t="n">
        <v>0</v>
      </c>
      <c r="J404" t="n">
        <v>0</v>
      </c>
      <c r="K404" t="n">
        <v>0</v>
      </c>
      <c r="L404" t="n">
        <v>0</v>
      </c>
      <c r="M404" t="n">
        <v>0</v>
      </c>
      <c r="N404" t="n">
        <v>0</v>
      </c>
      <c r="O404" t="n">
        <v>0</v>
      </c>
      <c r="P404" t="n">
        <v>0</v>
      </c>
      <c r="Q404" t="n">
        <v>0</v>
      </c>
      <c r="R404" s="2" t="inlineStr"/>
    </row>
    <row r="405" ht="15" customHeight="1">
      <c r="A405" t="inlineStr">
        <is>
          <t>A 36032-2025</t>
        </is>
      </c>
      <c r="B405" s="1" t="n">
        <v>45865.48740740741</v>
      </c>
      <c r="C405" s="1" t="n">
        <v>45886</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36049-2025</t>
        </is>
      </c>
      <c r="B406" s="1" t="n">
        <v>45866.37065972222</v>
      </c>
      <c r="C406" s="1" t="n">
        <v>45886</v>
      </c>
      <c r="D406" t="inlineStr">
        <is>
          <t>VÄSTMANLANDS LÄN</t>
        </is>
      </c>
      <c r="E406" t="inlineStr">
        <is>
          <t>SALA</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60541-2024</t>
        </is>
      </c>
      <c r="B407" s="1" t="n">
        <v>45643</v>
      </c>
      <c r="C407" s="1" t="n">
        <v>45886</v>
      </c>
      <c r="D407" t="inlineStr">
        <is>
          <t>VÄSTMANLANDS LÄN</t>
        </is>
      </c>
      <c r="E407" t="inlineStr">
        <is>
          <t>SALA</t>
        </is>
      </c>
      <c r="G407" t="n">
        <v>10.6</v>
      </c>
      <c r="H407" t="n">
        <v>0</v>
      </c>
      <c r="I407" t="n">
        <v>0</v>
      </c>
      <c r="J407" t="n">
        <v>0</v>
      </c>
      <c r="K407" t="n">
        <v>0</v>
      </c>
      <c r="L407" t="n">
        <v>0</v>
      </c>
      <c r="M407" t="n">
        <v>0</v>
      </c>
      <c r="N407" t="n">
        <v>0</v>
      </c>
      <c r="O407" t="n">
        <v>0</v>
      </c>
      <c r="P407" t="n">
        <v>0</v>
      </c>
      <c r="Q407" t="n">
        <v>0</v>
      </c>
      <c r="R407" s="2" t="inlineStr"/>
    </row>
    <row r="408" ht="15" customHeight="1">
      <c r="A408" t="inlineStr">
        <is>
          <t>A 36060-2025</t>
        </is>
      </c>
      <c r="B408" s="1" t="n">
        <v>45866.39469907407</v>
      </c>
      <c r="C408" s="1" t="n">
        <v>45886</v>
      </c>
      <c r="D408" t="inlineStr">
        <is>
          <t>VÄSTMANLANDS LÄN</t>
        </is>
      </c>
      <c r="E408" t="inlineStr">
        <is>
          <t>SALA</t>
        </is>
      </c>
      <c r="F408" t="inlineStr">
        <is>
          <t>Kommuner</t>
        </is>
      </c>
      <c r="G408" t="n">
        <v>4.3</v>
      </c>
      <c r="H408" t="n">
        <v>0</v>
      </c>
      <c r="I408" t="n">
        <v>0</v>
      </c>
      <c r="J408" t="n">
        <v>0</v>
      </c>
      <c r="K408" t="n">
        <v>0</v>
      </c>
      <c r="L408" t="n">
        <v>0</v>
      </c>
      <c r="M408" t="n">
        <v>0</v>
      </c>
      <c r="N408" t="n">
        <v>0</v>
      </c>
      <c r="O408" t="n">
        <v>0</v>
      </c>
      <c r="P408" t="n">
        <v>0</v>
      </c>
      <c r="Q408" t="n">
        <v>0</v>
      </c>
      <c r="R408" s="2" t="inlineStr"/>
    </row>
    <row r="409" ht="15" customHeight="1">
      <c r="A409" t="inlineStr">
        <is>
          <t>A 29826-2025</t>
        </is>
      </c>
      <c r="B409" s="1" t="n">
        <v>45825.85761574074</v>
      </c>
      <c r="C409" s="1" t="n">
        <v>45886</v>
      </c>
      <c r="D409" t="inlineStr">
        <is>
          <t>VÄSTMANLANDS LÄN</t>
        </is>
      </c>
      <c r="E409" t="inlineStr">
        <is>
          <t>SALA</t>
        </is>
      </c>
      <c r="G409" t="n">
        <v>1.9</v>
      </c>
      <c r="H409" t="n">
        <v>0</v>
      </c>
      <c r="I409" t="n">
        <v>0</v>
      </c>
      <c r="J409" t="n">
        <v>0</v>
      </c>
      <c r="K409" t="n">
        <v>0</v>
      </c>
      <c r="L409" t="n">
        <v>0</v>
      </c>
      <c r="M409" t="n">
        <v>0</v>
      </c>
      <c r="N409" t="n">
        <v>0</v>
      </c>
      <c r="O409" t="n">
        <v>0</v>
      </c>
      <c r="P409" t="n">
        <v>0</v>
      </c>
      <c r="Q409" t="n">
        <v>0</v>
      </c>
      <c r="R409" s="2" t="inlineStr"/>
    </row>
    <row r="410" ht="15" customHeight="1">
      <c r="A410" t="inlineStr">
        <is>
          <t>A 7197-2025</t>
        </is>
      </c>
      <c r="B410" s="1" t="n">
        <v>45702</v>
      </c>
      <c r="C410" s="1" t="n">
        <v>45886</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62651-2022</t>
        </is>
      </c>
      <c r="B411" s="1" t="n">
        <v>44917</v>
      </c>
      <c r="C411" s="1" t="n">
        <v>45886</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54836-2024</t>
        </is>
      </c>
      <c r="B412" s="1" t="n">
        <v>45618</v>
      </c>
      <c r="C412" s="1" t="n">
        <v>45886</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13987-2023</t>
        </is>
      </c>
      <c r="B413" s="1" t="n">
        <v>45007</v>
      </c>
      <c r="C413" s="1" t="n">
        <v>45886</v>
      </c>
      <c r="D413" t="inlineStr">
        <is>
          <t>VÄSTMANLANDS LÄN</t>
        </is>
      </c>
      <c r="E413" t="inlineStr">
        <is>
          <t>SALA</t>
        </is>
      </c>
      <c r="G413" t="n">
        <v>3.2</v>
      </c>
      <c r="H413" t="n">
        <v>0</v>
      </c>
      <c r="I413" t="n">
        <v>0</v>
      </c>
      <c r="J413" t="n">
        <v>0</v>
      </c>
      <c r="K413" t="n">
        <v>0</v>
      </c>
      <c r="L413" t="n">
        <v>0</v>
      </c>
      <c r="M413" t="n">
        <v>0</v>
      </c>
      <c r="N413" t="n">
        <v>0</v>
      </c>
      <c r="O413" t="n">
        <v>0</v>
      </c>
      <c r="P413" t="n">
        <v>0</v>
      </c>
      <c r="Q413" t="n">
        <v>0</v>
      </c>
      <c r="R413" s="2" t="inlineStr"/>
    </row>
    <row r="414" ht="15" customHeight="1">
      <c r="A414" t="inlineStr">
        <is>
          <t>A 13990-2023</t>
        </is>
      </c>
      <c r="B414" s="1" t="n">
        <v>45007</v>
      </c>
      <c r="C414" s="1" t="n">
        <v>45886</v>
      </c>
      <c r="D414" t="inlineStr">
        <is>
          <t>VÄSTMANLANDS LÄN</t>
        </is>
      </c>
      <c r="E414" t="inlineStr">
        <is>
          <t>SALA</t>
        </is>
      </c>
      <c r="G414" t="n">
        <v>2.6</v>
      </c>
      <c r="H414" t="n">
        <v>0</v>
      </c>
      <c r="I414" t="n">
        <v>0</v>
      </c>
      <c r="J414" t="n">
        <v>0</v>
      </c>
      <c r="K414" t="n">
        <v>0</v>
      </c>
      <c r="L414" t="n">
        <v>0</v>
      </c>
      <c r="M414" t="n">
        <v>0</v>
      </c>
      <c r="N414" t="n">
        <v>0</v>
      </c>
      <c r="O414" t="n">
        <v>0</v>
      </c>
      <c r="P414" t="n">
        <v>0</v>
      </c>
      <c r="Q414" t="n">
        <v>0</v>
      </c>
      <c r="R414" s="2" t="inlineStr"/>
    </row>
    <row r="415" ht="15" customHeight="1">
      <c r="A415" t="inlineStr">
        <is>
          <t>A 29691-2025</t>
        </is>
      </c>
      <c r="B415" s="1" t="n">
        <v>45825.53645833334</v>
      </c>
      <c r="C415" s="1" t="n">
        <v>45886</v>
      </c>
      <c r="D415" t="inlineStr">
        <is>
          <t>VÄSTMANLANDS LÄN</t>
        </is>
      </c>
      <c r="E415" t="inlineStr">
        <is>
          <t>SALA</t>
        </is>
      </c>
      <c r="G415" t="n">
        <v>0.7</v>
      </c>
      <c r="H415" t="n">
        <v>0</v>
      </c>
      <c r="I415" t="n">
        <v>0</v>
      </c>
      <c r="J415" t="n">
        <v>0</v>
      </c>
      <c r="K415" t="n">
        <v>0</v>
      </c>
      <c r="L415" t="n">
        <v>0</v>
      </c>
      <c r="M415" t="n">
        <v>0</v>
      </c>
      <c r="N415" t="n">
        <v>0</v>
      </c>
      <c r="O415" t="n">
        <v>0</v>
      </c>
      <c r="P415" t="n">
        <v>0</v>
      </c>
      <c r="Q415" t="n">
        <v>0</v>
      </c>
      <c r="R415" s="2" t="inlineStr"/>
    </row>
    <row r="416" ht="15" customHeight="1">
      <c r="A416" t="inlineStr">
        <is>
          <t>A 29972-2025</t>
        </is>
      </c>
      <c r="B416" s="1" t="n">
        <v>45826</v>
      </c>
      <c r="C416" s="1" t="n">
        <v>45886</v>
      </c>
      <c r="D416" t="inlineStr">
        <is>
          <t>VÄSTMANLANDS LÄN</t>
        </is>
      </c>
      <c r="E416" t="inlineStr">
        <is>
          <t>SALA</t>
        </is>
      </c>
      <c r="G416" t="n">
        <v>2.7</v>
      </c>
      <c r="H416" t="n">
        <v>0</v>
      </c>
      <c r="I416" t="n">
        <v>0</v>
      </c>
      <c r="J416" t="n">
        <v>0</v>
      </c>
      <c r="K416" t="n">
        <v>0</v>
      </c>
      <c r="L416" t="n">
        <v>0</v>
      </c>
      <c r="M416" t="n">
        <v>0</v>
      </c>
      <c r="N416" t="n">
        <v>0</v>
      </c>
      <c r="O416" t="n">
        <v>0</v>
      </c>
      <c r="P416" t="n">
        <v>0</v>
      </c>
      <c r="Q416" t="n">
        <v>0</v>
      </c>
      <c r="R416" s="2" t="inlineStr"/>
    </row>
    <row r="417" ht="15" customHeight="1">
      <c r="A417" t="inlineStr">
        <is>
          <t>A 15099-2025</t>
        </is>
      </c>
      <c r="B417" s="1" t="n">
        <v>45744.3434837963</v>
      </c>
      <c r="C417" s="1" t="n">
        <v>45886</v>
      </c>
      <c r="D417" t="inlineStr">
        <is>
          <t>VÄSTMANLANDS LÄN</t>
        </is>
      </c>
      <c r="E417" t="inlineStr">
        <is>
          <t>SALA</t>
        </is>
      </c>
      <c r="F417" t="inlineStr">
        <is>
          <t>Sveaskog</t>
        </is>
      </c>
      <c r="G417" t="n">
        <v>14.4</v>
      </c>
      <c r="H417" t="n">
        <v>0</v>
      </c>
      <c r="I417" t="n">
        <v>0</v>
      </c>
      <c r="J417" t="n">
        <v>0</v>
      </c>
      <c r="K417" t="n">
        <v>0</v>
      </c>
      <c r="L417" t="n">
        <v>0</v>
      </c>
      <c r="M417" t="n">
        <v>0</v>
      </c>
      <c r="N417" t="n">
        <v>0</v>
      </c>
      <c r="O417" t="n">
        <v>0</v>
      </c>
      <c r="P417" t="n">
        <v>0</v>
      </c>
      <c r="Q417" t="n">
        <v>0</v>
      </c>
      <c r="R417" s="2" t="inlineStr"/>
    </row>
    <row r="418" ht="15" customHeight="1">
      <c r="A418" t="inlineStr">
        <is>
          <t>A 51464-2024</t>
        </is>
      </c>
      <c r="B418" s="1" t="n">
        <v>45604.49768518518</v>
      </c>
      <c r="C418" s="1" t="n">
        <v>45886</v>
      </c>
      <c r="D418" t="inlineStr">
        <is>
          <t>VÄSTMANLANDS LÄN</t>
        </is>
      </c>
      <c r="E418" t="inlineStr">
        <is>
          <t>SALA</t>
        </is>
      </c>
      <c r="G418" t="n">
        <v>3.9</v>
      </c>
      <c r="H418" t="n">
        <v>0</v>
      </c>
      <c r="I418" t="n">
        <v>0</v>
      </c>
      <c r="J418" t="n">
        <v>0</v>
      </c>
      <c r="K418" t="n">
        <v>0</v>
      </c>
      <c r="L418" t="n">
        <v>0</v>
      </c>
      <c r="M418" t="n">
        <v>0</v>
      </c>
      <c r="N418" t="n">
        <v>0</v>
      </c>
      <c r="O418" t="n">
        <v>0</v>
      </c>
      <c r="P418" t="n">
        <v>0</v>
      </c>
      <c r="Q418" t="n">
        <v>0</v>
      </c>
      <c r="R418" s="2" t="inlineStr"/>
    </row>
    <row r="419" ht="15" customHeight="1">
      <c r="A419" t="inlineStr">
        <is>
          <t>A 1128-2025</t>
        </is>
      </c>
      <c r="B419" s="1" t="n">
        <v>45666.68469907407</v>
      </c>
      <c r="C419" s="1" t="n">
        <v>45886</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39364-2024</t>
        </is>
      </c>
      <c r="B420" s="1" t="n">
        <v>45551.46748842593</v>
      </c>
      <c r="C420" s="1" t="n">
        <v>45886</v>
      </c>
      <c r="D420" t="inlineStr">
        <is>
          <t>VÄSTMANLANDS LÄN</t>
        </is>
      </c>
      <c r="E420" t="inlineStr">
        <is>
          <t>SALA</t>
        </is>
      </c>
      <c r="G420" t="n">
        <v>2.8</v>
      </c>
      <c r="H420" t="n">
        <v>0</v>
      </c>
      <c r="I420" t="n">
        <v>0</v>
      </c>
      <c r="J420" t="n">
        <v>0</v>
      </c>
      <c r="K420" t="n">
        <v>0</v>
      </c>
      <c r="L420" t="n">
        <v>0</v>
      </c>
      <c r="M420" t="n">
        <v>0</v>
      </c>
      <c r="N420" t="n">
        <v>0</v>
      </c>
      <c r="O420" t="n">
        <v>0</v>
      </c>
      <c r="P420" t="n">
        <v>0</v>
      </c>
      <c r="Q420" t="n">
        <v>0</v>
      </c>
      <c r="R420" s="2" t="inlineStr"/>
    </row>
    <row r="421" ht="15" customHeight="1">
      <c r="A421" t="inlineStr">
        <is>
          <t>A 43176-2023</t>
        </is>
      </c>
      <c r="B421" s="1" t="n">
        <v>45183</v>
      </c>
      <c r="C421" s="1" t="n">
        <v>45886</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2928-2024</t>
        </is>
      </c>
      <c r="B422" s="1" t="n">
        <v>45315.59041666667</v>
      </c>
      <c r="C422" s="1" t="n">
        <v>45886</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44552.92112268518</v>
      </c>
      <c r="C423" s="1" t="n">
        <v>45886</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60379-2022</t>
        </is>
      </c>
      <c r="B424" s="1" t="n">
        <v>44910</v>
      </c>
      <c r="C424" s="1" t="n">
        <v>45886</v>
      </c>
      <c r="D424" t="inlineStr">
        <is>
          <t>VÄSTMANLANDS LÄN</t>
        </is>
      </c>
      <c r="E424" t="inlineStr">
        <is>
          <t>SALA</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1638-2023</t>
        </is>
      </c>
      <c r="B425" s="1" t="n">
        <v>44937</v>
      </c>
      <c r="C425" s="1" t="n">
        <v>45886</v>
      </c>
      <c r="D425" t="inlineStr">
        <is>
          <t>VÄSTMANLANDS LÄN</t>
        </is>
      </c>
      <c r="E425" t="inlineStr">
        <is>
          <t>SALA</t>
        </is>
      </c>
      <c r="G425" t="n">
        <v>3.1</v>
      </c>
      <c r="H425" t="n">
        <v>0</v>
      </c>
      <c r="I425" t="n">
        <v>0</v>
      </c>
      <c r="J425" t="n">
        <v>0</v>
      </c>
      <c r="K425" t="n">
        <v>0</v>
      </c>
      <c r="L425" t="n">
        <v>0</v>
      </c>
      <c r="M425" t="n">
        <v>0</v>
      </c>
      <c r="N425" t="n">
        <v>0</v>
      </c>
      <c r="O425" t="n">
        <v>0</v>
      </c>
      <c r="P425" t="n">
        <v>0</v>
      </c>
      <c r="Q425" t="n">
        <v>0</v>
      </c>
      <c r="R425" s="2" t="inlineStr"/>
    </row>
    <row r="426" ht="15" customHeight="1">
      <c r="A426" t="inlineStr">
        <is>
          <t>A 9962-2025</t>
        </is>
      </c>
      <c r="B426" s="1" t="n">
        <v>45719.37072916667</v>
      </c>
      <c r="C426" s="1" t="n">
        <v>45886</v>
      </c>
      <c r="D426" t="inlineStr">
        <is>
          <t>VÄSTMANLANDS LÄN</t>
        </is>
      </c>
      <c r="E426" t="inlineStr">
        <is>
          <t>SALA</t>
        </is>
      </c>
      <c r="G426" t="n">
        <v>4.5</v>
      </c>
      <c r="H426" t="n">
        <v>0</v>
      </c>
      <c r="I426" t="n">
        <v>0</v>
      </c>
      <c r="J426" t="n">
        <v>0</v>
      </c>
      <c r="K426" t="n">
        <v>0</v>
      </c>
      <c r="L426" t="n">
        <v>0</v>
      </c>
      <c r="M426" t="n">
        <v>0</v>
      </c>
      <c r="N426" t="n">
        <v>0</v>
      </c>
      <c r="O426" t="n">
        <v>0</v>
      </c>
      <c r="P426" t="n">
        <v>0</v>
      </c>
      <c r="Q426" t="n">
        <v>0</v>
      </c>
      <c r="R426" s="2" t="inlineStr"/>
    </row>
    <row r="427" ht="15" customHeight="1">
      <c r="A427" t="inlineStr">
        <is>
          <t>A 7953-2024</t>
        </is>
      </c>
      <c r="B427" s="1" t="n">
        <v>45350</v>
      </c>
      <c r="C427" s="1" t="n">
        <v>45886</v>
      </c>
      <c r="D427" t="inlineStr">
        <is>
          <t>VÄSTMANLANDS LÄN</t>
        </is>
      </c>
      <c r="E427" t="inlineStr">
        <is>
          <t>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5477-2024</t>
        </is>
      </c>
      <c r="B428" s="1" t="n">
        <v>45333.67833333334</v>
      </c>
      <c r="C428" s="1" t="n">
        <v>45886</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14024-2025</t>
        </is>
      </c>
      <c r="B429" s="1" t="n">
        <v>45740.34650462963</v>
      </c>
      <c r="C429" s="1" t="n">
        <v>45886</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3551-2024</t>
        </is>
      </c>
      <c r="B430" s="1" t="n">
        <v>45320.61099537037</v>
      </c>
      <c r="C430" s="1" t="n">
        <v>45886</v>
      </c>
      <c r="D430" t="inlineStr">
        <is>
          <t>VÄSTMANLANDS LÄN</t>
        </is>
      </c>
      <c r="E430" t="inlineStr">
        <is>
          <t>SALA</t>
        </is>
      </c>
      <c r="F430" t="inlineStr">
        <is>
          <t>Kommuner</t>
        </is>
      </c>
      <c r="G430" t="n">
        <v>6</v>
      </c>
      <c r="H430" t="n">
        <v>0</v>
      </c>
      <c r="I430" t="n">
        <v>0</v>
      </c>
      <c r="J430" t="n">
        <v>0</v>
      </c>
      <c r="K430" t="n">
        <v>0</v>
      </c>
      <c r="L430" t="n">
        <v>0</v>
      </c>
      <c r="M430" t="n">
        <v>0</v>
      </c>
      <c r="N430" t="n">
        <v>0</v>
      </c>
      <c r="O430" t="n">
        <v>0</v>
      </c>
      <c r="P430" t="n">
        <v>0</v>
      </c>
      <c r="Q430" t="n">
        <v>0</v>
      </c>
      <c r="R430" s="2" t="inlineStr"/>
    </row>
    <row r="431" ht="15" customHeight="1">
      <c r="A431" t="inlineStr">
        <is>
          <t>A 62635-2022</t>
        </is>
      </c>
      <c r="B431" s="1" t="n">
        <v>44917</v>
      </c>
      <c r="C431" s="1" t="n">
        <v>45886</v>
      </c>
      <c r="D431" t="inlineStr">
        <is>
          <t>VÄSTMANLANDS LÄN</t>
        </is>
      </c>
      <c r="E431" t="inlineStr">
        <is>
          <t>SALA</t>
        </is>
      </c>
      <c r="G431" t="n">
        <v>0.4</v>
      </c>
      <c r="H431" t="n">
        <v>0</v>
      </c>
      <c r="I431" t="n">
        <v>0</v>
      </c>
      <c r="J431" t="n">
        <v>0</v>
      </c>
      <c r="K431" t="n">
        <v>0</v>
      </c>
      <c r="L431" t="n">
        <v>0</v>
      </c>
      <c r="M431" t="n">
        <v>0</v>
      </c>
      <c r="N431" t="n">
        <v>0</v>
      </c>
      <c r="O431" t="n">
        <v>0</v>
      </c>
      <c r="P431" t="n">
        <v>0</v>
      </c>
      <c r="Q431" t="n">
        <v>0</v>
      </c>
      <c r="R431" s="2" t="inlineStr"/>
    </row>
    <row r="432" ht="15" customHeight="1">
      <c r="A432" t="inlineStr">
        <is>
          <t>A 26507-2023</t>
        </is>
      </c>
      <c r="B432" s="1" t="n">
        <v>45092</v>
      </c>
      <c r="C432" s="1" t="n">
        <v>45886</v>
      </c>
      <c r="D432" t="inlineStr">
        <is>
          <t>VÄSTMANLANDS LÄN</t>
        </is>
      </c>
      <c r="E432" t="inlineStr">
        <is>
          <t>SALA</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6032-2025</t>
        </is>
      </c>
      <c r="B433" s="1" t="n">
        <v>45695.6371875</v>
      </c>
      <c r="C433" s="1" t="n">
        <v>45886</v>
      </c>
      <c r="D433" t="inlineStr">
        <is>
          <t>VÄSTMANLANDS LÄN</t>
        </is>
      </c>
      <c r="E433" t="inlineStr">
        <is>
          <t>SALA</t>
        </is>
      </c>
      <c r="F433" t="inlineStr">
        <is>
          <t>Bergvik skog öst AB</t>
        </is>
      </c>
      <c r="G433" t="n">
        <v>8.1</v>
      </c>
      <c r="H433" t="n">
        <v>0</v>
      </c>
      <c r="I433" t="n">
        <v>0</v>
      </c>
      <c r="J433" t="n">
        <v>0</v>
      </c>
      <c r="K433" t="n">
        <v>0</v>
      </c>
      <c r="L433" t="n">
        <v>0</v>
      </c>
      <c r="M433" t="n">
        <v>0</v>
      </c>
      <c r="N433" t="n">
        <v>0</v>
      </c>
      <c r="O433" t="n">
        <v>0</v>
      </c>
      <c r="P433" t="n">
        <v>0</v>
      </c>
      <c r="Q433" t="n">
        <v>0</v>
      </c>
      <c r="R433" s="2" t="inlineStr"/>
    </row>
    <row r="434" ht="15" customHeight="1">
      <c r="A434" t="inlineStr">
        <is>
          <t>A 30874-2025</t>
        </is>
      </c>
      <c r="B434" s="1" t="n">
        <v>45832.34430555555</v>
      </c>
      <c r="C434" s="1" t="n">
        <v>45886</v>
      </c>
      <c r="D434" t="inlineStr">
        <is>
          <t>VÄSTMANLANDS LÄN</t>
        </is>
      </c>
      <c r="E434" t="inlineStr">
        <is>
          <t>SALA</t>
        </is>
      </c>
      <c r="G434" t="n">
        <v>8.4</v>
      </c>
      <c r="H434" t="n">
        <v>0</v>
      </c>
      <c r="I434" t="n">
        <v>0</v>
      </c>
      <c r="J434" t="n">
        <v>0</v>
      </c>
      <c r="K434" t="n">
        <v>0</v>
      </c>
      <c r="L434" t="n">
        <v>0</v>
      </c>
      <c r="M434" t="n">
        <v>0</v>
      </c>
      <c r="N434" t="n">
        <v>0</v>
      </c>
      <c r="O434" t="n">
        <v>0</v>
      </c>
      <c r="P434" t="n">
        <v>0</v>
      </c>
      <c r="Q434" t="n">
        <v>0</v>
      </c>
      <c r="R434" s="2" t="inlineStr"/>
    </row>
    <row r="435" ht="15" customHeight="1">
      <c r="A435" t="inlineStr">
        <is>
          <t>A 19304-2025</t>
        </is>
      </c>
      <c r="B435" s="1" t="n">
        <v>45769</v>
      </c>
      <c r="C435" s="1" t="n">
        <v>45886</v>
      </c>
      <c r="D435" t="inlineStr">
        <is>
          <t>VÄSTMANLANDS LÄN</t>
        </is>
      </c>
      <c r="E435" t="inlineStr">
        <is>
          <t>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37017-2025</t>
        </is>
      </c>
      <c r="B436" s="1" t="n">
        <v>45874</v>
      </c>
      <c r="C436" s="1" t="n">
        <v>45886</v>
      </c>
      <c r="D436" t="inlineStr">
        <is>
          <t>VÄSTMANLANDS LÄN</t>
        </is>
      </c>
      <c r="E436" t="inlineStr">
        <is>
          <t>SALA</t>
        </is>
      </c>
      <c r="G436" t="n">
        <v>11.1</v>
      </c>
      <c r="H436" t="n">
        <v>0</v>
      </c>
      <c r="I436" t="n">
        <v>0</v>
      </c>
      <c r="J436" t="n">
        <v>0</v>
      </c>
      <c r="K436" t="n">
        <v>0</v>
      </c>
      <c r="L436" t="n">
        <v>0</v>
      </c>
      <c r="M436" t="n">
        <v>0</v>
      </c>
      <c r="N436" t="n">
        <v>0</v>
      </c>
      <c r="O436" t="n">
        <v>0</v>
      </c>
      <c r="P436" t="n">
        <v>0</v>
      </c>
      <c r="Q436" t="n">
        <v>0</v>
      </c>
      <c r="R436" s="2" t="inlineStr"/>
    </row>
    <row r="437" ht="15" customHeight="1">
      <c r="A437" t="inlineStr">
        <is>
          <t>A 30899-2025</t>
        </is>
      </c>
      <c r="B437" s="1" t="n">
        <v>45832.35767361111</v>
      </c>
      <c r="C437" s="1" t="n">
        <v>45886</v>
      </c>
      <c r="D437" t="inlineStr">
        <is>
          <t>VÄSTMANLANDS LÄN</t>
        </is>
      </c>
      <c r="E437" t="inlineStr">
        <is>
          <t>SALA</t>
        </is>
      </c>
      <c r="G437" t="n">
        <v>3.1</v>
      </c>
      <c r="H437" t="n">
        <v>0</v>
      </c>
      <c r="I437" t="n">
        <v>0</v>
      </c>
      <c r="J437" t="n">
        <v>0</v>
      </c>
      <c r="K437" t="n">
        <v>0</v>
      </c>
      <c r="L437" t="n">
        <v>0</v>
      </c>
      <c r="M437" t="n">
        <v>0</v>
      </c>
      <c r="N437" t="n">
        <v>0</v>
      </c>
      <c r="O437" t="n">
        <v>0</v>
      </c>
      <c r="P437" t="n">
        <v>0</v>
      </c>
      <c r="Q437" t="n">
        <v>0</v>
      </c>
      <c r="R437" s="2" t="inlineStr"/>
    </row>
    <row r="438" ht="15" customHeight="1">
      <c r="A438" t="inlineStr">
        <is>
          <t>A 56057-2023</t>
        </is>
      </c>
      <c r="B438" s="1" t="n">
        <v>45233</v>
      </c>
      <c r="C438" s="1" t="n">
        <v>45886</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30866-2025</t>
        </is>
      </c>
      <c r="B439" s="1" t="n">
        <v>45832.3246875</v>
      </c>
      <c r="C439" s="1" t="n">
        <v>45886</v>
      </c>
      <c r="D439" t="inlineStr">
        <is>
          <t>VÄSTMANLANDS LÄN</t>
        </is>
      </c>
      <c r="E439" t="inlineStr">
        <is>
          <t>SALA</t>
        </is>
      </c>
      <c r="G439" t="n">
        <v>14.3</v>
      </c>
      <c r="H439" t="n">
        <v>0</v>
      </c>
      <c r="I439" t="n">
        <v>0</v>
      </c>
      <c r="J439" t="n">
        <v>0</v>
      </c>
      <c r="K439" t="n">
        <v>0</v>
      </c>
      <c r="L439" t="n">
        <v>0</v>
      </c>
      <c r="M439" t="n">
        <v>0</v>
      </c>
      <c r="N439" t="n">
        <v>0</v>
      </c>
      <c r="O439" t="n">
        <v>0</v>
      </c>
      <c r="P439" t="n">
        <v>0</v>
      </c>
      <c r="Q439" t="n">
        <v>0</v>
      </c>
      <c r="R439" s="2" t="inlineStr"/>
    </row>
    <row r="440" ht="15" customHeight="1">
      <c r="A440" t="inlineStr">
        <is>
          <t>A 34814-2021</t>
        </is>
      </c>
      <c r="B440" s="1" t="n">
        <v>44383</v>
      </c>
      <c r="C440" s="1" t="n">
        <v>45886</v>
      </c>
      <c r="D440" t="inlineStr">
        <is>
          <t>VÄSTMANLANDS LÄN</t>
        </is>
      </c>
      <c r="E440" t="inlineStr">
        <is>
          <t>SALA</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17766-2025</t>
        </is>
      </c>
      <c r="B441" s="1" t="n">
        <v>45758</v>
      </c>
      <c r="C441" s="1" t="n">
        <v>45886</v>
      </c>
      <c r="D441" t="inlineStr">
        <is>
          <t>VÄSTMANLANDS LÄN</t>
        </is>
      </c>
      <c r="E441" t="inlineStr">
        <is>
          <t>SALA</t>
        </is>
      </c>
      <c r="G441" t="n">
        <v>16.5</v>
      </c>
      <c r="H441" t="n">
        <v>0</v>
      </c>
      <c r="I441" t="n">
        <v>0</v>
      </c>
      <c r="J441" t="n">
        <v>0</v>
      </c>
      <c r="K441" t="n">
        <v>0</v>
      </c>
      <c r="L441" t="n">
        <v>0</v>
      </c>
      <c r="M441" t="n">
        <v>0</v>
      </c>
      <c r="N441" t="n">
        <v>0</v>
      </c>
      <c r="O441" t="n">
        <v>0</v>
      </c>
      <c r="P441" t="n">
        <v>0</v>
      </c>
      <c r="Q441" t="n">
        <v>0</v>
      </c>
      <c r="R441" s="2" t="inlineStr"/>
    </row>
    <row r="442" ht="15" customHeight="1">
      <c r="A442" t="inlineStr">
        <is>
          <t>A 54118-2023</t>
        </is>
      </c>
      <c r="B442" s="1" t="n">
        <v>45232</v>
      </c>
      <c r="C442" s="1" t="n">
        <v>45886</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31065-2025</t>
        </is>
      </c>
      <c r="B443" s="1" t="n">
        <v>45832.57571759259</v>
      </c>
      <c r="C443" s="1" t="n">
        <v>45886</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35462-2024</t>
        </is>
      </c>
      <c r="B444" s="1" t="n">
        <v>45531</v>
      </c>
      <c r="C444" s="1" t="n">
        <v>45886</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55024-2023</t>
        </is>
      </c>
      <c r="B445" s="1" t="n">
        <v>45229</v>
      </c>
      <c r="C445" s="1" t="n">
        <v>45886</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55032-2023</t>
        </is>
      </c>
      <c r="B446" s="1" t="n">
        <v>45229</v>
      </c>
      <c r="C446" s="1" t="n">
        <v>45886</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31612-2025</t>
        </is>
      </c>
      <c r="B447" s="1" t="n">
        <v>45833.80056712963</v>
      </c>
      <c r="C447" s="1" t="n">
        <v>45886</v>
      </c>
      <c r="D447" t="inlineStr">
        <is>
          <t>VÄSTMANLANDS LÄN</t>
        </is>
      </c>
      <c r="E447" t="inlineStr">
        <is>
          <t>SALA</t>
        </is>
      </c>
      <c r="G447" t="n">
        <v>6.3</v>
      </c>
      <c r="H447" t="n">
        <v>0</v>
      </c>
      <c r="I447" t="n">
        <v>0</v>
      </c>
      <c r="J447" t="n">
        <v>0</v>
      </c>
      <c r="K447" t="n">
        <v>0</v>
      </c>
      <c r="L447" t="n">
        <v>0</v>
      </c>
      <c r="M447" t="n">
        <v>0</v>
      </c>
      <c r="N447" t="n">
        <v>0</v>
      </c>
      <c r="O447" t="n">
        <v>0</v>
      </c>
      <c r="P447" t="n">
        <v>0</v>
      </c>
      <c r="Q447" t="n">
        <v>0</v>
      </c>
      <c r="R447" s="2" t="inlineStr"/>
    </row>
    <row r="448" ht="15" customHeight="1">
      <c r="A448" t="inlineStr">
        <is>
          <t>A 29248-2022</t>
        </is>
      </c>
      <c r="B448" s="1" t="n">
        <v>44750</v>
      </c>
      <c r="C448" s="1" t="n">
        <v>45886</v>
      </c>
      <c r="D448" t="inlineStr">
        <is>
          <t>VÄSTMANLANDS LÄN</t>
        </is>
      </c>
      <c r="E448" t="inlineStr">
        <is>
          <t>SALA</t>
        </is>
      </c>
      <c r="G448" t="n">
        <v>1.6</v>
      </c>
      <c r="H448" t="n">
        <v>0</v>
      </c>
      <c r="I448" t="n">
        <v>0</v>
      </c>
      <c r="J448" t="n">
        <v>0</v>
      </c>
      <c r="K448" t="n">
        <v>0</v>
      </c>
      <c r="L448" t="n">
        <v>0</v>
      </c>
      <c r="M448" t="n">
        <v>0</v>
      </c>
      <c r="N448" t="n">
        <v>0</v>
      </c>
      <c r="O448" t="n">
        <v>0</v>
      </c>
      <c r="P448" t="n">
        <v>0</v>
      </c>
      <c r="Q448" t="n">
        <v>0</v>
      </c>
      <c r="R448" s="2" t="inlineStr"/>
    </row>
    <row r="449" ht="15" customHeight="1">
      <c r="A449" t="inlineStr">
        <is>
          <t>A 59175-2022</t>
        </is>
      </c>
      <c r="B449" s="1" t="n">
        <v>44904.48502314815</v>
      </c>
      <c r="C449" s="1" t="n">
        <v>45886</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39451-2022</t>
        </is>
      </c>
      <c r="B450" s="1" t="n">
        <v>44818.36606481481</v>
      </c>
      <c r="C450" s="1" t="n">
        <v>45886</v>
      </c>
      <c r="D450" t="inlineStr">
        <is>
          <t>VÄSTMANLANDS LÄN</t>
        </is>
      </c>
      <c r="E450" t="inlineStr">
        <is>
          <t>SALA</t>
        </is>
      </c>
      <c r="G450" t="n">
        <v>9.4</v>
      </c>
      <c r="H450" t="n">
        <v>0</v>
      </c>
      <c r="I450" t="n">
        <v>0</v>
      </c>
      <c r="J450" t="n">
        <v>0</v>
      </c>
      <c r="K450" t="n">
        <v>0</v>
      </c>
      <c r="L450" t="n">
        <v>0</v>
      </c>
      <c r="M450" t="n">
        <v>0</v>
      </c>
      <c r="N450" t="n">
        <v>0</v>
      </c>
      <c r="O450" t="n">
        <v>0</v>
      </c>
      <c r="P450" t="n">
        <v>0</v>
      </c>
      <c r="Q450" t="n">
        <v>0</v>
      </c>
      <c r="R450" s="2" t="inlineStr"/>
    </row>
    <row r="451" ht="15" customHeight="1">
      <c r="A451" t="inlineStr">
        <is>
          <t>A 31748-2025</t>
        </is>
      </c>
      <c r="B451" s="1" t="n">
        <v>45834</v>
      </c>
      <c r="C451" s="1" t="n">
        <v>45886</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31288-2025</t>
        </is>
      </c>
      <c r="B452" s="1" t="n">
        <v>45833</v>
      </c>
      <c r="C452" s="1" t="n">
        <v>45886</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31771-2025</t>
        </is>
      </c>
      <c r="B453" s="1" t="n">
        <v>45834.50910879629</v>
      </c>
      <c r="C453" s="1" t="n">
        <v>45886</v>
      </c>
      <c r="D453" t="inlineStr">
        <is>
          <t>VÄSTMANLANDS LÄN</t>
        </is>
      </c>
      <c r="E453" t="inlineStr">
        <is>
          <t>SALA</t>
        </is>
      </c>
      <c r="G453" t="n">
        <v>5.1</v>
      </c>
      <c r="H453" t="n">
        <v>0</v>
      </c>
      <c r="I453" t="n">
        <v>0</v>
      </c>
      <c r="J453" t="n">
        <v>0</v>
      </c>
      <c r="K453" t="n">
        <v>0</v>
      </c>
      <c r="L453" t="n">
        <v>0</v>
      </c>
      <c r="M453" t="n">
        <v>0</v>
      </c>
      <c r="N453" t="n">
        <v>0</v>
      </c>
      <c r="O453" t="n">
        <v>0</v>
      </c>
      <c r="P453" t="n">
        <v>0</v>
      </c>
      <c r="Q453" t="n">
        <v>0</v>
      </c>
      <c r="R453" s="2" t="inlineStr"/>
    </row>
    <row r="454" ht="15" customHeight="1">
      <c r="A454" t="inlineStr">
        <is>
          <t>A 31860-2025</t>
        </is>
      </c>
      <c r="B454" s="1" t="n">
        <v>45834</v>
      </c>
      <c r="C454" s="1" t="n">
        <v>45886</v>
      </c>
      <c r="D454" t="inlineStr">
        <is>
          <t>VÄSTMANLANDS LÄN</t>
        </is>
      </c>
      <c r="E454" t="inlineStr">
        <is>
          <t>SALA</t>
        </is>
      </c>
      <c r="G454" t="n">
        <v>7.4</v>
      </c>
      <c r="H454" t="n">
        <v>0</v>
      </c>
      <c r="I454" t="n">
        <v>0</v>
      </c>
      <c r="J454" t="n">
        <v>0</v>
      </c>
      <c r="K454" t="n">
        <v>0</v>
      </c>
      <c r="L454" t="n">
        <v>0</v>
      </c>
      <c r="M454" t="n">
        <v>0</v>
      </c>
      <c r="N454" t="n">
        <v>0</v>
      </c>
      <c r="O454" t="n">
        <v>0</v>
      </c>
      <c r="P454" t="n">
        <v>0</v>
      </c>
      <c r="Q454" t="n">
        <v>0</v>
      </c>
      <c r="R454" s="2" t="inlineStr"/>
    </row>
    <row r="455" ht="15" customHeight="1">
      <c r="A455" t="inlineStr">
        <is>
          <t>A 31864-2025</t>
        </is>
      </c>
      <c r="B455" s="1" t="n">
        <v>45834.63819444444</v>
      </c>
      <c r="C455" s="1" t="n">
        <v>45886</v>
      </c>
      <c r="D455" t="inlineStr">
        <is>
          <t>VÄSTMANLANDS LÄN</t>
        </is>
      </c>
      <c r="E455" t="inlineStr">
        <is>
          <t>SALA</t>
        </is>
      </c>
      <c r="G455" t="n">
        <v>6.3</v>
      </c>
      <c r="H455" t="n">
        <v>0</v>
      </c>
      <c r="I455" t="n">
        <v>0</v>
      </c>
      <c r="J455" t="n">
        <v>0</v>
      </c>
      <c r="K455" t="n">
        <v>0</v>
      </c>
      <c r="L455" t="n">
        <v>0</v>
      </c>
      <c r="M455" t="n">
        <v>0</v>
      </c>
      <c r="N455" t="n">
        <v>0</v>
      </c>
      <c r="O455" t="n">
        <v>0</v>
      </c>
      <c r="P455" t="n">
        <v>0</v>
      </c>
      <c r="Q455" t="n">
        <v>0</v>
      </c>
      <c r="R455" s="2" t="inlineStr"/>
    </row>
    <row r="456" ht="15" customHeight="1">
      <c r="A456" t="inlineStr">
        <is>
          <t>A 37263-2025</t>
        </is>
      </c>
      <c r="B456" s="1" t="n">
        <v>45876.4584837963</v>
      </c>
      <c r="C456" s="1" t="n">
        <v>45886</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31887-2025</t>
        </is>
      </c>
      <c r="B457" s="1" t="n">
        <v>45834.6608449074</v>
      </c>
      <c r="C457" s="1" t="n">
        <v>45886</v>
      </c>
      <c r="D457" t="inlineStr">
        <is>
          <t>VÄSTMANLANDS LÄN</t>
        </is>
      </c>
      <c r="E457" t="inlineStr">
        <is>
          <t>SALA</t>
        </is>
      </c>
      <c r="G457" t="n">
        <v>7</v>
      </c>
      <c r="H457" t="n">
        <v>0</v>
      </c>
      <c r="I457" t="n">
        <v>0</v>
      </c>
      <c r="J457" t="n">
        <v>0</v>
      </c>
      <c r="K457" t="n">
        <v>0</v>
      </c>
      <c r="L457" t="n">
        <v>0</v>
      </c>
      <c r="M457" t="n">
        <v>0</v>
      </c>
      <c r="N457" t="n">
        <v>0</v>
      </c>
      <c r="O457" t="n">
        <v>0</v>
      </c>
      <c r="P457" t="n">
        <v>0</v>
      </c>
      <c r="Q457" t="n">
        <v>0</v>
      </c>
      <c r="R457" s="2" t="inlineStr"/>
    </row>
    <row r="458" ht="15" customHeight="1">
      <c r="A458" t="inlineStr">
        <is>
          <t>A 37253-2025</t>
        </is>
      </c>
      <c r="B458" s="1" t="n">
        <v>45876.42290509259</v>
      </c>
      <c r="C458" s="1" t="n">
        <v>45886</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31554-2025</t>
        </is>
      </c>
      <c r="B459" s="1" t="n">
        <v>45833</v>
      </c>
      <c r="C459" s="1" t="n">
        <v>45886</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37103-2025</t>
        </is>
      </c>
      <c r="B460" s="1" t="n">
        <v>45875.47743055555</v>
      </c>
      <c r="C460" s="1" t="n">
        <v>45886</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31762-2025</t>
        </is>
      </c>
      <c r="B461" s="1" t="n">
        <v>45834.49288194445</v>
      </c>
      <c r="C461" s="1" t="n">
        <v>45886</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31608-2025</t>
        </is>
      </c>
      <c r="B462" s="1" t="n">
        <v>45833</v>
      </c>
      <c r="C462" s="1" t="n">
        <v>45886</v>
      </c>
      <c r="D462" t="inlineStr">
        <is>
          <t>VÄSTMANLANDS LÄN</t>
        </is>
      </c>
      <c r="E462" t="inlineStr">
        <is>
          <t>SALA</t>
        </is>
      </c>
      <c r="G462" t="n">
        <v>6.1</v>
      </c>
      <c r="H462" t="n">
        <v>0</v>
      </c>
      <c r="I462" t="n">
        <v>0</v>
      </c>
      <c r="J462" t="n">
        <v>0</v>
      </c>
      <c r="K462" t="n">
        <v>0</v>
      </c>
      <c r="L462" t="n">
        <v>0</v>
      </c>
      <c r="M462" t="n">
        <v>0</v>
      </c>
      <c r="N462" t="n">
        <v>0</v>
      </c>
      <c r="O462" t="n">
        <v>0</v>
      </c>
      <c r="P462" t="n">
        <v>0</v>
      </c>
      <c r="Q462" t="n">
        <v>0</v>
      </c>
      <c r="R462" s="2" t="inlineStr"/>
    </row>
    <row r="463" ht="15" customHeight="1">
      <c r="A463" t="inlineStr">
        <is>
          <t>A 31863-2025</t>
        </is>
      </c>
      <c r="B463" s="1" t="n">
        <v>45834.63303240741</v>
      </c>
      <c r="C463" s="1" t="n">
        <v>45886</v>
      </c>
      <c r="D463" t="inlineStr">
        <is>
          <t>VÄSTMANLANDS LÄN</t>
        </is>
      </c>
      <c r="E463" t="inlineStr">
        <is>
          <t>SALA</t>
        </is>
      </c>
      <c r="G463" t="n">
        <v>2.5</v>
      </c>
      <c r="H463" t="n">
        <v>0</v>
      </c>
      <c r="I463" t="n">
        <v>0</v>
      </c>
      <c r="J463" t="n">
        <v>0</v>
      </c>
      <c r="K463" t="n">
        <v>0</v>
      </c>
      <c r="L463" t="n">
        <v>0</v>
      </c>
      <c r="M463" t="n">
        <v>0</v>
      </c>
      <c r="N463" t="n">
        <v>0</v>
      </c>
      <c r="O463" t="n">
        <v>0</v>
      </c>
      <c r="P463" t="n">
        <v>0</v>
      </c>
      <c r="Q463" t="n">
        <v>0</v>
      </c>
      <c r="R463" s="2" t="inlineStr"/>
    </row>
    <row r="464" ht="15" customHeight="1">
      <c r="A464" t="inlineStr">
        <is>
          <t>A 31610-2025</t>
        </is>
      </c>
      <c r="B464" s="1" t="n">
        <v>45833.78650462963</v>
      </c>
      <c r="C464" s="1" t="n">
        <v>45886</v>
      </c>
      <c r="D464" t="inlineStr">
        <is>
          <t>VÄSTMANLANDS LÄN</t>
        </is>
      </c>
      <c r="E464" t="inlineStr">
        <is>
          <t>SALA</t>
        </is>
      </c>
      <c r="G464" t="n">
        <v>8</v>
      </c>
      <c r="H464" t="n">
        <v>0</v>
      </c>
      <c r="I464" t="n">
        <v>0</v>
      </c>
      <c r="J464" t="n">
        <v>0</v>
      </c>
      <c r="K464" t="n">
        <v>0</v>
      </c>
      <c r="L464" t="n">
        <v>0</v>
      </c>
      <c r="M464" t="n">
        <v>0</v>
      </c>
      <c r="N464" t="n">
        <v>0</v>
      </c>
      <c r="O464" t="n">
        <v>0</v>
      </c>
      <c r="P464" t="n">
        <v>0</v>
      </c>
      <c r="Q464" t="n">
        <v>0</v>
      </c>
      <c r="R464" s="2" t="inlineStr"/>
    </row>
    <row r="465" ht="15" customHeight="1">
      <c r="A465" t="inlineStr">
        <is>
          <t>A 11631-2023</t>
        </is>
      </c>
      <c r="B465" s="1" t="n">
        <v>44994.44001157407</v>
      </c>
      <c r="C465" s="1" t="n">
        <v>45886</v>
      </c>
      <c r="D465" t="inlineStr">
        <is>
          <t>VÄSTMANLANDS LÄN</t>
        </is>
      </c>
      <c r="E465" t="inlineStr">
        <is>
          <t>SALA</t>
        </is>
      </c>
      <c r="F465" t="inlineStr">
        <is>
          <t>Kommuner</t>
        </is>
      </c>
      <c r="G465" t="n">
        <v>1.9</v>
      </c>
      <c r="H465" t="n">
        <v>0</v>
      </c>
      <c r="I465" t="n">
        <v>0</v>
      </c>
      <c r="J465" t="n">
        <v>0</v>
      </c>
      <c r="K465" t="n">
        <v>0</v>
      </c>
      <c r="L465" t="n">
        <v>0</v>
      </c>
      <c r="M465" t="n">
        <v>0</v>
      </c>
      <c r="N465" t="n">
        <v>0</v>
      </c>
      <c r="O465" t="n">
        <v>0</v>
      </c>
      <c r="P465" t="n">
        <v>0</v>
      </c>
      <c r="Q465" t="n">
        <v>0</v>
      </c>
      <c r="R465" s="2" t="inlineStr"/>
    </row>
    <row r="466" ht="15" customHeight="1">
      <c r="A466" t="inlineStr">
        <is>
          <t>A 31869-2025</t>
        </is>
      </c>
      <c r="B466" s="1" t="n">
        <v>45834.64555555556</v>
      </c>
      <c r="C466" s="1" t="n">
        <v>45886</v>
      </c>
      <c r="D466" t="inlineStr">
        <is>
          <t>VÄSTMANLANDS LÄN</t>
        </is>
      </c>
      <c r="E466" t="inlineStr">
        <is>
          <t>SALA</t>
        </is>
      </c>
      <c r="G466" t="n">
        <v>17.5</v>
      </c>
      <c r="H466" t="n">
        <v>0</v>
      </c>
      <c r="I466" t="n">
        <v>0</v>
      </c>
      <c r="J466" t="n">
        <v>0</v>
      </c>
      <c r="K466" t="n">
        <v>0</v>
      </c>
      <c r="L466" t="n">
        <v>0</v>
      </c>
      <c r="M466" t="n">
        <v>0</v>
      </c>
      <c r="N466" t="n">
        <v>0</v>
      </c>
      <c r="O466" t="n">
        <v>0</v>
      </c>
      <c r="P466" t="n">
        <v>0</v>
      </c>
      <c r="Q466" t="n">
        <v>0</v>
      </c>
      <c r="R466" s="2" t="inlineStr"/>
    </row>
    <row r="467" ht="15" customHeight="1">
      <c r="A467" t="inlineStr">
        <is>
          <t>A 31296-2025</t>
        </is>
      </c>
      <c r="B467" s="1" t="n">
        <v>45833.36765046296</v>
      </c>
      <c r="C467" s="1" t="n">
        <v>45886</v>
      </c>
      <c r="D467" t="inlineStr">
        <is>
          <t>VÄSTMANLANDS LÄN</t>
        </is>
      </c>
      <c r="E467" t="inlineStr">
        <is>
          <t>SALA</t>
        </is>
      </c>
      <c r="G467" t="n">
        <v>3.7</v>
      </c>
      <c r="H467" t="n">
        <v>0</v>
      </c>
      <c r="I467" t="n">
        <v>0</v>
      </c>
      <c r="J467" t="n">
        <v>0</v>
      </c>
      <c r="K467" t="n">
        <v>0</v>
      </c>
      <c r="L467" t="n">
        <v>0</v>
      </c>
      <c r="M467" t="n">
        <v>0</v>
      </c>
      <c r="N467" t="n">
        <v>0</v>
      </c>
      <c r="O467" t="n">
        <v>0</v>
      </c>
      <c r="P467" t="n">
        <v>0</v>
      </c>
      <c r="Q467" t="n">
        <v>0</v>
      </c>
      <c r="R467" s="2" t="inlineStr"/>
    </row>
    <row r="468" ht="15" customHeight="1">
      <c r="A468" t="inlineStr">
        <is>
          <t>A 37246-2025</t>
        </is>
      </c>
      <c r="B468" s="1" t="n">
        <v>45876.39435185185</v>
      </c>
      <c r="C468" s="1" t="n">
        <v>45886</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31573-2025</t>
        </is>
      </c>
      <c r="B469" s="1" t="n">
        <v>45833</v>
      </c>
      <c r="C469" s="1" t="n">
        <v>45886</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62648-2022</t>
        </is>
      </c>
      <c r="B470" s="1" t="n">
        <v>44917</v>
      </c>
      <c r="C470" s="1" t="n">
        <v>45886</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32201-2025</t>
        </is>
      </c>
      <c r="B471" s="1" t="n">
        <v>45835</v>
      </c>
      <c r="C471" s="1" t="n">
        <v>45886</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32205-2025</t>
        </is>
      </c>
      <c r="B472" s="1" t="n">
        <v>45835</v>
      </c>
      <c r="C472" s="1" t="n">
        <v>45886</v>
      </c>
      <c r="D472" t="inlineStr">
        <is>
          <t>VÄSTMANLANDS LÄN</t>
        </is>
      </c>
      <c r="E472" t="inlineStr">
        <is>
          <t>SALA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32210-2025</t>
        </is>
      </c>
      <c r="B473" s="1" t="n">
        <v>45835</v>
      </c>
      <c r="C473" s="1" t="n">
        <v>45886</v>
      </c>
      <c r="D473" t="inlineStr">
        <is>
          <t>VÄSTMANLANDS LÄN</t>
        </is>
      </c>
      <c r="E473" t="inlineStr">
        <is>
          <t>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1934-2023</t>
        </is>
      </c>
      <c r="B474" s="1" t="n">
        <v>44939.43024305555</v>
      </c>
      <c r="C474" s="1" t="n">
        <v>45886</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36393-2023</t>
        </is>
      </c>
      <c r="B475" s="1" t="n">
        <v>45152</v>
      </c>
      <c r="C475" s="1" t="n">
        <v>45886</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11927-2025</t>
        </is>
      </c>
      <c r="B476" s="1" t="n">
        <v>45728.5137962963</v>
      </c>
      <c r="C476" s="1" t="n">
        <v>45886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60823-2024</t>
        </is>
      </c>
      <c r="B477" s="1" t="n">
        <v>45644</v>
      </c>
      <c r="C477" s="1" t="n">
        <v>45886</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45790-2023</t>
        </is>
      </c>
      <c r="B478" s="1" t="n">
        <v>45195.45958333334</v>
      </c>
      <c r="C478" s="1" t="n">
        <v>45886</v>
      </c>
      <c r="D478" t="inlineStr">
        <is>
          <t>VÄSTMANLANDS LÄN</t>
        </is>
      </c>
      <c r="E478" t="inlineStr">
        <is>
          <t>SALA</t>
        </is>
      </c>
      <c r="G478" t="n">
        <v>5.7</v>
      </c>
      <c r="H478" t="n">
        <v>0</v>
      </c>
      <c r="I478" t="n">
        <v>0</v>
      </c>
      <c r="J478" t="n">
        <v>0</v>
      </c>
      <c r="K478" t="n">
        <v>0</v>
      </c>
      <c r="L478" t="n">
        <v>0</v>
      </c>
      <c r="M478" t="n">
        <v>0</v>
      </c>
      <c r="N478" t="n">
        <v>0</v>
      </c>
      <c r="O478" t="n">
        <v>0</v>
      </c>
      <c r="P478" t="n">
        <v>0</v>
      </c>
      <c r="Q478" t="n">
        <v>0</v>
      </c>
      <c r="R478" s="2" t="inlineStr"/>
    </row>
    <row r="479" ht="15" customHeight="1">
      <c r="A479" t="inlineStr">
        <is>
          <t>A 96-2024</t>
        </is>
      </c>
      <c r="B479" s="1" t="n">
        <v>45293.85872685185</v>
      </c>
      <c r="C479" s="1" t="n">
        <v>45886</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56949-2023</t>
        </is>
      </c>
      <c r="B480" s="1" t="n">
        <v>45244.61589120371</v>
      </c>
      <c r="C480" s="1" t="n">
        <v>45886</v>
      </c>
      <c r="D480" t="inlineStr">
        <is>
          <t>VÄSTMANLANDS LÄN</t>
        </is>
      </c>
      <c r="E480" t="inlineStr">
        <is>
          <t>SALA</t>
        </is>
      </c>
      <c r="G480" t="n">
        <v>4.7</v>
      </c>
      <c r="H480" t="n">
        <v>0</v>
      </c>
      <c r="I480" t="n">
        <v>0</v>
      </c>
      <c r="J480" t="n">
        <v>0</v>
      </c>
      <c r="K480" t="n">
        <v>0</v>
      </c>
      <c r="L480" t="n">
        <v>0</v>
      </c>
      <c r="M480" t="n">
        <v>0</v>
      </c>
      <c r="N480" t="n">
        <v>0</v>
      </c>
      <c r="O480" t="n">
        <v>0</v>
      </c>
      <c r="P480" t="n">
        <v>0</v>
      </c>
      <c r="Q480" t="n">
        <v>0</v>
      </c>
      <c r="R480" s="2" t="inlineStr"/>
    </row>
    <row r="481" ht="15" customHeight="1">
      <c r="A481" t="inlineStr">
        <is>
          <t>A 32286-2025</t>
        </is>
      </c>
      <c r="B481" s="1" t="n">
        <v>45835</v>
      </c>
      <c r="C481" s="1" t="n">
        <v>45886</v>
      </c>
      <c r="D481" t="inlineStr">
        <is>
          <t>VÄSTMANLANDS LÄN</t>
        </is>
      </c>
      <c r="E481" t="inlineStr">
        <is>
          <t>SALA</t>
        </is>
      </c>
      <c r="G481" t="n">
        <v>6.4</v>
      </c>
      <c r="H481" t="n">
        <v>0</v>
      </c>
      <c r="I481" t="n">
        <v>0</v>
      </c>
      <c r="J481" t="n">
        <v>0</v>
      </c>
      <c r="K481" t="n">
        <v>0</v>
      </c>
      <c r="L481" t="n">
        <v>0</v>
      </c>
      <c r="M481" t="n">
        <v>0</v>
      </c>
      <c r="N481" t="n">
        <v>0</v>
      </c>
      <c r="O481" t="n">
        <v>0</v>
      </c>
      <c r="P481" t="n">
        <v>0</v>
      </c>
      <c r="Q481" t="n">
        <v>0</v>
      </c>
      <c r="R481" s="2" t="inlineStr"/>
    </row>
    <row r="482" ht="15" customHeight="1">
      <c r="A482" t="inlineStr">
        <is>
          <t>A 23374-2023</t>
        </is>
      </c>
      <c r="B482" s="1" t="n">
        <v>45076.4399537037</v>
      </c>
      <c r="C482" s="1" t="n">
        <v>45886</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32207-2025</t>
        </is>
      </c>
      <c r="B483" s="1" t="n">
        <v>45835</v>
      </c>
      <c r="C483" s="1" t="n">
        <v>45886</v>
      </c>
      <c r="D483" t="inlineStr">
        <is>
          <t>VÄSTMANLANDS LÄN</t>
        </is>
      </c>
      <c r="E483" t="inlineStr">
        <is>
          <t>SALA</t>
        </is>
      </c>
      <c r="F483" t="inlineStr">
        <is>
          <t>Bergvik skog öst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45886</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45886</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37590-2025</t>
        </is>
      </c>
      <c r="B486" s="1" t="n">
        <v>45880.41138888889</v>
      </c>
      <c r="C486" s="1" t="n">
        <v>45886</v>
      </c>
      <c r="D486" t="inlineStr">
        <is>
          <t>VÄSTMANLANDS LÄN</t>
        </is>
      </c>
      <c r="E486" t="inlineStr">
        <is>
          <t>SALA</t>
        </is>
      </c>
      <c r="G486" t="n">
        <v>2.2</v>
      </c>
      <c r="H486" t="n">
        <v>0</v>
      </c>
      <c r="I486" t="n">
        <v>0</v>
      </c>
      <c r="J486" t="n">
        <v>0</v>
      </c>
      <c r="K486" t="n">
        <v>0</v>
      </c>
      <c r="L486" t="n">
        <v>0</v>
      </c>
      <c r="M486" t="n">
        <v>0</v>
      </c>
      <c r="N486" t="n">
        <v>0</v>
      </c>
      <c r="O486" t="n">
        <v>0</v>
      </c>
      <c r="P486" t="n">
        <v>0</v>
      </c>
      <c r="Q486" t="n">
        <v>0</v>
      </c>
      <c r="R486" s="2" t="inlineStr"/>
    </row>
    <row r="487" ht="15" customHeight="1">
      <c r="A487" t="inlineStr">
        <is>
          <t>A 37593-2025</t>
        </is>
      </c>
      <c r="B487" s="1" t="n">
        <v>45880.41325231481</v>
      </c>
      <c r="C487" s="1" t="n">
        <v>45886</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45886</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32902-2025</t>
        </is>
      </c>
      <c r="B489" s="1" t="n">
        <v>45839</v>
      </c>
      <c r="C489" s="1" t="n">
        <v>45886</v>
      </c>
      <c r="D489" t="inlineStr">
        <is>
          <t>VÄSTMANLANDS LÄN</t>
        </is>
      </c>
      <c r="E489" t="inlineStr">
        <is>
          <t>SALA</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40214-2023</t>
        </is>
      </c>
      <c r="B490" s="1" t="n">
        <v>45169.45173611111</v>
      </c>
      <c r="C490" s="1" t="n">
        <v>45886</v>
      </c>
      <c r="D490" t="inlineStr">
        <is>
          <t>VÄSTMANLANDS LÄN</t>
        </is>
      </c>
      <c r="E490" t="inlineStr">
        <is>
          <t>SALA</t>
        </is>
      </c>
      <c r="G490" t="n">
        <v>5.5</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45886</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3332-2024</t>
        </is>
      </c>
      <c r="B492" s="1" t="n">
        <v>45317</v>
      </c>
      <c r="C492" s="1" t="n">
        <v>45886</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35016-2024</t>
        </is>
      </c>
      <c r="B493" s="1" t="n">
        <v>45527.59115740741</v>
      </c>
      <c r="C493" s="1" t="n">
        <v>45886</v>
      </c>
      <c r="D493" t="inlineStr">
        <is>
          <t>VÄSTMANLANDS LÄN</t>
        </is>
      </c>
      <c r="E493" t="inlineStr">
        <is>
          <t>SALA</t>
        </is>
      </c>
      <c r="G493" t="n">
        <v>0.4</v>
      </c>
      <c r="H493" t="n">
        <v>0</v>
      </c>
      <c r="I493" t="n">
        <v>0</v>
      </c>
      <c r="J493" t="n">
        <v>0</v>
      </c>
      <c r="K493" t="n">
        <v>0</v>
      </c>
      <c r="L493" t="n">
        <v>0</v>
      </c>
      <c r="M493" t="n">
        <v>0</v>
      </c>
      <c r="N493" t="n">
        <v>0</v>
      </c>
      <c r="O493" t="n">
        <v>0</v>
      </c>
      <c r="P493" t="n">
        <v>0</v>
      </c>
      <c r="Q493" t="n">
        <v>0</v>
      </c>
      <c r="R493" s="2" t="inlineStr"/>
    </row>
    <row r="494" ht="15" customHeight="1">
      <c r="A494" t="inlineStr">
        <is>
          <t>A 37612-2024</t>
        </is>
      </c>
      <c r="B494" s="1" t="n">
        <v>45541</v>
      </c>
      <c r="C494" s="1" t="n">
        <v>45886</v>
      </c>
      <c r="D494" t="inlineStr">
        <is>
          <t>VÄSTMANLANDS LÄN</t>
        </is>
      </c>
      <c r="E494" t="inlineStr">
        <is>
          <t>SALA</t>
        </is>
      </c>
      <c r="G494" t="n">
        <v>2.2</v>
      </c>
      <c r="H494" t="n">
        <v>0</v>
      </c>
      <c r="I494" t="n">
        <v>0</v>
      </c>
      <c r="J494" t="n">
        <v>0</v>
      </c>
      <c r="K494" t="n">
        <v>0</v>
      </c>
      <c r="L494" t="n">
        <v>0</v>
      </c>
      <c r="M494" t="n">
        <v>0</v>
      </c>
      <c r="N494" t="n">
        <v>0</v>
      </c>
      <c r="O494" t="n">
        <v>0</v>
      </c>
      <c r="P494" t="n">
        <v>0</v>
      </c>
      <c r="Q494" t="n">
        <v>0</v>
      </c>
      <c r="R494" s="2" t="inlineStr"/>
    </row>
    <row r="495" ht="15" customHeight="1">
      <c r="A495" t="inlineStr">
        <is>
          <t>A 37615-2024</t>
        </is>
      </c>
      <c r="B495" s="1" t="n">
        <v>45541.50673611111</v>
      </c>
      <c r="C495" s="1" t="n">
        <v>45886</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35637-2022</t>
        </is>
      </c>
      <c r="B496" s="1" t="n">
        <v>44799.55194444444</v>
      </c>
      <c r="C496" s="1" t="n">
        <v>45886</v>
      </c>
      <c r="D496" t="inlineStr">
        <is>
          <t>VÄSTMANLANDS LÄN</t>
        </is>
      </c>
      <c r="E496" t="inlineStr">
        <is>
          <t>SALA</t>
        </is>
      </c>
      <c r="G496" t="n">
        <v>1</v>
      </c>
      <c r="H496" t="n">
        <v>0</v>
      </c>
      <c r="I496" t="n">
        <v>0</v>
      </c>
      <c r="J496" t="n">
        <v>0</v>
      </c>
      <c r="K496" t="n">
        <v>0</v>
      </c>
      <c r="L496" t="n">
        <v>0</v>
      </c>
      <c r="M496" t="n">
        <v>0</v>
      </c>
      <c r="N496" t="n">
        <v>0</v>
      </c>
      <c r="O496" t="n">
        <v>0</v>
      </c>
      <c r="P496" t="n">
        <v>0</v>
      </c>
      <c r="Q496" t="n">
        <v>0</v>
      </c>
      <c r="R496" s="2" t="inlineStr"/>
    </row>
    <row r="497" ht="15" customHeight="1">
      <c r="A497" t="inlineStr">
        <is>
          <t>A 19033-2025</t>
        </is>
      </c>
      <c r="B497" s="1" t="n">
        <v>45764.65796296296</v>
      </c>
      <c r="C497" s="1" t="n">
        <v>45886</v>
      </c>
      <c r="D497" t="inlineStr">
        <is>
          <t>VÄSTMANLANDS LÄN</t>
        </is>
      </c>
      <c r="E497" t="inlineStr">
        <is>
          <t>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5728-2022</t>
        </is>
      </c>
      <c r="B498" s="1" t="n">
        <v>44596.42082175926</v>
      </c>
      <c r="C498" s="1" t="n">
        <v>45886</v>
      </c>
      <c r="D498" t="inlineStr">
        <is>
          <t>VÄSTMANLANDS LÄN</t>
        </is>
      </c>
      <c r="E498" t="inlineStr">
        <is>
          <t>SALA</t>
        </is>
      </c>
      <c r="G498" t="n">
        <v>1.7</v>
      </c>
      <c r="H498" t="n">
        <v>0</v>
      </c>
      <c r="I498" t="n">
        <v>0</v>
      </c>
      <c r="J498" t="n">
        <v>0</v>
      </c>
      <c r="K498" t="n">
        <v>0</v>
      </c>
      <c r="L498" t="n">
        <v>0</v>
      </c>
      <c r="M498" t="n">
        <v>0</v>
      </c>
      <c r="N498" t="n">
        <v>0</v>
      </c>
      <c r="O498" t="n">
        <v>0</v>
      </c>
      <c r="P498" t="n">
        <v>0</v>
      </c>
      <c r="Q498" t="n">
        <v>0</v>
      </c>
      <c r="R498" s="2" t="inlineStr"/>
    </row>
    <row r="499" ht="15" customHeight="1">
      <c r="A499" t="inlineStr">
        <is>
          <t>A 7681-2021</t>
        </is>
      </c>
      <c r="B499" s="1" t="n">
        <v>44242</v>
      </c>
      <c r="C499" s="1" t="n">
        <v>45886</v>
      </c>
      <c r="D499" t="inlineStr">
        <is>
          <t>VÄSTMANLANDS LÄN</t>
        </is>
      </c>
      <c r="E499" t="inlineStr">
        <is>
          <t>SALA</t>
        </is>
      </c>
      <c r="F499" t="inlineStr">
        <is>
          <t>Sveaskog</t>
        </is>
      </c>
      <c r="G499" t="n">
        <v>16.1</v>
      </c>
      <c r="H499" t="n">
        <v>0</v>
      </c>
      <c r="I499" t="n">
        <v>0</v>
      </c>
      <c r="J499" t="n">
        <v>0</v>
      </c>
      <c r="K499" t="n">
        <v>0</v>
      </c>
      <c r="L499" t="n">
        <v>0</v>
      </c>
      <c r="M499" t="n">
        <v>0</v>
      </c>
      <c r="N499" t="n">
        <v>0</v>
      </c>
      <c r="O499" t="n">
        <v>0</v>
      </c>
      <c r="P499" t="n">
        <v>0</v>
      </c>
      <c r="Q499" t="n">
        <v>0</v>
      </c>
      <c r="R499" s="2" t="inlineStr"/>
    </row>
    <row r="500" ht="15" customHeight="1">
      <c r="A500" t="inlineStr">
        <is>
          <t>A 43359-2024</t>
        </is>
      </c>
      <c r="B500" s="1" t="n">
        <v>45568.57724537037</v>
      </c>
      <c r="C500" s="1" t="n">
        <v>45886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19751-2022</t>
        </is>
      </c>
      <c r="B501" s="1" t="n">
        <v>44694</v>
      </c>
      <c r="C501" s="1" t="n">
        <v>45886</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57883-2024</t>
        </is>
      </c>
      <c r="B502" s="1" t="n">
        <v>45630</v>
      </c>
      <c r="C502" s="1" t="n">
        <v>45886</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50876-2023</t>
        </is>
      </c>
      <c r="B503" s="1" t="n">
        <v>45211</v>
      </c>
      <c r="C503" s="1" t="n">
        <v>45886</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38294-2025</t>
        </is>
      </c>
      <c r="B504" s="1" t="n">
        <v>45883.44854166666</v>
      </c>
      <c r="C504" s="1" t="n">
        <v>45886</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34069-2025</t>
        </is>
      </c>
      <c r="B505" s="1" t="n">
        <v>45845.43560185185</v>
      </c>
      <c r="C505" s="1" t="n">
        <v>45886</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c r="U505">
        <f>HYPERLINK("https://klasma.github.io/Logging_1981/knärot/A 34069-2025 karta knärot.png", "A 34069-2025")</f>
        <v/>
      </c>
      <c r="V505">
        <f>HYPERLINK("https://klasma.github.io/Logging_1981/klagomål/A 34069-2025 FSC-klagomål.docx", "A 34069-2025")</f>
        <v/>
      </c>
      <c r="W505">
        <f>HYPERLINK("https://klasma.github.io/Logging_1981/klagomålsmail/A 34069-2025 FSC-klagomål mail.docx", "A 34069-2025")</f>
        <v/>
      </c>
      <c r="X505">
        <f>HYPERLINK("https://klasma.github.io/Logging_1981/tillsyn/A 34069-2025 tillsynsbegäran.docx", "A 34069-2025")</f>
        <v/>
      </c>
      <c r="Y505">
        <f>HYPERLINK("https://klasma.github.io/Logging_1981/tillsynsmail/A 34069-2025 tillsynsbegäran mail.docx", "A 34069-2025")</f>
        <v/>
      </c>
    </row>
    <row r="506" ht="15" customHeight="1">
      <c r="A506" t="inlineStr">
        <is>
          <t>A 37624-2024</t>
        </is>
      </c>
      <c r="B506" s="1" t="n">
        <v>45541</v>
      </c>
      <c r="C506" s="1" t="n">
        <v>45886</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40398-2021</t>
        </is>
      </c>
      <c r="B507" s="1" t="n">
        <v>44419</v>
      </c>
      <c r="C507" s="1" t="n">
        <v>45886</v>
      </c>
      <c r="D507" t="inlineStr">
        <is>
          <t>VÄSTMANLANDS LÄN</t>
        </is>
      </c>
      <c r="E507" t="inlineStr">
        <is>
          <t>SALA</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41493-2020</t>
        </is>
      </c>
      <c r="B508" s="1" t="n">
        <v>44074</v>
      </c>
      <c r="C508" s="1" t="n">
        <v>45886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46279-2021</t>
        </is>
      </c>
      <c r="B509" s="1" t="n">
        <v>44442.57797453704</v>
      </c>
      <c r="C509" s="1" t="n">
        <v>45886</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6351-2023</t>
        </is>
      </c>
      <c r="B510" s="1" t="n">
        <v>44965</v>
      </c>
      <c r="C510" s="1" t="n">
        <v>45886</v>
      </c>
      <c r="D510" t="inlineStr">
        <is>
          <t>VÄSTMANLANDS LÄN</t>
        </is>
      </c>
      <c r="E510" t="inlineStr">
        <is>
          <t>SALA</t>
        </is>
      </c>
      <c r="F510" t="inlineStr">
        <is>
          <t>Kommuner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27262-2024</t>
        </is>
      </c>
      <c r="B511" s="1" t="n">
        <v>45471</v>
      </c>
      <c r="C511" s="1" t="n">
        <v>45886</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15584-2021</t>
        </is>
      </c>
      <c r="B512" s="1" t="n">
        <v>44285</v>
      </c>
      <c r="C512" s="1" t="n">
        <v>45886</v>
      </c>
      <c r="D512" t="inlineStr">
        <is>
          <t>VÄSTMANLANDS LÄN</t>
        </is>
      </c>
      <c r="E512" t="inlineStr">
        <is>
          <t>SALA</t>
        </is>
      </c>
      <c r="G512" t="n">
        <v>3.4</v>
      </c>
      <c r="H512" t="n">
        <v>0</v>
      </c>
      <c r="I512" t="n">
        <v>0</v>
      </c>
      <c r="J512" t="n">
        <v>0</v>
      </c>
      <c r="K512" t="n">
        <v>0</v>
      </c>
      <c r="L512" t="n">
        <v>0</v>
      </c>
      <c r="M512" t="n">
        <v>0</v>
      </c>
      <c r="N512" t="n">
        <v>0</v>
      </c>
      <c r="O512" t="n">
        <v>0</v>
      </c>
      <c r="P512" t="n">
        <v>0</v>
      </c>
      <c r="Q512" t="n">
        <v>0</v>
      </c>
      <c r="R512" s="2" t="inlineStr"/>
    </row>
    <row r="513" ht="15" customHeight="1">
      <c r="A513" t="inlineStr">
        <is>
          <t>A 6312-2025</t>
        </is>
      </c>
      <c r="B513" s="1" t="n">
        <v>45698</v>
      </c>
      <c r="C513" s="1" t="n">
        <v>45886</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38574-2025</t>
        </is>
      </c>
      <c r="B514" s="1" t="n">
        <v>45884.46390046296</v>
      </c>
      <c r="C514" s="1" t="n">
        <v>45886</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23119-2022</t>
        </is>
      </c>
      <c r="B515" s="1" t="n">
        <v>44719.56697916667</v>
      </c>
      <c r="C515" s="1" t="n">
        <v>45886</v>
      </c>
      <c r="D515" t="inlineStr">
        <is>
          <t>VÄSTMANLANDS LÄN</t>
        </is>
      </c>
      <c r="E515" t="inlineStr">
        <is>
          <t>SALA</t>
        </is>
      </c>
      <c r="G515" t="n">
        <v>7</v>
      </c>
      <c r="H515" t="n">
        <v>0</v>
      </c>
      <c r="I515" t="n">
        <v>0</v>
      </c>
      <c r="J515" t="n">
        <v>0</v>
      </c>
      <c r="K515" t="n">
        <v>0</v>
      </c>
      <c r="L515" t="n">
        <v>0</v>
      </c>
      <c r="M515" t="n">
        <v>0</v>
      </c>
      <c r="N515" t="n">
        <v>0</v>
      </c>
      <c r="O515" t="n">
        <v>0</v>
      </c>
      <c r="P515" t="n">
        <v>0</v>
      </c>
      <c r="Q515" t="n">
        <v>0</v>
      </c>
      <c r="R515" s="2" t="inlineStr"/>
    </row>
    <row r="516" ht="15" customHeight="1">
      <c r="A516" t="inlineStr">
        <is>
          <t>A 55035-2023</t>
        </is>
      </c>
      <c r="B516" s="1" t="n">
        <v>45229</v>
      </c>
      <c r="C516" s="1" t="n">
        <v>45886</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45886</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45886</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4736-2021</t>
        </is>
      </c>
      <c r="B519" s="1" t="n">
        <v>44225</v>
      </c>
      <c r="C519" s="1" t="n">
        <v>45886</v>
      </c>
      <c r="D519" t="inlineStr">
        <is>
          <t>VÄSTMANLANDS LÄN</t>
        </is>
      </c>
      <c r="E519" t="inlineStr">
        <is>
          <t>SALA</t>
        </is>
      </c>
      <c r="G519" t="n">
        <v>4.2</v>
      </c>
      <c r="H519" t="n">
        <v>0</v>
      </c>
      <c r="I519" t="n">
        <v>0</v>
      </c>
      <c r="J519" t="n">
        <v>0</v>
      </c>
      <c r="K519" t="n">
        <v>0</v>
      </c>
      <c r="L519" t="n">
        <v>0</v>
      </c>
      <c r="M519" t="n">
        <v>0</v>
      </c>
      <c r="N519" t="n">
        <v>0</v>
      </c>
      <c r="O519" t="n">
        <v>0</v>
      </c>
      <c r="P519" t="n">
        <v>0</v>
      </c>
      <c r="Q519" t="n">
        <v>0</v>
      </c>
      <c r="R519" s="2" t="inlineStr"/>
    </row>
    <row r="520" ht="15" customHeight="1">
      <c r="A520" t="inlineStr">
        <is>
          <t>A 73673-2021</t>
        </is>
      </c>
      <c r="B520" s="1" t="n">
        <v>44552.46501157407</v>
      </c>
      <c r="C520" s="1" t="n">
        <v>45886</v>
      </c>
      <c r="D520" t="inlineStr">
        <is>
          <t>VÄSTMANLANDS LÄN</t>
        </is>
      </c>
      <c r="E520" t="inlineStr">
        <is>
          <t>SALA</t>
        </is>
      </c>
      <c r="G520" t="n">
        <v>11.4</v>
      </c>
      <c r="H520" t="n">
        <v>0</v>
      </c>
      <c r="I520" t="n">
        <v>0</v>
      </c>
      <c r="J520" t="n">
        <v>0</v>
      </c>
      <c r="K520" t="n">
        <v>0</v>
      </c>
      <c r="L520" t="n">
        <v>0</v>
      </c>
      <c r="M520" t="n">
        <v>0</v>
      </c>
      <c r="N520" t="n">
        <v>0</v>
      </c>
      <c r="O520" t="n">
        <v>0</v>
      </c>
      <c r="P520" t="n">
        <v>0</v>
      </c>
      <c r="Q520" t="n">
        <v>0</v>
      </c>
      <c r="R520" s="2" t="inlineStr"/>
    </row>
    <row r="521" ht="15" customHeight="1">
      <c r="A521" t="inlineStr">
        <is>
          <t>A 922-2025</t>
        </is>
      </c>
      <c r="B521" s="1" t="n">
        <v>45665.80069444444</v>
      </c>
      <c r="C521" s="1" t="n">
        <v>45886</v>
      </c>
      <c r="D521" t="inlineStr">
        <is>
          <t>VÄSTMANLANDS LÄN</t>
        </is>
      </c>
      <c r="E521" t="inlineStr">
        <is>
          <t>SALA</t>
        </is>
      </c>
      <c r="G521" t="n">
        <v>6.2</v>
      </c>
      <c r="H521" t="n">
        <v>0</v>
      </c>
      <c r="I521" t="n">
        <v>0</v>
      </c>
      <c r="J521" t="n">
        <v>0</v>
      </c>
      <c r="K521" t="n">
        <v>0</v>
      </c>
      <c r="L521" t="n">
        <v>0</v>
      </c>
      <c r="M521" t="n">
        <v>0</v>
      </c>
      <c r="N521" t="n">
        <v>0</v>
      </c>
      <c r="O521" t="n">
        <v>0</v>
      </c>
      <c r="P521" t="n">
        <v>0</v>
      </c>
      <c r="Q521" t="n">
        <v>0</v>
      </c>
      <c r="R521" s="2" t="inlineStr"/>
    </row>
    <row r="522" ht="15" customHeight="1">
      <c r="A522" t="inlineStr">
        <is>
          <t>A 52500-2024</t>
        </is>
      </c>
      <c r="B522" s="1" t="n">
        <v>45609</v>
      </c>
      <c r="C522" s="1" t="n">
        <v>45886</v>
      </c>
      <c r="D522" t="inlineStr">
        <is>
          <t>VÄSTMANLANDS LÄN</t>
        </is>
      </c>
      <c r="E522" t="inlineStr">
        <is>
          <t>SALA</t>
        </is>
      </c>
      <c r="G522" t="n">
        <v>1.3</v>
      </c>
      <c r="H522" t="n">
        <v>0</v>
      </c>
      <c r="I522" t="n">
        <v>0</v>
      </c>
      <c r="J522" t="n">
        <v>0</v>
      </c>
      <c r="K522" t="n">
        <v>0</v>
      </c>
      <c r="L522" t="n">
        <v>0</v>
      </c>
      <c r="M522" t="n">
        <v>0</v>
      </c>
      <c r="N522" t="n">
        <v>0</v>
      </c>
      <c r="O522" t="n">
        <v>0</v>
      </c>
      <c r="P522" t="n">
        <v>0</v>
      </c>
      <c r="Q522" t="n">
        <v>0</v>
      </c>
      <c r="R522" s="2" t="inlineStr"/>
    </row>
    <row r="523" ht="15" customHeight="1">
      <c r="A523" t="inlineStr">
        <is>
          <t>A 4853-2023</t>
        </is>
      </c>
      <c r="B523" s="1" t="n">
        <v>44957.73234953704</v>
      </c>
      <c r="C523" s="1" t="n">
        <v>45886</v>
      </c>
      <c r="D523" t="inlineStr">
        <is>
          <t>VÄSTMANLANDS LÄN</t>
        </is>
      </c>
      <c r="E523" t="inlineStr">
        <is>
          <t>SALA</t>
        </is>
      </c>
      <c r="G523" t="n">
        <v>2.7</v>
      </c>
      <c r="H523" t="n">
        <v>0</v>
      </c>
      <c r="I523" t="n">
        <v>0</v>
      </c>
      <c r="J523" t="n">
        <v>0</v>
      </c>
      <c r="K523" t="n">
        <v>0</v>
      </c>
      <c r="L523" t="n">
        <v>0</v>
      </c>
      <c r="M523" t="n">
        <v>0</v>
      </c>
      <c r="N523" t="n">
        <v>0</v>
      </c>
      <c r="O523" t="n">
        <v>0</v>
      </c>
      <c r="P523" t="n">
        <v>0</v>
      </c>
      <c r="Q523" t="n">
        <v>0</v>
      </c>
      <c r="R523" s="2" t="inlineStr"/>
    </row>
    <row r="524" ht="15" customHeight="1">
      <c r="A524" t="inlineStr">
        <is>
          <t>A 7950-2025</t>
        </is>
      </c>
      <c r="B524" s="1" t="n">
        <v>45707.41799768519</v>
      </c>
      <c r="C524" s="1" t="n">
        <v>45886</v>
      </c>
      <c r="D524" t="inlineStr">
        <is>
          <t>VÄSTMANLANDS LÄN</t>
        </is>
      </c>
      <c r="E524" t="inlineStr">
        <is>
          <t>SALA</t>
        </is>
      </c>
      <c r="G524" t="n">
        <v>3.2</v>
      </c>
      <c r="H524" t="n">
        <v>0</v>
      </c>
      <c r="I524" t="n">
        <v>0</v>
      </c>
      <c r="J524" t="n">
        <v>0</v>
      </c>
      <c r="K524" t="n">
        <v>0</v>
      </c>
      <c r="L524" t="n">
        <v>0</v>
      </c>
      <c r="M524" t="n">
        <v>0</v>
      </c>
      <c r="N524" t="n">
        <v>0</v>
      </c>
      <c r="O524" t="n">
        <v>0</v>
      </c>
      <c r="P524" t="n">
        <v>0</v>
      </c>
      <c r="Q524" t="n">
        <v>0</v>
      </c>
      <c r="R524" s="2" t="inlineStr"/>
    </row>
    <row r="525" ht="15" customHeight="1">
      <c r="A525" t="inlineStr">
        <is>
          <t>A 1993-2022</t>
        </is>
      </c>
      <c r="B525" s="1" t="n">
        <v>44575</v>
      </c>
      <c r="C525" s="1" t="n">
        <v>45886</v>
      </c>
      <c r="D525" t="inlineStr">
        <is>
          <t>VÄSTMANLANDS LÄN</t>
        </is>
      </c>
      <c r="E525" t="inlineStr">
        <is>
          <t>SALA</t>
        </is>
      </c>
      <c r="G525" t="n">
        <v>1.6</v>
      </c>
      <c r="H525" t="n">
        <v>0</v>
      </c>
      <c r="I525" t="n">
        <v>0</v>
      </c>
      <c r="J525" t="n">
        <v>0</v>
      </c>
      <c r="K525" t="n">
        <v>0</v>
      </c>
      <c r="L525" t="n">
        <v>0</v>
      </c>
      <c r="M525" t="n">
        <v>0</v>
      </c>
      <c r="N525" t="n">
        <v>0</v>
      </c>
      <c r="O525" t="n">
        <v>0</v>
      </c>
      <c r="P525" t="n">
        <v>0</v>
      </c>
      <c r="Q525" t="n">
        <v>0</v>
      </c>
      <c r="R525" s="2" t="inlineStr"/>
    </row>
    <row r="526" ht="15" customHeight="1">
      <c r="A526" t="inlineStr">
        <is>
          <t>A 10812-2021</t>
        </is>
      </c>
      <c r="B526" s="1" t="n">
        <v>44259</v>
      </c>
      <c r="C526" s="1" t="n">
        <v>45886</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1793-2023</t>
        </is>
      </c>
      <c r="B527" s="1" t="n">
        <v>44937</v>
      </c>
      <c r="C527" s="1" t="n">
        <v>45886</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10154-2021</t>
        </is>
      </c>
      <c r="B528" s="1" t="n">
        <v>44256</v>
      </c>
      <c r="C528" s="1" t="n">
        <v>45886</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16328-2025</t>
        </is>
      </c>
      <c r="B529" s="1" t="n">
        <v>45751</v>
      </c>
      <c r="C529" s="1" t="n">
        <v>45886</v>
      </c>
      <c r="D529" t="inlineStr">
        <is>
          <t>VÄSTMANLANDS LÄN</t>
        </is>
      </c>
      <c r="E529" t="inlineStr">
        <is>
          <t>SALA</t>
        </is>
      </c>
      <c r="G529" t="n">
        <v>2.9</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45886</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31609-2024</t>
        </is>
      </c>
      <c r="B531" s="1" t="n">
        <v>45506</v>
      </c>
      <c r="C531" s="1" t="n">
        <v>45886</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11183-2023</t>
        </is>
      </c>
      <c r="B532" s="1" t="n">
        <v>44992.57782407408</v>
      </c>
      <c r="C532" s="1" t="n">
        <v>45886</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11190-2023</t>
        </is>
      </c>
      <c r="B533" s="1" t="n">
        <v>44992</v>
      </c>
      <c r="C533" s="1" t="n">
        <v>45886</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31950-2023</t>
        </is>
      </c>
      <c r="B534" s="1" t="n">
        <v>45107</v>
      </c>
      <c r="C534" s="1" t="n">
        <v>45886</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35410-2022</t>
        </is>
      </c>
      <c r="B535" s="1" t="n">
        <v>44798.62576388889</v>
      </c>
      <c r="C535" s="1" t="n">
        <v>45886</v>
      </c>
      <c r="D535" t="inlineStr">
        <is>
          <t>VÄSTMANLANDS LÄN</t>
        </is>
      </c>
      <c r="E535" t="inlineStr">
        <is>
          <t>SALA</t>
        </is>
      </c>
      <c r="G535" t="n">
        <v>1.6</v>
      </c>
      <c r="H535" t="n">
        <v>0</v>
      </c>
      <c r="I535" t="n">
        <v>0</v>
      </c>
      <c r="J535" t="n">
        <v>0</v>
      </c>
      <c r="K535" t="n">
        <v>0</v>
      </c>
      <c r="L535" t="n">
        <v>0</v>
      </c>
      <c r="M535" t="n">
        <v>0</v>
      </c>
      <c r="N535" t="n">
        <v>0</v>
      </c>
      <c r="O535" t="n">
        <v>0</v>
      </c>
      <c r="P535" t="n">
        <v>0</v>
      </c>
      <c r="Q535" t="n">
        <v>0</v>
      </c>
      <c r="R535" s="2" t="inlineStr"/>
    </row>
    <row r="536" ht="15" customHeight="1">
      <c r="A536" t="inlineStr">
        <is>
          <t>A 48710-2024</t>
        </is>
      </c>
      <c r="B536" s="1" t="n">
        <v>45593.53636574074</v>
      </c>
      <c r="C536" s="1" t="n">
        <v>45886</v>
      </c>
      <c r="D536" t="inlineStr">
        <is>
          <t>VÄSTMANLANDS LÄN</t>
        </is>
      </c>
      <c r="E536" t="inlineStr">
        <is>
          <t>SALA</t>
        </is>
      </c>
      <c r="G536" t="n">
        <v>6.5</v>
      </c>
      <c r="H536" t="n">
        <v>0</v>
      </c>
      <c r="I536" t="n">
        <v>0</v>
      </c>
      <c r="J536" t="n">
        <v>0</v>
      </c>
      <c r="K536" t="n">
        <v>0</v>
      </c>
      <c r="L536" t="n">
        <v>0</v>
      </c>
      <c r="M536" t="n">
        <v>0</v>
      </c>
      <c r="N536" t="n">
        <v>0</v>
      </c>
      <c r="O536" t="n">
        <v>0</v>
      </c>
      <c r="P536" t="n">
        <v>0</v>
      </c>
      <c r="Q536" t="n">
        <v>0</v>
      </c>
      <c r="R536" s="2" t="inlineStr"/>
    </row>
    <row r="537" ht="15" customHeight="1">
      <c r="A537" t="inlineStr">
        <is>
          <t>A 23406-2024</t>
        </is>
      </c>
      <c r="B537" s="1" t="n">
        <v>45453.58296296297</v>
      </c>
      <c r="C537" s="1" t="n">
        <v>45886</v>
      </c>
      <c r="D537" t="inlineStr">
        <is>
          <t>VÄSTMANLANDS LÄN</t>
        </is>
      </c>
      <c r="E537" t="inlineStr">
        <is>
          <t>SALA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12246-2023</t>
        </is>
      </c>
      <c r="B538" s="1" t="n">
        <v>44995</v>
      </c>
      <c r="C538" s="1" t="n">
        <v>45886</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57800-2020</t>
        </is>
      </c>
      <c r="B539" s="1" t="n">
        <v>44141</v>
      </c>
      <c r="C539" s="1" t="n">
        <v>45886</v>
      </c>
      <c r="D539" t="inlineStr">
        <is>
          <t>VÄSTMANLANDS LÄN</t>
        </is>
      </c>
      <c r="E539" t="inlineStr">
        <is>
          <t>SALA</t>
        </is>
      </c>
      <c r="F539" t="inlineStr">
        <is>
          <t>Sveaskog</t>
        </is>
      </c>
      <c r="G539" t="n">
        <v>2.1</v>
      </c>
      <c r="H539" t="n">
        <v>0</v>
      </c>
      <c r="I539" t="n">
        <v>0</v>
      </c>
      <c r="J539" t="n">
        <v>0</v>
      </c>
      <c r="K539" t="n">
        <v>0</v>
      </c>
      <c r="L539" t="n">
        <v>0</v>
      </c>
      <c r="M539" t="n">
        <v>0</v>
      </c>
      <c r="N539" t="n">
        <v>0</v>
      </c>
      <c r="O539" t="n">
        <v>0</v>
      </c>
      <c r="P539" t="n">
        <v>0</v>
      </c>
      <c r="Q539" t="n">
        <v>0</v>
      </c>
      <c r="R539" s="2" t="inlineStr"/>
    </row>
    <row r="540" ht="15" customHeight="1">
      <c r="A540" t="inlineStr">
        <is>
          <t>A 48571-2024</t>
        </is>
      </c>
      <c r="B540" s="1" t="n">
        <v>45591</v>
      </c>
      <c r="C540" s="1" t="n">
        <v>45886</v>
      </c>
      <c r="D540" t="inlineStr">
        <is>
          <t>VÄSTMANLANDS LÄN</t>
        </is>
      </c>
      <c r="E540" t="inlineStr">
        <is>
          <t>SALA</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50801-2020</t>
        </is>
      </c>
      <c r="B541" s="1" t="n">
        <v>44111</v>
      </c>
      <c r="C541" s="1" t="n">
        <v>45886</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21159-2022</t>
        </is>
      </c>
      <c r="B542" s="1" t="n">
        <v>44704</v>
      </c>
      <c r="C542" s="1" t="n">
        <v>45886</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45886</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41292-2021</t>
        </is>
      </c>
      <c r="B544" s="1" t="n">
        <v>44424</v>
      </c>
      <c r="C544" s="1" t="n">
        <v>45886</v>
      </c>
      <c r="D544" t="inlineStr">
        <is>
          <t>VÄSTMANLANDS LÄN</t>
        </is>
      </c>
      <c r="E544" t="inlineStr">
        <is>
          <t>SALA</t>
        </is>
      </c>
      <c r="G544" t="n">
        <v>0.3</v>
      </c>
      <c r="H544" t="n">
        <v>0</v>
      </c>
      <c r="I544" t="n">
        <v>0</v>
      </c>
      <c r="J544" t="n">
        <v>0</v>
      </c>
      <c r="K544" t="n">
        <v>0</v>
      </c>
      <c r="L544" t="n">
        <v>0</v>
      </c>
      <c r="M544" t="n">
        <v>0</v>
      </c>
      <c r="N544" t="n">
        <v>0</v>
      </c>
      <c r="O544" t="n">
        <v>0</v>
      </c>
      <c r="P544" t="n">
        <v>0</v>
      </c>
      <c r="Q544" t="n">
        <v>0</v>
      </c>
      <c r="R544" s="2" t="inlineStr"/>
    </row>
    <row r="545" ht="15" customHeight="1">
      <c r="A545" t="inlineStr">
        <is>
          <t>A 60328-2024</t>
        </is>
      </c>
      <c r="B545" s="1" t="n">
        <v>45643.38416666666</v>
      </c>
      <c r="C545" s="1" t="n">
        <v>45886</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16767-2024</t>
        </is>
      </c>
      <c r="B546" s="1" t="n">
        <v>45411.38171296296</v>
      </c>
      <c r="C546" s="1" t="n">
        <v>45886</v>
      </c>
      <c r="D546" t="inlineStr">
        <is>
          <t>VÄSTMANLANDS LÄN</t>
        </is>
      </c>
      <c r="E546" t="inlineStr">
        <is>
          <t>SALA</t>
        </is>
      </c>
      <c r="G546" t="n">
        <v>2.5</v>
      </c>
      <c r="H546" t="n">
        <v>0</v>
      </c>
      <c r="I546" t="n">
        <v>0</v>
      </c>
      <c r="J546" t="n">
        <v>0</v>
      </c>
      <c r="K546" t="n">
        <v>0</v>
      </c>
      <c r="L546" t="n">
        <v>0</v>
      </c>
      <c r="M546" t="n">
        <v>0</v>
      </c>
      <c r="N546" t="n">
        <v>0</v>
      </c>
      <c r="O546" t="n">
        <v>0</v>
      </c>
      <c r="P546" t="n">
        <v>0</v>
      </c>
      <c r="Q546" t="n">
        <v>0</v>
      </c>
      <c r="R546" s="2" t="inlineStr"/>
    </row>
    <row r="547" ht="15" customHeight="1">
      <c r="A547" t="inlineStr">
        <is>
          <t>A 6088-2021</t>
        </is>
      </c>
      <c r="B547" s="1" t="n">
        <v>44232</v>
      </c>
      <c r="C547" s="1" t="n">
        <v>45886</v>
      </c>
      <c r="D547" t="inlineStr">
        <is>
          <t>VÄSTMANLANDS LÄN</t>
        </is>
      </c>
      <c r="E547" t="inlineStr">
        <is>
          <t>SALA</t>
        </is>
      </c>
      <c r="G547" t="n">
        <v>0.2</v>
      </c>
      <c r="H547" t="n">
        <v>0</v>
      </c>
      <c r="I547" t="n">
        <v>0</v>
      </c>
      <c r="J547" t="n">
        <v>0</v>
      </c>
      <c r="K547" t="n">
        <v>0</v>
      </c>
      <c r="L547" t="n">
        <v>0</v>
      </c>
      <c r="M547" t="n">
        <v>0</v>
      </c>
      <c r="N547" t="n">
        <v>0</v>
      </c>
      <c r="O547" t="n">
        <v>0</v>
      </c>
      <c r="P547" t="n">
        <v>0</v>
      </c>
      <c r="Q547" t="n">
        <v>0</v>
      </c>
      <c r="R547" s="2" t="inlineStr"/>
    </row>
    <row r="548" ht="15" customHeight="1">
      <c r="A548" t="inlineStr">
        <is>
          <t>A 33273-2023</t>
        </is>
      </c>
      <c r="B548" s="1" t="n">
        <v>45127</v>
      </c>
      <c r="C548" s="1" t="n">
        <v>45886</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31470-2021</t>
        </is>
      </c>
      <c r="B549" s="1" t="n">
        <v>44369</v>
      </c>
      <c r="C549" s="1" t="n">
        <v>45886</v>
      </c>
      <c r="D549" t="inlineStr">
        <is>
          <t>VÄSTMANLANDS LÄN</t>
        </is>
      </c>
      <c r="E549" t="inlineStr">
        <is>
          <t>SALA</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18461-2024</t>
        </is>
      </c>
      <c r="B550" s="1" t="n">
        <v>45425.47435185185</v>
      </c>
      <c r="C550" s="1" t="n">
        <v>45886</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29230-2022</t>
        </is>
      </c>
      <c r="B551" s="1" t="n">
        <v>44750</v>
      </c>
      <c r="C551" s="1" t="n">
        <v>45886</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9335-2022</t>
        </is>
      </c>
      <c r="B552" s="1" t="n">
        <v>44616.56579861111</v>
      </c>
      <c r="C552" s="1" t="n">
        <v>45886</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52827-2024</t>
        </is>
      </c>
      <c r="B553" s="1" t="n">
        <v>45610</v>
      </c>
      <c r="C553" s="1" t="n">
        <v>45886</v>
      </c>
      <c r="D553" t="inlineStr">
        <is>
          <t>VÄSTMANLANDS LÄN</t>
        </is>
      </c>
      <c r="E553" t="inlineStr">
        <is>
          <t>SALA</t>
        </is>
      </c>
      <c r="G553" t="n">
        <v>0.2</v>
      </c>
      <c r="H553" t="n">
        <v>0</v>
      </c>
      <c r="I553" t="n">
        <v>0</v>
      </c>
      <c r="J553" t="n">
        <v>0</v>
      </c>
      <c r="K553" t="n">
        <v>0</v>
      </c>
      <c r="L553" t="n">
        <v>0</v>
      </c>
      <c r="M553" t="n">
        <v>0</v>
      </c>
      <c r="N553" t="n">
        <v>0</v>
      </c>
      <c r="O553" t="n">
        <v>0</v>
      </c>
      <c r="P553" t="n">
        <v>0</v>
      </c>
      <c r="Q553" t="n">
        <v>0</v>
      </c>
      <c r="R553" s="2" t="inlineStr"/>
    </row>
    <row r="554" ht="15" customHeight="1">
      <c r="A554" t="inlineStr">
        <is>
          <t>A 53166-2024</t>
        </is>
      </c>
      <c r="B554" s="1" t="n">
        <v>45611</v>
      </c>
      <c r="C554" s="1" t="n">
        <v>45886</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11244-2024</t>
        </is>
      </c>
      <c r="B555" s="1" t="n">
        <v>45371</v>
      </c>
      <c r="C555" s="1" t="n">
        <v>45886</v>
      </c>
      <c r="D555" t="inlineStr">
        <is>
          <t>VÄSTMANLANDS LÄN</t>
        </is>
      </c>
      <c r="E555" t="inlineStr">
        <is>
          <t>SALA</t>
        </is>
      </c>
      <c r="G555" t="n">
        <v>1.2</v>
      </c>
      <c r="H555" t="n">
        <v>0</v>
      </c>
      <c r="I555" t="n">
        <v>0</v>
      </c>
      <c r="J555" t="n">
        <v>0</v>
      </c>
      <c r="K555" t="n">
        <v>0</v>
      </c>
      <c r="L555" t="n">
        <v>0</v>
      </c>
      <c r="M555" t="n">
        <v>0</v>
      </c>
      <c r="N555" t="n">
        <v>0</v>
      </c>
      <c r="O555" t="n">
        <v>0</v>
      </c>
      <c r="P555" t="n">
        <v>0</v>
      </c>
      <c r="Q555" t="n">
        <v>0</v>
      </c>
      <c r="R555" s="2" t="inlineStr"/>
    </row>
    <row r="556" ht="15" customHeight="1">
      <c r="A556" t="inlineStr">
        <is>
          <t>A 62654-2022</t>
        </is>
      </c>
      <c r="B556" s="1" t="n">
        <v>44917</v>
      </c>
      <c r="C556" s="1" t="n">
        <v>45886</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47479-2024</t>
        </is>
      </c>
      <c r="B557" s="1" t="n">
        <v>45587</v>
      </c>
      <c r="C557" s="1" t="n">
        <v>45886</v>
      </c>
      <c r="D557" t="inlineStr">
        <is>
          <t>VÄSTMANLANDS LÄN</t>
        </is>
      </c>
      <c r="E557" t="inlineStr">
        <is>
          <t>SALA</t>
        </is>
      </c>
      <c r="F557" t="inlineStr">
        <is>
          <t>Kommuner</t>
        </is>
      </c>
      <c r="G557" t="n">
        <v>0.8</v>
      </c>
      <c r="H557" t="n">
        <v>0</v>
      </c>
      <c r="I557" t="n">
        <v>0</v>
      </c>
      <c r="J557" t="n">
        <v>0</v>
      </c>
      <c r="K557" t="n">
        <v>0</v>
      </c>
      <c r="L557" t="n">
        <v>0</v>
      </c>
      <c r="M557" t="n">
        <v>0</v>
      </c>
      <c r="N557" t="n">
        <v>0</v>
      </c>
      <c r="O557" t="n">
        <v>0</v>
      </c>
      <c r="P557" t="n">
        <v>0</v>
      </c>
      <c r="Q557" t="n">
        <v>0</v>
      </c>
      <c r="R557" s="2" t="inlineStr"/>
    </row>
    <row r="558" ht="15" customHeight="1">
      <c r="A558" t="inlineStr">
        <is>
          <t>A 6135-2023</t>
        </is>
      </c>
      <c r="B558" s="1" t="n">
        <v>44964.62628472222</v>
      </c>
      <c r="C558" s="1" t="n">
        <v>45886</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44880.64016203704</v>
      </c>
      <c r="C559" s="1" t="n">
        <v>45886</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19065-2022</t>
        </is>
      </c>
      <c r="B560" s="1" t="n">
        <v>44691.44309027777</v>
      </c>
      <c r="C560" s="1" t="n">
        <v>45886</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22961-2023</t>
        </is>
      </c>
      <c r="B561" s="1" t="n">
        <v>45072</v>
      </c>
      <c r="C561" s="1" t="n">
        <v>45886</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22963-2023</t>
        </is>
      </c>
      <c r="B562" s="1" t="n">
        <v>45072</v>
      </c>
      <c r="C562" s="1" t="n">
        <v>45886</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27255-2023</t>
        </is>
      </c>
      <c r="B563" s="1" t="n">
        <v>45096</v>
      </c>
      <c r="C563" s="1" t="n">
        <v>45886</v>
      </c>
      <c r="D563" t="inlineStr">
        <is>
          <t>VÄSTMANLANDS LÄN</t>
        </is>
      </c>
      <c r="E563" t="inlineStr">
        <is>
          <t>SALA</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60034-2024</t>
        </is>
      </c>
      <c r="B564" s="1" t="n">
        <v>45642.46261574074</v>
      </c>
      <c r="C564" s="1" t="n">
        <v>45886</v>
      </c>
      <c r="D564" t="inlineStr">
        <is>
          <t>VÄSTMANLANDS LÄN</t>
        </is>
      </c>
      <c r="E564" t="inlineStr">
        <is>
          <t>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3810-2023</t>
        </is>
      </c>
      <c r="B565" s="1" t="n">
        <v>44951.60454861111</v>
      </c>
      <c r="C565" s="1" t="n">
        <v>45886</v>
      </c>
      <c r="D565" t="inlineStr">
        <is>
          <t>VÄSTMANLANDS LÄN</t>
        </is>
      </c>
      <c r="E565" t="inlineStr">
        <is>
          <t>SALA</t>
        </is>
      </c>
      <c r="G565" t="n">
        <v>4.2</v>
      </c>
      <c r="H565" t="n">
        <v>0</v>
      </c>
      <c r="I565" t="n">
        <v>0</v>
      </c>
      <c r="J565" t="n">
        <v>0</v>
      </c>
      <c r="K565" t="n">
        <v>0</v>
      </c>
      <c r="L565" t="n">
        <v>0</v>
      </c>
      <c r="M565" t="n">
        <v>0</v>
      </c>
      <c r="N565" t="n">
        <v>0</v>
      </c>
      <c r="O565" t="n">
        <v>0</v>
      </c>
      <c r="P565" t="n">
        <v>0</v>
      </c>
      <c r="Q565" t="n">
        <v>0</v>
      </c>
      <c r="R565" s="2" t="inlineStr"/>
    </row>
    <row r="566" ht="15" customHeight="1">
      <c r="A566" t="inlineStr">
        <is>
          <t>A 10585-2022</t>
        </is>
      </c>
      <c r="B566" s="1" t="n">
        <v>44624</v>
      </c>
      <c r="C566" s="1" t="n">
        <v>45886</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69236-2021</t>
        </is>
      </c>
      <c r="B567" s="1" t="n">
        <v>44531.4047337963</v>
      </c>
      <c r="C567" s="1" t="n">
        <v>45886</v>
      </c>
      <c r="D567" t="inlineStr">
        <is>
          <t>VÄSTMANLANDS LÄN</t>
        </is>
      </c>
      <c r="E567" t="inlineStr">
        <is>
          <t>SALA</t>
        </is>
      </c>
      <c r="G567" t="n">
        <v>2.8</v>
      </c>
      <c r="H567" t="n">
        <v>0</v>
      </c>
      <c r="I567" t="n">
        <v>0</v>
      </c>
      <c r="J567" t="n">
        <v>0</v>
      </c>
      <c r="K567" t="n">
        <v>0</v>
      </c>
      <c r="L567" t="n">
        <v>0</v>
      </c>
      <c r="M567" t="n">
        <v>0</v>
      </c>
      <c r="N567" t="n">
        <v>0</v>
      </c>
      <c r="O567" t="n">
        <v>0</v>
      </c>
      <c r="P567" t="n">
        <v>0</v>
      </c>
      <c r="Q567" t="n">
        <v>0</v>
      </c>
      <c r="R567" s="2" t="inlineStr"/>
    </row>
    <row r="568" ht="15" customHeight="1">
      <c r="A568" t="inlineStr">
        <is>
          <t>A 48117-2024</t>
        </is>
      </c>
      <c r="B568" s="1" t="n">
        <v>45589</v>
      </c>
      <c r="C568" s="1" t="n">
        <v>45886</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52503-2024</t>
        </is>
      </c>
      <c r="B569" s="1" t="n">
        <v>45609.58806712963</v>
      </c>
      <c r="C569" s="1" t="n">
        <v>45886</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12225-2023</t>
        </is>
      </c>
      <c r="B570" s="1" t="n">
        <v>44995</v>
      </c>
      <c r="C570" s="1" t="n">
        <v>45886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12252-2023</t>
        </is>
      </c>
      <c r="B571" s="1" t="n">
        <v>44995</v>
      </c>
      <c r="C571" s="1" t="n">
        <v>45886</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2521-2025</t>
        </is>
      </c>
      <c r="B572" s="1" t="n">
        <v>45674</v>
      </c>
      <c r="C572" s="1" t="n">
        <v>45886</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6116-2023</t>
        </is>
      </c>
      <c r="B573" s="1" t="n">
        <v>44964</v>
      </c>
      <c r="C573" s="1" t="n">
        <v>45886</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18100-2023</t>
        </is>
      </c>
      <c r="B574" s="1" t="n">
        <v>45040</v>
      </c>
      <c r="C574" s="1" t="n">
        <v>45886</v>
      </c>
      <c r="D574" t="inlineStr">
        <is>
          <t>VÄSTMANLANDS LÄN</t>
        </is>
      </c>
      <c r="E574" t="inlineStr">
        <is>
          <t>SALA</t>
        </is>
      </c>
      <c r="G574" t="n">
        <v>1.8</v>
      </c>
      <c r="H574" t="n">
        <v>0</v>
      </c>
      <c r="I574" t="n">
        <v>0</v>
      </c>
      <c r="J574" t="n">
        <v>0</v>
      </c>
      <c r="K574" t="n">
        <v>0</v>
      </c>
      <c r="L574" t="n">
        <v>0</v>
      </c>
      <c r="M574" t="n">
        <v>0</v>
      </c>
      <c r="N574" t="n">
        <v>0</v>
      </c>
      <c r="O574" t="n">
        <v>0</v>
      </c>
      <c r="P574" t="n">
        <v>0</v>
      </c>
      <c r="Q574" t="n">
        <v>0</v>
      </c>
      <c r="R574" s="2" t="inlineStr"/>
    </row>
    <row r="575" ht="15" customHeight="1">
      <c r="A575" t="inlineStr">
        <is>
          <t>A 31000-2022</t>
        </is>
      </c>
      <c r="B575" s="1" t="n">
        <v>44768</v>
      </c>
      <c r="C575" s="1" t="n">
        <v>45886</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13471-2025</t>
        </is>
      </c>
      <c r="B576" s="1" t="n">
        <v>45736.40579861111</v>
      </c>
      <c r="C576" s="1" t="n">
        <v>45886</v>
      </c>
      <c r="D576" t="inlineStr">
        <is>
          <t>VÄSTMANLANDS LÄN</t>
        </is>
      </c>
      <c r="E576" t="inlineStr">
        <is>
          <t>SALA</t>
        </is>
      </c>
      <c r="G576" t="n">
        <v>1.1</v>
      </c>
      <c r="H576" t="n">
        <v>0</v>
      </c>
      <c r="I576" t="n">
        <v>0</v>
      </c>
      <c r="J576" t="n">
        <v>0</v>
      </c>
      <c r="K576" t="n">
        <v>0</v>
      </c>
      <c r="L576" t="n">
        <v>0</v>
      </c>
      <c r="M576" t="n">
        <v>0</v>
      </c>
      <c r="N576" t="n">
        <v>0</v>
      </c>
      <c r="O576" t="n">
        <v>0</v>
      </c>
      <c r="P576" t="n">
        <v>0</v>
      </c>
      <c r="Q576" t="n">
        <v>0</v>
      </c>
      <c r="R576" s="2" t="inlineStr"/>
    </row>
    <row r="577" ht="15" customHeight="1">
      <c r="A577" t="inlineStr">
        <is>
          <t>A 26854-2024</t>
        </is>
      </c>
      <c r="B577" s="1" t="n">
        <v>45470</v>
      </c>
      <c r="C577" s="1" t="n">
        <v>45886</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37602-2024</t>
        </is>
      </c>
      <c r="B578" s="1" t="n">
        <v>45541</v>
      </c>
      <c r="C578" s="1" t="n">
        <v>45886</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1985-2022</t>
        </is>
      </c>
      <c r="B579" s="1" t="n">
        <v>44575</v>
      </c>
      <c r="C579" s="1" t="n">
        <v>45886</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6308-2021</t>
        </is>
      </c>
      <c r="B580" s="1" t="n">
        <v>44235</v>
      </c>
      <c r="C580" s="1" t="n">
        <v>45886</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31950-2023</t>
        </is>
      </c>
      <c r="B581" s="1" t="n">
        <v>45107</v>
      </c>
      <c r="C581" s="1" t="n">
        <v>45886</v>
      </c>
      <c r="D581" t="inlineStr">
        <is>
          <t>VÄSTMANLANDS LÄN</t>
        </is>
      </c>
      <c r="E581" t="inlineStr">
        <is>
          <t>SALA</t>
        </is>
      </c>
      <c r="G581" t="n">
        <v>0.1</v>
      </c>
      <c r="H581" t="n">
        <v>0</v>
      </c>
      <c r="I581" t="n">
        <v>0</v>
      </c>
      <c r="J581" t="n">
        <v>0</v>
      </c>
      <c r="K581" t="n">
        <v>0</v>
      </c>
      <c r="L581" t="n">
        <v>0</v>
      </c>
      <c r="M581" t="n">
        <v>0</v>
      </c>
      <c r="N581" t="n">
        <v>0</v>
      </c>
      <c r="O581" t="n">
        <v>0</v>
      </c>
      <c r="P581" t="n">
        <v>0</v>
      </c>
      <c r="Q581" t="n">
        <v>0</v>
      </c>
      <c r="R581" s="2" t="inlineStr"/>
    </row>
    <row r="582" ht="15" customHeight="1">
      <c r="A582" t="inlineStr">
        <is>
          <t>A 21455-2023</t>
        </is>
      </c>
      <c r="B582" s="1" t="n">
        <v>45058</v>
      </c>
      <c r="C582" s="1" t="n">
        <v>45886</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4797-2023</t>
        </is>
      </c>
      <c r="B583" s="1" t="n">
        <v>44957</v>
      </c>
      <c r="C583" s="1" t="n">
        <v>45886</v>
      </c>
      <c r="D583" t="inlineStr">
        <is>
          <t>VÄSTMANLANDS LÄN</t>
        </is>
      </c>
      <c r="E583" t="inlineStr">
        <is>
          <t>SALA</t>
        </is>
      </c>
      <c r="G583" t="n">
        <v>5.7</v>
      </c>
      <c r="H583" t="n">
        <v>0</v>
      </c>
      <c r="I583" t="n">
        <v>0</v>
      </c>
      <c r="J583" t="n">
        <v>0</v>
      </c>
      <c r="K583" t="n">
        <v>0</v>
      </c>
      <c r="L583" t="n">
        <v>0</v>
      </c>
      <c r="M583" t="n">
        <v>0</v>
      </c>
      <c r="N583" t="n">
        <v>0</v>
      </c>
      <c r="O583" t="n">
        <v>0</v>
      </c>
      <c r="P583" t="n">
        <v>0</v>
      </c>
      <c r="Q583" t="n">
        <v>0</v>
      </c>
      <c r="R583" s="2" t="inlineStr"/>
    </row>
    <row r="584" ht="15" customHeight="1">
      <c r="A584" t="inlineStr">
        <is>
          <t>A 4852-2023</t>
        </is>
      </c>
      <c r="B584" s="1" t="n">
        <v>44957.72496527778</v>
      </c>
      <c r="C584" s="1" t="n">
        <v>45886</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36858-2023</t>
        </is>
      </c>
      <c r="B585" s="1" t="n">
        <v>45154.55184027777</v>
      </c>
      <c r="C585" s="1" t="n">
        <v>45886</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16693-2023</t>
        </is>
      </c>
      <c r="B586" s="1" t="n">
        <v>45028</v>
      </c>
      <c r="C586" s="1" t="n">
        <v>45886</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58701-2021</t>
        </is>
      </c>
      <c r="B587" s="1" t="n">
        <v>44489.46454861111</v>
      </c>
      <c r="C587" s="1" t="n">
        <v>45886</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23182-2022</t>
        </is>
      </c>
      <c r="B588" s="1" t="n">
        <v>44719.79707175926</v>
      </c>
      <c r="C588" s="1" t="n">
        <v>45886</v>
      </c>
      <c r="D588" t="inlineStr">
        <is>
          <t>VÄSTMANLANDS LÄN</t>
        </is>
      </c>
      <c r="E588" t="inlineStr">
        <is>
          <t>SALA</t>
        </is>
      </c>
      <c r="G588" t="n">
        <v>1.2</v>
      </c>
      <c r="H588" t="n">
        <v>0</v>
      </c>
      <c r="I588" t="n">
        <v>0</v>
      </c>
      <c r="J588" t="n">
        <v>0</v>
      </c>
      <c r="K588" t="n">
        <v>0</v>
      </c>
      <c r="L588" t="n">
        <v>0</v>
      </c>
      <c r="M588" t="n">
        <v>0</v>
      </c>
      <c r="N588" t="n">
        <v>0</v>
      </c>
      <c r="O588" t="n">
        <v>0</v>
      </c>
      <c r="P588" t="n">
        <v>0</v>
      </c>
      <c r="Q588" t="n">
        <v>0</v>
      </c>
      <c r="R588" s="2" t="inlineStr"/>
    </row>
    <row r="589" ht="15" customHeight="1">
      <c r="A589" t="inlineStr">
        <is>
          <t>A 57371-2022</t>
        </is>
      </c>
      <c r="B589" s="1" t="n">
        <v>44896.43832175926</v>
      </c>
      <c r="C589" s="1" t="n">
        <v>45886</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37337-2024</t>
        </is>
      </c>
      <c r="B590" s="1" t="n">
        <v>45540</v>
      </c>
      <c r="C590" s="1" t="n">
        <v>45886</v>
      </c>
      <c r="D590" t="inlineStr">
        <is>
          <t>VÄSTMANLANDS LÄN</t>
        </is>
      </c>
      <c r="E590" t="inlineStr">
        <is>
          <t>SALA</t>
        </is>
      </c>
      <c r="G590" t="n">
        <v>6.5</v>
      </c>
      <c r="H590" t="n">
        <v>0</v>
      </c>
      <c r="I590" t="n">
        <v>0</v>
      </c>
      <c r="J590" t="n">
        <v>0</v>
      </c>
      <c r="K590" t="n">
        <v>0</v>
      </c>
      <c r="L590" t="n">
        <v>0</v>
      </c>
      <c r="M590" t="n">
        <v>0</v>
      </c>
      <c r="N590" t="n">
        <v>0</v>
      </c>
      <c r="O590" t="n">
        <v>0</v>
      </c>
      <c r="P590" t="n">
        <v>0</v>
      </c>
      <c r="Q590" t="n">
        <v>0</v>
      </c>
      <c r="R590" s="2" t="inlineStr"/>
    </row>
    <row r="591" ht="15" customHeight="1">
      <c r="A591" t="inlineStr">
        <is>
          <t>A 61717-2024</t>
        </is>
      </c>
      <c r="B591" s="1" t="n">
        <v>45648</v>
      </c>
      <c r="C591" s="1" t="n">
        <v>45886</v>
      </c>
      <c r="D591" t="inlineStr">
        <is>
          <t>VÄSTMANLANDS LÄN</t>
        </is>
      </c>
      <c r="E591" t="inlineStr">
        <is>
          <t>SALA</t>
        </is>
      </c>
      <c r="G591" t="n">
        <v>3.7</v>
      </c>
      <c r="H591" t="n">
        <v>0</v>
      </c>
      <c r="I591" t="n">
        <v>0</v>
      </c>
      <c r="J591" t="n">
        <v>0</v>
      </c>
      <c r="K591" t="n">
        <v>0</v>
      </c>
      <c r="L591" t="n">
        <v>0</v>
      </c>
      <c r="M591" t="n">
        <v>0</v>
      </c>
      <c r="N591" t="n">
        <v>0</v>
      </c>
      <c r="O591" t="n">
        <v>0</v>
      </c>
      <c r="P591" t="n">
        <v>0</v>
      </c>
      <c r="Q591" t="n">
        <v>0</v>
      </c>
      <c r="R591" s="2" t="inlineStr"/>
    </row>
    <row r="592" ht="15" customHeight="1">
      <c r="A592" t="inlineStr">
        <is>
          <t>A 56548-2024</t>
        </is>
      </c>
      <c r="B592" s="1" t="n">
        <v>45625</v>
      </c>
      <c r="C592" s="1" t="n">
        <v>45886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47086-2022</t>
        </is>
      </c>
      <c r="B593" s="1" t="n">
        <v>44852</v>
      </c>
      <c r="C593" s="1" t="n">
        <v>45886</v>
      </c>
      <c r="D593" t="inlineStr">
        <is>
          <t>VÄSTMANLANDS LÄN</t>
        </is>
      </c>
      <c r="E593" t="inlineStr">
        <is>
          <t>SALA</t>
        </is>
      </c>
      <c r="G593" t="n">
        <v>12.5</v>
      </c>
      <c r="H593" t="n">
        <v>0</v>
      </c>
      <c r="I593" t="n">
        <v>0</v>
      </c>
      <c r="J593" t="n">
        <v>0</v>
      </c>
      <c r="K593" t="n">
        <v>0</v>
      </c>
      <c r="L593" t="n">
        <v>0</v>
      </c>
      <c r="M593" t="n">
        <v>0</v>
      </c>
      <c r="N593" t="n">
        <v>0</v>
      </c>
      <c r="O593" t="n">
        <v>0</v>
      </c>
      <c r="P593" t="n">
        <v>0</v>
      </c>
      <c r="Q593" t="n">
        <v>0</v>
      </c>
      <c r="R593" s="2" t="inlineStr"/>
    </row>
    <row r="594" ht="15" customHeight="1">
      <c r="A594" t="inlineStr">
        <is>
          <t>A 55107-2024</t>
        </is>
      </c>
      <c r="B594" s="1" t="n">
        <v>45618</v>
      </c>
      <c r="C594" s="1" t="n">
        <v>45886</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10250-2025</t>
        </is>
      </c>
      <c r="B595" s="1" t="n">
        <v>45720.36165509259</v>
      </c>
      <c r="C595" s="1" t="n">
        <v>45886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23180-2022</t>
        </is>
      </c>
      <c r="B596" s="1" t="n">
        <v>44719.79344907407</v>
      </c>
      <c r="C596" s="1" t="n">
        <v>45886</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21053-2022</t>
        </is>
      </c>
      <c r="B597" s="1" t="n">
        <v>44704</v>
      </c>
      <c r="C597" s="1" t="n">
        <v>45886</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988-2025</t>
        </is>
      </c>
      <c r="B598" s="1" t="n">
        <v>45666.44038194444</v>
      </c>
      <c r="C598" s="1" t="n">
        <v>45886</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18340-2025</t>
        </is>
      </c>
      <c r="B599" s="1" t="n">
        <v>45762</v>
      </c>
      <c r="C599" s="1" t="n">
        <v>45886</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5032-2025</t>
        </is>
      </c>
      <c r="B600" s="1" t="n">
        <v>45691</v>
      </c>
      <c r="C600" s="1" t="n">
        <v>45886</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3546-2025</t>
        </is>
      </c>
      <c r="B601" s="1" t="n">
        <v>45680</v>
      </c>
      <c r="C601" s="1" t="n">
        <v>45886</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16638-2023</t>
        </is>
      </c>
      <c r="B602" s="1" t="n">
        <v>45027</v>
      </c>
      <c r="C602" s="1" t="n">
        <v>45886</v>
      </c>
      <c r="D602" t="inlineStr">
        <is>
          <t>VÄSTMANLANDS LÄN</t>
        </is>
      </c>
      <c r="E602" t="inlineStr">
        <is>
          <t>SALA</t>
        </is>
      </c>
      <c r="G602" t="n">
        <v>14.8</v>
      </c>
      <c r="H602" t="n">
        <v>0</v>
      </c>
      <c r="I602" t="n">
        <v>0</v>
      </c>
      <c r="J602" t="n">
        <v>0</v>
      </c>
      <c r="K602" t="n">
        <v>0</v>
      </c>
      <c r="L602" t="n">
        <v>0</v>
      </c>
      <c r="M602" t="n">
        <v>0</v>
      </c>
      <c r="N602" t="n">
        <v>0</v>
      </c>
      <c r="O602" t="n">
        <v>0</v>
      </c>
      <c r="P602" t="n">
        <v>0</v>
      </c>
      <c r="Q602" t="n">
        <v>0</v>
      </c>
      <c r="R602" s="2" t="inlineStr"/>
    </row>
    <row r="603" ht="15" customHeight="1">
      <c r="A603" t="inlineStr">
        <is>
          <t>A 52498-2022</t>
        </is>
      </c>
      <c r="B603" s="1" t="n">
        <v>44874.50152777778</v>
      </c>
      <c r="C603" s="1" t="n">
        <v>45886</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66908-2021</t>
        </is>
      </c>
      <c r="B604" s="1" t="n">
        <v>44522</v>
      </c>
      <c r="C604" s="1" t="n">
        <v>45886</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11696-2025</t>
        </is>
      </c>
      <c r="B605" s="1" t="n">
        <v>45727</v>
      </c>
      <c r="C605" s="1" t="n">
        <v>45886</v>
      </c>
      <c r="D605" t="inlineStr">
        <is>
          <t>VÄSTMANLANDS LÄN</t>
        </is>
      </c>
      <c r="E605" t="inlineStr">
        <is>
          <t>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17117-2023</t>
        </is>
      </c>
      <c r="B606" s="1" t="n">
        <v>45034</v>
      </c>
      <c r="C606" s="1" t="n">
        <v>45886</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59909-2024</t>
        </is>
      </c>
      <c r="B607" s="1" t="n">
        <v>45641</v>
      </c>
      <c r="C607" s="1" t="n">
        <v>45886</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30028-2024</t>
        </is>
      </c>
      <c r="B608" s="1" t="n">
        <v>45485</v>
      </c>
      <c r="C608" s="1" t="n">
        <v>45886</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43509-2021</t>
        </is>
      </c>
      <c r="B609" s="1" t="n">
        <v>44433</v>
      </c>
      <c r="C609" s="1" t="n">
        <v>45886</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42344-2020</t>
        </is>
      </c>
      <c r="B610" s="1" t="n">
        <v>44076</v>
      </c>
      <c r="C610" s="1" t="n">
        <v>45886</v>
      </c>
      <c r="D610" t="inlineStr">
        <is>
          <t>VÄSTMANLANDS LÄN</t>
        </is>
      </c>
      <c r="E610" t="inlineStr">
        <is>
          <t>SALA</t>
        </is>
      </c>
      <c r="G610" t="n">
        <v>5.1</v>
      </c>
      <c r="H610" t="n">
        <v>0</v>
      </c>
      <c r="I610" t="n">
        <v>0</v>
      </c>
      <c r="J610" t="n">
        <v>0</v>
      </c>
      <c r="K610" t="n">
        <v>0</v>
      </c>
      <c r="L610" t="n">
        <v>0</v>
      </c>
      <c r="M610" t="n">
        <v>0</v>
      </c>
      <c r="N610" t="n">
        <v>0</v>
      </c>
      <c r="O610" t="n">
        <v>0</v>
      </c>
      <c r="P610" t="n">
        <v>0</v>
      </c>
      <c r="Q610" t="n">
        <v>0</v>
      </c>
      <c r="R610" s="2" t="inlineStr"/>
    </row>
    <row r="611" ht="15" customHeight="1">
      <c r="A611" t="inlineStr">
        <is>
          <t>A 42346-2020</t>
        </is>
      </c>
      <c r="B611" s="1" t="n">
        <v>44076</v>
      </c>
      <c r="C611" s="1" t="n">
        <v>45886</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33309-2022</t>
        </is>
      </c>
      <c r="B612" s="1" t="n">
        <v>44788.40986111111</v>
      </c>
      <c r="C612" s="1" t="n">
        <v>45886</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7377-2023</t>
        </is>
      </c>
      <c r="B613" s="1" t="n">
        <v>44971</v>
      </c>
      <c r="C613" s="1" t="n">
        <v>45886</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13746-2025</t>
        </is>
      </c>
      <c r="B614" s="1" t="n">
        <v>45737.40944444444</v>
      </c>
      <c r="C614" s="1" t="n">
        <v>45886</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27229-2022</t>
        </is>
      </c>
      <c r="B615" s="1" t="n">
        <v>44741</v>
      </c>
      <c r="C615" s="1" t="n">
        <v>45886</v>
      </c>
      <c r="D615" t="inlineStr">
        <is>
          <t>VÄSTMANLANDS LÄN</t>
        </is>
      </c>
      <c r="E615" t="inlineStr">
        <is>
          <t>SALA</t>
        </is>
      </c>
      <c r="F615" t="inlineStr">
        <is>
          <t>Kommuner</t>
        </is>
      </c>
      <c r="G615" t="n">
        <v>1.4</v>
      </c>
      <c r="H615" t="n">
        <v>0</v>
      </c>
      <c r="I615" t="n">
        <v>0</v>
      </c>
      <c r="J615" t="n">
        <v>0</v>
      </c>
      <c r="K615" t="n">
        <v>0</v>
      </c>
      <c r="L615" t="n">
        <v>0</v>
      </c>
      <c r="M615" t="n">
        <v>0</v>
      </c>
      <c r="N615" t="n">
        <v>0</v>
      </c>
      <c r="O615" t="n">
        <v>0</v>
      </c>
      <c r="P615" t="n">
        <v>0</v>
      </c>
      <c r="Q615" t="n">
        <v>0</v>
      </c>
      <c r="R615" s="2" t="inlineStr"/>
    </row>
    <row r="616" ht="15" customHeight="1">
      <c r="A616" t="inlineStr">
        <is>
          <t>A 25897-2024</t>
        </is>
      </c>
      <c r="B616" s="1" t="n">
        <v>45467.54435185185</v>
      </c>
      <c r="C616" s="1" t="n">
        <v>45886</v>
      </c>
      <c r="D616" t="inlineStr">
        <is>
          <t>VÄSTMANLANDS LÄN</t>
        </is>
      </c>
      <c r="E616" t="inlineStr">
        <is>
          <t>SALA</t>
        </is>
      </c>
      <c r="G616" t="n">
        <v>9.9</v>
      </c>
      <c r="H616" t="n">
        <v>0</v>
      </c>
      <c r="I616" t="n">
        <v>0</v>
      </c>
      <c r="J616" t="n">
        <v>0</v>
      </c>
      <c r="K616" t="n">
        <v>0</v>
      </c>
      <c r="L616" t="n">
        <v>0</v>
      </c>
      <c r="M616" t="n">
        <v>0</v>
      </c>
      <c r="N616" t="n">
        <v>0</v>
      </c>
      <c r="O616" t="n">
        <v>0</v>
      </c>
      <c r="P616" t="n">
        <v>0</v>
      </c>
      <c r="Q616" t="n">
        <v>0</v>
      </c>
      <c r="R616" s="2" t="inlineStr"/>
    </row>
    <row r="617" ht="15" customHeight="1">
      <c r="A617" t="inlineStr">
        <is>
          <t>A 23222-2023</t>
        </is>
      </c>
      <c r="B617" s="1" t="n">
        <v>45075</v>
      </c>
      <c r="C617" s="1" t="n">
        <v>45886</v>
      </c>
      <c r="D617" t="inlineStr">
        <is>
          <t>VÄSTMANLANDS LÄN</t>
        </is>
      </c>
      <c r="E617" t="inlineStr">
        <is>
          <t>SALA</t>
        </is>
      </c>
      <c r="G617" t="n">
        <v>0.8</v>
      </c>
      <c r="H617" t="n">
        <v>0</v>
      </c>
      <c r="I617" t="n">
        <v>0</v>
      </c>
      <c r="J617" t="n">
        <v>0</v>
      </c>
      <c r="K617" t="n">
        <v>0</v>
      </c>
      <c r="L617" t="n">
        <v>0</v>
      </c>
      <c r="M617" t="n">
        <v>0</v>
      </c>
      <c r="N617" t="n">
        <v>0</v>
      </c>
      <c r="O617" t="n">
        <v>0</v>
      </c>
      <c r="P617" t="n">
        <v>0</v>
      </c>
      <c r="Q617" t="n">
        <v>0</v>
      </c>
      <c r="R617" s="2" t="inlineStr"/>
    </row>
    <row r="618" ht="15" customHeight="1">
      <c r="A618" t="inlineStr">
        <is>
          <t>A 23224-2023</t>
        </is>
      </c>
      <c r="B618" s="1" t="n">
        <v>45075.65040509259</v>
      </c>
      <c r="C618" s="1" t="n">
        <v>45886</v>
      </c>
      <c r="D618" t="inlineStr">
        <is>
          <t>VÄSTMANLANDS LÄN</t>
        </is>
      </c>
      <c r="E618" t="inlineStr">
        <is>
          <t>SALA</t>
        </is>
      </c>
      <c r="G618" t="n">
        <v>0.8</v>
      </c>
      <c r="H618" t="n">
        <v>0</v>
      </c>
      <c r="I618" t="n">
        <v>0</v>
      </c>
      <c r="J618" t="n">
        <v>0</v>
      </c>
      <c r="K618" t="n">
        <v>0</v>
      </c>
      <c r="L618" t="n">
        <v>0</v>
      </c>
      <c r="M618" t="n">
        <v>0</v>
      </c>
      <c r="N618" t="n">
        <v>0</v>
      </c>
      <c r="O618" t="n">
        <v>0</v>
      </c>
      <c r="P618" t="n">
        <v>0</v>
      </c>
      <c r="Q618" t="n">
        <v>0</v>
      </c>
      <c r="R618" s="2" t="inlineStr"/>
    </row>
    <row r="619" ht="15" customHeight="1">
      <c r="A619" t="inlineStr">
        <is>
          <t>A 24755-2021</t>
        </is>
      </c>
      <c r="B619" s="1" t="n">
        <v>44340</v>
      </c>
      <c r="C619" s="1" t="n">
        <v>45886</v>
      </c>
      <c r="D619" t="inlineStr">
        <is>
          <t>VÄSTMANLANDS LÄN</t>
        </is>
      </c>
      <c r="E619" t="inlineStr">
        <is>
          <t>SALA</t>
        </is>
      </c>
      <c r="G619" t="n">
        <v>1.2</v>
      </c>
      <c r="H619" t="n">
        <v>0</v>
      </c>
      <c r="I619" t="n">
        <v>0</v>
      </c>
      <c r="J619" t="n">
        <v>0</v>
      </c>
      <c r="K619" t="n">
        <v>0</v>
      </c>
      <c r="L619" t="n">
        <v>0</v>
      </c>
      <c r="M619" t="n">
        <v>0</v>
      </c>
      <c r="N619" t="n">
        <v>0</v>
      </c>
      <c r="O619" t="n">
        <v>0</v>
      </c>
      <c r="P619" t="n">
        <v>0</v>
      </c>
      <c r="Q619" t="n">
        <v>0</v>
      </c>
      <c r="R619" s="2" t="inlineStr"/>
    </row>
    <row r="620" ht="15" customHeight="1">
      <c r="A620" t="inlineStr">
        <is>
          <t>A 50479-2022</t>
        </is>
      </c>
      <c r="B620" s="1" t="n">
        <v>44861</v>
      </c>
      <c r="C620" s="1" t="n">
        <v>45886</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34867-2023</t>
        </is>
      </c>
      <c r="B621" s="1" t="n">
        <v>45142.33481481481</v>
      </c>
      <c r="C621" s="1" t="n">
        <v>45886</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50818-2020</t>
        </is>
      </c>
      <c r="B622" s="1" t="n">
        <v>44111</v>
      </c>
      <c r="C622" s="1" t="n">
        <v>45886</v>
      </c>
      <c r="D622" t="inlineStr">
        <is>
          <t>VÄSTMANLANDS LÄN</t>
        </is>
      </c>
      <c r="E622" t="inlineStr">
        <is>
          <t>SALA</t>
        </is>
      </c>
      <c r="G622" t="n">
        <v>0.4</v>
      </c>
      <c r="H622" t="n">
        <v>0</v>
      </c>
      <c r="I622" t="n">
        <v>0</v>
      </c>
      <c r="J622" t="n">
        <v>0</v>
      </c>
      <c r="K622" t="n">
        <v>0</v>
      </c>
      <c r="L622" t="n">
        <v>0</v>
      </c>
      <c r="M622" t="n">
        <v>0</v>
      </c>
      <c r="N622" t="n">
        <v>0</v>
      </c>
      <c r="O622" t="n">
        <v>0</v>
      </c>
      <c r="P622" t="n">
        <v>0</v>
      </c>
      <c r="Q622" t="n">
        <v>0</v>
      </c>
      <c r="R622" s="2" t="inlineStr"/>
    </row>
    <row r="623" ht="15" customHeight="1">
      <c r="A623" t="inlineStr">
        <is>
          <t>A 14919-2025</t>
        </is>
      </c>
      <c r="B623" s="1" t="n">
        <v>45743.54256944444</v>
      </c>
      <c r="C623" s="1" t="n">
        <v>45886</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14920-2025</t>
        </is>
      </c>
      <c r="B624" s="1" t="n">
        <v>45743</v>
      </c>
      <c r="C624" s="1" t="n">
        <v>45886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25748-2022</t>
        </is>
      </c>
      <c r="B625" s="1" t="n">
        <v>44732</v>
      </c>
      <c r="C625" s="1" t="n">
        <v>45886</v>
      </c>
      <c r="D625" t="inlineStr">
        <is>
          <t>VÄSTMANLANDS LÄN</t>
        </is>
      </c>
      <c r="E625" t="inlineStr">
        <is>
          <t>SALA</t>
        </is>
      </c>
      <c r="G625" t="n">
        <v>7.7</v>
      </c>
      <c r="H625" t="n">
        <v>0</v>
      </c>
      <c r="I625" t="n">
        <v>0</v>
      </c>
      <c r="J625" t="n">
        <v>0</v>
      </c>
      <c r="K625" t="n">
        <v>0</v>
      </c>
      <c r="L625" t="n">
        <v>0</v>
      </c>
      <c r="M625" t="n">
        <v>0</v>
      </c>
      <c r="N625" t="n">
        <v>0</v>
      </c>
      <c r="O625" t="n">
        <v>0</v>
      </c>
      <c r="P625" t="n">
        <v>0</v>
      </c>
      <c r="Q625" t="n">
        <v>0</v>
      </c>
      <c r="R625" s="2" t="inlineStr"/>
    </row>
    <row r="626" ht="15" customHeight="1">
      <c r="A626" t="inlineStr">
        <is>
          <t>A 13855-2023</t>
        </is>
      </c>
      <c r="B626" s="1" t="n">
        <v>45007</v>
      </c>
      <c r="C626" s="1" t="n">
        <v>45886</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49512-2024</t>
        </is>
      </c>
      <c r="B627" s="1" t="n">
        <v>45591</v>
      </c>
      <c r="C627" s="1" t="n">
        <v>45886</v>
      </c>
      <c r="D627" t="inlineStr">
        <is>
          <t>VÄSTMANLANDS LÄN</t>
        </is>
      </c>
      <c r="E627" t="inlineStr">
        <is>
          <t>SALA</t>
        </is>
      </c>
      <c r="G627" t="n">
        <v>8.1</v>
      </c>
      <c r="H627" t="n">
        <v>0</v>
      </c>
      <c r="I627" t="n">
        <v>0</v>
      </c>
      <c r="J627" t="n">
        <v>0</v>
      </c>
      <c r="K627" t="n">
        <v>0</v>
      </c>
      <c r="L627" t="n">
        <v>0</v>
      </c>
      <c r="M627" t="n">
        <v>0</v>
      </c>
      <c r="N627" t="n">
        <v>0</v>
      </c>
      <c r="O627" t="n">
        <v>0</v>
      </c>
      <c r="P627" t="n">
        <v>0</v>
      </c>
      <c r="Q627" t="n">
        <v>0</v>
      </c>
      <c r="R627" s="2" t="inlineStr"/>
    </row>
    <row r="628" ht="15" customHeight="1">
      <c r="A628" t="inlineStr">
        <is>
          <t>A 13128-2023</t>
        </is>
      </c>
      <c r="B628" s="1" t="n">
        <v>45002</v>
      </c>
      <c r="C628" s="1" t="n">
        <v>45886</v>
      </c>
      <c r="D628" t="inlineStr">
        <is>
          <t>VÄSTMANLANDS LÄN</t>
        </is>
      </c>
      <c r="E628" t="inlineStr">
        <is>
          <t>SALA</t>
        </is>
      </c>
      <c r="G628" t="n">
        <v>7.9</v>
      </c>
      <c r="H628" t="n">
        <v>0</v>
      </c>
      <c r="I628" t="n">
        <v>0</v>
      </c>
      <c r="J628" t="n">
        <v>0</v>
      </c>
      <c r="K628" t="n">
        <v>0</v>
      </c>
      <c r="L628" t="n">
        <v>0</v>
      </c>
      <c r="M628" t="n">
        <v>0</v>
      </c>
      <c r="N628" t="n">
        <v>0</v>
      </c>
      <c r="O628" t="n">
        <v>0</v>
      </c>
      <c r="P628" t="n">
        <v>0</v>
      </c>
      <c r="Q628" t="n">
        <v>0</v>
      </c>
      <c r="R628" s="2" t="inlineStr"/>
    </row>
    <row r="629" ht="15" customHeight="1">
      <c r="A629" t="inlineStr">
        <is>
          <t>A 18877-2023</t>
        </is>
      </c>
      <c r="B629" s="1" t="n">
        <v>45044</v>
      </c>
      <c r="C629" s="1" t="n">
        <v>45886</v>
      </c>
      <c r="D629" t="inlineStr">
        <is>
          <t>VÄSTMANLANDS LÄN</t>
        </is>
      </c>
      <c r="E629" t="inlineStr">
        <is>
          <t>SALA</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55556-2023</t>
        </is>
      </c>
      <c r="B630" s="1" t="n">
        <v>45232</v>
      </c>
      <c r="C630" s="1" t="n">
        <v>45886</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34494-2023</t>
        </is>
      </c>
      <c r="B631" s="1" t="n">
        <v>45133</v>
      </c>
      <c r="C631" s="1" t="n">
        <v>45886</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37958-2024</t>
        </is>
      </c>
      <c r="B632" s="1" t="n">
        <v>45544</v>
      </c>
      <c r="C632" s="1" t="n">
        <v>45886</v>
      </c>
      <c r="D632" t="inlineStr">
        <is>
          <t>VÄSTMANLANDS LÄN</t>
        </is>
      </c>
      <c r="E632" t="inlineStr">
        <is>
          <t>SALA</t>
        </is>
      </c>
      <c r="G632" t="n">
        <v>5.6</v>
      </c>
      <c r="H632" t="n">
        <v>0</v>
      </c>
      <c r="I632" t="n">
        <v>0</v>
      </c>
      <c r="J632" t="n">
        <v>0</v>
      </c>
      <c r="K632" t="n">
        <v>0</v>
      </c>
      <c r="L632" t="n">
        <v>0</v>
      </c>
      <c r="M632" t="n">
        <v>0</v>
      </c>
      <c r="N632" t="n">
        <v>0</v>
      </c>
      <c r="O632" t="n">
        <v>0</v>
      </c>
      <c r="P632" t="n">
        <v>0</v>
      </c>
      <c r="Q632" t="n">
        <v>0</v>
      </c>
      <c r="R632" s="2" t="inlineStr"/>
    </row>
    <row r="633" ht="15" customHeight="1">
      <c r="A633" t="inlineStr">
        <is>
          <t>A 18431-2023</t>
        </is>
      </c>
      <c r="B633" s="1" t="n">
        <v>45042</v>
      </c>
      <c r="C633" s="1" t="n">
        <v>45886</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15650-2025</t>
        </is>
      </c>
      <c r="B634" s="1" t="n">
        <v>45748.40172453703</v>
      </c>
      <c r="C634" s="1" t="n">
        <v>45886</v>
      </c>
      <c r="D634" t="inlineStr">
        <is>
          <t>VÄSTMANLANDS LÄN</t>
        </is>
      </c>
      <c r="E634" t="inlineStr">
        <is>
          <t>SALA</t>
        </is>
      </c>
      <c r="F634" t="inlineStr">
        <is>
          <t>Bergvik skog öst AB</t>
        </is>
      </c>
      <c r="G634" t="n">
        <v>3</v>
      </c>
      <c r="H634" t="n">
        <v>0</v>
      </c>
      <c r="I634" t="n">
        <v>0</v>
      </c>
      <c r="J634" t="n">
        <v>0</v>
      </c>
      <c r="K634" t="n">
        <v>0</v>
      </c>
      <c r="L634" t="n">
        <v>0</v>
      </c>
      <c r="M634" t="n">
        <v>0</v>
      </c>
      <c r="N634" t="n">
        <v>0</v>
      </c>
      <c r="O634" t="n">
        <v>0</v>
      </c>
      <c r="P634" t="n">
        <v>0</v>
      </c>
      <c r="Q634" t="n">
        <v>0</v>
      </c>
      <c r="R634" s="2" t="inlineStr"/>
    </row>
    <row r="635" ht="15" customHeight="1">
      <c r="A635" t="inlineStr">
        <is>
          <t>A 13752-2025</t>
        </is>
      </c>
      <c r="B635" s="1" t="n">
        <v>45737.41416666667</v>
      </c>
      <c r="C635" s="1" t="n">
        <v>45886</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19398-2025</t>
        </is>
      </c>
      <c r="B636" s="1" t="n">
        <v>45769</v>
      </c>
      <c r="C636" s="1" t="n">
        <v>45886</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57650-2024</t>
        </is>
      </c>
      <c r="B637" s="1" t="n">
        <v>45630</v>
      </c>
      <c r="C637" s="1" t="n">
        <v>45886</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10255-2024</t>
        </is>
      </c>
      <c r="B638" s="1" t="n">
        <v>45365</v>
      </c>
      <c r="C638" s="1" t="n">
        <v>45886</v>
      </c>
      <c r="D638" t="inlineStr">
        <is>
          <t>VÄSTMANLANDS LÄN</t>
        </is>
      </c>
      <c r="E638" t="inlineStr">
        <is>
          <t>SALA</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22921-2023</t>
        </is>
      </c>
      <c r="B639" s="1" t="n">
        <v>45070</v>
      </c>
      <c r="C639" s="1" t="n">
        <v>45886</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16133-2025</t>
        </is>
      </c>
      <c r="B640" s="1" t="n">
        <v>45750</v>
      </c>
      <c r="C640" s="1" t="n">
        <v>45886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28696-2023</t>
        </is>
      </c>
      <c r="B641" s="1" t="n">
        <v>45103.71759259259</v>
      </c>
      <c r="C641" s="1" t="n">
        <v>45886</v>
      </c>
      <c r="D641" t="inlineStr">
        <is>
          <t>VÄSTMANLANDS LÄN</t>
        </is>
      </c>
      <c r="E641" t="inlineStr">
        <is>
          <t>SALA</t>
        </is>
      </c>
      <c r="F641" t="inlineStr">
        <is>
          <t>Kommuner</t>
        </is>
      </c>
      <c r="G641" t="n">
        <v>5.9</v>
      </c>
      <c r="H641" t="n">
        <v>0</v>
      </c>
      <c r="I641" t="n">
        <v>0</v>
      </c>
      <c r="J641" t="n">
        <v>0</v>
      </c>
      <c r="K641" t="n">
        <v>0</v>
      </c>
      <c r="L641" t="n">
        <v>0</v>
      </c>
      <c r="M641" t="n">
        <v>0</v>
      </c>
      <c r="N641" t="n">
        <v>0</v>
      </c>
      <c r="O641" t="n">
        <v>0</v>
      </c>
      <c r="P641" t="n">
        <v>0</v>
      </c>
      <c r="Q641" t="n">
        <v>0</v>
      </c>
      <c r="R641" s="2" t="inlineStr"/>
    </row>
    <row r="642" ht="15" customHeight="1">
      <c r="A642" t="inlineStr">
        <is>
          <t>A 6127-2025</t>
        </is>
      </c>
      <c r="B642" s="1" t="n">
        <v>45698</v>
      </c>
      <c r="C642" s="1" t="n">
        <v>45886</v>
      </c>
      <c r="D642" t="inlineStr">
        <is>
          <t>VÄSTMANLANDS LÄN</t>
        </is>
      </c>
      <c r="E642" t="inlineStr">
        <is>
          <t>SALA</t>
        </is>
      </c>
      <c r="F642" t="inlineStr">
        <is>
          <t>Bergvik skog öst AB</t>
        </is>
      </c>
      <c r="G642" t="n">
        <v>4.3</v>
      </c>
      <c r="H642" t="n">
        <v>0</v>
      </c>
      <c r="I642" t="n">
        <v>0</v>
      </c>
      <c r="J642" t="n">
        <v>0</v>
      </c>
      <c r="K642" t="n">
        <v>0</v>
      </c>
      <c r="L642" t="n">
        <v>0</v>
      </c>
      <c r="M642" t="n">
        <v>0</v>
      </c>
      <c r="N642" t="n">
        <v>0</v>
      </c>
      <c r="O642" t="n">
        <v>0</v>
      </c>
      <c r="P642" t="n">
        <v>0</v>
      </c>
      <c r="Q642" t="n">
        <v>0</v>
      </c>
      <c r="R642" s="2" t="inlineStr"/>
    </row>
    <row r="643" ht="15" customHeight="1">
      <c r="A643" t="inlineStr">
        <is>
          <t>A 15272-2025</t>
        </is>
      </c>
      <c r="B643" s="1" t="n">
        <v>45744</v>
      </c>
      <c r="C643" s="1" t="n">
        <v>45886</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31072-2021</t>
        </is>
      </c>
      <c r="B644" s="1" t="n">
        <v>44368</v>
      </c>
      <c r="C644" s="1" t="n">
        <v>45886</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17320-2025</t>
        </is>
      </c>
      <c r="B645" s="1" t="n">
        <v>45756</v>
      </c>
      <c r="C645" s="1" t="n">
        <v>45886</v>
      </c>
      <c r="D645" t="inlineStr">
        <is>
          <t>VÄSTMANLANDS LÄN</t>
        </is>
      </c>
      <c r="E645" t="inlineStr">
        <is>
          <t>SALA</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24248-2023</t>
        </is>
      </c>
      <c r="B646" s="1" t="n">
        <v>45079</v>
      </c>
      <c r="C646" s="1" t="n">
        <v>45886</v>
      </c>
      <c r="D646" t="inlineStr">
        <is>
          <t>VÄSTMANLANDS LÄN</t>
        </is>
      </c>
      <c r="E646" t="inlineStr">
        <is>
          <t>SALA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16543-2023</t>
        </is>
      </c>
      <c r="B647" s="1" t="n">
        <v>45029</v>
      </c>
      <c r="C647" s="1" t="n">
        <v>45886</v>
      </c>
      <c r="D647" t="inlineStr">
        <is>
          <t>VÄSTMANLANDS LÄN</t>
        </is>
      </c>
      <c r="E647" t="inlineStr">
        <is>
          <t>SALA</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38195-2021</t>
        </is>
      </c>
      <c r="B648" s="1" t="n">
        <v>44405</v>
      </c>
      <c r="C648" s="1" t="n">
        <v>45886</v>
      </c>
      <c r="D648" t="inlineStr">
        <is>
          <t>VÄSTMANLANDS LÄN</t>
        </is>
      </c>
      <c r="E648" t="inlineStr">
        <is>
          <t>SALA</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27228-2023</t>
        </is>
      </c>
      <c r="B649" s="1" t="n">
        <v>45096.59189814814</v>
      </c>
      <c r="C649" s="1" t="n">
        <v>45886</v>
      </c>
      <c r="D649" t="inlineStr">
        <is>
          <t>VÄSTMANLANDS LÄN</t>
        </is>
      </c>
      <c r="E649" t="inlineStr">
        <is>
          <t>SALA</t>
        </is>
      </c>
      <c r="G649" t="n">
        <v>1</v>
      </c>
      <c r="H649" t="n">
        <v>0</v>
      </c>
      <c r="I649" t="n">
        <v>0</v>
      </c>
      <c r="J649" t="n">
        <v>0</v>
      </c>
      <c r="K649" t="n">
        <v>0</v>
      </c>
      <c r="L649" t="n">
        <v>0</v>
      </c>
      <c r="M649" t="n">
        <v>0</v>
      </c>
      <c r="N649" t="n">
        <v>0</v>
      </c>
      <c r="O649" t="n">
        <v>0</v>
      </c>
      <c r="P649" t="n">
        <v>0</v>
      </c>
      <c r="Q649" t="n">
        <v>0</v>
      </c>
      <c r="R649" s="2" t="inlineStr"/>
    </row>
    <row r="650" ht="15" customHeight="1">
      <c r="A650" t="inlineStr">
        <is>
          <t>A 22523-2023</t>
        </is>
      </c>
      <c r="B650" s="1" t="n">
        <v>45069</v>
      </c>
      <c r="C650" s="1" t="n">
        <v>45886</v>
      </c>
      <c r="D650" t="inlineStr">
        <is>
          <t>VÄSTMANLANDS LÄN</t>
        </is>
      </c>
      <c r="E650" t="inlineStr">
        <is>
          <t>SALA</t>
        </is>
      </c>
      <c r="G650" t="n">
        <v>2.4</v>
      </c>
      <c r="H650" t="n">
        <v>0</v>
      </c>
      <c r="I650" t="n">
        <v>0</v>
      </c>
      <c r="J650" t="n">
        <v>0</v>
      </c>
      <c r="K650" t="n">
        <v>0</v>
      </c>
      <c r="L650" t="n">
        <v>0</v>
      </c>
      <c r="M650" t="n">
        <v>0</v>
      </c>
      <c r="N650" t="n">
        <v>0</v>
      </c>
      <c r="O650" t="n">
        <v>0</v>
      </c>
      <c r="P650" t="n">
        <v>0</v>
      </c>
      <c r="Q650" t="n">
        <v>0</v>
      </c>
      <c r="R650" s="2" t="inlineStr"/>
    </row>
    <row r="651" ht="15" customHeight="1">
      <c r="A651" t="inlineStr">
        <is>
          <t>A 4663-2022</t>
        </is>
      </c>
      <c r="B651" s="1" t="n">
        <v>44592.45429398148</v>
      </c>
      <c r="C651" s="1" t="n">
        <v>45886</v>
      </c>
      <c r="D651" t="inlineStr">
        <is>
          <t>VÄSTMANLANDS LÄN</t>
        </is>
      </c>
      <c r="E651" t="inlineStr">
        <is>
          <t>SALA</t>
        </is>
      </c>
      <c r="G651" t="n">
        <v>2.5</v>
      </c>
      <c r="H651" t="n">
        <v>0</v>
      </c>
      <c r="I651" t="n">
        <v>0</v>
      </c>
      <c r="J651" t="n">
        <v>0</v>
      </c>
      <c r="K651" t="n">
        <v>0</v>
      </c>
      <c r="L651" t="n">
        <v>0</v>
      </c>
      <c r="M651" t="n">
        <v>0</v>
      </c>
      <c r="N651" t="n">
        <v>0</v>
      </c>
      <c r="O651" t="n">
        <v>0</v>
      </c>
      <c r="P651" t="n">
        <v>0</v>
      </c>
      <c r="Q651" t="n">
        <v>0</v>
      </c>
      <c r="R651" s="2" t="inlineStr"/>
    </row>
    <row r="652" ht="15" customHeight="1">
      <c r="A652" t="inlineStr">
        <is>
          <t>A 53838-2022</t>
        </is>
      </c>
      <c r="B652" s="1" t="n">
        <v>44880.59363425926</v>
      </c>
      <c r="C652" s="1" t="n">
        <v>45886</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6132-2025</t>
        </is>
      </c>
      <c r="B653" s="1" t="n">
        <v>45698</v>
      </c>
      <c r="C653" s="1" t="n">
        <v>45886</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17985-2025</t>
        </is>
      </c>
      <c r="B654" s="1" t="n">
        <v>45761</v>
      </c>
      <c r="C654" s="1" t="n">
        <v>45886</v>
      </c>
      <c r="D654" t="inlineStr">
        <is>
          <t>VÄSTMANLANDS LÄN</t>
        </is>
      </c>
      <c r="E654" t="inlineStr">
        <is>
          <t>SALA</t>
        </is>
      </c>
      <c r="G654" t="n">
        <v>12.5</v>
      </c>
      <c r="H654" t="n">
        <v>0</v>
      </c>
      <c r="I654" t="n">
        <v>0</v>
      </c>
      <c r="J654" t="n">
        <v>0</v>
      </c>
      <c r="K654" t="n">
        <v>0</v>
      </c>
      <c r="L654" t="n">
        <v>0</v>
      </c>
      <c r="M654" t="n">
        <v>0</v>
      </c>
      <c r="N654" t="n">
        <v>0</v>
      </c>
      <c r="O654" t="n">
        <v>0</v>
      </c>
      <c r="P654" t="n">
        <v>0</v>
      </c>
      <c r="Q654" t="n">
        <v>0</v>
      </c>
      <c r="R654" s="2" t="inlineStr"/>
    </row>
    <row r="655" ht="15" customHeight="1">
      <c r="A655" t="inlineStr">
        <is>
          <t>A 31859-2023</t>
        </is>
      </c>
      <c r="B655" s="1" t="n">
        <v>45118</v>
      </c>
      <c r="C655" s="1" t="n">
        <v>45886</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c r="U655">
        <f>HYPERLINK("https://klasma.github.io/Logging_1981/knärot/A 31859-2023 karta knärot.png", "A 31859-2023")</f>
        <v/>
      </c>
      <c r="V655">
        <f>HYPERLINK("https://klasma.github.io/Logging_1981/klagomål/A 31859-2023 FSC-klagomål.docx", "A 31859-2023")</f>
        <v/>
      </c>
      <c r="W655">
        <f>HYPERLINK("https://klasma.github.io/Logging_1981/klagomålsmail/A 31859-2023 FSC-klagomål mail.docx", "A 31859-2023")</f>
        <v/>
      </c>
      <c r="X655">
        <f>HYPERLINK("https://klasma.github.io/Logging_1981/tillsyn/A 31859-2023 tillsynsbegäran.docx", "A 31859-2023")</f>
        <v/>
      </c>
      <c r="Y655">
        <f>HYPERLINK("https://klasma.github.io/Logging_1981/tillsynsmail/A 31859-2023 tillsynsbegäran mail.docx", "A 31859-2023")</f>
        <v/>
      </c>
    </row>
    <row r="656" ht="15" customHeight="1">
      <c r="A656" t="inlineStr">
        <is>
          <t>A 54923-2020</t>
        </is>
      </c>
      <c r="B656" s="1" t="n">
        <v>44127</v>
      </c>
      <c r="C656" s="1" t="n">
        <v>45886</v>
      </c>
      <c r="D656" t="inlineStr">
        <is>
          <t>VÄSTMANLANDS LÄN</t>
        </is>
      </c>
      <c r="E656" t="inlineStr">
        <is>
          <t>SALA</t>
        </is>
      </c>
      <c r="G656" t="n">
        <v>4.9</v>
      </c>
      <c r="H656" t="n">
        <v>0</v>
      </c>
      <c r="I656" t="n">
        <v>0</v>
      </c>
      <c r="J656" t="n">
        <v>0</v>
      </c>
      <c r="K656" t="n">
        <v>0</v>
      </c>
      <c r="L656" t="n">
        <v>0</v>
      </c>
      <c r="M656" t="n">
        <v>0</v>
      </c>
      <c r="N656" t="n">
        <v>0</v>
      </c>
      <c r="O656" t="n">
        <v>0</v>
      </c>
      <c r="P656" t="n">
        <v>0</v>
      </c>
      <c r="Q656" t="n">
        <v>0</v>
      </c>
      <c r="R656" s="2" t="inlineStr"/>
    </row>
    <row r="657" ht="15" customHeight="1">
      <c r="A657" t="inlineStr">
        <is>
          <t>A 61681-2024</t>
        </is>
      </c>
      <c r="B657" s="1" t="n">
        <v>45647</v>
      </c>
      <c r="C657" s="1" t="n">
        <v>45886</v>
      </c>
      <c r="D657" t="inlineStr">
        <is>
          <t>VÄSTMANLANDS LÄN</t>
        </is>
      </c>
      <c r="E657" t="inlineStr">
        <is>
          <t>SALA</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54771-2024</t>
        </is>
      </c>
      <c r="B658" s="1" t="n">
        <v>45618</v>
      </c>
      <c r="C658" s="1" t="n">
        <v>45886</v>
      </c>
      <c r="D658" t="inlineStr">
        <is>
          <t>VÄSTMANLANDS LÄN</t>
        </is>
      </c>
      <c r="E658" t="inlineStr">
        <is>
          <t>SALA</t>
        </is>
      </c>
      <c r="G658" t="n">
        <v>2.8</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45886</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25260-2023</t>
        </is>
      </c>
      <c r="B660" s="1" t="n">
        <v>45086</v>
      </c>
      <c r="C660" s="1" t="n">
        <v>45886</v>
      </c>
      <c r="D660" t="inlineStr">
        <is>
          <t>VÄSTMANLANDS LÄN</t>
        </is>
      </c>
      <c r="E660" t="inlineStr">
        <is>
          <t>SALA</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21968-2024</t>
        </is>
      </c>
      <c r="B661" s="1" t="n">
        <v>45443</v>
      </c>
      <c r="C661" s="1" t="n">
        <v>45886</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31082-2021</t>
        </is>
      </c>
      <c r="B662" s="1" t="n">
        <v>44368</v>
      </c>
      <c r="C662" s="1" t="n">
        <v>45886</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20352-2022</t>
        </is>
      </c>
      <c r="B663" s="1" t="n">
        <v>44699.37318287037</v>
      </c>
      <c r="C663" s="1" t="n">
        <v>45886</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16769-2024</t>
        </is>
      </c>
      <c r="B664" s="1" t="n">
        <v>45411.38738425926</v>
      </c>
      <c r="C664" s="1" t="n">
        <v>45886</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60249-2023</t>
        </is>
      </c>
      <c r="B665" s="1" t="n">
        <v>45258</v>
      </c>
      <c r="C665" s="1" t="n">
        <v>45886</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14271-2025</t>
        </is>
      </c>
      <c r="B666" s="1" t="n">
        <v>45740.64129629629</v>
      </c>
      <c r="C666" s="1" t="n">
        <v>45886</v>
      </c>
      <c r="D666" t="inlineStr">
        <is>
          <t>VÄSTMANLANDS LÄN</t>
        </is>
      </c>
      <c r="E666" t="inlineStr">
        <is>
          <t>SALA</t>
        </is>
      </c>
      <c r="G666" t="n">
        <v>0.8</v>
      </c>
      <c r="H666" t="n">
        <v>0</v>
      </c>
      <c r="I666" t="n">
        <v>0</v>
      </c>
      <c r="J666" t="n">
        <v>0</v>
      </c>
      <c r="K666" t="n">
        <v>0</v>
      </c>
      <c r="L666" t="n">
        <v>0</v>
      </c>
      <c r="M666" t="n">
        <v>0</v>
      </c>
      <c r="N666" t="n">
        <v>0</v>
      </c>
      <c r="O666" t="n">
        <v>0</v>
      </c>
      <c r="P666" t="n">
        <v>0</v>
      </c>
      <c r="Q666" t="n">
        <v>0</v>
      </c>
      <c r="R666" s="2" t="inlineStr"/>
    </row>
    <row r="667" ht="15" customHeight="1">
      <c r="A667" t="inlineStr">
        <is>
          <t>A 69232-2021</t>
        </is>
      </c>
      <c r="B667" s="1" t="n">
        <v>44531.39696759259</v>
      </c>
      <c r="C667" s="1" t="n">
        <v>45886</v>
      </c>
      <c r="D667" t="inlineStr">
        <is>
          <t>VÄSTMANLANDS LÄN</t>
        </is>
      </c>
      <c r="E667" t="inlineStr">
        <is>
          <t>SALA</t>
        </is>
      </c>
      <c r="G667" t="n">
        <v>2.3</v>
      </c>
      <c r="H667" t="n">
        <v>0</v>
      </c>
      <c r="I667" t="n">
        <v>0</v>
      </c>
      <c r="J667" t="n">
        <v>0</v>
      </c>
      <c r="K667" t="n">
        <v>0</v>
      </c>
      <c r="L667" t="n">
        <v>0</v>
      </c>
      <c r="M667" t="n">
        <v>0</v>
      </c>
      <c r="N667" t="n">
        <v>0</v>
      </c>
      <c r="O667" t="n">
        <v>0</v>
      </c>
      <c r="P667" t="n">
        <v>0</v>
      </c>
      <c r="Q667" t="n">
        <v>0</v>
      </c>
      <c r="R667" s="2" t="inlineStr"/>
    </row>
    <row r="668" ht="15" customHeight="1">
      <c r="A668" t="inlineStr">
        <is>
          <t>A 27657-2023</t>
        </is>
      </c>
      <c r="B668" s="1" t="n">
        <v>45097.76631944445</v>
      </c>
      <c r="C668" s="1" t="n">
        <v>45886</v>
      </c>
      <c r="D668" t="inlineStr">
        <is>
          <t>VÄSTMANLANDS LÄN</t>
        </is>
      </c>
      <c r="E668" t="inlineStr">
        <is>
          <t>SALA</t>
        </is>
      </c>
      <c r="G668" t="n">
        <v>0.1</v>
      </c>
      <c r="H668" t="n">
        <v>0</v>
      </c>
      <c r="I668" t="n">
        <v>0</v>
      </c>
      <c r="J668" t="n">
        <v>0</v>
      </c>
      <c r="K668" t="n">
        <v>0</v>
      </c>
      <c r="L668" t="n">
        <v>0</v>
      </c>
      <c r="M668" t="n">
        <v>0</v>
      </c>
      <c r="N668" t="n">
        <v>0</v>
      </c>
      <c r="O668" t="n">
        <v>0</v>
      </c>
      <c r="P668" t="n">
        <v>0</v>
      </c>
      <c r="Q668" t="n">
        <v>0</v>
      </c>
      <c r="R668" s="2" t="inlineStr"/>
    </row>
    <row r="669" ht="15" customHeight="1">
      <c r="A669" t="inlineStr">
        <is>
          <t>A 2766-2024</t>
        </is>
      </c>
      <c r="B669" s="1" t="n">
        <v>45314.60950231482</v>
      </c>
      <c r="C669" s="1" t="n">
        <v>45886</v>
      </c>
      <c r="D669" t="inlineStr">
        <is>
          <t>VÄSTMANLANDS LÄN</t>
        </is>
      </c>
      <c r="E669" t="inlineStr">
        <is>
          <t>SALA</t>
        </is>
      </c>
      <c r="G669" t="n">
        <v>2.8</v>
      </c>
      <c r="H669" t="n">
        <v>0</v>
      </c>
      <c r="I669" t="n">
        <v>0</v>
      </c>
      <c r="J669" t="n">
        <v>0</v>
      </c>
      <c r="K669" t="n">
        <v>0</v>
      </c>
      <c r="L669" t="n">
        <v>0</v>
      </c>
      <c r="M669" t="n">
        <v>0</v>
      </c>
      <c r="N669" t="n">
        <v>0</v>
      </c>
      <c r="O669" t="n">
        <v>0</v>
      </c>
      <c r="P669" t="n">
        <v>0</v>
      </c>
      <c r="Q669" t="n">
        <v>0</v>
      </c>
      <c r="R669" s="2" t="inlineStr"/>
    </row>
    <row r="670" ht="15" customHeight="1">
      <c r="A670" t="inlineStr">
        <is>
          <t>A 60550-2024</t>
        </is>
      </c>
      <c r="B670" s="1" t="n">
        <v>45643</v>
      </c>
      <c r="C670" s="1" t="n">
        <v>45886</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14690-2025</t>
        </is>
      </c>
      <c r="B671" s="1" t="n">
        <v>45742.58212962963</v>
      </c>
      <c r="C671" s="1" t="n">
        <v>45886</v>
      </c>
      <c r="D671" t="inlineStr">
        <is>
          <t>VÄSTMANLANDS LÄN</t>
        </is>
      </c>
      <c r="E671" t="inlineStr">
        <is>
          <t>SALA</t>
        </is>
      </c>
      <c r="G671" t="n">
        <v>3.4</v>
      </c>
      <c r="H671" t="n">
        <v>0</v>
      </c>
      <c r="I671" t="n">
        <v>0</v>
      </c>
      <c r="J671" t="n">
        <v>0</v>
      </c>
      <c r="K671" t="n">
        <v>0</v>
      </c>
      <c r="L671" t="n">
        <v>0</v>
      </c>
      <c r="M671" t="n">
        <v>0</v>
      </c>
      <c r="N671" t="n">
        <v>0</v>
      </c>
      <c r="O671" t="n">
        <v>0</v>
      </c>
      <c r="P671" t="n">
        <v>0</v>
      </c>
      <c r="Q671" t="n">
        <v>0</v>
      </c>
      <c r="R671" s="2" t="inlineStr"/>
    </row>
    <row r="672" ht="15" customHeight="1">
      <c r="A672" t="inlineStr">
        <is>
          <t>A 28328-2023</t>
        </is>
      </c>
      <c r="B672" s="1" t="n">
        <v>45099.71063657408</v>
      </c>
      <c r="C672" s="1" t="n">
        <v>45886</v>
      </c>
      <c r="D672" t="inlineStr">
        <is>
          <t>VÄSTMANLANDS LÄN</t>
        </is>
      </c>
      <c r="E672" t="inlineStr">
        <is>
          <t>SALA</t>
        </is>
      </c>
      <c r="G672" t="n">
        <v>1.8</v>
      </c>
      <c r="H672" t="n">
        <v>0</v>
      </c>
      <c r="I672" t="n">
        <v>0</v>
      </c>
      <c r="J672" t="n">
        <v>0</v>
      </c>
      <c r="K672" t="n">
        <v>0</v>
      </c>
      <c r="L672" t="n">
        <v>0</v>
      </c>
      <c r="M672" t="n">
        <v>0</v>
      </c>
      <c r="N672" t="n">
        <v>0</v>
      </c>
      <c r="O672" t="n">
        <v>0</v>
      </c>
      <c r="P672" t="n">
        <v>0</v>
      </c>
      <c r="Q672" t="n">
        <v>0</v>
      </c>
      <c r="R672" s="2" t="inlineStr"/>
    </row>
    <row r="673" ht="15" customHeight="1">
      <c r="A673" t="inlineStr">
        <is>
          <t>A 24175-2024</t>
        </is>
      </c>
      <c r="B673" s="1" t="n">
        <v>45456</v>
      </c>
      <c r="C673" s="1" t="n">
        <v>45886</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62449-2023</t>
        </is>
      </c>
      <c r="B674" s="1" t="n">
        <v>45268.49008101852</v>
      </c>
      <c r="C674" s="1" t="n">
        <v>45886</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40085-2024</t>
        </is>
      </c>
      <c r="B675" s="1" t="n">
        <v>45554</v>
      </c>
      <c r="C675" s="1" t="n">
        <v>45886</v>
      </c>
      <c r="D675" t="inlineStr">
        <is>
          <t>VÄSTMANLANDS LÄN</t>
        </is>
      </c>
      <c r="E675" t="inlineStr">
        <is>
          <t>SALA</t>
        </is>
      </c>
      <c r="G675" t="n">
        <v>2.8</v>
      </c>
      <c r="H675" t="n">
        <v>0</v>
      </c>
      <c r="I675" t="n">
        <v>0</v>
      </c>
      <c r="J675" t="n">
        <v>0</v>
      </c>
      <c r="K675" t="n">
        <v>0</v>
      </c>
      <c r="L675" t="n">
        <v>0</v>
      </c>
      <c r="M675" t="n">
        <v>0</v>
      </c>
      <c r="N675" t="n">
        <v>0</v>
      </c>
      <c r="O675" t="n">
        <v>0</v>
      </c>
      <c r="P675" t="n">
        <v>0</v>
      </c>
      <c r="Q675" t="n">
        <v>0</v>
      </c>
      <c r="R675" s="2" t="inlineStr"/>
    </row>
    <row r="676" ht="15" customHeight="1">
      <c r="A676" t="inlineStr">
        <is>
          <t>A 54910-2023</t>
        </is>
      </c>
      <c r="B676" s="1" t="n">
        <v>45229</v>
      </c>
      <c r="C676" s="1" t="n">
        <v>45886</v>
      </c>
      <c r="D676" t="inlineStr">
        <is>
          <t>VÄSTMANLANDS LÄN</t>
        </is>
      </c>
      <c r="E676" t="inlineStr">
        <is>
          <t>SALA</t>
        </is>
      </c>
      <c r="G676" t="n">
        <v>2.4</v>
      </c>
      <c r="H676" t="n">
        <v>0</v>
      </c>
      <c r="I676" t="n">
        <v>0</v>
      </c>
      <c r="J676" t="n">
        <v>0</v>
      </c>
      <c r="K676" t="n">
        <v>0</v>
      </c>
      <c r="L676" t="n">
        <v>0</v>
      </c>
      <c r="M676" t="n">
        <v>0</v>
      </c>
      <c r="N676" t="n">
        <v>0</v>
      </c>
      <c r="O676" t="n">
        <v>0</v>
      </c>
      <c r="P676" t="n">
        <v>0</v>
      </c>
      <c r="Q676" t="n">
        <v>0</v>
      </c>
      <c r="R676" s="2" t="inlineStr"/>
    </row>
    <row r="677" ht="15" customHeight="1">
      <c r="A677" t="inlineStr">
        <is>
          <t>A 19222-2025</t>
        </is>
      </c>
      <c r="B677" s="1" t="n">
        <v>45769</v>
      </c>
      <c r="C677" s="1" t="n">
        <v>45886</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19241-2025</t>
        </is>
      </c>
      <c r="B678" s="1" t="n">
        <v>45769</v>
      </c>
      <c r="C678" s="1" t="n">
        <v>45886</v>
      </c>
      <c r="D678" t="inlineStr">
        <is>
          <t>VÄSTMANLANDS LÄN</t>
        </is>
      </c>
      <c r="E678" t="inlineStr">
        <is>
          <t>SALA</t>
        </is>
      </c>
      <c r="G678" t="n">
        <v>3.6</v>
      </c>
      <c r="H678" t="n">
        <v>0</v>
      </c>
      <c r="I678" t="n">
        <v>0</v>
      </c>
      <c r="J678" t="n">
        <v>0</v>
      </c>
      <c r="K678" t="n">
        <v>0</v>
      </c>
      <c r="L678" t="n">
        <v>0</v>
      </c>
      <c r="M678" t="n">
        <v>0</v>
      </c>
      <c r="N678" t="n">
        <v>0</v>
      </c>
      <c r="O678" t="n">
        <v>0</v>
      </c>
      <c r="P678" t="n">
        <v>0</v>
      </c>
      <c r="Q678" t="n">
        <v>0</v>
      </c>
      <c r="R678" s="2" t="inlineStr"/>
    </row>
    <row r="679" ht="15" customHeight="1">
      <c r="A679" t="inlineStr">
        <is>
          <t>A 18158-2025</t>
        </is>
      </c>
      <c r="B679" s="1" t="n">
        <v>45761</v>
      </c>
      <c r="C679" s="1" t="n">
        <v>45886</v>
      </c>
      <c r="D679" t="inlineStr">
        <is>
          <t>VÄSTMANLANDS LÄN</t>
        </is>
      </c>
      <c r="E679" t="inlineStr">
        <is>
          <t>SALA</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49661-2024</t>
        </is>
      </c>
      <c r="B680" s="1" t="n">
        <v>45596</v>
      </c>
      <c r="C680" s="1" t="n">
        <v>45886</v>
      </c>
      <c r="D680" t="inlineStr">
        <is>
          <t>VÄSTMANLANDS LÄN</t>
        </is>
      </c>
      <c r="E680" t="inlineStr">
        <is>
          <t>SALA</t>
        </is>
      </c>
      <c r="G680" t="n">
        <v>6.7</v>
      </c>
      <c r="H680" t="n">
        <v>0</v>
      </c>
      <c r="I680" t="n">
        <v>0</v>
      </c>
      <c r="J680" t="n">
        <v>0</v>
      </c>
      <c r="K680" t="n">
        <v>0</v>
      </c>
      <c r="L680" t="n">
        <v>0</v>
      </c>
      <c r="M680" t="n">
        <v>0</v>
      </c>
      <c r="N680" t="n">
        <v>0</v>
      </c>
      <c r="O680" t="n">
        <v>0</v>
      </c>
      <c r="P680" t="n">
        <v>0</v>
      </c>
      <c r="Q680" t="n">
        <v>0</v>
      </c>
      <c r="R680" s="2" t="inlineStr"/>
    </row>
    <row r="681" ht="15" customHeight="1">
      <c r="A681" t="inlineStr">
        <is>
          <t>A 25891-2024</t>
        </is>
      </c>
      <c r="B681" s="1" t="n">
        <v>45467.53137731482</v>
      </c>
      <c r="C681" s="1" t="n">
        <v>45886</v>
      </c>
      <c r="D681" t="inlineStr">
        <is>
          <t>VÄSTMANLANDS LÄN</t>
        </is>
      </c>
      <c r="E681" t="inlineStr">
        <is>
          <t>SALA</t>
        </is>
      </c>
      <c r="G681" t="n">
        <v>2.3</v>
      </c>
      <c r="H681" t="n">
        <v>0</v>
      </c>
      <c r="I681" t="n">
        <v>0</v>
      </c>
      <c r="J681" t="n">
        <v>0</v>
      </c>
      <c r="K681" t="n">
        <v>0</v>
      </c>
      <c r="L681" t="n">
        <v>0</v>
      </c>
      <c r="M681" t="n">
        <v>0</v>
      </c>
      <c r="N681" t="n">
        <v>0</v>
      </c>
      <c r="O681" t="n">
        <v>0</v>
      </c>
      <c r="P681" t="n">
        <v>0</v>
      </c>
      <c r="Q681" t="n">
        <v>0</v>
      </c>
      <c r="R681" s="2" t="inlineStr"/>
    </row>
    <row r="682" ht="15" customHeight="1">
      <c r="A682" t="inlineStr">
        <is>
          <t>A 26416-2023</t>
        </is>
      </c>
      <c r="B682" s="1" t="n">
        <v>45092.38087962963</v>
      </c>
      <c r="C682" s="1" t="n">
        <v>45886</v>
      </c>
      <c r="D682" t="inlineStr">
        <is>
          <t>VÄSTMANLANDS LÄN</t>
        </is>
      </c>
      <c r="E682" t="inlineStr">
        <is>
          <t>SALA</t>
        </is>
      </c>
      <c r="G682" t="n">
        <v>2.9</v>
      </c>
      <c r="H682" t="n">
        <v>0</v>
      </c>
      <c r="I682" t="n">
        <v>0</v>
      </c>
      <c r="J682" t="n">
        <v>0</v>
      </c>
      <c r="K682" t="n">
        <v>0</v>
      </c>
      <c r="L682" t="n">
        <v>0</v>
      </c>
      <c r="M682" t="n">
        <v>0</v>
      </c>
      <c r="N682" t="n">
        <v>0</v>
      </c>
      <c r="O682" t="n">
        <v>0</v>
      </c>
      <c r="P682" t="n">
        <v>0</v>
      </c>
      <c r="Q682" t="n">
        <v>0</v>
      </c>
      <c r="R682" s="2" t="inlineStr"/>
    </row>
    <row r="683" ht="15" customHeight="1">
      <c r="A683" t="inlineStr">
        <is>
          <t>A 35519-2024</t>
        </is>
      </c>
      <c r="B683" s="1" t="n">
        <v>45531</v>
      </c>
      <c r="C683" s="1" t="n">
        <v>45886</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26692-2023</t>
        </is>
      </c>
      <c r="B684" s="1" t="n">
        <v>45093.360625</v>
      </c>
      <c r="C684" s="1" t="n">
        <v>45886</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c r="A685" t="inlineStr">
        <is>
          <t>A 15681-2025</t>
        </is>
      </c>
      <c r="B685" s="1" t="n">
        <v>45748.45454861111</v>
      </c>
      <c r="C685" s="1" t="n">
        <v>45886</v>
      </c>
      <c r="D685" t="inlineStr">
        <is>
          <t>VÄSTMANLANDS LÄN</t>
        </is>
      </c>
      <c r="E685" t="inlineStr">
        <is>
          <t>SALA</t>
        </is>
      </c>
      <c r="F685" t="inlineStr">
        <is>
          <t>Bergvik skog öst AB</t>
        </is>
      </c>
      <c r="G685" t="n">
        <v>4.3</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2025-08-17T08:28:25Z</dcterms:created>
  <dcterms:modified xmlns:dcterms="http://purl.org/dc/terms/" xmlns:xsi="http://www.w3.org/2001/XMLSchema-instance" xsi:type="dcterms:W3CDTF">2025-08-17T08:28:26Z</dcterms:modified>
</cp:coreProperties>
</file>