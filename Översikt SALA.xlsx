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45990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45990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45990</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53627-2025</t>
        </is>
      </c>
      <c r="B12" s="1" t="n">
        <v>45960.49180555555</v>
      </c>
      <c r="C12" s="1" t="n">
        <v>45990</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53009-2024</t>
        </is>
      </c>
      <c r="B13" s="1" t="n">
        <v>45610</v>
      </c>
      <c r="C13" s="1" t="n">
        <v>45990</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45990</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34752-2023</t>
        </is>
      </c>
      <c r="B15" s="1" t="n">
        <v>45141</v>
      </c>
      <c r="C15" s="1" t="n">
        <v>45990</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45990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45990</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45990</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45990</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45990</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45990</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45990</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45990</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45990</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45990</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45990</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45990</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45990</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13029-2023</t>
        </is>
      </c>
      <c r="B29" s="1" t="n">
        <v>45001</v>
      </c>
      <c r="C29" s="1" t="n">
        <v>45990</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53048-2025</t>
        </is>
      </c>
      <c r="B30" s="1" t="n">
        <v>45958.36018518519</v>
      </c>
      <c r="C30" s="1" t="n">
        <v>45990</v>
      </c>
      <c r="D30" t="inlineStr">
        <is>
          <t>VÄSTMANLANDS LÄN</t>
        </is>
      </c>
      <c r="E30" t="inlineStr">
        <is>
          <t>SALA</t>
        </is>
      </c>
      <c r="F30" t="inlineStr">
        <is>
          <t>Sveaskog</t>
        </is>
      </c>
      <c r="G30" t="n">
        <v>7.5</v>
      </c>
      <c r="H30" t="n">
        <v>1</v>
      </c>
      <c r="I30" t="n">
        <v>1</v>
      </c>
      <c r="J30" t="n">
        <v>1</v>
      </c>
      <c r="K30" t="n">
        <v>0</v>
      </c>
      <c r="L30" t="n">
        <v>0</v>
      </c>
      <c r="M30" t="n">
        <v>0</v>
      </c>
      <c r="N30" t="n">
        <v>0</v>
      </c>
      <c r="O30" t="n">
        <v>1</v>
      </c>
      <c r="P30" t="n">
        <v>0</v>
      </c>
      <c r="Q30" t="n">
        <v>2</v>
      </c>
      <c r="R30" s="2" t="inlineStr">
        <is>
          <t>Motaggsvamp
Plattlummer</t>
        </is>
      </c>
      <c r="S30">
        <f>HYPERLINK("https://klasma.github.io/Logging_1981/artfynd/A 53048-2025 artfynd.xlsx", "A 53048-2025")</f>
        <v/>
      </c>
      <c r="T30">
        <f>HYPERLINK("https://klasma.github.io/Logging_1981/kartor/A 53048-2025 karta.png", "A 53048-2025")</f>
        <v/>
      </c>
      <c r="V30">
        <f>HYPERLINK("https://klasma.github.io/Logging_1981/klagomål/A 53048-2025 FSC-klagomål.docx", "A 53048-2025")</f>
        <v/>
      </c>
      <c r="W30">
        <f>HYPERLINK("https://klasma.github.io/Logging_1981/klagomålsmail/A 53048-2025 FSC-klagomål mail.docx", "A 53048-2025")</f>
        <v/>
      </c>
      <c r="X30">
        <f>HYPERLINK("https://klasma.github.io/Logging_1981/tillsyn/A 53048-2025 tillsynsbegäran.docx", "A 53048-2025")</f>
        <v/>
      </c>
      <c r="Y30">
        <f>HYPERLINK("https://klasma.github.io/Logging_1981/tillsynsmail/A 53048-2025 tillsynsbegäran mail.docx", "A 53048-2025")</f>
        <v/>
      </c>
    </row>
    <row r="31" ht="15" customHeight="1">
      <c r="A31" t="inlineStr">
        <is>
          <t>A 1500-2022</t>
        </is>
      </c>
      <c r="B31" s="1" t="n">
        <v>44573.54357638889</v>
      </c>
      <c r="C31" s="1" t="n">
        <v>45990</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45990</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11846-2024</t>
        </is>
      </c>
      <c r="B33" s="1" t="n">
        <v>45376.4047337963</v>
      </c>
      <c r="C33" s="1" t="n">
        <v>45990</v>
      </c>
      <c r="D33" t="inlineStr">
        <is>
          <t>VÄSTMANLANDS LÄN</t>
        </is>
      </c>
      <c r="E33" t="inlineStr">
        <is>
          <t>SALA</t>
        </is>
      </c>
      <c r="G33" t="n">
        <v>8</v>
      </c>
      <c r="H33" t="n">
        <v>0</v>
      </c>
      <c r="I33" t="n">
        <v>2</v>
      </c>
      <c r="J33" t="n">
        <v>0</v>
      </c>
      <c r="K33" t="n">
        <v>0</v>
      </c>
      <c r="L33" t="n">
        <v>0</v>
      </c>
      <c r="M33" t="n">
        <v>0</v>
      </c>
      <c r="N33" t="n">
        <v>0</v>
      </c>
      <c r="O33" t="n">
        <v>0</v>
      </c>
      <c r="P33" t="n">
        <v>0</v>
      </c>
      <c r="Q33" t="n">
        <v>2</v>
      </c>
      <c r="R33" s="2" t="inlineStr">
        <is>
          <t>Bronshjon
Vågbandad barkbock</t>
        </is>
      </c>
      <c r="S33">
        <f>HYPERLINK("https://klasma.github.io/Logging_1981/artfynd/A 11846-2024 artfynd.xlsx", "A 11846-2024")</f>
        <v/>
      </c>
      <c r="T33">
        <f>HYPERLINK("https://klasma.github.io/Logging_1981/kartor/A 11846-2024 karta.png", "A 11846-2024")</f>
        <v/>
      </c>
      <c r="V33">
        <f>HYPERLINK("https://klasma.github.io/Logging_1981/klagomål/A 11846-2024 FSC-klagomål.docx", "A 11846-2024")</f>
        <v/>
      </c>
      <c r="W33">
        <f>HYPERLINK("https://klasma.github.io/Logging_1981/klagomålsmail/A 11846-2024 FSC-klagomål mail.docx", "A 11846-2024")</f>
        <v/>
      </c>
      <c r="X33">
        <f>HYPERLINK("https://klasma.github.io/Logging_1981/tillsyn/A 11846-2024 tillsynsbegäran.docx", "A 11846-2024")</f>
        <v/>
      </c>
      <c r="Y33">
        <f>HYPERLINK("https://klasma.github.io/Logging_1981/tillsynsmail/A 11846-2024 tillsynsbegäran mail.docx", "A 11846-2024")</f>
        <v/>
      </c>
    </row>
    <row r="34" ht="15" customHeight="1">
      <c r="A34" t="inlineStr">
        <is>
          <t>A 12444-2024</t>
        </is>
      </c>
      <c r="B34" s="1" t="n">
        <v>45379.46285879629</v>
      </c>
      <c r="C34" s="1" t="n">
        <v>45990</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45990</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45990</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45990</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45990</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37166-2024</t>
        </is>
      </c>
      <c r="B39" s="1" t="n">
        <v>45539</v>
      </c>
      <c r="C39" s="1" t="n">
        <v>45990</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37166-2024 artfynd.xlsx", "A 37166-2024")</f>
        <v/>
      </c>
      <c r="T39">
        <f>HYPERLINK("https://klasma.github.io/Logging_1981/kartor/A 37166-2024 karta.png", "A 37166-2024")</f>
        <v/>
      </c>
      <c r="U39">
        <f>HYPERLINK("https://klasma.github.io/Logging_1981/knärot/A 37166-2024 karta knärot.png", "A 37166-2024")</f>
        <v/>
      </c>
      <c r="V39">
        <f>HYPERLINK("https://klasma.github.io/Logging_1981/klagomål/A 37166-2024 FSC-klagomål.docx", "A 37166-2024")</f>
        <v/>
      </c>
      <c r="W39">
        <f>HYPERLINK("https://klasma.github.io/Logging_1981/klagomålsmail/A 37166-2024 FSC-klagomål mail.docx", "A 37166-2024")</f>
        <v/>
      </c>
      <c r="X39">
        <f>HYPERLINK("https://klasma.github.io/Logging_1981/tillsyn/A 37166-2024 tillsynsbegäran.docx", "A 37166-2024")</f>
        <v/>
      </c>
      <c r="Y39">
        <f>HYPERLINK("https://klasma.github.io/Logging_1981/tillsynsmail/A 37166-2024 tillsynsbegäran mail.docx", "A 37166-2024")</f>
        <v/>
      </c>
    </row>
    <row r="40" ht="15" customHeight="1">
      <c r="A40" t="inlineStr">
        <is>
          <t>A 29727-2023</t>
        </is>
      </c>
      <c r="B40" s="1" t="n">
        <v>45107</v>
      </c>
      <c r="C40" s="1" t="n">
        <v>45990</v>
      </c>
      <c r="D40" t="inlineStr">
        <is>
          <t>VÄSTMANLANDS LÄN</t>
        </is>
      </c>
      <c r="E40" t="inlineStr">
        <is>
          <t>SALA</t>
        </is>
      </c>
      <c r="G40" t="n">
        <v>1.9</v>
      </c>
      <c r="H40" t="n">
        <v>0</v>
      </c>
      <c r="I40" t="n">
        <v>0</v>
      </c>
      <c r="J40" t="n">
        <v>1</v>
      </c>
      <c r="K40" t="n">
        <v>0</v>
      </c>
      <c r="L40" t="n">
        <v>0</v>
      </c>
      <c r="M40" t="n">
        <v>0</v>
      </c>
      <c r="N40" t="n">
        <v>0</v>
      </c>
      <c r="O40" t="n">
        <v>1</v>
      </c>
      <c r="P40" t="n">
        <v>0</v>
      </c>
      <c r="Q40" t="n">
        <v>1</v>
      </c>
      <c r="R40" s="2" t="inlineStr">
        <is>
          <t>Vedtrappmossa</t>
        </is>
      </c>
      <c r="S40">
        <f>HYPERLINK("https://klasma.github.io/Logging_1981/artfynd/A 29727-2023 artfynd.xlsx", "A 29727-2023")</f>
        <v/>
      </c>
      <c r="T40">
        <f>HYPERLINK("https://klasma.github.io/Logging_1981/kartor/A 29727-2023 karta.png", "A 29727-2023")</f>
        <v/>
      </c>
      <c r="V40">
        <f>HYPERLINK("https://klasma.github.io/Logging_1981/klagomål/A 29727-2023 FSC-klagomål.docx", "A 29727-2023")</f>
        <v/>
      </c>
      <c r="W40">
        <f>HYPERLINK("https://klasma.github.io/Logging_1981/klagomålsmail/A 29727-2023 FSC-klagomål mail.docx", "A 29727-2023")</f>
        <v/>
      </c>
      <c r="X40">
        <f>HYPERLINK("https://klasma.github.io/Logging_1981/tillsyn/A 29727-2023 tillsynsbegäran.docx", "A 29727-2023")</f>
        <v/>
      </c>
      <c r="Y40">
        <f>HYPERLINK("https://klasma.github.io/Logging_1981/tillsynsmail/A 29727-2023 tillsynsbegäran mail.docx", "A 29727-2023")</f>
        <v/>
      </c>
    </row>
    <row r="41" ht="15" customHeight="1">
      <c r="A41" t="inlineStr">
        <is>
          <t>A 32594-2025</t>
        </is>
      </c>
      <c r="B41" s="1" t="n">
        <v>45838</v>
      </c>
      <c r="C41" s="1" t="n">
        <v>45990</v>
      </c>
      <c r="D41" t="inlineStr">
        <is>
          <t>VÄSTMANLANDS LÄN</t>
        </is>
      </c>
      <c r="E41" t="inlineStr">
        <is>
          <t>SALA</t>
        </is>
      </c>
      <c r="F41" t="inlineStr">
        <is>
          <t>Bergvik skog öst AB</t>
        </is>
      </c>
      <c r="G41" t="n">
        <v>0.9</v>
      </c>
      <c r="H41" t="n">
        <v>1</v>
      </c>
      <c r="I41" t="n">
        <v>0</v>
      </c>
      <c r="J41" t="n">
        <v>0</v>
      </c>
      <c r="K41" t="n">
        <v>0</v>
      </c>
      <c r="L41" t="n">
        <v>0</v>
      </c>
      <c r="M41" t="n">
        <v>0</v>
      </c>
      <c r="N41" t="n">
        <v>0</v>
      </c>
      <c r="O41" t="n">
        <v>0</v>
      </c>
      <c r="P41" t="n">
        <v>0</v>
      </c>
      <c r="Q41" t="n">
        <v>1</v>
      </c>
      <c r="R41" s="2" t="inlineStr">
        <is>
          <t>Blåsippa</t>
        </is>
      </c>
      <c r="S41">
        <f>HYPERLINK("https://klasma.github.io/Logging_1981/artfynd/A 32594-2025 artfynd.xlsx", "A 32594-2025")</f>
        <v/>
      </c>
      <c r="T41">
        <f>HYPERLINK("https://klasma.github.io/Logging_1981/kartor/A 32594-2025 karta.png", "A 32594-2025")</f>
        <v/>
      </c>
      <c r="V41">
        <f>HYPERLINK("https://klasma.github.io/Logging_1981/klagomål/A 32594-2025 FSC-klagomål.docx", "A 32594-2025")</f>
        <v/>
      </c>
      <c r="W41">
        <f>HYPERLINK("https://klasma.github.io/Logging_1981/klagomålsmail/A 32594-2025 FSC-klagomål mail.docx", "A 32594-2025")</f>
        <v/>
      </c>
      <c r="X41">
        <f>HYPERLINK("https://klasma.github.io/Logging_1981/tillsyn/A 32594-2025 tillsynsbegäran.docx", "A 32594-2025")</f>
        <v/>
      </c>
      <c r="Y41">
        <f>HYPERLINK("https://klasma.github.io/Logging_1981/tillsynsmail/A 32594-2025 tillsynsbegäran mail.docx", "A 32594-2025")</f>
        <v/>
      </c>
    </row>
    <row r="42" ht="15" customHeight="1">
      <c r="A42" t="inlineStr">
        <is>
          <t>A 14775-2023</t>
        </is>
      </c>
      <c r="B42" s="1" t="n">
        <v>45014</v>
      </c>
      <c r="C42" s="1" t="n">
        <v>45990</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14775-2023 artfynd.xlsx", "A 14775-2023")</f>
        <v/>
      </c>
      <c r="T42">
        <f>HYPERLINK("https://klasma.github.io/Logging_1981/kartor/A 14775-2023 karta.png", "A 14775-2023")</f>
        <v/>
      </c>
      <c r="U42">
        <f>HYPERLINK("https://klasma.github.io/Logging_1981/knärot/A 14775-2023 karta knärot.png", "A 14775-2023")</f>
        <v/>
      </c>
      <c r="V42">
        <f>HYPERLINK("https://klasma.github.io/Logging_1981/klagomål/A 14775-2023 FSC-klagomål.docx", "A 14775-2023")</f>
        <v/>
      </c>
      <c r="W42">
        <f>HYPERLINK("https://klasma.github.io/Logging_1981/klagomålsmail/A 14775-2023 FSC-klagomål mail.docx", "A 14775-2023")</f>
        <v/>
      </c>
      <c r="X42">
        <f>HYPERLINK("https://klasma.github.io/Logging_1981/tillsyn/A 14775-2023 tillsynsbegäran.docx", "A 14775-2023")</f>
        <v/>
      </c>
      <c r="Y42">
        <f>HYPERLINK("https://klasma.github.io/Logging_1981/tillsynsmail/A 14775-2023 tillsynsbegäran mail.docx", "A 14775-2023")</f>
        <v/>
      </c>
    </row>
    <row r="43" ht="15" customHeight="1">
      <c r="A43" t="inlineStr">
        <is>
          <t>A 12509-2023</t>
        </is>
      </c>
      <c r="B43" s="1" t="n">
        <v>44999.95988425926</v>
      </c>
      <c r="C43" s="1" t="n">
        <v>45990</v>
      </c>
      <c r="D43" t="inlineStr">
        <is>
          <t>VÄSTMANLANDS LÄN</t>
        </is>
      </c>
      <c r="E43" t="inlineStr">
        <is>
          <t>SALA</t>
        </is>
      </c>
      <c r="G43" t="n">
        <v>13.9</v>
      </c>
      <c r="H43" t="n">
        <v>1</v>
      </c>
      <c r="I43" t="n">
        <v>0</v>
      </c>
      <c r="J43" t="n">
        <v>0</v>
      </c>
      <c r="K43" t="n">
        <v>0</v>
      </c>
      <c r="L43" t="n">
        <v>0</v>
      </c>
      <c r="M43" t="n">
        <v>0</v>
      </c>
      <c r="N43" t="n">
        <v>0</v>
      </c>
      <c r="O43" t="n">
        <v>0</v>
      </c>
      <c r="P43" t="n">
        <v>0</v>
      </c>
      <c r="Q43" t="n">
        <v>1</v>
      </c>
      <c r="R43" s="2" t="inlineStr">
        <is>
          <t>Grönvit nattviol</t>
        </is>
      </c>
      <c r="S43">
        <f>HYPERLINK("https://klasma.github.io/Logging_1981/artfynd/A 12509-2023 artfynd.xlsx", "A 12509-2023")</f>
        <v/>
      </c>
      <c r="T43">
        <f>HYPERLINK("https://klasma.github.io/Logging_1981/kartor/A 12509-2023 karta.png", "A 12509-2023")</f>
        <v/>
      </c>
      <c r="V43">
        <f>HYPERLINK("https://klasma.github.io/Logging_1981/klagomål/A 12509-2023 FSC-klagomål.docx", "A 12509-2023")</f>
        <v/>
      </c>
      <c r="W43">
        <f>HYPERLINK("https://klasma.github.io/Logging_1981/klagomålsmail/A 12509-2023 FSC-klagomål mail.docx", "A 12509-2023")</f>
        <v/>
      </c>
      <c r="X43">
        <f>HYPERLINK("https://klasma.github.io/Logging_1981/tillsyn/A 12509-2023 tillsynsbegäran.docx", "A 12509-2023")</f>
        <v/>
      </c>
      <c r="Y43">
        <f>HYPERLINK("https://klasma.github.io/Logging_1981/tillsynsmail/A 12509-2023 tillsynsbegäran mail.docx", "A 12509-2023")</f>
        <v/>
      </c>
    </row>
    <row r="44" ht="15" customHeight="1">
      <c r="A44" t="inlineStr">
        <is>
          <t>A 53052-2025</t>
        </is>
      </c>
      <c r="B44" s="1" t="n">
        <v>45958.36266203703</v>
      </c>
      <c r="C44" s="1" t="n">
        <v>45990</v>
      </c>
      <c r="D44" t="inlineStr">
        <is>
          <t>VÄSTMANLANDS LÄN</t>
        </is>
      </c>
      <c r="E44" t="inlineStr">
        <is>
          <t>SALA</t>
        </is>
      </c>
      <c r="F44" t="inlineStr">
        <is>
          <t>Sveaskog</t>
        </is>
      </c>
      <c r="G44" t="n">
        <v>1.1</v>
      </c>
      <c r="H44" t="n">
        <v>0</v>
      </c>
      <c r="I44" t="n">
        <v>0</v>
      </c>
      <c r="J44" t="n">
        <v>1</v>
      </c>
      <c r="K44" t="n">
        <v>0</v>
      </c>
      <c r="L44" t="n">
        <v>0</v>
      </c>
      <c r="M44" t="n">
        <v>0</v>
      </c>
      <c r="N44" t="n">
        <v>0</v>
      </c>
      <c r="O44" t="n">
        <v>1</v>
      </c>
      <c r="P44" t="n">
        <v>0</v>
      </c>
      <c r="Q44" t="n">
        <v>1</v>
      </c>
      <c r="R44" s="2" t="inlineStr">
        <is>
          <t>Motaggsvamp</t>
        </is>
      </c>
      <c r="S44">
        <f>HYPERLINK("https://klasma.github.io/Logging_1981/artfynd/A 53052-2025 artfynd.xlsx", "A 53052-2025")</f>
        <v/>
      </c>
      <c r="T44">
        <f>HYPERLINK("https://klasma.github.io/Logging_1981/kartor/A 53052-2025 karta.png", "A 53052-2025")</f>
        <v/>
      </c>
      <c r="V44">
        <f>HYPERLINK("https://klasma.github.io/Logging_1981/klagomål/A 53052-2025 FSC-klagomål.docx", "A 53052-2025")</f>
        <v/>
      </c>
      <c r="W44">
        <f>HYPERLINK("https://klasma.github.io/Logging_1981/klagomålsmail/A 53052-2025 FSC-klagomål mail.docx", "A 53052-2025")</f>
        <v/>
      </c>
      <c r="X44">
        <f>HYPERLINK("https://klasma.github.io/Logging_1981/tillsyn/A 53052-2025 tillsynsbegäran.docx", "A 53052-2025")</f>
        <v/>
      </c>
      <c r="Y44">
        <f>HYPERLINK("https://klasma.github.io/Logging_1981/tillsynsmail/A 53052-2025 tillsynsbegäran mail.docx", "A 53052-2025")</f>
        <v/>
      </c>
    </row>
    <row r="45" ht="15" customHeight="1">
      <c r="A45" t="inlineStr">
        <is>
          <t>A 22350-2024</t>
        </is>
      </c>
      <c r="B45" s="1" t="n">
        <v>45446</v>
      </c>
      <c r="C45" s="1" t="n">
        <v>45990</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38255-2025</t>
        </is>
      </c>
      <c r="B46" s="1" t="n">
        <v>45883.38020833334</v>
      </c>
      <c r="C46" s="1" t="n">
        <v>45990</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19361-2025</t>
        </is>
      </c>
      <c r="B47" s="1" t="n">
        <v>45769.63357638889</v>
      </c>
      <c r="C47" s="1" t="n">
        <v>45990</v>
      </c>
      <c r="D47" t="inlineStr">
        <is>
          <t>VÄSTMANLANDS LÄN</t>
        </is>
      </c>
      <c r="E47" t="inlineStr">
        <is>
          <t>SALA</t>
        </is>
      </c>
      <c r="F47" t="inlineStr">
        <is>
          <t>Bergvik skog öst AB</t>
        </is>
      </c>
      <c r="G47" t="n">
        <v>8.9</v>
      </c>
      <c r="H47" t="n">
        <v>0</v>
      </c>
      <c r="I47" t="n">
        <v>0</v>
      </c>
      <c r="J47" t="n">
        <v>1</v>
      </c>
      <c r="K47" t="n">
        <v>0</v>
      </c>
      <c r="L47" t="n">
        <v>0</v>
      </c>
      <c r="M47" t="n">
        <v>0</v>
      </c>
      <c r="N47" t="n">
        <v>0</v>
      </c>
      <c r="O47" t="n">
        <v>1</v>
      </c>
      <c r="P47" t="n">
        <v>0</v>
      </c>
      <c r="Q47" t="n">
        <v>1</v>
      </c>
      <c r="R47" s="2" t="inlineStr">
        <is>
          <t>Garnlav</t>
        </is>
      </c>
      <c r="S47">
        <f>HYPERLINK("https://klasma.github.io/Logging_1981/artfynd/A 19361-2025 artfynd.xlsx", "A 19361-2025")</f>
        <v/>
      </c>
      <c r="T47">
        <f>HYPERLINK("https://klasma.github.io/Logging_1981/kartor/A 19361-2025 karta.png", "A 19361-2025")</f>
        <v/>
      </c>
      <c r="V47">
        <f>HYPERLINK("https://klasma.github.io/Logging_1981/klagomål/A 19361-2025 FSC-klagomål.docx", "A 19361-2025")</f>
        <v/>
      </c>
      <c r="W47">
        <f>HYPERLINK("https://klasma.github.io/Logging_1981/klagomålsmail/A 19361-2025 FSC-klagomål mail.docx", "A 19361-2025")</f>
        <v/>
      </c>
      <c r="X47">
        <f>HYPERLINK("https://klasma.github.io/Logging_1981/tillsyn/A 19361-2025 tillsynsbegäran.docx", "A 19361-2025")</f>
        <v/>
      </c>
      <c r="Y47">
        <f>HYPERLINK("https://klasma.github.io/Logging_1981/tillsynsmail/A 19361-2025 tillsynsbegäran mail.docx", "A 19361-2025")</f>
        <v/>
      </c>
    </row>
    <row r="48" ht="15" customHeight="1">
      <c r="A48" t="inlineStr">
        <is>
          <t>A 41570-2021</t>
        </is>
      </c>
      <c r="B48" s="1" t="n">
        <v>44425</v>
      </c>
      <c r="C48" s="1" t="n">
        <v>45990</v>
      </c>
      <c r="D48" t="inlineStr">
        <is>
          <t>VÄSTMANLANDS LÄN</t>
        </is>
      </c>
      <c r="E48" t="inlineStr">
        <is>
          <t>SALA</t>
        </is>
      </c>
      <c r="G48" t="n">
        <v>1.4</v>
      </c>
      <c r="H48" t="n">
        <v>0</v>
      </c>
      <c r="I48" t="n">
        <v>0</v>
      </c>
      <c r="J48" t="n">
        <v>1</v>
      </c>
      <c r="K48" t="n">
        <v>0</v>
      </c>
      <c r="L48" t="n">
        <v>0</v>
      </c>
      <c r="M48" t="n">
        <v>0</v>
      </c>
      <c r="N48" t="n">
        <v>0</v>
      </c>
      <c r="O48" t="n">
        <v>1</v>
      </c>
      <c r="P48" t="n">
        <v>0</v>
      </c>
      <c r="Q48" t="n">
        <v>1</v>
      </c>
      <c r="R48" s="2" t="inlineStr">
        <is>
          <t>Vedtrappmossa</t>
        </is>
      </c>
      <c r="S48">
        <f>HYPERLINK("https://klasma.github.io/Logging_1981/artfynd/A 41570-2021 artfynd.xlsx", "A 41570-2021")</f>
        <v/>
      </c>
      <c r="T48">
        <f>HYPERLINK("https://klasma.github.io/Logging_1981/kartor/A 41570-2021 karta.png", "A 41570-2021")</f>
        <v/>
      </c>
      <c r="V48">
        <f>HYPERLINK("https://klasma.github.io/Logging_1981/klagomål/A 41570-2021 FSC-klagomål.docx", "A 41570-2021")</f>
        <v/>
      </c>
      <c r="W48">
        <f>HYPERLINK("https://klasma.github.io/Logging_1981/klagomålsmail/A 41570-2021 FSC-klagomål mail.docx", "A 41570-2021")</f>
        <v/>
      </c>
      <c r="X48">
        <f>HYPERLINK("https://klasma.github.io/Logging_1981/tillsyn/A 41570-2021 tillsynsbegäran.docx", "A 41570-2021")</f>
        <v/>
      </c>
      <c r="Y48">
        <f>HYPERLINK("https://klasma.github.io/Logging_1981/tillsynsmail/A 41570-2021 tillsynsbegäran mail.docx", "A 41570-2021")</f>
        <v/>
      </c>
    </row>
    <row r="49" ht="15" customHeight="1">
      <c r="A49" t="inlineStr">
        <is>
          <t>A 55995-2025</t>
        </is>
      </c>
      <c r="B49" s="1" t="n">
        <v>45973.56733796297</v>
      </c>
      <c r="C49" s="1" t="n">
        <v>45990</v>
      </c>
      <c r="D49" t="inlineStr">
        <is>
          <t>VÄSTMANLANDS LÄN</t>
        </is>
      </c>
      <c r="E49" t="inlineStr">
        <is>
          <t>SALA</t>
        </is>
      </c>
      <c r="F49" t="inlineStr">
        <is>
          <t>Sveaskog</t>
        </is>
      </c>
      <c r="G49" t="n">
        <v>4.5</v>
      </c>
      <c r="H49" t="n">
        <v>1</v>
      </c>
      <c r="I49" t="n">
        <v>0</v>
      </c>
      <c r="J49" t="n">
        <v>0</v>
      </c>
      <c r="K49" t="n">
        <v>0</v>
      </c>
      <c r="L49" t="n">
        <v>0</v>
      </c>
      <c r="M49" t="n">
        <v>0</v>
      </c>
      <c r="N49" t="n">
        <v>0</v>
      </c>
      <c r="O49" t="n">
        <v>0</v>
      </c>
      <c r="P49" t="n">
        <v>0</v>
      </c>
      <c r="Q49" t="n">
        <v>1</v>
      </c>
      <c r="R49" s="2" t="inlineStr">
        <is>
          <t>Fläcknycklar</t>
        </is>
      </c>
      <c r="S49">
        <f>HYPERLINK("https://klasma.github.io/Logging_1981/artfynd/A 55995-2025 artfynd.xlsx", "A 55995-2025")</f>
        <v/>
      </c>
      <c r="T49">
        <f>HYPERLINK("https://klasma.github.io/Logging_1981/kartor/A 55995-2025 karta.png", "A 55995-2025")</f>
        <v/>
      </c>
      <c r="V49">
        <f>HYPERLINK("https://klasma.github.io/Logging_1981/klagomål/A 55995-2025 FSC-klagomål.docx", "A 55995-2025")</f>
        <v/>
      </c>
      <c r="W49">
        <f>HYPERLINK("https://klasma.github.io/Logging_1981/klagomålsmail/A 55995-2025 FSC-klagomål mail.docx", "A 55995-2025")</f>
        <v/>
      </c>
      <c r="X49">
        <f>HYPERLINK("https://klasma.github.io/Logging_1981/tillsyn/A 55995-2025 tillsynsbegäran.docx", "A 55995-2025")</f>
        <v/>
      </c>
      <c r="Y49">
        <f>HYPERLINK("https://klasma.github.io/Logging_1981/tillsynsmail/A 55995-2025 tillsynsbegäran mail.docx", "A 55995-2025")</f>
        <v/>
      </c>
    </row>
    <row r="50" ht="15" customHeight="1">
      <c r="A50" t="inlineStr">
        <is>
          <t>A 60852-2024</t>
        </is>
      </c>
      <c r="B50" s="1" t="n">
        <v>45644</v>
      </c>
      <c r="C50" s="1" t="n">
        <v>45990</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43175-2023</t>
        </is>
      </c>
      <c r="B51" s="1" t="n">
        <v>45183</v>
      </c>
      <c r="C51" s="1" t="n">
        <v>45990</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48705-2025</t>
        </is>
      </c>
      <c r="B52" s="1" t="n">
        <v>45936.62290509259</v>
      </c>
      <c r="C52" s="1" t="n">
        <v>45990</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50268-2025</t>
        </is>
      </c>
      <c r="B53" s="1" t="n">
        <v>45944.35162037037</v>
      </c>
      <c r="C53" s="1" t="n">
        <v>45990</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55550-2023</t>
        </is>
      </c>
      <c r="B54" s="1" t="n">
        <v>45232</v>
      </c>
      <c r="C54" s="1" t="n">
        <v>45990</v>
      </c>
      <c r="D54" t="inlineStr">
        <is>
          <t>VÄSTMANLANDS LÄN</t>
        </is>
      </c>
      <c r="E54" t="inlineStr">
        <is>
          <t>SALA</t>
        </is>
      </c>
      <c r="G54" t="n">
        <v>9.9</v>
      </c>
      <c r="H54" t="n">
        <v>1</v>
      </c>
      <c r="I54" t="n">
        <v>0</v>
      </c>
      <c r="J54" t="n">
        <v>0</v>
      </c>
      <c r="K54" t="n">
        <v>1</v>
      </c>
      <c r="L54" t="n">
        <v>0</v>
      </c>
      <c r="M54" t="n">
        <v>0</v>
      </c>
      <c r="N54" t="n">
        <v>0</v>
      </c>
      <c r="O54" t="n">
        <v>1</v>
      </c>
      <c r="P54" t="n">
        <v>1</v>
      </c>
      <c r="Q54" t="n">
        <v>1</v>
      </c>
      <c r="R54" s="2" t="inlineStr">
        <is>
          <t>Knärot</t>
        </is>
      </c>
      <c r="S54">
        <f>HYPERLINK("https://klasma.github.io/Logging_1981/artfynd/A 55550-2023 artfynd.xlsx", "A 55550-2023")</f>
        <v/>
      </c>
      <c r="T54">
        <f>HYPERLINK("https://klasma.github.io/Logging_1981/kartor/A 55550-2023 karta.png", "A 55550-2023")</f>
        <v/>
      </c>
      <c r="U54">
        <f>HYPERLINK("https://klasma.github.io/Logging_1981/knärot/A 55550-2023 karta knärot.png", "A 55550-2023")</f>
        <v/>
      </c>
      <c r="V54">
        <f>HYPERLINK("https://klasma.github.io/Logging_1981/klagomål/A 55550-2023 FSC-klagomål.docx", "A 55550-2023")</f>
        <v/>
      </c>
      <c r="W54">
        <f>HYPERLINK("https://klasma.github.io/Logging_1981/klagomålsmail/A 55550-2023 FSC-klagomål mail.docx", "A 55550-2023")</f>
        <v/>
      </c>
      <c r="X54">
        <f>HYPERLINK("https://klasma.github.io/Logging_1981/tillsyn/A 55550-2023 tillsynsbegäran.docx", "A 55550-2023")</f>
        <v/>
      </c>
      <c r="Y54">
        <f>HYPERLINK("https://klasma.github.io/Logging_1981/tillsynsmail/A 55550-2023 tillsynsbegäran mail.docx", "A 55550-2023")</f>
        <v/>
      </c>
    </row>
    <row r="55" ht="15" customHeight="1">
      <c r="A55" t="inlineStr">
        <is>
          <t>A 41270-2024</t>
        </is>
      </c>
      <c r="B55" s="1" t="n">
        <v>45559</v>
      </c>
      <c r="C55" s="1" t="n">
        <v>45990</v>
      </c>
      <c r="D55" t="inlineStr">
        <is>
          <t>VÄSTMANLANDS LÄN</t>
        </is>
      </c>
      <c r="E55" t="inlineStr">
        <is>
          <t>SALA</t>
        </is>
      </c>
      <c r="G55" t="n">
        <v>15.2</v>
      </c>
      <c r="H55" t="n">
        <v>1</v>
      </c>
      <c r="I55" t="n">
        <v>0</v>
      </c>
      <c r="J55" t="n">
        <v>1</v>
      </c>
      <c r="K55" t="n">
        <v>0</v>
      </c>
      <c r="L55" t="n">
        <v>0</v>
      </c>
      <c r="M55" t="n">
        <v>0</v>
      </c>
      <c r="N55" t="n">
        <v>0</v>
      </c>
      <c r="O55" t="n">
        <v>1</v>
      </c>
      <c r="P55" t="n">
        <v>0</v>
      </c>
      <c r="Q55" t="n">
        <v>1</v>
      </c>
      <c r="R55" s="2" t="inlineStr">
        <is>
          <t>Havsörn</t>
        </is>
      </c>
      <c r="S55">
        <f>HYPERLINK("https://klasma.github.io/Logging_1981/artfynd/A 41270-2024 artfynd.xlsx", "A 41270-2024")</f>
        <v/>
      </c>
      <c r="T55">
        <f>HYPERLINK("https://klasma.github.io/Logging_1981/kartor/A 41270-2024 karta.png", "A 41270-2024")</f>
        <v/>
      </c>
      <c r="V55">
        <f>HYPERLINK("https://klasma.github.io/Logging_1981/klagomål/A 41270-2024 FSC-klagomål.docx", "A 41270-2024")</f>
        <v/>
      </c>
      <c r="W55">
        <f>HYPERLINK("https://klasma.github.io/Logging_1981/klagomålsmail/A 41270-2024 FSC-klagomål mail.docx", "A 41270-2024")</f>
        <v/>
      </c>
      <c r="X55">
        <f>HYPERLINK("https://klasma.github.io/Logging_1981/tillsyn/A 41270-2024 tillsynsbegäran.docx", "A 41270-2024")</f>
        <v/>
      </c>
      <c r="Y55">
        <f>HYPERLINK("https://klasma.github.io/Logging_1981/tillsynsmail/A 41270-2024 tillsynsbegäran mail.docx", "A 41270-2024")</f>
        <v/>
      </c>
      <c r="Z55">
        <f>HYPERLINK("https://klasma.github.io/Logging_1981/fåglar/A 41270-2024 prioriterade fågelarter.docx", "A 41270-2024")</f>
        <v/>
      </c>
    </row>
    <row r="56" ht="15" customHeight="1">
      <c r="A56" t="inlineStr">
        <is>
          <t>A 43068-2024</t>
        </is>
      </c>
      <c r="B56" s="1" t="n">
        <v>45567</v>
      </c>
      <c r="C56" s="1" t="n">
        <v>45990</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7919-2022</t>
        </is>
      </c>
      <c r="B57" s="1" t="n">
        <v>44608</v>
      </c>
      <c r="C57" s="1" t="n">
        <v>45990</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29985-2022</t>
        </is>
      </c>
      <c r="B58" s="1" t="n">
        <v>44756</v>
      </c>
      <c r="C58" s="1" t="n">
        <v>45990</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7731-2023</t>
        </is>
      </c>
      <c r="B59" s="1" t="n">
        <v>44973</v>
      </c>
      <c r="C59" s="1" t="n">
        <v>45990</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56704-2022</t>
        </is>
      </c>
      <c r="B60" s="1" t="n">
        <v>44893.78075231481</v>
      </c>
      <c r="C60" s="1" t="n">
        <v>45990</v>
      </c>
      <c r="D60" t="inlineStr">
        <is>
          <t>VÄSTMANLANDS LÄN</t>
        </is>
      </c>
      <c r="E60" t="inlineStr">
        <is>
          <t>SALA</t>
        </is>
      </c>
      <c r="G60" t="n">
        <v>3.2</v>
      </c>
      <c r="H60" t="n">
        <v>1</v>
      </c>
      <c r="I60" t="n">
        <v>0</v>
      </c>
      <c r="J60" t="n">
        <v>0</v>
      </c>
      <c r="K60" t="n">
        <v>1</v>
      </c>
      <c r="L60" t="n">
        <v>0</v>
      </c>
      <c r="M60" t="n">
        <v>0</v>
      </c>
      <c r="N60" t="n">
        <v>0</v>
      </c>
      <c r="O60" t="n">
        <v>1</v>
      </c>
      <c r="P60" t="n">
        <v>1</v>
      </c>
      <c r="Q60" t="n">
        <v>1</v>
      </c>
      <c r="R60" s="2" t="inlineStr">
        <is>
          <t>Knärot</t>
        </is>
      </c>
      <c r="S60">
        <f>HYPERLINK("https://klasma.github.io/Logging_1981/artfynd/A 56704-2022 artfynd.xlsx", "A 56704-2022")</f>
        <v/>
      </c>
      <c r="T60">
        <f>HYPERLINK("https://klasma.github.io/Logging_1981/kartor/A 56704-2022 karta.png", "A 56704-2022")</f>
        <v/>
      </c>
      <c r="U60">
        <f>HYPERLINK("https://klasma.github.io/Logging_1981/knärot/A 56704-2022 karta knärot.png", "A 56704-2022")</f>
        <v/>
      </c>
      <c r="V60">
        <f>HYPERLINK("https://klasma.github.io/Logging_1981/klagomål/A 56704-2022 FSC-klagomål.docx", "A 56704-2022")</f>
        <v/>
      </c>
      <c r="W60">
        <f>HYPERLINK("https://klasma.github.io/Logging_1981/klagomålsmail/A 56704-2022 FSC-klagomål mail.docx", "A 56704-2022")</f>
        <v/>
      </c>
      <c r="X60">
        <f>HYPERLINK("https://klasma.github.io/Logging_1981/tillsyn/A 56704-2022 tillsynsbegäran.docx", "A 56704-2022")</f>
        <v/>
      </c>
      <c r="Y60">
        <f>HYPERLINK("https://klasma.github.io/Logging_1981/tillsynsmail/A 56704-2022 tillsynsbegäran mail.docx", "A 56704-2022")</f>
        <v/>
      </c>
    </row>
    <row r="61" ht="15" customHeight="1">
      <c r="A61" t="inlineStr">
        <is>
          <t>A 21738-2025</t>
        </is>
      </c>
      <c r="B61" s="1" t="n">
        <v>45783.59173611111</v>
      </c>
      <c r="C61" s="1" t="n">
        <v>45990</v>
      </c>
      <c r="D61" t="inlineStr">
        <is>
          <t>VÄSTMANLANDS LÄN</t>
        </is>
      </c>
      <c r="E61" t="inlineStr">
        <is>
          <t>SALA</t>
        </is>
      </c>
      <c r="G61" t="n">
        <v>2.1</v>
      </c>
      <c r="H61" t="n">
        <v>0</v>
      </c>
      <c r="I61" t="n">
        <v>0</v>
      </c>
      <c r="J61" t="n">
        <v>1</v>
      </c>
      <c r="K61" t="n">
        <v>0</v>
      </c>
      <c r="L61" t="n">
        <v>0</v>
      </c>
      <c r="M61" t="n">
        <v>0</v>
      </c>
      <c r="N61" t="n">
        <v>0</v>
      </c>
      <c r="O61" t="n">
        <v>1</v>
      </c>
      <c r="P61" t="n">
        <v>0</v>
      </c>
      <c r="Q61" t="n">
        <v>1</v>
      </c>
      <c r="R61" s="2" t="inlineStr">
        <is>
          <t>Motaggsvamp</t>
        </is>
      </c>
      <c r="S61">
        <f>HYPERLINK("https://klasma.github.io/Logging_1981/artfynd/A 21738-2025 artfynd.xlsx", "A 21738-2025")</f>
        <v/>
      </c>
      <c r="T61">
        <f>HYPERLINK("https://klasma.github.io/Logging_1981/kartor/A 21738-2025 karta.png", "A 21738-2025")</f>
        <v/>
      </c>
      <c r="V61">
        <f>HYPERLINK("https://klasma.github.io/Logging_1981/klagomål/A 21738-2025 FSC-klagomål.docx", "A 21738-2025")</f>
        <v/>
      </c>
      <c r="W61">
        <f>HYPERLINK("https://klasma.github.io/Logging_1981/klagomålsmail/A 21738-2025 FSC-klagomål mail.docx", "A 21738-2025")</f>
        <v/>
      </c>
      <c r="X61">
        <f>HYPERLINK("https://klasma.github.io/Logging_1981/tillsyn/A 21738-2025 tillsynsbegäran.docx", "A 21738-2025")</f>
        <v/>
      </c>
      <c r="Y61">
        <f>HYPERLINK("https://klasma.github.io/Logging_1981/tillsynsmail/A 21738-2025 tillsynsbegäran mail.docx", "A 21738-2025")</f>
        <v/>
      </c>
    </row>
    <row r="62" ht="15" customHeight="1">
      <c r="A62" t="inlineStr">
        <is>
          <t>A 22950-2025</t>
        </is>
      </c>
      <c r="B62" s="1" t="n">
        <v>45790.50728009259</v>
      </c>
      <c r="C62" s="1" t="n">
        <v>45990</v>
      </c>
      <c r="D62" t="inlineStr">
        <is>
          <t>VÄSTMANLANDS LÄN</t>
        </is>
      </c>
      <c r="E62" t="inlineStr">
        <is>
          <t>SALA</t>
        </is>
      </c>
      <c r="G62" t="n">
        <v>6.2</v>
      </c>
      <c r="H62" t="n">
        <v>1</v>
      </c>
      <c r="I62" t="n">
        <v>0</v>
      </c>
      <c r="J62" t="n">
        <v>1</v>
      </c>
      <c r="K62" t="n">
        <v>0</v>
      </c>
      <c r="L62" t="n">
        <v>0</v>
      </c>
      <c r="M62" t="n">
        <v>0</v>
      </c>
      <c r="N62" t="n">
        <v>0</v>
      </c>
      <c r="O62" t="n">
        <v>1</v>
      </c>
      <c r="P62" t="n">
        <v>0</v>
      </c>
      <c r="Q62" t="n">
        <v>1</v>
      </c>
      <c r="R62" s="2" t="inlineStr">
        <is>
          <t>Svartvit flugsnappare</t>
        </is>
      </c>
      <c r="S62">
        <f>HYPERLINK("https://klasma.github.io/Logging_1981/artfynd/A 22950-2025 artfynd.xlsx", "A 22950-2025")</f>
        <v/>
      </c>
      <c r="T62">
        <f>HYPERLINK("https://klasma.github.io/Logging_1981/kartor/A 22950-2025 karta.png", "A 22950-2025")</f>
        <v/>
      </c>
      <c r="V62">
        <f>HYPERLINK("https://klasma.github.io/Logging_1981/klagomål/A 22950-2025 FSC-klagomål.docx", "A 22950-2025")</f>
        <v/>
      </c>
      <c r="W62">
        <f>HYPERLINK("https://klasma.github.io/Logging_1981/klagomålsmail/A 22950-2025 FSC-klagomål mail.docx", "A 22950-2025")</f>
        <v/>
      </c>
      <c r="X62">
        <f>HYPERLINK("https://klasma.github.io/Logging_1981/tillsyn/A 22950-2025 tillsynsbegäran.docx", "A 22950-2025")</f>
        <v/>
      </c>
      <c r="Y62">
        <f>HYPERLINK("https://klasma.github.io/Logging_1981/tillsynsmail/A 22950-2025 tillsynsbegäran mail.docx", "A 22950-2025")</f>
        <v/>
      </c>
      <c r="Z62">
        <f>HYPERLINK("https://klasma.github.io/Logging_1981/fåglar/A 22950-2025 prioriterade fågelarter.docx", "A 22950-2025")</f>
        <v/>
      </c>
    </row>
    <row r="63" ht="15" customHeight="1">
      <c r="A63" t="inlineStr">
        <is>
          <t>A 69194-2020</t>
        </is>
      </c>
      <c r="B63" s="1" t="n">
        <v>44191</v>
      </c>
      <c r="C63" s="1" t="n">
        <v>45990</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45990</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45990</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45990</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45990</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45990</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45990</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45990</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45990</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45990</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45990</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45990</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45990</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45990</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45990</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45990</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45990</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45990</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45990</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45990</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45990</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45990</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45990</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45990</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45990</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45990</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45990</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45990</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45990</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45990</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45990</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45990</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45990</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45990</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45990</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45990</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45990</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45990</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45990</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45990</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45990</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45990</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45990</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45990</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45990</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45990</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45990</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45990</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45990</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45990</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45990</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45990</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45990</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45990</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45990</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45990</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45990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45990</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45990</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45990</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45990</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45990</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45990</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45990</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45990</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45990</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45990</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45990</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45990</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45990</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45990</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45990</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45990</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45990</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45990</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45990</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45990</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45990</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45990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45990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45990</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45990</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45990</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45990</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45990</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45990</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69192-2020</t>
        </is>
      </c>
      <c r="B149" s="1" t="n">
        <v>44191</v>
      </c>
      <c r="C149" s="1" t="n">
        <v>45990</v>
      </c>
      <c r="D149" t="inlineStr">
        <is>
          <t>VÄSTMANLANDS LÄN</t>
        </is>
      </c>
      <c r="E149" t="inlineStr">
        <is>
          <t>SALA</t>
        </is>
      </c>
      <c r="G149" t="n">
        <v>0.8</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45990</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65856-2021</t>
        </is>
      </c>
      <c r="B151" s="1" t="n">
        <v>44517</v>
      </c>
      <c r="C151" s="1" t="n">
        <v>45990</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44224-2022</t>
        </is>
      </c>
      <c r="B152" s="1" t="n">
        <v>44839.506875</v>
      </c>
      <c r="C152" s="1" t="n">
        <v>45990</v>
      </c>
      <c r="D152" t="inlineStr">
        <is>
          <t>VÄSTMANLANDS LÄN</t>
        </is>
      </c>
      <c r="E152" t="inlineStr">
        <is>
          <t>SALA</t>
        </is>
      </c>
      <c r="G152" t="n">
        <v>2.1</v>
      </c>
      <c r="H152" t="n">
        <v>0</v>
      </c>
      <c r="I152" t="n">
        <v>0</v>
      </c>
      <c r="J152" t="n">
        <v>0</v>
      </c>
      <c r="K152" t="n">
        <v>0</v>
      </c>
      <c r="L152" t="n">
        <v>0</v>
      </c>
      <c r="M152" t="n">
        <v>0</v>
      </c>
      <c r="N152" t="n">
        <v>0</v>
      </c>
      <c r="O152" t="n">
        <v>0</v>
      </c>
      <c r="P152" t="n">
        <v>0</v>
      </c>
      <c r="Q152" t="n">
        <v>0</v>
      </c>
      <c r="R152" s="2" t="inlineStr"/>
    </row>
    <row r="153" ht="15" customHeight="1">
      <c r="A153" t="inlineStr">
        <is>
          <t>A 25603-2022</t>
        </is>
      </c>
      <c r="B153" s="1" t="n">
        <v>44732</v>
      </c>
      <c r="C153" s="1" t="n">
        <v>45990</v>
      </c>
      <c r="D153" t="inlineStr">
        <is>
          <t>VÄSTMANLANDS LÄN</t>
        </is>
      </c>
      <c r="E153" t="inlineStr">
        <is>
          <t>SALA</t>
        </is>
      </c>
      <c r="G153" t="n">
        <v>2</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45990</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23847-2022</t>
        </is>
      </c>
      <c r="B155" s="1" t="n">
        <v>44722</v>
      </c>
      <c r="C155" s="1" t="n">
        <v>45990</v>
      </c>
      <c r="D155" t="inlineStr">
        <is>
          <t>VÄSTMANLANDS LÄN</t>
        </is>
      </c>
      <c r="E155" t="inlineStr">
        <is>
          <t>SALA</t>
        </is>
      </c>
      <c r="G155" t="n">
        <v>1</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45990</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45990</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45990</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45990</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65353-2021</t>
        </is>
      </c>
      <c r="B160" s="1" t="n">
        <v>44515</v>
      </c>
      <c r="C160" s="1" t="n">
        <v>45990</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45990</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45990</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45990</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53630-2022</t>
        </is>
      </c>
      <c r="B164" s="1" t="n">
        <v>44879.87533564815</v>
      </c>
      <c r="C164" s="1" t="n">
        <v>45990</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45990</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45990</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45990</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45990</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45990</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45990</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40113-2022</t>
        </is>
      </c>
      <c r="B171" s="1" t="n">
        <v>44819</v>
      </c>
      <c r="C171" s="1" t="n">
        <v>45990</v>
      </c>
      <c r="D171" t="inlineStr">
        <is>
          <t>VÄSTMANLANDS LÄN</t>
        </is>
      </c>
      <c r="E171" t="inlineStr">
        <is>
          <t>SALA</t>
        </is>
      </c>
      <c r="G171" t="n">
        <v>0.9</v>
      </c>
      <c r="H171" t="n">
        <v>0</v>
      </c>
      <c r="I171" t="n">
        <v>0</v>
      </c>
      <c r="J171" t="n">
        <v>0</v>
      </c>
      <c r="K171" t="n">
        <v>0</v>
      </c>
      <c r="L171" t="n">
        <v>0</v>
      </c>
      <c r="M171" t="n">
        <v>0</v>
      </c>
      <c r="N171" t="n">
        <v>0</v>
      </c>
      <c r="O171" t="n">
        <v>0</v>
      </c>
      <c r="P171" t="n">
        <v>0</v>
      </c>
      <c r="Q171" t="n">
        <v>0</v>
      </c>
      <c r="R171" s="2" t="inlineStr"/>
    </row>
    <row r="172" ht="15" customHeight="1">
      <c r="A172" t="inlineStr">
        <is>
          <t>A 29233-2022</t>
        </is>
      </c>
      <c r="B172" s="1" t="n">
        <v>44750</v>
      </c>
      <c r="C172" s="1" t="n">
        <v>45990</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45990</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45990</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45990</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44841.63766203704</v>
      </c>
      <c r="C176" s="1" t="n">
        <v>45990</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10168-2022</t>
        </is>
      </c>
      <c r="B177" s="1" t="n">
        <v>44622.37693287037</v>
      </c>
      <c r="C177" s="1" t="n">
        <v>45990</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57000-2021</t>
        </is>
      </c>
      <c r="B178" s="1" t="n">
        <v>44482.46760416667</v>
      </c>
      <c r="C178" s="1" t="n">
        <v>45990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45990</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64932-2021</t>
        </is>
      </c>
      <c r="B180" s="1" t="n">
        <v>44512</v>
      </c>
      <c r="C180" s="1" t="n">
        <v>45990</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45990</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62449-2023</t>
        </is>
      </c>
      <c r="B182" s="1" t="n">
        <v>45268.49008101852</v>
      </c>
      <c r="C182" s="1" t="n">
        <v>45990</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17458-2024</t>
        </is>
      </c>
      <c r="B183" s="1" t="n">
        <v>45415</v>
      </c>
      <c r="C183" s="1" t="n">
        <v>45990</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58107-2021</t>
        </is>
      </c>
      <c r="B184" s="1" t="n">
        <v>44487</v>
      </c>
      <c r="C184" s="1" t="n">
        <v>45990</v>
      </c>
      <c r="D184" t="inlineStr">
        <is>
          <t>VÄSTMANLANDS LÄN</t>
        </is>
      </c>
      <c r="E184" t="inlineStr">
        <is>
          <t>SALA</t>
        </is>
      </c>
      <c r="F184" t="inlineStr">
        <is>
          <t>Sveaskog</t>
        </is>
      </c>
      <c r="G184" t="n">
        <v>2.8</v>
      </c>
      <c r="H184" t="n">
        <v>0</v>
      </c>
      <c r="I184" t="n">
        <v>0</v>
      </c>
      <c r="J184" t="n">
        <v>0</v>
      </c>
      <c r="K184" t="n">
        <v>0</v>
      </c>
      <c r="L184" t="n">
        <v>0</v>
      </c>
      <c r="M184" t="n">
        <v>0</v>
      </c>
      <c r="N184" t="n">
        <v>0</v>
      </c>
      <c r="O184" t="n">
        <v>0</v>
      </c>
      <c r="P184" t="n">
        <v>0</v>
      </c>
      <c r="Q184" t="n">
        <v>0</v>
      </c>
      <c r="R184" s="2" t="inlineStr"/>
    </row>
    <row r="185" ht="15" customHeight="1">
      <c r="A185" t="inlineStr">
        <is>
          <t>A 56543-2024</t>
        </is>
      </c>
      <c r="B185" s="1" t="n">
        <v>45625</v>
      </c>
      <c r="C185" s="1" t="n">
        <v>45990</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31950-2023</t>
        </is>
      </c>
      <c r="B186" s="1" t="n">
        <v>45107</v>
      </c>
      <c r="C186" s="1" t="n">
        <v>45990</v>
      </c>
      <c r="D186" t="inlineStr">
        <is>
          <t>VÄSTMANLANDS LÄN</t>
        </is>
      </c>
      <c r="E186" t="inlineStr">
        <is>
          <t>SALA</t>
        </is>
      </c>
      <c r="G186" t="n">
        <v>1.9</v>
      </c>
      <c r="H186" t="n">
        <v>0</v>
      </c>
      <c r="I186" t="n">
        <v>0</v>
      </c>
      <c r="J186" t="n">
        <v>0</v>
      </c>
      <c r="K186" t="n">
        <v>0</v>
      </c>
      <c r="L186" t="n">
        <v>0</v>
      </c>
      <c r="M186" t="n">
        <v>0</v>
      </c>
      <c r="N186" t="n">
        <v>0</v>
      </c>
      <c r="O186" t="n">
        <v>0</v>
      </c>
      <c r="P186" t="n">
        <v>0</v>
      </c>
      <c r="Q186" t="n">
        <v>0</v>
      </c>
      <c r="R186" s="2" t="inlineStr"/>
    </row>
    <row r="187" ht="15" customHeight="1">
      <c r="A187" t="inlineStr">
        <is>
          <t>A 16767-2024</t>
        </is>
      </c>
      <c r="B187" s="1" t="n">
        <v>45411.38171296296</v>
      </c>
      <c r="C187" s="1" t="n">
        <v>45990</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45990</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13022-2023</t>
        </is>
      </c>
      <c r="B189" s="1" t="n">
        <v>45002.33291666667</v>
      </c>
      <c r="C189" s="1" t="n">
        <v>45990</v>
      </c>
      <c r="D189" t="inlineStr">
        <is>
          <t>VÄSTMANLANDS LÄN</t>
        </is>
      </c>
      <c r="E189" t="inlineStr">
        <is>
          <t>SALA</t>
        </is>
      </c>
      <c r="G189" t="n">
        <v>1.5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45990</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45990</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33732-2023</t>
        </is>
      </c>
      <c r="B192" s="1" t="n">
        <v>45133.32409722222</v>
      </c>
      <c r="C192" s="1" t="n">
        <v>45990</v>
      </c>
      <c r="D192" t="inlineStr">
        <is>
          <t>VÄSTMANLANDS LÄN</t>
        </is>
      </c>
      <c r="E192" t="inlineStr">
        <is>
          <t>SALA</t>
        </is>
      </c>
      <c r="G192" t="n">
        <v>2</v>
      </c>
      <c r="H192" t="n">
        <v>0</v>
      </c>
      <c r="I192" t="n">
        <v>0</v>
      </c>
      <c r="J192" t="n">
        <v>0</v>
      </c>
      <c r="K192" t="n">
        <v>0</v>
      </c>
      <c r="L192" t="n">
        <v>0</v>
      </c>
      <c r="M192" t="n">
        <v>0</v>
      </c>
      <c r="N192" t="n">
        <v>0</v>
      </c>
      <c r="O192" t="n">
        <v>0</v>
      </c>
      <c r="P192" t="n">
        <v>0</v>
      </c>
      <c r="Q192" t="n">
        <v>0</v>
      </c>
      <c r="R192" s="2" t="inlineStr"/>
    </row>
    <row r="193" ht="15" customHeight="1">
      <c r="A193" t="inlineStr">
        <is>
          <t>A 35462-2024</t>
        </is>
      </c>
      <c r="B193" s="1" t="n">
        <v>45531</v>
      </c>
      <c r="C193" s="1" t="n">
        <v>45990</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14024-2025</t>
        </is>
      </c>
      <c r="B194" s="1" t="n">
        <v>45740.34650462963</v>
      </c>
      <c r="C194" s="1" t="n">
        <v>45990</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45990</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45990</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45990</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51464-2024</t>
        </is>
      </c>
      <c r="B198" s="1" t="n">
        <v>45604.49768518518</v>
      </c>
      <c r="C198" s="1" t="n">
        <v>45990</v>
      </c>
      <c r="D198" t="inlineStr">
        <is>
          <t>VÄSTMANLANDS LÄN</t>
        </is>
      </c>
      <c r="E198" t="inlineStr">
        <is>
          <t>SALA</t>
        </is>
      </c>
      <c r="G198" t="n">
        <v>3.9</v>
      </c>
      <c r="H198" t="n">
        <v>0</v>
      </c>
      <c r="I198" t="n">
        <v>0</v>
      </c>
      <c r="J198" t="n">
        <v>0</v>
      </c>
      <c r="K198" t="n">
        <v>0</v>
      </c>
      <c r="L198" t="n">
        <v>0</v>
      </c>
      <c r="M198" t="n">
        <v>0</v>
      </c>
      <c r="N198" t="n">
        <v>0</v>
      </c>
      <c r="O198" t="n">
        <v>0</v>
      </c>
      <c r="P198" t="n">
        <v>0</v>
      </c>
      <c r="Q198" t="n">
        <v>0</v>
      </c>
      <c r="R198" s="2" t="inlineStr"/>
    </row>
    <row r="199" ht="15" customHeight="1">
      <c r="A199" t="inlineStr">
        <is>
          <t>A 54603-2024</t>
        </is>
      </c>
      <c r="B199" s="1" t="n">
        <v>45617.68224537037</v>
      </c>
      <c r="C199" s="1" t="n">
        <v>45990</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69232-2021</t>
        </is>
      </c>
      <c r="B200" s="1" t="n">
        <v>44531.39696759259</v>
      </c>
      <c r="C200" s="1" t="n">
        <v>45990</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19398-2025</t>
        </is>
      </c>
      <c r="B201" s="1" t="n">
        <v>45769</v>
      </c>
      <c r="C201" s="1" t="n">
        <v>45990</v>
      </c>
      <c r="D201" t="inlineStr">
        <is>
          <t>VÄSTMANLANDS LÄN</t>
        </is>
      </c>
      <c r="E201" t="inlineStr">
        <is>
          <t>SALA</t>
        </is>
      </c>
      <c r="G201" t="n">
        <v>0.4</v>
      </c>
      <c r="H201" t="n">
        <v>0</v>
      </c>
      <c r="I201" t="n">
        <v>0</v>
      </c>
      <c r="J201" t="n">
        <v>0</v>
      </c>
      <c r="K201" t="n">
        <v>0</v>
      </c>
      <c r="L201" t="n">
        <v>0</v>
      </c>
      <c r="M201" t="n">
        <v>0</v>
      </c>
      <c r="N201" t="n">
        <v>0</v>
      </c>
      <c r="O201" t="n">
        <v>0</v>
      </c>
      <c r="P201" t="n">
        <v>0</v>
      </c>
      <c r="Q201" t="n">
        <v>0</v>
      </c>
      <c r="R201" s="2" t="inlineStr"/>
    </row>
    <row r="202" ht="15" customHeight="1">
      <c r="A202" t="inlineStr">
        <is>
          <t>A 4797-2023</t>
        </is>
      </c>
      <c r="B202" s="1" t="n">
        <v>44957</v>
      </c>
      <c r="C202" s="1" t="n">
        <v>45990</v>
      </c>
      <c r="D202" t="inlineStr">
        <is>
          <t>VÄSTMANLANDS LÄN</t>
        </is>
      </c>
      <c r="E202" t="inlineStr">
        <is>
          <t>SALA</t>
        </is>
      </c>
      <c r="G202" t="n">
        <v>5.7</v>
      </c>
      <c r="H202" t="n">
        <v>0</v>
      </c>
      <c r="I202" t="n">
        <v>0</v>
      </c>
      <c r="J202" t="n">
        <v>0</v>
      </c>
      <c r="K202" t="n">
        <v>0</v>
      </c>
      <c r="L202" t="n">
        <v>0</v>
      </c>
      <c r="M202" t="n">
        <v>0</v>
      </c>
      <c r="N202" t="n">
        <v>0</v>
      </c>
      <c r="O202" t="n">
        <v>0</v>
      </c>
      <c r="P202" t="n">
        <v>0</v>
      </c>
      <c r="Q202" t="n">
        <v>0</v>
      </c>
      <c r="R202" s="2" t="inlineStr"/>
    </row>
    <row r="203" ht="15" customHeight="1">
      <c r="A203" t="inlineStr">
        <is>
          <t>A 26692-2023</t>
        </is>
      </c>
      <c r="B203" s="1" t="n">
        <v>45093.360625</v>
      </c>
      <c r="C203" s="1" t="n">
        <v>45990</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1638-2023</t>
        </is>
      </c>
      <c r="B204" s="1" t="n">
        <v>44937</v>
      </c>
      <c r="C204" s="1" t="n">
        <v>45990</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61517-2024</t>
        </is>
      </c>
      <c r="B205" s="1" t="n">
        <v>45645</v>
      </c>
      <c r="C205" s="1" t="n">
        <v>45990</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15972-2024</t>
        </is>
      </c>
      <c r="B206" s="1" t="n">
        <v>45405.56498842593</v>
      </c>
      <c r="C206" s="1" t="n">
        <v>45990</v>
      </c>
      <c r="D206" t="inlineStr">
        <is>
          <t>VÄSTMANLANDS LÄN</t>
        </is>
      </c>
      <c r="E206" t="inlineStr">
        <is>
          <t>SALA</t>
        </is>
      </c>
      <c r="G206" t="n">
        <v>1.8</v>
      </c>
      <c r="H206" t="n">
        <v>0</v>
      </c>
      <c r="I206" t="n">
        <v>0</v>
      </c>
      <c r="J206" t="n">
        <v>0</v>
      </c>
      <c r="K206" t="n">
        <v>0</v>
      </c>
      <c r="L206" t="n">
        <v>0</v>
      </c>
      <c r="M206" t="n">
        <v>0</v>
      </c>
      <c r="N206" t="n">
        <v>0</v>
      </c>
      <c r="O206" t="n">
        <v>0</v>
      </c>
      <c r="P206" t="n">
        <v>0</v>
      </c>
      <c r="Q206" t="n">
        <v>0</v>
      </c>
      <c r="R206" s="2" t="inlineStr"/>
    </row>
    <row r="207" ht="15" customHeight="1">
      <c r="A207" t="inlineStr">
        <is>
          <t>A 1555-2024</t>
        </is>
      </c>
      <c r="B207" s="1" t="n">
        <v>45306</v>
      </c>
      <c r="C207" s="1" t="n">
        <v>45990</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37958-2024</t>
        </is>
      </c>
      <c r="B208" s="1" t="n">
        <v>45544</v>
      </c>
      <c r="C208" s="1" t="n">
        <v>45990</v>
      </c>
      <c r="D208" t="inlineStr">
        <is>
          <t>VÄSTMANLANDS LÄN</t>
        </is>
      </c>
      <c r="E208" t="inlineStr">
        <is>
          <t>SALA</t>
        </is>
      </c>
      <c r="G208" t="n">
        <v>5.6</v>
      </c>
      <c r="H208" t="n">
        <v>0</v>
      </c>
      <c r="I208" t="n">
        <v>0</v>
      </c>
      <c r="J208" t="n">
        <v>0</v>
      </c>
      <c r="K208" t="n">
        <v>0</v>
      </c>
      <c r="L208" t="n">
        <v>0</v>
      </c>
      <c r="M208" t="n">
        <v>0</v>
      </c>
      <c r="N208" t="n">
        <v>0</v>
      </c>
      <c r="O208" t="n">
        <v>0</v>
      </c>
      <c r="P208" t="n">
        <v>0</v>
      </c>
      <c r="Q208" t="n">
        <v>0</v>
      </c>
      <c r="R208" s="2" t="inlineStr"/>
    </row>
    <row r="209" ht="15" customHeight="1">
      <c r="A209" t="inlineStr">
        <is>
          <t>A 15756-2025</t>
        </is>
      </c>
      <c r="B209" s="1" t="n">
        <v>45748.56810185185</v>
      </c>
      <c r="C209" s="1" t="n">
        <v>45990</v>
      </c>
      <c r="D209" t="inlineStr">
        <is>
          <t>VÄSTMANLANDS LÄN</t>
        </is>
      </c>
      <c r="E209" t="inlineStr">
        <is>
          <t>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31000-2022</t>
        </is>
      </c>
      <c r="B210" s="1" t="n">
        <v>44768</v>
      </c>
      <c r="C210" s="1" t="n">
        <v>45990</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37183-2024</t>
        </is>
      </c>
      <c r="B211" s="1" t="n">
        <v>45539</v>
      </c>
      <c r="C211" s="1" t="n">
        <v>45990</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45990</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45990</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28863-2022</t>
        </is>
      </c>
      <c r="B214" s="1" t="n">
        <v>44749.50649305555</v>
      </c>
      <c r="C214" s="1" t="n">
        <v>45990</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29248-2022</t>
        </is>
      </c>
      <c r="B215" s="1" t="n">
        <v>44750</v>
      </c>
      <c r="C215" s="1" t="n">
        <v>45990</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7681-2021</t>
        </is>
      </c>
      <c r="B216" s="1" t="n">
        <v>44242</v>
      </c>
      <c r="C216" s="1" t="n">
        <v>45990</v>
      </c>
      <c r="D216" t="inlineStr">
        <is>
          <t>VÄSTMANLANDS LÄN</t>
        </is>
      </c>
      <c r="E216" t="inlineStr">
        <is>
          <t>SALA</t>
        </is>
      </c>
      <c r="F216" t="inlineStr">
        <is>
          <t>Sveaskog</t>
        </is>
      </c>
      <c r="G216" t="n">
        <v>16.1</v>
      </c>
      <c r="H216" t="n">
        <v>0</v>
      </c>
      <c r="I216" t="n">
        <v>0</v>
      </c>
      <c r="J216" t="n">
        <v>0</v>
      </c>
      <c r="K216" t="n">
        <v>0</v>
      </c>
      <c r="L216" t="n">
        <v>0</v>
      </c>
      <c r="M216" t="n">
        <v>0</v>
      </c>
      <c r="N216" t="n">
        <v>0</v>
      </c>
      <c r="O216" t="n">
        <v>0</v>
      </c>
      <c r="P216" t="n">
        <v>0</v>
      </c>
      <c r="Q216" t="n">
        <v>0</v>
      </c>
      <c r="R216" s="2" t="inlineStr"/>
    </row>
    <row r="217" ht="15" customHeight="1">
      <c r="A217" t="inlineStr">
        <is>
          <t>A 14919-2025</t>
        </is>
      </c>
      <c r="B217" s="1" t="n">
        <v>45743.54256944444</v>
      </c>
      <c r="C217" s="1" t="n">
        <v>45990</v>
      </c>
      <c r="D217" t="inlineStr">
        <is>
          <t>VÄSTMANLANDS LÄN</t>
        </is>
      </c>
      <c r="E217" t="inlineStr">
        <is>
          <t>SALA</t>
        </is>
      </c>
      <c r="G217" t="n">
        <v>0.6</v>
      </c>
      <c r="H217" t="n">
        <v>0</v>
      </c>
      <c r="I217" t="n">
        <v>0</v>
      </c>
      <c r="J217" t="n">
        <v>0</v>
      </c>
      <c r="K217" t="n">
        <v>0</v>
      </c>
      <c r="L217" t="n">
        <v>0</v>
      </c>
      <c r="M217" t="n">
        <v>0</v>
      </c>
      <c r="N217" t="n">
        <v>0</v>
      </c>
      <c r="O217" t="n">
        <v>0</v>
      </c>
      <c r="P217" t="n">
        <v>0</v>
      </c>
      <c r="Q217" t="n">
        <v>0</v>
      </c>
      <c r="R217" s="2" t="inlineStr"/>
    </row>
    <row r="218" ht="15" customHeight="1">
      <c r="A218" t="inlineStr">
        <is>
          <t>A 14920-2025</t>
        </is>
      </c>
      <c r="B218" s="1" t="n">
        <v>45743</v>
      </c>
      <c r="C218" s="1" t="n">
        <v>45990</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40398-2021</t>
        </is>
      </c>
      <c r="B219" s="1" t="n">
        <v>44419</v>
      </c>
      <c r="C219" s="1" t="n">
        <v>45990</v>
      </c>
      <c r="D219" t="inlineStr">
        <is>
          <t>VÄSTMANLANDS LÄN</t>
        </is>
      </c>
      <c r="E219" t="inlineStr">
        <is>
          <t>SALA</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2900-2023</t>
        </is>
      </c>
      <c r="B220" s="1" t="n">
        <v>44943</v>
      </c>
      <c r="C220" s="1" t="n">
        <v>45990</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6030-2024</t>
        </is>
      </c>
      <c r="B221" s="1" t="n">
        <v>45336.62782407407</v>
      </c>
      <c r="C221" s="1" t="n">
        <v>45990</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45990</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43362-2023</t>
        </is>
      </c>
      <c r="B223" s="1" t="n">
        <v>45183</v>
      </c>
      <c r="C223" s="1" t="n">
        <v>45990</v>
      </c>
      <c r="D223" t="inlineStr">
        <is>
          <t>VÄSTMANLANDS LÄN</t>
        </is>
      </c>
      <c r="E223" t="inlineStr">
        <is>
          <t>SALA</t>
        </is>
      </c>
      <c r="G223" t="n">
        <v>2</v>
      </c>
      <c r="H223" t="n">
        <v>0</v>
      </c>
      <c r="I223" t="n">
        <v>0</v>
      </c>
      <c r="J223" t="n">
        <v>0</v>
      </c>
      <c r="K223" t="n">
        <v>0</v>
      </c>
      <c r="L223" t="n">
        <v>0</v>
      </c>
      <c r="M223" t="n">
        <v>0</v>
      </c>
      <c r="N223" t="n">
        <v>0</v>
      </c>
      <c r="O223" t="n">
        <v>0</v>
      </c>
      <c r="P223" t="n">
        <v>0</v>
      </c>
      <c r="Q223" t="n">
        <v>0</v>
      </c>
      <c r="R223" s="2" t="inlineStr"/>
    </row>
    <row r="224" ht="15" customHeight="1">
      <c r="A224" t="inlineStr">
        <is>
          <t>A 24460-2025</t>
        </is>
      </c>
      <c r="B224" s="1" t="n">
        <v>45798</v>
      </c>
      <c r="C224" s="1" t="n">
        <v>45990</v>
      </c>
      <c r="D224" t="inlineStr">
        <is>
          <t>VÄSTMANLANDS LÄN</t>
        </is>
      </c>
      <c r="E224" t="inlineStr">
        <is>
          <t>SALA</t>
        </is>
      </c>
      <c r="F224" t="inlineStr">
        <is>
          <t>Bergvik skog öst AB</t>
        </is>
      </c>
      <c r="G224" t="n">
        <v>2.6</v>
      </c>
      <c r="H224" t="n">
        <v>0</v>
      </c>
      <c r="I224" t="n">
        <v>0</v>
      </c>
      <c r="J224" t="n">
        <v>0</v>
      </c>
      <c r="K224" t="n">
        <v>0</v>
      </c>
      <c r="L224" t="n">
        <v>0</v>
      </c>
      <c r="M224" t="n">
        <v>0</v>
      </c>
      <c r="N224" t="n">
        <v>0</v>
      </c>
      <c r="O224" t="n">
        <v>0</v>
      </c>
      <c r="P224" t="n">
        <v>0</v>
      </c>
      <c r="Q224" t="n">
        <v>0</v>
      </c>
      <c r="R224" s="2" t="inlineStr"/>
    </row>
    <row r="225" ht="15" customHeight="1">
      <c r="A225" t="inlineStr">
        <is>
          <t>A 14690-2025</t>
        </is>
      </c>
      <c r="B225" s="1" t="n">
        <v>45742.58212962963</v>
      </c>
      <c r="C225" s="1" t="n">
        <v>45990</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27229-2022</t>
        </is>
      </c>
      <c r="B226" s="1" t="n">
        <v>44741</v>
      </c>
      <c r="C226" s="1" t="n">
        <v>45990</v>
      </c>
      <c r="D226" t="inlineStr">
        <is>
          <t>VÄSTMANLANDS LÄN</t>
        </is>
      </c>
      <c r="E226" t="inlineStr">
        <is>
          <t>SALA</t>
        </is>
      </c>
      <c r="F226" t="inlineStr">
        <is>
          <t>Kommuner</t>
        </is>
      </c>
      <c r="G226" t="n">
        <v>1.4</v>
      </c>
      <c r="H226" t="n">
        <v>0</v>
      </c>
      <c r="I226" t="n">
        <v>0</v>
      </c>
      <c r="J226" t="n">
        <v>0</v>
      </c>
      <c r="K226" t="n">
        <v>0</v>
      </c>
      <c r="L226" t="n">
        <v>0</v>
      </c>
      <c r="M226" t="n">
        <v>0</v>
      </c>
      <c r="N226" t="n">
        <v>0</v>
      </c>
      <c r="O226" t="n">
        <v>0</v>
      </c>
      <c r="P226" t="n">
        <v>0</v>
      </c>
      <c r="Q226" t="n">
        <v>0</v>
      </c>
      <c r="R226" s="2" t="inlineStr"/>
    </row>
    <row r="227" ht="15" customHeight="1">
      <c r="A227" t="inlineStr">
        <is>
          <t>A 24463-2025</t>
        </is>
      </c>
      <c r="B227" s="1" t="n">
        <v>45798</v>
      </c>
      <c r="C227" s="1" t="n">
        <v>45990</v>
      </c>
      <c r="D227" t="inlineStr">
        <is>
          <t>VÄSTMANLANDS LÄN</t>
        </is>
      </c>
      <c r="E227" t="inlineStr">
        <is>
          <t>SALA</t>
        </is>
      </c>
      <c r="F227" t="inlineStr">
        <is>
          <t>Bergvik skog öst AB</t>
        </is>
      </c>
      <c r="G227" t="n">
        <v>1.5</v>
      </c>
      <c r="H227" t="n">
        <v>0</v>
      </c>
      <c r="I227" t="n">
        <v>0</v>
      </c>
      <c r="J227" t="n">
        <v>0</v>
      </c>
      <c r="K227" t="n">
        <v>0</v>
      </c>
      <c r="L227" t="n">
        <v>0</v>
      </c>
      <c r="M227" t="n">
        <v>0</v>
      </c>
      <c r="N227" t="n">
        <v>0</v>
      </c>
      <c r="O227" t="n">
        <v>0</v>
      </c>
      <c r="P227" t="n">
        <v>0</v>
      </c>
      <c r="Q227" t="n">
        <v>0</v>
      </c>
      <c r="R227" s="2" t="inlineStr"/>
    </row>
    <row r="228" ht="15" customHeight="1">
      <c r="A228" t="inlineStr">
        <is>
          <t>A 2521-2025</t>
        </is>
      </c>
      <c r="B228" s="1" t="n">
        <v>45674</v>
      </c>
      <c r="C228" s="1" t="n">
        <v>45990</v>
      </c>
      <c r="D228" t="inlineStr">
        <is>
          <t>VÄSTMANLANDS LÄN</t>
        </is>
      </c>
      <c r="E228" t="inlineStr">
        <is>
          <t>SALA</t>
        </is>
      </c>
      <c r="G228" t="n">
        <v>3.5</v>
      </c>
      <c r="H228" t="n">
        <v>0</v>
      </c>
      <c r="I228" t="n">
        <v>0</v>
      </c>
      <c r="J228" t="n">
        <v>0</v>
      </c>
      <c r="K228" t="n">
        <v>0</v>
      </c>
      <c r="L228" t="n">
        <v>0</v>
      </c>
      <c r="M228" t="n">
        <v>0</v>
      </c>
      <c r="N228" t="n">
        <v>0</v>
      </c>
      <c r="O228" t="n">
        <v>0</v>
      </c>
      <c r="P228" t="n">
        <v>0</v>
      </c>
      <c r="Q228" t="n">
        <v>0</v>
      </c>
      <c r="R228" s="2" t="inlineStr"/>
    </row>
    <row r="229" ht="15" customHeight="1">
      <c r="A229" t="inlineStr">
        <is>
          <t>A 38574-2025</t>
        </is>
      </c>
      <c r="B229" s="1" t="n">
        <v>45884.46390046296</v>
      </c>
      <c r="C229" s="1" t="n">
        <v>45990</v>
      </c>
      <c r="D229" t="inlineStr">
        <is>
          <t>VÄSTMANLANDS LÄN</t>
        </is>
      </c>
      <c r="E229" t="inlineStr">
        <is>
          <t>SALA</t>
        </is>
      </c>
      <c r="G229" t="n">
        <v>2.1</v>
      </c>
      <c r="H229" t="n">
        <v>0</v>
      </c>
      <c r="I229" t="n">
        <v>0</v>
      </c>
      <c r="J229" t="n">
        <v>0</v>
      </c>
      <c r="K229" t="n">
        <v>0</v>
      </c>
      <c r="L229" t="n">
        <v>0</v>
      </c>
      <c r="M229" t="n">
        <v>0</v>
      </c>
      <c r="N229" t="n">
        <v>0</v>
      </c>
      <c r="O229" t="n">
        <v>0</v>
      </c>
      <c r="P229" t="n">
        <v>0</v>
      </c>
      <c r="Q229" t="n">
        <v>0</v>
      </c>
      <c r="R229" s="2" t="inlineStr"/>
    </row>
    <row r="230" ht="15" customHeight="1">
      <c r="A230" t="inlineStr">
        <is>
          <t>A 4736-2021</t>
        </is>
      </c>
      <c r="B230" s="1" t="n">
        <v>44225</v>
      </c>
      <c r="C230" s="1" t="n">
        <v>45990</v>
      </c>
      <c r="D230" t="inlineStr">
        <is>
          <t>VÄSTMANLANDS LÄN</t>
        </is>
      </c>
      <c r="E230" t="inlineStr">
        <is>
          <t>SALA</t>
        </is>
      </c>
      <c r="G230" t="n">
        <v>4.2</v>
      </c>
      <c r="H230" t="n">
        <v>0</v>
      </c>
      <c r="I230" t="n">
        <v>0</v>
      </c>
      <c r="J230" t="n">
        <v>0</v>
      </c>
      <c r="K230" t="n">
        <v>0</v>
      </c>
      <c r="L230" t="n">
        <v>0</v>
      </c>
      <c r="M230" t="n">
        <v>0</v>
      </c>
      <c r="N230" t="n">
        <v>0</v>
      </c>
      <c r="O230" t="n">
        <v>0</v>
      </c>
      <c r="P230" t="n">
        <v>0</v>
      </c>
      <c r="Q230" t="n">
        <v>0</v>
      </c>
      <c r="R230" s="2" t="inlineStr"/>
    </row>
    <row r="231" ht="15" customHeight="1">
      <c r="A231" t="inlineStr">
        <is>
          <t>A 55065-2024</t>
        </is>
      </c>
      <c r="B231" s="1" t="n">
        <v>45618</v>
      </c>
      <c r="C231" s="1" t="n">
        <v>45990</v>
      </c>
      <c r="D231" t="inlineStr">
        <is>
          <t>VÄSTMANLANDS LÄN</t>
        </is>
      </c>
      <c r="E231" t="inlineStr">
        <is>
          <t>SALA</t>
        </is>
      </c>
      <c r="G231" t="n">
        <v>3.5</v>
      </c>
      <c r="H231" t="n">
        <v>0</v>
      </c>
      <c r="I231" t="n">
        <v>0</v>
      </c>
      <c r="J231" t="n">
        <v>0</v>
      </c>
      <c r="K231" t="n">
        <v>0</v>
      </c>
      <c r="L231" t="n">
        <v>0</v>
      </c>
      <c r="M231" t="n">
        <v>0</v>
      </c>
      <c r="N231" t="n">
        <v>0</v>
      </c>
      <c r="O231" t="n">
        <v>0</v>
      </c>
      <c r="P231" t="n">
        <v>0</v>
      </c>
      <c r="Q231" t="n">
        <v>0</v>
      </c>
      <c r="R231" s="2" t="inlineStr"/>
    </row>
    <row r="232" ht="15" customHeight="1">
      <c r="A232" t="inlineStr">
        <is>
          <t>A 60548-2024</t>
        </is>
      </c>
      <c r="B232" s="1" t="n">
        <v>45643.80978009259</v>
      </c>
      <c r="C232" s="1" t="n">
        <v>45990</v>
      </c>
      <c r="D232" t="inlineStr">
        <is>
          <t>VÄSTMANLANDS LÄN</t>
        </is>
      </c>
      <c r="E232" t="inlineStr">
        <is>
          <t>SALA</t>
        </is>
      </c>
      <c r="G232" t="n">
        <v>1.6</v>
      </c>
      <c r="H232" t="n">
        <v>0</v>
      </c>
      <c r="I232" t="n">
        <v>0</v>
      </c>
      <c r="J232" t="n">
        <v>0</v>
      </c>
      <c r="K232" t="n">
        <v>0</v>
      </c>
      <c r="L232" t="n">
        <v>0</v>
      </c>
      <c r="M232" t="n">
        <v>0</v>
      </c>
      <c r="N232" t="n">
        <v>0</v>
      </c>
      <c r="O232" t="n">
        <v>0</v>
      </c>
      <c r="P232" t="n">
        <v>0</v>
      </c>
      <c r="Q232" t="n">
        <v>0</v>
      </c>
      <c r="R232" s="2" t="inlineStr"/>
    </row>
    <row r="233" ht="15" customHeight="1">
      <c r="A233" t="inlineStr">
        <is>
          <t>A 24907-2025</t>
        </is>
      </c>
      <c r="B233" s="1" t="n">
        <v>45799</v>
      </c>
      <c r="C233" s="1" t="n">
        <v>45990</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24910-2025</t>
        </is>
      </c>
      <c r="B234" s="1" t="n">
        <v>45799.53775462963</v>
      </c>
      <c r="C234" s="1" t="n">
        <v>45990</v>
      </c>
      <c r="D234" t="inlineStr">
        <is>
          <t>VÄSTMANLANDS LÄN</t>
        </is>
      </c>
      <c r="E234" t="inlineStr">
        <is>
          <t>SALA</t>
        </is>
      </c>
      <c r="G234" t="n">
        <v>3.5</v>
      </c>
      <c r="H234" t="n">
        <v>0</v>
      </c>
      <c r="I234" t="n">
        <v>0</v>
      </c>
      <c r="J234" t="n">
        <v>0</v>
      </c>
      <c r="K234" t="n">
        <v>0</v>
      </c>
      <c r="L234" t="n">
        <v>0</v>
      </c>
      <c r="M234" t="n">
        <v>0</v>
      </c>
      <c r="N234" t="n">
        <v>0</v>
      </c>
      <c r="O234" t="n">
        <v>0</v>
      </c>
      <c r="P234" t="n">
        <v>0</v>
      </c>
      <c r="Q234" t="n">
        <v>0</v>
      </c>
      <c r="R234" s="2" t="inlineStr"/>
    </row>
    <row r="235" ht="15" customHeight="1">
      <c r="A235" t="inlineStr">
        <is>
          <t>A 26761-2023</t>
        </is>
      </c>
      <c r="B235" s="1" t="n">
        <v>45093</v>
      </c>
      <c r="C235" s="1" t="n">
        <v>45990</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55035-2023</t>
        </is>
      </c>
      <c r="B236" s="1" t="n">
        <v>45229</v>
      </c>
      <c r="C236" s="1" t="n">
        <v>45990</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31864-2025</t>
        </is>
      </c>
      <c r="B237" s="1" t="n">
        <v>45834.63819444444</v>
      </c>
      <c r="C237" s="1" t="n">
        <v>45990</v>
      </c>
      <c r="D237" t="inlineStr">
        <is>
          <t>VÄSTMANLANDS LÄN</t>
        </is>
      </c>
      <c r="E237" t="inlineStr">
        <is>
          <t>SALA</t>
        </is>
      </c>
      <c r="G237" t="n">
        <v>6.3</v>
      </c>
      <c r="H237" t="n">
        <v>0</v>
      </c>
      <c r="I237" t="n">
        <v>0</v>
      </c>
      <c r="J237" t="n">
        <v>0</v>
      </c>
      <c r="K237" t="n">
        <v>0</v>
      </c>
      <c r="L237" t="n">
        <v>0</v>
      </c>
      <c r="M237" t="n">
        <v>0</v>
      </c>
      <c r="N237" t="n">
        <v>0</v>
      </c>
      <c r="O237" t="n">
        <v>0</v>
      </c>
      <c r="P237" t="n">
        <v>0</v>
      </c>
      <c r="Q237" t="n">
        <v>0</v>
      </c>
      <c r="R237" s="2" t="inlineStr"/>
    </row>
    <row r="238" ht="15" customHeight="1">
      <c r="A238" t="inlineStr">
        <is>
          <t>A 60249-2023</t>
        </is>
      </c>
      <c r="B238" s="1" t="n">
        <v>45258</v>
      </c>
      <c r="C238" s="1" t="n">
        <v>45990</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16651-2021</t>
        </is>
      </c>
      <c r="B239" s="1" t="n">
        <v>44294.50096064815</v>
      </c>
      <c r="C239" s="1" t="n">
        <v>45990</v>
      </c>
      <c r="D239" t="inlineStr">
        <is>
          <t>VÄSTMANLANDS LÄN</t>
        </is>
      </c>
      <c r="E239" t="inlineStr">
        <is>
          <t>SALA</t>
        </is>
      </c>
      <c r="G239" t="n">
        <v>7.7</v>
      </c>
      <c r="H239" t="n">
        <v>0</v>
      </c>
      <c r="I239" t="n">
        <v>0</v>
      </c>
      <c r="J239" t="n">
        <v>0</v>
      </c>
      <c r="K239" t="n">
        <v>0</v>
      </c>
      <c r="L239" t="n">
        <v>0</v>
      </c>
      <c r="M239" t="n">
        <v>0</v>
      </c>
      <c r="N239" t="n">
        <v>0</v>
      </c>
      <c r="O239" t="n">
        <v>0</v>
      </c>
      <c r="P239" t="n">
        <v>0</v>
      </c>
      <c r="Q239" t="n">
        <v>0</v>
      </c>
      <c r="R239" s="2" t="inlineStr"/>
    </row>
    <row r="240" ht="15" customHeight="1">
      <c r="A240" t="inlineStr">
        <is>
          <t>A 39167-2025</t>
        </is>
      </c>
      <c r="B240" s="1" t="n">
        <v>45888</v>
      </c>
      <c r="C240" s="1" t="n">
        <v>45990</v>
      </c>
      <c r="D240" t="inlineStr">
        <is>
          <t>VÄSTMANLANDS LÄN</t>
        </is>
      </c>
      <c r="E240" t="inlineStr">
        <is>
          <t>SALA</t>
        </is>
      </c>
      <c r="G240" t="n">
        <v>5.5</v>
      </c>
      <c r="H240" t="n">
        <v>0</v>
      </c>
      <c r="I240" t="n">
        <v>0</v>
      </c>
      <c r="J240" t="n">
        <v>0</v>
      </c>
      <c r="K240" t="n">
        <v>0</v>
      </c>
      <c r="L240" t="n">
        <v>0</v>
      </c>
      <c r="M240" t="n">
        <v>0</v>
      </c>
      <c r="N240" t="n">
        <v>0</v>
      </c>
      <c r="O240" t="n">
        <v>0</v>
      </c>
      <c r="P240" t="n">
        <v>0</v>
      </c>
      <c r="Q240" t="n">
        <v>0</v>
      </c>
      <c r="R240" s="2" t="inlineStr"/>
    </row>
    <row r="241" ht="15" customHeight="1">
      <c r="A241" t="inlineStr">
        <is>
          <t>A 39182-2025</t>
        </is>
      </c>
      <c r="B241" s="1" t="n">
        <v>45888.66204861111</v>
      </c>
      <c r="C241" s="1" t="n">
        <v>45990</v>
      </c>
      <c r="D241" t="inlineStr">
        <is>
          <t>VÄSTMANLANDS LÄN</t>
        </is>
      </c>
      <c r="E241" t="inlineStr">
        <is>
          <t>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10909-2024</t>
        </is>
      </c>
      <c r="B242" s="1" t="n">
        <v>45370</v>
      </c>
      <c r="C242" s="1" t="n">
        <v>45990</v>
      </c>
      <c r="D242" t="inlineStr">
        <is>
          <t>VÄSTMANLANDS LÄN</t>
        </is>
      </c>
      <c r="E242" t="inlineStr">
        <is>
          <t>SALA</t>
        </is>
      </c>
      <c r="G242" t="n">
        <v>3.3</v>
      </c>
      <c r="H242" t="n">
        <v>0</v>
      </c>
      <c r="I242" t="n">
        <v>0</v>
      </c>
      <c r="J242" t="n">
        <v>0</v>
      </c>
      <c r="K242" t="n">
        <v>0</v>
      </c>
      <c r="L242" t="n">
        <v>0</v>
      </c>
      <c r="M242" t="n">
        <v>0</v>
      </c>
      <c r="N242" t="n">
        <v>0</v>
      </c>
      <c r="O242" t="n">
        <v>0</v>
      </c>
      <c r="P242" t="n">
        <v>0</v>
      </c>
      <c r="Q242" t="n">
        <v>0</v>
      </c>
      <c r="R242" s="2" t="inlineStr"/>
    </row>
    <row r="243" ht="15" customHeight="1">
      <c r="A243" t="inlineStr">
        <is>
          <t>A 31597-2024</t>
        </is>
      </c>
      <c r="B243" s="1" t="n">
        <v>45506</v>
      </c>
      <c r="C243" s="1" t="n">
        <v>45990</v>
      </c>
      <c r="D243" t="inlineStr">
        <is>
          <t>VÄSTMANLANDS LÄN</t>
        </is>
      </c>
      <c r="E243" t="inlineStr">
        <is>
          <t>SALA</t>
        </is>
      </c>
      <c r="G243" t="n">
        <v>2.4</v>
      </c>
      <c r="H243" t="n">
        <v>0</v>
      </c>
      <c r="I243" t="n">
        <v>0</v>
      </c>
      <c r="J243" t="n">
        <v>0</v>
      </c>
      <c r="K243" t="n">
        <v>0</v>
      </c>
      <c r="L243" t="n">
        <v>0</v>
      </c>
      <c r="M243" t="n">
        <v>0</v>
      </c>
      <c r="N243" t="n">
        <v>0</v>
      </c>
      <c r="O243" t="n">
        <v>0</v>
      </c>
      <c r="P243" t="n">
        <v>0</v>
      </c>
      <c r="Q243" t="n">
        <v>0</v>
      </c>
      <c r="R243" s="2" t="inlineStr"/>
    </row>
    <row r="244" ht="15" customHeight="1">
      <c r="A244" t="inlineStr">
        <is>
          <t>A 31599-2024</t>
        </is>
      </c>
      <c r="B244" s="1" t="n">
        <v>45506</v>
      </c>
      <c r="C244" s="1" t="n">
        <v>45990</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31601-2024</t>
        </is>
      </c>
      <c r="B245" s="1" t="n">
        <v>45506</v>
      </c>
      <c r="C245" s="1" t="n">
        <v>45990</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31608-2024</t>
        </is>
      </c>
      <c r="B246" s="1" t="n">
        <v>45506</v>
      </c>
      <c r="C246" s="1" t="n">
        <v>45990</v>
      </c>
      <c r="D246" t="inlineStr">
        <is>
          <t>VÄSTMANLANDS LÄN</t>
        </is>
      </c>
      <c r="E246" t="inlineStr">
        <is>
          <t>SALA</t>
        </is>
      </c>
      <c r="G246" t="n">
        <v>1.7</v>
      </c>
      <c r="H246" t="n">
        <v>0</v>
      </c>
      <c r="I246" t="n">
        <v>0</v>
      </c>
      <c r="J246" t="n">
        <v>0</v>
      </c>
      <c r="K246" t="n">
        <v>0</v>
      </c>
      <c r="L246" t="n">
        <v>0</v>
      </c>
      <c r="M246" t="n">
        <v>0</v>
      </c>
      <c r="N246" t="n">
        <v>0</v>
      </c>
      <c r="O246" t="n">
        <v>0</v>
      </c>
      <c r="P246" t="n">
        <v>0</v>
      </c>
      <c r="Q246" t="n">
        <v>0</v>
      </c>
      <c r="R246" s="2" t="inlineStr"/>
    </row>
    <row r="247" ht="15" customHeight="1">
      <c r="A247" t="inlineStr">
        <is>
          <t>A 31612-2024</t>
        </is>
      </c>
      <c r="B247" s="1" t="n">
        <v>45506</v>
      </c>
      <c r="C247" s="1" t="n">
        <v>45990</v>
      </c>
      <c r="D247" t="inlineStr">
        <is>
          <t>VÄSTMANLANDS LÄN</t>
        </is>
      </c>
      <c r="E247" t="inlineStr">
        <is>
          <t>SALA</t>
        </is>
      </c>
      <c r="G247" t="n">
        <v>3.2</v>
      </c>
      <c r="H247" t="n">
        <v>0</v>
      </c>
      <c r="I247" t="n">
        <v>0</v>
      </c>
      <c r="J247" t="n">
        <v>0</v>
      </c>
      <c r="K247" t="n">
        <v>0</v>
      </c>
      <c r="L247" t="n">
        <v>0</v>
      </c>
      <c r="M247" t="n">
        <v>0</v>
      </c>
      <c r="N247" t="n">
        <v>0</v>
      </c>
      <c r="O247" t="n">
        <v>0</v>
      </c>
      <c r="P247" t="n">
        <v>0</v>
      </c>
      <c r="Q247" t="n">
        <v>0</v>
      </c>
      <c r="R247" s="2" t="inlineStr"/>
    </row>
    <row r="248" ht="15" customHeight="1">
      <c r="A248" t="inlineStr">
        <is>
          <t>A 52500-2024</t>
        </is>
      </c>
      <c r="B248" s="1" t="n">
        <v>45609</v>
      </c>
      <c r="C248" s="1" t="n">
        <v>45990</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56949-2023</t>
        </is>
      </c>
      <c r="B249" s="1" t="n">
        <v>45244.61589120371</v>
      </c>
      <c r="C249" s="1" t="n">
        <v>45990</v>
      </c>
      <c r="D249" t="inlineStr">
        <is>
          <t>VÄSTMANLANDS LÄN</t>
        </is>
      </c>
      <c r="E249" t="inlineStr">
        <is>
          <t>SALA</t>
        </is>
      </c>
      <c r="G249" t="n">
        <v>4.7</v>
      </c>
      <c r="H249" t="n">
        <v>0</v>
      </c>
      <c r="I249" t="n">
        <v>0</v>
      </c>
      <c r="J249" t="n">
        <v>0</v>
      </c>
      <c r="K249" t="n">
        <v>0</v>
      </c>
      <c r="L249" t="n">
        <v>0</v>
      </c>
      <c r="M249" t="n">
        <v>0</v>
      </c>
      <c r="N249" t="n">
        <v>0</v>
      </c>
      <c r="O249" t="n">
        <v>0</v>
      </c>
      <c r="P249" t="n">
        <v>0</v>
      </c>
      <c r="Q249" t="n">
        <v>0</v>
      </c>
      <c r="R249" s="2" t="inlineStr"/>
    </row>
    <row r="250" ht="15" customHeight="1">
      <c r="A250" t="inlineStr">
        <is>
          <t>A 52498-2022</t>
        </is>
      </c>
      <c r="B250" s="1" t="n">
        <v>44874.50152777778</v>
      </c>
      <c r="C250" s="1" t="n">
        <v>45990</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96-2024</t>
        </is>
      </c>
      <c r="B251" s="1" t="n">
        <v>45293.85872685185</v>
      </c>
      <c r="C251" s="1" t="n">
        <v>45990</v>
      </c>
      <c r="D251" t="inlineStr">
        <is>
          <t>VÄSTMANLANDS LÄN</t>
        </is>
      </c>
      <c r="E251" t="inlineStr">
        <is>
          <t>SALA</t>
        </is>
      </c>
      <c r="G251" t="n">
        <v>1.1</v>
      </c>
      <c r="H251" t="n">
        <v>0</v>
      </c>
      <c r="I251" t="n">
        <v>0</v>
      </c>
      <c r="J251" t="n">
        <v>0</v>
      </c>
      <c r="K251" t="n">
        <v>0</v>
      </c>
      <c r="L251" t="n">
        <v>0</v>
      </c>
      <c r="M251" t="n">
        <v>0</v>
      </c>
      <c r="N251" t="n">
        <v>0</v>
      </c>
      <c r="O251" t="n">
        <v>0</v>
      </c>
      <c r="P251" t="n">
        <v>0</v>
      </c>
      <c r="Q251" t="n">
        <v>0</v>
      </c>
      <c r="R251" s="2" t="inlineStr"/>
    </row>
    <row r="252" ht="15" customHeight="1">
      <c r="A252" t="inlineStr">
        <is>
          <t>A 54118-2023</t>
        </is>
      </c>
      <c r="B252" s="1" t="n">
        <v>45232</v>
      </c>
      <c r="C252" s="1" t="n">
        <v>45990</v>
      </c>
      <c r="D252" t="inlineStr">
        <is>
          <t>VÄSTMANLANDS LÄN</t>
        </is>
      </c>
      <c r="E252" t="inlineStr">
        <is>
          <t>SALA</t>
        </is>
      </c>
      <c r="G252" t="n">
        <v>1.1</v>
      </c>
      <c r="H252" t="n">
        <v>0</v>
      </c>
      <c r="I252" t="n">
        <v>0</v>
      </c>
      <c r="J252" t="n">
        <v>0</v>
      </c>
      <c r="K252" t="n">
        <v>0</v>
      </c>
      <c r="L252" t="n">
        <v>0</v>
      </c>
      <c r="M252" t="n">
        <v>0</v>
      </c>
      <c r="N252" t="n">
        <v>0</v>
      </c>
      <c r="O252" t="n">
        <v>0</v>
      </c>
      <c r="P252" t="n">
        <v>0</v>
      </c>
      <c r="Q252" t="n">
        <v>0</v>
      </c>
      <c r="R252" s="2" t="inlineStr"/>
    </row>
    <row r="253" ht="15" customHeight="1">
      <c r="A253" t="inlineStr">
        <is>
          <t>A 26661-2025</t>
        </is>
      </c>
      <c r="B253" s="1" t="n">
        <v>45810</v>
      </c>
      <c r="C253" s="1" t="n">
        <v>45990</v>
      </c>
      <c r="D253" t="inlineStr">
        <is>
          <t>VÄSTMANLANDS LÄN</t>
        </is>
      </c>
      <c r="E253" t="inlineStr">
        <is>
          <t>SALA</t>
        </is>
      </c>
      <c r="G253" t="n">
        <v>3.5</v>
      </c>
      <c r="H253" t="n">
        <v>0</v>
      </c>
      <c r="I253" t="n">
        <v>0</v>
      </c>
      <c r="J253" t="n">
        <v>0</v>
      </c>
      <c r="K253" t="n">
        <v>0</v>
      </c>
      <c r="L253" t="n">
        <v>0</v>
      </c>
      <c r="M253" t="n">
        <v>0</v>
      </c>
      <c r="N253" t="n">
        <v>0</v>
      </c>
      <c r="O253" t="n">
        <v>0</v>
      </c>
      <c r="P253" t="n">
        <v>0</v>
      </c>
      <c r="Q253" t="n">
        <v>0</v>
      </c>
      <c r="R253" s="2" t="inlineStr"/>
    </row>
    <row r="254" ht="15" customHeight="1">
      <c r="A254" t="inlineStr">
        <is>
          <t>A 34814-2021</t>
        </is>
      </c>
      <c r="B254" s="1" t="n">
        <v>44383</v>
      </c>
      <c r="C254" s="1" t="n">
        <v>45990</v>
      </c>
      <c r="D254" t="inlineStr">
        <is>
          <t>VÄSTMANLANDS LÄN</t>
        </is>
      </c>
      <c r="E254" t="inlineStr">
        <is>
          <t>SALA</t>
        </is>
      </c>
      <c r="F254" t="inlineStr">
        <is>
          <t>Sveaskog</t>
        </is>
      </c>
      <c r="G254" t="n">
        <v>0.5</v>
      </c>
      <c r="H254" t="n">
        <v>0</v>
      </c>
      <c r="I254" t="n">
        <v>0</v>
      </c>
      <c r="J254" t="n">
        <v>0</v>
      </c>
      <c r="K254" t="n">
        <v>0</v>
      </c>
      <c r="L254" t="n">
        <v>0</v>
      </c>
      <c r="M254" t="n">
        <v>0</v>
      </c>
      <c r="N254" t="n">
        <v>0</v>
      </c>
      <c r="O254" t="n">
        <v>0</v>
      </c>
      <c r="P254" t="n">
        <v>0</v>
      </c>
      <c r="Q254" t="n">
        <v>0</v>
      </c>
      <c r="R254" s="2" t="inlineStr"/>
    </row>
    <row r="255" ht="15" customHeight="1">
      <c r="A255" t="inlineStr">
        <is>
          <t>A 25748-2022</t>
        </is>
      </c>
      <c r="B255" s="1" t="n">
        <v>44732</v>
      </c>
      <c r="C255" s="1" t="n">
        <v>45990</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40559-2025</t>
        </is>
      </c>
      <c r="B256" s="1" t="n">
        <v>45896.45037037037</v>
      </c>
      <c r="C256" s="1" t="n">
        <v>45990</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3733-2023</t>
        </is>
      </c>
      <c r="B257" s="1" t="n">
        <v>44951.42501157407</v>
      </c>
      <c r="C257" s="1" t="n">
        <v>45990</v>
      </c>
      <c r="D257" t="inlineStr">
        <is>
          <t>VÄSTMANLANDS LÄN</t>
        </is>
      </c>
      <c r="E257" t="inlineStr">
        <is>
          <t>SALA</t>
        </is>
      </c>
      <c r="G257" t="n">
        <v>3.1</v>
      </c>
      <c r="H257" t="n">
        <v>0</v>
      </c>
      <c r="I257" t="n">
        <v>0</v>
      </c>
      <c r="J257" t="n">
        <v>0</v>
      </c>
      <c r="K257" t="n">
        <v>0</v>
      </c>
      <c r="L257" t="n">
        <v>0</v>
      </c>
      <c r="M257" t="n">
        <v>0</v>
      </c>
      <c r="N257" t="n">
        <v>0</v>
      </c>
      <c r="O257" t="n">
        <v>0</v>
      </c>
      <c r="P257" t="n">
        <v>0</v>
      </c>
      <c r="Q257" t="n">
        <v>0</v>
      </c>
      <c r="R257" s="2" t="inlineStr"/>
    </row>
    <row r="258" ht="15" customHeight="1">
      <c r="A258" t="inlineStr">
        <is>
          <t>A 6136-2025</t>
        </is>
      </c>
      <c r="B258" s="1" t="n">
        <v>45698.37601851852</v>
      </c>
      <c r="C258" s="1" t="n">
        <v>45990</v>
      </c>
      <c r="D258" t="inlineStr">
        <is>
          <t>VÄSTMANLANDS LÄN</t>
        </is>
      </c>
      <c r="E258" t="inlineStr">
        <is>
          <t>SALA</t>
        </is>
      </c>
      <c r="F258" t="inlineStr">
        <is>
          <t>Bergvik skog öst AB</t>
        </is>
      </c>
      <c r="G258" t="n">
        <v>2.2</v>
      </c>
      <c r="H258" t="n">
        <v>0</v>
      </c>
      <c r="I258" t="n">
        <v>0</v>
      </c>
      <c r="J258" t="n">
        <v>0</v>
      </c>
      <c r="K258" t="n">
        <v>0</v>
      </c>
      <c r="L258" t="n">
        <v>0</v>
      </c>
      <c r="M258" t="n">
        <v>0</v>
      </c>
      <c r="N258" t="n">
        <v>0</v>
      </c>
      <c r="O258" t="n">
        <v>0</v>
      </c>
      <c r="P258" t="n">
        <v>0</v>
      </c>
      <c r="Q258" t="n">
        <v>0</v>
      </c>
      <c r="R258" s="2" t="inlineStr"/>
    </row>
    <row r="259" ht="15" customHeight="1">
      <c r="A259" t="inlineStr">
        <is>
          <t>A 40556-2025</t>
        </is>
      </c>
      <c r="B259" s="1" t="n">
        <v>45896.44944444444</v>
      </c>
      <c r="C259" s="1" t="n">
        <v>45990</v>
      </c>
      <c r="D259" t="inlineStr">
        <is>
          <t>VÄSTMANLANDS LÄN</t>
        </is>
      </c>
      <c r="E259" t="inlineStr">
        <is>
          <t>SALA</t>
        </is>
      </c>
      <c r="G259" t="n">
        <v>1.9</v>
      </c>
      <c r="H259" t="n">
        <v>0</v>
      </c>
      <c r="I259" t="n">
        <v>0</v>
      </c>
      <c r="J259" t="n">
        <v>0</v>
      </c>
      <c r="K259" t="n">
        <v>0</v>
      </c>
      <c r="L259" t="n">
        <v>0</v>
      </c>
      <c r="M259" t="n">
        <v>0</v>
      </c>
      <c r="N259" t="n">
        <v>0</v>
      </c>
      <c r="O259" t="n">
        <v>0</v>
      </c>
      <c r="P259" t="n">
        <v>0</v>
      </c>
      <c r="Q259" t="n">
        <v>0</v>
      </c>
      <c r="R259" s="2" t="inlineStr"/>
    </row>
    <row r="260" ht="15" customHeight="1">
      <c r="A260" t="inlineStr">
        <is>
          <t>A 6190-2025</t>
        </is>
      </c>
      <c r="B260" s="1" t="n">
        <v>45698</v>
      </c>
      <c r="C260" s="1" t="n">
        <v>45990</v>
      </c>
      <c r="D260" t="inlineStr">
        <is>
          <t>VÄSTMANLANDS LÄN</t>
        </is>
      </c>
      <c r="E260" t="inlineStr">
        <is>
          <t>SALA</t>
        </is>
      </c>
      <c r="F260" t="inlineStr">
        <is>
          <t>Bergvik skog öst AB</t>
        </is>
      </c>
      <c r="G260" t="n">
        <v>4.6</v>
      </c>
      <c r="H260" t="n">
        <v>0</v>
      </c>
      <c r="I260" t="n">
        <v>0</v>
      </c>
      <c r="J260" t="n">
        <v>0</v>
      </c>
      <c r="K260" t="n">
        <v>0</v>
      </c>
      <c r="L260" t="n">
        <v>0</v>
      </c>
      <c r="M260" t="n">
        <v>0</v>
      </c>
      <c r="N260" t="n">
        <v>0</v>
      </c>
      <c r="O260" t="n">
        <v>0</v>
      </c>
      <c r="P260" t="n">
        <v>0</v>
      </c>
      <c r="Q260" t="n">
        <v>0</v>
      </c>
      <c r="R260" s="2" t="inlineStr"/>
    </row>
    <row r="261" ht="15" customHeight="1">
      <c r="A261" t="inlineStr">
        <is>
          <t>A 40620-2025</t>
        </is>
      </c>
      <c r="B261" s="1" t="n">
        <v>45896.58609953704</v>
      </c>
      <c r="C261" s="1" t="n">
        <v>45990</v>
      </c>
      <c r="D261" t="inlineStr">
        <is>
          <t>VÄSTMANLANDS LÄN</t>
        </is>
      </c>
      <c r="E261" t="inlineStr">
        <is>
          <t>SALA</t>
        </is>
      </c>
      <c r="G261" t="n">
        <v>6.7</v>
      </c>
      <c r="H261" t="n">
        <v>0</v>
      </c>
      <c r="I261" t="n">
        <v>0</v>
      </c>
      <c r="J261" t="n">
        <v>0</v>
      </c>
      <c r="K261" t="n">
        <v>0</v>
      </c>
      <c r="L261" t="n">
        <v>0</v>
      </c>
      <c r="M261" t="n">
        <v>0</v>
      </c>
      <c r="N261" t="n">
        <v>0</v>
      </c>
      <c r="O261" t="n">
        <v>0</v>
      </c>
      <c r="P261" t="n">
        <v>0</v>
      </c>
      <c r="Q261" t="n">
        <v>0</v>
      </c>
      <c r="R261" s="2" t="inlineStr"/>
    </row>
    <row r="262" ht="15" customHeight="1">
      <c r="A262" t="inlineStr">
        <is>
          <t>A 16760-2024</t>
        </is>
      </c>
      <c r="B262" s="1" t="n">
        <v>45411</v>
      </c>
      <c r="C262" s="1" t="n">
        <v>45990</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41230-2025</t>
        </is>
      </c>
      <c r="B263" s="1" t="n">
        <v>45898</v>
      </c>
      <c r="C263" s="1" t="n">
        <v>45990</v>
      </c>
      <c r="D263" t="inlineStr">
        <is>
          <t>VÄSTMANLANDS LÄN</t>
        </is>
      </c>
      <c r="E263" t="inlineStr">
        <is>
          <t>SALA</t>
        </is>
      </c>
      <c r="G263" t="n">
        <v>2.3</v>
      </c>
      <c r="H263" t="n">
        <v>0</v>
      </c>
      <c r="I263" t="n">
        <v>0</v>
      </c>
      <c r="J263" t="n">
        <v>0</v>
      </c>
      <c r="K263" t="n">
        <v>0</v>
      </c>
      <c r="L263" t="n">
        <v>0</v>
      </c>
      <c r="M263" t="n">
        <v>0</v>
      </c>
      <c r="N263" t="n">
        <v>0</v>
      </c>
      <c r="O263" t="n">
        <v>0</v>
      </c>
      <c r="P263" t="n">
        <v>0</v>
      </c>
      <c r="Q263" t="n">
        <v>0</v>
      </c>
      <c r="R263" s="2" t="inlineStr"/>
    </row>
    <row r="264" ht="15" customHeight="1">
      <c r="A264" t="inlineStr">
        <is>
          <t>A 27989-2025</t>
        </is>
      </c>
      <c r="B264" s="1" t="n">
        <v>45817.58716435185</v>
      </c>
      <c r="C264" s="1" t="n">
        <v>45990</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6127-2025</t>
        </is>
      </c>
      <c r="B265" s="1" t="n">
        <v>45698</v>
      </c>
      <c r="C265" s="1" t="n">
        <v>45990</v>
      </c>
      <c r="D265" t="inlineStr">
        <is>
          <t>VÄSTMANLANDS LÄN</t>
        </is>
      </c>
      <c r="E265" t="inlineStr">
        <is>
          <t>SALA</t>
        </is>
      </c>
      <c r="F265" t="inlineStr">
        <is>
          <t>Bergvik skog öst AB</t>
        </is>
      </c>
      <c r="G265" t="n">
        <v>4.3</v>
      </c>
      <c r="H265" t="n">
        <v>0</v>
      </c>
      <c r="I265" t="n">
        <v>0</v>
      </c>
      <c r="J265" t="n">
        <v>0</v>
      </c>
      <c r="K265" t="n">
        <v>0</v>
      </c>
      <c r="L265" t="n">
        <v>0</v>
      </c>
      <c r="M265" t="n">
        <v>0</v>
      </c>
      <c r="N265" t="n">
        <v>0</v>
      </c>
      <c r="O265" t="n">
        <v>0</v>
      </c>
      <c r="P265" t="n">
        <v>0</v>
      </c>
      <c r="Q265" t="n">
        <v>0</v>
      </c>
      <c r="R265" s="2" t="inlineStr"/>
    </row>
    <row r="266" ht="15" customHeight="1">
      <c r="A266" t="inlineStr">
        <is>
          <t>A 27981-2025</t>
        </is>
      </c>
      <c r="B266" s="1" t="n">
        <v>45817.57471064815</v>
      </c>
      <c r="C266" s="1" t="n">
        <v>45990</v>
      </c>
      <c r="D266" t="inlineStr">
        <is>
          <t>VÄSTMANLANDS LÄN</t>
        </is>
      </c>
      <c r="E266" t="inlineStr">
        <is>
          <t>SALA</t>
        </is>
      </c>
      <c r="G266" t="n">
        <v>1.7</v>
      </c>
      <c r="H266" t="n">
        <v>0</v>
      </c>
      <c r="I266" t="n">
        <v>0</v>
      </c>
      <c r="J266" t="n">
        <v>0</v>
      </c>
      <c r="K266" t="n">
        <v>0</v>
      </c>
      <c r="L266" t="n">
        <v>0</v>
      </c>
      <c r="M266" t="n">
        <v>0</v>
      </c>
      <c r="N266" t="n">
        <v>0</v>
      </c>
      <c r="O266" t="n">
        <v>0</v>
      </c>
      <c r="P266" t="n">
        <v>0</v>
      </c>
      <c r="Q266" t="n">
        <v>0</v>
      </c>
      <c r="R266" s="2" t="inlineStr"/>
    </row>
    <row r="267" ht="15" customHeight="1">
      <c r="A267" t="inlineStr">
        <is>
          <t>A 28193-2025</t>
        </is>
      </c>
      <c r="B267" s="1" t="n">
        <v>45818.425625</v>
      </c>
      <c r="C267" s="1" t="n">
        <v>45990</v>
      </c>
      <c r="D267" t="inlineStr">
        <is>
          <t>VÄSTMANLANDS LÄN</t>
        </is>
      </c>
      <c r="E267" t="inlineStr">
        <is>
          <t>SALA</t>
        </is>
      </c>
      <c r="G267" t="n">
        <v>1.8</v>
      </c>
      <c r="H267" t="n">
        <v>0</v>
      </c>
      <c r="I267" t="n">
        <v>0</v>
      </c>
      <c r="J267" t="n">
        <v>0</v>
      </c>
      <c r="K267" t="n">
        <v>0</v>
      </c>
      <c r="L267" t="n">
        <v>0</v>
      </c>
      <c r="M267" t="n">
        <v>0</v>
      </c>
      <c r="N267" t="n">
        <v>0</v>
      </c>
      <c r="O267" t="n">
        <v>0</v>
      </c>
      <c r="P267" t="n">
        <v>0</v>
      </c>
      <c r="Q267" t="n">
        <v>0</v>
      </c>
      <c r="R267" s="2" t="inlineStr"/>
    </row>
    <row r="268" ht="15" customHeight="1">
      <c r="A268" t="inlineStr">
        <is>
          <t>A 28284-2025</t>
        </is>
      </c>
      <c r="B268" s="1" t="n">
        <v>45818.58893518519</v>
      </c>
      <c r="C268" s="1" t="n">
        <v>45990</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988-2025</t>
        </is>
      </c>
      <c r="B269" s="1" t="n">
        <v>45666.44038194444</v>
      </c>
      <c r="C269" s="1" t="n">
        <v>45990</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41414-2025</t>
        </is>
      </c>
      <c r="B270" s="1" t="n">
        <v>45901.360625</v>
      </c>
      <c r="C270" s="1" t="n">
        <v>45990</v>
      </c>
      <c r="D270" t="inlineStr">
        <is>
          <t>VÄSTMANLANDS LÄN</t>
        </is>
      </c>
      <c r="E270" t="inlineStr">
        <is>
          <t>SALA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60328-2024</t>
        </is>
      </c>
      <c r="B271" s="1" t="n">
        <v>45643.38416666666</v>
      </c>
      <c r="C271" s="1" t="n">
        <v>45990</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28278-2025</t>
        </is>
      </c>
      <c r="B272" s="1" t="n">
        <v>45818.58454861111</v>
      </c>
      <c r="C272" s="1" t="n">
        <v>45990</v>
      </c>
      <c r="D272" t="inlineStr">
        <is>
          <t>VÄSTMANLANDS LÄN</t>
        </is>
      </c>
      <c r="E272" t="inlineStr">
        <is>
          <t>SALA</t>
        </is>
      </c>
      <c r="G272" t="n">
        <v>7.6</v>
      </c>
      <c r="H272" t="n">
        <v>0</v>
      </c>
      <c r="I272" t="n">
        <v>0</v>
      </c>
      <c r="J272" t="n">
        <v>0</v>
      </c>
      <c r="K272" t="n">
        <v>0</v>
      </c>
      <c r="L272" t="n">
        <v>0</v>
      </c>
      <c r="M272" t="n">
        <v>0</v>
      </c>
      <c r="N272" t="n">
        <v>0</v>
      </c>
      <c r="O272" t="n">
        <v>0</v>
      </c>
      <c r="P272" t="n">
        <v>0</v>
      </c>
      <c r="Q272" t="n">
        <v>0</v>
      </c>
      <c r="R272" s="2" t="inlineStr"/>
    </row>
    <row r="273" ht="15" customHeight="1">
      <c r="A273" t="inlineStr">
        <is>
          <t>A 61717-2024</t>
        </is>
      </c>
      <c r="B273" s="1" t="n">
        <v>45648</v>
      </c>
      <c r="C273" s="1" t="n">
        <v>45990</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28628-2025</t>
        </is>
      </c>
      <c r="B274" s="1" t="n">
        <v>45819.62158564815</v>
      </c>
      <c r="C274" s="1" t="n">
        <v>45990</v>
      </c>
      <c r="D274" t="inlineStr">
        <is>
          <t>VÄSTMANLANDS LÄN</t>
        </is>
      </c>
      <c r="E274" t="inlineStr">
        <is>
          <t>SALA</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35016-2024</t>
        </is>
      </c>
      <c r="B275" s="1" t="n">
        <v>45527.59115740741</v>
      </c>
      <c r="C275" s="1" t="n">
        <v>45990</v>
      </c>
      <c r="D275" t="inlineStr">
        <is>
          <t>VÄSTMANLANDS LÄN</t>
        </is>
      </c>
      <c r="E275" t="inlineStr">
        <is>
          <t>SALA</t>
        </is>
      </c>
      <c r="G275" t="n">
        <v>0.4</v>
      </c>
      <c r="H275" t="n">
        <v>0</v>
      </c>
      <c r="I275" t="n">
        <v>0</v>
      </c>
      <c r="J275" t="n">
        <v>0</v>
      </c>
      <c r="K275" t="n">
        <v>0</v>
      </c>
      <c r="L275" t="n">
        <v>0</v>
      </c>
      <c r="M275" t="n">
        <v>0</v>
      </c>
      <c r="N275" t="n">
        <v>0</v>
      </c>
      <c r="O275" t="n">
        <v>0</v>
      </c>
      <c r="P275" t="n">
        <v>0</v>
      </c>
      <c r="Q275" t="n">
        <v>0</v>
      </c>
      <c r="R275" s="2" t="inlineStr"/>
    </row>
    <row r="276" ht="15" customHeight="1">
      <c r="A276" t="inlineStr">
        <is>
          <t>A 28632-2025</t>
        </is>
      </c>
      <c r="B276" s="1" t="n">
        <v>45819.62344907408</v>
      </c>
      <c r="C276" s="1" t="n">
        <v>45990</v>
      </c>
      <c r="D276" t="inlineStr">
        <is>
          <t>VÄSTMANLANDS LÄN</t>
        </is>
      </c>
      <c r="E276" t="inlineStr">
        <is>
          <t>SALA</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28630-2025</t>
        </is>
      </c>
      <c r="B277" s="1" t="n">
        <v>45819.62274305556</v>
      </c>
      <c r="C277" s="1" t="n">
        <v>45990</v>
      </c>
      <c r="D277" t="inlineStr">
        <is>
          <t>VÄSTMANLANDS LÄN</t>
        </is>
      </c>
      <c r="E277" t="inlineStr">
        <is>
          <t>SALA</t>
        </is>
      </c>
      <c r="F277" t="inlineStr">
        <is>
          <t>Sveaskog</t>
        </is>
      </c>
      <c r="G277" t="n">
        <v>9</v>
      </c>
      <c r="H277" t="n">
        <v>0</v>
      </c>
      <c r="I277" t="n">
        <v>0</v>
      </c>
      <c r="J277" t="n">
        <v>0</v>
      </c>
      <c r="K277" t="n">
        <v>0</v>
      </c>
      <c r="L277" t="n">
        <v>0</v>
      </c>
      <c r="M277" t="n">
        <v>0</v>
      </c>
      <c r="N277" t="n">
        <v>0</v>
      </c>
      <c r="O277" t="n">
        <v>0</v>
      </c>
      <c r="P277" t="n">
        <v>0</v>
      </c>
      <c r="Q277" t="n">
        <v>0</v>
      </c>
      <c r="R277" s="2" t="inlineStr"/>
    </row>
    <row r="278" ht="15" customHeight="1">
      <c r="A278" t="inlineStr">
        <is>
          <t>A 53164-2024</t>
        </is>
      </c>
      <c r="B278" s="1" t="n">
        <v>45611.64887731482</v>
      </c>
      <c r="C278" s="1" t="n">
        <v>45990</v>
      </c>
      <c r="D278" t="inlineStr">
        <is>
          <t>VÄSTMANLANDS LÄN</t>
        </is>
      </c>
      <c r="E278" t="inlineStr">
        <is>
          <t>SALA</t>
        </is>
      </c>
      <c r="G278" t="n">
        <v>2.6</v>
      </c>
      <c r="H278" t="n">
        <v>0</v>
      </c>
      <c r="I278" t="n">
        <v>0</v>
      </c>
      <c r="J278" t="n">
        <v>0</v>
      </c>
      <c r="K278" t="n">
        <v>0</v>
      </c>
      <c r="L278" t="n">
        <v>0</v>
      </c>
      <c r="M278" t="n">
        <v>0</v>
      </c>
      <c r="N278" t="n">
        <v>0</v>
      </c>
      <c r="O278" t="n">
        <v>0</v>
      </c>
      <c r="P278" t="n">
        <v>0</v>
      </c>
      <c r="Q278" t="n">
        <v>0</v>
      </c>
      <c r="R278" s="2" t="inlineStr"/>
    </row>
    <row r="279" ht="15" customHeight="1">
      <c r="A279" t="inlineStr">
        <is>
          <t>A 41431-2025</t>
        </is>
      </c>
      <c r="B279" s="1" t="n">
        <v>45901.39347222223</v>
      </c>
      <c r="C279" s="1" t="n">
        <v>45990</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25897-2024</t>
        </is>
      </c>
      <c r="B280" s="1" t="n">
        <v>45467.54435185185</v>
      </c>
      <c r="C280" s="1" t="n">
        <v>45990</v>
      </c>
      <c r="D280" t="inlineStr">
        <is>
          <t>VÄSTMANLANDS LÄN</t>
        </is>
      </c>
      <c r="E280" t="inlineStr">
        <is>
          <t>SALA</t>
        </is>
      </c>
      <c r="G280" t="n">
        <v>9.9</v>
      </c>
      <c r="H280" t="n">
        <v>0</v>
      </c>
      <c r="I280" t="n">
        <v>0</v>
      </c>
      <c r="J280" t="n">
        <v>0</v>
      </c>
      <c r="K280" t="n">
        <v>0</v>
      </c>
      <c r="L280" t="n">
        <v>0</v>
      </c>
      <c r="M280" t="n">
        <v>0</v>
      </c>
      <c r="N280" t="n">
        <v>0</v>
      </c>
      <c r="O280" t="n">
        <v>0</v>
      </c>
      <c r="P280" t="n">
        <v>0</v>
      </c>
      <c r="Q280" t="n">
        <v>0</v>
      </c>
      <c r="R280" s="2" t="inlineStr"/>
    </row>
    <row r="281" ht="15" customHeight="1">
      <c r="A281" t="inlineStr">
        <is>
          <t>A 31072-2021</t>
        </is>
      </c>
      <c r="B281" s="1" t="n">
        <v>44368</v>
      </c>
      <c r="C281" s="1" t="n">
        <v>45990</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28837-2025</t>
        </is>
      </c>
      <c r="B282" s="1" t="n">
        <v>45820.56243055555</v>
      </c>
      <c r="C282" s="1" t="n">
        <v>45990</v>
      </c>
      <c r="D282" t="inlineStr">
        <is>
          <t>VÄSTMANLANDS LÄN</t>
        </is>
      </c>
      <c r="E282" t="inlineStr">
        <is>
          <t>SALA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28849-2025</t>
        </is>
      </c>
      <c r="B283" s="1" t="n">
        <v>45820</v>
      </c>
      <c r="C283" s="1" t="n">
        <v>45990</v>
      </c>
      <c r="D283" t="inlineStr">
        <is>
          <t>VÄSTMANLANDS LÄN</t>
        </is>
      </c>
      <c r="E283" t="inlineStr">
        <is>
          <t>SALA</t>
        </is>
      </c>
      <c r="G283" t="n">
        <v>1.1</v>
      </c>
      <c r="H283" t="n">
        <v>0</v>
      </c>
      <c r="I283" t="n">
        <v>0</v>
      </c>
      <c r="J283" t="n">
        <v>0</v>
      </c>
      <c r="K283" t="n">
        <v>0</v>
      </c>
      <c r="L283" t="n">
        <v>0</v>
      </c>
      <c r="M283" t="n">
        <v>0</v>
      </c>
      <c r="N283" t="n">
        <v>0</v>
      </c>
      <c r="O283" t="n">
        <v>0</v>
      </c>
      <c r="P283" t="n">
        <v>0</v>
      </c>
      <c r="Q283" t="n">
        <v>0</v>
      </c>
      <c r="R283" s="2" t="inlineStr"/>
    </row>
    <row r="284" ht="15" customHeight="1">
      <c r="A284" t="inlineStr">
        <is>
          <t>A 57371-2022</t>
        </is>
      </c>
      <c r="B284" s="1" t="n">
        <v>44896.43832175926</v>
      </c>
      <c r="C284" s="1" t="n">
        <v>45990</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45990</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29085-2025</t>
        </is>
      </c>
      <c r="B286" s="1" t="n">
        <v>45821</v>
      </c>
      <c r="C286" s="1" t="n">
        <v>45990</v>
      </c>
      <c r="D286" t="inlineStr">
        <is>
          <t>VÄSTMANLANDS LÄN</t>
        </is>
      </c>
      <c r="E286" t="inlineStr">
        <is>
          <t>SALA</t>
        </is>
      </c>
      <c r="G286" t="n">
        <v>3.5</v>
      </c>
      <c r="H286" t="n">
        <v>0</v>
      </c>
      <c r="I286" t="n">
        <v>0</v>
      </c>
      <c r="J286" t="n">
        <v>0</v>
      </c>
      <c r="K286" t="n">
        <v>0</v>
      </c>
      <c r="L286" t="n">
        <v>0</v>
      </c>
      <c r="M286" t="n">
        <v>0</v>
      </c>
      <c r="N286" t="n">
        <v>0</v>
      </c>
      <c r="O286" t="n">
        <v>0</v>
      </c>
      <c r="P286" t="n">
        <v>0</v>
      </c>
      <c r="Q286" t="n">
        <v>0</v>
      </c>
      <c r="R286" s="2" t="inlineStr"/>
    </row>
    <row r="287" ht="15" customHeight="1">
      <c r="A287" t="inlineStr">
        <is>
          <t>A 55784-2024</t>
        </is>
      </c>
      <c r="B287" s="1" t="n">
        <v>45623</v>
      </c>
      <c r="C287" s="1" t="n">
        <v>45990</v>
      </c>
      <c r="D287" t="inlineStr">
        <is>
          <t>VÄSTMANLANDS LÄN</t>
        </is>
      </c>
      <c r="E287" t="inlineStr">
        <is>
          <t>SALA</t>
        </is>
      </c>
      <c r="F287" t="inlineStr">
        <is>
          <t>Bergvik skog öst AB</t>
        </is>
      </c>
      <c r="G287" t="n">
        <v>28.4</v>
      </c>
      <c r="H287" t="n">
        <v>0</v>
      </c>
      <c r="I287" t="n">
        <v>0</v>
      </c>
      <c r="J287" t="n">
        <v>0</v>
      </c>
      <c r="K287" t="n">
        <v>0</v>
      </c>
      <c r="L287" t="n">
        <v>0</v>
      </c>
      <c r="M287" t="n">
        <v>0</v>
      </c>
      <c r="N287" t="n">
        <v>0</v>
      </c>
      <c r="O287" t="n">
        <v>0</v>
      </c>
      <c r="P287" t="n">
        <v>0</v>
      </c>
      <c r="Q287" t="n">
        <v>0</v>
      </c>
      <c r="R287" s="2" t="inlineStr"/>
    </row>
    <row r="288" ht="15" customHeight="1">
      <c r="A288" t="inlineStr">
        <is>
          <t>A 16651-2021</t>
        </is>
      </c>
      <c r="B288" s="1" t="n">
        <v>44294.50096064815</v>
      </c>
      <c r="C288" s="1" t="n">
        <v>45990</v>
      </c>
      <c r="D288" t="inlineStr">
        <is>
          <t>VÄSTMANLANDS LÄN</t>
        </is>
      </c>
      <c r="E288" t="inlineStr">
        <is>
          <t>SALA</t>
        </is>
      </c>
      <c r="G288" t="n">
        <v>7.7</v>
      </c>
      <c r="H288" t="n">
        <v>0</v>
      </c>
      <c r="I288" t="n">
        <v>0</v>
      </c>
      <c r="J288" t="n">
        <v>0</v>
      </c>
      <c r="K288" t="n">
        <v>0</v>
      </c>
      <c r="L288" t="n">
        <v>0</v>
      </c>
      <c r="M288" t="n">
        <v>0</v>
      </c>
      <c r="N288" t="n">
        <v>0</v>
      </c>
      <c r="O288" t="n">
        <v>0</v>
      </c>
      <c r="P288" t="n">
        <v>0</v>
      </c>
      <c r="Q288" t="n">
        <v>0</v>
      </c>
      <c r="R288" s="2" t="inlineStr"/>
    </row>
    <row r="289" ht="15" customHeight="1">
      <c r="A289" t="inlineStr">
        <is>
          <t>A 29691-2025</t>
        </is>
      </c>
      <c r="B289" s="1" t="n">
        <v>45825.53645833334</v>
      </c>
      <c r="C289" s="1" t="n">
        <v>45990</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60541-2024</t>
        </is>
      </c>
      <c r="B290" s="1" t="n">
        <v>45643</v>
      </c>
      <c r="C290" s="1" t="n">
        <v>45990</v>
      </c>
      <c r="D290" t="inlineStr">
        <is>
          <t>VÄSTMANLANDS LÄN</t>
        </is>
      </c>
      <c r="E290" t="inlineStr">
        <is>
          <t>SALA</t>
        </is>
      </c>
      <c r="G290" t="n">
        <v>10.6</v>
      </c>
      <c r="H290" t="n">
        <v>0</v>
      </c>
      <c r="I290" t="n">
        <v>0</v>
      </c>
      <c r="J290" t="n">
        <v>0</v>
      </c>
      <c r="K290" t="n">
        <v>0</v>
      </c>
      <c r="L290" t="n">
        <v>0</v>
      </c>
      <c r="M290" t="n">
        <v>0</v>
      </c>
      <c r="N290" t="n">
        <v>0</v>
      </c>
      <c r="O290" t="n">
        <v>0</v>
      </c>
      <c r="P290" t="n">
        <v>0</v>
      </c>
      <c r="Q290" t="n">
        <v>0</v>
      </c>
      <c r="R290" s="2" t="inlineStr"/>
    </row>
    <row r="291" ht="15" customHeight="1">
      <c r="A291" t="inlineStr">
        <is>
          <t>A 19803-2024</t>
        </is>
      </c>
      <c r="B291" s="1" t="n">
        <v>45432</v>
      </c>
      <c r="C291" s="1" t="n">
        <v>45990</v>
      </c>
      <c r="D291" t="inlineStr">
        <is>
          <t>VÄSTMANLANDS LÄN</t>
        </is>
      </c>
      <c r="E291" t="inlineStr">
        <is>
          <t>SALA</t>
        </is>
      </c>
      <c r="G291" t="n">
        <v>3.1</v>
      </c>
      <c r="H291" t="n">
        <v>0</v>
      </c>
      <c r="I291" t="n">
        <v>0</v>
      </c>
      <c r="J291" t="n">
        <v>0</v>
      </c>
      <c r="K291" t="n">
        <v>0</v>
      </c>
      <c r="L291" t="n">
        <v>0</v>
      </c>
      <c r="M291" t="n">
        <v>0</v>
      </c>
      <c r="N291" t="n">
        <v>0</v>
      </c>
      <c r="O291" t="n">
        <v>0</v>
      </c>
      <c r="P291" t="n">
        <v>0</v>
      </c>
      <c r="Q291" t="n">
        <v>0</v>
      </c>
      <c r="R291" s="2" t="inlineStr"/>
    </row>
    <row r="292" ht="15" customHeight="1">
      <c r="A292" t="inlineStr">
        <is>
          <t>A 21968-2024</t>
        </is>
      </c>
      <c r="B292" s="1" t="n">
        <v>45443</v>
      </c>
      <c r="C292" s="1" t="n">
        <v>45990</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7196-2025</t>
        </is>
      </c>
      <c r="B293" s="1" t="n">
        <v>45702</v>
      </c>
      <c r="C293" s="1" t="n">
        <v>45990</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51247-2025</t>
        </is>
      </c>
      <c r="B294" s="1" t="n">
        <v>45947.86487268518</v>
      </c>
      <c r="C294" s="1" t="n">
        <v>45990</v>
      </c>
      <c r="D294" t="inlineStr">
        <is>
          <t>VÄSTMANLANDS LÄN</t>
        </is>
      </c>
      <c r="E294" t="inlineStr">
        <is>
          <t>SALA</t>
        </is>
      </c>
      <c r="G294" t="n">
        <v>10.4</v>
      </c>
      <c r="H294" t="n">
        <v>0</v>
      </c>
      <c r="I294" t="n">
        <v>0</v>
      </c>
      <c r="J294" t="n">
        <v>0</v>
      </c>
      <c r="K294" t="n">
        <v>0</v>
      </c>
      <c r="L294" t="n">
        <v>0</v>
      </c>
      <c r="M294" t="n">
        <v>0</v>
      </c>
      <c r="N294" t="n">
        <v>0</v>
      </c>
      <c r="O294" t="n">
        <v>0</v>
      </c>
      <c r="P294" t="n">
        <v>0</v>
      </c>
      <c r="Q294" t="n">
        <v>0</v>
      </c>
      <c r="R294" s="2" t="inlineStr"/>
    </row>
    <row r="295" ht="15" customHeight="1">
      <c r="A295" t="inlineStr">
        <is>
          <t>A 42421-2025</t>
        </is>
      </c>
      <c r="B295" s="1" t="n">
        <v>45905.40067129629</v>
      </c>
      <c r="C295" s="1" t="n">
        <v>45990</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40597-2022</t>
        </is>
      </c>
      <c r="B296" s="1" t="n">
        <v>44823.84862268518</v>
      </c>
      <c r="C296" s="1" t="n">
        <v>45990</v>
      </c>
      <c r="D296" t="inlineStr">
        <is>
          <t>VÄSTMANLANDS LÄN</t>
        </is>
      </c>
      <c r="E296" t="inlineStr">
        <is>
          <t>SALA</t>
        </is>
      </c>
      <c r="G296" t="n">
        <v>3.5</v>
      </c>
      <c r="H296" t="n">
        <v>0</v>
      </c>
      <c r="I296" t="n">
        <v>0</v>
      </c>
      <c r="J296" t="n">
        <v>0</v>
      </c>
      <c r="K296" t="n">
        <v>0</v>
      </c>
      <c r="L296" t="n">
        <v>0</v>
      </c>
      <c r="M296" t="n">
        <v>0</v>
      </c>
      <c r="N296" t="n">
        <v>0</v>
      </c>
      <c r="O296" t="n">
        <v>0</v>
      </c>
      <c r="P296" t="n">
        <v>0</v>
      </c>
      <c r="Q296" t="n">
        <v>0</v>
      </c>
      <c r="R296" s="2" t="inlineStr"/>
    </row>
    <row r="297" ht="15" customHeight="1">
      <c r="A297" t="inlineStr">
        <is>
          <t>A 29826-2025</t>
        </is>
      </c>
      <c r="B297" s="1" t="n">
        <v>45825.85761574074</v>
      </c>
      <c r="C297" s="1" t="n">
        <v>45990</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17495-2024</t>
        </is>
      </c>
      <c r="B298" s="1" t="n">
        <v>45415</v>
      </c>
      <c r="C298" s="1" t="n">
        <v>45990</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37263-2025</t>
        </is>
      </c>
      <c r="B299" s="1" t="n">
        <v>45876.4584837963</v>
      </c>
      <c r="C299" s="1" t="n">
        <v>45990</v>
      </c>
      <c r="D299" t="inlineStr">
        <is>
          <t>VÄSTMANLANDS LÄN</t>
        </is>
      </c>
      <c r="E299" t="inlineStr">
        <is>
          <t>SALA</t>
        </is>
      </c>
      <c r="G299" t="n">
        <v>2.3</v>
      </c>
      <c r="H299" t="n">
        <v>0</v>
      </c>
      <c r="I299" t="n">
        <v>0</v>
      </c>
      <c r="J299" t="n">
        <v>0</v>
      </c>
      <c r="K299" t="n">
        <v>0</v>
      </c>
      <c r="L299" t="n">
        <v>0</v>
      </c>
      <c r="M299" t="n">
        <v>0</v>
      </c>
      <c r="N299" t="n">
        <v>0</v>
      </c>
      <c r="O299" t="n">
        <v>0</v>
      </c>
      <c r="P299" t="n">
        <v>0</v>
      </c>
      <c r="Q299" t="n">
        <v>0</v>
      </c>
      <c r="R299" s="2" t="inlineStr"/>
    </row>
    <row r="300" ht="15" customHeight="1">
      <c r="A300" t="inlineStr">
        <is>
          <t>A 51626-2025</t>
        </is>
      </c>
      <c r="B300" s="1" t="n">
        <v>45951.41769675926</v>
      </c>
      <c r="C300" s="1" t="n">
        <v>45990</v>
      </c>
      <c r="D300" t="inlineStr">
        <is>
          <t>VÄSTMANLANDS LÄN</t>
        </is>
      </c>
      <c r="E300" t="inlineStr">
        <is>
          <t>SALA</t>
        </is>
      </c>
      <c r="G300" t="n">
        <v>2.6</v>
      </c>
      <c r="H300" t="n">
        <v>0</v>
      </c>
      <c r="I300" t="n">
        <v>0</v>
      </c>
      <c r="J300" t="n">
        <v>0</v>
      </c>
      <c r="K300" t="n">
        <v>0</v>
      </c>
      <c r="L300" t="n">
        <v>0</v>
      </c>
      <c r="M300" t="n">
        <v>0</v>
      </c>
      <c r="N300" t="n">
        <v>0</v>
      </c>
      <c r="O300" t="n">
        <v>0</v>
      </c>
      <c r="P300" t="n">
        <v>0</v>
      </c>
      <c r="Q300" t="n">
        <v>0</v>
      </c>
      <c r="R300" s="2" t="inlineStr"/>
    </row>
    <row r="301" ht="15" customHeight="1">
      <c r="A301" t="inlineStr">
        <is>
          <t>A 43127-2025</t>
        </is>
      </c>
      <c r="B301" s="1" t="n">
        <v>45909</v>
      </c>
      <c r="C301" s="1" t="n">
        <v>45990</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64925-2023</t>
        </is>
      </c>
      <c r="B302" s="1" t="n">
        <v>45282</v>
      </c>
      <c r="C302" s="1" t="n">
        <v>45990</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51804-2025</t>
        </is>
      </c>
      <c r="B303" s="1" t="n">
        <v>45951.77697916667</v>
      </c>
      <c r="C303" s="1" t="n">
        <v>45990</v>
      </c>
      <c r="D303" t="inlineStr">
        <is>
          <t>VÄSTMANLANDS LÄN</t>
        </is>
      </c>
      <c r="E303" t="inlineStr">
        <is>
          <t>SALA</t>
        </is>
      </c>
      <c r="F303" t="inlineStr">
        <is>
          <t>Kommuner</t>
        </is>
      </c>
      <c r="G303" t="n">
        <v>2</v>
      </c>
      <c r="H303" t="n">
        <v>0</v>
      </c>
      <c r="I303" t="n">
        <v>0</v>
      </c>
      <c r="J303" t="n">
        <v>0</v>
      </c>
      <c r="K303" t="n">
        <v>0</v>
      </c>
      <c r="L303" t="n">
        <v>0</v>
      </c>
      <c r="M303" t="n">
        <v>0</v>
      </c>
      <c r="N303" t="n">
        <v>0</v>
      </c>
      <c r="O303" t="n">
        <v>0</v>
      </c>
      <c r="P303" t="n">
        <v>0</v>
      </c>
      <c r="Q303" t="n">
        <v>0</v>
      </c>
      <c r="R303" s="2" t="inlineStr"/>
    </row>
    <row r="304" ht="15" customHeight="1">
      <c r="A304" t="inlineStr">
        <is>
          <t>A 23406-2024</t>
        </is>
      </c>
      <c r="B304" s="1" t="n">
        <v>45453.58296296297</v>
      </c>
      <c r="C304" s="1" t="n">
        <v>45990</v>
      </c>
      <c r="D304" t="inlineStr">
        <is>
          <t>VÄSTMANLANDS LÄN</t>
        </is>
      </c>
      <c r="E304" t="inlineStr">
        <is>
          <t>SALA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43128-2025</t>
        </is>
      </c>
      <c r="B305" s="1" t="n">
        <v>45909</v>
      </c>
      <c r="C305" s="1" t="n">
        <v>45990</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40554-2025</t>
        </is>
      </c>
      <c r="B306" s="1" t="n">
        <v>45896.44506944445</v>
      </c>
      <c r="C306" s="1" t="n">
        <v>45990</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51690-2025</t>
        </is>
      </c>
      <c r="B307" s="1" t="n">
        <v>45951.53462962963</v>
      </c>
      <c r="C307" s="1" t="n">
        <v>45990</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51764-2025</t>
        </is>
      </c>
      <c r="B308" s="1" t="n">
        <v>45951.63636574074</v>
      </c>
      <c r="C308" s="1" t="n">
        <v>45990</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43129-2025</t>
        </is>
      </c>
      <c r="B309" s="1" t="n">
        <v>45909</v>
      </c>
      <c r="C309" s="1" t="n">
        <v>45990</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43130-2025</t>
        </is>
      </c>
      <c r="B310" s="1" t="n">
        <v>45909</v>
      </c>
      <c r="C310" s="1" t="n">
        <v>45990</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51809-2025</t>
        </is>
      </c>
      <c r="B311" s="1" t="n">
        <v>45951.80116898148</v>
      </c>
      <c r="C311" s="1" t="n">
        <v>45990</v>
      </c>
      <c r="D311" t="inlineStr">
        <is>
          <t>VÄSTMANLANDS LÄN</t>
        </is>
      </c>
      <c r="E311" t="inlineStr">
        <is>
          <t>SALA</t>
        </is>
      </c>
      <c r="F311" t="inlineStr">
        <is>
          <t>Kommuner</t>
        </is>
      </c>
      <c r="G311" t="n">
        <v>3.5</v>
      </c>
      <c r="H311" t="n">
        <v>0</v>
      </c>
      <c r="I311" t="n">
        <v>0</v>
      </c>
      <c r="J311" t="n">
        <v>0</v>
      </c>
      <c r="K311" t="n">
        <v>0</v>
      </c>
      <c r="L311" t="n">
        <v>0</v>
      </c>
      <c r="M311" t="n">
        <v>0</v>
      </c>
      <c r="N311" t="n">
        <v>0</v>
      </c>
      <c r="O311" t="n">
        <v>0</v>
      </c>
      <c r="P311" t="n">
        <v>0</v>
      </c>
      <c r="Q311" t="n">
        <v>0</v>
      </c>
      <c r="R311" s="2" t="inlineStr"/>
    </row>
    <row r="312" ht="15" customHeight="1">
      <c r="A312" t="inlineStr">
        <is>
          <t>A 16133-2025</t>
        </is>
      </c>
      <c r="B312" s="1" t="n">
        <v>45750</v>
      </c>
      <c r="C312" s="1" t="n">
        <v>45990</v>
      </c>
      <c r="D312" t="inlineStr">
        <is>
          <t>VÄSTMANLANDS LÄN</t>
        </is>
      </c>
      <c r="E312" t="inlineStr">
        <is>
          <t>SALA</t>
        </is>
      </c>
      <c r="G312" t="n">
        <v>0.9</v>
      </c>
      <c r="H312" t="n">
        <v>0</v>
      </c>
      <c r="I312" t="n">
        <v>0</v>
      </c>
      <c r="J312" t="n">
        <v>0</v>
      </c>
      <c r="K312" t="n">
        <v>0</v>
      </c>
      <c r="L312" t="n">
        <v>0</v>
      </c>
      <c r="M312" t="n">
        <v>0</v>
      </c>
      <c r="N312" t="n">
        <v>0</v>
      </c>
      <c r="O312" t="n">
        <v>0</v>
      </c>
      <c r="P312" t="n">
        <v>0</v>
      </c>
      <c r="Q312" t="n">
        <v>0</v>
      </c>
      <c r="R312" s="2" t="inlineStr"/>
    </row>
    <row r="313" ht="15" customHeight="1">
      <c r="A313" t="inlineStr">
        <is>
          <t>A 15099-2025</t>
        </is>
      </c>
      <c r="B313" s="1" t="n">
        <v>45744.3434837963</v>
      </c>
      <c r="C313" s="1" t="n">
        <v>45990</v>
      </c>
      <c r="D313" t="inlineStr">
        <is>
          <t>VÄSTMANLANDS LÄN</t>
        </is>
      </c>
      <c r="E313" t="inlineStr">
        <is>
          <t>SALA</t>
        </is>
      </c>
      <c r="F313" t="inlineStr">
        <is>
          <t>Sveaskog</t>
        </is>
      </c>
      <c r="G313" t="n">
        <v>14.4</v>
      </c>
      <c r="H313" t="n">
        <v>0</v>
      </c>
      <c r="I313" t="n">
        <v>0</v>
      </c>
      <c r="J313" t="n">
        <v>0</v>
      </c>
      <c r="K313" t="n">
        <v>0</v>
      </c>
      <c r="L313" t="n">
        <v>0</v>
      </c>
      <c r="M313" t="n">
        <v>0</v>
      </c>
      <c r="N313" t="n">
        <v>0</v>
      </c>
      <c r="O313" t="n">
        <v>0</v>
      </c>
      <c r="P313" t="n">
        <v>0</v>
      </c>
      <c r="Q313" t="n">
        <v>0</v>
      </c>
      <c r="R313" s="2" t="inlineStr"/>
    </row>
    <row r="314" ht="15" customHeight="1">
      <c r="A314" t="inlineStr">
        <is>
          <t>A 31608-2025</t>
        </is>
      </c>
      <c r="B314" s="1" t="n">
        <v>45833</v>
      </c>
      <c r="C314" s="1" t="n">
        <v>45990</v>
      </c>
      <c r="D314" t="inlineStr">
        <is>
          <t>VÄSTMANLANDS LÄN</t>
        </is>
      </c>
      <c r="E314" t="inlineStr">
        <is>
          <t>SALA</t>
        </is>
      </c>
      <c r="G314" t="n">
        <v>6.1</v>
      </c>
      <c r="H314" t="n">
        <v>0</v>
      </c>
      <c r="I314" t="n">
        <v>0</v>
      </c>
      <c r="J314" t="n">
        <v>0</v>
      </c>
      <c r="K314" t="n">
        <v>0</v>
      </c>
      <c r="L314" t="n">
        <v>0</v>
      </c>
      <c r="M314" t="n">
        <v>0</v>
      </c>
      <c r="N314" t="n">
        <v>0</v>
      </c>
      <c r="O314" t="n">
        <v>0</v>
      </c>
      <c r="P314" t="n">
        <v>0</v>
      </c>
      <c r="Q314" t="n">
        <v>0</v>
      </c>
      <c r="R314" s="2" t="inlineStr"/>
    </row>
    <row r="315" ht="15" customHeight="1">
      <c r="A315" t="inlineStr">
        <is>
          <t>A 51803-2025</t>
        </is>
      </c>
      <c r="B315" s="1" t="n">
        <v>45951.76818287037</v>
      </c>
      <c r="C315" s="1" t="n">
        <v>45990</v>
      </c>
      <c r="D315" t="inlineStr">
        <is>
          <t>VÄSTMANLANDS LÄN</t>
        </is>
      </c>
      <c r="E315" t="inlineStr">
        <is>
          <t>SALA</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51808-2025</t>
        </is>
      </c>
      <c r="B316" s="1" t="n">
        <v>45951.79302083333</v>
      </c>
      <c r="C316" s="1" t="n">
        <v>45990</v>
      </c>
      <c r="D316" t="inlineStr">
        <is>
          <t>VÄSTMANLANDS LÄN</t>
        </is>
      </c>
      <c r="E316" t="inlineStr">
        <is>
          <t>SALA</t>
        </is>
      </c>
      <c r="F316" t="inlineStr">
        <is>
          <t>Kommuner</t>
        </is>
      </c>
      <c r="G316" t="n">
        <v>3</v>
      </c>
      <c r="H316" t="n">
        <v>0</v>
      </c>
      <c r="I316" t="n">
        <v>0</v>
      </c>
      <c r="J316" t="n">
        <v>0</v>
      </c>
      <c r="K316" t="n">
        <v>0</v>
      </c>
      <c r="L316" t="n">
        <v>0</v>
      </c>
      <c r="M316" t="n">
        <v>0</v>
      </c>
      <c r="N316" t="n">
        <v>0</v>
      </c>
      <c r="O316" t="n">
        <v>0</v>
      </c>
      <c r="P316" t="n">
        <v>0</v>
      </c>
      <c r="Q316" t="n">
        <v>0</v>
      </c>
      <c r="R316" s="2" t="inlineStr"/>
    </row>
    <row r="317" ht="15" customHeight="1">
      <c r="A317" t="inlineStr">
        <is>
          <t>A 30866-2025</t>
        </is>
      </c>
      <c r="B317" s="1" t="n">
        <v>45832.3246875</v>
      </c>
      <c r="C317" s="1" t="n">
        <v>45990</v>
      </c>
      <c r="D317" t="inlineStr">
        <is>
          <t>VÄSTMANLANDS LÄN</t>
        </is>
      </c>
      <c r="E317" t="inlineStr">
        <is>
          <t>SALA</t>
        </is>
      </c>
      <c r="G317" t="n">
        <v>14.3</v>
      </c>
      <c r="H317" t="n">
        <v>0</v>
      </c>
      <c r="I317" t="n">
        <v>0</v>
      </c>
      <c r="J317" t="n">
        <v>0</v>
      </c>
      <c r="K317" t="n">
        <v>0</v>
      </c>
      <c r="L317" t="n">
        <v>0</v>
      </c>
      <c r="M317" t="n">
        <v>0</v>
      </c>
      <c r="N317" t="n">
        <v>0</v>
      </c>
      <c r="O317" t="n">
        <v>0</v>
      </c>
      <c r="P317" t="n">
        <v>0</v>
      </c>
      <c r="Q317" t="n">
        <v>0</v>
      </c>
      <c r="R317" s="2" t="inlineStr"/>
    </row>
    <row r="318" ht="15" customHeight="1">
      <c r="A318" t="inlineStr">
        <is>
          <t>A 30874-2025</t>
        </is>
      </c>
      <c r="B318" s="1" t="n">
        <v>45832.34430555555</v>
      </c>
      <c r="C318" s="1" t="n">
        <v>45990</v>
      </c>
      <c r="D318" t="inlineStr">
        <is>
          <t>VÄSTMANLANDS LÄN</t>
        </is>
      </c>
      <c r="E318" t="inlineStr">
        <is>
          <t>SALA</t>
        </is>
      </c>
      <c r="G318" t="n">
        <v>8.4</v>
      </c>
      <c r="H318" t="n">
        <v>0</v>
      </c>
      <c r="I318" t="n">
        <v>0</v>
      </c>
      <c r="J318" t="n">
        <v>0</v>
      </c>
      <c r="K318" t="n">
        <v>0</v>
      </c>
      <c r="L318" t="n">
        <v>0</v>
      </c>
      <c r="M318" t="n">
        <v>0</v>
      </c>
      <c r="N318" t="n">
        <v>0</v>
      </c>
      <c r="O318" t="n">
        <v>0</v>
      </c>
      <c r="P318" t="n">
        <v>0</v>
      </c>
      <c r="Q318" t="n">
        <v>0</v>
      </c>
      <c r="R318" s="2" t="inlineStr"/>
    </row>
    <row r="319" ht="15" customHeight="1">
      <c r="A319" t="inlineStr">
        <is>
          <t>A 51805-2025</t>
        </is>
      </c>
      <c r="B319" s="1" t="n">
        <v>45951.78359953704</v>
      </c>
      <c r="C319" s="1" t="n">
        <v>45990</v>
      </c>
      <c r="D319" t="inlineStr">
        <is>
          <t>VÄSTMANLANDS LÄN</t>
        </is>
      </c>
      <c r="E319" t="inlineStr">
        <is>
          <t>SALA</t>
        </is>
      </c>
      <c r="F319" t="inlineStr">
        <is>
          <t>Kommuner</t>
        </is>
      </c>
      <c r="G319" t="n">
        <v>1.3</v>
      </c>
      <c r="H319" t="n">
        <v>0</v>
      </c>
      <c r="I319" t="n">
        <v>0</v>
      </c>
      <c r="J319" t="n">
        <v>0</v>
      </c>
      <c r="K319" t="n">
        <v>0</v>
      </c>
      <c r="L319" t="n">
        <v>0</v>
      </c>
      <c r="M319" t="n">
        <v>0</v>
      </c>
      <c r="N319" t="n">
        <v>0</v>
      </c>
      <c r="O319" t="n">
        <v>0</v>
      </c>
      <c r="P319" t="n">
        <v>0</v>
      </c>
      <c r="Q319" t="n">
        <v>0</v>
      </c>
      <c r="R319" s="2" t="inlineStr"/>
    </row>
    <row r="320" ht="15" customHeight="1">
      <c r="A320" t="inlineStr">
        <is>
          <t>A 43028-2025</t>
        </is>
      </c>
      <c r="B320" s="1" t="n">
        <v>45909.53472222222</v>
      </c>
      <c r="C320" s="1" t="n">
        <v>45990</v>
      </c>
      <c r="D320" t="inlineStr">
        <is>
          <t>VÄSTMANLANDS LÄN</t>
        </is>
      </c>
      <c r="E320" t="inlineStr">
        <is>
          <t>SALA</t>
        </is>
      </c>
      <c r="G320" t="n">
        <v>3.8</v>
      </c>
      <c r="H320" t="n">
        <v>0</v>
      </c>
      <c r="I320" t="n">
        <v>0</v>
      </c>
      <c r="J320" t="n">
        <v>0</v>
      </c>
      <c r="K320" t="n">
        <v>0</v>
      </c>
      <c r="L320" t="n">
        <v>0</v>
      </c>
      <c r="M320" t="n">
        <v>0</v>
      </c>
      <c r="N320" t="n">
        <v>0</v>
      </c>
      <c r="O320" t="n">
        <v>0</v>
      </c>
      <c r="P320" t="n">
        <v>0</v>
      </c>
      <c r="Q320" t="n">
        <v>0</v>
      </c>
      <c r="R320" s="2" t="inlineStr"/>
    </row>
    <row r="321" ht="15" customHeight="1">
      <c r="A321" t="inlineStr">
        <is>
          <t>A 31573-2025</t>
        </is>
      </c>
      <c r="B321" s="1" t="n">
        <v>45833</v>
      </c>
      <c r="C321" s="1" t="n">
        <v>45990</v>
      </c>
      <c r="D321" t="inlineStr">
        <is>
          <t>VÄSTMANLANDS LÄN</t>
        </is>
      </c>
      <c r="E321" t="inlineStr">
        <is>
          <t>SALA</t>
        </is>
      </c>
      <c r="G321" t="n">
        <v>0.6</v>
      </c>
      <c r="H321" t="n">
        <v>0</v>
      </c>
      <c r="I321" t="n">
        <v>0</v>
      </c>
      <c r="J321" t="n">
        <v>0</v>
      </c>
      <c r="K321" t="n">
        <v>0</v>
      </c>
      <c r="L321" t="n">
        <v>0</v>
      </c>
      <c r="M321" t="n">
        <v>0</v>
      </c>
      <c r="N321" t="n">
        <v>0</v>
      </c>
      <c r="O321" t="n">
        <v>0</v>
      </c>
      <c r="P321" t="n">
        <v>0</v>
      </c>
      <c r="Q321" t="n">
        <v>0</v>
      </c>
      <c r="R321" s="2" t="inlineStr"/>
    </row>
    <row r="322" ht="15" customHeight="1">
      <c r="A322" t="inlineStr">
        <is>
          <t>A 31288-2025</t>
        </is>
      </c>
      <c r="B322" s="1" t="n">
        <v>45833</v>
      </c>
      <c r="C322" s="1" t="n">
        <v>45990</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31554-2025</t>
        </is>
      </c>
      <c r="B323" s="1" t="n">
        <v>45833</v>
      </c>
      <c r="C323" s="1" t="n">
        <v>45990</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43031-2025</t>
        </is>
      </c>
      <c r="B324" s="1" t="n">
        <v>45909.53856481481</v>
      </c>
      <c r="C324" s="1" t="n">
        <v>45990</v>
      </c>
      <c r="D324" t="inlineStr">
        <is>
          <t>VÄSTMANLANDS LÄN</t>
        </is>
      </c>
      <c r="E324" t="inlineStr">
        <is>
          <t>SALA</t>
        </is>
      </c>
      <c r="G324" t="n">
        <v>0.2</v>
      </c>
      <c r="H324" t="n">
        <v>0</v>
      </c>
      <c r="I324" t="n">
        <v>0</v>
      </c>
      <c r="J324" t="n">
        <v>0</v>
      </c>
      <c r="K324" t="n">
        <v>0</v>
      </c>
      <c r="L324" t="n">
        <v>0</v>
      </c>
      <c r="M324" t="n">
        <v>0</v>
      </c>
      <c r="N324" t="n">
        <v>0</v>
      </c>
      <c r="O324" t="n">
        <v>0</v>
      </c>
      <c r="P324" t="n">
        <v>0</v>
      </c>
      <c r="Q324" t="n">
        <v>0</v>
      </c>
      <c r="R324" s="2" t="inlineStr"/>
    </row>
    <row r="325" ht="15" customHeight="1">
      <c r="A325" t="inlineStr">
        <is>
          <t>A 30899-2025</t>
        </is>
      </c>
      <c r="B325" s="1" t="n">
        <v>45832.35767361111</v>
      </c>
      <c r="C325" s="1" t="n">
        <v>45990</v>
      </c>
      <c r="D325" t="inlineStr">
        <is>
          <t>VÄSTMANLANDS LÄN</t>
        </is>
      </c>
      <c r="E325" t="inlineStr">
        <is>
          <t>SALA</t>
        </is>
      </c>
      <c r="G325" t="n">
        <v>3.1</v>
      </c>
      <c r="H325" t="n">
        <v>0</v>
      </c>
      <c r="I325" t="n">
        <v>0</v>
      </c>
      <c r="J325" t="n">
        <v>0</v>
      </c>
      <c r="K325" t="n">
        <v>0</v>
      </c>
      <c r="L325" t="n">
        <v>0</v>
      </c>
      <c r="M325" t="n">
        <v>0</v>
      </c>
      <c r="N325" t="n">
        <v>0</v>
      </c>
      <c r="O325" t="n">
        <v>0</v>
      </c>
      <c r="P325" t="n">
        <v>0</v>
      </c>
      <c r="Q325" t="n">
        <v>0</v>
      </c>
      <c r="R325" s="2" t="inlineStr"/>
    </row>
    <row r="326" ht="15" customHeight="1">
      <c r="A326" t="inlineStr">
        <is>
          <t>A 60036-2024</t>
        </is>
      </c>
      <c r="B326" s="1" t="n">
        <v>45642.46434027778</v>
      </c>
      <c r="C326" s="1" t="n">
        <v>45990</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52827-2024</t>
        </is>
      </c>
      <c r="B327" s="1" t="n">
        <v>45610</v>
      </c>
      <c r="C327" s="1" t="n">
        <v>45990</v>
      </c>
      <c r="D327" t="inlineStr">
        <is>
          <t>VÄSTMANLANDS LÄN</t>
        </is>
      </c>
      <c r="E327" t="inlineStr">
        <is>
          <t>SALA</t>
        </is>
      </c>
      <c r="G327" t="n">
        <v>0.2</v>
      </c>
      <c r="H327" t="n">
        <v>0</v>
      </c>
      <c r="I327" t="n">
        <v>0</v>
      </c>
      <c r="J327" t="n">
        <v>0</v>
      </c>
      <c r="K327" t="n">
        <v>0</v>
      </c>
      <c r="L327" t="n">
        <v>0</v>
      </c>
      <c r="M327" t="n">
        <v>0</v>
      </c>
      <c r="N327" t="n">
        <v>0</v>
      </c>
      <c r="O327" t="n">
        <v>0</v>
      </c>
      <c r="P327" t="n">
        <v>0</v>
      </c>
      <c r="Q327" t="n">
        <v>0</v>
      </c>
      <c r="R327" s="2" t="inlineStr"/>
    </row>
    <row r="328" ht="15" customHeight="1">
      <c r="A328" t="inlineStr">
        <is>
          <t>A 31065-2025</t>
        </is>
      </c>
      <c r="B328" s="1" t="n">
        <v>45832.57571759259</v>
      </c>
      <c r="C328" s="1" t="n">
        <v>45990</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31296-2025</t>
        </is>
      </c>
      <c r="B329" s="1" t="n">
        <v>45833.36765046296</v>
      </c>
      <c r="C329" s="1" t="n">
        <v>45990</v>
      </c>
      <c r="D329" t="inlineStr">
        <is>
          <t>VÄSTMANLANDS LÄN</t>
        </is>
      </c>
      <c r="E329" t="inlineStr">
        <is>
          <t>SALA</t>
        </is>
      </c>
      <c r="G329" t="n">
        <v>3.7</v>
      </c>
      <c r="H329" t="n">
        <v>0</v>
      </c>
      <c r="I329" t="n">
        <v>0</v>
      </c>
      <c r="J329" t="n">
        <v>0</v>
      </c>
      <c r="K329" t="n">
        <v>0</v>
      </c>
      <c r="L329" t="n">
        <v>0</v>
      </c>
      <c r="M329" t="n">
        <v>0</v>
      </c>
      <c r="N329" t="n">
        <v>0</v>
      </c>
      <c r="O329" t="n">
        <v>0</v>
      </c>
      <c r="P329" t="n">
        <v>0</v>
      </c>
      <c r="Q329" t="n">
        <v>0</v>
      </c>
      <c r="R329" s="2" t="inlineStr"/>
    </row>
    <row r="330" ht="15" customHeight="1">
      <c r="A330" t="inlineStr">
        <is>
          <t>A 31748-2025</t>
        </is>
      </c>
      <c r="B330" s="1" t="n">
        <v>45834</v>
      </c>
      <c r="C330" s="1" t="n">
        <v>45990</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16328-2025</t>
        </is>
      </c>
      <c r="B331" s="1" t="n">
        <v>45751</v>
      </c>
      <c r="C331" s="1" t="n">
        <v>45990</v>
      </c>
      <c r="D331" t="inlineStr">
        <is>
          <t>VÄSTMANLANDS LÄN</t>
        </is>
      </c>
      <c r="E331" t="inlineStr">
        <is>
          <t>SALA</t>
        </is>
      </c>
      <c r="G331" t="n">
        <v>2.9</v>
      </c>
      <c r="H331" t="n">
        <v>0</v>
      </c>
      <c r="I331" t="n">
        <v>0</v>
      </c>
      <c r="J331" t="n">
        <v>0</v>
      </c>
      <c r="K331" t="n">
        <v>0</v>
      </c>
      <c r="L331" t="n">
        <v>0</v>
      </c>
      <c r="M331" t="n">
        <v>0</v>
      </c>
      <c r="N331" t="n">
        <v>0</v>
      </c>
      <c r="O331" t="n">
        <v>0</v>
      </c>
      <c r="P331" t="n">
        <v>0</v>
      </c>
      <c r="Q331" t="n">
        <v>0</v>
      </c>
      <c r="R331" s="2" t="inlineStr"/>
    </row>
    <row r="332" ht="15" customHeight="1">
      <c r="A332" t="inlineStr">
        <is>
          <t>A 32210-2025</t>
        </is>
      </c>
      <c r="B332" s="1" t="n">
        <v>45835</v>
      </c>
      <c r="C332" s="1" t="n">
        <v>45990</v>
      </c>
      <c r="D332" t="inlineStr">
        <is>
          <t>VÄSTMANLANDS LÄN</t>
        </is>
      </c>
      <c r="E332" t="inlineStr">
        <is>
          <t>SALA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31610-2025</t>
        </is>
      </c>
      <c r="B333" s="1" t="n">
        <v>45833.78650462963</v>
      </c>
      <c r="C333" s="1" t="n">
        <v>45990</v>
      </c>
      <c r="D333" t="inlineStr">
        <is>
          <t>VÄSTMANLANDS LÄN</t>
        </is>
      </c>
      <c r="E333" t="inlineStr">
        <is>
          <t>SALA</t>
        </is>
      </c>
      <c r="G333" t="n">
        <v>8</v>
      </c>
      <c r="H333" t="n">
        <v>0</v>
      </c>
      <c r="I333" t="n">
        <v>0</v>
      </c>
      <c r="J333" t="n">
        <v>0</v>
      </c>
      <c r="K333" t="n">
        <v>0</v>
      </c>
      <c r="L333" t="n">
        <v>0</v>
      </c>
      <c r="M333" t="n">
        <v>0</v>
      </c>
      <c r="N333" t="n">
        <v>0</v>
      </c>
      <c r="O333" t="n">
        <v>0</v>
      </c>
      <c r="P333" t="n">
        <v>0</v>
      </c>
      <c r="Q333" t="n">
        <v>0</v>
      </c>
      <c r="R333" s="2" t="inlineStr"/>
    </row>
    <row r="334" ht="15" customHeight="1">
      <c r="A334" t="inlineStr">
        <is>
          <t>A 32201-2025</t>
        </is>
      </c>
      <c r="B334" s="1" t="n">
        <v>45835</v>
      </c>
      <c r="C334" s="1" t="n">
        <v>45990</v>
      </c>
      <c r="D334" t="inlineStr">
        <is>
          <t>VÄSTMANLANDS LÄN</t>
        </is>
      </c>
      <c r="E334" t="inlineStr">
        <is>
          <t>SALA</t>
        </is>
      </c>
      <c r="F334" t="inlineStr">
        <is>
          <t>Bergvik skog öst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31612-2025</t>
        </is>
      </c>
      <c r="B335" s="1" t="n">
        <v>45833.80056712963</v>
      </c>
      <c r="C335" s="1" t="n">
        <v>45990</v>
      </c>
      <c r="D335" t="inlineStr">
        <is>
          <t>VÄSTMANLANDS LÄN</t>
        </is>
      </c>
      <c r="E335" t="inlineStr">
        <is>
          <t>SALA</t>
        </is>
      </c>
      <c r="G335" t="n">
        <v>6.3</v>
      </c>
      <c r="H335" t="n">
        <v>0</v>
      </c>
      <c r="I335" t="n">
        <v>0</v>
      </c>
      <c r="J335" t="n">
        <v>0</v>
      </c>
      <c r="K335" t="n">
        <v>0</v>
      </c>
      <c r="L335" t="n">
        <v>0</v>
      </c>
      <c r="M335" t="n">
        <v>0</v>
      </c>
      <c r="N335" t="n">
        <v>0</v>
      </c>
      <c r="O335" t="n">
        <v>0</v>
      </c>
      <c r="P335" t="n">
        <v>0</v>
      </c>
      <c r="Q335" t="n">
        <v>0</v>
      </c>
      <c r="R335" s="2" t="inlineStr"/>
    </row>
    <row r="336" ht="15" customHeight="1">
      <c r="A336" t="inlineStr">
        <is>
          <t>A 32207-2025</t>
        </is>
      </c>
      <c r="B336" s="1" t="n">
        <v>45835</v>
      </c>
      <c r="C336" s="1" t="n">
        <v>45990</v>
      </c>
      <c r="D336" t="inlineStr">
        <is>
          <t>VÄSTMANLANDS LÄN</t>
        </is>
      </c>
      <c r="E336" t="inlineStr">
        <is>
          <t>SALA</t>
        </is>
      </c>
      <c r="F336" t="inlineStr">
        <is>
          <t>Bergvik skog öst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43328-2025</t>
        </is>
      </c>
      <c r="B337" s="1" t="n">
        <v>45910</v>
      </c>
      <c r="C337" s="1" t="n">
        <v>45990</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31762-2025</t>
        </is>
      </c>
      <c r="B338" s="1" t="n">
        <v>45834.49288194445</v>
      </c>
      <c r="C338" s="1" t="n">
        <v>45990</v>
      </c>
      <c r="D338" t="inlineStr">
        <is>
          <t>VÄSTMANLANDS LÄN</t>
        </is>
      </c>
      <c r="E338" t="inlineStr">
        <is>
          <t>SALA</t>
        </is>
      </c>
      <c r="G338" t="n">
        <v>5.9</v>
      </c>
      <c r="H338" t="n">
        <v>0</v>
      </c>
      <c r="I338" t="n">
        <v>0</v>
      </c>
      <c r="J338" t="n">
        <v>0</v>
      </c>
      <c r="K338" t="n">
        <v>0</v>
      </c>
      <c r="L338" t="n">
        <v>0</v>
      </c>
      <c r="M338" t="n">
        <v>0</v>
      </c>
      <c r="N338" t="n">
        <v>0</v>
      </c>
      <c r="O338" t="n">
        <v>0</v>
      </c>
      <c r="P338" t="n">
        <v>0</v>
      </c>
      <c r="Q338" t="n">
        <v>0</v>
      </c>
      <c r="R338" s="2" t="inlineStr"/>
    </row>
    <row r="339" ht="15" customHeight="1">
      <c r="A339" t="inlineStr">
        <is>
          <t>A 31771-2025</t>
        </is>
      </c>
      <c r="B339" s="1" t="n">
        <v>45834.50910879629</v>
      </c>
      <c r="C339" s="1" t="n">
        <v>45990</v>
      </c>
      <c r="D339" t="inlineStr">
        <is>
          <t>VÄSTMANLANDS LÄN</t>
        </is>
      </c>
      <c r="E339" t="inlineStr">
        <is>
          <t>SALA</t>
        </is>
      </c>
      <c r="G339" t="n">
        <v>5.1</v>
      </c>
      <c r="H339" t="n">
        <v>0</v>
      </c>
      <c r="I339" t="n">
        <v>0</v>
      </c>
      <c r="J339" t="n">
        <v>0</v>
      </c>
      <c r="K339" t="n">
        <v>0</v>
      </c>
      <c r="L339" t="n">
        <v>0</v>
      </c>
      <c r="M339" t="n">
        <v>0</v>
      </c>
      <c r="N339" t="n">
        <v>0</v>
      </c>
      <c r="O339" t="n">
        <v>0</v>
      </c>
      <c r="P339" t="n">
        <v>0</v>
      </c>
      <c r="Q339" t="n">
        <v>0</v>
      </c>
      <c r="R339" s="2" t="inlineStr"/>
    </row>
    <row r="340" ht="15" customHeight="1">
      <c r="A340" t="inlineStr">
        <is>
          <t>A 32205-2025</t>
        </is>
      </c>
      <c r="B340" s="1" t="n">
        <v>45835</v>
      </c>
      <c r="C340" s="1" t="n">
        <v>45990</v>
      </c>
      <c r="D340" t="inlineStr">
        <is>
          <t>VÄSTMANLANDS LÄN</t>
        </is>
      </c>
      <c r="E340" t="inlineStr">
        <is>
          <t>SALA</t>
        </is>
      </c>
      <c r="F340" t="inlineStr">
        <is>
          <t>Bergvik skog öst AB</t>
        </is>
      </c>
      <c r="G340" t="n">
        <v>1.1</v>
      </c>
      <c r="H340" t="n">
        <v>0</v>
      </c>
      <c r="I340" t="n">
        <v>0</v>
      </c>
      <c r="J340" t="n">
        <v>0</v>
      </c>
      <c r="K340" t="n">
        <v>0</v>
      </c>
      <c r="L340" t="n">
        <v>0</v>
      </c>
      <c r="M340" t="n">
        <v>0</v>
      </c>
      <c r="N340" t="n">
        <v>0</v>
      </c>
      <c r="O340" t="n">
        <v>0</v>
      </c>
      <c r="P340" t="n">
        <v>0</v>
      </c>
      <c r="Q340" t="n">
        <v>0</v>
      </c>
      <c r="R340" s="2" t="inlineStr"/>
    </row>
    <row r="341" ht="15" customHeight="1">
      <c r="A341" t="inlineStr">
        <is>
          <t>A 32286-2025</t>
        </is>
      </c>
      <c r="B341" s="1" t="n">
        <v>45835</v>
      </c>
      <c r="C341" s="1" t="n">
        <v>45990</v>
      </c>
      <c r="D341" t="inlineStr">
        <is>
          <t>VÄSTMANLANDS LÄN</t>
        </is>
      </c>
      <c r="E341" t="inlineStr">
        <is>
          <t>SALA</t>
        </is>
      </c>
      <c r="G341" t="n">
        <v>6.4</v>
      </c>
      <c r="H341" t="n">
        <v>0</v>
      </c>
      <c r="I341" t="n">
        <v>0</v>
      </c>
      <c r="J341" t="n">
        <v>0</v>
      </c>
      <c r="K341" t="n">
        <v>0</v>
      </c>
      <c r="L341" t="n">
        <v>0</v>
      </c>
      <c r="M341" t="n">
        <v>0</v>
      </c>
      <c r="N341" t="n">
        <v>0</v>
      </c>
      <c r="O341" t="n">
        <v>0</v>
      </c>
      <c r="P341" t="n">
        <v>0</v>
      </c>
      <c r="Q341" t="n">
        <v>0</v>
      </c>
      <c r="R341" s="2" t="inlineStr"/>
    </row>
    <row r="342" ht="15" customHeight="1">
      <c r="A342" t="inlineStr">
        <is>
          <t>A 66908-2021</t>
        </is>
      </c>
      <c r="B342" s="1" t="n">
        <v>44522</v>
      </c>
      <c r="C342" s="1" t="n">
        <v>45990</v>
      </c>
      <c r="D342" t="inlineStr">
        <is>
          <t>VÄSTMANLANDS LÄN</t>
        </is>
      </c>
      <c r="E342" t="inlineStr">
        <is>
          <t>SALA</t>
        </is>
      </c>
      <c r="G342" t="n">
        <v>2.6</v>
      </c>
      <c r="H342" t="n">
        <v>0</v>
      </c>
      <c r="I342" t="n">
        <v>0</v>
      </c>
      <c r="J342" t="n">
        <v>0</v>
      </c>
      <c r="K342" t="n">
        <v>0</v>
      </c>
      <c r="L342" t="n">
        <v>0</v>
      </c>
      <c r="M342" t="n">
        <v>0</v>
      </c>
      <c r="N342" t="n">
        <v>0</v>
      </c>
      <c r="O342" t="n">
        <v>0</v>
      </c>
      <c r="P342" t="n">
        <v>0</v>
      </c>
      <c r="Q342" t="n">
        <v>0</v>
      </c>
      <c r="R342" s="2" t="inlineStr"/>
    </row>
    <row r="343" ht="15" customHeight="1">
      <c r="A343" t="inlineStr">
        <is>
          <t>A 73835-2021</t>
        </is>
      </c>
      <c r="B343" s="1" t="n">
        <v>44552.92112268518</v>
      </c>
      <c r="C343" s="1" t="n">
        <v>45990</v>
      </c>
      <c r="D343" t="inlineStr">
        <is>
          <t>VÄSTMANLANDS LÄN</t>
        </is>
      </c>
      <c r="E343" t="inlineStr">
        <is>
          <t>SALA</t>
        </is>
      </c>
      <c r="G343" t="n">
        <v>2</v>
      </c>
      <c r="H343" t="n">
        <v>0</v>
      </c>
      <c r="I343" t="n">
        <v>0</v>
      </c>
      <c r="J343" t="n">
        <v>0</v>
      </c>
      <c r="K343" t="n">
        <v>0</v>
      </c>
      <c r="L343" t="n">
        <v>0</v>
      </c>
      <c r="M343" t="n">
        <v>0</v>
      </c>
      <c r="N343" t="n">
        <v>0</v>
      </c>
      <c r="O343" t="n">
        <v>0</v>
      </c>
      <c r="P343" t="n">
        <v>0</v>
      </c>
      <c r="Q343" t="n">
        <v>0</v>
      </c>
      <c r="R343" s="2" t="inlineStr"/>
    </row>
    <row r="344" ht="15" customHeight="1">
      <c r="A344" t="inlineStr">
        <is>
          <t>A 3810-2023</t>
        </is>
      </c>
      <c r="B344" s="1" t="n">
        <v>44951.60454861111</v>
      </c>
      <c r="C344" s="1" t="n">
        <v>45990</v>
      </c>
      <c r="D344" t="inlineStr">
        <is>
          <t>VÄSTMANLANDS LÄN</t>
        </is>
      </c>
      <c r="E344" t="inlineStr">
        <is>
          <t>SALA</t>
        </is>
      </c>
      <c r="G344" t="n">
        <v>4.2</v>
      </c>
      <c r="H344" t="n">
        <v>0</v>
      </c>
      <c r="I344" t="n">
        <v>0</v>
      </c>
      <c r="J344" t="n">
        <v>0</v>
      </c>
      <c r="K344" t="n">
        <v>0</v>
      </c>
      <c r="L344" t="n">
        <v>0</v>
      </c>
      <c r="M344" t="n">
        <v>0</v>
      </c>
      <c r="N344" t="n">
        <v>0</v>
      </c>
      <c r="O344" t="n">
        <v>0</v>
      </c>
      <c r="P344" t="n">
        <v>0</v>
      </c>
      <c r="Q344" t="n">
        <v>0</v>
      </c>
      <c r="R344" s="2" t="inlineStr"/>
    </row>
    <row r="345" ht="15" customHeight="1">
      <c r="A345" t="inlineStr">
        <is>
          <t>A 32902-2025</t>
        </is>
      </c>
      <c r="B345" s="1" t="n">
        <v>45839</v>
      </c>
      <c r="C345" s="1" t="n">
        <v>45990</v>
      </c>
      <c r="D345" t="inlineStr">
        <is>
          <t>VÄSTMANLANDS LÄN</t>
        </is>
      </c>
      <c r="E345" t="inlineStr">
        <is>
          <t>SALA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12252-2023</t>
        </is>
      </c>
      <c r="B346" s="1" t="n">
        <v>44995</v>
      </c>
      <c r="C346" s="1" t="n">
        <v>45990</v>
      </c>
      <c r="D346" t="inlineStr">
        <is>
          <t>VÄSTMANLANDS LÄN</t>
        </is>
      </c>
      <c r="E346" t="inlineStr">
        <is>
          <t>SALA</t>
        </is>
      </c>
      <c r="G346" t="n">
        <v>2.6</v>
      </c>
      <c r="H346" t="n">
        <v>0</v>
      </c>
      <c r="I346" t="n">
        <v>0</v>
      </c>
      <c r="J346" t="n">
        <v>0</v>
      </c>
      <c r="K346" t="n">
        <v>0</v>
      </c>
      <c r="L346" t="n">
        <v>0</v>
      </c>
      <c r="M346" t="n">
        <v>0</v>
      </c>
      <c r="N346" t="n">
        <v>0</v>
      </c>
      <c r="O346" t="n">
        <v>0</v>
      </c>
      <c r="P346" t="n">
        <v>0</v>
      </c>
      <c r="Q346" t="n">
        <v>0</v>
      </c>
      <c r="R346" s="2" t="inlineStr"/>
    </row>
    <row r="347" ht="15" customHeight="1">
      <c r="A347" t="inlineStr">
        <is>
          <t>A 25260-2023</t>
        </is>
      </c>
      <c r="B347" s="1" t="n">
        <v>45086</v>
      </c>
      <c r="C347" s="1" t="n">
        <v>45990</v>
      </c>
      <c r="D347" t="inlineStr">
        <is>
          <t>VÄSTMANLANDS LÄN</t>
        </is>
      </c>
      <c r="E347" t="inlineStr">
        <is>
          <t>SALA</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44100-2025</t>
        </is>
      </c>
      <c r="B348" s="1" t="n">
        <v>45915.56707175926</v>
      </c>
      <c r="C348" s="1" t="n">
        <v>45990</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57404-2024</t>
        </is>
      </c>
      <c r="B349" s="1" t="n">
        <v>45629.71967592592</v>
      </c>
      <c r="C349" s="1" t="n">
        <v>45990</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13128-2023</t>
        </is>
      </c>
      <c r="B350" s="1" t="n">
        <v>45002</v>
      </c>
      <c r="C350" s="1" t="n">
        <v>45990</v>
      </c>
      <c r="D350" t="inlineStr">
        <is>
          <t>VÄSTMANLANDS LÄN</t>
        </is>
      </c>
      <c r="E350" t="inlineStr">
        <is>
          <t>SALA</t>
        </is>
      </c>
      <c r="G350" t="n">
        <v>7.9</v>
      </c>
      <c r="H350" t="n">
        <v>0</v>
      </c>
      <c r="I350" t="n">
        <v>0</v>
      </c>
      <c r="J350" t="n">
        <v>0</v>
      </c>
      <c r="K350" t="n">
        <v>0</v>
      </c>
      <c r="L350" t="n">
        <v>0</v>
      </c>
      <c r="M350" t="n">
        <v>0</v>
      </c>
      <c r="N350" t="n">
        <v>0</v>
      </c>
      <c r="O350" t="n">
        <v>0</v>
      </c>
      <c r="P350" t="n">
        <v>0</v>
      </c>
      <c r="Q350" t="n">
        <v>0</v>
      </c>
      <c r="R350" s="2" t="inlineStr"/>
    </row>
    <row r="351" ht="15" customHeight="1">
      <c r="A351" t="inlineStr">
        <is>
          <t>A 34069-2025</t>
        </is>
      </c>
      <c r="B351" s="1" t="n">
        <v>45845.43560185185</v>
      </c>
      <c r="C351" s="1" t="n">
        <v>45990</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c r="U351">
        <f>HYPERLINK("https://klasma.github.io/Logging_1981/knärot/A 34069-2025 karta knärot.png", "A 34069-2025")</f>
        <v/>
      </c>
      <c r="V351">
        <f>HYPERLINK("https://klasma.github.io/Logging_1981/klagomål/A 34069-2025 FSC-klagomål.docx", "A 34069-2025")</f>
        <v/>
      </c>
      <c r="W351">
        <f>HYPERLINK("https://klasma.github.io/Logging_1981/klagomålsmail/A 34069-2025 FSC-klagomål mail.docx", "A 34069-2025")</f>
        <v/>
      </c>
      <c r="X351">
        <f>HYPERLINK("https://klasma.github.io/Logging_1981/tillsyn/A 34069-2025 tillsynsbegäran.docx", "A 34069-2025")</f>
        <v/>
      </c>
      <c r="Y351">
        <f>HYPERLINK("https://klasma.github.io/Logging_1981/tillsynsmail/A 34069-2025 tillsynsbegäran mail.docx", "A 34069-2025")</f>
        <v/>
      </c>
    </row>
    <row r="352" ht="15" customHeight="1">
      <c r="A352" t="inlineStr">
        <is>
          <t>A 24864-2024</t>
        </is>
      </c>
      <c r="B352" s="1" t="n">
        <v>45461.48888888889</v>
      </c>
      <c r="C352" s="1" t="n">
        <v>45990</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15744-2025</t>
        </is>
      </c>
      <c r="B353" s="1" t="n">
        <v>45748</v>
      </c>
      <c r="C353" s="1" t="n">
        <v>45990</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44524-2025</t>
        </is>
      </c>
      <c r="B354" s="1" t="n">
        <v>45916.72920138889</v>
      </c>
      <c r="C354" s="1" t="n">
        <v>45990</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44486-2025</t>
        </is>
      </c>
      <c r="B355" s="1" t="n">
        <v>45916.65517361111</v>
      </c>
      <c r="C355" s="1" t="n">
        <v>45990</v>
      </c>
      <c r="D355" t="inlineStr">
        <is>
          <t>VÄSTMANLANDS LÄN</t>
        </is>
      </c>
      <c r="E355" t="inlineStr">
        <is>
          <t>SALA</t>
        </is>
      </c>
      <c r="G355" t="n">
        <v>1.7</v>
      </c>
      <c r="H355" t="n">
        <v>0</v>
      </c>
      <c r="I355" t="n">
        <v>0</v>
      </c>
      <c r="J355" t="n">
        <v>0</v>
      </c>
      <c r="K355" t="n">
        <v>0</v>
      </c>
      <c r="L355" t="n">
        <v>0</v>
      </c>
      <c r="M355" t="n">
        <v>0</v>
      </c>
      <c r="N355" t="n">
        <v>0</v>
      </c>
      <c r="O355" t="n">
        <v>0</v>
      </c>
      <c r="P355" t="n">
        <v>0</v>
      </c>
      <c r="Q355" t="n">
        <v>0</v>
      </c>
      <c r="R355" s="2" t="inlineStr"/>
    </row>
    <row r="356" ht="15" customHeight="1">
      <c r="A356" t="inlineStr">
        <is>
          <t>A 24755-2021</t>
        </is>
      </c>
      <c r="B356" s="1" t="n">
        <v>44340</v>
      </c>
      <c r="C356" s="1" t="n">
        <v>45990</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45177-2025</t>
        </is>
      </c>
      <c r="B357" s="1" t="n">
        <v>45919.52444444445</v>
      </c>
      <c r="C357" s="1" t="n">
        <v>45990</v>
      </c>
      <c r="D357" t="inlineStr">
        <is>
          <t>VÄSTMANLANDS LÄN</t>
        </is>
      </c>
      <c r="E357" t="inlineStr">
        <is>
          <t>SALA</t>
        </is>
      </c>
      <c r="G357" t="n">
        <v>2.4</v>
      </c>
      <c r="H357" t="n">
        <v>0</v>
      </c>
      <c r="I357" t="n">
        <v>0</v>
      </c>
      <c r="J357" t="n">
        <v>0</v>
      </c>
      <c r="K357" t="n">
        <v>0</v>
      </c>
      <c r="L357" t="n">
        <v>0</v>
      </c>
      <c r="M357" t="n">
        <v>0</v>
      </c>
      <c r="N357" t="n">
        <v>0</v>
      </c>
      <c r="O357" t="n">
        <v>0</v>
      </c>
      <c r="P357" t="n">
        <v>0</v>
      </c>
      <c r="Q357" t="n">
        <v>0</v>
      </c>
      <c r="R357" s="2" t="inlineStr"/>
    </row>
    <row r="358" ht="15" customHeight="1">
      <c r="A358" t="inlineStr">
        <is>
          <t>A 53724-2025</t>
        </is>
      </c>
      <c r="B358" s="1" t="n">
        <v>45960.63174768518</v>
      </c>
      <c r="C358" s="1" t="n">
        <v>45990</v>
      </c>
      <c r="D358" t="inlineStr">
        <is>
          <t>VÄSTMANLANDS LÄN</t>
        </is>
      </c>
      <c r="E358" t="inlineStr">
        <is>
          <t>SALA</t>
        </is>
      </c>
      <c r="G358" t="n">
        <v>2.8</v>
      </c>
      <c r="H358" t="n">
        <v>0</v>
      </c>
      <c r="I358" t="n">
        <v>0</v>
      </c>
      <c r="J358" t="n">
        <v>0</v>
      </c>
      <c r="K358" t="n">
        <v>0</v>
      </c>
      <c r="L358" t="n">
        <v>0</v>
      </c>
      <c r="M358" t="n">
        <v>0</v>
      </c>
      <c r="N358" t="n">
        <v>0</v>
      </c>
      <c r="O358" t="n">
        <v>0</v>
      </c>
      <c r="P358" t="n">
        <v>0</v>
      </c>
      <c r="Q358" t="n">
        <v>0</v>
      </c>
      <c r="R358" s="2" t="inlineStr"/>
    </row>
    <row r="359" ht="15" customHeight="1">
      <c r="A359" t="inlineStr">
        <is>
          <t>A 35775-2025</t>
        </is>
      </c>
      <c r="B359" s="1" t="n">
        <v>45860</v>
      </c>
      <c r="C359" s="1" t="n">
        <v>45990</v>
      </c>
      <c r="D359" t="inlineStr">
        <is>
          <t>VÄSTMANLANDS LÄN</t>
        </is>
      </c>
      <c r="E359" t="inlineStr">
        <is>
          <t>SALA</t>
        </is>
      </c>
      <c r="G359" t="n">
        <v>2.6</v>
      </c>
      <c r="H359" t="n">
        <v>0</v>
      </c>
      <c r="I359" t="n">
        <v>0</v>
      </c>
      <c r="J359" t="n">
        <v>0</v>
      </c>
      <c r="K359" t="n">
        <v>0</v>
      </c>
      <c r="L359" t="n">
        <v>0</v>
      </c>
      <c r="M359" t="n">
        <v>0</v>
      </c>
      <c r="N359" t="n">
        <v>0</v>
      </c>
      <c r="O359" t="n">
        <v>0</v>
      </c>
      <c r="P359" t="n">
        <v>0</v>
      </c>
      <c r="Q359" t="n">
        <v>0</v>
      </c>
      <c r="R359" s="2" t="inlineStr"/>
    </row>
    <row r="360" ht="15" customHeight="1">
      <c r="A360" t="inlineStr">
        <is>
          <t>A 35779-2025</t>
        </is>
      </c>
      <c r="B360" s="1" t="n">
        <v>45860.69495370371</v>
      </c>
      <c r="C360" s="1" t="n">
        <v>45990</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35776-2025</t>
        </is>
      </c>
      <c r="B361" s="1" t="n">
        <v>45860.69211805556</v>
      </c>
      <c r="C361" s="1" t="n">
        <v>45990</v>
      </c>
      <c r="D361" t="inlineStr">
        <is>
          <t>VÄSTMANLANDS LÄN</t>
        </is>
      </c>
      <c r="E361" t="inlineStr">
        <is>
          <t>SALA</t>
        </is>
      </c>
      <c r="G361" t="n">
        <v>14.2</v>
      </c>
      <c r="H361" t="n">
        <v>0</v>
      </c>
      <c r="I361" t="n">
        <v>0</v>
      </c>
      <c r="J361" t="n">
        <v>0</v>
      </c>
      <c r="K361" t="n">
        <v>0</v>
      </c>
      <c r="L361" t="n">
        <v>0</v>
      </c>
      <c r="M361" t="n">
        <v>0</v>
      </c>
      <c r="N361" t="n">
        <v>0</v>
      </c>
      <c r="O361" t="n">
        <v>0</v>
      </c>
      <c r="P361" t="n">
        <v>0</v>
      </c>
      <c r="Q361" t="n">
        <v>0</v>
      </c>
      <c r="R361" s="2" t="inlineStr"/>
    </row>
    <row r="362" ht="15" customHeight="1">
      <c r="A362" t="inlineStr">
        <is>
          <t>A 35715-2025</t>
        </is>
      </c>
      <c r="B362" s="1" t="n">
        <v>45860.42148148148</v>
      </c>
      <c r="C362" s="1" t="n">
        <v>45990</v>
      </c>
      <c r="D362" t="inlineStr">
        <is>
          <t>VÄSTMANLANDS LÄN</t>
        </is>
      </c>
      <c r="E362" t="inlineStr">
        <is>
          <t>SALA</t>
        </is>
      </c>
      <c r="G362" t="n">
        <v>3.8</v>
      </c>
      <c r="H362" t="n">
        <v>0</v>
      </c>
      <c r="I362" t="n">
        <v>0</v>
      </c>
      <c r="J362" t="n">
        <v>0</v>
      </c>
      <c r="K362" t="n">
        <v>0</v>
      </c>
      <c r="L362" t="n">
        <v>0</v>
      </c>
      <c r="M362" t="n">
        <v>0</v>
      </c>
      <c r="N362" t="n">
        <v>0</v>
      </c>
      <c r="O362" t="n">
        <v>0</v>
      </c>
      <c r="P362" t="n">
        <v>0</v>
      </c>
      <c r="Q362" t="n">
        <v>0</v>
      </c>
      <c r="R362" s="2" t="inlineStr"/>
    </row>
    <row r="363" ht="15" customHeight="1">
      <c r="A363" t="inlineStr">
        <is>
          <t>A 43122-2025</t>
        </is>
      </c>
      <c r="B363" s="1" t="n">
        <v>45909</v>
      </c>
      <c r="C363" s="1" t="n">
        <v>45990</v>
      </c>
      <c r="D363" t="inlineStr">
        <is>
          <t>VÄSTMANLANDS LÄN</t>
        </is>
      </c>
      <c r="E363" t="inlineStr">
        <is>
          <t>SALA</t>
        </is>
      </c>
      <c r="G363" t="n">
        <v>3.2</v>
      </c>
      <c r="H363" t="n">
        <v>0</v>
      </c>
      <c r="I363" t="n">
        <v>0</v>
      </c>
      <c r="J363" t="n">
        <v>0</v>
      </c>
      <c r="K363" t="n">
        <v>0</v>
      </c>
      <c r="L363" t="n">
        <v>0</v>
      </c>
      <c r="M363" t="n">
        <v>0</v>
      </c>
      <c r="N363" t="n">
        <v>0</v>
      </c>
      <c r="O363" t="n">
        <v>0</v>
      </c>
      <c r="P363" t="n">
        <v>0</v>
      </c>
      <c r="Q363" t="n">
        <v>0</v>
      </c>
      <c r="R363" s="2" t="inlineStr"/>
    </row>
    <row r="364" ht="15" customHeight="1">
      <c r="A364" t="inlineStr">
        <is>
          <t>A 28696-2023</t>
        </is>
      </c>
      <c r="B364" s="1" t="n">
        <v>45103.71759259259</v>
      </c>
      <c r="C364" s="1" t="n">
        <v>45990</v>
      </c>
      <c r="D364" t="inlineStr">
        <is>
          <t>VÄSTMANLANDS LÄN</t>
        </is>
      </c>
      <c r="E364" t="inlineStr">
        <is>
          <t>SALA</t>
        </is>
      </c>
      <c r="F364" t="inlineStr">
        <is>
          <t>Kommuner</t>
        </is>
      </c>
      <c r="G364" t="n">
        <v>5.9</v>
      </c>
      <c r="H364" t="n">
        <v>0</v>
      </c>
      <c r="I364" t="n">
        <v>0</v>
      </c>
      <c r="J364" t="n">
        <v>0</v>
      </c>
      <c r="K364" t="n">
        <v>0</v>
      </c>
      <c r="L364" t="n">
        <v>0</v>
      </c>
      <c r="M364" t="n">
        <v>0</v>
      </c>
      <c r="N364" t="n">
        <v>0</v>
      </c>
      <c r="O364" t="n">
        <v>0</v>
      </c>
      <c r="P364" t="n">
        <v>0</v>
      </c>
      <c r="Q364" t="n">
        <v>0</v>
      </c>
      <c r="R364" s="2" t="inlineStr"/>
    </row>
    <row r="365" ht="15" customHeight="1">
      <c r="A365" t="inlineStr">
        <is>
          <t>A 53744-2025</t>
        </is>
      </c>
      <c r="B365" s="1" t="n">
        <v>45960.64863425926</v>
      </c>
      <c r="C365" s="1" t="n">
        <v>45990</v>
      </c>
      <c r="D365" t="inlineStr">
        <is>
          <t>VÄSTMANLANDS LÄN</t>
        </is>
      </c>
      <c r="E365" t="inlineStr">
        <is>
          <t>SALA</t>
        </is>
      </c>
      <c r="G365" t="n">
        <v>2</v>
      </c>
      <c r="H365" t="n">
        <v>0</v>
      </c>
      <c r="I365" t="n">
        <v>0</v>
      </c>
      <c r="J365" t="n">
        <v>0</v>
      </c>
      <c r="K365" t="n">
        <v>0</v>
      </c>
      <c r="L365" t="n">
        <v>0</v>
      </c>
      <c r="M365" t="n">
        <v>0</v>
      </c>
      <c r="N365" t="n">
        <v>0</v>
      </c>
      <c r="O365" t="n">
        <v>0</v>
      </c>
      <c r="P365" t="n">
        <v>0</v>
      </c>
      <c r="Q365" t="n">
        <v>0</v>
      </c>
      <c r="R365" s="2" t="inlineStr"/>
    </row>
    <row r="366" ht="15" customHeight="1">
      <c r="A366" t="inlineStr">
        <is>
          <t>A 6691-2025</t>
        </is>
      </c>
      <c r="B366" s="1" t="n">
        <v>45700.50625</v>
      </c>
      <c r="C366" s="1" t="n">
        <v>45990</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1934-2023</t>
        </is>
      </c>
      <c r="B367" s="1" t="n">
        <v>44939.43024305555</v>
      </c>
      <c r="C367" s="1" t="n">
        <v>45990</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35651-2025</t>
        </is>
      </c>
      <c r="B368" s="1" t="n">
        <v>45859.52435185185</v>
      </c>
      <c r="C368" s="1" t="n">
        <v>45990</v>
      </c>
      <c r="D368" t="inlineStr">
        <is>
          <t>VÄSTMANLANDS LÄN</t>
        </is>
      </c>
      <c r="E368" t="inlineStr">
        <is>
          <t>SALA</t>
        </is>
      </c>
      <c r="G368" t="n">
        <v>6.3</v>
      </c>
      <c r="H368" t="n">
        <v>0</v>
      </c>
      <c r="I368" t="n">
        <v>0</v>
      </c>
      <c r="J368" t="n">
        <v>0</v>
      </c>
      <c r="K368" t="n">
        <v>0</v>
      </c>
      <c r="L368" t="n">
        <v>0</v>
      </c>
      <c r="M368" t="n">
        <v>0</v>
      </c>
      <c r="N368" t="n">
        <v>0</v>
      </c>
      <c r="O368" t="n">
        <v>0</v>
      </c>
      <c r="P368" t="n">
        <v>0</v>
      </c>
      <c r="Q368" t="n">
        <v>0</v>
      </c>
      <c r="R368" s="2" t="inlineStr"/>
    </row>
    <row r="369" ht="15" customHeight="1">
      <c r="A369" t="inlineStr">
        <is>
          <t>A 35774-2025</t>
        </is>
      </c>
      <c r="B369" s="1" t="n">
        <v>45860.68780092592</v>
      </c>
      <c r="C369" s="1" t="n">
        <v>45990</v>
      </c>
      <c r="D369" t="inlineStr">
        <is>
          <t>VÄSTMANLANDS LÄN</t>
        </is>
      </c>
      <c r="E369" t="inlineStr">
        <is>
          <t>SALA</t>
        </is>
      </c>
      <c r="G369" t="n">
        <v>6.5</v>
      </c>
      <c r="H369" t="n">
        <v>0</v>
      </c>
      <c r="I369" t="n">
        <v>0</v>
      </c>
      <c r="J369" t="n">
        <v>0</v>
      </c>
      <c r="K369" t="n">
        <v>0</v>
      </c>
      <c r="L369" t="n">
        <v>0</v>
      </c>
      <c r="M369" t="n">
        <v>0</v>
      </c>
      <c r="N369" t="n">
        <v>0</v>
      </c>
      <c r="O369" t="n">
        <v>0</v>
      </c>
      <c r="P369" t="n">
        <v>0</v>
      </c>
      <c r="Q369" t="n">
        <v>0</v>
      </c>
      <c r="R369" s="2" t="inlineStr"/>
    </row>
    <row r="370" ht="15" customHeight="1">
      <c r="A370" t="inlineStr">
        <is>
          <t>A 53725-2025</t>
        </is>
      </c>
      <c r="B370" s="1" t="n">
        <v>45960.63394675926</v>
      </c>
      <c r="C370" s="1" t="n">
        <v>45990</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35519-2024</t>
        </is>
      </c>
      <c r="B371" s="1" t="n">
        <v>45531</v>
      </c>
      <c r="C371" s="1" t="n">
        <v>45990</v>
      </c>
      <c r="D371" t="inlineStr">
        <is>
          <t>VÄSTMANLANDS LÄN</t>
        </is>
      </c>
      <c r="E371" t="inlineStr">
        <is>
          <t>SALA</t>
        </is>
      </c>
      <c r="G371" t="n">
        <v>1.8</v>
      </c>
      <c r="H371" t="n">
        <v>0</v>
      </c>
      <c r="I371" t="n">
        <v>0</v>
      </c>
      <c r="J371" t="n">
        <v>0</v>
      </c>
      <c r="K371" t="n">
        <v>0</v>
      </c>
      <c r="L371" t="n">
        <v>0</v>
      </c>
      <c r="M371" t="n">
        <v>0</v>
      </c>
      <c r="N371" t="n">
        <v>0</v>
      </c>
      <c r="O371" t="n">
        <v>0</v>
      </c>
      <c r="P371" t="n">
        <v>0</v>
      </c>
      <c r="Q371" t="n">
        <v>0</v>
      </c>
      <c r="R371" s="2" t="inlineStr"/>
    </row>
    <row r="372" ht="15" customHeight="1">
      <c r="A372" t="inlineStr">
        <is>
          <t>A 54344-2025</t>
        </is>
      </c>
      <c r="B372" s="1" t="n">
        <v>45965.36462962963</v>
      </c>
      <c r="C372" s="1" t="n">
        <v>45990</v>
      </c>
      <c r="D372" t="inlineStr">
        <is>
          <t>VÄSTMANLANDS LÄN</t>
        </is>
      </c>
      <c r="E372" t="inlineStr">
        <is>
          <t>SALA</t>
        </is>
      </c>
      <c r="G372" t="n">
        <v>2</v>
      </c>
      <c r="H372" t="n">
        <v>0</v>
      </c>
      <c r="I372" t="n">
        <v>0</v>
      </c>
      <c r="J372" t="n">
        <v>0</v>
      </c>
      <c r="K372" t="n">
        <v>0</v>
      </c>
      <c r="L372" t="n">
        <v>0</v>
      </c>
      <c r="M372" t="n">
        <v>0</v>
      </c>
      <c r="N372" t="n">
        <v>0</v>
      </c>
      <c r="O372" t="n">
        <v>0</v>
      </c>
      <c r="P372" t="n">
        <v>0</v>
      </c>
      <c r="Q372" t="n">
        <v>0</v>
      </c>
      <c r="R372" s="2" t="inlineStr"/>
    </row>
    <row r="373" ht="15" customHeight="1">
      <c r="A373" t="inlineStr">
        <is>
          <t>A 36060-2025</t>
        </is>
      </c>
      <c r="B373" s="1" t="n">
        <v>45866.39469907407</v>
      </c>
      <c r="C373" s="1" t="n">
        <v>45990</v>
      </c>
      <c r="D373" t="inlineStr">
        <is>
          <t>VÄSTMANLANDS LÄN</t>
        </is>
      </c>
      <c r="E373" t="inlineStr">
        <is>
          <t>SALA</t>
        </is>
      </c>
      <c r="F373" t="inlineStr">
        <is>
          <t>Kommuner</t>
        </is>
      </c>
      <c r="G373" t="n">
        <v>4.3</v>
      </c>
      <c r="H373" t="n">
        <v>0</v>
      </c>
      <c r="I373" t="n">
        <v>0</v>
      </c>
      <c r="J373" t="n">
        <v>0</v>
      </c>
      <c r="K373" t="n">
        <v>0</v>
      </c>
      <c r="L373" t="n">
        <v>0</v>
      </c>
      <c r="M373" t="n">
        <v>0</v>
      </c>
      <c r="N373" t="n">
        <v>0</v>
      </c>
      <c r="O373" t="n">
        <v>0</v>
      </c>
      <c r="P373" t="n">
        <v>0</v>
      </c>
      <c r="Q373" t="n">
        <v>0</v>
      </c>
      <c r="R373" s="2" t="inlineStr"/>
    </row>
    <row r="374" ht="15" customHeight="1">
      <c r="A374" t="inlineStr">
        <is>
          <t>A 36031-2025</t>
        </is>
      </c>
      <c r="B374" s="1" t="n">
        <v>45865.46111111111</v>
      </c>
      <c r="C374" s="1" t="n">
        <v>45990</v>
      </c>
      <c r="D374" t="inlineStr">
        <is>
          <t>VÄSTMANLANDS LÄN</t>
        </is>
      </c>
      <c r="E374" t="inlineStr">
        <is>
          <t>SALA</t>
        </is>
      </c>
      <c r="G374" t="n">
        <v>7.2</v>
      </c>
      <c r="H374" t="n">
        <v>0</v>
      </c>
      <c r="I374" t="n">
        <v>0</v>
      </c>
      <c r="J374" t="n">
        <v>0</v>
      </c>
      <c r="K374" t="n">
        <v>0</v>
      </c>
      <c r="L374" t="n">
        <v>0</v>
      </c>
      <c r="M374" t="n">
        <v>0</v>
      </c>
      <c r="N374" t="n">
        <v>0</v>
      </c>
      <c r="O374" t="n">
        <v>0</v>
      </c>
      <c r="P374" t="n">
        <v>0</v>
      </c>
      <c r="Q374" t="n">
        <v>0</v>
      </c>
      <c r="R374" s="2" t="inlineStr"/>
    </row>
    <row r="375" ht="15" customHeight="1">
      <c r="A375" t="inlineStr">
        <is>
          <t>A 36043-2025</t>
        </is>
      </c>
      <c r="B375" s="1" t="n">
        <v>45866.35333333333</v>
      </c>
      <c r="C375" s="1" t="n">
        <v>45990</v>
      </c>
      <c r="D375" t="inlineStr">
        <is>
          <t>VÄSTMANLANDS LÄN</t>
        </is>
      </c>
      <c r="E375" t="inlineStr">
        <is>
          <t>SALA</t>
        </is>
      </c>
      <c r="F375" t="inlineStr">
        <is>
          <t>Kommuner</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36032-2025</t>
        </is>
      </c>
      <c r="B376" s="1" t="n">
        <v>45865.48740740741</v>
      </c>
      <c r="C376" s="1" t="n">
        <v>45990</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50241-2023</t>
        </is>
      </c>
      <c r="B377" s="1" t="n">
        <v>45216</v>
      </c>
      <c r="C377" s="1" t="n">
        <v>45990</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36049-2025</t>
        </is>
      </c>
      <c r="B378" s="1" t="n">
        <v>45866.37065972222</v>
      </c>
      <c r="C378" s="1" t="n">
        <v>45990</v>
      </c>
      <c r="D378" t="inlineStr">
        <is>
          <t>VÄSTMANLANDS LÄN</t>
        </is>
      </c>
      <c r="E378" t="inlineStr">
        <is>
          <t>SALA</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30971-2022</t>
        </is>
      </c>
      <c r="B379" s="1" t="n">
        <v>44768.46725694444</v>
      </c>
      <c r="C379" s="1" t="n">
        <v>45990</v>
      </c>
      <c r="D379" t="inlineStr">
        <is>
          <t>VÄSTMANLANDS LÄN</t>
        </is>
      </c>
      <c r="E379" t="inlineStr">
        <is>
          <t>SALA</t>
        </is>
      </c>
      <c r="G379" t="n">
        <v>2.4</v>
      </c>
      <c r="H379" t="n">
        <v>0</v>
      </c>
      <c r="I379" t="n">
        <v>0</v>
      </c>
      <c r="J379" t="n">
        <v>0</v>
      </c>
      <c r="K379" t="n">
        <v>0</v>
      </c>
      <c r="L379" t="n">
        <v>0</v>
      </c>
      <c r="M379" t="n">
        <v>0</v>
      </c>
      <c r="N379" t="n">
        <v>0</v>
      </c>
      <c r="O379" t="n">
        <v>0</v>
      </c>
      <c r="P379" t="n">
        <v>0</v>
      </c>
      <c r="Q379" t="n">
        <v>0</v>
      </c>
      <c r="R379" s="2" t="inlineStr"/>
    </row>
    <row r="380" ht="15" customHeight="1">
      <c r="A380" t="inlineStr">
        <is>
          <t>A 54590-2025</t>
        </is>
      </c>
      <c r="B380" s="1" t="n">
        <v>45965.74199074074</v>
      </c>
      <c r="C380" s="1" t="n">
        <v>45990</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35637-2022</t>
        </is>
      </c>
      <c r="B381" s="1" t="n">
        <v>44799.55194444444</v>
      </c>
      <c r="C381" s="1" t="n">
        <v>45990</v>
      </c>
      <c r="D381" t="inlineStr">
        <is>
          <t>VÄSTMANLANDS LÄN</t>
        </is>
      </c>
      <c r="E381" t="inlineStr">
        <is>
          <t>SALA</t>
        </is>
      </c>
      <c r="G381" t="n">
        <v>1</v>
      </c>
      <c r="H381" t="n">
        <v>0</v>
      </c>
      <c r="I381" t="n">
        <v>0</v>
      </c>
      <c r="J381" t="n">
        <v>0</v>
      </c>
      <c r="K381" t="n">
        <v>0</v>
      </c>
      <c r="L381" t="n">
        <v>0</v>
      </c>
      <c r="M381" t="n">
        <v>0</v>
      </c>
      <c r="N381" t="n">
        <v>0</v>
      </c>
      <c r="O381" t="n">
        <v>0</v>
      </c>
      <c r="P381" t="n">
        <v>0</v>
      </c>
      <c r="Q381" t="n">
        <v>0</v>
      </c>
      <c r="R381" s="2" t="inlineStr"/>
    </row>
    <row r="382" ht="15" customHeight="1">
      <c r="A382" t="inlineStr">
        <is>
          <t>A 19304-2025</t>
        </is>
      </c>
      <c r="B382" s="1" t="n">
        <v>45769</v>
      </c>
      <c r="C382" s="1" t="n">
        <v>45990</v>
      </c>
      <c r="D382" t="inlineStr">
        <is>
          <t>VÄSTMANLANDS LÄN</t>
        </is>
      </c>
      <c r="E382" t="inlineStr">
        <is>
          <t>SALA</t>
        </is>
      </c>
      <c r="F382" t="inlineStr">
        <is>
          <t>Bergvik skog öst AB</t>
        </is>
      </c>
      <c r="G382" t="n">
        <v>1.3</v>
      </c>
      <c r="H382" t="n">
        <v>0</v>
      </c>
      <c r="I382" t="n">
        <v>0</v>
      </c>
      <c r="J382" t="n">
        <v>0</v>
      </c>
      <c r="K382" t="n">
        <v>0</v>
      </c>
      <c r="L382" t="n">
        <v>0</v>
      </c>
      <c r="M382" t="n">
        <v>0</v>
      </c>
      <c r="N382" t="n">
        <v>0</v>
      </c>
      <c r="O382" t="n">
        <v>0</v>
      </c>
      <c r="P382" t="n">
        <v>0</v>
      </c>
      <c r="Q382" t="n">
        <v>0</v>
      </c>
      <c r="R382" s="2" t="inlineStr"/>
    </row>
    <row r="383" ht="15" customHeight="1">
      <c r="A383" t="inlineStr">
        <is>
          <t>A 54201-2025</t>
        </is>
      </c>
      <c r="B383" s="1" t="n">
        <v>45964.58055555556</v>
      </c>
      <c r="C383" s="1" t="n">
        <v>45990</v>
      </c>
      <c r="D383" t="inlineStr">
        <is>
          <t>VÄSTMANLANDS LÄN</t>
        </is>
      </c>
      <c r="E383" t="inlineStr">
        <is>
          <t>SALA</t>
        </is>
      </c>
      <c r="G383" t="n">
        <v>1.7</v>
      </c>
      <c r="H383" t="n">
        <v>0</v>
      </c>
      <c r="I383" t="n">
        <v>0</v>
      </c>
      <c r="J383" t="n">
        <v>0</v>
      </c>
      <c r="K383" t="n">
        <v>0</v>
      </c>
      <c r="L383" t="n">
        <v>0</v>
      </c>
      <c r="M383" t="n">
        <v>0</v>
      </c>
      <c r="N383" t="n">
        <v>0</v>
      </c>
      <c r="O383" t="n">
        <v>0</v>
      </c>
      <c r="P383" t="n">
        <v>0</v>
      </c>
      <c r="Q383" t="n">
        <v>0</v>
      </c>
      <c r="R383" s="2" t="inlineStr"/>
    </row>
    <row r="384" ht="15" customHeight="1">
      <c r="A384" t="inlineStr">
        <is>
          <t>A 27038-2023</t>
        </is>
      </c>
      <c r="B384" s="1" t="n">
        <v>45095</v>
      </c>
      <c r="C384" s="1" t="n">
        <v>45990</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36045-2025</t>
        </is>
      </c>
      <c r="B385" s="1" t="n">
        <v>45866.36200231482</v>
      </c>
      <c r="C385" s="1" t="n">
        <v>45990</v>
      </c>
      <c r="D385" t="inlineStr">
        <is>
          <t>VÄSTMANLANDS LÄN</t>
        </is>
      </c>
      <c r="E385" t="inlineStr">
        <is>
          <t>SALA</t>
        </is>
      </c>
      <c r="F385" t="inlineStr">
        <is>
          <t>Kommuner</t>
        </is>
      </c>
      <c r="G385" t="n">
        <v>1.7</v>
      </c>
      <c r="H385" t="n">
        <v>0</v>
      </c>
      <c r="I385" t="n">
        <v>0</v>
      </c>
      <c r="J385" t="n">
        <v>0</v>
      </c>
      <c r="K385" t="n">
        <v>0</v>
      </c>
      <c r="L385" t="n">
        <v>0</v>
      </c>
      <c r="M385" t="n">
        <v>0</v>
      </c>
      <c r="N385" t="n">
        <v>0</v>
      </c>
      <c r="O385" t="n">
        <v>0</v>
      </c>
      <c r="P385" t="n">
        <v>0</v>
      </c>
      <c r="Q385" t="n">
        <v>0</v>
      </c>
      <c r="R385" s="2" t="inlineStr"/>
    </row>
    <row r="386" ht="15" customHeight="1">
      <c r="A386" t="inlineStr">
        <is>
          <t>A 45371-2025</t>
        </is>
      </c>
      <c r="B386" s="1" t="n">
        <v>45922.39001157408</v>
      </c>
      <c r="C386" s="1" t="n">
        <v>45990</v>
      </c>
      <c r="D386" t="inlineStr">
        <is>
          <t>VÄSTMANLANDS LÄN</t>
        </is>
      </c>
      <c r="E386" t="inlineStr">
        <is>
          <t>SALA</t>
        </is>
      </c>
      <c r="G386" t="n">
        <v>2.1</v>
      </c>
      <c r="H386" t="n">
        <v>0</v>
      </c>
      <c r="I386" t="n">
        <v>0</v>
      </c>
      <c r="J386" t="n">
        <v>0</v>
      </c>
      <c r="K386" t="n">
        <v>0</v>
      </c>
      <c r="L386" t="n">
        <v>0</v>
      </c>
      <c r="M386" t="n">
        <v>0</v>
      </c>
      <c r="N386" t="n">
        <v>0</v>
      </c>
      <c r="O386" t="n">
        <v>0</v>
      </c>
      <c r="P386" t="n">
        <v>0</v>
      </c>
      <c r="Q386" t="n">
        <v>0</v>
      </c>
      <c r="R386" s="2" t="inlineStr"/>
    </row>
    <row r="387" ht="15" customHeight="1">
      <c r="A387" t="inlineStr">
        <is>
          <t>A 23182-2022</t>
        </is>
      </c>
      <c r="B387" s="1" t="n">
        <v>44719.79707175926</v>
      </c>
      <c r="C387" s="1" t="n">
        <v>45990</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17766-2025</t>
        </is>
      </c>
      <c r="B388" s="1" t="n">
        <v>45758</v>
      </c>
      <c r="C388" s="1" t="n">
        <v>45990</v>
      </c>
      <c r="D388" t="inlineStr">
        <is>
          <t>VÄSTMANLANDS LÄN</t>
        </is>
      </c>
      <c r="E388" t="inlineStr">
        <is>
          <t>SALA</t>
        </is>
      </c>
      <c r="G388" t="n">
        <v>16.5</v>
      </c>
      <c r="H388" t="n">
        <v>0</v>
      </c>
      <c r="I388" t="n">
        <v>0</v>
      </c>
      <c r="J388" t="n">
        <v>0</v>
      </c>
      <c r="K388" t="n">
        <v>0</v>
      </c>
      <c r="L388" t="n">
        <v>0</v>
      </c>
      <c r="M388" t="n">
        <v>0</v>
      </c>
      <c r="N388" t="n">
        <v>0</v>
      </c>
      <c r="O388" t="n">
        <v>0</v>
      </c>
      <c r="P388" t="n">
        <v>0</v>
      </c>
      <c r="Q388" t="n">
        <v>0</v>
      </c>
      <c r="R388" s="2" t="inlineStr"/>
    </row>
    <row r="389" ht="15" customHeight="1">
      <c r="A389" t="inlineStr">
        <is>
          <t>A 31863-2025</t>
        </is>
      </c>
      <c r="B389" s="1" t="n">
        <v>45834.63303240741</v>
      </c>
      <c r="C389" s="1" t="n">
        <v>45990</v>
      </c>
      <c r="D389" t="inlineStr">
        <is>
          <t>VÄSTMANLANDS LÄN</t>
        </is>
      </c>
      <c r="E389" t="inlineStr">
        <is>
          <t>SALA</t>
        </is>
      </c>
      <c r="G389" t="n">
        <v>2.5</v>
      </c>
      <c r="H389" t="n">
        <v>0</v>
      </c>
      <c r="I389" t="n">
        <v>0</v>
      </c>
      <c r="J389" t="n">
        <v>0</v>
      </c>
      <c r="K389" t="n">
        <v>0</v>
      </c>
      <c r="L389" t="n">
        <v>0</v>
      </c>
      <c r="M389" t="n">
        <v>0</v>
      </c>
      <c r="N389" t="n">
        <v>0</v>
      </c>
      <c r="O389" t="n">
        <v>0</v>
      </c>
      <c r="P389" t="n">
        <v>0</v>
      </c>
      <c r="Q389" t="n">
        <v>0</v>
      </c>
      <c r="R389" s="2" t="inlineStr"/>
    </row>
    <row r="390" ht="15" customHeight="1">
      <c r="A390" t="inlineStr">
        <is>
          <t>A 31859-2023</t>
        </is>
      </c>
      <c r="B390" s="1" t="n">
        <v>45118</v>
      </c>
      <c r="C390" s="1" t="n">
        <v>45990</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c r="U390">
        <f>HYPERLINK("https://klasma.github.io/Logging_1981/knärot/A 31859-2023 karta knärot.png", "A 31859-2023")</f>
        <v/>
      </c>
      <c r="V390">
        <f>HYPERLINK("https://klasma.github.io/Logging_1981/klagomål/A 31859-2023 FSC-klagomål.docx", "A 31859-2023")</f>
        <v/>
      </c>
      <c r="W390">
        <f>HYPERLINK("https://klasma.github.io/Logging_1981/klagomålsmail/A 31859-2023 FSC-klagomål mail.docx", "A 31859-2023")</f>
        <v/>
      </c>
      <c r="X390">
        <f>HYPERLINK("https://klasma.github.io/Logging_1981/tillsyn/A 31859-2023 tillsynsbegäran.docx", "A 31859-2023")</f>
        <v/>
      </c>
      <c r="Y390">
        <f>HYPERLINK("https://klasma.github.io/Logging_1981/tillsynsmail/A 31859-2023 tillsynsbegäran mail.docx", "A 31859-2023")</f>
        <v/>
      </c>
    </row>
    <row r="391" ht="15" customHeight="1">
      <c r="A391" t="inlineStr">
        <is>
          <t>A 7469-2025</t>
        </is>
      </c>
      <c r="B391" s="1" t="n">
        <v>45705</v>
      </c>
      <c r="C391" s="1" t="n">
        <v>45990</v>
      </c>
      <c r="D391" t="inlineStr">
        <is>
          <t>VÄSTMANLANDS LÄN</t>
        </is>
      </c>
      <c r="E391" t="inlineStr">
        <is>
          <t>SALA</t>
        </is>
      </c>
      <c r="G391" t="n">
        <v>2.1</v>
      </c>
      <c r="H391" t="n">
        <v>0</v>
      </c>
      <c r="I391" t="n">
        <v>0</v>
      </c>
      <c r="J391" t="n">
        <v>0</v>
      </c>
      <c r="K391" t="n">
        <v>0</v>
      </c>
      <c r="L391" t="n">
        <v>0</v>
      </c>
      <c r="M391" t="n">
        <v>0</v>
      </c>
      <c r="N391" t="n">
        <v>0</v>
      </c>
      <c r="O391" t="n">
        <v>0</v>
      </c>
      <c r="P391" t="n">
        <v>0</v>
      </c>
      <c r="Q391" t="n">
        <v>0</v>
      </c>
      <c r="R391" s="2" t="inlineStr"/>
    </row>
    <row r="392" ht="15" customHeight="1">
      <c r="A392" t="inlineStr">
        <is>
          <t>A 3546-2025</t>
        </is>
      </c>
      <c r="B392" s="1" t="n">
        <v>45680</v>
      </c>
      <c r="C392" s="1" t="n">
        <v>45990</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31869-2025</t>
        </is>
      </c>
      <c r="B393" s="1" t="n">
        <v>45834.64555555556</v>
      </c>
      <c r="C393" s="1" t="n">
        <v>45990</v>
      </c>
      <c r="D393" t="inlineStr">
        <is>
          <t>VÄSTMANLANDS LÄN</t>
        </is>
      </c>
      <c r="E393" t="inlineStr">
        <is>
          <t>SALA</t>
        </is>
      </c>
      <c r="G393" t="n">
        <v>17.5</v>
      </c>
      <c r="H393" t="n">
        <v>0</v>
      </c>
      <c r="I393" t="n">
        <v>0</v>
      </c>
      <c r="J393" t="n">
        <v>0</v>
      </c>
      <c r="K393" t="n">
        <v>0</v>
      </c>
      <c r="L393" t="n">
        <v>0</v>
      </c>
      <c r="M393" t="n">
        <v>0</v>
      </c>
      <c r="N393" t="n">
        <v>0</v>
      </c>
      <c r="O393" t="n">
        <v>0</v>
      </c>
      <c r="P393" t="n">
        <v>0</v>
      </c>
      <c r="Q393" t="n">
        <v>0</v>
      </c>
      <c r="R393" s="2" t="inlineStr"/>
    </row>
    <row r="394" ht="15" customHeight="1">
      <c r="A394" t="inlineStr">
        <is>
          <t>A 60034-2024</t>
        </is>
      </c>
      <c r="B394" s="1" t="n">
        <v>45642.46261574074</v>
      </c>
      <c r="C394" s="1" t="n">
        <v>45990</v>
      </c>
      <c r="D394" t="inlineStr">
        <is>
          <t>VÄSTMANLANDS LÄN</t>
        </is>
      </c>
      <c r="E394" t="inlineStr">
        <is>
          <t>SALA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7664-2023</t>
        </is>
      </c>
      <c r="B395" s="1" t="n">
        <v>44972</v>
      </c>
      <c r="C395" s="1" t="n">
        <v>45990</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54893-2025</t>
        </is>
      </c>
      <c r="B396" s="1" t="n">
        <v>45967.36383101852</v>
      </c>
      <c r="C396" s="1" t="n">
        <v>45990</v>
      </c>
      <c r="D396" t="inlineStr">
        <is>
          <t>VÄSTMANLANDS LÄN</t>
        </is>
      </c>
      <c r="E396" t="inlineStr">
        <is>
          <t>SALA</t>
        </is>
      </c>
      <c r="G396" t="n">
        <v>0.7</v>
      </c>
      <c r="H396" t="n">
        <v>0</v>
      </c>
      <c r="I396" t="n">
        <v>0</v>
      </c>
      <c r="J396" t="n">
        <v>0</v>
      </c>
      <c r="K396" t="n">
        <v>0</v>
      </c>
      <c r="L396" t="n">
        <v>0</v>
      </c>
      <c r="M396" t="n">
        <v>0</v>
      </c>
      <c r="N396" t="n">
        <v>0</v>
      </c>
      <c r="O396" t="n">
        <v>0</v>
      </c>
      <c r="P396" t="n">
        <v>0</v>
      </c>
      <c r="Q396" t="n">
        <v>0</v>
      </c>
      <c r="R396" s="2" t="inlineStr"/>
    </row>
    <row r="397" ht="15" customHeight="1">
      <c r="A397" t="inlineStr">
        <is>
          <t>A 45914-2025</t>
        </is>
      </c>
      <c r="B397" s="1" t="n">
        <v>45923.82582175926</v>
      </c>
      <c r="C397" s="1" t="n">
        <v>45990</v>
      </c>
      <c r="D397" t="inlineStr">
        <is>
          <t>VÄSTMANLANDS LÄN</t>
        </is>
      </c>
      <c r="E397" t="inlineStr">
        <is>
          <t>SALA</t>
        </is>
      </c>
      <c r="F397" t="inlineStr">
        <is>
          <t>Kommuner</t>
        </is>
      </c>
      <c r="G397" t="n">
        <v>18.2</v>
      </c>
      <c r="H397" t="n">
        <v>0</v>
      </c>
      <c r="I397" t="n">
        <v>0</v>
      </c>
      <c r="J397" t="n">
        <v>0</v>
      </c>
      <c r="K397" t="n">
        <v>0</v>
      </c>
      <c r="L397" t="n">
        <v>0</v>
      </c>
      <c r="M397" t="n">
        <v>0</v>
      </c>
      <c r="N397" t="n">
        <v>0</v>
      </c>
      <c r="O397" t="n">
        <v>0</v>
      </c>
      <c r="P397" t="n">
        <v>0</v>
      </c>
      <c r="Q397" t="n">
        <v>0</v>
      </c>
      <c r="R397" s="2" t="inlineStr"/>
    </row>
    <row r="398" ht="15" customHeight="1">
      <c r="A398" t="inlineStr">
        <is>
          <t>A 17985-2025</t>
        </is>
      </c>
      <c r="B398" s="1" t="n">
        <v>45761</v>
      </c>
      <c r="C398" s="1" t="n">
        <v>45990</v>
      </c>
      <c r="D398" t="inlineStr">
        <is>
          <t>VÄSTMANLANDS LÄN</t>
        </is>
      </c>
      <c r="E398" t="inlineStr">
        <is>
          <t>SALA</t>
        </is>
      </c>
      <c r="G398" t="n">
        <v>12.5</v>
      </c>
      <c r="H398" t="n">
        <v>0</v>
      </c>
      <c r="I398" t="n">
        <v>0</v>
      </c>
      <c r="J398" t="n">
        <v>0</v>
      </c>
      <c r="K398" t="n">
        <v>0</v>
      </c>
      <c r="L398" t="n">
        <v>0</v>
      </c>
      <c r="M398" t="n">
        <v>0</v>
      </c>
      <c r="N398" t="n">
        <v>0</v>
      </c>
      <c r="O398" t="n">
        <v>0</v>
      </c>
      <c r="P398" t="n">
        <v>0</v>
      </c>
      <c r="Q398" t="n">
        <v>0</v>
      </c>
      <c r="R398" s="2" t="inlineStr"/>
    </row>
    <row r="399" ht="15" customHeight="1">
      <c r="A399" t="inlineStr">
        <is>
          <t>A 37103-2025</t>
        </is>
      </c>
      <c r="B399" s="1" t="n">
        <v>45875.47743055555</v>
      </c>
      <c r="C399" s="1" t="n">
        <v>45990</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34867-2023</t>
        </is>
      </c>
      <c r="B400" s="1" t="n">
        <v>45142.33481481481</v>
      </c>
      <c r="C400" s="1" t="n">
        <v>45990</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45909-2025</t>
        </is>
      </c>
      <c r="B401" s="1" t="n">
        <v>45923.75078703704</v>
      </c>
      <c r="C401" s="1" t="n">
        <v>45990</v>
      </c>
      <c r="D401" t="inlineStr">
        <is>
          <t>VÄSTMANLANDS LÄN</t>
        </is>
      </c>
      <c r="E401" t="inlineStr">
        <is>
          <t>SALA</t>
        </is>
      </c>
      <c r="G401" t="n">
        <v>1.4</v>
      </c>
      <c r="H401" t="n">
        <v>0</v>
      </c>
      <c r="I401" t="n">
        <v>0</v>
      </c>
      <c r="J401" t="n">
        <v>0</v>
      </c>
      <c r="K401" t="n">
        <v>0</v>
      </c>
      <c r="L401" t="n">
        <v>0</v>
      </c>
      <c r="M401" t="n">
        <v>0</v>
      </c>
      <c r="N401" t="n">
        <v>0</v>
      </c>
      <c r="O401" t="n">
        <v>0</v>
      </c>
      <c r="P401" t="n">
        <v>0</v>
      </c>
      <c r="Q401" t="n">
        <v>0</v>
      </c>
      <c r="R401" s="2" t="inlineStr"/>
    </row>
    <row r="402" ht="15" customHeight="1">
      <c r="A402" t="inlineStr">
        <is>
          <t>A 37017-2025</t>
        </is>
      </c>
      <c r="B402" s="1" t="n">
        <v>45874</v>
      </c>
      <c r="C402" s="1" t="n">
        <v>45990</v>
      </c>
      <c r="D402" t="inlineStr">
        <is>
          <t>VÄSTMANLANDS LÄN</t>
        </is>
      </c>
      <c r="E402" t="inlineStr">
        <is>
          <t>SALA</t>
        </is>
      </c>
      <c r="G402" t="n">
        <v>11.1</v>
      </c>
      <c r="H402" t="n">
        <v>0</v>
      </c>
      <c r="I402" t="n">
        <v>0</v>
      </c>
      <c r="J402" t="n">
        <v>0</v>
      </c>
      <c r="K402" t="n">
        <v>0</v>
      </c>
      <c r="L402" t="n">
        <v>0</v>
      </c>
      <c r="M402" t="n">
        <v>0</v>
      </c>
      <c r="N402" t="n">
        <v>0</v>
      </c>
      <c r="O402" t="n">
        <v>0</v>
      </c>
      <c r="P402" t="n">
        <v>0</v>
      </c>
      <c r="Q402" t="n">
        <v>0</v>
      </c>
      <c r="R402" s="2" t="inlineStr"/>
    </row>
    <row r="403" ht="15" customHeight="1">
      <c r="A403" t="inlineStr">
        <is>
          <t>A 11631-2023</t>
        </is>
      </c>
      <c r="B403" s="1" t="n">
        <v>44994.44001157407</v>
      </c>
      <c r="C403" s="1" t="n">
        <v>45990</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37246-2025</t>
        </is>
      </c>
      <c r="B404" s="1" t="n">
        <v>45876.39435185185</v>
      </c>
      <c r="C404" s="1" t="n">
        <v>45990</v>
      </c>
      <c r="D404" t="inlineStr">
        <is>
          <t>VÄSTMANLANDS LÄN</t>
        </is>
      </c>
      <c r="E404" t="inlineStr">
        <is>
          <t>SALA</t>
        </is>
      </c>
      <c r="G404" t="n">
        <v>2.3</v>
      </c>
      <c r="H404" t="n">
        <v>0</v>
      </c>
      <c r="I404" t="n">
        <v>0</v>
      </c>
      <c r="J404" t="n">
        <v>0</v>
      </c>
      <c r="K404" t="n">
        <v>0</v>
      </c>
      <c r="L404" t="n">
        <v>0</v>
      </c>
      <c r="M404" t="n">
        <v>0</v>
      </c>
      <c r="N404" t="n">
        <v>0</v>
      </c>
      <c r="O404" t="n">
        <v>0</v>
      </c>
      <c r="P404" t="n">
        <v>0</v>
      </c>
      <c r="Q404" t="n">
        <v>0</v>
      </c>
      <c r="R404" s="2" t="inlineStr"/>
    </row>
    <row r="405" ht="15" customHeight="1">
      <c r="A405" t="inlineStr">
        <is>
          <t>A 46915-2025</t>
        </is>
      </c>
      <c r="B405" s="1" t="n">
        <v>45929.42114583333</v>
      </c>
      <c r="C405" s="1" t="n">
        <v>45990</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8775-2024</t>
        </is>
      </c>
      <c r="B406" s="1" t="n">
        <v>45356</v>
      </c>
      <c r="C406" s="1" t="n">
        <v>45990</v>
      </c>
      <c r="D406" t="inlineStr">
        <is>
          <t>VÄSTMANLANDS LÄN</t>
        </is>
      </c>
      <c r="E406" t="inlineStr">
        <is>
          <t>SALA</t>
        </is>
      </c>
      <c r="G406" t="n">
        <v>0.6</v>
      </c>
      <c r="H406" t="n">
        <v>0</v>
      </c>
      <c r="I406" t="n">
        <v>0</v>
      </c>
      <c r="J406" t="n">
        <v>0</v>
      </c>
      <c r="K406" t="n">
        <v>0</v>
      </c>
      <c r="L406" t="n">
        <v>0</v>
      </c>
      <c r="M406" t="n">
        <v>0</v>
      </c>
      <c r="N406" t="n">
        <v>0</v>
      </c>
      <c r="O406" t="n">
        <v>0</v>
      </c>
      <c r="P406" t="n">
        <v>0</v>
      </c>
      <c r="Q406" t="n">
        <v>0</v>
      </c>
      <c r="R406" s="2" t="inlineStr"/>
    </row>
    <row r="407" ht="15" customHeight="1">
      <c r="A407" t="inlineStr">
        <is>
          <t>A 37590-2025</t>
        </is>
      </c>
      <c r="B407" s="1" t="n">
        <v>45880.41138888889</v>
      </c>
      <c r="C407" s="1" t="n">
        <v>45990</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37593-2025</t>
        </is>
      </c>
      <c r="B408" s="1" t="n">
        <v>45880.41325231481</v>
      </c>
      <c r="C408" s="1" t="n">
        <v>45990</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48710-2024</t>
        </is>
      </c>
      <c r="B409" s="1" t="n">
        <v>45593.53636574074</v>
      </c>
      <c r="C409" s="1" t="n">
        <v>45990</v>
      </c>
      <c r="D409" t="inlineStr">
        <is>
          <t>VÄSTMANLANDS LÄN</t>
        </is>
      </c>
      <c r="E409" t="inlineStr">
        <is>
          <t>SALA</t>
        </is>
      </c>
      <c r="G409" t="n">
        <v>6.5</v>
      </c>
      <c r="H409" t="n">
        <v>0</v>
      </c>
      <c r="I409" t="n">
        <v>0</v>
      </c>
      <c r="J409" t="n">
        <v>0</v>
      </c>
      <c r="K409" t="n">
        <v>0</v>
      </c>
      <c r="L409" t="n">
        <v>0</v>
      </c>
      <c r="M409" t="n">
        <v>0</v>
      </c>
      <c r="N409" t="n">
        <v>0</v>
      </c>
      <c r="O409" t="n">
        <v>0</v>
      </c>
      <c r="P409" t="n">
        <v>0</v>
      </c>
      <c r="Q409" t="n">
        <v>0</v>
      </c>
      <c r="R409" s="2" t="inlineStr"/>
    </row>
    <row r="410" ht="15" customHeight="1">
      <c r="A410" t="inlineStr">
        <is>
          <t>A 16404-2022</t>
        </is>
      </c>
      <c r="B410" s="1" t="n">
        <v>44671</v>
      </c>
      <c r="C410" s="1" t="n">
        <v>45990</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17722-2025</t>
        </is>
      </c>
      <c r="B411" s="1" t="n">
        <v>45758</v>
      </c>
      <c r="C411" s="1" t="n">
        <v>45990</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24248-2023</t>
        </is>
      </c>
      <c r="B412" s="1" t="n">
        <v>45079</v>
      </c>
      <c r="C412" s="1" t="n">
        <v>45990</v>
      </c>
      <c r="D412" t="inlineStr">
        <is>
          <t>VÄSTMANLANDS LÄN</t>
        </is>
      </c>
      <c r="E412" t="inlineStr">
        <is>
          <t>SALA</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38294-2025</t>
        </is>
      </c>
      <c r="B413" s="1" t="n">
        <v>45883.44854166666</v>
      </c>
      <c r="C413" s="1" t="n">
        <v>45990</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46597-2025</t>
        </is>
      </c>
      <c r="B414" s="1" t="n">
        <v>45926.40113425926</v>
      </c>
      <c r="C414" s="1" t="n">
        <v>45990</v>
      </c>
      <c r="D414" t="inlineStr">
        <is>
          <t>VÄSTMANLANDS LÄN</t>
        </is>
      </c>
      <c r="E414" t="inlineStr">
        <is>
          <t>SALA</t>
        </is>
      </c>
      <c r="G414" t="n">
        <v>3.4</v>
      </c>
      <c r="H414" t="n">
        <v>0</v>
      </c>
      <c r="I414" t="n">
        <v>0</v>
      </c>
      <c r="J414" t="n">
        <v>0</v>
      </c>
      <c r="K414" t="n">
        <v>0</v>
      </c>
      <c r="L414" t="n">
        <v>0</v>
      </c>
      <c r="M414" t="n">
        <v>0</v>
      </c>
      <c r="N414" t="n">
        <v>0</v>
      </c>
      <c r="O414" t="n">
        <v>0</v>
      </c>
      <c r="P414" t="n">
        <v>0</v>
      </c>
      <c r="Q414" t="n">
        <v>0</v>
      </c>
      <c r="R414" s="2" t="inlineStr"/>
    </row>
    <row r="415" ht="15" customHeight="1">
      <c r="A415" t="inlineStr">
        <is>
          <t>A 43359-2024</t>
        </is>
      </c>
      <c r="B415" s="1" t="n">
        <v>45568.57724537037</v>
      </c>
      <c r="C415" s="1" t="n">
        <v>45990</v>
      </c>
      <c r="D415" t="inlineStr">
        <is>
          <t>VÄSTMANLANDS LÄN</t>
        </is>
      </c>
      <c r="E415" t="inlineStr">
        <is>
          <t>SALA</t>
        </is>
      </c>
      <c r="G415" t="n">
        <v>1.6</v>
      </c>
      <c r="H415" t="n">
        <v>0</v>
      </c>
      <c r="I415" t="n">
        <v>0</v>
      </c>
      <c r="J415" t="n">
        <v>0</v>
      </c>
      <c r="K415" t="n">
        <v>0</v>
      </c>
      <c r="L415" t="n">
        <v>0</v>
      </c>
      <c r="M415" t="n">
        <v>0</v>
      </c>
      <c r="N415" t="n">
        <v>0</v>
      </c>
      <c r="O415" t="n">
        <v>0</v>
      </c>
      <c r="P415" t="n">
        <v>0</v>
      </c>
      <c r="Q415" t="n">
        <v>0</v>
      </c>
      <c r="R415" s="2" t="inlineStr"/>
    </row>
    <row r="416" ht="15" customHeight="1">
      <c r="A416" t="inlineStr">
        <is>
          <t>A 29972-2025</t>
        </is>
      </c>
      <c r="B416" s="1" t="n">
        <v>45826</v>
      </c>
      <c r="C416" s="1" t="n">
        <v>45990</v>
      </c>
      <c r="D416" t="inlineStr">
        <is>
          <t>VÄSTMANLANDS LÄN</t>
        </is>
      </c>
      <c r="E416" t="inlineStr">
        <is>
          <t>SALA</t>
        </is>
      </c>
      <c r="G416" t="n">
        <v>2.7</v>
      </c>
      <c r="H416" t="n">
        <v>0</v>
      </c>
      <c r="I416" t="n">
        <v>0</v>
      </c>
      <c r="J416" t="n">
        <v>0</v>
      </c>
      <c r="K416" t="n">
        <v>0</v>
      </c>
      <c r="L416" t="n">
        <v>0</v>
      </c>
      <c r="M416" t="n">
        <v>0</v>
      </c>
      <c r="N416" t="n">
        <v>0</v>
      </c>
      <c r="O416" t="n">
        <v>0</v>
      </c>
      <c r="P416" t="n">
        <v>0</v>
      </c>
      <c r="Q416" t="n">
        <v>0</v>
      </c>
      <c r="R416" s="2" t="inlineStr"/>
    </row>
    <row r="417" ht="15" customHeight="1">
      <c r="A417" t="inlineStr">
        <is>
          <t>A 10559-2024</t>
        </is>
      </c>
      <c r="B417" s="1" t="n">
        <v>45366</v>
      </c>
      <c r="C417" s="1" t="n">
        <v>45990</v>
      </c>
      <c r="D417" t="inlineStr">
        <is>
          <t>VÄSTMANLANDS LÄN</t>
        </is>
      </c>
      <c r="E417" t="inlineStr">
        <is>
          <t>SALA</t>
        </is>
      </c>
      <c r="G417" t="n">
        <v>0.3</v>
      </c>
      <c r="H417" t="n">
        <v>0</v>
      </c>
      <c r="I417" t="n">
        <v>0</v>
      </c>
      <c r="J417" t="n">
        <v>0</v>
      </c>
      <c r="K417" t="n">
        <v>0</v>
      </c>
      <c r="L417" t="n">
        <v>0</v>
      </c>
      <c r="M417" t="n">
        <v>0</v>
      </c>
      <c r="N417" t="n">
        <v>0</v>
      </c>
      <c r="O417" t="n">
        <v>0</v>
      </c>
      <c r="P417" t="n">
        <v>0</v>
      </c>
      <c r="Q417" t="n">
        <v>0</v>
      </c>
      <c r="R417" s="2" t="inlineStr"/>
    </row>
    <row r="418" ht="15" customHeight="1">
      <c r="A418" t="inlineStr">
        <is>
          <t>A 40214-2023</t>
        </is>
      </c>
      <c r="B418" s="1" t="n">
        <v>45169.45173611111</v>
      </c>
      <c r="C418" s="1" t="n">
        <v>45990</v>
      </c>
      <c r="D418" t="inlineStr">
        <is>
          <t>VÄSTMANLANDS LÄN</t>
        </is>
      </c>
      <c r="E418" t="inlineStr">
        <is>
          <t>SALA</t>
        </is>
      </c>
      <c r="G418" t="n">
        <v>5.5</v>
      </c>
      <c r="H418" t="n">
        <v>0</v>
      </c>
      <c r="I418" t="n">
        <v>0</v>
      </c>
      <c r="J418" t="n">
        <v>0</v>
      </c>
      <c r="K418" t="n">
        <v>0</v>
      </c>
      <c r="L418" t="n">
        <v>0</v>
      </c>
      <c r="M418" t="n">
        <v>0</v>
      </c>
      <c r="N418" t="n">
        <v>0</v>
      </c>
      <c r="O418" t="n">
        <v>0</v>
      </c>
      <c r="P418" t="n">
        <v>0</v>
      </c>
      <c r="Q418" t="n">
        <v>0</v>
      </c>
      <c r="R418" s="2" t="inlineStr"/>
    </row>
    <row r="419" ht="15" customHeight="1">
      <c r="A419" t="inlineStr">
        <is>
          <t>A 9856-2022</t>
        </is>
      </c>
      <c r="B419" s="1" t="n">
        <v>44620</v>
      </c>
      <c r="C419" s="1" t="n">
        <v>45990</v>
      </c>
      <c r="D419" t="inlineStr">
        <is>
          <t>VÄSTMANLANDS LÄN</t>
        </is>
      </c>
      <c r="E419" t="inlineStr">
        <is>
          <t>SALA</t>
        </is>
      </c>
      <c r="G419" t="n">
        <v>2.4</v>
      </c>
      <c r="H419" t="n">
        <v>0</v>
      </c>
      <c r="I419" t="n">
        <v>0</v>
      </c>
      <c r="J419" t="n">
        <v>0</v>
      </c>
      <c r="K419" t="n">
        <v>0</v>
      </c>
      <c r="L419" t="n">
        <v>0</v>
      </c>
      <c r="M419" t="n">
        <v>0</v>
      </c>
      <c r="N419" t="n">
        <v>0</v>
      </c>
      <c r="O419" t="n">
        <v>0</v>
      </c>
      <c r="P419" t="n">
        <v>0</v>
      </c>
      <c r="Q419" t="n">
        <v>0</v>
      </c>
      <c r="R419" s="2" t="inlineStr"/>
    </row>
    <row r="420" ht="15" customHeight="1">
      <c r="A420" t="inlineStr">
        <is>
          <t>A 18100-2023</t>
        </is>
      </c>
      <c r="B420" s="1" t="n">
        <v>45040</v>
      </c>
      <c r="C420" s="1" t="n">
        <v>45990</v>
      </c>
      <c r="D420" t="inlineStr">
        <is>
          <t>VÄSTMANLANDS LÄN</t>
        </is>
      </c>
      <c r="E420" t="inlineStr">
        <is>
          <t>SALA</t>
        </is>
      </c>
      <c r="G420" t="n">
        <v>1.8</v>
      </c>
      <c r="H420" t="n">
        <v>0</v>
      </c>
      <c r="I420" t="n">
        <v>0</v>
      </c>
      <c r="J420" t="n">
        <v>0</v>
      </c>
      <c r="K420" t="n">
        <v>0</v>
      </c>
      <c r="L420" t="n">
        <v>0</v>
      </c>
      <c r="M420" t="n">
        <v>0</v>
      </c>
      <c r="N420" t="n">
        <v>0</v>
      </c>
      <c r="O420" t="n">
        <v>0</v>
      </c>
      <c r="P420" t="n">
        <v>0</v>
      </c>
      <c r="Q420" t="n">
        <v>0</v>
      </c>
      <c r="R420" s="2" t="inlineStr"/>
    </row>
    <row r="421" ht="15" customHeight="1">
      <c r="A421" t="inlineStr">
        <is>
          <t>A 46279-2021</t>
        </is>
      </c>
      <c r="B421" s="1" t="n">
        <v>44442.57797453704</v>
      </c>
      <c r="C421" s="1" t="n">
        <v>45990</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23374-2023</t>
        </is>
      </c>
      <c r="B422" s="1" t="n">
        <v>45076.4399537037</v>
      </c>
      <c r="C422" s="1" t="n">
        <v>45990</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47577-2025</t>
        </is>
      </c>
      <c r="B423" s="1" t="n">
        <v>45931.4047337963</v>
      </c>
      <c r="C423" s="1" t="n">
        <v>45990</v>
      </c>
      <c r="D423" t="inlineStr">
        <is>
          <t>VÄSTMANLANDS LÄN</t>
        </is>
      </c>
      <c r="E423" t="inlineStr">
        <is>
          <t>SALA</t>
        </is>
      </c>
      <c r="G423" t="n">
        <v>3.7</v>
      </c>
      <c r="H423" t="n">
        <v>0</v>
      </c>
      <c r="I423" t="n">
        <v>0</v>
      </c>
      <c r="J423" t="n">
        <v>0</v>
      </c>
      <c r="K423" t="n">
        <v>0</v>
      </c>
      <c r="L423" t="n">
        <v>0</v>
      </c>
      <c r="M423" t="n">
        <v>0</v>
      </c>
      <c r="N423" t="n">
        <v>0</v>
      </c>
      <c r="O423" t="n">
        <v>0</v>
      </c>
      <c r="P423" t="n">
        <v>0</v>
      </c>
      <c r="Q423" t="n">
        <v>0</v>
      </c>
      <c r="R423" s="2" t="inlineStr"/>
    </row>
    <row r="424" ht="15" customHeight="1">
      <c r="A424" t="inlineStr">
        <is>
          <t>A 6134-2024</t>
        </is>
      </c>
      <c r="B424" s="1" t="n">
        <v>45337</v>
      </c>
      <c r="C424" s="1" t="n">
        <v>45990</v>
      </c>
      <c r="D424" t="inlineStr">
        <is>
          <t>VÄSTMANLANDS LÄN</t>
        </is>
      </c>
      <c r="E424" t="inlineStr">
        <is>
          <t>SALA</t>
        </is>
      </c>
      <c r="G424" t="n">
        <v>1.8</v>
      </c>
      <c r="H424" t="n">
        <v>0</v>
      </c>
      <c r="I424" t="n">
        <v>0</v>
      </c>
      <c r="J424" t="n">
        <v>0</v>
      </c>
      <c r="K424" t="n">
        <v>0</v>
      </c>
      <c r="L424" t="n">
        <v>0</v>
      </c>
      <c r="M424" t="n">
        <v>0</v>
      </c>
      <c r="N424" t="n">
        <v>0</v>
      </c>
      <c r="O424" t="n">
        <v>0</v>
      </c>
      <c r="P424" t="n">
        <v>0</v>
      </c>
      <c r="Q424" t="n">
        <v>0</v>
      </c>
      <c r="R424" s="2" t="inlineStr"/>
    </row>
    <row r="425" ht="15" customHeight="1">
      <c r="A425" t="inlineStr">
        <is>
          <t>A 48117-2024</t>
        </is>
      </c>
      <c r="B425" s="1" t="n">
        <v>45589</v>
      </c>
      <c r="C425" s="1" t="n">
        <v>45990</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55997-2025</t>
        </is>
      </c>
      <c r="B426" s="1" t="n">
        <v>45973.56833333334</v>
      </c>
      <c r="C426" s="1" t="n">
        <v>45990</v>
      </c>
      <c r="D426" t="inlineStr">
        <is>
          <t>VÄSTMANLANDS LÄN</t>
        </is>
      </c>
      <c r="E426" t="inlineStr">
        <is>
          <t>SALA</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46661-2025</t>
        </is>
      </c>
      <c r="B427" s="1" t="n">
        <v>45926</v>
      </c>
      <c r="C427" s="1" t="n">
        <v>45990</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31082-2021</t>
        </is>
      </c>
      <c r="B428" s="1" t="n">
        <v>44368</v>
      </c>
      <c r="C428" s="1" t="n">
        <v>45990</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31470-2021</t>
        </is>
      </c>
      <c r="B429" s="1" t="n">
        <v>44369</v>
      </c>
      <c r="C429" s="1" t="n">
        <v>45990</v>
      </c>
      <c r="D429" t="inlineStr">
        <is>
          <t>VÄSTMANLANDS LÄN</t>
        </is>
      </c>
      <c r="E429" t="inlineStr">
        <is>
          <t>SALA</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73673-2021</t>
        </is>
      </c>
      <c r="B430" s="1" t="n">
        <v>44552.46501157407</v>
      </c>
      <c r="C430" s="1" t="n">
        <v>45990</v>
      </c>
      <c r="D430" t="inlineStr">
        <is>
          <t>VÄSTMANLANDS LÄN</t>
        </is>
      </c>
      <c r="E430" t="inlineStr">
        <is>
          <t>SALA</t>
        </is>
      </c>
      <c r="G430" t="n">
        <v>11.4</v>
      </c>
      <c r="H430" t="n">
        <v>0</v>
      </c>
      <c r="I430" t="n">
        <v>0</v>
      </c>
      <c r="J430" t="n">
        <v>0</v>
      </c>
      <c r="K430" t="n">
        <v>0</v>
      </c>
      <c r="L430" t="n">
        <v>0</v>
      </c>
      <c r="M430" t="n">
        <v>0</v>
      </c>
      <c r="N430" t="n">
        <v>0</v>
      </c>
      <c r="O430" t="n">
        <v>0</v>
      </c>
      <c r="P430" t="n">
        <v>0</v>
      </c>
      <c r="Q430" t="n">
        <v>0</v>
      </c>
      <c r="R430" s="2" t="inlineStr"/>
    </row>
    <row r="431" ht="15" customHeight="1">
      <c r="A431" t="inlineStr">
        <is>
          <t>A 55714-2025</t>
        </is>
      </c>
      <c r="B431" s="1" t="n">
        <v>45972.49131944445</v>
      </c>
      <c r="C431" s="1" t="n">
        <v>45990</v>
      </c>
      <c r="D431" t="inlineStr">
        <is>
          <t>VÄSTMANLANDS LÄN</t>
        </is>
      </c>
      <c r="E431" t="inlineStr">
        <is>
          <t>SALA</t>
        </is>
      </c>
      <c r="G431" t="n">
        <v>6.6</v>
      </c>
      <c r="H431" t="n">
        <v>0</v>
      </c>
      <c r="I431" t="n">
        <v>0</v>
      </c>
      <c r="J431" t="n">
        <v>0</v>
      </c>
      <c r="K431" t="n">
        <v>0</v>
      </c>
      <c r="L431" t="n">
        <v>0</v>
      </c>
      <c r="M431" t="n">
        <v>0</v>
      </c>
      <c r="N431" t="n">
        <v>0</v>
      </c>
      <c r="O431" t="n">
        <v>0</v>
      </c>
      <c r="P431" t="n">
        <v>0</v>
      </c>
      <c r="Q431" t="n">
        <v>0</v>
      </c>
      <c r="R431" s="2" t="inlineStr"/>
    </row>
    <row r="432" ht="15" customHeight="1">
      <c r="A432" t="inlineStr">
        <is>
          <t>A 24175-2024</t>
        </is>
      </c>
      <c r="B432" s="1" t="n">
        <v>45456</v>
      </c>
      <c r="C432" s="1" t="n">
        <v>45990</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28328-2023</t>
        </is>
      </c>
      <c r="B433" s="1" t="n">
        <v>45099.71063657408</v>
      </c>
      <c r="C433" s="1" t="n">
        <v>45990</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61715-2024</t>
        </is>
      </c>
      <c r="B434" s="1" t="n">
        <v>45648.89519675926</v>
      </c>
      <c r="C434" s="1" t="n">
        <v>45990</v>
      </c>
      <c r="D434" t="inlineStr">
        <is>
          <t>VÄSTMANLANDS LÄN</t>
        </is>
      </c>
      <c r="E434" t="inlineStr">
        <is>
          <t>SALA</t>
        </is>
      </c>
      <c r="G434" t="n">
        <v>2.5</v>
      </c>
      <c r="H434" t="n">
        <v>0</v>
      </c>
      <c r="I434" t="n">
        <v>0</v>
      </c>
      <c r="J434" t="n">
        <v>0</v>
      </c>
      <c r="K434" t="n">
        <v>0</v>
      </c>
      <c r="L434" t="n">
        <v>0</v>
      </c>
      <c r="M434" t="n">
        <v>0</v>
      </c>
      <c r="N434" t="n">
        <v>0</v>
      </c>
      <c r="O434" t="n">
        <v>0</v>
      </c>
      <c r="P434" t="n">
        <v>0</v>
      </c>
      <c r="Q434" t="n">
        <v>0</v>
      </c>
      <c r="R434" s="2" t="inlineStr"/>
    </row>
    <row r="435" ht="15" customHeight="1">
      <c r="A435" t="inlineStr">
        <is>
          <t>A 38195-2021</t>
        </is>
      </c>
      <c r="B435" s="1" t="n">
        <v>44405</v>
      </c>
      <c r="C435" s="1" t="n">
        <v>45990</v>
      </c>
      <c r="D435" t="inlineStr">
        <is>
          <t>VÄSTMANLANDS LÄN</t>
        </is>
      </c>
      <c r="E435" t="inlineStr">
        <is>
          <t>SALA</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56645-2025</t>
        </is>
      </c>
      <c r="B436" s="1" t="n">
        <v>45975.63063657407</v>
      </c>
      <c r="C436" s="1" t="n">
        <v>45990</v>
      </c>
      <c r="D436" t="inlineStr">
        <is>
          <t>VÄSTMANLANDS LÄN</t>
        </is>
      </c>
      <c r="E436" t="inlineStr">
        <is>
          <t>SALA</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6132-2025</t>
        </is>
      </c>
      <c r="B437" s="1" t="n">
        <v>45698</v>
      </c>
      <c r="C437" s="1" t="n">
        <v>45990</v>
      </c>
      <c r="D437" t="inlineStr">
        <is>
          <t>VÄSTMANLANDS LÄN</t>
        </is>
      </c>
      <c r="E437" t="inlineStr">
        <is>
          <t>SALA</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21777-2022</t>
        </is>
      </c>
      <c r="B438" s="1" t="n">
        <v>44708.48194444444</v>
      </c>
      <c r="C438" s="1" t="n">
        <v>45990</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48057-2025</t>
        </is>
      </c>
      <c r="B439" s="1" t="n">
        <v>45932.67947916667</v>
      </c>
      <c r="C439" s="1" t="n">
        <v>45990</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11389-2024</t>
        </is>
      </c>
      <c r="B440" s="1" t="n">
        <v>45372.45016203704</v>
      </c>
      <c r="C440" s="1" t="n">
        <v>45990</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row>
    <row r="441" ht="15" customHeight="1">
      <c r="A441" t="inlineStr">
        <is>
          <t>A 56614-2025</t>
        </is>
      </c>
      <c r="B441" s="1" t="n">
        <v>45975.59288194445</v>
      </c>
      <c r="C441" s="1" t="n">
        <v>45990</v>
      </c>
      <c r="D441" t="inlineStr">
        <is>
          <t>VÄSTMANLANDS LÄN</t>
        </is>
      </c>
      <c r="E441" t="inlineStr">
        <is>
          <t>SALA</t>
        </is>
      </c>
      <c r="G441" t="n">
        <v>1.4</v>
      </c>
      <c r="H441" t="n">
        <v>0</v>
      </c>
      <c r="I441" t="n">
        <v>0</v>
      </c>
      <c r="J441" t="n">
        <v>0</v>
      </c>
      <c r="K441" t="n">
        <v>0</v>
      </c>
      <c r="L441" t="n">
        <v>0</v>
      </c>
      <c r="M441" t="n">
        <v>0</v>
      </c>
      <c r="N441" t="n">
        <v>0</v>
      </c>
      <c r="O441" t="n">
        <v>0</v>
      </c>
      <c r="P441" t="n">
        <v>0</v>
      </c>
      <c r="Q441" t="n">
        <v>0</v>
      </c>
      <c r="R441" s="2" t="inlineStr"/>
    </row>
    <row r="442" ht="15" customHeight="1">
      <c r="A442" t="inlineStr">
        <is>
          <t>A 2925-2024</t>
        </is>
      </c>
      <c r="B442" s="1" t="n">
        <v>45315.58909722222</v>
      </c>
      <c r="C442" s="1" t="n">
        <v>45990</v>
      </c>
      <c r="D442" t="inlineStr">
        <is>
          <t>VÄSTMANLANDS LÄN</t>
        </is>
      </c>
      <c r="E442" t="inlineStr">
        <is>
          <t>SALA</t>
        </is>
      </c>
      <c r="G442" t="n">
        <v>1.3</v>
      </c>
      <c r="H442" t="n">
        <v>0</v>
      </c>
      <c r="I442" t="n">
        <v>0</v>
      </c>
      <c r="J442" t="n">
        <v>0</v>
      </c>
      <c r="K442" t="n">
        <v>0</v>
      </c>
      <c r="L442" t="n">
        <v>0</v>
      </c>
      <c r="M442" t="n">
        <v>0</v>
      </c>
      <c r="N442" t="n">
        <v>0</v>
      </c>
      <c r="O442" t="n">
        <v>0</v>
      </c>
      <c r="P442" t="n">
        <v>0</v>
      </c>
      <c r="Q442" t="n">
        <v>0</v>
      </c>
      <c r="R442" s="2" t="inlineStr"/>
    </row>
    <row r="443" ht="15" customHeight="1">
      <c r="A443" t="inlineStr">
        <is>
          <t>A 56593-2025</t>
        </is>
      </c>
      <c r="B443" s="1" t="n">
        <v>45975</v>
      </c>
      <c r="C443" s="1" t="n">
        <v>45990</v>
      </c>
      <c r="D443" t="inlineStr">
        <is>
          <t>VÄSTMANLANDS LÄN</t>
        </is>
      </c>
      <c r="E443" t="inlineStr">
        <is>
          <t>SALA</t>
        </is>
      </c>
      <c r="F443" t="inlineStr">
        <is>
          <t>Kyrkan</t>
        </is>
      </c>
      <c r="G443" t="n">
        <v>0.1</v>
      </c>
      <c r="H443" t="n">
        <v>0</v>
      </c>
      <c r="I443" t="n">
        <v>0</v>
      </c>
      <c r="J443" t="n">
        <v>0</v>
      </c>
      <c r="K443" t="n">
        <v>0</v>
      </c>
      <c r="L443" t="n">
        <v>0</v>
      </c>
      <c r="M443" t="n">
        <v>0</v>
      </c>
      <c r="N443" t="n">
        <v>0</v>
      </c>
      <c r="O443" t="n">
        <v>0</v>
      </c>
      <c r="P443" t="n">
        <v>0</v>
      </c>
      <c r="Q443" t="n">
        <v>0</v>
      </c>
      <c r="R443" s="2" t="inlineStr"/>
    </row>
    <row r="444" ht="15" customHeight="1">
      <c r="A444" t="inlineStr">
        <is>
          <t>A 39439-2021</t>
        </is>
      </c>
      <c r="B444" s="1" t="n">
        <v>44414</v>
      </c>
      <c r="C444" s="1" t="n">
        <v>45990</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56611-2025</t>
        </is>
      </c>
      <c r="B445" s="1" t="n">
        <v>45975</v>
      </c>
      <c r="C445" s="1" t="n">
        <v>45990</v>
      </c>
      <c r="D445" t="inlineStr">
        <is>
          <t>VÄSTMANLANDS LÄN</t>
        </is>
      </c>
      <c r="E445" t="inlineStr">
        <is>
          <t>SALA</t>
        </is>
      </c>
      <c r="G445" t="n">
        <v>2.8</v>
      </c>
      <c r="H445" t="n">
        <v>0</v>
      </c>
      <c r="I445" t="n">
        <v>0</v>
      </c>
      <c r="J445" t="n">
        <v>0</v>
      </c>
      <c r="K445" t="n">
        <v>0</v>
      </c>
      <c r="L445" t="n">
        <v>0</v>
      </c>
      <c r="M445" t="n">
        <v>0</v>
      </c>
      <c r="N445" t="n">
        <v>0</v>
      </c>
      <c r="O445" t="n">
        <v>0</v>
      </c>
      <c r="P445" t="n">
        <v>0</v>
      </c>
      <c r="Q445" t="n">
        <v>0</v>
      </c>
      <c r="R445" s="2" t="inlineStr"/>
    </row>
    <row r="446" ht="15" customHeight="1">
      <c r="A446" t="inlineStr">
        <is>
          <t>A 48710-2025</t>
        </is>
      </c>
      <c r="B446" s="1" t="n">
        <v>45936.63184027778</v>
      </c>
      <c r="C446" s="1" t="n">
        <v>45990</v>
      </c>
      <c r="D446" t="inlineStr">
        <is>
          <t>VÄSTMANLANDS LÄN</t>
        </is>
      </c>
      <c r="E446" t="inlineStr">
        <is>
          <t>SALA</t>
        </is>
      </c>
      <c r="G446" t="n">
        <v>2.7</v>
      </c>
      <c r="H446" t="n">
        <v>0</v>
      </c>
      <c r="I446" t="n">
        <v>0</v>
      </c>
      <c r="J446" t="n">
        <v>0</v>
      </c>
      <c r="K446" t="n">
        <v>0</v>
      </c>
      <c r="L446" t="n">
        <v>0</v>
      </c>
      <c r="M446" t="n">
        <v>0</v>
      </c>
      <c r="N446" t="n">
        <v>0</v>
      </c>
      <c r="O446" t="n">
        <v>0</v>
      </c>
      <c r="P446" t="n">
        <v>0</v>
      </c>
      <c r="Q446" t="n">
        <v>0</v>
      </c>
      <c r="R446" s="2" t="inlineStr"/>
    </row>
    <row r="447" ht="15" customHeight="1">
      <c r="A447" t="inlineStr">
        <is>
          <t>A 3332-2024</t>
        </is>
      </c>
      <c r="B447" s="1" t="n">
        <v>45317</v>
      </c>
      <c r="C447" s="1" t="n">
        <v>45990</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2529-2022</t>
        </is>
      </c>
      <c r="B448" s="1" t="n">
        <v>44579.86452546297</v>
      </c>
      <c r="C448" s="1" t="n">
        <v>45990</v>
      </c>
      <c r="D448" t="inlineStr">
        <is>
          <t>VÄSTMANLANDS LÄN</t>
        </is>
      </c>
      <c r="E448" t="inlineStr">
        <is>
          <t>SALA</t>
        </is>
      </c>
      <c r="G448" t="n">
        <v>1.7</v>
      </c>
      <c r="H448" t="n">
        <v>0</v>
      </c>
      <c r="I448" t="n">
        <v>0</v>
      </c>
      <c r="J448" t="n">
        <v>0</v>
      </c>
      <c r="K448" t="n">
        <v>0</v>
      </c>
      <c r="L448" t="n">
        <v>0</v>
      </c>
      <c r="M448" t="n">
        <v>0</v>
      </c>
      <c r="N448" t="n">
        <v>0</v>
      </c>
      <c r="O448" t="n">
        <v>0</v>
      </c>
      <c r="P448" t="n">
        <v>0</v>
      </c>
      <c r="Q448" t="n">
        <v>0</v>
      </c>
      <c r="R448" s="2" t="inlineStr"/>
    </row>
    <row r="449" ht="15" customHeight="1">
      <c r="A449" t="inlineStr">
        <is>
          <t>A 56502-2025</t>
        </is>
      </c>
      <c r="B449" s="1" t="n">
        <v>45975</v>
      </c>
      <c r="C449" s="1" t="n">
        <v>45990</v>
      </c>
      <c r="D449" t="inlineStr">
        <is>
          <t>VÄSTMANLANDS LÄN</t>
        </is>
      </c>
      <c r="E449" t="inlineStr">
        <is>
          <t>SALA</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13471-2025</t>
        </is>
      </c>
      <c r="B450" s="1" t="n">
        <v>45736.40579861111</v>
      </c>
      <c r="C450" s="1" t="n">
        <v>45990</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15681-2025</t>
        </is>
      </c>
      <c r="B451" s="1" t="n">
        <v>45748.45454861111</v>
      </c>
      <c r="C451" s="1" t="n">
        <v>45990</v>
      </c>
      <c r="D451" t="inlineStr">
        <is>
          <t>VÄSTMANLANDS LÄN</t>
        </is>
      </c>
      <c r="E451" t="inlineStr">
        <is>
          <t>SALA</t>
        </is>
      </c>
      <c r="F451" t="inlineStr">
        <is>
          <t>Bergvik skog öst AB</t>
        </is>
      </c>
      <c r="G451" t="n">
        <v>4.3</v>
      </c>
      <c r="H451" t="n">
        <v>0</v>
      </c>
      <c r="I451" t="n">
        <v>0</v>
      </c>
      <c r="J451" t="n">
        <v>0</v>
      </c>
      <c r="K451" t="n">
        <v>0</v>
      </c>
      <c r="L451" t="n">
        <v>0</v>
      </c>
      <c r="M451" t="n">
        <v>0</v>
      </c>
      <c r="N451" t="n">
        <v>0</v>
      </c>
      <c r="O451" t="n">
        <v>0</v>
      </c>
      <c r="P451" t="n">
        <v>0</v>
      </c>
      <c r="Q451" t="n">
        <v>0</v>
      </c>
      <c r="R451" s="2" t="inlineStr"/>
    </row>
    <row r="452" ht="15" customHeight="1">
      <c r="A452" t="inlineStr">
        <is>
          <t>A 18431-2023</t>
        </is>
      </c>
      <c r="B452" s="1" t="n">
        <v>45042</v>
      </c>
      <c r="C452" s="1" t="n">
        <v>45990</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27424-2023</t>
        </is>
      </c>
      <c r="B453" s="1" t="n">
        <v>45097.37690972222</v>
      </c>
      <c r="C453" s="1" t="n">
        <v>45990</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58701-2021</t>
        </is>
      </c>
      <c r="B454" s="1" t="n">
        <v>44489.46454861111</v>
      </c>
      <c r="C454" s="1" t="n">
        <v>45990</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48910-2025</t>
        </is>
      </c>
      <c r="B455" s="1" t="n">
        <v>45937.48649305556</v>
      </c>
      <c r="C455" s="1" t="n">
        <v>45990</v>
      </c>
      <c r="D455" t="inlineStr">
        <is>
          <t>VÄSTMANLANDS LÄN</t>
        </is>
      </c>
      <c r="E455" t="inlineStr">
        <is>
          <t>SALA</t>
        </is>
      </c>
      <c r="G455" t="n">
        <v>7.8</v>
      </c>
      <c r="H455" t="n">
        <v>0</v>
      </c>
      <c r="I455" t="n">
        <v>0</v>
      </c>
      <c r="J455" t="n">
        <v>0</v>
      </c>
      <c r="K455" t="n">
        <v>0</v>
      </c>
      <c r="L455" t="n">
        <v>0</v>
      </c>
      <c r="M455" t="n">
        <v>0</v>
      </c>
      <c r="N455" t="n">
        <v>0</v>
      </c>
      <c r="O455" t="n">
        <v>0</v>
      </c>
      <c r="P455" t="n">
        <v>0</v>
      </c>
      <c r="Q455" t="n">
        <v>0</v>
      </c>
      <c r="R455" s="2" t="inlineStr"/>
    </row>
    <row r="456" ht="15" customHeight="1">
      <c r="A456" t="inlineStr">
        <is>
          <t>A 57414-2025</t>
        </is>
      </c>
      <c r="B456" s="1" t="n">
        <v>45980.45003472222</v>
      </c>
      <c r="C456" s="1" t="n">
        <v>45990</v>
      </c>
      <c r="D456" t="inlineStr">
        <is>
          <t>VÄSTMANLANDS LÄN</t>
        </is>
      </c>
      <c r="E456" t="inlineStr">
        <is>
          <t>SALA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57415-2025</t>
        </is>
      </c>
      <c r="B457" s="1" t="n">
        <v>45980.45099537037</v>
      </c>
      <c r="C457" s="1" t="n">
        <v>45990</v>
      </c>
      <c r="D457" t="inlineStr">
        <is>
          <t>VÄSTMANLANDS LÄN</t>
        </is>
      </c>
      <c r="E457" t="inlineStr">
        <is>
          <t>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49585-2025</t>
        </is>
      </c>
      <c r="B458" s="1" t="n">
        <v>45939.5043287037</v>
      </c>
      <c r="C458" s="1" t="n">
        <v>45990</v>
      </c>
      <c r="D458" t="inlineStr">
        <is>
          <t>VÄSTMANLANDS LÄN</t>
        </is>
      </c>
      <c r="E458" t="inlineStr">
        <is>
          <t>SALA</t>
        </is>
      </c>
      <c r="G458" t="n">
        <v>2.2</v>
      </c>
      <c r="H458" t="n">
        <v>0</v>
      </c>
      <c r="I458" t="n">
        <v>0</v>
      </c>
      <c r="J458" t="n">
        <v>0</v>
      </c>
      <c r="K458" t="n">
        <v>0</v>
      </c>
      <c r="L458" t="n">
        <v>0</v>
      </c>
      <c r="M458" t="n">
        <v>0</v>
      </c>
      <c r="N458" t="n">
        <v>0</v>
      </c>
      <c r="O458" t="n">
        <v>0</v>
      </c>
      <c r="P458" t="n">
        <v>0</v>
      </c>
      <c r="Q458" t="n">
        <v>0</v>
      </c>
      <c r="R458" s="2" t="inlineStr"/>
    </row>
    <row r="459" ht="15" customHeight="1">
      <c r="A459" t="inlineStr">
        <is>
          <t>A 11244-2024</t>
        </is>
      </c>
      <c r="B459" s="1" t="n">
        <v>45371</v>
      </c>
      <c r="C459" s="1" t="n">
        <v>45990</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12225-2023</t>
        </is>
      </c>
      <c r="B460" s="1" t="n">
        <v>44995</v>
      </c>
      <c r="C460" s="1" t="n">
        <v>45990</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61874-2021</t>
        </is>
      </c>
      <c r="B461" s="1" t="n">
        <v>44502</v>
      </c>
      <c r="C461" s="1" t="n">
        <v>45990</v>
      </c>
      <c r="D461" t="inlineStr">
        <is>
          <t>VÄSTMANLANDS LÄN</t>
        </is>
      </c>
      <c r="E461" t="inlineStr">
        <is>
          <t>SALA</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62651-2022</t>
        </is>
      </c>
      <c r="B462" s="1" t="n">
        <v>44917</v>
      </c>
      <c r="C462" s="1" t="n">
        <v>45990</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15968-2024</t>
        </is>
      </c>
      <c r="B463" s="1" t="n">
        <v>45405.56021990741</v>
      </c>
      <c r="C463" s="1" t="n">
        <v>45990</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49640-2025</t>
        </is>
      </c>
      <c r="B464" s="1" t="n">
        <v>45939.61459490741</v>
      </c>
      <c r="C464" s="1" t="n">
        <v>45990</v>
      </c>
      <c r="D464" t="inlineStr">
        <is>
          <t>VÄSTMANLANDS LÄN</t>
        </is>
      </c>
      <c r="E464" t="inlineStr">
        <is>
          <t>SALA</t>
        </is>
      </c>
      <c r="F464" t="inlineStr">
        <is>
          <t>Kommuner</t>
        </is>
      </c>
      <c r="G464" t="n">
        <v>18.8</v>
      </c>
      <c r="H464" t="n">
        <v>0</v>
      </c>
      <c r="I464" t="n">
        <v>0</v>
      </c>
      <c r="J464" t="n">
        <v>0</v>
      </c>
      <c r="K464" t="n">
        <v>0</v>
      </c>
      <c r="L464" t="n">
        <v>0</v>
      </c>
      <c r="M464" t="n">
        <v>0</v>
      </c>
      <c r="N464" t="n">
        <v>0</v>
      </c>
      <c r="O464" t="n">
        <v>0</v>
      </c>
      <c r="P464" t="n">
        <v>0</v>
      </c>
      <c r="Q464" t="n">
        <v>0</v>
      </c>
      <c r="R464" s="2" t="inlineStr"/>
    </row>
    <row r="465" ht="15" customHeight="1">
      <c r="A465" t="inlineStr">
        <is>
          <t>A 60730-2023</t>
        </is>
      </c>
      <c r="B465" s="1" t="n">
        <v>45260</v>
      </c>
      <c r="C465" s="1" t="n">
        <v>45990</v>
      </c>
      <c r="D465" t="inlineStr">
        <is>
          <t>VÄSTMANLANDS LÄN</t>
        </is>
      </c>
      <c r="E465" t="inlineStr">
        <is>
          <t>SALA</t>
        </is>
      </c>
      <c r="G465" t="n">
        <v>1.3</v>
      </c>
      <c r="H465" t="n">
        <v>0</v>
      </c>
      <c r="I465" t="n">
        <v>0</v>
      </c>
      <c r="J465" t="n">
        <v>0</v>
      </c>
      <c r="K465" t="n">
        <v>0</v>
      </c>
      <c r="L465" t="n">
        <v>0</v>
      </c>
      <c r="M465" t="n">
        <v>0</v>
      </c>
      <c r="N465" t="n">
        <v>0</v>
      </c>
      <c r="O465" t="n">
        <v>0</v>
      </c>
      <c r="P465" t="n">
        <v>0</v>
      </c>
      <c r="Q465" t="n">
        <v>0</v>
      </c>
      <c r="R465" s="2" t="inlineStr"/>
    </row>
    <row r="466" ht="15" customHeight="1">
      <c r="A466" t="inlineStr">
        <is>
          <t>A 60731-2023</t>
        </is>
      </c>
      <c r="B466" s="1" t="n">
        <v>45260</v>
      </c>
      <c r="C466" s="1" t="n">
        <v>45990</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57412-2025</t>
        </is>
      </c>
      <c r="B467" s="1" t="n">
        <v>45980.44883101852</v>
      </c>
      <c r="C467" s="1" t="n">
        <v>45990</v>
      </c>
      <c r="D467" t="inlineStr">
        <is>
          <t>VÄSTMANLANDS LÄN</t>
        </is>
      </c>
      <c r="E467" t="inlineStr">
        <is>
          <t>SALA</t>
        </is>
      </c>
      <c r="F467" t="inlineStr">
        <is>
          <t>Bergvik skog öst AB</t>
        </is>
      </c>
      <c r="G467" t="n">
        <v>4.5</v>
      </c>
      <c r="H467" t="n">
        <v>0</v>
      </c>
      <c r="I467" t="n">
        <v>0</v>
      </c>
      <c r="J467" t="n">
        <v>0</v>
      </c>
      <c r="K467" t="n">
        <v>0</v>
      </c>
      <c r="L467" t="n">
        <v>0</v>
      </c>
      <c r="M467" t="n">
        <v>0</v>
      </c>
      <c r="N467" t="n">
        <v>0</v>
      </c>
      <c r="O467" t="n">
        <v>0</v>
      </c>
      <c r="P467" t="n">
        <v>0</v>
      </c>
      <c r="Q467" t="n">
        <v>0</v>
      </c>
      <c r="R467" s="2" t="inlineStr"/>
    </row>
    <row r="468" ht="15" customHeight="1">
      <c r="A468" t="inlineStr">
        <is>
          <t>A 18461-2024</t>
        </is>
      </c>
      <c r="B468" s="1" t="n">
        <v>45425.47435185185</v>
      </c>
      <c r="C468" s="1" t="n">
        <v>45990</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4663-2022</t>
        </is>
      </c>
      <c r="B469" s="1" t="n">
        <v>44592.45429398148</v>
      </c>
      <c r="C469" s="1" t="n">
        <v>45990</v>
      </c>
      <c r="D469" t="inlineStr">
        <is>
          <t>VÄSTMANLANDS LÄN</t>
        </is>
      </c>
      <c r="E469" t="inlineStr">
        <is>
          <t>SALA</t>
        </is>
      </c>
      <c r="G469" t="n">
        <v>2.5</v>
      </c>
      <c r="H469" t="n">
        <v>0</v>
      </c>
      <c r="I469" t="n">
        <v>0</v>
      </c>
      <c r="J469" t="n">
        <v>0</v>
      </c>
      <c r="K469" t="n">
        <v>0</v>
      </c>
      <c r="L469" t="n">
        <v>0</v>
      </c>
      <c r="M469" t="n">
        <v>0</v>
      </c>
      <c r="N469" t="n">
        <v>0</v>
      </c>
      <c r="O469" t="n">
        <v>0</v>
      </c>
      <c r="P469" t="n">
        <v>0</v>
      </c>
      <c r="Q469" t="n">
        <v>0</v>
      </c>
      <c r="R469" s="2" t="inlineStr"/>
    </row>
    <row r="470" ht="15" customHeight="1">
      <c r="A470" t="inlineStr">
        <is>
          <t>A 58357-2025</t>
        </is>
      </c>
      <c r="B470" s="1" t="n">
        <v>45985.51518518518</v>
      </c>
      <c r="C470" s="1" t="n">
        <v>45990</v>
      </c>
      <c r="D470" t="inlineStr">
        <is>
          <t>VÄSTMANLANDS LÄN</t>
        </is>
      </c>
      <c r="E470" t="inlineStr">
        <is>
          <t>SALA</t>
        </is>
      </c>
      <c r="G470" t="n">
        <v>3</v>
      </c>
      <c r="H470" t="n">
        <v>0</v>
      </c>
      <c r="I470" t="n">
        <v>0</v>
      </c>
      <c r="J470" t="n">
        <v>0</v>
      </c>
      <c r="K470" t="n">
        <v>0</v>
      </c>
      <c r="L470" t="n">
        <v>0</v>
      </c>
      <c r="M470" t="n">
        <v>0</v>
      </c>
      <c r="N470" t="n">
        <v>0</v>
      </c>
      <c r="O470" t="n">
        <v>0</v>
      </c>
      <c r="P470" t="n">
        <v>0</v>
      </c>
      <c r="Q470" t="n">
        <v>0</v>
      </c>
      <c r="R470" s="2" t="inlineStr"/>
    </row>
    <row r="471" ht="15" customHeight="1">
      <c r="A471" t="inlineStr">
        <is>
          <t>A 6032-2025</t>
        </is>
      </c>
      <c r="B471" s="1" t="n">
        <v>45695.6371875</v>
      </c>
      <c r="C471" s="1" t="n">
        <v>45990</v>
      </c>
      <c r="D471" t="inlineStr">
        <is>
          <t>VÄSTMANLANDS LÄN</t>
        </is>
      </c>
      <c r="E471" t="inlineStr">
        <is>
          <t>SALA</t>
        </is>
      </c>
      <c r="F471" t="inlineStr">
        <is>
          <t>Bergvik skog öst AB</t>
        </is>
      </c>
      <c r="G471" t="n">
        <v>8.1</v>
      </c>
      <c r="H471" t="n">
        <v>0</v>
      </c>
      <c r="I471" t="n">
        <v>0</v>
      </c>
      <c r="J471" t="n">
        <v>0</v>
      </c>
      <c r="K471" t="n">
        <v>0</v>
      </c>
      <c r="L471" t="n">
        <v>0</v>
      </c>
      <c r="M471" t="n">
        <v>0</v>
      </c>
      <c r="N471" t="n">
        <v>0</v>
      </c>
      <c r="O471" t="n">
        <v>0</v>
      </c>
      <c r="P471" t="n">
        <v>0</v>
      </c>
      <c r="Q471" t="n">
        <v>0</v>
      </c>
      <c r="R471" s="2" t="inlineStr"/>
    </row>
    <row r="472" ht="15" customHeight="1">
      <c r="A472" t="inlineStr">
        <is>
          <t>A 58359-2025</t>
        </is>
      </c>
      <c r="B472" s="1" t="n">
        <v>45985.51594907408</v>
      </c>
      <c r="C472" s="1" t="n">
        <v>45990</v>
      </c>
      <c r="D472" t="inlineStr">
        <is>
          <t>VÄSTMANLANDS LÄN</t>
        </is>
      </c>
      <c r="E472" t="inlineStr">
        <is>
          <t>SALA</t>
        </is>
      </c>
      <c r="G472" t="n">
        <v>3.7</v>
      </c>
      <c r="H472" t="n">
        <v>0</v>
      </c>
      <c r="I472" t="n">
        <v>0</v>
      </c>
      <c r="J472" t="n">
        <v>0</v>
      </c>
      <c r="K472" t="n">
        <v>0</v>
      </c>
      <c r="L472" t="n">
        <v>0</v>
      </c>
      <c r="M472" t="n">
        <v>0</v>
      </c>
      <c r="N472" t="n">
        <v>0</v>
      </c>
      <c r="O472" t="n">
        <v>0</v>
      </c>
      <c r="P472" t="n">
        <v>0</v>
      </c>
      <c r="Q472" t="n">
        <v>0</v>
      </c>
      <c r="R472" s="2" t="inlineStr"/>
    </row>
    <row r="473" ht="15" customHeight="1">
      <c r="A473" t="inlineStr">
        <is>
          <t>A 2766-2024</t>
        </is>
      </c>
      <c r="B473" s="1" t="n">
        <v>45314.60950231482</v>
      </c>
      <c r="C473" s="1" t="n">
        <v>45990</v>
      </c>
      <c r="D473" t="inlineStr">
        <is>
          <t>VÄSTMANLANDS LÄN</t>
        </is>
      </c>
      <c r="E473" t="inlineStr">
        <is>
          <t>SALA</t>
        </is>
      </c>
      <c r="G473" t="n">
        <v>2.8</v>
      </c>
      <c r="H473" t="n">
        <v>0</v>
      </c>
      <c r="I473" t="n">
        <v>0</v>
      </c>
      <c r="J473" t="n">
        <v>0</v>
      </c>
      <c r="K473" t="n">
        <v>0</v>
      </c>
      <c r="L473" t="n">
        <v>0</v>
      </c>
      <c r="M473" t="n">
        <v>0</v>
      </c>
      <c r="N473" t="n">
        <v>0</v>
      </c>
      <c r="O473" t="n">
        <v>0</v>
      </c>
      <c r="P473" t="n">
        <v>0</v>
      </c>
      <c r="Q473" t="n">
        <v>0</v>
      </c>
      <c r="R473" s="2" t="inlineStr"/>
    </row>
    <row r="474" ht="15" customHeight="1">
      <c r="A474" t="inlineStr">
        <is>
          <t>A 50128-2025</t>
        </is>
      </c>
      <c r="B474" s="1" t="n">
        <v>45943.55318287037</v>
      </c>
      <c r="C474" s="1" t="n">
        <v>45990</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6351-2023</t>
        </is>
      </c>
      <c r="B475" s="1" t="n">
        <v>44965</v>
      </c>
      <c r="C475" s="1" t="n">
        <v>45990</v>
      </c>
      <c r="D475" t="inlineStr">
        <is>
          <t>VÄSTMANLANDS LÄN</t>
        </is>
      </c>
      <c r="E475" t="inlineStr">
        <is>
          <t>SALA</t>
        </is>
      </c>
      <c r="F475" t="inlineStr">
        <is>
          <t>Kommuner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45187-2024</t>
        </is>
      </c>
      <c r="B476" s="1" t="n">
        <v>45575</v>
      </c>
      <c r="C476" s="1" t="n">
        <v>45990</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33527-2023</t>
        </is>
      </c>
      <c r="B477" s="1" t="n">
        <v>45131</v>
      </c>
      <c r="C477" s="1" t="n">
        <v>45990</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7377-2023</t>
        </is>
      </c>
      <c r="B478" s="1" t="n">
        <v>44971</v>
      </c>
      <c r="C478" s="1" t="n">
        <v>45990</v>
      </c>
      <c r="D478" t="inlineStr">
        <is>
          <t>VÄSTMANLANDS LÄN</t>
        </is>
      </c>
      <c r="E478" t="inlineStr">
        <is>
          <t>SALA</t>
        </is>
      </c>
      <c r="G478" t="n">
        <v>0.9</v>
      </c>
      <c r="H478" t="n">
        <v>0</v>
      </c>
      <c r="I478" t="n">
        <v>0</v>
      </c>
      <c r="J478" t="n">
        <v>0</v>
      </c>
      <c r="K478" t="n">
        <v>0</v>
      </c>
      <c r="L478" t="n">
        <v>0</v>
      </c>
      <c r="M478" t="n">
        <v>0</v>
      </c>
      <c r="N478" t="n">
        <v>0</v>
      </c>
      <c r="O478" t="n">
        <v>0</v>
      </c>
      <c r="P478" t="n">
        <v>0</v>
      </c>
      <c r="Q478" t="n">
        <v>0</v>
      </c>
      <c r="R478" s="2" t="inlineStr"/>
    </row>
    <row r="479" ht="15" customHeight="1">
      <c r="A479" t="inlineStr">
        <is>
          <t>A 6308-2021</t>
        </is>
      </c>
      <c r="B479" s="1" t="n">
        <v>44235</v>
      </c>
      <c r="C479" s="1" t="n">
        <v>45990</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45990</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58282-2025</t>
        </is>
      </c>
      <c r="B481" s="1" t="n">
        <v>45985.44309027777</v>
      </c>
      <c r="C481" s="1" t="n">
        <v>45990</v>
      </c>
      <c r="D481" t="inlineStr">
        <is>
          <t>VÄSTMANLANDS LÄN</t>
        </is>
      </c>
      <c r="E481" t="inlineStr">
        <is>
          <t>SALA</t>
        </is>
      </c>
      <c r="G481" t="n">
        <v>8.9</v>
      </c>
      <c r="H481" t="n">
        <v>0</v>
      </c>
      <c r="I481" t="n">
        <v>0</v>
      </c>
      <c r="J481" t="n">
        <v>0</v>
      </c>
      <c r="K481" t="n">
        <v>0</v>
      </c>
      <c r="L481" t="n">
        <v>0</v>
      </c>
      <c r="M481" t="n">
        <v>0</v>
      </c>
      <c r="N481" t="n">
        <v>0</v>
      </c>
      <c r="O481" t="n">
        <v>0</v>
      </c>
      <c r="P481" t="n">
        <v>0</v>
      </c>
      <c r="Q481" t="n">
        <v>0</v>
      </c>
      <c r="R481" s="2" t="inlineStr"/>
    </row>
    <row r="482" ht="15" customHeight="1">
      <c r="A482" t="inlineStr">
        <is>
          <t>A 50119-2025</t>
        </is>
      </c>
      <c r="B482" s="1" t="n">
        <v>45943.54883101852</v>
      </c>
      <c r="C482" s="1" t="n">
        <v>45990</v>
      </c>
      <c r="D482" t="inlineStr">
        <is>
          <t>VÄSTMANLANDS LÄN</t>
        </is>
      </c>
      <c r="E482" t="inlineStr">
        <is>
          <t>SALA</t>
        </is>
      </c>
      <c r="G482" t="n">
        <v>3.3</v>
      </c>
      <c r="H482" t="n">
        <v>0</v>
      </c>
      <c r="I482" t="n">
        <v>0</v>
      </c>
      <c r="J482" t="n">
        <v>0</v>
      </c>
      <c r="K482" t="n">
        <v>0</v>
      </c>
      <c r="L482" t="n">
        <v>0</v>
      </c>
      <c r="M482" t="n">
        <v>0</v>
      </c>
      <c r="N482" t="n">
        <v>0</v>
      </c>
      <c r="O482" t="n">
        <v>0</v>
      </c>
      <c r="P482" t="n">
        <v>0</v>
      </c>
      <c r="Q482" t="n">
        <v>0</v>
      </c>
      <c r="R482" s="2" t="inlineStr"/>
    </row>
    <row r="483" ht="15" customHeight="1">
      <c r="A483" t="inlineStr">
        <is>
          <t>A 58365-2025</t>
        </is>
      </c>
      <c r="B483" s="1" t="n">
        <v>45985.52288194445</v>
      </c>
      <c r="C483" s="1" t="n">
        <v>45990</v>
      </c>
      <c r="D483" t="inlineStr">
        <is>
          <t>VÄSTMANLANDS LÄN</t>
        </is>
      </c>
      <c r="E483" t="inlineStr">
        <is>
          <t>SALA</t>
        </is>
      </c>
      <c r="G483" t="n">
        <v>3.9</v>
      </c>
      <c r="H483" t="n">
        <v>0</v>
      </c>
      <c r="I483" t="n">
        <v>0</v>
      </c>
      <c r="J483" t="n">
        <v>0</v>
      </c>
      <c r="K483" t="n">
        <v>0</v>
      </c>
      <c r="L483" t="n">
        <v>0</v>
      </c>
      <c r="M483" t="n">
        <v>0</v>
      </c>
      <c r="N483" t="n">
        <v>0</v>
      </c>
      <c r="O483" t="n">
        <v>0</v>
      </c>
      <c r="P483" t="n">
        <v>0</v>
      </c>
      <c r="Q483" t="n">
        <v>0</v>
      </c>
      <c r="R483" s="2" t="inlineStr"/>
    </row>
    <row r="484" ht="15" customHeight="1">
      <c r="A484" t="inlineStr">
        <is>
          <t>A 50059-2025</t>
        </is>
      </c>
      <c r="B484" s="1" t="n">
        <v>45943.44125</v>
      </c>
      <c r="C484" s="1" t="n">
        <v>45990</v>
      </c>
      <c r="D484" t="inlineStr">
        <is>
          <t>VÄSTMANLANDS LÄN</t>
        </is>
      </c>
      <c r="E484" t="inlineStr">
        <is>
          <t>SALA</t>
        </is>
      </c>
      <c r="G484" t="n">
        <v>4.4</v>
      </c>
      <c r="H484" t="n">
        <v>0</v>
      </c>
      <c r="I484" t="n">
        <v>0</v>
      </c>
      <c r="J484" t="n">
        <v>0</v>
      </c>
      <c r="K484" t="n">
        <v>0</v>
      </c>
      <c r="L484" t="n">
        <v>0</v>
      </c>
      <c r="M484" t="n">
        <v>0</v>
      </c>
      <c r="N484" t="n">
        <v>0</v>
      </c>
      <c r="O484" t="n">
        <v>0</v>
      </c>
      <c r="P484" t="n">
        <v>0</v>
      </c>
      <c r="Q484" t="n">
        <v>0</v>
      </c>
      <c r="R484" s="2" t="inlineStr"/>
    </row>
    <row r="485" ht="15" customHeight="1">
      <c r="A485" t="inlineStr">
        <is>
          <t>A 58364-2025</t>
        </is>
      </c>
      <c r="B485" s="1" t="n">
        <v>45985.5228125</v>
      </c>
      <c r="C485" s="1" t="n">
        <v>45990</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56688-2024</t>
        </is>
      </c>
      <c r="B486" s="1" t="n">
        <v>45627.66478009259</v>
      </c>
      <c r="C486" s="1" t="n">
        <v>45990</v>
      </c>
      <c r="D486" t="inlineStr">
        <is>
          <t>VÄSTMANLANDS LÄN</t>
        </is>
      </c>
      <c r="E486" t="inlineStr">
        <is>
          <t>SALA</t>
        </is>
      </c>
      <c r="G486" t="n">
        <v>0.9</v>
      </c>
      <c r="H486" t="n">
        <v>0</v>
      </c>
      <c r="I486" t="n">
        <v>0</v>
      </c>
      <c r="J486" t="n">
        <v>0</v>
      </c>
      <c r="K486" t="n">
        <v>0</v>
      </c>
      <c r="L486" t="n">
        <v>0</v>
      </c>
      <c r="M486" t="n">
        <v>0</v>
      </c>
      <c r="N486" t="n">
        <v>0</v>
      </c>
      <c r="O486" t="n">
        <v>0</v>
      </c>
      <c r="P486" t="n">
        <v>0</v>
      </c>
      <c r="Q486" t="n">
        <v>0</v>
      </c>
      <c r="R486" s="2" t="inlineStr"/>
    </row>
    <row r="487" ht="15" customHeight="1">
      <c r="A487" t="inlineStr">
        <is>
          <t>A 16159-2024</t>
        </is>
      </c>
      <c r="B487" s="1" t="n">
        <v>45406</v>
      </c>
      <c r="C487" s="1" t="n">
        <v>45990</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50249-2025</t>
        </is>
      </c>
      <c r="B488" s="1" t="n">
        <v>45944.31508101852</v>
      </c>
      <c r="C488" s="1" t="n">
        <v>45990</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55760-2025</t>
        </is>
      </c>
      <c r="B489" s="1" t="n">
        <v>45972</v>
      </c>
      <c r="C489" s="1" t="n">
        <v>45990</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66307-2021</t>
        </is>
      </c>
      <c r="B490" s="1" t="n">
        <v>44518.48670138889</v>
      </c>
      <c r="C490" s="1" t="n">
        <v>45990</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27262-2024</t>
        </is>
      </c>
      <c r="B491" s="1" t="n">
        <v>45471</v>
      </c>
      <c r="C491" s="1" t="n">
        <v>45990</v>
      </c>
      <c r="D491" t="inlineStr">
        <is>
          <t>VÄSTMANLANDS LÄN</t>
        </is>
      </c>
      <c r="E491" t="inlineStr">
        <is>
          <t>SALA</t>
        </is>
      </c>
      <c r="G491" t="n">
        <v>0.8</v>
      </c>
      <c r="H491" t="n">
        <v>0</v>
      </c>
      <c r="I491" t="n">
        <v>0</v>
      </c>
      <c r="J491" t="n">
        <v>0</v>
      </c>
      <c r="K491" t="n">
        <v>0</v>
      </c>
      <c r="L491" t="n">
        <v>0</v>
      </c>
      <c r="M491" t="n">
        <v>0</v>
      </c>
      <c r="N491" t="n">
        <v>0</v>
      </c>
      <c r="O491" t="n">
        <v>0</v>
      </c>
      <c r="P491" t="n">
        <v>0</v>
      </c>
      <c r="Q491" t="n">
        <v>0</v>
      </c>
      <c r="R491" s="2" t="inlineStr"/>
    </row>
    <row r="492" ht="15" customHeight="1">
      <c r="A492" t="inlineStr">
        <is>
          <t>A 10913-2025</t>
        </is>
      </c>
      <c r="B492" s="1" t="n">
        <v>45722.73423611111</v>
      </c>
      <c r="C492" s="1" t="n">
        <v>45990</v>
      </c>
      <c r="D492" t="inlineStr">
        <is>
          <t>VÄSTMANLANDS LÄN</t>
        </is>
      </c>
      <c r="E492" t="inlineStr">
        <is>
          <t>SALA</t>
        </is>
      </c>
      <c r="G492" t="n">
        <v>7.6</v>
      </c>
      <c r="H492" t="n">
        <v>0</v>
      </c>
      <c r="I492" t="n">
        <v>0</v>
      </c>
      <c r="J492" t="n">
        <v>0</v>
      </c>
      <c r="K492" t="n">
        <v>0</v>
      </c>
      <c r="L492" t="n">
        <v>0</v>
      </c>
      <c r="M492" t="n">
        <v>0</v>
      </c>
      <c r="N492" t="n">
        <v>0</v>
      </c>
      <c r="O492" t="n">
        <v>0</v>
      </c>
      <c r="P492" t="n">
        <v>0</v>
      </c>
      <c r="Q492" t="n">
        <v>0</v>
      </c>
      <c r="R492" s="2" t="inlineStr"/>
    </row>
    <row r="493" ht="15" customHeight="1">
      <c r="A493" t="inlineStr">
        <is>
          <t>A 57014-2025</t>
        </is>
      </c>
      <c r="B493" s="1" t="n">
        <v>45978</v>
      </c>
      <c r="C493" s="1" t="n">
        <v>45990</v>
      </c>
      <c r="D493" t="inlineStr">
        <is>
          <t>VÄSTMANLANDS LÄN</t>
        </is>
      </c>
      <c r="E493" t="inlineStr">
        <is>
          <t>SALA</t>
        </is>
      </c>
      <c r="G493" t="n">
        <v>2.2</v>
      </c>
      <c r="H493" t="n">
        <v>0</v>
      </c>
      <c r="I493" t="n">
        <v>0</v>
      </c>
      <c r="J493" t="n">
        <v>0</v>
      </c>
      <c r="K493" t="n">
        <v>0</v>
      </c>
      <c r="L493" t="n">
        <v>0</v>
      </c>
      <c r="M493" t="n">
        <v>0</v>
      </c>
      <c r="N493" t="n">
        <v>0</v>
      </c>
      <c r="O493" t="n">
        <v>0</v>
      </c>
      <c r="P493" t="n">
        <v>0</v>
      </c>
      <c r="Q493" t="n">
        <v>0</v>
      </c>
      <c r="R493" s="2" t="inlineStr"/>
    </row>
    <row r="494" ht="15" customHeight="1">
      <c r="A494" t="inlineStr">
        <is>
          <t>A 35410-2022</t>
        </is>
      </c>
      <c r="B494" s="1" t="n">
        <v>44798.62576388889</v>
      </c>
      <c r="C494" s="1" t="n">
        <v>45990</v>
      </c>
      <c r="D494" t="inlineStr">
        <is>
          <t>VÄSTMANLANDS LÄN</t>
        </is>
      </c>
      <c r="E494" t="inlineStr">
        <is>
          <t>SALA</t>
        </is>
      </c>
      <c r="G494" t="n">
        <v>1.6</v>
      </c>
      <c r="H494" t="n">
        <v>0</v>
      </c>
      <c r="I494" t="n">
        <v>0</v>
      </c>
      <c r="J494" t="n">
        <v>0</v>
      </c>
      <c r="K494" t="n">
        <v>0</v>
      </c>
      <c r="L494" t="n">
        <v>0</v>
      </c>
      <c r="M494" t="n">
        <v>0</v>
      </c>
      <c r="N494" t="n">
        <v>0</v>
      </c>
      <c r="O494" t="n">
        <v>0</v>
      </c>
      <c r="P494" t="n">
        <v>0</v>
      </c>
      <c r="Q494" t="n">
        <v>0</v>
      </c>
      <c r="R494" s="2" t="inlineStr"/>
    </row>
    <row r="495" ht="15" customHeight="1">
      <c r="A495" t="inlineStr">
        <is>
          <t>A 1118-2024</t>
        </is>
      </c>
      <c r="B495" s="1" t="n">
        <v>45302</v>
      </c>
      <c r="C495" s="1" t="n">
        <v>45990</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19033-2025</t>
        </is>
      </c>
      <c r="B496" s="1" t="n">
        <v>45764.65796296296</v>
      </c>
      <c r="C496" s="1" t="n">
        <v>45990</v>
      </c>
      <c r="D496" t="inlineStr">
        <is>
          <t>VÄSTMANLANDS LÄN</t>
        </is>
      </c>
      <c r="E496" t="inlineStr">
        <is>
          <t>SALA</t>
        </is>
      </c>
      <c r="F496" t="inlineStr">
        <is>
          <t>Bergvik skog öst AB</t>
        </is>
      </c>
      <c r="G496" t="n">
        <v>1.4</v>
      </c>
      <c r="H496" t="n">
        <v>0</v>
      </c>
      <c r="I496" t="n">
        <v>0</v>
      </c>
      <c r="J496" t="n">
        <v>0</v>
      </c>
      <c r="K496" t="n">
        <v>0</v>
      </c>
      <c r="L496" t="n">
        <v>0</v>
      </c>
      <c r="M496" t="n">
        <v>0</v>
      </c>
      <c r="N496" t="n">
        <v>0</v>
      </c>
      <c r="O496" t="n">
        <v>0</v>
      </c>
      <c r="P496" t="n">
        <v>0</v>
      </c>
      <c r="Q496" t="n">
        <v>0</v>
      </c>
      <c r="R496" s="2" t="inlineStr"/>
    </row>
    <row r="497" ht="15" customHeight="1">
      <c r="A497" t="inlineStr">
        <is>
          <t>A 53864-2022</t>
        </is>
      </c>
      <c r="B497" s="1" t="n">
        <v>44880.64016203704</v>
      </c>
      <c r="C497" s="1" t="n">
        <v>45990</v>
      </c>
      <c r="D497" t="inlineStr">
        <is>
          <t>VÄSTMANLANDS LÄN</t>
        </is>
      </c>
      <c r="E497" t="inlineStr">
        <is>
          <t>SALA</t>
        </is>
      </c>
      <c r="G497" t="n">
        <v>5.9</v>
      </c>
      <c r="H497" t="n">
        <v>0</v>
      </c>
      <c r="I497" t="n">
        <v>0</v>
      </c>
      <c r="J497" t="n">
        <v>0</v>
      </c>
      <c r="K497" t="n">
        <v>0</v>
      </c>
      <c r="L497" t="n">
        <v>0</v>
      </c>
      <c r="M497" t="n">
        <v>0</v>
      </c>
      <c r="N497" t="n">
        <v>0</v>
      </c>
      <c r="O497" t="n">
        <v>0</v>
      </c>
      <c r="P497" t="n">
        <v>0</v>
      </c>
      <c r="Q497" t="n">
        <v>0</v>
      </c>
      <c r="R497" s="2" t="inlineStr"/>
    </row>
    <row r="498" ht="15" customHeight="1">
      <c r="A498" t="inlineStr">
        <is>
          <t>A 40085-2024</t>
        </is>
      </c>
      <c r="B498" s="1" t="n">
        <v>45554</v>
      </c>
      <c r="C498" s="1" t="n">
        <v>45990</v>
      </c>
      <c r="D498" t="inlineStr">
        <is>
          <t>VÄSTMANLANDS LÄN</t>
        </is>
      </c>
      <c r="E498" t="inlineStr">
        <is>
          <t>SALA</t>
        </is>
      </c>
      <c r="G498" t="n">
        <v>2.8</v>
      </c>
      <c r="H498" t="n">
        <v>0</v>
      </c>
      <c r="I498" t="n">
        <v>0</v>
      </c>
      <c r="J498" t="n">
        <v>0</v>
      </c>
      <c r="K498" t="n">
        <v>0</v>
      </c>
      <c r="L498" t="n">
        <v>0</v>
      </c>
      <c r="M498" t="n">
        <v>0</v>
      </c>
      <c r="N498" t="n">
        <v>0</v>
      </c>
      <c r="O498" t="n">
        <v>0</v>
      </c>
      <c r="P498" t="n">
        <v>0</v>
      </c>
      <c r="Q498" t="n">
        <v>0</v>
      </c>
      <c r="R498" s="2" t="inlineStr"/>
    </row>
    <row r="499" ht="15" customHeight="1">
      <c r="A499" t="inlineStr">
        <is>
          <t>A 3551-2024</t>
        </is>
      </c>
      <c r="B499" s="1" t="n">
        <v>45320.61099537037</v>
      </c>
      <c r="C499" s="1" t="n">
        <v>45990</v>
      </c>
      <c r="D499" t="inlineStr">
        <is>
          <t>VÄSTMANLANDS LÄN</t>
        </is>
      </c>
      <c r="E499" t="inlineStr">
        <is>
          <t>SALA</t>
        </is>
      </c>
      <c r="F499" t="inlineStr">
        <is>
          <t>Kommuner</t>
        </is>
      </c>
      <c r="G499" t="n">
        <v>6</v>
      </c>
      <c r="H499" t="n">
        <v>0</v>
      </c>
      <c r="I499" t="n">
        <v>0</v>
      </c>
      <c r="J499" t="n">
        <v>0</v>
      </c>
      <c r="K499" t="n">
        <v>0</v>
      </c>
      <c r="L499" t="n">
        <v>0</v>
      </c>
      <c r="M499" t="n">
        <v>0</v>
      </c>
      <c r="N499" t="n">
        <v>0</v>
      </c>
      <c r="O499" t="n">
        <v>0</v>
      </c>
      <c r="P499" t="n">
        <v>0</v>
      </c>
      <c r="Q499" t="n">
        <v>0</v>
      </c>
      <c r="R499" s="2" t="inlineStr"/>
    </row>
    <row r="500" ht="15" customHeight="1">
      <c r="A500" t="inlineStr">
        <is>
          <t>A 22961-2023</t>
        </is>
      </c>
      <c r="B500" s="1" t="n">
        <v>45072</v>
      </c>
      <c r="C500" s="1" t="n">
        <v>45990</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22963-2023</t>
        </is>
      </c>
      <c r="B501" s="1" t="n">
        <v>45072</v>
      </c>
      <c r="C501" s="1" t="n">
        <v>45990</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59385-2025</t>
        </is>
      </c>
      <c r="B502" s="1" t="n">
        <v>45989.45746527778</v>
      </c>
      <c r="C502" s="1" t="n">
        <v>45990</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59390-2025</t>
        </is>
      </c>
      <c r="B503" s="1" t="n">
        <v>45989.4640162037</v>
      </c>
      <c r="C503" s="1" t="n">
        <v>45990</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54960-2024</t>
        </is>
      </c>
      <c r="B504" s="1" t="n">
        <v>45619.85208333333</v>
      </c>
      <c r="C504" s="1" t="n">
        <v>45990</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27228-2023</t>
        </is>
      </c>
      <c r="B505" s="1" t="n">
        <v>45096.59189814814</v>
      </c>
      <c r="C505" s="1" t="n">
        <v>45990</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26507-2023</t>
        </is>
      </c>
      <c r="B506" s="1" t="n">
        <v>45092</v>
      </c>
      <c r="C506" s="1" t="n">
        <v>45990</v>
      </c>
      <c r="D506" t="inlineStr">
        <is>
          <t>VÄSTMANLANDS LÄN</t>
        </is>
      </c>
      <c r="E506" t="inlineStr">
        <is>
          <t>SALA</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6183-2025</t>
        </is>
      </c>
      <c r="B507" s="1" t="n">
        <v>45698</v>
      </c>
      <c r="C507" s="1" t="n">
        <v>45990</v>
      </c>
      <c r="D507" t="inlineStr">
        <is>
          <t>VÄSTMANLANDS LÄN</t>
        </is>
      </c>
      <c r="E507" t="inlineStr">
        <is>
          <t>SALA</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16543-2023</t>
        </is>
      </c>
      <c r="B508" s="1" t="n">
        <v>45029</v>
      </c>
      <c r="C508" s="1" t="n">
        <v>45990</v>
      </c>
      <c r="D508" t="inlineStr">
        <is>
          <t>VÄSTMANLANDS LÄN</t>
        </is>
      </c>
      <c r="E508" t="inlineStr">
        <is>
          <t>SALA</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43176-2023</t>
        </is>
      </c>
      <c r="B509" s="1" t="n">
        <v>45183</v>
      </c>
      <c r="C509" s="1" t="n">
        <v>45990</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37624-2024</t>
        </is>
      </c>
      <c r="B510" s="1" t="n">
        <v>45541</v>
      </c>
      <c r="C510" s="1" t="n">
        <v>45990</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57895-2024</t>
        </is>
      </c>
      <c r="B511" s="1" t="n">
        <v>45631</v>
      </c>
      <c r="C511" s="1" t="n">
        <v>45990</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47086-2022</t>
        </is>
      </c>
      <c r="B512" s="1" t="n">
        <v>44852</v>
      </c>
      <c r="C512" s="1" t="n">
        <v>45990</v>
      </c>
      <c r="D512" t="inlineStr">
        <is>
          <t>VÄSTMANLANDS LÄN</t>
        </is>
      </c>
      <c r="E512" t="inlineStr">
        <is>
          <t>SALA</t>
        </is>
      </c>
      <c r="G512" t="n">
        <v>12.5</v>
      </c>
      <c r="H512" t="n">
        <v>0</v>
      </c>
      <c r="I512" t="n">
        <v>0</v>
      </c>
      <c r="J512" t="n">
        <v>0</v>
      </c>
      <c r="K512" t="n">
        <v>0</v>
      </c>
      <c r="L512" t="n">
        <v>0</v>
      </c>
      <c r="M512" t="n">
        <v>0</v>
      </c>
      <c r="N512" t="n">
        <v>0</v>
      </c>
      <c r="O512" t="n">
        <v>0</v>
      </c>
      <c r="P512" t="n">
        <v>0</v>
      </c>
      <c r="Q512" t="n">
        <v>0</v>
      </c>
      <c r="R512" s="2" t="inlineStr"/>
    </row>
    <row r="513" ht="15" customHeight="1">
      <c r="A513" t="inlineStr">
        <is>
          <t>A 14010-2021</t>
        </is>
      </c>
      <c r="B513" s="1" t="n">
        <v>44277.63396990741</v>
      </c>
      <c r="C513" s="1" t="n">
        <v>45990</v>
      </c>
      <c r="D513" t="inlineStr">
        <is>
          <t>VÄSTMANLANDS LÄN</t>
        </is>
      </c>
      <c r="E513" t="inlineStr">
        <is>
          <t>SALA</t>
        </is>
      </c>
      <c r="G513" t="n">
        <v>3.5</v>
      </c>
      <c r="H513" t="n">
        <v>0</v>
      </c>
      <c r="I513" t="n">
        <v>0</v>
      </c>
      <c r="J513" t="n">
        <v>0</v>
      </c>
      <c r="K513" t="n">
        <v>0</v>
      </c>
      <c r="L513" t="n">
        <v>0</v>
      </c>
      <c r="M513" t="n">
        <v>0</v>
      </c>
      <c r="N513" t="n">
        <v>0</v>
      </c>
      <c r="O513" t="n">
        <v>0</v>
      </c>
      <c r="P513" t="n">
        <v>0</v>
      </c>
      <c r="Q513" t="n">
        <v>0</v>
      </c>
      <c r="R513" s="2" t="inlineStr"/>
    </row>
    <row r="514" ht="15" customHeight="1">
      <c r="A514" t="inlineStr">
        <is>
          <t>A 56687-2024</t>
        </is>
      </c>
      <c r="B514" s="1" t="n">
        <v>45627.63271990741</v>
      </c>
      <c r="C514" s="1" t="n">
        <v>45990</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54347-2024</t>
        </is>
      </c>
      <c r="B515" s="1" t="n">
        <v>45617.39325231482</v>
      </c>
      <c r="C515" s="1" t="n">
        <v>45990</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64693-2023</t>
        </is>
      </c>
      <c r="B516" s="1" t="n">
        <v>45281.63850694444</v>
      </c>
      <c r="C516" s="1" t="n">
        <v>45990</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64695-2023</t>
        </is>
      </c>
      <c r="B517" s="1" t="n">
        <v>45281.64099537037</v>
      </c>
      <c r="C517" s="1" t="n">
        <v>45990</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27486-2022</t>
        </is>
      </c>
      <c r="B518" s="1" t="n">
        <v>44742.60846064815</v>
      </c>
      <c r="C518" s="1" t="n">
        <v>45990</v>
      </c>
      <c r="D518" t="inlineStr">
        <is>
          <t>VÄSTMANLANDS LÄN</t>
        </is>
      </c>
      <c r="E518" t="inlineStr">
        <is>
          <t>SALA</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35003-2024</t>
        </is>
      </c>
      <c r="B519" s="1" t="n">
        <v>45527.56790509259</v>
      </c>
      <c r="C519" s="1" t="n">
        <v>45990</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48688-2024</t>
        </is>
      </c>
      <c r="B520" s="1" t="n">
        <v>45593.50541666667</v>
      </c>
      <c r="C520" s="1" t="n">
        <v>45990</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15354-2021</t>
        </is>
      </c>
      <c r="B521" s="1" t="n">
        <v>44284</v>
      </c>
      <c r="C521" s="1" t="n">
        <v>45990</v>
      </c>
      <c r="D521" t="inlineStr">
        <is>
          <t>VÄSTMANLANDS LÄN</t>
        </is>
      </c>
      <c r="E521" t="inlineStr">
        <is>
          <t>SALA</t>
        </is>
      </c>
      <c r="F521" t="inlineStr">
        <is>
          <t>Kyrkan</t>
        </is>
      </c>
      <c r="G521" t="n">
        <v>8.5</v>
      </c>
      <c r="H521" t="n">
        <v>0</v>
      </c>
      <c r="I521" t="n">
        <v>0</v>
      </c>
      <c r="J521" t="n">
        <v>0</v>
      </c>
      <c r="K521" t="n">
        <v>0</v>
      </c>
      <c r="L521" t="n">
        <v>0</v>
      </c>
      <c r="M521" t="n">
        <v>0</v>
      </c>
      <c r="N521" t="n">
        <v>0</v>
      </c>
      <c r="O521" t="n">
        <v>0</v>
      </c>
      <c r="P521" t="n">
        <v>0</v>
      </c>
      <c r="Q521" t="n">
        <v>0</v>
      </c>
      <c r="R521" s="2" t="inlineStr"/>
    </row>
    <row r="522" ht="15" customHeight="1">
      <c r="A522" t="inlineStr">
        <is>
          <t>A 63933-2023</t>
        </is>
      </c>
      <c r="B522" s="1" t="n">
        <v>45278</v>
      </c>
      <c r="C522" s="1" t="n">
        <v>45990</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44746-2024</t>
        </is>
      </c>
      <c r="B523" s="1" t="n">
        <v>45574.59813657407</v>
      </c>
      <c r="C523" s="1" t="n">
        <v>45990</v>
      </c>
      <c r="D523" t="inlineStr">
        <is>
          <t>VÄSTMANLANDS LÄN</t>
        </is>
      </c>
      <c r="E523" t="inlineStr">
        <is>
          <t>SALA</t>
        </is>
      </c>
      <c r="G523" t="n">
        <v>6.7</v>
      </c>
      <c r="H523" t="n">
        <v>0</v>
      </c>
      <c r="I523" t="n">
        <v>0</v>
      </c>
      <c r="J523" t="n">
        <v>0</v>
      </c>
      <c r="K523" t="n">
        <v>0</v>
      </c>
      <c r="L523" t="n">
        <v>0</v>
      </c>
      <c r="M523" t="n">
        <v>0</v>
      </c>
      <c r="N523" t="n">
        <v>0</v>
      </c>
      <c r="O523" t="n">
        <v>0</v>
      </c>
      <c r="P523" t="n">
        <v>0</v>
      </c>
      <c r="Q523" t="n">
        <v>0</v>
      </c>
      <c r="R523" s="2" t="inlineStr"/>
    </row>
    <row r="524" ht="15" customHeight="1">
      <c r="A524" t="inlineStr">
        <is>
          <t>A 33273-2023</t>
        </is>
      </c>
      <c r="B524" s="1" t="n">
        <v>45127</v>
      </c>
      <c r="C524" s="1" t="n">
        <v>45990</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11696-2025</t>
        </is>
      </c>
      <c r="B525" s="1" t="n">
        <v>45727</v>
      </c>
      <c r="C525" s="1" t="n">
        <v>45990</v>
      </c>
      <c r="D525" t="inlineStr">
        <is>
          <t>VÄSTMANLANDS LÄN</t>
        </is>
      </c>
      <c r="E525" t="inlineStr">
        <is>
          <t>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60545-2024</t>
        </is>
      </c>
      <c r="B526" s="1" t="n">
        <v>45643</v>
      </c>
      <c r="C526" s="1" t="n">
        <v>45990</v>
      </c>
      <c r="D526" t="inlineStr">
        <is>
          <t>VÄSTMANLANDS LÄN</t>
        </is>
      </c>
      <c r="E526" t="inlineStr">
        <is>
          <t>SALA</t>
        </is>
      </c>
      <c r="G526" t="n">
        <v>3.3</v>
      </c>
      <c r="H526" t="n">
        <v>0</v>
      </c>
      <c r="I526" t="n">
        <v>0</v>
      </c>
      <c r="J526" t="n">
        <v>0</v>
      </c>
      <c r="K526" t="n">
        <v>0</v>
      </c>
      <c r="L526" t="n">
        <v>0</v>
      </c>
      <c r="M526" t="n">
        <v>0</v>
      </c>
      <c r="N526" t="n">
        <v>0</v>
      </c>
      <c r="O526" t="n">
        <v>0</v>
      </c>
      <c r="P526" t="n">
        <v>0</v>
      </c>
      <c r="Q526" t="n">
        <v>0</v>
      </c>
      <c r="R526" s="2" t="inlineStr"/>
    </row>
    <row r="527" ht="15" customHeight="1">
      <c r="A527" t="inlineStr">
        <is>
          <t>A 60547-2024</t>
        </is>
      </c>
      <c r="B527" s="1" t="n">
        <v>45643</v>
      </c>
      <c r="C527" s="1" t="n">
        <v>45990</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1985-2022</t>
        </is>
      </c>
      <c r="B528" s="1" t="n">
        <v>44575</v>
      </c>
      <c r="C528" s="1" t="n">
        <v>45990</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27261-2024</t>
        </is>
      </c>
      <c r="B529" s="1" t="n">
        <v>45471</v>
      </c>
      <c r="C529" s="1" t="n">
        <v>45990</v>
      </c>
      <c r="D529" t="inlineStr">
        <is>
          <t>VÄSTMANLANDS LÄN</t>
        </is>
      </c>
      <c r="E529" t="inlineStr">
        <is>
          <t>SALA</t>
        </is>
      </c>
      <c r="G529" t="n">
        <v>6.1</v>
      </c>
      <c r="H529" t="n">
        <v>0</v>
      </c>
      <c r="I529" t="n">
        <v>0</v>
      </c>
      <c r="J529" t="n">
        <v>0</v>
      </c>
      <c r="K529" t="n">
        <v>0</v>
      </c>
      <c r="L529" t="n">
        <v>0</v>
      </c>
      <c r="M529" t="n">
        <v>0</v>
      </c>
      <c r="N529" t="n">
        <v>0</v>
      </c>
      <c r="O529" t="n">
        <v>0</v>
      </c>
      <c r="P529" t="n">
        <v>0</v>
      </c>
      <c r="Q529" t="n">
        <v>0</v>
      </c>
      <c r="R529" s="2" t="inlineStr"/>
    </row>
    <row r="530" ht="15" customHeight="1">
      <c r="A530" t="inlineStr">
        <is>
          <t>A 35976-2024</t>
        </is>
      </c>
      <c r="B530" s="1" t="n">
        <v>45533.49555555556</v>
      </c>
      <c r="C530" s="1" t="n">
        <v>45990</v>
      </c>
      <c r="D530" t="inlineStr">
        <is>
          <t>VÄSTMANLANDS LÄN</t>
        </is>
      </c>
      <c r="E530" t="inlineStr">
        <is>
          <t>SALA</t>
        </is>
      </c>
      <c r="G530" t="n">
        <v>2.3</v>
      </c>
      <c r="H530" t="n">
        <v>0</v>
      </c>
      <c r="I530" t="n">
        <v>0</v>
      </c>
      <c r="J530" t="n">
        <v>0</v>
      </c>
      <c r="K530" t="n">
        <v>0</v>
      </c>
      <c r="L530" t="n">
        <v>0</v>
      </c>
      <c r="M530" t="n">
        <v>0</v>
      </c>
      <c r="N530" t="n">
        <v>0</v>
      </c>
      <c r="O530" t="n">
        <v>0</v>
      </c>
      <c r="P530" t="n">
        <v>0</v>
      </c>
      <c r="Q530" t="n">
        <v>0</v>
      </c>
      <c r="R530" s="2" t="inlineStr"/>
    </row>
    <row r="531" ht="15" customHeight="1">
      <c r="A531" t="inlineStr">
        <is>
          <t>A 55556-2023</t>
        </is>
      </c>
      <c r="B531" s="1" t="n">
        <v>45232</v>
      </c>
      <c r="C531" s="1" t="n">
        <v>45990</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57650-2024</t>
        </is>
      </c>
      <c r="B532" s="1" t="n">
        <v>45630</v>
      </c>
      <c r="C532" s="1" t="n">
        <v>45990</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50479-2022</t>
        </is>
      </c>
      <c r="B533" s="1" t="n">
        <v>44861</v>
      </c>
      <c r="C533" s="1" t="n">
        <v>45990</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45790-2023</t>
        </is>
      </c>
      <c r="B534" s="1" t="n">
        <v>45195.45958333334</v>
      </c>
      <c r="C534" s="1" t="n">
        <v>45990</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2928-2024</t>
        </is>
      </c>
      <c r="B535" s="1" t="n">
        <v>45315.59041666667</v>
      </c>
      <c r="C535" s="1" t="n">
        <v>45990</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73673-2021</t>
        </is>
      </c>
      <c r="B536" s="1" t="n">
        <v>44552.46501157407</v>
      </c>
      <c r="C536" s="1" t="n">
        <v>45990</v>
      </c>
      <c r="D536" t="inlineStr">
        <is>
          <t>VÄSTMANLANDS LÄN</t>
        </is>
      </c>
      <c r="E536" t="inlineStr">
        <is>
          <t>SALA</t>
        </is>
      </c>
      <c r="G536" t="n">
        <v>11.4</v>
      </c>
      <c r="H536" t="n">
        <v>0</v>
      </c>
      <c r="I536" t="n">
        <v>0</v>
      </c>
      <c r="J536" t="n">
        <v>0</v>
      </c>
      <c r="K536" t="n">
        <v>0</v>
      </c>
      <c r="L536" t="n">
        <v>0</v>
      </c>
      <c r="M536" t="n">
        <v>0</v>
      </c>
      <c r="N536" t="n">
        <v>0</v>
      </c>
      <c r="O536" t="n">
        <v>0</v>
      </c>
      <c r="P536" t="n">
        <v>0</v>
      </c>
      <c r="Q536" t="n">
        <v>0</v>
      </c>
      <c r="R536" s="2" t="inlineStr"/>
    </row>
    <row r="537" ht="15" customHeight="1">
      <c r="A537" t="inlineStr">
        <is>
          <t>A 40871-2021</t>
        </is>
      </c>
      <c r="B537" s="1" t="n">
        <v>44421</v>
      </c>
      <c r="C537" s="1" t="n">
        <v>45990</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14271-2025</t>
        </is>
      </c>
      <c r="B538" s="1" t="n">
        <v>45740.64129629629</v>
      </c>
      <c r="C538" s="1" t="n">
        <v>45990</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54199-2024</t>
        </is>
      </c>
      <c r="B539" s="1" t="n">
        <v>45616.64703703704</v>
      </c>
      <c r="C539" s="1" t="n">
        <v>45990</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6312-2025</t>
        </is>
      </c>
      <c r="B540" s="1" t="n">
        <v>45698</v>
      </c>
      <c r="C540" s="1" t="n">
        <v>45990</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44857-2023</t>
        </is>
      </c>
      <c r="B541" s="1" t="n">
        <v>45190.58479166667</v>
      </c>
      <c r="C541" s="1" t="n">
        <v>45990</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62654-2022</t>
        </is>
      </c>
      <c r="B542" s="1" t="n">
        <v>44917</v>
      </c>
      <c r="C542" s="1" t="n">
        <v>45990</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43188-2023</t>
        </is>
      </c>
      <c r="B543" s="1" t="n">
        <v>45183</v>
      </c>
      <c r="C543" s="1" t="n">
        <v>45990</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43205-2023</t>
        </is>
      </c>
      <c r="B544" s="1" t="n">
        <v>45183</v>
      </c>
      <c r="C544" s="1" t="n">
        <v>45990</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61892-2021</t>
        </is>
      </c>
      <c r="B545" s="1" t="n">
        <v>44502</v>
      </c>
      <c r="C545" s="1" t="n">
        <v>45990</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29213-2022</t>
        </is>
      </c>
      <c r="B546" s="1" t="n">
        <v>44750.57474537037</v>
      </c>
      <c r="C546" s="1" t="n">
        <v>45990</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59483-2022</t>
        </is>
      </c>
      <c r="B547" s="1" t="n">
        <v>44907.45679398148</v>
      </c>
      <c r="C547" s="1" t="n">
        <v>45990</v>
      </c>
      <c r="D547" t="inlineStr">
        <is>
          <t>VÄSTMANLANDS LÄN</t>
        </is>
      </c>
      <c r="E547" t="inlineStr">
        <is>
          <t>SALA</t>
        </is>
      </c>
      <c r="G547" t="n">
        <v>5.2</v>
      </c>
      <c r="H547" t="n">
        <v>0</v>
      </c>
      <c r="I547" t="n">
        <v>0</v>
      </c>
      <c r="J547" t="n">
        <v>0</v>
      </c>
      <c r="K547" t="n">
        <v>0</v>
      </c>
      <c r="L547" t="n">
        <v>0</v>
      </c>
      <c r="M547" t="n">
        <v>0</v>
      </c>
      <c r="N547" t="n">
        <v>0</v>
      </c>
      <c r="O547" t="n">
        <v>0</v>
      </c>
      <c r="P547" t="n">
        <v>0</v>
      </c>
      <c r="Q547" t="n">
        <v>0</v>
      </c>
      <c r="R547" s="2" t="inlineStr"/>
    </row>
    <row r="548" ht="15" customHeight="1">
      <c r="A548" t="inlineStr">
        <is>
          <t>A 16160-2024</t>
        </is>
      </c>
      <c r="B548" s="1" t="n">
        <v>45406</v>
      </c>
      <c r="C548" s="1" t="n">
        <v>45990</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39597-2022</t>
        </is>
      </c>
      <c r="B549" s="1" t="n">
        <v>44818</v>
      </c>
      <c r="C549" s="1" t="n">
        <v>45990</v>
      </c>
      <c r="D549" t="inlineStr">
        <is>
          <t>VÄSTMANLANDS LÄN</t>
        </is>
      </c>
      <c r="E549" t="inlineStr">
        <is>
          <t>SALA</t>
        </is>
      </c>
      <c r="G549" t="n">
        <v>2.3</v>
      </c>
      <c r="H549" t="n">
        <v>0</v>
      </c>
      <c r="I549" t="n">
        <v>0</v>
      </c>
      <c r="J549" t="n">
        <v>0</v>
      </c>
      <c r="K549" t="n">
        <v>0</v>
      </c>
      <c r="L549" t="n">
        <v>0</v>
      </c>
      <c r="M549" t="n">
        <v>0</v>
      </c>
      <c r="N549" t="n">
        <v>0</v>
      </c>
      <c r="O549" t="n">
        <v>0</v>
      </c>
      <c r="P549" t="n">
        <v>0</v>
      </c>
      <c r="Q549" t="n">
        <v>0</v>
      </c>
      <c r="R549" s="2" t="inlineStr"/>
    </row>
    <row r="550" ht="15" customHeight="1">
      <c r="A550" t="inlineStr">
        <is>
          <t>A 22921-2023</t>
        </is>
      </c>
      <c r="B550" s="1" t="n">
        <v>45070</v>
      </c>
      <c r="C550" s="1" t="n">
        <v>45990</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36858-2023</t>
        </is>
      </c>
      <c r="B551" s="1" t="n">
        <v>45154.55184027777</v>
      </c>
      <c r="C551" s="1" t="n">
        <v>45990</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55024-2023</t>
        </is>
      </c>
      <c r="B552" s="1" t="n">
        <v>45229</v>
      </c>
      <c r="C552" s="1" t="n">
        <v>45990</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55032-2023</t>
        </is>
      </c>
      <c r="B553" s="1" t="n">
        <v>45229</v>
      </c>
      <c r="C553" s="1" t="n">
        <v>45990</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20352-2022</t>
        </is>
      </c>
      <c r="B554" s="1" t="n">
        <v>44699.37318287037</v>
      </c>
      <c r="C554" s="1" t="n">
        <v>45990</v>
      </c>
      <c r="D554" t="inlineStr">
        <is>
          <t>VÄSTMANLANDS LÄN</t>
        </is>
      </c>
      <c r="E554" t="inlineStr">
        <is>
          <t>SALA</t>
        </is>
      </c>
      <c r="G554" t="n">
        <v>1.3</v>
      </c>
      <c r="H554" t="n">
        <v>0</v>
      </c>
      <c r="I554" t="n">
        <v>0</v>
      </c>
      <c r="J554" t="n">
        <v>0</v>
      </c>
      <c r="K554" t="n">
        <v>0</v>
      </c>
      <c r="L554" t="n">
        <v>0</v>
      </c>
      <c r="M554" t="n">
        <v>0</v>
      </c>
      <c r="N554" t="n">
        <v>0</v>
      </c>
      <c r="O554" t="n">
        <v>0</v>
      </c>
      <c r="P554" t="n">
        <v>0</v>
      </c>
      <c r="Q554" t="n">
        <v>0</v>
      </c>
      <c r="R554" s="2" t="inlineStr"/>
    </row>
    <row r="555" ht="15" customHeight="1">
      <c r="A555" t="inlineStr">
        <is>
          <t>A 5032-2025</t>
        </is>
      </c>
      <c r="B555" s="1" t="n">
        <v>45691</v>
      </c>
      <c r="C555" s="1" t="n">
        <v>45990</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17117-2023</t>
        </is>
      </c>
      <c r="B556" s="1" t="n">
        <v>45034</v>
      </c>
      <c r="C556" s="1" t="n">
        <v>45990</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19243-2025</t>
        </is>
      </c>
      <c r="B557" s="1" t="n">
        <v>45769</v>
      </c>
      <c r="C557" s="1" t="n">
        <v>45990</v>
      </c>
      <c r="D557" t="inlineStr">
        <is>
          <t>VÄSTMANLANDS LÄN</t>
        </is>
      </c>
      <c r="E557" t="inlineStr">
        <is>
          <t>SALA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7166-2025</t>
        </is>
      </c>
      <c r="B558" s="1" t="n">
        <v>45702</v>
      </c>
      <c r="C558" s="1" t="n">
        <v>45990</v>
      </c>
      <c r="D558" t="inlineStr">
        <is>
          <t>VÄSTMANLANDS LÄN</t>
        </is>
      </c>
      <c r="E558" t="inlineStr">
        <is>
          <t>SALA</t>
        </is>
      </c>
      <c r="G558" t="n">
        <v>6.1</v>
      </c>
      <c r="H558" t="n">
        <v>0</v>
      </c>
      <c r="I558" t="n">
        <v>0</v>
      </c>
      <c r="J558" t="n">
        <v>0</v>
      </c>
      <c r="K558" t="n">
        <v>0</v>
      </c>
      <c r="L558" t="n">
        <v>0</v>
      </c>
      <c r="M558" t="n">
        <v>0</v>
      </c>
      <c r="N558" t="n">
        <v>0</v>
      </c>
      <c r="O558" t="n">
        <v>0</v>
      </c>
      <c r="P558" t="n">
        <v>0</v>
      </c>
      <c r="Q558" t="n">
        <v>0</v>
      </c>
      <c r="R558" s="2" t="inlineStr"/>
    </row>
    <row r="559" ht="15" customHeight="1">
      <c r="A559" t="inlineStr">
        <is>
          <t>A 36393-2023</t>
        </is>
      </c>
      <c r="B559" s="1" t="n">
        <v>45152</v>
      </c>
      <c r="C559" s="1" t="n">
        <v>45990</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26416-2023</t>
        </is>
      </c>
      <c r="B560" s="1" t="n">
        <v>45092.38087962963</v>
      </c>
      <c r="C560" s="1" t="n">
        <v>45990</v>
      </c>
      <c r="D560" t="inlineStr">
        <is>
          <t>VÄSTMANLANDS LÄN</t>
        </is>
      </c>
      <c r="E560" t="inlineStr">
        <is>
          <t>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66821-2020</t>
        </is>
      </c>
      <c r="B561" s="1" t="n">
        <v>44179.88008101852</v>
      </c>
      <c r="C561" s="1" t="n">
        <v>45990</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28661-2024</t>
        </is>
      </c>
      <c r="B562" s="1" t="n">
        <v>45478</v>
      </c>
      <c r="C562" s="1" t="n">
        <v>45990</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27255-2023</t>
        </is>
      </c>
      <c r="B563" s="1" t="n">
        <v>45096</v>
      </c>
      <c r="C563" s="1" t="n">
        <v>45990</v>
      </c>
      <c r="D563" t="inlineStr">
        <is>
          <t>VÄSTMANLANDS LÄN</t>
        </is>
      </c>
      <c r="E563" t="inlineStr">
        <is>
          <t>SALA</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7197-2025</t>
        </is>
      </c>
      <c r="B564" s="1" t="n">
        <v>45702</v>
      </c>
      <c r="C564" s="1" t="n">
        <v>45990</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13752-2025</t>
        </is>
      </c>
      <c r="B565" s="1" t="n">
        <v>45737.41416666667</v>
      </c>
      <c r="C565" s="1" t="n">
        <v>45990</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2927-2024</t>
        </is>
      </c>
      <c r="B566" s="1" t="n">
        <v>45315.58989583333</v>
      </c>
      <c r="C566" s="1" t="n">
        <v>45990</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26854-2024</t>
        </is>
      </c>
      <c r="B567" s="1" t="n">
        <v>45470</v>
      </c>
      <c r="C567" s="1" t="n">
        <v>45990</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48570-2024</t>
        </is>
      </c>
      <c r="B568" s="1" t="n">
        <v>45591</v>
      </c>
      <c r="C568" s="1" t="n">
        <v>45990</v>
      </c>
      <c r="D568" t="inlineStr">
        <is>
          <t>VÄSTMANLANDS LÄN</t>
        </is>
      </c>
      <c r="E568" t="inlineStr">
        <is>
          <t>SALA</t>
        </is>
      </c>
      <c r="G568" t="n">
        <v>3</v>
      </c>
      <c r="H568" t="n">
        <v>0</v>
      </c>
      <c r="I568" t="n">
        <v>0</v>
      </c>
      <c r="J568" t="n">
        <v>0</v>
      </c>
      <c r="K568" t="n">
        <v>0</v>
      </c>
      <c r="L568" t="n">
        <v>0</v>
      </c>
      <c r="M568" t="n">
        <v>0</v>
      </c>
      <c r="N568" t="n">
        <v>0</v>
      </c>
      <c r="O568" t="n">
        <v>0</v>
      </c>
      <c r="P568" t="n">
        <v>0</v>
      </c>
      <c r="Q568" t="n">
        <v>0</v>
      </c>
      <c r="R568" s="2" t="inlineStr"/>
    </row>
    <row r="569" ht="15" customHeight="1">
      <c r="A569" t="inlineStr">
        <is>
          <t>A 10812-2021</t>
        </is>
      </c>
      <c r="B569" s="1" t="n">
        <v>44259</v>
      </c>
      <c r="C569" s="1" t="n">
        <v>45990</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57883-2024</t>
        </is>
      </c>
      <c r="B570" s="1" t="n">
        <v>45630</v>
      </c>
      <c r="C570" s="1" t="n">
        <v>45990</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16769-2024</t>
        </is>
      </c>
      <c r="B571" s="1" t="n">
        <v>45411.38738425926</v>
      </c>
      <c r="C571" s="1" t="n">
        <v>45990</v>
      </c>
      <c r="D571" t="inlineStr">
        <is>
          <t>VÄSTMANLANDS LÄN</t>
        </is>
      </c>
      <c r="E571" t="inlineStr">
        <is>
          <t>SALA</t>
        </is>
      </c>
      <c r="G571" t="n">
        <v>12</v>
      </c>
      <c r="H571" t="n">
        <v>0</v>
      </c>
      <c r="I571" t="n">
        <v>0</v>
      </c>
      <c r="J571" t="n">
        <v>0</v>
      </c>
      <c r="K571" t="n">
        <v>0</v>
      </c>
      <c r="L571" t="n">
        <v>0</v>
      </c>
      <c r="M571" t="n">
        <v>0</v>
      </c>
      <c r="N571" t="n">
        <v>0</v>
      </c>
      <c r="O571" t="n">
        <v>0</v>
      </c>
      <c r="P571" t="n">
        <v>0</v>
      </c>
      <c r="Q571" t="n">
        <v>0</v>
      </c>
      <c r="R571" s="2" t="inlineStr"/>
    </row>
    <row r="572" ht="15" customHeight="1">
      <c r="A572" t="inlineStr">
        <is>
          <t>A 18877-2023</t>
        </is>
      </c>
      <c r="B572" s="1" t="n">
        <v>45044</v>
      </c>
      <c r="C572" s="1" t="n">
        <v>45990</v>
      </c>
      <c r="D572" t="inlineStr">
        <is>
          <t>VÄSTMANLANDS LÄN</t>
        </is>
      </c>
      <c r="E572" t="inlineStr">
        <is>
          <t>SALA</t>
        </is>
      </c>
      <c r="F572" t="inlineStr">
        <is>
          <t>Kommuner</t>
        </is>
      </c>
      <c r="G572" t="n">
        <v>4.4</v>
      </c>
      <c r="H572" t="n">
        <v>0</v>
      </c>
      <c r="I572" t="n">
        <v>0</v>
      </c>
      <c r="J572" t="n">
        <v>0</v>
      </c>
      <c r="K572" t="n">
        <v>0</v>
      </c>
      <c r="L572" t="n">
        <v>0</v>
      </c>
      <c r="M572" t="n">
        <v>0</v>
      </c>
      <c r="N572" t="n">
        <v>0</v>
      </c>
      <c r="O572" t="n">
        <v>0</v>
      </c>
      <c r="P572" t="n">
        <v>0</v>
      </c>
      <c r="Q572" t="n">
        <v>0</v>
      </c>
      <c r="R572" s="2" t="inlineStr"/>
    </row>
    <row r="573" ht="15" customHeight="1">
      <c r="A573" t="inlineStr">
        <is>
          <t>A 44544-2024</t>
        </is>
      </c>
      <c r="B573" s="1" t="n">
        <v>45574.46119212963</v>
      </c>
      <c r="C573" s="1" t="n">
        <v>45990</v>
      </c>
      <c r="D573" t="inlineStr">
        <is>
          <t>VÄSTMANLANDS LÄN</t>
        </is>
      </c>
      <c r="E573" t="inlineStr">
        <is>
          <t>SALA</t>
        </is>
      </c>
      <c r="G573" t="n">
        <v>3.3</v>
      </c>
      <c r="H573" t="n">
        <v>0</v>
      </c>
      <c r="I573" t="n">
        <v>0</v>
      </c>
      <c r="J573" t="n">
        <v>0</v>
      </c>
      <c r="K573" t="n">
        <v>0</v>
      </c>
      <c r="L573" t="n">
        <v>0</v>
      </c>
      <c r="M573" t="n">
        <v>0</v>
      </c>
      <c r="N573" t="n">
        <v>0</v>
      </c>
      <c r="O573" t="n">
        <v>0</v>
      </c>
      <c r="P573" t="n">
        <v>0</v>
      </c>
      <c r="Q573" t="n">
        <v>0</v>
      </c>
      <c r="R573" s="2" t="inlineStr"/>
    </row>
    <row r="574" ht="15" customHeight="1">
      <c r="A574" t="inlineStr">
        <is>
          <t>A 60379-2022</t>
        </is>
      </c>
      <c r="B574" s="1" t="n">
        <v>44910</v>
      </c>
      <c r="C574" s="1" t="n">
        <v>45990</v>
      </c>
      <c r="D574" t="inlineStr">
        <is>
          <t>VÄSTMANLANDS LÄN</t>
        </is>
      </c>
      <c r="E574" t="inlineStr">
        <is>
          <t>SALA</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56547-2022</t>
        </is>
      </c>
      <c r="B575" s="1" t="n">
        <v>44893.48284722222</v>
      </c>
      <c r="C575" s="1" t="n">
        <v>45990</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29542-2023</t>
        </is>
      </c>
      <c r="B576" s="1" t="n">
        <v>45098</v>
      </c>
      <c r="C576" s="1" t="n">
        <v>45990</v>
      </c>
      <c r="D576" t="inlineStr">
        <is>
          <t>VÄSTMANLANDS LÄN</t>
        </is>
      </c>
      <c r="E576" t="inlineStr">
        <is>
          <t>SALA</t>
        </is>
      </c>
      <c r="G576" t="n">
        <v>4.8</v>
      </c>
      <c r="H576" t="n">
        <v>0</v>
      </c>
      <c r="I576" t="n">
        <v>0</v>
      </c>
      <c r="J576" t="n">
        <v>0</v>
      </c>
      <c r="K576" t="n">
        <v>0</v>
      </c>
      <c r="L576" t="n">
        <v>0</v>
      </c>
      <c r="M576" t="n">
        <v>0</v>
      </c>
      <c r="N576" t="n">
        <v>0</v>
      </c>
      <c r="O576" t="n">
        <v>0</v>
      </c>
      <c r="P576" t="n">
        <v>0</v>
      </c>
      <c r="Q576" t="n">
        <v>0</v>
      </c>
      <c r="R576" s="2" t="inlineStr"/>
    </row>
    <row r="577" ht="15" customHeight="1">
      <c r="A577" t="inlineStr">
        <is>
          <t>A 16638-2023</t>
        </is>
      </c>
      <c r="B577" s="1" t="n">
        <v>45027</v>
      </c>
      <c r="C577" s="1" t="n">
        <v>45990</v>
      </c>
      <c r="D577" t="inlineStr">
        <is>
          <t>VÄSTMANLANDS LÄN</t>
        </is>
      </c>
      <c r="E577" t="inlineStr">
        <is>
          <t>SALA</t>
        </is>
      </c>
      <c r="G577" t="n">
        <v>14.8</v>
      </c>
      <c r="H577" t="n">
        <v>0</v>
      </c>
      <c r="I577" t="n">
        <v>0</v>
      </c>
      <c r="J577" t="n">
        <v>0</v>
      </c>
      <c r="K577" t="n">
        <v>0</v>
      </c>
      <c r="L577" t="n">
        <v>0</v>
      </c>
      <c r="M577" t="n">
        <v>0</v>
      </c>
      <c r="N577" t="n">
        <v>0</v>
      </c>
      <c r="O577" t="n">
        <v>0</v>
      </c>
      <c r="P577" t="n">
        <v>0</v>
      </c>
      <c r="Q577" t="n">
        <v>0</v>
      </c>
      <c r="R577" s="2" t="inlineStr"/>
    </row>
    <row r="578" ht="15" customHeight="1">
      <c r="A578" t="inlineStr">
        <is>
          <t>A 37190-2024</t>
        </is>
      </c>
      <c r="B578" s="1" t="n">
        <v>45539</v>
      </c>
      <c r="C578" s="1" t="n">
        <v>45990</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23222-2023</t>
        </is>
      </c>
      <c r="B579" s="1" t="n">
        <v>45075</v>
      </c>
      <c r="C579" s="1" t="n">
        <v>45990</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23224-2023</t>
        </is>
      </c>
      <c r="B580" s="1" t="n">
        <v>45075.65040509259</v>
      </c>
      <c r="C580" s="1" t="n">
        <v>45990</v>
      </c>
      <c r="D580" t="inlineStr">
        <is>
          <t>VÄSTMANLANDS LÄN</t>
        </is>
      </c>
      <c r="E580" t="inlineStr">
        <is>
          <t>SALA</t>
        </is>
      </c>
      <c r="G580" t="n">
        <v>0.8</v>
      </c>
      <c r="H580" t="n">
        <v>0</v>
      </c>
      <c r="I580" t="n">
        <v>0</v>
      </c>
      <c r="J580" t="n">
        <v>0</v>
      </c>
      <c r="K580" t="n">
        <v>0</v>
      </c>
      <c r="L580" t="n">
        <v>0</v>
      </c>
      <c r="M580" t="n">
        <v>0</v>
      </c>
      <c r="N580" t="n">
        <v>0</v>
      </c>
      <c r="O580" t="n">
        <v>0</v>
      </c>
      <c r="P580" t="n">
        <v>0</v>
      </c>
      <c r="Q580" t="n">
        <v>0</v>
      </c>
      <c r="R580" s="2" t="inlineStr"/>
    </row>
    <row r="581" ht="15" customHeight="1">
      <c r="A581" t="inlineStr">
        <is>
          <t>A 22026-2021</t>
        </is>
      </c>
      <c r="B581" s="1" t="n">
        <v>44323</v>
      </c>
      <c r="C581" s="1" t="n">
        <v>45990</v>
      </c>
      <c r="D581" t="inlineStr">
        <is>
          <t>VÄSTMANLANDS LÄN</t>
        </is>
      </c>
      <c r="E581" t="inlineStr">
        <is>
          <t>SALA</t>
        </is>
      </c>
      <c r="G581" t="n">
        <v>2.9</v>
      </c>
      <c r="H581" t="n">
        <v>0</v>
      </c>
      <c r="I581" t="n">
        <v>0</v>
      </c>
      <c r="J581" t="n">
        <v>0</v>
      </c>
      <c r="K581" t="n">
        <v>0</v>
      </c>
      <c r="L581" t="n">
        <v>0</v>
      </c>
      <c r="M581" t="n">
        <v>0</v>
      </c>
      <c r="N581" t="n">
        <v>0</v>
      </c>
      <c r="O581" t="n">
        <v>0</v>
      </c>
      <c r="P581" t="n">
        <v>0</v>
      </c>
      <c r="Q581" t="n">
        <v>0</v>
      </c>
      <c r="R581" s="2" t="inlineStr"/>
    </row>
    <row r="582" ht="15" customHeight="1">
      <c r="A582" t="inlineStr">
        <is>
          <t>A 68864-2021</t>
        </is>
      </c>
      <c r="B582" s="1" t="n">
        <v>44530</v>
      </c>
      <c r="C582" s="1" t="n">
        <v>45990</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19065-2022</t>
        </is>
      </c>
      <c r="B583" s="1" t="n">
        <v>44691.44309027777</v>
      </c>
      <c r="C583" s="1" t="n">
        <v>45990</v>
      </c>
      <c r="D583" t="inlineStr">
        <is>
          <t>VÄSTMANLANDS LÄN</t>
        </is>
      </c>
      <c r="E583" t="inlineStr">
        <is>
          <t>SALA</t>
        </is>
      </c>
      <c r="G583" t="n">
        <v>3.4</v>
      </c>
      <c r="H583" t="n">
        <v>0</v>
      </c>
      <c r="I583" t="n">
        <v>0</v>
      </c>
      <c r="J583" t="n">
        <v>0</v>
      </c>
      <c r="K583" t="n">
        <v>0</v>
      </c>
      <c r="L583" t="n">
        <v>0</v>
      </c>
      <c r="M583" t="n">
        <v>0</v>
      </c>
      <c r="N583" t="n">
        <v>0</v>
      </c>
      <c r="O583" t="n">
        <v>0</v>
      </c>
      <c r="P583" t="n">
        <v>0</v>
      </c>
      <c r="Q583" t="n">
        <v>0</v>
      </c>
      <c r="R583" s="2" t="inlineStr"/>
    </row>
    <row r="584" ht="15" customHeight="1">
      <c r="A584" t="inlineStr">
        <is>
          <t>A 37612-2024</t>
        </is>
      </c>
      <c r="B584" s="1" t="n">
        <v>45541</v>
      </c>
      <c r="C584" s="1" t="n">
        <v>45990</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37615-2024</t>
        </is>
      </c>
      <c r="B585" s="1" t="n">
        <v>45541.50673611111</v>
      </c>
      <c r="C585" s="1" t="n">
        <v>45990</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18158-2025</t>
        </is>
      </c>
      <c r="B586" s="1" t="n">
        <v>45761</v>
      </c>
      <c r="C586" s="1" t="n">
        <v>45990</v>
      </c>
      <c r="D586" t="inlineStr">
        <is>
          <t>VÄSTMANLANDS LÄN</t>
        </is>
      </c>
      <c r="E586" t="inlineStr">
        <is>
          <t>SALA</t>
        </is>
      </c>
      <c r="F586" t="inlineStr">
        <is>
          <t>Bergvik skog öst AB</t>
        </is>
      </c>
      <c r="G586" t="n">
        <v>1.6</v>
      </c>
      <c r="H586" t="n">
        <v>0</v>
      </c>
      <c r="I586" t="n">
        <v>0</v>
      </c>
      <c r="J586" t="n">
        <v>0</v>
      </c>
      <c r="K586" t="n">
        <v>0</v>
      </c>
      <c r="L586" t="n">
        <v>0</v>
      </c>
      <c r="M586" t="n">
        <v>0</v>
      </c>
      <c r="N586" t="n">
        <v>0</v>
      </c>
      <c r="O586" t="n">
        <v>0</v>
      </c>
      <c r="P586" t="n">
        <v>0</v>
      </c>
      <c r="Q586" t="n">
        <v>0</v>
      </c>
      <c r="R586" s="2" t="inlineStr"/>
    </row>
    <row r="587" ht="15" customHeight="1">
      <c r="A587" t="inlineStr">
        <is>
          <t>A 9962-2025</t>
        </is>
      </c>
      <c r="B587" s="1" t="n">
        <v>45719.37072916667</v>
      </c>
      <c r="C587" s="1" t="n">
        <v>45990</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37602-2024</t>
        </is>
      </c>
      <c r="B588" s="1" t="n">
        <v>45541</v>
      </c>
      <c r="C588" s="1" t="n">
        <v>45990</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18762-2024</t>
        </is>
      </c>
      <c r="B589" s="1" t="n">
        <v>45426.55240740741</v>
      </c>
      <c r="C589" s="1" t="n">
        <v>45990</v>
      </c>
      <c r="D589" t="inlineStr">
        <is>
          <t>VÄSTMANLANDS LÄN</t>
        </is>
      </c>
      <c r="E589" t="inlineStr">
        <is>
          <t>SALA</t>
        </is>
      </c>
      <c r="G589" t="n">
        <v>6.2</v>
      </c>
      <c r="H589" t="n">
        <v>0</v>
      </c>
      <c r="I589" t="n">
        <v>0</v>
      </c>
      <c r="J589" t="n">
        <v>0</v>
      </c>
      <c r="K589" t="n">
        <v>0</v>
      </c>
      <c r="L589" t="n">
        <v>0</v>
      </c>
      <c r="M589" t="n">
        <v>0</v>
      </c>
      <c r="N589" t="n">
        <v>0</v>
      </c>
      <c r="O589" t="n">
        <v>0</v>
      </c>
      <c r="P589" t="n">
        <v>0</v>
      </c>
      <c r="Q589" t="n">
        <v>0</v>
      </c>
      <c r="R589" s="2" t="inlineStr"/>
    </row>
    <row r="590" ht="15" customHeight="1">
      <c r="A590" t="inlineStr">
        <is>
          <t>A 39011-2023</t>
        </is>
      </c>
      <c r="B590" s="1" t="n">
        <v>45162</v>
      </c>
      <c r="C590" s="1" t="n">
        <v>45990</v>
      </c>
      <c r="D590" t="inlineStr">
        <is>
          <t>VÄSTMANLANDS LÄN</t>
        </is>
      </c>
      <c r="E590" t="inlineStr">
        <is>
          <t>SALA</t>
        </is>
      </c>
      <c r="G590" t="n">
        <v>1.6</v>
      </c>
      <c r="H590" t="n">
        <v>0</v>
      </c>
      <c r="I590" t="n">
        <v>0</v>
      </c>
      <c r="J590" t="n">
        <v>0</v>
      </c>
      <c r="K590" t="n">
        <v>0</v>
      </c>
      <c r="L590" t="n">
        <v>0</v>
      </c>
      <c r="M590" t="n">
        <v>0</v>
      </c>
      <c r="N590" t="n">
        <v>0</v>
      </c>
      <c r="O590" t="n">
        <v>0</v>
      </c>
      <c r="P590" t="n">
        <v>0</v>
      </c>
      <c r="Q590" t="n">
        <v>0</v>
      </c>
      <c r="R590" s="2" t="inlineStr"/>
    </row>
    <row r="591" ht="15" customHeight="1">
      <c r="A591" t="inlineStr">
        <is>
          <t>A 46352-2023</t>
        </is>
      </c>
      <c r="B591" s="1" t="n">
        <v>45192</v>
      </c>
      <c r="C591" s="1" t="n">
        <v>45990</v>
      </c>
      <c r="D591" t="inlineStr">
        <is>
          <t>VÄSTMANLANDS LÄN</t>
        </is>
      </c>
      <c r="E591" t="inlineStr">
        <is>
          <t>SALA</t>
        </is>
      </c>
      <c r="G591" t="n">
        <v>1.9</v>
      </c>
      <c r="H591" t="n">
        <v>0</v>
      </c>
      <c r="I591" t="n">
        <v>0</v>
      </c>
      <c r="J591" t="n">
        <v>0</v>
      </c>
      <c r="K591" t="n">
        <v>0</v>
      </c>
      <c r="L591" t="n">
        <v>0</v>
      </c>
      <c r="M591" t="n">
        <v>0</v>
      </c>
      <c r="N591" t="n">
        <v>0</v>
      </c>
      <c r="O591" t="n">
        <v>0</v>
      </c>
      <c r="P591" t="n">
        <v>0</v>
      </c>
      <c r="Q591" t="n">
        <v>0</v>
      </c>
      <c r="R591" s="2" t="inlineStr"/>
    </row>
    <row r="592" ht="15" customHeight="1">
      <c r="A592" t="inlineStr">
        <is>
          <t>A 43751-2021</t>
        </is>
      </c>
      <c r="B592" s="1" t="n">
        <v>44433</v>
      </c>
      <c r="C592" s="1" t="n">
        <v>45990</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1128-2025</t>
        </is>
      </c>
      <c r="B593" s="1" t="n">
        <v>45666.68469907407</v>
      </c>
      <c r="C593" s="1" t="n">
        <v>45990</v>
      </c>
      <c r="D593" t="inlineStr">
        <is>
          <t>VÄSTMANLANDS LÄN</t>
        </is>
      </c>
      <c r="E593" t="inlineStr">
        <is>
          <t>SALA</t>
        </is>
      </c>
      <c r="G593" t="n">
        <v>2.5</v>
      </c>
      <c r="H593" t="n">
        <v>0</v>
      </c>
      <c r="I593" t="n">
        <v>0</v>
      </c>
      <c r="J593" t="n">
        <v>0</v>
      </c>
      <c r="K593" t="n">
        <v>0</v>
      </c>
      <c r="L593" t="n">
        <v>0</v>
      </c>
      <c r="M593" t="n">
        <v>0</v>
      </c>
      <c r="N593" t="n">
        <v>0</v>
      </c>
      <c r="O593" t="n">
        <v>0</v>
      </c>
      <c r="P593" t="n">
        <v>0</v>
      </c>
      <c r="Q593" t="n">
        <v>0</v>
      </c>
      <c r="R593" s="2" t="inlineStr"/>
    </row>
    <row r="594" ht="15" customHeight="1">
      <c r="A594" t="inlineStr">
        <is>
          <t>A 31950-2023</t>
        </is>
      </c>
      <c r="B594" s="1" t="n">
        <v>45107</v>
      </c>
      <c r="C594" s="1" t="n">
        <v>45990</v>
      </c>
      <c r="D594" t="inlineStr">
        <is>
          <t>VÄSTMANLANDS LÄN</t>
        </is>
      </c>
      <c r="E594" t="inlineStr">
        <is>
          <t>SALA</t>
        </is>
      </c>
      <c r="G594" t="n">
        <v>0.1</v>
      </c>
      <c r="H594" t="n">
        <v>0</v>
      </c>
      <c r="I594" t="n">
        <v>0</v>
      </c>
      <c r="J594" t="n">
        <v>0</v>
      </c>
      <c r="K594" t="n">
        <v>0</v>
      </c>
      <c r="L594" t="n">
        <v>0</v>
      </c>
      <c r="M594" t="n">
        <v>0</v>
      </c>
      <c r="N594" t="n">
        <v>0</v>
      </c>
      <c r="O594" t="n">
        <v>0</v>
      </c>
      <c r="P594" t="n">
        <v>0</v>
      </c>
      <c r="Q594" t="n">
        <v>0</v>
      </c>
      <c r="R594" s="2" t="inlineStr"/>
    </row>
    <row r="595" ht="15" customHeight="1">
      <c r="A595" t="inlineStr">
        <is>
          <t>A 56540-2024</t>
        </is>
      </c>
      <c r="B595" s="1" t="n">
        <v>45625</v>
      </c>
      <c r="C595" s="1" t="n">
        <v>45990</v>
      </c>
      <c r="D595" t="inlineStr">
        <is>
          <t>VÄSTMANLANDS LÄN</t>
        </is>
      </c>
      <c r="E595" t="inlineStr">
        <is>
          <t>SALA</t>
        </is>
      </c>
      <c r="G595" t="n">
        <v>1.8</v>
      </c>
      <c r="H595" t="n">
        <v>0</v>
      </c>
      <c r="I595" t="n">
        <v>0</v>
      </c>
      <c r="J595" t="n">
        <v>0</v>
      </c>
      <c r="K595" t="n">
        <v>0</v>
      </c>
      <c r="L595" t="n">
        <v>0</v>
      </c>
      <c r="M595" t="n">
        <v>0</v>
      </c>
      <c r="N595" t="n">
        <v>0</v>
      </c>
      <c r="O595" t="n">
        <v>0</v>
      </c>
      <c r="P595" t="n">
        <v>0</v>
      </c>
      <c r="Q595" t="n">
        <v>0</v>
      </c>
      <c r="R595" s="2" t="inlineStr"/>
    </row>
    <row r="596" ht="15" customHeight="1">
      <c r="A596" t="inlineStr">
        <is>
          <t>A 6116-2023</t>
        </is>
      </c>
      <c r="B596" s="1" t="n">
        <v>44964</v>
      </c>
      <c r="C596" s="1" t="n">
        <v>45990</v>
      </c>
      <c r="D596" t="inlineStr">
        <is>
          <t>VÄSTMANLANDS LÄN</t>
        </is>
      </c>
      <c r="E596" t="inlineStr">
        <is>
          <t>SALA</t>
        </is>
      </c>
      <c r="G596" t="n">
        <v>1.9</v>
      </c>
      <c r="H596" t="n">
        <v>0</v>
      </c>
      <c r="I596" t="n">
        <v>0</v>
      </c>
      <c r="J596" t="n">
        <v>0</v>
      </c>
      <c r="K596" t="n">
        <v>0</v>
      </c>
      <c r="L596" t="n">
        <v>0</v>
      </c>
      <c r="M596" t="n">
        <v>0</v>
      </c>
      <c r="N596" t="n">
        <v>0</v>
      </c>
      <c r="O596" t="n">
        <v>0</v>
      </c>
      <c r="P596" t="n">
        <v>0</v>
      </c>
      <c r="Q596" t="n">
        <v>0</v>
      </c>
      <c r="R596" s="2" t="inlineStr"/>
    </row>
    <row r="597" ht="15" customHeight="1">
      <c r="A597" t="inlineStr">
        <is>
          <t>A 25860-2024</t>
        </is>
      </c>
      <c r="B597" s="1" t="n">
        <v>45467.46278935186</v>
      </c>
      <c r="C597" s="1" t="n">
        <v>45990</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10154-2021</t>
        </is>
      </c>
      <c r="B598" s="1" t="n">
        <v>44256</v>
      </c>
      <c r="C598" s="1" t="n">
        <v>45990</v>
      </c>
      <c r="D598" t="inlineStr">
        <is>
          <t>VÄSTMANLANDS LÄN</t>
        </is>
      </c>
      <c r="E598" t="inlineStr">
        <is>
          <t>SALA</t>
        </is>
      </c>
      <c r="G598" t="n">
        <v>0.8</v>
      </c>
      <c r="H598" t="n">
        <v>0</v>
      </c>
      <c r="I598" t="n">
        <v>0</v>
      </c>
      <c r="J598" t="n">
        <v>0</v>
      </c>
      <c r="K598" t="n">
        <v>0</v>
      </c>
      <c r="L598" t="n">
        <v>0</v>
      </c>
      <c r="M598" t="n">
        <v>0</v>
      </c>
      <c r="N598" t="n">
        <v>0</v>
      </c>
      <c r="O598" t="n">
        <v>0</v>
      </c>
      <c r="P598" t="n">
        <v>0</v>
      </c>
      <c r="Q598" t="n">
        <v>0</v>
      </c>
      <c r="R598" s="2" t="inlineStr"/>
    </row>
    <row r="599" ht="15" customHeight="1">
      <c r="A599" t="inlineStr">
        <is>
          <t>A 56916-2022</t>
        </is>
      </c>
      <c r="B599" s="1" t="n">
        <v>44888</v>
      </c>
      <c r="C599" s="1" t="n">
        <v>45990</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71471-2021</t>
        </is>
      </c>
      <c r="B600" s="1" t="n">
        <v>44540.53421296296</v>
      </c>
      <c r="C600" s="1" t="n">
        <v>45990</v>
      </c>
      <c r="D600" t="inlineStr">
        <is>
          <t>VÄSTMANLANDS LÄN</t>
        </is>
      </c>
      <c r="E600" t="inlineStr">
        <is>
          <t>SALA</t>
        </is>
      </c>
      <c r="G600" t="n">
        <v>13</v>
      </c>
      <c r="H600" t="n">
        <v>0</v>
      </c>
      <c r="I600" t="n">
        <v>0</v>
      </c>
      <c r="J600" t="n">
        <v>0</v>
      </c>
      <c r="K600" t="n">
        <v>0</v>
      </c>
      <c r="L600" t="n">
        <v>0</v>
      </c>
      <c r="M600" t="n">
        <v>0</v>
      </c>
      <c r="N600" t="n">
        <v>0</v>
      </c>
      <c r="O600" t="n">
        <v>0</v>
      </c>
      <c r="P600" t="n">
        <v>0</v>
      </c>
      <c r="Q600" t="n">
        <v>0</v>
      </c>
      <c r="R600" s="2" t="inlineStr"/>
    </row>
    <row r="601" ht="15" customHeight="1">
      <c r="A601" t="inlineStr">
        <is>
          <t>A 13987-2023</t>
        </is>
      </c>
      <c r="B601" s="1" t="n">
        <v>45007</v>
      </c>
      <c r="C601" s="1" t="n">
        <v>45990</v>
      </c>
      <c r="D601" t="inlineStr">
        <is>
          <t>VÄSTMANLANDS LÄN</t>
        </is>
      </c>
      <c r="E601" t="inlineStr">
        <is>
          <t>SALA</t>
        </is>
      </c>
      <c r="G601" t="n">
        <v>3.2</v>
      </c>
      <c r="H601" t="n">
        <v>0</v>
      </c>
      <c r="I601" t="n">
        <v>0</v>
      </c>
      <c r="J601" t="n">
        <v>0</v>
      </c>
      <c r="K601" t="n">
        <v>0</v>
      </c>
      <c r="L601" t="n">
        <v>0</v>
      </c>
      <c r="M601" t="n">
        <v>0</v>
      </c>
      <c r="N601" t="n">
        <v>0</v>
      </c>
      <c r="O601" t="n">
        <v>0</v>
      </c>
      <c r="P601" t="n">
        <v>0</v>
      </c>
      <c r="Q601" t="n">
        <v>0</v>
      </c>
      <c r="R601" s="2" t="inlineStr"/>
    </row>
    <row r="602" ht="15" customHeight="1">
      <c r="A602" t="inlineStr">
        <is>
          <t>A 13990-2023</t>
        </is>
      </c>
      <c r="B602" s="1" t="n">
        <v>45007</v>
      </c>
      <c r="C602" s="1" t="n">
        <v>45990</v>
      </c>
      <c r="D602" t="inlineStr">
        <is>
          <t>VÄSTMANLANDS LÄN</t>
        </is>
      </c>
      <c r="E602" t="inlineStr">
        <is>
          <t>SALA</t>
        </is>
      </c>
      <c r="G602" t="n">
        <v>2.6</v>
      </c>
      <c r="H602" t="n">
        <v>0</v>
      </c>
      <c r="I602" t="n">
        <v>0</v>
      </c>
      <c r="J602" t="n">
        <v>0</v>
      </c>
      <c r="K602" t="n">
        <v>0</v>
      </c>
      <c r="L602" t="n">
        <v>0</v>
      </c>
      <c r="M602" t="n">
        <v>0</v>
      </c>
      <c r="N602" t="n">
        <v>0</v>
      </c>
      <c r="O602" t="n">
        <v>0</v>
      </c>
      <c r="P602" t="n">
        <v>0</v>
      </c>
      <c r="Q602" t="n">
        <v>0</v>
      </c>
      <c r="R602" s="2" t="inlineStr"/>
    </row>
    <row r="603" ht="15" customHeight="1">
      <c r="A603" t="inlineStr">
        <is>
          <t>A 1993-2022</t>
        </is>
      </c>
      <c r="B603" s="1" t="n">
        <v>44575</v>
      </c>
      <c r="C603" s="1" t="n">
        <v>45990</v>
      </c>
      <c r="D603" t="inlineStr">
        <is>
          <t>VÄSTMANLANDS LÄN</t>
        </is>
      </c>
      <c r="E603" t="inlineStr">
        <is>
          <t>SALA</t>
        </is>
      </c>
      <c r="G603" t="n">
        <v>1.6</v>
      </c>
      <c r="H603" t="n">
        <v>0</v>
      </c>
      <c r="I603" t="n">
        <v>0</v>
      </c>
      <c r="J603" t="n">
        <v>0</v>
      </c>
      <c r="K603" t="n">
        <v>0</v>
      </c>
      <c r="L603" t="n">
        <v>0</v>
      </c>
      <c r="M603" t="n">
        <v>0</v>
      </c>
      <c r="N603" t="n">
        <v>0</v>
      </c>
      <c r="O603" t="n">
        <v>0</v>
      </c>
      <c r="P603" t="n">
        <v>0</v>
      </c>
      <c r="Q603" t="n">
        <v>0</v>
      </c>
      <c r="R603" s="2" t="inlineStr"/>
    </row>
    <row r="604" ht="15" customHeight="1">
      <c r="A604" t="inlineStr">
        <is>
          <t>A 17051-2025</t>
        </is>
      </c>
      <c r="B604" s="1" t="n">
        <v>45755</v>
      </c>
      <c r="C604" s="1" t="n">
        <v>45990</v>
      </c>
      <c r="D604" t="inlineStr">
        <is>
          <t>VÄSTMANLANDS LÄN</t>
        </is>
      </c>
      <c r="E604" t="inlineStr">
        <is>
          <t>SALA</t>
        </is>
      </c>
      <c r="G604" t="n">
        <v>2.9</v>
      </c>
      <c r="H604" t="n">
        <v>0</v>
      </c>
      <c r="I604" t="n">
        <v>0</v>
      </c>
      <c r="J604" t="n">
        <v>0</v>
      </c>
      <c r="K604" t="n">
        <v>0</v>
      </c>
      <c r="L604" t="n">
        <v>0</v>
      </c>
      <c r="M604" t="n">
        <v>0</v>
      </c>
      <c r="N604" t="n">
        <v>0</v>
      </c>
      <c r="O604" t="n">
        <v>0</v>
      </c>
      <c r="P604" t="n">
        <v>0</v>
      </c>
      <c r="Q604" t="n">
        <v>0</v>
      </c>
      <c r="R604" s="2" t="inlineStr"/>
    </row>
    <row r="605" ht="15" customHeight="1">
      <c r="A605" t="inlineStr">
        <is>
          <t>A 43509-2021</t>
        </is>
      </c>
      <c r="B605" s="1" t="n">
        <v>44433</v>
      </c>
      <c r="C605" s="1" t="n">
        <v>45990</v>
      </c>
      <c r="D605" t="inlineStr">
        <is>
          <t>VÄSTMANLANDS LÄN</t>
        </is>
      </c>
      <c r="E605" t="inlineStr">
        <is>
          <t>SALA</t>
        </is>
      </c>
      <c r="G605" t="n">
        <v>0.8</v>
      </c>
      <c r="H605" t="n">
        <v>0</v>
      </c>
      <c r="I605" t="n">
        <v>0</v>
      </c>
      <c r="J605" t="n">
        <v>0</v>
      </c>
      <c r="K605" t="n">
        <v>0</v>
      </c>
      <c r="L605" t="n">
        <v>0</v>
      </c>
      <c r="M605" t="n">
        <v>0</v>
      </c>
      <c r="N605" t="n">
        <v>0</v>
      </c>
      <c r="O605" t="n">
        <v>0</v>
      </c>
      <c r="P605" t="n">
        <v>0</v>
      </c>
      <c r="Q605" t="n">
        <v>0</v>
      </c>
      <c r="R605" s="2" t="inlineStr"/>
    </row>
    <row r="606" ht="15" customHeight="1">
      <c r="A606" t="inlineStr">
        <is>
          <t>A 54959-2024</t>
        </is>
      </c>
      <c r="B606" s="1" t="n">
        <v>45619</v>
      </c>
      <c r="C606" s="1" t="n">
        <v>45990</v>
      </c>
      <c r="D606" t="inlineStr">
        <is>
          <t>VÄSTMANLANDS LÄN</t>
        </is>
      </c>
      <c r="E606" t="inlineStr">
        <is>
          <t>SALA</t>
        </is>
      </c>
      <c r="G606" t="n">
        <v>1.3</v>
      </c>
      <c r="H606" t="n">
        <v>0</v>
      </c>
      <c r="I606" t="n">
        <v>0</v>
      </c>
      <c r="J606" t="n">
        <v>0</v>
      </c>
      <c r="K606" t="n">
        <v>0</v>
      </c>
      <c r="L606" t="n">
        <v>0</v>
      </c>
      <c r="M606" t="n">
        <v>0</v>
      </c>
      <c r="N606" t="n">
        <v>0</v>
      </c>
      <c r="O606" t="n">
        <v>0</v>
      </c>
      <c r="P606" t="n">
        <v>0</v>
      </c>
      <c r="Q606" t="n">
        <v>0</v>
      </c>
      <c r="R606" s="2" t="inlineStr"/>
    </row>
    <row r="607" ht="15" customHeight="1">
      <c r="A607" t="inlineStr">
        <is>
          <t>A 56964-2023</t>
        </is>
      </c>
      <c r="B607" s="1" t="n">
        <v>45244.63140046296</v>
      </c>
      <c r="C607" s="1" t="n">
        <v>45990</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37337-2024</t>
        </is>
      </c>
      <c r="B608" s="1" t="n">
        <v>45540</v>
      </c>
      <c r="C608" s="1" t="n">
        <v>45990</v>
      </c>
      <c r="D608" t="inlineStr">
        <is>
          <t>VÄSTMANLANDS LÄN</t>
        </is>
      </c>
      <c r="E608" t="inlineStr">
        <is>
          <t>SALA</t>
        </is>
      </c>
      <c r="G608" t="n">
        <v>6.5</v>
      </c>
      <c r="H608" t="n">
        <v>0</v>
      </c>
      <c r="I608" t="n">
        <v>0</v>
      </c>
      <c r="J608" t="n">
        <v>0</v>
      </c>
      <c r="K608" t="n">
        <v>0</v>
      </c>
      <c r="L608" t="n">
        <v>0</v>
      </c>
      <c r="M608" t="n">
        <v>0</v>
      </c>
      <c r="N608" t="n">
        <v>0</v>
      </c>
      <c r="O608" t="n">
        <v>0</v>
      </c>
      <c r="P608" t="n">
        <v>0</v>
      </c>
      <c r="Q608" t="n">
        <v>0</v>
      </c>
      <c r="R608" s="2" t="inlineStr"/>
    </row>
    <row r="609" ht="15" customHeight="1">
      <c r="A609" t="inlineStr">
        <is>
          <t>A 17120-2023</t>
        </is>
      </c>
      <c r="B609" s="1" t="n">
        <v>45034</v>
      </c>
      <c r="C609" s="1" t="n">
        <v>45990</v>
      </c>
      <c r="D609" t="inlineStr">
        <is>
          <t>VÄSTMANLANDS LÄN</t>
        </is>
      </c>
      <c r="E609" t="inlineStr">
        <is>
          <t>SALA</t>
        </is>
      </c>
      <c r="G609" t="n">
        <v>0.1</v>
      </c>
      <c r="H609" t="n">
        <v>0</v>
      </c>
      <c r="I609" t="n">
        <v>0</v>
      </c>
      <c r="J609" t="n">
        <v>0</v>
      </c>
      <c r="K609" t="n">
        <v>0</v>
      </c>
      <c r="L609" t="n">
        <v>0</v>
      </c>
      <c r="M609" t="n">
        <v>0</v>
      </c>
      <c r="N609" t="n">
        <v>0</v>
      </c>
      <c r="O609" t="n">
        <v>0</v>
      </c>
      <c r="P609" t="n">
        <v>0</v>
      </c>
      <c r="Q609" t="n">
        <v>0</v>
      </c>
      <c r="R609" s="2" t="inlineStr"/>
    </row>
    <row r="610" ht="15" customHeight="1">
      <c r="A610" t="inlineStr">
        <is>
          <t>A 34494-2023</t>
        </is>
      </c>
      <c r="B610" s="1" t="n">
        <v>45133</v>
      </c>
      <c r="C610" s="1" t="n">
        <v>45990</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10579-2022</t>
        </is>
      </c>
      <c r="B611" s="1" t="n">
        <v>44624</v>
      </c>
      <c r="C611" s="1" t="n">
        <v>45990</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9335-2022</t>
        </is>
      </c>
      <c r="B612" s="1" t="n">
        <v>44616.56579861111</v>
      </c>
      <c r="C612" s="1" t="n">
        <v>45990</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45313-2024</t>
        </is>
      </c>
      <c r="B613" s="1" t="n">
        <v>45576</v>
      </c>
      <c r="C613" s="1" t="n">
        <v>45990</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23119-2022</t>
        </is>
      </c>
      <c r="B614" s="1" t="n">
        <v>44719.56697916667</v>
      </c>
      <c r="C614" s="1" t="n">
        <v>45990</v>
      </c>
      <c r="D614" t="inlineStr">
        <is>
          <t>VÄSTMANLANDS LÄN</t>
        </is>
      </c>
      <c r="E614" t="inlineStr">
        <is>
          <t>SALA</t>
        </is>
      </c>
      <c r="G614" t="n">
        <v>7</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44935.82290509259</v>
      </c>
      <c r="C615" s="1" t="n">
        <v>45990</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52503-2024</t>
        </is>
      </c>
      <c r="B616" s="1" t="n">
        <v>45609.58806712963</v>
      </c>
      <c r="C616" s="1" t="n">
        <v>45990</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7953-2024</t>
        </is>
      </c>
      <c r="B617" s="1" t="n">
        <v>45350</v>
      </c>
      <c r="C617" s="1" t="n">
        <v>45990</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30028-2024</t>
        </is>
      </c>
      <c r="B618" s="1" t="n">
        <v>45485</v>
      </c>
      <c r="C618" s="1" t="n">
        <v>45990</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7950-2025</t>
        </is>
      </c>
      <c r="B619" s="1" t="n">
        <v>45707.41799768519</v>
      </c>
      <c r="C619" s="1" t="n">
        <v>45990</v>
      </c>
      <c r="D619" t="inlineStr">
        <is>
          <t>VÄSTMANLANDS LÄN</t>
        </is>
      </c>
      <c r="E619" t="inlineStr">
        <is>
          <t>SALA</t>
        </is>
      </c>
      <c r="G619" t="n">
        <v>3.2</v>
      </c>
      <c r="H619" t="n">
        <v>0</v>
      </c>
      <c r="I619" t="n">
        <v>0</v>
      </c>
      <c r="J619" t="n">
        <v>0</v>
      </c>
      <c r="K619" t="n">
        <v>0</v>
      </c>
      <c r="L619" t="n">
        <v>0</v>
      </c>
      <c r="M619" t="n">
        <v>0</v>
      </c>
      <c r="N619" t="n">
        <v>0</v>
      </c>
      <c r="O619" t="n">
        <v>0</v>
      </c>
      <c r="P619" t="n">
        <v>0</v>
      </c>
      <c r="Q619" t="n">
        <v>0</v>
      </c>
      <c r="R619" s="2" t="inlineStr"/>
    </row>
    <row r="620" ht="15" customHeight="1">
      <c r="A620" t="inlineStr">
        <is>
          <t>A 27657-2023</t>
        </is>
      </c>
      <c r="B620" s="1" t="n">
        <v>45097.76631944445</v>
      </c>
      <c r="C620" s="1" t="n">
        <v>45990</v>
      </c>
      <c r="D620" t="inlineStr">
        <is>
          <t>VÄSTMANLANDS LÄN</t>
        </is>
      </c>
      <c r="E620" t="inlineStr">
        <is>
          <t>SALA</t>
        </is>
      </c>
      <c r="G620" t="n">
        <v>0.1</v>
      </c>
      <c r="H620" t="n">
        <v>0</v>
      </c>
      <c r="I620" t="n">
        <v>0</v>
      </c>
      <c r="J620" t="n">
        <v>0</v>
      </c>
      <c r="K620" t="n">
        <v>0</v>
      </c>
      <c r="L620" t="n">
        <v>0</v>
      </c>
      <c r="M620" t="n">
        <v>0</v>
      </c>
      <c r="N620" t="n">
        <v>0</v>
      </c>
      <c r="O620" t="n">
        <v>0</v>
      </c>
      <c r="P620" t="n">
        <v>0</v>
      </c>
      <c r="Q620" t="n">
        <v>0</v>
      </c>
      <c r="R620" s="2" t="inlineStr"/>
    </row>
    <row r="621" ht="15" customHeight="1">
      <c r="A621" t="inlineStr">
        <is>
          <t>A 13855-2023</t>
        </is>
      </c>
      <c r="B621" s="1" t="n">
        <v>45007</v>
      </c>
      <c r="C621" s="1" t="n">
        <v>45990</v>
      </c>
      <c r="D621" t="inlineStr">
        <is>
          <t>VÄSTMANLANDS LÄN</t>
        </is>
      </c>
      <c r="E621" t="inlineStr">
        <is>
          <t>SALA</t>
        </is>
      </c>
      <c r="G621" t="n">
        <v>2.9</v>
      </c>
      <c r="H621" t="n">
        <v>0</v>
      </c>
      <c r="I621" t="n">
        <v>0</v>
      </c>
      <c r="J621" t="n">
        <v>0</v>
      </c>
      <c r="K621" t="n">
        <v>0</v>
      </c>
      <c r="L621" t="n">
        <v>0</v>
      </c>
      <c r="M621" t="n">
        <v>0</v>
      </c>
      <c r="N621" t="n">
        <v>0</v>
      </c>
      <c r="O621" t="n">
        <v>0</v>
      </c>
      <c r="P621" t="n">
        <v>0</v>
      </c>
      <c r="Q621" t="n">
        <v>0</v>
      </c>
      <c r="R621" s="2" t="inlineStr"/>
    </row>
    <row r="622" ht="15" customHeight="1">
      <c r="A622" t="inlineStr">
        <is>
          <t>A 33309-2022</t>
        </is>
      </c>
      <c r="B622" s="1" t="n">
        <v>44788.40986111111</v>
      </c>
      <c r="C622" s="1" t="n">
        <v>45990</v>
      </c>
      <c r="D622" t="inlineStr">
        <is>
          <t>VÄSTMANLANDS LÄN</t>
        </is>
      </c>
      <c r="E622" t="inlineStr">
        <is>
          <t>SALA</t>
        </is>
      </c>
      <c r="G622" t="n">
        <v>2.6</v>
      </c>
      <c r="H622" t="n">
        <v>0</v>
      </c>
      <c r="I622" t="n">
        <v>0</v>
      </c>
      <c r="J622" t="n">
        <v>0</v>
      </c>
      <c r="K622" t="n">
        <v>0</v>
      </c>
      <c r="L622" t="n">
        <v>0</v>
      </c>
      <c r="M622" t="n">
        <v>0</v>
      </c>
      <c r="N622" t="n">
        <v>0</v>
      </c>
      <c r="O622" t="n">
        <v>0</v>
      </c>
      <c r="P622" t="n">
        <v>0</v>
      </c>
      <c r="Q622" t="n">
        <v>0</v>
      </c>
      <c r="R622" s="2" t="inlineStr"/>
    </row>
    <row r="623" ht="15" customHeight="1">
      <c r="A623" t="inlineStr">
        <is>
          <t>A 47909-2022</t>
        </is>
      </c>
      <c r="B623" s="1" t="n">
        <v>44855</v>
      </c>
      <c r="C623" s="1" t="n">
        <v>45990</v>
      </c>
      <c r="D623" t="inlineStr">
        <is>
          <t>VÄSTMANLANDS LÄN</t>
        </is>
      </c>
      <c r="E623" t="inlineStr">
        <is>
          <t>SALA</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15272-2025</t>
        </is>
      </c>
      <c r="B624" s="1" t="n">
        <v>45744</v>
      </c>
      <c r="C624" s="1" t="n">
        <v>45990</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11183-2023</t>
        </is>
      </c>
      <c r="B625" s="1" t="n">
        <v>44992.57782407408</v>
      </c>
      <c r="C625" s="1" t="n">
        <v>45990</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11190-2023</t>
        </is>
      </c>
      <c r="B626" s="1" t="n">
        <v>44992</v>
      </c>
      <c r="C626" s="1" t="n">
        <v>45990</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53838-2022</t>
        </is>
      </c>
      <c r="B627" s="1" t="n">
        <v>44880.59363425926</v>
      </c>
      <c r="C627" s="1" t="n">
        <v>45990</v>
      </c>
      <c r="D627" t="inlineStr">
        <is>
          <t>VÄSTMANLANDS LÄN</t>
        </is>
      </c>
      <c r="E627" t="inlineStr">
        <is>
          <t>SALA</t>
        </is>
      </c>
      <c r="G627" t="n">
        <v>3.9</v>
      </c>
      <c r="H627" t="n">
        <v>0</v>
      </c>
      <c r="I627" t="n">
        <v>0</v>
      </c>
      <c r="J627" t="n">
        <v>0</v>
      </c>
      <c r="K627" t="n">
        <v>0</v>
      </c>
      <c r="L627" t="n">
        <v>0</v>
      </c>
      <c r="M627" t="n">
        <v>0</v>
      </c>
      <c r="N627" t="n">
        <v>0</v>
      </c>
      <c r="O627" t="n">
        <v>0</v>
      </c>
      <c r="P627" t="n">
        <v>0</v>
      </c>
      <c r="Q627" t="n">
        <v>0</v>
      </c>
      <c r="R627" s="2" t="inlineStr"/>
    </row>
    <row r="628" ht="15" customHeight="1">
      <c r="A628" t="inlineStr">
        <is>
          <t>A 6088-2021</t>
        </is>
      </c>
      <c r="B628" s="1" t="n">
        <v>44232</v>
      </c>
      <c r="C628" s="1" t="n">
        <v>45990</v>
      </c>
      <c r="D628" t="inlineStr">
        <is>
          <t>VÄSTMANLANDS LÄN</t>
        </is>
      </c>
      <c r="E628" t="inlineStr">
        <is>
          <t>SALA</t>
        </is>
      </c>
      <c r="G628" t="n">
        <v>0.2</v>
      </c>
      <c r="H628" t="n">
        <v>0</v>
      </c>
      <c r="I628" t="n">
        <v>0</v>
      </c>
      <c r="J628" t="n">
        <v>0</v>
      </c>
      <c r="K628" t="n">
        <v>0</v>
      </c>
      <c r="L628" t="n">
        <v>0</v>
      </c>
      <c r="M628" t="n">
        <v>0</v>
      </c>
      <c r="N628" t="n">
        <v>0</v>
      </c>
      <c r="O628" t="n">
        <v>0</v>
      </c>
      <c r="P628" t="n">
        <v>0</v>
      </c>
      <c r="Q628" t="n">
        <v>0</v>
      </c>
      <c r="R628" s="2" t="inlineStr"/>
    </row>
    <row r="629" ht="15" customHeight="1">
      <c r="A629" t="inlineStr">
        <is>
          <t>A 53166-2024</t>
        </is>
      </c>
      <c r="B629" s="1" t="n">
        <v>45611</v>
      </c>
      <c r="C629" s="1" t="n">
        <v>45990</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28827-2022</t>
        </is>
      </c>
      <c r="B630" s="1" t="n">
        <v>44749.45561342593</v>
      </c>
      <c r="C630" s="1" t="n">
        <v>45990</v>
      </c>
      <c r="D630" t="inlineStr">
        <is>
          <t>VÄSTMANLANDS LÄN</t>
        </is>
      </c>
      <c r="E630" t="inlineStr">
        <is>
          <t>SALA</t>
        </is>
      </c>
      <c r="F630" t="inlineStr">
        <is>
          <t>Kommuner</t>
        </is>
      </c>
      <c r="G630" t="n">
        <v>11.9</v>
      </c>
      <c r="H630" t="n">
        <v>0</v>
      </c>
      <c r="I630" t="n">
        <v>0</v>
      </c>
      <c r="J630" t="n">
        <v>0</v>
      </c>
      <c r="K630" t="n">
        <v>0</v>
      </c>
      <c r="L630" t="n">
        <v>0</v>
      </c>
      <c r="M630" t="n">
        <v>0</v>
      </c>
      <c r="N630" t="n">
        <v>0</v>
      </c>
      <c r="O630" t="n">
        <v>0</v>
      </c>
      <c r="P630" t="n">
        <v>0</v>
      </c>
      <c r="Q630" t="n">
        <v>0</v>
      </c>
      <c r="R630" s="2" t="inlineStr"/>
    </row>
    <row r="631" ht="15" customHeight="1">
      <c r="A631" t="inlineStr">
        <is>
          <t>A 17866-2025</t>
        </is>
      </c>
      <c r="B631" s="1" t="n">
        <v>45758</v>
      </c>
      <c r="C631" s="1" t="n">
        <v>45990</v>
      </c>
      <c r="D631" t="inlineStr">
        <is>
          <t>VÄSTMANLANDS LÄN</t>
        </is>
      </c>
      <c r="E631" t="inlineStr">
        <is>
          <t>SALA</t>
        </is>
      </c>
      <c r="F631" t="inlineStr">
        <is>
          <t>Bergvik skog öst AB</t>
        </is>
      </c>
      <c r="G631" t="n">
        <v>2.1</v>
      </c>
      <c r="H631" t="n">
        <v>0</v>
      </c>
      <c r="I631" t="n">
        <v>0</v>
      </c>
      <c r="J631" t="n">
        <v>0</v>
      </c>
      <c r="K631" t="n">
        <v>0</v>
      </c>
      <c r="L631" t="n">
        <v>0</v>
      </c>
      <c r="M631" t="n">
        <v>0</v>
      </c>
      <c r="N631" t="n">
        <v>0</v>
      </c>
      <c r="O631" t="n">
        <v>0</v>
      </c>
      <c r="P631" t="n">
        <v>0</v>
      </c>
      <c r="Q631" t="n">
        <v>0</v>
      </c>
      <c r="R631" s="2" t="inlineStr"/>
    </row>
    <row r="632" ht="15" customHeight="1">
      <c r="A632" t="inlineStr">
        <is>
          <t>A 54836-2024</t>
        </is>
      </c>
      <c r="B632" s="1" t="n">
        <v>45618</v>
      </c>
      <c r="C632" s="1" t="n">
        <v>45990</v>
      </c>
      <c r="D632" t="inlineStr">
        <is>
          <t>VÄSTMANLANDS LÄN</t>
        </is>
      </c>
      <c r="E632" t="inlineStr">
        <is>
          <t>SALA</t>
        </is>
      </c>
      <c r="G632" t="n">
        <v>0.6</v>
      </c>
      <c r="H632" t="n">
        <v>0</v>
      </c>
      <c r="I632" t="n">
        <v>0</v>
      </c>
      <c r="J632" t="n">
        <v>0</v>
      </c>
      <c r="K632" t="n">
        <v>0</v>
      </c>
      <c r="L632" t="n">
        <v>0</v>
      </c>
      <c r="M632" t="n">
        <v>0</v>
      </c>
      <c r="N632" t="n">
        <v>0</v>
      </c>
      <c r="O632" t="n">
        <v>0</v>
      </c>
      <c r="P632" t="n">
        <v>0</v>
      </c>
      <c r="Q632" t="n">
        <v>0</v>
      </c>
      <c r="R632" s="2" t="inlineStr"/>
    </row>
    <row r="633" ht="15" customHeight="1">
      <c r="A633" t="inlineStr">
        <is>
          <t>A 64729-2023</t>
        </is>
      </c>
      <c r="B633" s="1" t="n">
        <v>45281</v>
      </c>
      <c r="C633" s="1" t="n">
        <v>45990</v>
      </c>
      <c r="D633" t="inlineStr">
        <is>
          <t>VÄSTMANLANDS LÄN</t>
        </is>
      </c>
      <c r="E633" t="inlineStr">
        <is>
          <t>SALA</t>
        </is>
      </c>
      <c r="G633" t="n">
        <v>1.8</v>
      </c>
      <c r="H633" t="n">
        <v>0</v>
      </c>
      <c r="I633" t="n">
        <v>0</v>
      </c>
      <c r="J633" t="n">
        <v>0</v>
      </c>
      <c r="K633" t="n">
        <v>0</v>
      </c>
      <c r="L633" t="n">
        <v>0</v>
      </c>
      <c r="M633" t="n">
        <v>0</v>
      </c>
      <c r="N633" t="n">
        <v>0</v>
      </c>
      <c r="O633" t="n">
        <v>0</v>
      </c>
      <c r="P633" t="n">
        <v>0</v>
      </c>
      <c r="Q633" t="n">
        <v>0</v>
      </c>
      <c r="R633" s="2" t="inlineStr"/>
    </row>
    <row r="634" ht="15" customHeight="1">
      <c r="A634" t="inlineStr">
        <is>
          <t>A 10585-2022</t>
        </is>
      </c>
      <c r="B634" s="1" t="n">
        <v>44624</v>
      </c>
      <c r="C634" s="1" t="n">
        <v>45990</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22523-2023</t>
        </is>
      </c>
      <c r="B635" s="1" t="n">
        <v>45069</v>
      </c>
      <c r="C635" s="1" t="n">
        <v>45990</v>
      </c>
      <c r="D635" t="inlineStr">
        <is>
          <t>VÄSTMANLANDS LÄN</t>
        </is>
      </c>
      <c r="E635" t="inlineStr">
        <is>
          <t>SALA</t>
        </is>
      </c>
      <c r="G635" t="n">
        <v>2.4</v>
      </c>
      <c r="H635" t="n">
        <v>0</v>
      </c>
      <c r="I635" t="n">
        <v>0</v>
      </c>
      <c r="J635" t="n">
        <v>0</v>
      </c>
      <c r="K635" t="n">
        <v>0</v>
      </c>
      <c r="L635" t="n">
        <v>0</v>
      </c>
      <c r="M635" t="n">
        <v>0</v>
      </c>
      <c r="N635" t="n">
        <v>0</v>
      </c>
      <c r="O635" t="n">
        <v>0</v>
      </c>
      <c r="P635" t="n">
        <v>0</v>
      </c>
      <c r="Q635" t="n">
        <v>0</v>
      </c>
      <c r="R635" s="2" t="inlineStr"/>
    </row>
    <row r="636" ht="15" customHeight="1">
      <c r="A636" t="inlineStr">
        <is>
          <t>A 31609-2024</t>
        </is>
      </c>
      <c r="B636" s="1" t="n">
        <v>45506</v>
      </c>
      <c r="C636" s="1" t="n">
        <v>45990</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56057-2023</t>
        </is>
      </c>
      <c r="B637" s="1" t="n">
        <v>45233</v>
      </c>
      <c r="C637" s="1" t="n">
        <v>45990</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62635-2022</t>
        </is>
      </c>
      <c r="B638" s="1" t="n">
        <v>44917</v>
      </c>
      <c r="C638" s="1" t="n">
        <v>45990</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4852-2023</t>
        </is>
      </c>
      <c r="B639" s="1" t="n">
        <v>44957.72496527778</v>
      </c>
      <c r="C639" s="1" t="n">
        <v>45990</v>
      </c>
      <c r="D639" t="inlineStr">
        <is>
          <t>VÄSTMANLANDS LÄN</t>
        </is>
      </c>
      <c r="E639" t="inlineStr">
        <is>
          <t>SALA</t>
        </is>
      </c>
      <c r="G639" t="n">
        <v>2</v>
      </c>
      <c r="H639" t="n">
        <v>0</v>
      </c>
      <c r="I639" t="n">
        <v>0</v>
      </c>
      <c r="J639" t="n">
        <v>0</v>
      </c>
      <c r="K639" t="n">
        <v>0</v>
      </c>
      <c r="L639" t="n">
        <v>0</v>
      </c>
      <c r="M639" t="n">
        <v>0</v>
      </c>
      <c r="N639" t="n">
        <v>0</v>
      </c>
      <c r="O639" t="n">
        <v>0</v>
      </c>
      <c r="P639" t="n">
        <v>0</v>
      </c>
      <c r="Q639" t="n">
        <v>0</v>
      </c>
      <c r="R639" s="2" t="inlineStr"/>
    </row>
    <row r="640" ht="15" customHeight="1">
      <c r="A640" t="inlineStr">
        <is>
          <t>A 39714-2023</t>
        </is>
      </c>
      <c r="B640" s="1" t="n">
        <v>45167.62133101852</v>
      </c>
      <c r="C640" s="1" t="n">
        <v>45990</v>
      </c>
      <c r="D640" t="inlineStr">
        <is>
          <t>VÄSTMANLANDS LÄN</t>
        </is>
      </c>
      <c r="E640" t="inlineStr">
        <is>
          <t>SALA</t>
        </is>
      </c>
      <c r="G640" t="n">
        <v>1.3</v>
      </c>
      <c r="H640" t="n">
        <v>0</v>
      </c>
      <c r="I640" t="n">
        <v>0</v>
      </c>
      <c r="J640" t="n">
        <v>0</v>
      </c>
      <c r="K640" t="n">
        <v>0</v>
      </c>
      <c r="L640" t="n">
        <v>0</v>
      </c>
      <c r="M640" t="n">
        <v>0</v>
      </c>
      <c r="N640" t="n">
        <v>0</v>
      </c>
      <c r="O640" t="n">
        <v>0</v>
      </c>
      <c r="P640" t="n">
        <v>0</v>
      </c>
      <c r="Q640" t="n">
        <v>0</v>
      </c>
      <c r="R640" s="2" t="inlineStr"/>
    </row>
    <row r="641" ht="15" customHeight="1">
      <c r="A641" t="inlineStr">
        <is>
          <t>A 42984-2023</t>
        </is>
      </c>
      <c r="B641" s="1" t="n">
        <v>45179</v>
      </c>
      <c r="C641" s="1" t="n">
        <v>45990</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38636-2024</t>
        </is>
      </c>
      <c r="B642" s="1" t="n">
        <v>45546</v>
      </c>
      <c r="C642" s="1" t="n">
        <v>45990</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56535-2022</t>
        </is>
      </c>
      <c r="B643" s="1" t="n">
        <v>44893.47173611111</v>
      </c>
      <c r="C643" s="1" t="n">
        <v>45990</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60550-2024</t>
        </is>
      </c>
      <c r="B644" s="1" t="n">
        <v>45643</v>
      </c>
      <c r="C644" s="1" t="n">
        <v>45990</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13746-2025</t>
        </is>
      </c>
      <c r="B645" s="1" t="n">
        <v>45737.40944444444</v>
      </c>
      <c r="C645" s="1" t="n">
        <v>45990</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29230-2022</t>
        </is>
      </c>
      <c r="B646" s="1" t="n">
        <v>44750</v>
      </c>
      <c r="C646" s="1" t="n">
        <v>45990</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59175-2022</t>
        </is>
      </c>
      <c r="B647" s="1" t="n">
        <v>44904.48502314815</v>
      </c>
      <c r="C647" s="1" t="n">
        <v>45990</v>
      </c>
      <c r="D647" t="inlineStr">
        <is>
          <t>VÄSTMANLANDS LÄN</t>
        </is>
      </c>
      <c r="E647" t="inlineStr">
        <is>
          <t>SALA</t>
        </is>
      </c>
      <c r="G647" t="n">
        <v>2.1</v>
      </c>
      <c r="H647" t="n">
        <v>0</v>
      </c>
      <c r="I647" t="n">
        <v>0</v>
      </c>
      <c r="J647" t="n">
        <v>0</v>
      </c>
      <c r="K647" t="n">
        <v>0</v>
      </c>
      <c r="L647" t="n">
        <v>0</v>
      </c>
      <c r="M647" t="n">
        <v>0</v>
      </c>
      <c r="N647" t="n">
        <v>0</v>
      </c>
      <c r="O647" t="n">
        <v>0</v>
      </c>
      <c r="P647" t="n">
        <v>0</v>
      </c>
      <c r="Q647" t="n">
        <v>0</v>
      </c>
      <c r="R647" s="2" t="inlineStr"/>
    </row>
    <row r="648" ht="15" customHeight="1">
      <c r="A648" t="inlineStr">
        <is>
          <t>A 19381-2025</t>
        </is>
      </c>
      <c r="B648" s="1" t="n">
        <v>45769</v>
      </c>
      <c r="C648" s="1" t="n">
        <v>45990</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42938-2023</t>
        </is>
      </c>
      <c r="B649" s="1" t="n">
        <v>45179</v>
      </c>
      <c r="C649" s="1" t="n">
        <v>45990</v>
      </c>
      <c r="D649" t="inlineStr">
        <is>
          <t>VÄSTMANLANDS LÄN</t>
        </is>
      </c>
      <c r="E649" t="inlineStr">
        <is>
          <t>SALA</t>
        </is>
      </c>
      <c r="G649" t="n">
        <v>10.9</v>
      </c>
      <c r="H649" t="n">
        <v>0</v>
      </c>
      <c r="I649" t="n">
        <v>0</v>
      </c>
      <c r="J649" t="n">
        <v>0</v>
      </c>
      <c r="K649" t="n">
        <v>0</v>
      </c>
      <c r="L649" t="n">
        <v>0</v>
      </c>
      <c r="M649" t="n">
        <v>0</v>
      </c>
      <c r="N649" t="n">
        <v>0</v>
      </c>
      <c r="O649" t="n">
        <v>0</v>
      </c>
      <c r="P649" t="n">
        <v>0</v>
      </c>
      <c r="Q649" t="n">
        <v>0</v>
      </c>
      <c r="R649" s="2" t="inlineStr"/>
    </row>
    <row r="650" ht="15" customHeight="1">
      <c r="A650" t="inlineStr">
        <is>
          <t>A 19222-2025</t>
        </is>
      </c>
      <c r="B650" s="1" t="n">
        <v>45769</v>
      </c>
      <c r="C650" s="1" t="n">
        <v>45990</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19241-2025</t>
        </is>
      </c>
      <c r="B651" s="1" t="n">
        <v>45769</v>
      </c>
      <c r="C651" s="1" t="n">
        <v>45990</v>
      </c>
      <c r="D651" t="inlineStr">
        <is>
          <t>VÄSTMANLANDS LÄN</t>
        </is>
      </c>
      <c r="E651" t="inlineStr">
        <is>
          <t>SALA</t>
        </is>
      </c>
      <c r="G651" t="n">
        <v>3.6</v>
      </c>
      <c r="H651" t="n">
        <v>0</v>
      </c>
      <c r="I651" t="n">
        <v>0</v>
      </c>
      <c r="J651" t="n">
        <v>0</v>
      </c>
      <c r="K651" t="n">
        <v>0</v>
      </c>
      <c r="L651" t="n">
        <v>0</v>
      </c>
      <c r="M651" t="n">
        <v>0</v>
      </c>
      <c r="N651" t="n">
        <v>0</v>
      </c>
      <c r="O651" t="n">
        <v>0</v>
      </c>
      <c r="P651" t="n">
        <v>0</v>
      </c>
      <c r="Q651" t="n">
        <v>0</v>
      </c>
      <c r="R651" s="2" t="inlineStr"/>
    </row>
    <row r="652" ht="15" customHeight="1">
      <c r="A652" t="inlineStr">
        <is>
          <t>A 60823-2024</t>
        </is>
      </c>
      <c r="B652" s="1" t="n">
        <v>45644</v>
      </c>
      <c r="C652" s="1" t="n">
        <v>45990</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61681-2024</t>
        </is>
      </c>
      <c r="B653" s="1" t="n">
        <v>45647</v>
      </c>
      <c r="C653" s="1" t="n">
        <v>45990</v>
      </c>
      <c r="D653" t="inlineStr">
        <is>
          <t>VÄSTMANLANDS LÄN</t>
        </is>
      </c>
      <c r="E653" t="inlineStr">
        <is>
          <t>SALA</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49661-2024</t>
        </is>
      </c>
      <c r="B654" s="1" t="n">
        <v>45596</v>
      </c>
      <c r="C654" s="1" t="n">
        <v>45990</v>
      </c>
      <c r="D654" t="inlineStr">
        <is>
          <t>VÄSTMANLANDS LÄN</t>
        </is>
      </c>
      <c r="E654" t="inlineStr">
        <is>
          <t>SALA</t>
        </is>
      </c>
      <c r="G654" t="n">
        <v>6.7</v>
      </c>
      <c r="H654" t="n">
        <v>0</v>
      </c>
      <c r="I654" t="n">
        <v>0</v>
      </c>
      <c r="J654" t="n">
        <v>0</v>
      </c>
      <c r="K654" t="n">
        <v>0</v>
      </c>
      <c r="L654" t="n">
        <v>0</v>
      </c>
      <c r="M654" t="n">
        <v>0</v>
      </c>
      <c r="N654" t="n">
        <v>0</v>
      </c>
      <c r="O654" t="n">
        <v>0</v>
      </c>
      <c r="P654" t="n">
        <v>0</v>
      </c>
      <c r="Q654" t="n">
        <v>0</v>
      </c>
      <c r="R654" s="2" t="inlineStr"/>
    </row>
    <row r="655" ht="15" customHeight="1">
      <c r="A655" t="inlineStr">
        <is>
          <t>A 59297-2023</t>
        </is>
      </c>
      <c r="B655" s="1" t="n">
        <v>45253</v>
      </c>
      <c r="C655" s="1" t="n">
        <v>45990</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15965-2024</t>
        </is>
      </c>
      <c r="B656" s="1" t="n">
        <v>45405.55740740741</v>
      </c>
      <c r="C656" s="1" t="n">
        <v>45990</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23180-2022</t>
        </is>
      </c>
      <c r="B657" s="1" t="n">
        <v>44719.79344907407</v>
      </c>
      <c r="C657" s="1" t="n">
        <v>45990</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21455-2023</t>
        </is>
      </c>
      <c r="B658" s="1" t="n">
        <v>45058</v>
      </c>
      <c r="C658" s="1" t="n">
        <v>45990</v>
      </c>
      <c r="D658" t="inlineStr">
        <is>
          <t>VÄSTMANLANDS LÄN</t>
        </is>
      </c>
      <c r="E658" t="inlineStr">
        <is>
          <t>SALA</t>
        </is>
      </c>
      <c r="G658" t="n">
        <v>6.4</v>
      </c>
      <c r="H658" t="n">
        <v>0</v>
      </c>
      <c r="I658" t="n">
        <v>0</v>
      </c>
      <c r="J658" t="n">
        <v>0</v>
      </c>
      <c r="K658" t="n">
        <v>0</v>
      </c>
      <c r="L658" t="n">
        <v>0</v>
      </c>
      <c r="M658" t="n">
        <v>0</v>
      </c>
      <c r="N658" t="n">
        <v>0</v>
      </c>
      <c r="O658" t="n">
        <v>0</v>
      </c>
      <c r="P658" t="n">
        <v>0</v>
      </c>
      <c r="Q658" t="n">
        <v>0</v>
      </c>
      <c r="R658" s="2" t="inlineStr"/>
    </row>
    <row r="659" ht="15" customHeight="1">
      <c r="A659" t="inlineStr">
        <is>
          <t>A 21053-2022</t>
        </is>
      </c>
      <c r="B659" s="1" t="n">
        <v>44704</v>
      </c>
      <c r="C659" s="1" t="n">
        <v>45990</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11927-2025</t>
        </is>
      </c>
      <c r="B660" s="1" t="n">
        <v>45728.5137962963</v>
      </c>
      <c r="C660" s="1" t="n">
        <v>45990</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50876-2023</t>
        </is>
      </c>
      <c r="B661" s="1" t="n">
        <v>45211</v>
      </c>
      <c r="C661" s="1" t="n">
        <v>45990</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10255-2024</t>
        </is>
      </c>
      <c r="B662" s="1" t="n">
        <v>45365</v>
      </c>
      <c r="C662" s="1" t="n">
        <v>45990</v>
      </c>
      <c r="D662" t="inlineStr">
        <is>
          <t>VÄSTMANLANDS LÄN</t>
        </is>
      </c>
      <c r="E662" t="inlineStr">
        <is>
          <t>SALA</t>
        </is>
      </c>
      <c r="F662" t="inlineStr">
        <is>
          <t>Kommuner</t>
        </is>
      </c>
      <c r="G662" t="n">
        <v>0.8</v>
      </c>
      <c r="H662" t="n">
        <v>0</v>
      </c>
      <c r="I662" t="n">
        <v>0</v>
      </c>
      <c r="J662" t="n">
        <v>0</v>
      </c>
      <c r="K662" t="n">
        <v>0</v>
      </c>
      <c r="L662" t="n">
        <v>0</v>
      </c>
      <c r="M662" t="n">
        <v>0</v>
      </c>
      <c r="N662" t="n">
        <v>0</v>
      </c>
      <c r="O662" t="n">
        <v>0</v>
      </c>
      <c r="P662" t="n">
        <v>0</v>
      </c>
      <c r="Q662" t="n">
        <v>0</v>
      </c>
      <c r="R662" s="2" t="inlineStr"/>
    </row>
    <row r="663" ht="15" customHeight="1">
      <c r="A663" t="inlineStr">
        <is>
          <t>A 62648-2022</t>
        </is>
      </c>
      <c r="B663" s="1" t="n">
        <v>44917</v>
      </c>
      <c r="C663" s="1" t="n">
        <v>45990</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56548-2024</t>
        </is>
      </c>
      <c r="B664" s="1" t="n">
        <v>45625</v>
      </c>
      <c r="C664" s="1" t="n">
        <v>45990</v>
      </c>
      <c r="D664" t="inlineStr">
        <is>
          <t>VÄSTMANLANDS LÄN</t>
        </is>
      </c>
      <c r="E664" t="inlineStr">
        <is>
          <t>SALA</t>
        </is>
      </c>
      <c r="G664" t="n">
        <v>0.7</v>
      </c>
      <c r="H664" t="n">
        <v>0</v>
      </c>
      <c r="I664" t="n">
        <v>0</v>
      </c>
      <c r="J664" t="n">
        <v>0</v>
      </c>
      <c r="K664" t="n">
        <v>0</v>
      </c>
      <c r="L664" t="n">
        <v>0</v>
      </c>
      <c r="M664" t="n">
        <v>0</v>
      </c>
      <c r="N664" t="n">
        <v>0</v>
      </c>
      <c r="O664" t="n">
        <v>0</v>
      </c>
      <c r="P664" t="n">
        <v>0</v>
      </c>
      <c r="Q664" t="n">
        <v>0</v>
      </c>
      <c r="R664" s="2" t="inlineStr"/>
    </row>
    <row r="665" ht="15" customHeight="1">
      <c r="A665" t="inlineStr">
        <is>
          <t>A 5477-2024</t>
        </is>
      </c>
      <c r="B665" s="1" t="n">
        <v>45333.67833333334</v>
      </c>
      <c r="C665" s="1" t="n">
        <v>45990</v>
      </c>
      <c r="D665" t="inlineStr">
        <is>
          <t>VÄSTMANLANDS LÄN</t>
        </is>
      </c>
      <c r="E665" t="inlineStr">
        <is>
          <t>SALA</t>
        </is>
      </c>
      <c r="G665" t="n">
        <v>2.3</v>
      </c>
      <c r="H665" t="n">
        <v>0</v>
      </c>
      <c r="I665" t="n">
        <v>0</v>
      </c>
      <c r="J665" t="n">
        <v>0</v>
      </c>
      <c r="K665" t="n">
        <v>0</v>
      </c>
      <c r="L665" t="n">
        <v>0</v>
      </c>
      <c r="M665" t="n">
        <v>0</v>
      </c>
      <c r="N665" t="n">
        <v>0</v>
      </c>
      <c r="O665" t="n">
        <v>0</v>
      </c>
      <c r="P665" t="n">
        <v>0</v>
      </c>
      <c r="Q665" t="n">
        <v>0</v>
      </c>
      <c r="R665" s="2" t="inlineStr"/>
    </row>
    <row r="666" ht="15" customHeight="1">
      <c r="A666" t="inlineStr">
        <is>
          <t>A 39451-2022</t>
        </is>
      </c>
      <c r="B666" s="1" t="n">
        <v>44818.36606481481</v>
      </c>
      <c r="C666" s="1" t="n">
        <v>45990</v>
      </c>
      <c r="D666" t="inlineStr">
        <is>
          <t>VÄSTMANLANDS LÄN</t>
        </is>
      </c>
      <c r="E666" t="inlineStr">
        <is>
          <t>SALA</t>
        </is>
      </c>
      <c r="G666" t="n">
        <v>9.4</v>
      </c>
      <c r="H666" t="n">
        <v>0</v>
      </c>
      <c r="I666" t="n">
        <v>0</v>
      </c>
      <c r="J666" t="n">
        <v>0</v>
      </c>
      <c r="K666" t="n">
        <v>0</v>
      </c>
      <c r="L666" t="n">
        <v>0</v>
      </c>
      <c r="M666" t="n">
        <v>0</v>
      </c>
      <c r="N666" t="n">
        <v>0</v>
      </c>
      <c r="O666" t="n">
        <v>0</v>
      </c>
      <c r="P666" t="n">
        <v>0</v>
      </c>
      <c r="Q666" t="n">
        <v>0</v>
      </c>
      <c r="R666" s="2" t="inlineStr"/>
    </row>
    <row r="667" ht="15" customHeight="1">
      <c r="A667" t="inlineStr">
        <is>
          <t>A 7772-2023</t>
        </is>
      </c>
      <c r="B667" s="1" t="n">
        <v>44973.40076388889</v>
      </c>
      <c r="C667" s="1" t="n">
        <v>45990</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19751-2022</t>
        </is>
      </c>
      <c r="B668" s="1" t="n">
        <v>44694</v>
      </c>
      <c r="C668" s="1" t="n">
        <v>45990</v>
      </c>
      <c r="D668" t="inlineStr">
        <is>
          <t>VÄSTMANLANDS LÄN</t>
        </is>
      </c>
      <c r="E668" t="inlineStr">
        <is>
          <t>SALA</t>
        </is>
      </c>
      <c r="G668" t="n">
        <v>2.7</v>
      </c>
      <c r="H668" t="n">
        <v>0</v>
      </c>
      <c r="I668" t="n">
        <v>0</v>
      </c>
      <c r="J668" t="n">
        <v>0</v>
      </c>
      <c r="K668" t="n">
        <v>0</v>
      </c>
      <c r="L668" t="n">
        <v>0</v>
      </c>
      <c r="M668" t="n">
        <v>0</v>
      </c>
      <c r="N668" t="n">
        <v>0</v>
      </c>
      <c r="O668" t="n">
        <v>0</v>
      </c>
      <c r="P668" t="n">
        <v>0</v>
      </c>
      <c r="Q668" t="n">
        <v>0</v>
      </c>
      <c r="R668" s="2" t="inlineStr"/>
    </row>
    <row r="669" ht="15" customHeight="1">
      <c r="A669" t="inlineStr">
        <is>
          <t>A 44713-2023</t>
        </is>
      </c>
      <c r="B669" s="1" t="n">
        <v>45184</v>
      </c>
      <c r="C669" s="1" t="n">
        <v>45990</v>
      </c>
      <c r="D669" t="inlineStr">
        <is>
          <t>VÄSTMANLANDS LÄN</t>
        </is>
      </c>
      <c r="E669" t="inlineStr">
        <is>
          <t>SALA</t>
        </is>
      </c>
      <c r="F669" t="inlineStr">
        <is>
          <t>Kyrkan</t>
        </is>
      </c>
      <c r="G669" t="n">
        <v>7.6</v>
      </c>
      <c r="H669" t="n">
        <v>0</v>
      </c>
      <c r="I669" t="n">
        <v>0</v>
      </c>
      <c r="J669" t="n">
        <v>0</v>
      </c>
      <c r="K669" t="n">
        <v>0</v>
      </c>
      <c r="L669" t="n">
        <v>0</v>
      </c>
      <c r="M669" t="n">
        <v>0</v>
      </c>
      <c r="N669" t="n">
        <v>0</v>
      </c>
      <c r="O669" t="n">
        <v>0</v>
      </c>
      <c r="P669" t="n">
        <v>0</v>
      </c>
      <c r="Q669" t="n">
        <v>0</v>
      </c>
      <c r="R669" s="2" t="inlineStr"/>
    </row>
    <row r="670" ht="15" customHeight="1">
      <c r="A670" t="inlineStr">
        <is>
          <t>A 18713-2025</t>
        </is>
      </c>
      <c r="B670" s="1" t="n">
        <v>45763</v>
      </c>
      <c r="C670" s="1" t="n">
        <v>45990</v>
      </c>
      <c r="D670" t="inlineStr">
        <is>
          <t>VÄSTMANLANDS LÄN</t>
        </is>
      </c>
      <c r="E670" t="inlineStr">
        <is>
          <t>SALA</t>
        </is>
      </c>
      <c r="F670" t="inlineStr">
        <is>
          <t>Bergvik skog öst AB</t>
        </is>
      </c>
      <c r="G670" t="n">
        <v>11.6</v>
      </c>
      <c r="H670" t="n">
        <v>0</v>
      </c>
      <c r="I670" t="n">
        <v>0</v>
      </c>
      <c r="J670" t="n">
        <v>0</v>
      </c>
      <c r="K670" t="n">
        <v>0</v>
      </c>
      <c r="L670" t="n">
        <v>0</v>
      </c>
      <c r="M670" t="n">
        <v>0</v>
      </c>
      <c r="N670" t="n">
        <v>0</v>
      </c>
      <c r="O670" t="n">
        <v>0</v>
      </c>
      <c r="P670" t="n">
        <v>0</v>
      </c>
      <c r="Q670" t="n">
        <v>0</v>
      </c>
      <c r="R670" s="2" t="inlineStr"/>
    </row>
    <row r="671" ht="15" customHeight="1">
      <c r="A671" t="inlineStr">
        <is>
          <t>A 47479-2024</t>
        </is>
      </c>
      <c r="B671" s="1" t="n">
        <v>45587</v>
      </c>
      <c r="C671" s="1" t="n">
        <v>45990</v>
      </c>
      <c r="D671" t="inlineStr">
        <is>
          <t>VÄSTMANLANDS LÄN</t>
        </is>
      </c>
      <c r="E671" t="inlineStr">
        <is>
          <t>SALA</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69236-2021</t>
        </is>
      </c>
      <c r="B672" s="1" t="n">
        <v>44531.4047337963</v>
      </c>
      <c r="C672" s="1" t="n">
        <v>45990</v>
      </c>
      <c r="D672" t="inlineStr">
        <is>
          <t>VÄSTMANLANDS LÄN</t>
        </is>
      </c>
      <c r="E672" t="inlineStr">
        <is>
          <t>SALA</t>
        </is>
      </c>
      <c r="G672" t="n">
        <v>2.8</v>
      </c>
      <c r="H672" t="n">
        <v>0</v>
      </c>
      <c r="I672" t="n">
        <v>0</v>
      </c>
      <c r="J672" t="n">
        <v>0</v>
      </c>
      <c r="K672" t="n">
        <v>0</v>
      </c>
      <c r="L672" t="n">
        <v>0</v>
      </c>
      <c r="M672" t="n">
        <v>0</v>
      </c>
      <c r="N672" t="n">
        <v>0</v>
      </c>
      <c r="O672" t="n">
        <v>0</v>
      </c>
      <c r="P672" t="n">
        <v>0</v>
      </c>
      <c r="Q672" t="n">
        <v>0</v>
      </c>
      <c r="R672" s="2" t="inlineStr"/>
    </row>
    <row r="673" ht="15" customHeight="1">
      <c r="A673" t="inlineStr">
        <is>
          <t>A 25541-2024</t>
        </is>
      </c>
      <c r="B673" s="1" t="n">
        <v>45463.56337962963</v>
      </c>
      <c r="C673" s="1" t="n">
        <v>45990</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5728-2022</t>
        </is>
      </c>
      <c r="B674" s="1" t="n">
        <v>44596.42082175926</v>
      </c>
      <c r="C674" s="1" t="n">
        <v>45990</v>
      </c>
      <c r="D674" t="inlineStr">
        <is>
          <t>VÄSTMANLANDS LÄN</t>
        </is>
      </c>
      <c r="E674" t="inlineStr">
        <is>
          <t>SALA</t>
        </is>
      </c>
      <c r="G674" t="n">
        <v>1.7</v>
      </c>
      <c r="H674" t="n">
        <v>0</v>
      </c>
      <c r="I674" t="n">
        <v>0</v>
      </c>
      <c r="J674" t="n">
        <v>0</v>
      </c>
      <c r="K674" t="n">
        <v>0</v>
      </c>
      <c r="L674" t="n">
        <v>0</v>
      </c>
      <c r="M674" t="n">
        <v>0</v>
      </c>
      <c r="N674" t="n">
        <v>0</v>
      </c>
      <c r="O674" t="n">
        <v>0</v>
      </c>
      <c r="P674" t="n">
        <v>0</v>
      </c>
      <c r="Q674" t="n">
        <v>0</v>
      </c>
      <c r="R674" s="2" t="inlineStr"/>
    </row>
    <row r="675" ht="15" customHeight="1">
      <c r="A675" t="inlineStr">
        <is>
          <t>A 10250-2025</t>
        </is>
      </c>
      <c r="B675" s="1" t="n">
        <v>45720.36165509259</v>
      </c>
      <c r="C675" s="1" t="n">
        <v>45990</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49512-2024</t>
        </is>
      </c>
      <c r="B676" s="1" t="n">
        <v>45591</v>
      </c>
      <c r="C676" s="1" t="n">
        <v>45990</v>
      </c>
      <c r="D676" t="inlineStr">
        <is>
          <t>VÄSTMANLANDS LÄN</t>
        </is>
      </c>
      <c r="E676" t="inlineStr">
        <is>
          <t>SALA</t>
        </is>
      </c>
      <c r="G676" t="n">
        <v>8.1</v>
      </c>
      <c r="H676" t="n">
        <v>0</v>
      </c>
      <c r="I676" t="n">
        <v>0</v>
      </c>
      <c r="J676" t="n">
        <v>0</v>
      </c>
      <c r="K676" t="n">
        <v>0</v>
      </c>
      <c r="L676" t="n">
        <v>0</v>
      </c>
      <c r="M676" t="n">
        <v>0</v>
      </c>
      <c r="N676" t="n">
        <v>0</v>
      </c>
      <c r="O676" t="n">
        <v>0</v>
      </c>
      <c r="P676" t="n">
        <v>0</v>
      </c>
      <c r="Q676" t="n">
        <v>0</v>
      </c>
      <c r="R676" s="2" t="inlineStr"/>
    </row>
    <row r="677" ht="15" customHeight="1">
      <c r="A677" t="inlineStr">
        <is>
          <t>A 42416-2022</t>
        </is>
      </c>
      <c r="B677" s="1" t="n">
        <v>44831</v>
      </c>
      <c r="C677" s="1" t="n">
        <v>45990</v>
      </c>
      <c r="D677" t="inlineStr">
        <is>
          <t>VÄSTMANLANDS LÄN</t>
        </is>
      </c>
      <c r="E677" t="inlineStr">
        <is>
          <t>SALA</t>
        </is>
      </c>
      <c r="G677" t="n">
        <v>2.2</v>
      </c>
      <c r="H677" t="n">
        <v>0</v>
      </c>
      <c r="I677" t="n">
        <v>0</v>
      </c>
      <c r="J677" t="n">
        <v>0</v>
      </c>
      <c r="K677" t="n">
        <v>0</v>
      </c>
      <c r="L677" t="n">
        <v>0</v>
      </c>
      <c r="M677" t="n">
        <v>0</v>
      </c>
      <c r="N677" t="n">
        <v>0</v>
      </c>
      <c r="O677" t="n">
        <v>0</v>
      </c>
      <c r="P677" t="n">
        <v>0</v>
      </c>
      <c r="Q677" t="n">
        <v>0</v>
      </c>
      <c r="R677" s="2" t="inlineStr"/>
    </row>
    <row r="678" ht="15" customHeight="1">
      <c r="A678" t="inlineStr">
        <is>
          <t>A 6135-2023</t>
        </is>
      </c>
      <c r="B678" s="1" t="n">
        <v>44964.62628472222</v>
      </c>
      <c r="C678" s="1" t="n">
        <v>45990</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16693-2023</t>
        </is>
      </c>
      <c r="B679" s="1" t="n">
        <v>45028</v>
      </c>
      <c r="C679" s="1" t="n">
        <v>45990</v>
      </c>
      <c r="D679" t="inlineStr">
        <is>
          <t>VÄSTMANLANDS LÄN</t>
        </is>
      </c>
      <c r="E679" t="inlineStr">
        <is>
          <t>SALA</t>
        </is>
      </c>
      <c r="G679" t="n">
        <v>1.5</v>
      </c>
      <c r="H679" t="n">
        <v>0</v>
      </c>
      <c r="I679" t="n">
        <v>0</v>
      </c>
      <c r="J679" t="n">
        <v>0</v>
      </c>
      <c r="K679" t="n">
        <v>0</v>
      </c>
      <c r="L679" t="n">
        <v>0</v>
      </c>
      <c r="M679" t="n">
        <v>0</v>
      </c>
      <c r="N679" t="n">
        <v>0</v>
      </c>
      <c r="O679" t="n">
        <v>0</v>
      </c>
      <c r="P679" t="n">
        <v>0</v>
      </c>
      <c r="Q679" t="n">
        <v>0</v>
      </c>
      <c r="R679" s="2" t="inlineStr"/>
    </row>
    <row r="680" ht="15" customHeight="1">
      <c r="A680" t="inlineStr">
        <is>
          <t>A 8285-2025</t>
        </is>
      </c>
      <c r="B680" s="1" t="n">
        <v>45708</v>
      </c>
      <c r="C680" s="1" t="n">
        <v>45990</v>
      </c>
      <c r="D680" t="inlineStr">
        <is>
          <t>VÄSTMANLANDS LÄN</t>
        </is>
      </c>
      <c r="E680" t="inlineStr">
        <is>
          <t>SALA</t>
        </is>
      </c>
      <c r="G680" t="n">
        <v>5.7</v>
      </c>
      <c r="H680" t="n">
        <v>0</v>
      </c>
      <c r="I680" t="n">
        <v>0</v>
      </c>
      <c r="J680" t="n">
        <v>0</v>
      </c>
      <c r="K680" t="n">
        <v>0</v>
      </c>
      <c r="L680" t="n">
        <v>0</v>
      </c>
      <c r="M680" t="n">
        <v>0</v>
      </c>
      <c r="N680" t="n">
        <v>0</v>
      </c>
      <c r="O680" t="n">
        <v>0</v>
      </c>
      <c r="P680" t="n">
        <v>0</v>
      </c>
      <c r="Q680" t="n">
        <v>0</v>
      </c>
      <c r="R680" s="2" t="inlineStr"/>
    </row>
    <row r="681" ht="15" customHeight="1">
      <c r="A681" t="inlineStr">
        <is>
          <t>A 15584-2021</t>
        </is>
      </c>
      <c r="B681" s="1" t="n">
        <v>44285</v>
      </c>
      <c r="C681" s="1" t="n">
        <v>45990</v>
      </c>
      <c r="D681" t="inlineStr">
        <is>
          <t>VÄSTMANLANDS LÄN</t>
        </is>
      </c>
      <c r="E681" t="inlineStr">
        <is>
          <t>SALA</t>
        </is>
      </c>
      <c r="G681" t="n">
        <v>3.4</v>
      </c>
      <c r="H681" t="n">
        <v>0</v>
      </c>
      <c r="I681" t="n">
        <v>0</v>
      </c>
      <c r="J681" t="n">
        <v>0</v>
      </c>
      <c r="K681" t="n">
        <v>0</v>
      </c>
      <c r="L681" t="n">
        <v>0</v>
      </c>
      <c r="M681" t="n">
        <v>0</v>
      </c>
      <c r="N681" t="n">
        <v>0</v>
      </c>
      <c r="O681" t="n">
        <v>0</v>
      </c>
      <c r="P681" t="n">
        <v>0</v>
      </c>
      <c r="Q681" t="n">
        <v>0</v>
      </c>
      <c r="R681" s="2" t="inlineStr"/>
    </row>
    <row r="682" ht="15" customHeight="1">
      <c r="A682" t="inlineStr">
        <is>
          <t>A 18340-2025</t>
        </is>
      </c>
      <c r="B682" s="1" t="n">
        <v>45762</v>
      </c>
      <c r="C682" s="1" t="n">
        <v>45990</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56706-2022</t>
        </is>
      </c>
      <c r="B683" s="1" t="n">
        <v>44893.78893518518</v>
      </c>
      <c r="C683" s="1" t="n">
        <v>45990</v>
      </c>
      <c r="D683" t="inlineStr">
        <is>
          <t>VÄSTMANLANDS LÄN</t>
        </is>
      </c>
      <c r="E683" t="inlineStr">
        <is>
          <t>SALA</t>
        </is>
      </c>
      <c r="G683" t="n">
        <v>4.5</v>
      </c>
      <c r="H683" t="n">
        <v>0</v>
      </c>
      <c r="I683" t="n">
        <v>0</v>
      </c>
      <c r="J683" t="n">
        <v>0</v>
      </c>
      <c r="K683" t="n">
        <v>0</v>
      </c>
      <c r="L683" t="n">
        <v>0</v>
      </c>
      <c r="M683" t="n">
        <v>0</v>
      </c>
      <c r="N683" t="n">
        <v>0</v>
      </c>
      <c r="O683" t="n">
        <v>0</v>
      </c>
      <c r="P683" t="n">
        <v>0</v>
      </c>
      <c r="Q683" t="n">
        <v>0</v>
      </c>
      <c r="R683" s="2" t="inlineStr"/>
    </row>
    <row r="684" ht="15" customHeight="1">
      <c r="A684" t="inlineStr">
        <is>
          <t>A 56707-2022</t>
        </is>
      </c>
      <c r="B684" s="1" t="n">
        <v>44893.79412037037</v>
      </c>
      <c r="C684" s="1" t="n">
        <v>45990</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48571-2024</t>
        </is>
      </c>
      <c r="B685" s="1" t="n">
        <v>45591</v>
      </c>
      <c r="C685" s="1" t="n">
        <v>45990</v>
      </c>
      <c r="D685" t="inlineStr">
        <is>
          <t>VÄSTMANLANDS LÄN</t>
        </is>
      </c>
      <c r="E685" t="inlineStr">
        <is>
          <t>SALA</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13188-2025</t>
        </is>
      </c>
      <c r="B686" s="1" t="n">
        <v>45735.39246527778</v>
      </c>
      <c r="C686" s="1" t="n">
        <v>45990</v>
      </c>
      <c r="D686" t="inlineStr">
        <is>
          <t>VÄSTMANLANDS LÄN</t>
        </is>
      </c>
      <c r="E686" t="inlineStr">
        <is>
          <t>SALA</t>
        </is>
      </c>
      <c r="F686" t="inlineStr">
        <is>
          <t>Naturvårdsverket</t>
        </is>
      </c>
      <c r="G686" t="n">
        <v>18.4</v>
      </c>
      <c r="H686" t="n">
        <v>0</v>
      </c>
      <c r="I686" t="n">
        <v>0</v>
      </c>
      <c r="J686" t="n">
        <v>0</v>
      </c>
      <c r="K686" t="n">
        <v>0</v>
      </c>
      <c r="L686" t="n">
        <v>0</v>
      </c>
      <c r="M686" t="n">
        <v>0</v>
      </c>
      <c r="N686" t="n">
        <v>0</v>
      </c>
      <c r="O686" t="n">
        <v>0</v>
      </c>
      <c r="P686" t="n">
        <v>0</v>
      </c>
      <c r="Q686" t="n">
        <v>0</v>
      </c>
      <c r="R686" s="2" t="inlineStr"/>
    </row>
    <row r="687" ht="15" customHeight="1">
      <c r="A687" t="inlineStr">
        <is>
          <t>A 23431-2024</t>
        </is>
      </c>
      <c r="B687" s="1" t="n">
        <v>45453</v>
      </c>
      <c r="C687" s="1" t="n">
        <v>45990</v>
      </c>
      <c r="D687" t="inlineStr">
        <is>
          <t>VÄSTMANLANDS LÄN</t>
        </is>
      </c>
      <c r="E687" t="inlineStr">
        <is>
          <t>SALA</t>
        </is>
      </c>
      <c r="G687" t="n">
        <v>1.6</v>
      </c>
      <c r="H687" t="n">
        <v>0</v>
      </c>
      <c r="I687" t="n">
        <v>0</v>
      </c>
      <c r="J687" t="n">
        <v>0</v>
      </c>
      <c r="K687" t="n">
        <v>0</v>
      </c>
      <c r="L687" t="n">
        <v>0</v>
      </c>
      <c r="M687" t="n">
        <v>0</v>
      </c>
      <c r="N687" t="n">
        <v>0</v>
      </c>
      <c r="O687" t="n">
        <v>0</v>
      </c>
      <c r="P687" t="n">
        <v>0</v>
      </c>
      <c r="Q687" t="n">
        <v>0</v>
      </c>
      <c r="R687" s="2" t="inlineStr"/>
    </row>
    <row r="688" ht="15" customHeight="1">
      <c r="A688" t="inlineStr">
        <is>
          <t>A 21168-2025</t>
        </is>
      </c>
      <c r="B688" s="1" t="n">
        <v>45777</v>
      </c>
      <c r="C688" s="1" t="n">
        <v>45990</v>
      </c>
      <c r="D688" t="inlineStr">
        <is>
          <t>VÄSTMANLANDS LÄN</t>
        </is>
      </c>
      <c r="E688" t="inlineStr">
        <is>
          <t>SALA</t>
        </is>
      </c>
      <c r="G688" t="n">
        <v>4.5</v>
      </c>
      <c r="H688" t="n">
        <v>0</v>
      </c>
      <c r="I688" t="n">
        <v>0</v>
      </c>
      <c r="J688" t="n">
        <v>0</v>
      </c>
      <c r="K688" t="n">
        <v>0</v>
      </c>
      <c r="L688" t="n">
        <v>0</v>
      </c>
      <c r="M688" t="n">
        <v>0</v>
      </c>
      <c r="N688" t="n">
        <v>0</v>
      </c>
      <c r="O688" t="n">
        <v>0</v>
      </c>
      <c r="P688" t="n">
        <v>0</v>
      </c>
      <c r="Q688" t="n">
        <v>0</v>
      </c>
      <c r="R688" s="2" t="inlineStr"/>
    </row>
    <row r="689" ht="15" customHeight="1">
      <c r="A689" t="inlineStr">
        <is>
          <t>A 21754-2025</t>
        </is>
      </c>
      <c r="B689" s="1" t="n">
        <v>45783.61837962963</v>
      </c>
      <c r="C689" s="1" t="n">
        <v>45990</v>
      </c>
      <c r="D689" t="inlineStr">
        <is>
          <t>VÄSTMANLANDS LÄN</t>
        </is>
      </c>
      <c r="E689" t="inlineStr">
        <is>
          <t>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21751-2025</t>
        </is>
      </c>
      <c r="B690" s="1" t="n">
        <v>45783.61372685185</v>
      </c>
      <c r="C690" s="1" t="n">
        <v>45990</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37587-2024</t>
        </is>
      </c>
      <c r="B691" s="1" t="n">
        <v>45541</v>
      </c>
      <c r="C691" s="1" t="n">
        <v>45990</v>
      </c>
      <c r="D691" t="inlineStr">
        <is>
          <t>VÄSTMANLANDS LÄN</t>
        </is>
      </c>
      <c r="E691" t="inlineStr">
        <is>
          <t>SALA</t>
        </is>
      </c>
      <c r="G691" t="n">
        <v>1.2</v>
      </c>
      <c r="H691" t="n">
        <v>0</v>
      </c>
      <c r="I691" t="n">
        <v>0</v>
      </c>
      <c r="J691" t="n">
        <v>0</v>
      </c>
      <c r="K691" t="n">
        <v>0</v>
      </c>
      <c r="L691" t="n">
        <v>0</v>
      </c>
      <c r="M691" t="n">
        <v>0</v>
      </c>
      <c r="N691" t="n">
        <v>0</v>
      </c>
      <c r="O691" t="n">
        <v>0</v>
      </c>
      <c r="P691" t="n">
        <v>0</v>
      </c>
      <c r="Q691" t="n">
        <v>0</v>
      </c>
      <c r="R691" s="2" t="inlineStr"/>
    </row>
    <row r="692" ht="15" customHeight="1">
      <c r="A692" t="inlineStr">
        <is>
          <t>A 64724-2023</t>
        </is>
      </c>
      <c r="B692" s="1" t="n">
        <v>45281.7602662037</v>
      </c>
      <c r="C692" s="1" t="n">
        <v>45990</v>
      </c>
      <c r="D692" t="inlineStr">
        <is>
          <t>VÄSTMANLANDS LÄN</t>
        </is>
      </c>
      <c r="E692" t="inlineStr">
        <is>
          <t>SALA</t>
        </is>
      </c>
      <c r="G692" t="n">
        <v>2.3</v>
      </c>
      <c r="H692" t="n">
        <v>0</v>
      </c>
      <c r="I692" t="n">
        <v>0</v>
      </c>
      <c r="J692" t="n">
        <v>0</v>
      </c>
      <c r="K692" t="n">
        <v>0</v>
      </c>
      <c r="L692" t="n">
        <v>0</v>
      </c>
      <c r="M692" t="n">
        <v>0</v>
      </c>
      <c r="N692" t="n">
        <v>0</v>
      </c>
      <c r="O692" t="n">
        <v>0</v>
      </c>
      <c r="P692" t="n">
        <v>0</v>
      </c>
      <c r="Q692" t="n">
        <v>0</v>
      </c>
      <c r="R692" s="2" t="inlineStr"/>
    </row>
    <row r="693" ht="15" customHeight="1">
      <c r="A693" t="inlineStr">
        <is>
          <t>A 7176-2023</t>
        </is>
      </c>
      <c r="B693" s="1" t="n">
        <v>44970</v>
      </c>
      <c r="C693" s="1" t="n">
        <v>45990</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43600-2024</t>
        </is>
      </c>
      <c r="B694" s="1" t="n">
        <v>45569</v>
      </c>
      <c r="C694" s="1" t="n">
        <v>45990</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31405-2024</t>
        </is>
      </c>
      <c r="B695" s="1" t="n">
        <v>45505.5490625</v>
      </c>
      <c r="C695" s="1" t="n">
        <v>45990</v>
      </c>
      <c r="D695" t="inlineStr">
        <is>
          <t>VÄSTMANLANDS LÄN</t>
        </is>
      </c>
      <c r="E695" t="inlineStr">
        <is>
          <t>SALA</t>
        </is>
      </c>
      <c r="G695" t="n">
        <v>5.2</v>
      </c>
      <c r="H695" t="n">
        <v>0</v>
      </c>
      <c r="I695" t="n">
        <v>0</v>
      </c>
      <c r="J695" t="n">
        <v>0</v>
      </c>
      <c r="K695" t="n">
        <v>0</v>
      </c>
      <c r="L695" t="n">
        <v>0</v>
      </c>
      <c r="M695" t="n">
        <v>0</v>
      </c>
      <c r="N695" t="n">
        <v>0</v>
      </c>
      <c r="O695" t="n">
        <v>0</v>
      </c>
      <c r="P695" t="n">
        <v>0</v>
      </c>
      <c r="Q695" t="n">
        <v>0</v>
      </c>
      <c r="R695" s="2" t="inlineStr"/>
    </row>
    <row r="696" ht="15" customHeight="1">
      <c r="A696" t="inlineStr">
        <is>
          <t>A 22616-2025</t>
        </is>
      </c>
      <c r="B696" s="1" t="n">
        <v>45789.42752314815</v>
      </c>
      <c r="C696" s="1" t="n">
        <v>45990</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22353-2025</t>
        </is>
      </c>
      <c r="B697" s="1" t="n">
        <v>45786</v>
      </c>
      <c r="C697" s="1" t="n">
        <v>45990</v>
      </c>
      <c r="D697" t="inlineStr">
        <is>
          <t>VÄSTMANLANDS LÄN</t>
        </is>
      </c>
      <c r="E697" t="inlineStr">
        <is>
          <t>SALA</t>
        </is>
      </c>
      <c r="G697" t="n">
        <v>2.5</v>
      </c>
      <c r="H697" t="n">
        <v>0</v>
      </c>
      <c r="I697" t="n">
        <v>0</v>
      </c>
      <c r="J697" t="n">
        <v>0</v>
      </c>
      <c r="K697" t="n">
        <v>0</v>
      </c>
      <c r="L697" t="n">
        <v>0</v>
      </c>
      <c r="M697" t="n">
        <v>0</v>
      </c>
      <c r="N697" t="n">
        <v>0</v>
      </c>
      <c r="O697" t="n">
        <v>0</v>
      </c>
      <c r="P697" t="n">
        <v>0</v>
      </c>
      <c r="Q697" t="n">
        <v>0</v>
      </c>
      <c r="R697" s="2" t="inlineStr"/>
    </row>
    <row r="698" ht="15" customHeight="1">
      <c r="A698" t="inlineStr">
        <is>
          <t>A 22383-2025</t>
        </is>
      </c>
      <c r="B698" s="1" t="n">
        <v>45786</v>
      </c>
      <c r="C698" s="1" t="n">
        <v>45990</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22624-2025</t>
        </is>
      </c>
      <c r="B699" s="1" t="n">
        <v>45789.43327546296</v>
      </c>
      <c r="C699" s="1" t="n">
        <v>45990</v>
      </c>
      <c r="D699" t="inlineStr">
        <is>
          <t>VÄSTMANLANDS LÄN</t>
        </is>
      </c>
      <c r="E699" t="inlineStr">
        <is>
          <t>SALA</t>
        </is>
      </c>
      <c r="G699" t="n">
        <v>1.5</v>
      </c>
      <c r="H699" t="n">
        <v>0</v>
      </c>
      <c r="I699" t="n">
        <v>0</v>
      </c>
      <c r="J699" t="n">
        <v>0</v>
      </c>
      <c r="K699" t="n">
        <v>0</v>
      </c>
      <c r="L699" t="n">
        <v>0</v>
      </c>
      <c r="M699" t="n">
        <v>0</v>
      </c>
      <c r="N699" t="n">
        <v>0</v>
      </c>
      <c r="O699" t="n">
        <v>0</v>
      </c>
      <c r="P699" t="n">
        <v>0</v>
      </c>
      <c r="Q699" t="n">
        <v>0</v>
      </c>
      <c r="R699" s="2" t="inlineStr"/>
    </row>
    <row r="700" ht="15" customHeight="1">
      <c r="A700" t="inlineStr">
        <is>
          <t>A 22370-2025</t>
        </is>
      </c>
      <c r="B700" s="1" t="n">
        <v>45786</v>
      </c>
      <c r="C700" s="1" t="n">
        <v>45990</v>
      </c>
      <c r="D700" t="inlineStr">
        <is>
          <t>VÄSTMANLANDS LÄN</t>
        </is>
      </c>
      <c r="E700" t="inlineStr">
        <is>
          <t>SALA</t>
        </is>
      </c>
      <c r="G700" t="n">
        <v>3.2</v>
      </c>
      <c r="H700" t="n">
        <v>0</v>
      </c>
      <c r="I700" t="n">
        <v>0</v>
      </c>
      <c r="J700" t="n">
        <v>0</v>
      </c>
      <c r="K700" t="n">
        <v>0</v>
      </c>
      <c r="L700" t="n">
        <v>0</v>
      </c>
      <c r="M700" t="n">
        <v>0</v>
      </c>
      <c r="N700" t="n">
        <v>0</v>
      </c>
      <c r="O700" t="n">
        <v>0</v>
      </c>
      <c r="P700" t="n">
        <v>0</v>
      </c>
      <c r="Q700" t="n">
        <v>0</v>
      </c>
      <c r="R700" s="2" t="inlineStr"/>
    </row>
    <row r="701" ht="15" customHeight="1">
      <c r="A701" t="inlineStr">
        <is>
          <t>A 13130-2025</t>
        </is>
      </c>
      <c r="B701" s="1" t="n">
        <v>45734</v>
      </c>
      <c r="C701" s="1" t="n">
        <v>45990</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23804-2025</t>
        </is>
      </c>
      <c r="B702" s="1" t="n">
        <v>45793.55995370371</v>
      </c>
      <c r="C702" s="1" t="n">
        <v>45990</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22126-2025</t>
        </is>
      </c>
      <c r="B703" s="1" t="n">
        <v>45785</v>
      </c>
      <c r="C703" s="1" t="n">
        <v>45990</v>
      </c>
      <c r="D703" t="inlineStr">
        <is>
          <t>VÄSTMANLANDS LÄN</t>
        </is>
      </c>
      <c r="E703" t="inlineStr">
        <is>
          <t>SALA</t>
        </is>
      </c>
      <c r="G703" t="n">
        <v>10.6</v>
      </c>
      <c r="H703" t="n">
        <v>0</v>
      </c>
      <c r="I703" t="n">
        <v>0</v>
      </c>
      <c r="J703" t="n">
        <v>0</v>
      </c>
      <c r="K703" t="n">
        <v>0</v>
      </c>
      <c r="L703" t="n">
        <v>0</v>
      </c>
      <c r="M703" t="n">
        <v>0</v>
      </c>
      <c r="N703" t="n">
        <v>0</v>
      </c>
      <c r="O703" t="n">
        <v>0</v>
      </c>
      <c r="P703" t="n">
        <v>0</v>
      </c>
      <c r="Q703" t="n">
        <v>0</v>
      </c>
      <c r="R703" s="2" t="inlineStr"/>
    </row>
    <row r="704" ht="15" customHeight="1">
      <c r="A704" t="inlineStr">
        <is>
          <t>A 19297-2025</t>
        </is>
      </c>
      <c r="B704" s="1" t="n">
        <v>45769.56261574074</v>
      </c>
      <c r="C704" s="1" t="n">
        <v>45990</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23810-2025</t>
        </is>
      </c>
      <c r="B705" s="1" t="n">
        <v>45793.56989583333</v>
      </c>
      <c r="C705" s="1" t="n">
        <v>45990</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24169-2025</t>
        </is>
      </c>
      <c r="B706" s="1" t="n">
        <v>45796</v>
      </c>
      <c r="C706" s="1" t="n">
        <v>45990</v>
      </c>
      <c r="D706" t="inlineStr">
        <is>
          <t>VÄSTMANLANDS LÄN</t>
        </is>
      </c>
      <c r="E706" t="inlineStr">
        <is>
          <t>SALA</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11210-2025</t>
        </is>
      </c>
      <c r="B707" s="1" t="n">
        <v>45726</v>
      </c>
      <c r="C707" s="1" t="n">
        <v>45990</v>
      </c>
      <c r="D707" t="inlineStr">
        <is>
          <t>VÄSTMANLANDS LÄN</t>
        </is>
      </c>
      <c r="E707" t="inlineStr">
        <is>
          <t>SALA</t>
        </is>
      </c>
      <c r="G707" t="n">
        <v>4.1</v>
      </c>
      <c r="H707" t="n">
        <v>0</v>
      </c>
      <c r="I707" t="n">
        <v>0</v>
      </c>
      <c r="J707" t="n">
        <v>0</v>
      </c>
      <c r="K707" t="n">
        <v>0</v>
      </c>
      <c r="L707" t="n">
        <v>0</v>
      </c>
      <c r="M707" t="n">
        <v>0</v>
      </c>
      <c r="N707" t="n">
        <v>0</v>
      </c>
      <c r="O707" t="n">
        <v>0</v>
      </c>
      <c r="P707" t="n">
        <v>0</v>
      </c>
      <c r="Q707" t="n">
        <v>0</v>
      </c>
      <c r="R707" s="2" t="inlineStr"/>
    </row>
    <row r="708">
      <c r="A708" t="inlineStr">
        <is>
          <t>A 24944-2023</t>
        </is>
      </c>
      <c r="B708" s="1" t="n">
        <v>45085</v>
      </c>
      <c r="C708" s="1" t="n">
        <v>45990</v>
      </c>
      <c r="D708" t="inlineStr">
        <is>
          <t>VÄSTMANLANDS LÄN</t>
        </is>
      </c>
      <c r="E708" t="inlineStr">
        <is>
          <t>SALA</t>
        </is>
      </c>
      <c r="G708" t="n">
        <v>3.8</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2025-11-29T10:26:46Z</dcterms:created>
  <dcterms:modified xmlns:dcterms="http://purl.org/dc/terms/" xmlns:xsi="http://www.w3.org/2001/XMLSchema-instance" xsi:type="dcterms:W3CDTF">2025-11-29T10:26:46Z</dcterms:modified>
</cp:coreProperties>
</file>