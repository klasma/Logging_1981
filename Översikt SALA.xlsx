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46132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46132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13033-2026</t>
        </is>
      </c>
      <c r="B5" s="1" t="n">
        <v>46092.91247685185</v>
      </c>
      <c r="C5" s="1" t="n">
        <v>46132</v>
      </c>
      <c r="D5" t="inlineStr">
        <is>
          <t>VÄSTMANLANDS LÄN</t>
        </is>
      </c>
      <c r="E5" t="inlineStr">
        <is>
          <t>SALA</t>
        </is>
      </c>
      <c r="G5" t="n">
        <v>11.7</v>
      </c>
      <c r="H5" t="n">
        <v>1</v>
      </c>
      <c r="I5" t="n">
        <v>5</v>
      </c>
      <c r="J5" t="n">
        <v>3</v>
      </c>
      <c r="K5" t="n">
        <v>2</v>
      </c>
      <c r="L5" t="n">
        <v>0</v>
      </c>
      <c r="M5" t="n">
        <v>0</v>
      </c>
      <c r="N5" t="n">
        <v>0</v>
      </c>
      <c r="O5" t="n">
        <v>5</v>
      </c>
      <c r="P5" t="n">
        <v>2</v>
      </c>
      <c r="Q5" t="n">
        <v>11</v>
      </c>
      <c r="R5" s="2" t="inlineStr">
        <is>
          <t>Gräddticka
Ulltickeporing
Garnlav
Rosenticka
Ullticka
Bronshjon
Kamjordstjärna
Thomsons trägnagare
Vedticka
Åttafläckig praktbagge
Tjäder</t>
        </is>
      </c>
      <c r="S5">
        <f>HYPERLINK("https://klasma.github.io/Logging_1981/artfynd/A 13033-2026 artfynd.xlsx", "A 13033-2026")</f>
        <v/>
      </c>
      <c r="T5">
        <f>HYPERLINK("https://klasma.github.io/Logging_1981/kartor/A 13033-2026 karta.png", "A 13033-2026")</f>
        <v/>
      </c>
      <c r="U5">
        <f>HYPERLINK("https://klasma.github.io/Logging_1981/knärot/A 13033-2026 karta knärot.png", "A 13033-2026")</f>
        <v/>
      </c>
      <c r="V5">
        <f>HYPERLINK("https://klasma.github.io/Logging_1981/klagomål/A 13033-2026 FSC-klagomål.docx", "A 13033-2026")</f>
        <v/>
      </c>
      <c r="W5">
        <f>HYPERLINK("https://klasma.github.io/Logging_1981/klagomålsmail/A 13033-2026 FSC-klagomål mail.docx", "A 13033-2026")</f>
        <v/>
      </c>
      <c r="X5">
        <f>HYPERLINK("https://klasma.github.io/Logging_1981/tillsyn/A 13033-2026 tillsynsbegäran.docx", "A 13033-2026")</f>
        <v/>
      </c>
      <c r="Y5">
        <f>HYPERLINK("https://klasma.github.io/Logging_1981/tillsynsmail/A 13033-2026 tillsynsbegäran mail.docx", "A 13033-2026")</f>
        <v/>
      </c>
      <c r="Z5">
        <f>HYPERLINK("https://klasma.github.io/Logging_1981/fåglar/A 13033-2026 prioriterade fågelarter.docx", "A 13033-2026")</f>
        <v/>
      </c>
    </row>
    <row r="6" ht="15" customHeight="1">
      <c r="A6" t="inlineStr">
        <is>
          <t>A 40495-2024</t>
        </is>
      </c>
      <c r="B6" s="1" t="n">
        <v>45555</v>
      </c>
      <c r="C6" s="1" t="n">
        <v>46132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46132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46132</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46132</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46132</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46132</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46132</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46132</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46132</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46132</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27488-2023</t>
        </is>
      </c>
      <c r="B16" s="1" t="n">
        <v>45097</v>
      </c>
      <c r="C16" s="1" t="n">
        <v>46132</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26571-2021</t>
        </is>
      </c>
      <c r="B17" s="1" t="n">
        <v>44348</v>
      </c>
      <c r="C17" s="1" t="n">
        <v>46132</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46132</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46132</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53019-2024</t>
        </is>
      </c>
      <c r="B20" s="1" t="n">
        <v>45610</v>
      </c>
      <c r="C20" s="1" t="n">
        <v>46132</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34065-2025</t>
        </is>
      </c>
      <c r="B21" s="1" t="n">
        <v>45845.42806712963</v>
      </c>
      <c r="C21" s="1" t="n">
        <v>46132</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47475-2024</t>
        </is>
      </c>
      <c r="B22" s="1" t="n">
        <v>45587.57552083334</v>
      </c>
      <c r="C22" s="1" t="n">
        <v>46132</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3930-2026</t>
        </is>
      </c>
      <c r="B23" s="1" t="n">
        <v>46043</v>
      </c>
      <c r="C23" s="1" t="n">
        <v>46132</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62768-2021</t>
        </is>
      </c>
      <c r="B24" s="1" t="n">
        <v>44504</v>
      </c>
      <c r="C24" s="1" t="n">
        <v>46132</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46132</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4264-2024</t>
        </is>
      </c>
      <c r="B26" s="1" t="n">
        <v>45324</v>
      </c>
      <c r="C26" s="1" t="n">
        <v>46132</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46132</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46132</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46132</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46132</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53048-2025</t>
        </is>
      </c>
      <c r="B31" s="1" t="n">
        <v>45958.36018518519</v>
      </c>
      <c r="C31" s="1" t="n">
        <v>46132</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24872-2025</t>
        </is>
      </c>
      <c r="B32" s="1" t="n">
        <v>45799.49038194444</v>
      </c>
      <c r="C32" s="1" t="n">
        <v>46132</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12444-2024</t>
        </is>
      </c>
      <c r="B33" s="1" t="n">
        <v>45379.46285879629</v>
      </c>
      <c r="C33" s="1" t="n">
        <v>46132</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13029-2023</t>
        </is>
      </c>
      <c r="B34" s="1" t="n">
        <v>45001</v>
      </c>
      <c r="C34" s="1" t="n">
        <v>46132</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59826-2025</t>
        </is>
      </c>
      <c r="B35" s="1" t="n">
        <v>45992.65416666667</v>
      </c>
      <c r="C35" s="1" t="n">
        <v>46132</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46132</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1500-2022</t>
        </is>
      </c>
      <c r="B37" s="1" t="n">
        <v>44573.54357638889</v>
      </c>
      <c r="C37" s="1" t="n">
        <v>46132</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14485-2026</t>
        </is>
      </c>
      <c r="B38" s="1" t="n">
        <v>46100.59055555556</v>
      </c>
      <c r="C38" s="1" t="n">
        <v>46132</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15102-2025</t>
        </is>
      </c>
      <c r="B39" s="1" t="n">
        <v>45744.34585648148</v>
      </c>
      <c r="C39" s="1" t="n">
        <v>46132</v>
      </c>
      <c r="D39" t="inlineStr">
        <is>
          <t>VÄSTMANLANDS LÄN</t>
        </is>
      </c>
      <c r="E39" t="inlineStr">
        <is>
          <t>SALA</t>
        </is>
      </c>
      <c r="F39" t="inlineStr">
        <is>
          <t>Sveaskog</t>
        </is>
      </c>
      <c r="G39" t="n">
        <v>4.2</v>
      </c>
      <c r="H39" t="n">
        <v>2</v>
      </c>
      <c r="I39" t="n">
        <v>0</v>
      </c>
      <c r="J39" t="n">
        <v>1</v>
      </c>
      <c r="K39" t="n">
        <v>0</v>
      </c>
      <c r="L39" t="n">
        <v>0</v>
      </c>
      <c r="M39" t="n">
        <v>0</v>
      </c>
      <c r="N39" t="n">
        <v>0</v>
      </c>
      <c r="O39" t="n">
        <v>1</v>
      </c>
      <c r="P39" t="n">
        <v>0</v>
      </c>
      <c r="Q39" t="n">
        <v>2</v>
      </c>
      <c r="R39" s="2" t="inlineStr">
        <is>
          <t>Spillkråka
Grönsiska</t>
        </is>
      </c>
      <c r="S39">
        <f>HYPERLINK("https://klasma.github.io/Logging_1981/artfynd/A 15102-2025 artfynd.xlsx", "A 15102-2025")</f>
        <v/>
      </c>
      <c r="T39">
        <f>HYPERLINK("https://klasma.github.io/Logging_1981/kartor/A 15102-2025 karta.png", "A 15102-2025")</f>
        <v/>
      </c>
      <c r="V39">
        <f>HYPERLINK("https://klasma.github.io/Logging_1981/klagomål/A 15102-2025 FSC-klagomål.docx", "A 15102-2025")</f>
        <v/>
      </c>
      <c r="W39">
        <f>HYPERLINK("https://klasma.github.io/Logging_1981/klagomålsmail/A 15102-2025 FSC-klagomål mail.docx", "A 15102-2025")</f>
        <v/>
      </c>
      <c r="X39">
        <f>HYPERLINK("https://klasma.github.io/Logging_1981/tillsyn/A 15102-2025 tillsynsbegäran.docx", "A 15102-2025")</f>
        <v/>
      </c>
      <c r="Y39">
        <f>HYPERLINK("https://klasma.github.io/Logging_1981/tillsynsmail/A 15102-2025 tillsynsbegäran mail.docx", "A 15102-2025")</f>
        <v/>
      </c>
      <c r="Z39">
        <f>HYPERLINK("https://klasma.github.io/Logging_1981/fåglar/A 15102-2025 prioriterade fågelarter.docx", "A 15102-2025")</f>
        <v/>
      </c>
    </row>
    <row r="40" ht="15" customHeight="1">
      <c r="A40" t="inlineStr">
        <is>
          <t>A 44970-2021</t>
        </is>
      </c>
      <c r="B40" s="1" t="n">
        <v>44438.74399305556</v>
      </c>
      <c r="C40" s="1" t="n">
        <v>46132</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46132</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38255-2025</t>
        </is>
      </c>
      <c r="B42" s="1" t="n">
        <v>45883.38020833334</v>
      </c>
      <c r="C42" s="1" t="n">
        <v>46132</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21738-2025</t>
        </is>
      </c>
      <c r="B43" s="1" t="n">
        <v>45783.59173611111</v>
      </c>
      <c r="C43" s="1" t="n">
        <v>46132</v>
      </c>
      <c r="D43" t="inlineStr">
        <is>
          <t>VÄSTMANLANDS LÄN</t>
        </is>
      </c>
      <c r="E43" t="inlineStr">
        <is>
          <t>SALA</t>
        </is>
      </c>
      <c r="G43" t="n">
        <v>2.1</v>
      </c>
      <c r="H43" t="n">
        <v>0</v>
      </c>
      <c r="I43" t="n">
        <v>0</v>
      </c>
      <c r="J43" t="n">
        <v>1</v>
      </c>
      <c r="K43" t="n">
        <v>0</v>
      </c>
      <c r="L43" t="n">
        <v>0</v>
      </c>
      <c r="M43" t="n">
        <v>0</v>
      </c>
      <c r="N43" t="n">
        <v>0</v>
      </c>
      <c r="O43" t="n">
        <v>1</v>
      </c>
      <c r="P43" t="n">
        <v>0</v>
      </c>
      <c r="Q43" t="n">
        <v>1</v>
      </c>
      <c r="R43" s="2" t="inlineStr">
        <is>
          <t>Motaggsvamp</t>
        </is>
      </c>
      <c r="S43">
        <f>HYPERLINK("https://klasma.github.io/Logging_1981/artfynd/A 21738-2025 artfynd.xlsx", "A 21738-2025")</f>
        <v/>
      </c>
      <c r="T43">
        <f>HYPERLINK("https://klasma.github.io/Logging_1981/kartor/A 21738-2025 karta.png", "A 21738-2025")</f>
        <v/>
      </c>
      <c r="V43">
        <f>HYPERLINK("https://klasma.github.io/Logging_1981/klagomål/A 21738-2025 FSC-klagomål.docx", "A 21738-2025")</f>
        <v/>
      </c>
      <c r="W43">
        <f>HYPERLINK("https://klasma.github.io/Logging_1981/klagomålsmail/A 21738-2025 FSC-klagomål mail.docx", "A 21738-2025")</f>
        <v/>
      </c>
      <c r="X43">
        <f>HYPERLINK("https://klasma.github.io/Logging_1981/tillsyn/A 21738-2025 tillsynsbegäran.docx", "A 21738-2025")</f>
        <v/>
      </c>
      <c r="Y43">
        <f>HYPERLINK("https://klasma.github.io/Logging_1981/tillsynsmail/A 21738-2025 tillsynsbegäran mail.docx", "A 21738-2025")</f>
        <v/>
      </c>
    </row>
    <row r="44" ht="15" customHeight="1">
      <c r="A44" t="inlineStr">
        <is>
          <t>A 56704-2022</t>
        </is>
      </c>
      <c r="B44" s="1" t="n">
        <v>44893.78075231481</v>
      </c>
      <c r="C44" s="1" t="n">
        <v>46132</v>
      </c>
      <c r="D44" t="inlineStr">
        <is>
          <t>VÄSTMANLANDS LÄN</t>
        </is>
      </c>
      <c r="E44" t="inlineStr">
        <is>
          <t>SALA</t>
        </is>
      </c>
      <c r="G44" t="n">
        <v>3.2</v>
      </c>
      <c r="H44" t="n">
        <v>1</v>
      </c>
      <c r="I44" t="n">
        <v>0</v>
      </c>
      <c r="J44" t="n">
        <v>0</v>
      </c>
      <c r="K44" t="n">
        <v>1</v>
      </c>
      <c r="L44" t="n">
        <v>0</v>
      </c>
      <c r="M44" t="n">
        <v>0</v>
      </c>
      <c r="N44" t="n">
        <v>0</v>
      </c>
      <c r="O44" t="n">
        <v>1</v>
      </c>
      <c r="P44" t="n">
        <v>1</v>
      </c>
      <c r="Q44" t="n">
        <v>1</v>
      </c>
      <c r="R44" s="2" t="inlineStr">
        <is>
          <t>Knärot</t>
        </is>
      </c>
      <c r="S44">
        <f>HYPERLINK("https://klasma.github.io/Logging_1981/artfynd/A 56704-2022 artfynd.xlsx", "A 56704-2022")</f>
        <v/>
      </c>
      <c r="T44">
        <f>HYPERLINK("https://klasma.github.io/Logging_1981/kartor/A 56704-2022 karta.png", "A 56704-2022")</f>
        <v/>
      </c>
      <c r="U44">
        <f>HYPERLINK("https://klasma.github.io/Logging_1981/knärot/A 56704-2022 karta knärot.png", "A 56704-2022")</f>
        <v/>
      </c>
      <c r="V44">
        <f>HYPERLINK("https://klasma.github.io/Logging_1981/klagomål/A 56704-2022 FSC-klagomål.docx", "A 56704-2022")</f>
        <v/>
      </c>
      <c r="W44">
        <f>HYPERLINK("https://klasma.github.io/Logging_1981/klagomålsmail/A 56704-2022 FSC-klagomål mail.docx", "A 56704-2022")</f>
        <v/>
      </c>
      <c r="X44">
        <f>HYPERLINK("https://klasma.github.io/Logging_1981/tillsyn/A 56704-2022 tillsynsbegäran.docx", "A 56704-2022")</f>
        <v/>
      </c>
      <c r="Y44">
        <f>HYPERLINK("https://klasma.github.io/Logging_1981/tillsynsmail/A 56704-2022 tillsynsbegäran mail.docx", "A 56704-2022")</f>
        <v/>
      </c>
    </row>
    <row r="45" ht="15" customHeight="1">
      <c r="A45" t="inlineStr">
        <is>
          <t>A 22950-2025</t>
        </is>
      </c>
      <c r="B45" s="1" t="n">
        <v>45790.50728009259</v>
      </c>
      <c r="C45" s="1" t="n">
        <v>46132</v>
      </c>
      <c r="D45" t="inlineStr">
        <is>
          <t>VÄSTMANLANDS LÄN</t>
        </is>
      </c>
      <c r="E45" t="inlineStr">
        <is>
          <t>SALA</t>
        </is>
      </c>
      <c r="G45" t="n">
        <v>6.2</v>
      </c>
      <c r="H45" t="n">
        <v>1</v>
      </c>
      <c r="I45" t="n">
        <v>0</v>
      </c>
      <c r="J45" t="n">
        <v>1</v>
      </c>
      <c r="K45" t="n">
        <v>0</v>
      </c>
      <c r="L45" t="n">
        <v>0</v>
      </c>
      <c r="M45" t="n">
        <v>0</v>
      </c>
      <c r="N45" t="n">
        <v>0</v>
      </c>
      <c r="O45" t="n">
        <v>1</v>
      </c>
      <c r="P45" t="n">
        <v>0</v>
      </c>
      <c r="Q45" t="n">
        <v>1</v>
      </c>
      <c r="R45" s="2" t="inlineStr">
        <is>
          <t>Svartvit flugsnappare</t>
        </is>
      </c>
      <c r="S45">
        <f>HYPERLINK("https://klasma.github.io/Logging_1981/artfynd/A 22950-2025 artfynd.xlsx", "A 22950-2025")</f>
        <v/>
      </c>
      <c r="T45">
        <f>HYPERLINK("https://klasma.github.io/Logging_1981/kartor/A 22950-2025 karta.png", "A 22950-2025")</f>
        <v/>
      </c>
      <c r="V45">
        <f>HYPERLINK("https://klasma.github.io/Logging_1981/klagomål/A 22950-2025 FSC-klagomål.docx", "A 22950-2025")</f>
        <v/>
      </c>
      <c r="W45">
        <f>HYPERLINK("https://klasma.github.io/Logging_1981/klagomålsmail/A 22950-2025 FSC-klagomål mail.docx", "A 22950-2025")</f>
        <v/>
      </c>
      <c r="X45">
        <f>HYPERLINK("https://klasma.github.io/Logging_1981/tillsyn/A 22950-2025 tillsynsbegäran.docx", "A 22950-2025")</f>
        <v/>
      </c>
      <c r="Y45">
        <f>HYPERLINK("https://klasma.github.io/Logging_1981/tillsynsmail/A 22950-2025 tillsynsbegäran mail.docx", "A 22950-2025")</f>
        <v/>
      </c>
      <c r="Z45">
        <f>HYPERLINK("https://klasma.github.io/Logging_1981/fåglar/A 22950-2025 prioriterade fågelarter.docx", "A 22950-2025")</f>
        <v/>
      </c>
    </row>
    <row r="46" ht="15" customHeight="1">
      <c r="A46" t="inlineStr">
        <is>
          <t>A 60852-2024</t>
        </is>
      </c>
      <c r="B46" s="1" t="n">
        <v>45644</v>
      </c>
      <c r="C46" s="1" t="n">
        <v>46132</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53052-2025</t>
        </is>
      </c>
      <c r="B47" s="1" t="n">
        <v>45958.36266203703</v>
      </c>
      <c r="C47" s="1" t="n">
        <v>46132</v>
      </c>
      <c r="D47" t="inlineStr">
        <is>
          <t>VÄSTMANLANDS LÄN</t>
        </is>
      </c>
      <c r="E47" t="inlineStr">
        <is>
          <t>SALA</t>
        </is>
      </c>
      <c r="F47" t="inlineStr">
        <is>
          <t>Sveaskog</t>
        </is>
      </c>
      <c r="G47" t="n">
        <v>1.1</v>
      </c>
      <c r="H47" t="n">
        <v>0</v>
      </c>
      <c r="I47" t="n">
        <v>0</v>
      </c>
      <c r="J47" t="n">
        <v>1</v>
      </c>
      <c r="K47" t="n">
        <v>0</v>
      </c>
      <c r="L47" t="n">
        <v>0</v>
      </c>
      <c r="M47" t="n">
        <v>0</v>
      </c>
      <c r="N47" t="n">
        <v>0</v>
      </c>
      <c r="O47" t="n">
        <v>1</v>
      </c>
      <c r="P47" t="n">
        <v>0</v>
      </c>
      <c r="Q47" t="n">
        <v>1</v>
      </c>
      <c r="R47" s="2" t="inlineStr">
        <is>
          <t>Motaggsvamp</t>
        </is>
      </c>
      <c r="S47">
        <f>HYPERLINK("https://klasma.github.io/Logging_1981/artfynd/A 53052-2025 artfynd.xlsx", "A 53052-2025")</f>
        <v/>
      </c>
      <c r="T47">
        <f>HYPERLINK("https://klasma.github.io/Logging_1981/kartor/A 53052-2025 karta.png", "A 53052-2025")</f>
        <v/>
      </c>
      <c r="V47">
        <f>HYPERLINK("https://klasma.github.io/Logging_1981/klagomål/A 53052-2025 FSC-klagomål.docx", "A 53052-2025")</f>
        <v/>
      </c>
      <c r="W47">
        <f>HYPERLINK("https://klasma.github.io/Logging_1981/klagomålsmail/A 53052-2025 FSC-klagomål mail.docx", "A 53052-2025")</f>
        <v/>
      </c>
      <c r="X47">
        <f>HYPERLINK("https://klasma.github.io/Logging_1981/tillsyn/A 53052-2025 tillsynsbegäran.docx", "A 53052-2025")</f>
        <v/>
      </c>
      <c r="Y47">
        <f>HYPERLINK("https://klasma.github.io/Logging_1981/tillsynsmail/A 53052-2025 tillsynsbegäran mail.docx", "A 53052-2025")</f>
        <v/>
      </c>
    </row>
    <row r="48" ht="15" customHeight="1">
      <c r="A48" t="inlineStr">
        <is>
          <t>A 43175-2023</t>
        </is>
      </c>
      <c r="B48" s="1" t="n">
        <v>45183</v>
      </c>
      <c r="C48" s="1" t="n">
        <v>46132</v>
      </c>
      <c r="D48" t="inlineStr">
        <is>
          <t>VÄSTMANLANDS LÄN</t>
        </is>
      </c>
      <c r="E48" t="inlineStr">
        <is>
          <t>SALA</t>
        </is>
      </c>
      <c r="G48" t="n">
        <v>5.6</v>
      </c>
      <c r="H48" t="n">
        <v>0</v>
      </c>
      <c r="I48" t="n">
        <v>1</v>
      </c>
      <c r="J48" t="n">
        <v>0</v>
      </c>
      <c r="K48" t="n">
        <v>0</v>
      </c>
      <c r="L48" t="n">
        <v>0</v>
      </c>
      <c r="M48" t="n">
        <v>0</v>
      </c>
      <c r="N48" t="n">
        <v>0</v>
      </c>
      <c r="O48" t="n">
        <v>0</v>
      </c>
      <c r="P48" t="n">
        <v>0</v>
      </c>
      <c r="Q48" t="n">
        <v>1</v>
      </c>
      <c r="R48" s="2" t="inlineStr">
        <is>
          <t>Grönpyrola</t>
        </is>
      </c>
      <c r="S48">
        <f>HYPERLINK("https://klasma.github.io/Logging_1981/artfynd/A 43175-2023 artfynd.xlsx", "A 43175-2023")</f>
        <v/>
      </c>
      <c r="T48">
        <f>HYPERLINK("https://klasma.github.io/Logging_1981/kartor/A 43175-2023 karta.png", "A 43175-2023")</f>
        <v/>
      </c>
      <c r="V48">
        <f>HYPERLINK("https://klasma.github.io/Logging_1981/klagomål/A 43175-2023 FSC-klagomål.docx", "A 43175-2023")</f>
        <v/>
      </c>
      <c r="W48">
        <f>HYPERLINK("https://klasma.github.io/Logging_1981/klagomålsmail/A 43175-2023 FSC-klagomål mail.docx", "A 43175-2023")</f>
        <v/>
      </c>
      <c r="X48">
        <f>HYPERLINK("https://klasma.github.io/Logging_1981/tillsyn/A 43175-2023 tillsynsbegäran.docx", "A 43175-2023")</f>
        <v/>
      </c>
      <c r="Y48">
        <f>HYPERLINK("https://klasma.github.io/Logging_1981/tillsynsmail/A 43175-2023 tillsynsbegäran mail.docx", "A 43175-2023")</f>
        <v/>
      </c>
    </row>
    <row r="49" ht="15" customHeight="1">
      <c r="A49" t="inlineStr">
        <is>
          <t>A 41270-2024</t>
        </is>
      </c>
      <c r="B49" s="1" t="n">
        <v>45559</v>
      </c>
      <c r="C49" s="1" t="n">
        <v>46132</v>
      </c>
      <c r="D49" t="inlineStr">
        <is>
          <t>VÄSTMANLANDS LÄN</t>
        </is>
      </c>
      <c r="E49" t="inlineStr">
        <is>
          <t>SALA</t>
        </is>
      </c>
      <c r="G49" t="n">
        <v>15.2</v>
      </c>
      <c r="H49" t="n">
        <v>1</v>
      </c>
      <c r="I49" t="n">
        <v>0</v>
      </c>
      <c r="J49" t="n">
        <v>1</v>
      </c>
      <c r="K49" t="n">
        <v>0</v>
      </c>
      <c r="L49" t="n">
        <v>0</v>
      </c>
      <c r="M49" t="n">
        <v>0</v>
      </c>
      <c r="N49" t="n">
        <v>0</v>
      </c>
      <c r="O49" t="n">
        <v>1</v>
      </c>
      <c r="P49" t="n">
        <v>0</v>
      </c>
      <c r="Q49" t="n">
        <v>1</v>
      </c>
      <c r="R49" s="2" t="inlineStr">
        <is>
          <t>Havsörn</t>
        </is>
      </c>
      <c r="S49">
        <f>HYPERLINK("https://klasma.github.io/Logging_1981/artfynd/A 41270-2024 artfynd.xlsx", "A 41270-2024")</f>
        <v/>
      </c>
      <c r="T49">
        <f>HYPERLINK("https://klasma.github.io/Logging_1981/kartor/A 41270-2024 karta.png", "A 41270-2024")</f>
        <v/>
      </c>
      <c r="V49">
        <f>HYPERLINK("https://klasma.github.io/Logging_1981/klagomål/A 41270-2024 FSC-klagomål.docx", "A 41270-2024")</f>
        <v/>
      </c>
      <c r="W49">
        <f>HYPERLINK("https://klasma.github.io/Logging_1981/klagomålsmail/A 41270-2024 FSC-klagomål mail.docx", "A 41270-2024")</f>
        <v/>
      </c>
      <c r="X49">
        <f>HYPERLINK("https://klasma.github.io/Logging_1981/tillsyn/A 41270-2024 tillsynsbegäran.docx", "A 41270-2024")</f>
        <v/>
      </c>
      <c r="Y49">
        <f>HYPERLINK("https://klasma.github.io/Logging_1981/tillsynsmail/A 41270-2024 tillsynsbegäran mail.docx", "A 41270-2024")</f>
        <v/>
      </c>
      <c r="Z49">
        <f>HYPERLINK("https://klasma.github.io/Logging_1981/fåglar/A 41270-2024 prioriterade fågelarter.docx", "A 41270-2024")</f>
        <v/>
      </c>
    </row>
    <row r="50" ht="15" customHeight="1">
      <c r="A50" t="inlineStr">
        <is>
          <t>A 48705-2025</t>
        </is>
      </c>
      <c r="B50" s="1" t="n">
        <v>45936.62290509259</v>
      </c>
      <c r="C50" s="1" t="n">
        <v>46132</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32594-2025</t>
        </is>
      </c>
      <c r="B51" s="1" t="n">
        <v>45838</v>
      </c>
      <c r="C51" s="1" t="n">
        <v>46132</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50268-2025</t>
        </is>
      </c>
      <c r="B52" s="1" t="n">
        <v>45944.35162037037</v>
      </c>
      <c r="C52" s="1" t="n">
        <v>46132</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43068-2024</t>
        </is>
      </c>
      <c r="B53" s="1" t="n">
        <v>45567</v>
      </c>
      <c r="C53" s="1" t="n">
        <v>46132</v>
      </c>
      <c r="D53" t="inlineStr">
        <is>
          <t>VÄSTMANLANDS LÄN</t>
        </is>
      </c>
      <c r="E53" t="inlineStr">
        <is>
          <t>SALA</t>
        </is>
      </c>
      <c r="G53" t="n">
        <v>1.1</v>
      </c>
      <c r="H53" t="n">
        <v>0</v>
      </c>
      <c r="I53" t="n">
        <v>1</v>
      </c>
      <c r="J53" t="n">
        <v>0</v>
      </c>
      <c r="K53" t="n">
        <v>0</v>
      </c>
      <c r="L53" t="n">
        <v>0</v>
      </c>
      <c r="M53" t="n">
        <v>0</v>
      </c>
      <c r="N53" t="n">
        <v>0</v>
      </c>
      <c r="O53" t="n">
        <v>0</v>
      </c>
      <c r="P53" t="n">
        <v>0</v>
      </c>
      <c r="Q53" t="n">
        <v>1</v>
      </c>
      <c r="R53" s="2" t="inlineStr">
        <is>
          <t>Vedticka</t>
        </is>
      </c>
      <c r="S53">
        <f>HYPERLINK("https://klasma.github.io/Logging_1981/artfynd/A 43068-2024 artfynd.xlsx", "A 43068-2024")</f>
        <v/>
      </c>
      <c r="T53">
        <f>HYPERLINK("https://klasma.github.io/Logging_1981/kartor/A 43068-2024 karta.png", "A 43068-2024")</f>
        <v/>
      </c>
      <c r="V53">
        <f>HYPERLINK("https://klasma.github.io/Logging_1981/klagomål/A 43068-2024 FSC-klagomål.docx", "A 43068-2024")</f>
        <v/>
      </c>
      <c r="W53">
        <f>HYPERLINK("https://klasma.github.io/Logging_1981/klagomålsmail/A 43068-2024 FSC-klagomål mail.docx", "A 43068-2024")</f>
        <v/>
      </c>
      <c r="X53">
        <f>HYPERLINK("https://klasma.github.io/Logging_1981/tillsyn/A 43068-2024 tillsynsbegäran.docx", "A 43068-2024")</f>
        <v/>
      </c>
      <c r="Y53">
        <f>HYPERLINK("https://klasma.github.io/Logging_1981/tillsynsmail/A 43068-2024 tillsynsbegäran mail.docx", "A 43068-2024")</f>
        <v/>
      </c>
    </row>
    <row r="54" ht="15" customHeight="1">
      <c r="A54" t="inlineStr">
        <is>
          <t>A 55995-2025</t>
        </is>
      </c>
      <c r="B54" s="1" t="n">
        <v>45973.56733796297</v>
      </c>
      <c r="C54" s="1" t="n">
        <v>46132</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22350-2024</t>
        </is>
      </c>
      <c r="B55" s="1" t="n">
        <v>45446</v>
      </c>
      <c r="C55" s="1" t="n">
        <v>46132</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7731-2023</t>
        </is>
      </c>
      <c r="B56" s="1" t="n">
        <v>44973</v>
      </c>
      <c r="C56" s="1" t="n">
        <v>46132</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12509-2023</t>
        </is>
      </c>
      <c r="B57" s="1" t="n">
        <v>44999.95988425926</v>
      </c>
      <c r="C57" s="1" t="n">
        <v>46132</v>
      </c>
      <c r="D57" t="inlineStr">
        <is>
          <t>VÄSTMANLANDS LÄN</t>
        </is>
      </c>
      <c r="E57" t="inlineStr">
        <is>
          <t>SALA</t>
        </is>
      </c>
      <c r="G57" t="n">
        <v>13.9</v>
      </c>
      <c r="H57" t="n">
        <v>1</v>
      </c>
      <c r="I57" t="n">
        <v>0</v>
      </c>
      <c r="J57" t="n">
        <v>0</v>
      </c>
      <c r="K57" t="n">
        <v>0</v>
      </c>
      <c r="L57" t="n">
        <v>0</v>
      </c>
      <c r="M57" t="n">
        <v>0</v>
      </c>
      <c r="N57" t="n">
        <v>0</v>
      </c>
      <c r="O57" t="n">
        <v>0</v>
      </c>
      <c r="P57" t="n">
        <v>0</v>
      </c>
      <c r="Q57" t="n">
        <v>1</v>
      </c>
      <c r="R57" s="2" t="inlineStr">
        <is>
          <t>Grönvit nattviol</t>
        </is>
      </c>
      <c r="S57">
        <f>HYPERLINK("https://klasma.github.io/Logging_1981/artfynd/A 12509-2023 artfynd.xlsx", "A 12509-2023")</f>
        <v/>
      </c>
      <c r="T57">
        <f>HYPERLINK("https://klasma.github.io/Logging_1981/kartor/A 12509-2023 karta.png", "A 12509-2023")</f>
        <v/>
      </c>
      <c r="V57">
        <f>HYPERLINK("https://klasma.github.io/Logging_1981/klagomål/A 12509-2023 FSC-klagomål.docx", "A 12509-2023")</f>
        <v/>
      </c>
      <c r="W57">
        <f>HYPERLINK("https://klasma.github.io/Logging_1981/klagomålsmail/A 12509-2023 FSC-klagomål mail.docx", "A 12509-2023")</f>
        <v/>
      </c>
      <c r="X57">
        <f>HYPERLINK("https://klasma.github.io/Logging_1981/tillsyn/A 12509-2023 tillsynsbegäran.docx", "A 12509-2023")</f>
        <v/>
      </c>
      <c r="Y57">
        <f>HYPERLINK("https://klasma.github.io/Logging_1981/tillsynsmail/A 12509-2023 tillsynsbegäran mail.docx", "A 12509-2023")</f>
        <v/>
      </c>
    </row>
    <row r="58" ht="15" customHeight="1">
      <c r="A58" t="inlineStr">
        <is>
          <t>A 14775-2023</t>
        </is>
      </c>
      <c r="B58" s="1" t="n">
        <v>45014</v>
      </c>
      <c r="C58" s="1" t="n">
        <v>46132</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14775-2023 artfynd.xlsx", "A 14775-2023")</f>
        <v/>
      </c>
      <c r="T58">
        <f>HYPERLINK("https://klasma.github.io/Logging_1981/kartor/A 14775-2023 karta.png", "A 14775-2023")</f>
        <v/>
      </c>
      <c r="U58">
        <f>HYPERLINK("https://klasma.github.io/Logging_1981/knärot/A 14775-2023 karta knärot.png", "A 14775-2023")</f>
        <v/>
      </c>
      <c r="V58">
        <f>HYPERLINK("https://klasma.github.io/Logging_1981/klagomål/A 14775-2023 FSC-klagomål.docx", "A 14775-2023")</f>
        <v/>
      </c>
      <c r="W58">
        <f>HYPERLINK("https://klasma.github.io/Logging_1981/klagomålsmail/A 14775-2023 FSC-klagomål mail.docx", "A 14775-2023")</f>
        <v/>
      </c>
      <c r="X58">
        <f>HYPERLINK("https://klasma.github.io/Logging_1981/tillsyn/A 14775-2023 tillsynsbegäran.docx", "A 14775-2023")</f>
        <v/>
      </c>
      <c r="Y58">
        <f>HYPERLINK("https://klasma.github.io/Logging_1981/tillsynsmail/A 14775-2023 tillsynsbegäran mail.docx", "A 14775-2023")</f>
        <v/>
      </c>
    </row>
    <row r="59" ht="15" customHeight="1">
      <c r="A59" t="inlineStr">
        <is>
          <t>A 19361-2025</t>
        </is>
      </c>
      <c r="B59" s="1" t="n">
        <v>45769.63357638889</v>
      </c>
      <c r="C59" s="1" t="n">
        <v>46132</v>
      </c>
      <c r="D59" t="inlineStr">
        <is>
          <t>VÄSTMANLANDS LÄN</t>
        </is>
      </c>
      <c r="E59" t="inlineStr">
        <is>
          <t>SALA</t>
        </is>
      </c>
      <c r="F59" t="inlineStr">
        <is>
          <t>Bergvik skog öst AB</t>
        </is>
      </c>
      <c r="G59" t="n">
        <v>8.9</v>
      </c>
      <c r="H59" t="n">
        <v>0</v>
      </c>
      <c r="I59" t="n">
        <v>0</v>
      </c>
      <c r="J59" t="n">
        <v>1</v>
      </c>
      <c r="K59" t="n">
        <v>0</v>
      </c>
      <c r="L59" t="n">
        <v>0</v>
      </c>
      <c r="M59" t="n">
        <v>0</v>
      </c>
      <c r="N59" t="n">
        <v>0</v>
      </c>
      <c r="O59" t="n">
        <v>1</v>
      </c>
      <c r="P59" t="n">
        <v>0</v>
      </c>
      <c r="Q59" t="n">
        <v>1</v>
      </c>
      <c r="R59" s="2" t="inlineStr">
        <is>
          <t>Garnlav</t>
        </is>
      </c>
      <c r="S59">
        <f>HYPERLINK("https://klasma.github.io/Logging_1981/artfynd/A 19361-2025 artfynd.xlsx", "A 19361-2025")</f>
        <v/>
      </c>
      <c r="T59">
        <f>HYPERLINK("https://klasma.github.io/Logging_1981/kartor/A 19361-2025 karta.png", "A 19361-2025")</f>
        <v/>
      </c>
      <c r="V59">
        <f>HYPERLINK("https://klasma.github.io/Logging_1981/klagomål/A 19361-2025 FSC-klagomål.docx", "A 19361-2025")</f>
        <v/>
      </c>
      <c r="W59">
        <f>HYPERLINK("https://klasma.github.io/Logging_1981/klagomålsmail/A 19361-2025 FSC-klagomål mail.docx", "A 19361-2025")</f>
        <v/>
      </c>
      <c r="X59">
        <f>HYPERLINK("https://klasma.github.io/Logging_1981/tillsyn/A 19361-2025 tillsynsbegäran.docx", "A 19361-2025")</f>
        <v/>
      </c>
      <c r="Y59">
        <f>HYPERLINK("https://klasma.github.io/Logging_1981/tillsynsmail/A 19361-2025 tillsynsbegäran mail.docx", "A 19361-2025")</f>
        <v/>
      </c>
    </row>
    <row r="60" ht="15" customHeight="1">
      <c r="A60" t="inlineStr">
        <is>
          <t>A 41570-2021</t>
        </is>
      </c>
      <c r="B60" s="1" t="n">
        <v>44425</v>
      </c>
      <c r="C60" s="1" t="n">
        <v>46132</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37166-2024</t>
        </is>
      </c>
      <c r="B61" s="1" t="n">
        <v>45539</v>
      </c>
      <c r="C61" s="1" t="n">
        <v>46132</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37166-2024 artfynd.xlsx", "A 37166-2024")</f>
        <v/>
      </c>
      <c r="T61">
        <f>HYPERLINK("https://klasma.github.io/Logging_1981/kartor/A 37166-2024 karta.png", "A 37166-2024")</f>
        <v/>
      </c>
      <c r="U61">
        <f>HYPERLINK("https://klasma.github.io/Logging_1981/knärot/A 37166-2024 karta knärot.png", "A 37166-2024")</f>
        <v/>
      </c>
      <c r="V61">
        <f>HYPERLINK("https://klasma.github.io/Logging_1981/klagomål/A 37166-2024 FSC-klagomål.docx", "A 37166-2024")</f>
        <v/>
      </c>
      <c r="W61">
        <f>HYPERLINK("https://klasma.github.io/Logging_1981/klagomålsmail/A 37166-2024 FSC-klagomål mail.docx", "A 37166-2024")</f>
        <v/>
      </c>
      <c r="X61">
        <f>HYPERLINK("https://klasma.github.io/Logging_1981/tillsyn/A 37166-2024 tillsynsbegäran.docx", "A 37166-2024")</f>
        <v/>
      </c>
      <c r="Y61">
        <f>HYPERLINK("https://klasma.github.io/Logging_1981/tillsynsmail/A 37166-2024 tillsynsbegäran mail.docx", "A 37166-2024")</f>
        <v/>
      </c>
    </row>
    <row r="62" ht="15" customHeight="1">
      <c r="A62" t="inlineStr">
        <is>
          <t>A 14487-2026</t>
        </is>
      </c>
      <c r="B62" s="1" t="n">
        <v>46100.59162037037</v>
      </c>
      <c r="C62" s="1" t="n">
        <v>46132</v>
      </c>
      <c r="D62" t="inlineStr">
        <is>
          <t>VÄSTMANLANDS LÄN</t>
        </is>
      </c>
      <c r="E62" t="inlineStr">
        <is>
          <t>SALA</t>
        </is>
      </c>
      <c r="F62" t="inlineStr">
        <is>
          <t>Sveaskog</t>
        </is>
      </c>
      <c r="G62" t="n">
        <v>6.7</v>
      </c>
      <c r="H62" t="n">
        <v>0</v>
      </c>
      <c r="I62" t="n">
        <v>0</v>
      </c>
      <c r="J62" t="n">
        <v>1</v>
      </c>
      <c r="K62" t="n">
        <v>0</v>
      </c>
      <c r="L62" t="n">
        <v>0</v>
      </c>
      <c r="M62" t="n">
        <v>0</v>
      </c>
      <c r="N62" t="n">
        <v>0</v>
      </c>
      <c r="O62" t="n">
        <v>1</v>
      </c>
      <c r="P62" t="n">
        <v>0</v>
      </c>
      <c r="Q62" t="n">
        <v>1</v>
      </c>
      <c r="R62" s="2" t="inlineStr">
        <is>
          <t>Motaggsvamp</t>
        </is>
      </c>
      <c r="S62">
        <f>HYPERLINK("https://klasma.github.io/Logging_1981/artfynd/A 14487-2026 artfynd.xlsx", "A 14487-2026")</f>
        <v/>
      </c>
      <c r="T62">
        <f>HYPERLINK("https://klasma.github.io/Logging_1981/kartor/A 14487-2026 karta.png", "A 14487-2026")</f>
        <v/>
      </c>
      <c r="V62">
        <f>HYPERLINK("https://klasma.github.io/Logging_1981/klagomål/A 14487-2026 FSC-klagomål.docx", "A 14487-2026")</f>
        <v/>
      </c>
      <c r="W62">
        <f>HYPERLINK("https://klasma.github.io/Logging_1981/klagomålsmail/A 14487-2026 FSC-klagomål mail.docx", "A 14487-2026")</f>
        <v/>
      </c>
      <c r="X62">
        <f>HYPERLINK("https://klasma.github.io/Logging_1981/tillsyn/A 14487-2026 tillsynsbegäran.docx", "A 14487-2026")</f>
        <v/>
      </c>
      <c r="Y62">
        <f>HYPERLINK("https://klasma.github.io/Logging_1981/tillsynsmail/A 14487-2026 tillsynsbegäran mail.docx", "A 14487-2026")</f>
        <v/>
      </c>
    </row>
    <row r="63" ht="15" customHeight="1">
      <c r="A63" t="inlineStr">
        <is>
          <t>A 14488-2026</t>
        </is>
      </c>
      <c r="B63" s="1" t="n">
        <v>46100.59216435185</v>
      </c>
      <c r="C63" s="1" t="n">
        <v>46132</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7672-2026</t>
        </is>
      </c>
      <c r="B64" s="1" t="n">
        <v>46062.42077546296</v>
      </c>
      <c r="C64" s="1" t="n">
        <v>46132</v>
      </c>
      <c r="D64" t="inlineStr">
        <is>
          <t>VÄSTMANLANDS LÄN</t>
        </is>
      </c>
      <c r="E64" t="inlineStr">
        <is>
          <t>SALA</t>
        </is>
      </c>
      <c r="G64" t="n">
        <v>2.9</v>
      </c>
      <c r="H64" t="n">
        <v>1</v>
      </c>
      <c r="I64" t="n">
        <v>0</v>
      </c>
      <c r="J64" t="n">
        <v>0</v>
      </c>
      <c r="K64" t="n">
        <v>0</v>
      </c>
      <c r="L64" t="n">
        <v>0</v>
      </c>
      <c r="M64" t="n">
        <v>0</v>
      </c>
      <c r="N64" t="n">
        <v>0</v>
      </c>
      <c r="O64" t="n">
        <v>0</v>
      </c>
      <c r="P64" t="n">
        <v>0</v>
      </c>
      <c r="Q64" t="n">
        <v>1</v>
      </c>
      <c r="R64" s="2" t="inlineStr">
        <is>
          <t>Nattviol</t>
        </is>
      </c>
      <c r="S64">
        <f>HYPERLINK("https://klasma.github.io/Logging_1981/artfynd/A 7672-2026 artfynd.xlsx", "A 7672-2026")</f>
        <v/>
      </c>
      <c r="T64">
        <f>HYPERLINK("https://klasma.github.io/Logging_1981/kartor/A 7672-2026 karta.png", "A 7672-2026")</f>
        <v/>
      </c>
      <c r="V64">
        <f>HYPERLINK("https://klasma.github.io/Logging_1981/klagomål/A 7672-2026 FSC-klagomål.docx", "A 7672-2026")</f>
        <v/>
      </c>
      <c r="W64">
        <f>HYPERLINK("https://klasma.github.io/Logging_1981/klagomålsmail/A 7672-2026 FSC-klagomål mail.docx", "A 7672-2026")</f>
        <v/>
      </c>
      <c r="X64">
        <f>HYPERLINK("https://klasma.github.io/Logging_1981/tillsyn/A 7672-2026 tillsynsbegäran.docx", "A 7672-2026")</f>
        <v/>
      </c>
      <c r="Y64">
        <f>HYPERLINK("https://klasma.github.io/Logging_1981/tillsynsmail/A 7672-2026 tillsynsbegäran mail.docx", "A 7672-2026")</f>
        <v/>
      </c>
    </row>
    <row r="65" ht="15" customHeight="1">
      <c r="A65" t="inlineStr">
        <is>
          <t>A 29985-2022</t>
        </is>
      </c>
      <c r="B65" s="1" t="n">
        <v>44756</v>
      </c>
      <c r="C65" s="1" t="n">
        <v>46132</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18896-2026</t>
        </is>
      </c>
      <c r="B66" s="1" t="n">
        <v>46129</v>
      </c>
      <c r="C66" s="1" t="n">
        <v>46132</v>
      </c>
      <c r="D66" t="inlineStr">
        <is>
          <t>VÄSTMANLANDS LÄN</t>
        </is>
      </c>
      <c r="E66" t="inlineStr">
        <is>
          <t>SALA</t>
        </is>
      </c>
      <c r="F66" t="inlineStr">
        <is>
          <t>Kommuner</t>
        </is>
      </c>
      <c r="G66" t="n">
        <v>1.1</v>
      </c>
      <c r="H66" t="n">
        <v>0</v>
      </c>
      <c r="I66" t="n">
        <v>0</v>
      </c>
      <c r="J66" t="n">
        <v>1</v>
      </c>
      <c r="K66" t="n">
        <v>0</v>
      </c>
      <c r="L66" t="n">
        <v>0</v>
      </c>
      <c r="M66" t="n">
        <v>0</v>
      </c>
      <c r="N66" t="n">
        <v>0</v>
      </c>
      <c r="O66" t="n">
        <v>1</v>
      </c>
      <c r="P66" t="n">
        <v>0</v>
      </c>
      <c r="Q66" t="n">
        <v>1</v>
      </c>
      <c r="R66" s="2" t="inlineStr">
        <is>
          <t>Ullticka</t>
        </is>
      </c>
      <c r="S66">
        <f>HYPERLINK("https://klasma.github.io/Logging_1981/artfynd/A 18896-2026 artfynd.xlsx", "A 18896-2026")</f>
        <v/>
      </c>
      <c r="T66">
        <f>HYPERLINK("https://klasma.github.io/Logging_1981/kartor/A 18896-2026 karta.png", "A 18896-2026")</f>
        <v/>
      </c>
      <c r="V66">
        <f>HYPERLINK("https://klasma.github.io/Logging_1981/klagomål/A 18896-2026 FSC-klagomål.docx", "A 18896-2026")</f>
        <v/>
      </c>
      <c r="W66">
        <f>HYPERLINK("https://klasma.github.io/Logging_1981/klagomålsmail/A 18896-2026 FSC-klagomål mail.docx", "A 18896-2026")</f>
        <v/>
      </c>
      <c r="X66">
        <f>HYPERLINK("https://klasma.github.io/Logging_1981/tillsyn/A 18896-2026 tillsynsbegäran.docx", "A 18896-2026")</f>
        <v/>
      </c>
      <c r="Y66">
        <f>HYPERLINK("https://klasma.github.io/Logging_1981/tillsynsmail/A 18896-2026 tillsynsbegäran mail.docx", "A 18896-2026")</f>
        <v/>
      </c>
    </row>
    <row r="67" ht="15" customHeight="1">
      <c r="A67" t="inlineStr">
        <is>
          <t>A 7919-2022</t>
        </is>
      </c>
      <c r="B67" s="1" t="n">
        <v>44608</v>
      </c>
      <c r="C67" s="1" t="n">
        <v>46132</v>
      </c>
      <c r="D67" t="inlineStr">
        <is>
          <t>VÄSTMANLANDS LÄN</t>
        </is>
      </c>
      <c r="E67" t="inlineStr">
        <is>
          <t>SALA</t>
        </is>
      </c>
      <c r="F67" t="inlineStr">
        <is>
          <t>Bergvik skog öst AB</t>
        </is>
      </c>
      <c r="G67" t="n">
        <v>4.5</v>
      </c>
      <c r="H67" t="n">
        <v>1</v>
      </c>
      <c r="I67" t="n">
        <v>0</v>
      </c>
      <c r="J67" t="n">
        <v>1</v>
      </c>
      <c r="K67" t="n">
        <v>0</v>
      </c>
      <c r="L67" t="n">
        <v>0</v>
      </c>
      <c r="M67" t="n">
        <v>0</v>
      </c>
      <c r="N67" t="n">
        <v>0</v>
      </c>
      <c r="O67" t="n">
        <v>1</v>
      </c>
      <c r="P67" t="n">
        <v>0</v>
      </c>
      <c r="Q67" t="n">
        <v>1</v>
      </c>
      <c r="R67" s="2" t="inlineStr">
        <is>
          <t>Ävjepilört</t>
        </is>
      </c>
      <c r="S67">
        <f>HYPERLINK("https://klasma.github.io/Logging_1981/artfynd/A 7919-2022 artfynd.xlsx", "A 7919-2022")</f>
        <v/>
      </c>
      <c r="T67">
        <f>HYPERLINK("https://klasma.github.io/Logging_1981/kartor/A 7919-2022 karta.png", "A 7919-2022")</f>
        <v/>
      </c>
      <c r="V67">
        <f>HYPERLINK("https://klasma.github.io/Logging_1981/klagomål/A 7919-2022 FSC-klagomål.docx", "A 7919-2022")</f>
        <v/>
      </c>
      <c r="W67">
        <f>HYPERLINK("https://klasma.github.io/Logging_1981/klagomålsmail/A 7919-2022 FSC-klagomål mail.docx", "A 7919-2022")</f>
        <v/>
      </c>
      <c r="X67">
        <f>HYPERLINK("https://klasma.github.io/Logging_1981/tillsyn/A 7919-2022 tillsynsbegäran.docx", "A 7919-2022")</f>
        <v/>
      </c>
      <c r="Y67">
        <f>HYPERLINK("https://klasma.github.io/Logging_1981/tillsynsmail/A 7919-2022 tillsynsbegäran mail.docx", "A 7919-2022")</f>
        <v/>
      </c>
    </row>
    <row r="68" ht="15" customHeight="1">
      <c r="A68" t="inlineStr">
        <is>
          <t>A 29727-2023</t>
        </is>
      </c>
      <c r="B68" s="1" t="n">
        <v>45107</v>
      </c>
      <c r="C68" s="1" t="n">
        <v>46132</v>
      </c>
      <c r="D68" t="inlineStr">
        <is>
          <t>VÄSTMANLANDS LÄN</t>
        </is>
      </c>
      <c r="E68" t="inlineStr">
        <is>
          <t>SALA</t>
        </is>
      </c>
      <c r="G68" t="n">
        <v>1.9</v>
      </c>
      <c r="H68" t="n">
        <v>0</v>
      </c>
      <c r="I68" t="n">
        <v>0</v>
      </c>
      <c r="J68" t="n">
        <v>1</v>
      </c>
      <c r="K68" t="n">
        <v>0</v>
      </c>
      <c r="L68" t="n">
        <v>0</v>
      </c>
      <c r="M68" t="n">
        <v>0</v>
      </c>
      <c r="N68" t="n">
        <v>0</v>
      </c>
      <c r="O68" t="n">
        <v>1</v>
      </c>
      <c r="P68" t="n">
        <v>0</v>
      </c>
      <c r="Q68" t="n">
        <v>1</v>
      </c>
      <c r="R68" s="2" t="inlineStr">
        <is>
          <t>Vedtrappmossa</t>
        </is>
      </c>
      <c r="S68">
        <f>HYPERLINK("https://klasma.github.io/Logging_1981/artfynd/A 29727-2023 artfynd.xlsx", "A 29727-2023")</f>
        <v/>
      </c>
      <c r="T68">
        <f>HYPERLINK("https://klasma.github.io/Logging_1981/kartor/A 29727-2023 karta.png", "A 29727-2023")</f>
        <v/>
      </c>
      <c r="V68">
        <f>HYPERLINK("https://klasma.github.io/Logging_1981/klagomål/A 29727-2023 FSC-klagomål.docx", "A 29727-2023")</f>
        <v/>
      </c>
      <c r="W68">
        <f>HYPERLINK("https://klasma.github.io/Logging_1981/klagomålsmail/A 29727-2023 FSC-klagomål mail.docx", "A 29727-2023")</f>
        <v/>
      </c>
      <c r="X68">
        <f>HYPERLINK("https://klasma.github.io/Logging_1981/tillsyn/A 29727-2023 tillsynsbegäran.docx", "A 29727-2023")</f>
        <v/>
      </c>
      <c r="Y68">
        <f>HYPERLINK("https://klasma.github.io/Logging_1981/tillsynsmail/A 29727-2023 tillsynsbegäran mail.docx", "A 29727-2023")</f>
        <v/>
      </c>
    </row>
    <row r="69" ht="15" customHeight="1">
      <c r="A69" t="inlineStr">
        <is>
          <t>A 55550-2023</t>
        </is>
      </c>
      <c r="B69" s="1" t="n">
        <v>45232</v>
      </c>
      <c r="C69" s="1" t="n">
        <v>46132</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73124-2021</t>
        </is>
      </c>
      <c r="B70" s="1" t="n">
        <v>44550</v>
      </c>
      <c r="C70" s="1" t="n">
        <v>46132</v>
      </c>
      <c r="D70" t="inlineStr">
        <is>
          <t>VÄSTMANLANDS LÄN</t>
        </is>
      </c>
      <c r="E70" t="inlineStr">
        <is>
          <t>SALA</t>
        </is>
      </c>
      <c r="G70" t="n">
        <v>2.8</v>
      </c>
      <c r="H70" t="n">
        <v>0</v>
      </c>
      <c r="I70" t="n">
        <v>0</v>
      </c>
      <c r="J70" t="n">
        <v>0</v>
      </c>
      <c r="K70" t="n">
        <v>0</v>
      </c>
      <c r="L70" t="n">
        <v>0</v>
      </c>
      <c r="M70" t="n">
        <v>0</v>
      </c>
      <c r="N70" t="n">
        <v>0</v>
      </c>
      <c r="O70" t="n">
        <v>0</v>
      </c>
      <c r="P70" t="n">
        <v>0</v>
      </c>
      <c r="Q70" t="n">
        <v>0</v>
      </c>
      <c r="R70" s="2" t="inlineStr"/>
    </row>
    <row r="71" ht="15" customHeight="1">
      <c r="A71" t="inlineStr">
        <is>
          <t>A 66561-2021</t>
        </is>
      </c>
      <c r="B71" s="1" t="n">
        <v>44519.41648148148</v>
      </c>
      <c r="C71" s="1" t="n">
        <v>46132</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46132</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46132</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46132</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46132</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47683-2021</t>
        </is>
      </c>
      <c r="B76" s="1" t="n">
        <v>44448</v>
      </c>
      <c r="C76" s="1" t="n">
        <v>46132</v>
      </c>
      <c r="D76" t="inlineStr">
        <is>
          <t>VÄSTMANLANDS LÄN</t>
        </is>
      </c>
      <c r="E76" t="inlineStr">
        <is>
          <t>SALA</t>
        </is>
      </c>
      <c r="G76" t="n">
        <v>0.7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46132</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46132</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46132</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18385-2021</t>
        </is>
      </c>
      <c r="B80" s="1" t="n">
        <v>44305</v>
      </c>
      <c r="C80" s="1" t="n">
        <v>46132</v>
      </c>
      <c r="D80" t="inlineStr">
        <is>
          <t>VÄSTMANLANDS LÄN</t>
        </is>
      </c>
      <c r="E80" t="inlineStr">
        <is>
          <t>SALA</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46132</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46132</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73683-2021</t>
        </is>
      </c>
      <c r="B83" s="1" t="n">
        <v>44552.47971064815</v>
      </c>
      <c r="C83" s="1" t="n">
        <v>46132</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46132</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3050-2022</t>
        </is>
      </c>
      <c r="B85" s="1" t="n">
        <v>44582</v>
      </c>
      <c r="C85" s="1" t="n">
        <v>46132</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46132</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62842-2021</t>
        </is>
      </c>
      <c r="B87" s="1" t="n">
        <v>44504.55927083334</v>
      </c>
      <c r="C87" s="1" t="n">
        <v>46132</v>
      </c>
      <c r="D87" t="inlineStr">
        <is>
          <t>VÄSTMANLANDS LÄN</t>
        </is>
      </c>
      <c r="E87" t="inlineStr">
        <is>
          <t>SALA</t>
        </is>
      </c>
      <c r="G87" t="n">
        <v>5.3</v>
      </c>
      <c r="H87" t="n">
        <v>0</v>
      </c>
      <c r="I87" t="n">
        <v>0</v>
      </c>
      <c r="J87" t="n">
        <v>0</v>
      </c>
      <c r="K87" t="n">
        <v>0</v>
      </c>
      <c r="L87" t="n">
        <v>0</v>
      </c>
      <c r="M87" t="n">
        <v>0</v>
      </c>
      <c r="N87" t="n">
        <v>0</v>
      </c>
      <c r="O87" t="n">
        <v>0</v>
      </c>
      <c r="P87" t="n">
        <v>0</v>
      </c>
      <c r="Q87" t="n">
        <v>0</v>
      </c>
      <c r="R87" s="2" t="inlineStr"/>
    </row>
    <row r="88" ht="15" customHeight="1">
      <c r="A88" t="inlineStr">
        <is>
          <t>A 62850-2021</t>
        </is>
      </c>
      <c r="B88" s="1" t="n">
        <v>44504</v>
      </c>
      <c r="C88" s="1" t="n">
        <v>46132</v>
      </c>
      <c r="D88" t="inlineStr">
        <is>
          <t>VÄSTMANLANDS LÄN</t>
        </is>
      </c>
      <c r="E88" t="inlineStr">
        <is>
          <t>SALA</t>
        </is>
      </c>
      <c r="G88" t="n">
        <v>5.2</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46132</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73668-2021</t>
        </is>
      </c>
      <c r="B90" s="1" t="n">
        <v>44552.461875</v>
      </c>
      <c r="C90" s="1" t="n">
        <v>46132</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46132</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46132</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46132</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46132</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46132</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46132</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46132</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46132</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46132</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939-2022</t>
        </is>
      </c>
      <c r="B100" s="1" t="n">
        <v>44571</v>
      </c>
      <c r="C100" s="1" t="n">
        <v>46132</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46132</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46132</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46132</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46132</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46132</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46132</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46132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46132</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46132</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46132</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46132</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46132</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46132</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46132</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46132</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46132</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46132</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46132</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46132</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46132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46132</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46132</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46132</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46132</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46132</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46132</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46132</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46132</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46132</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46132</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46132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46132</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46132</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46132</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46132</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46132</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46132</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46132</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46132</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46132</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46132</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46132</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46132</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46132</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46132</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46132</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46132</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46132</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46132</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46132</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46132</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44224-2022</t>
        </is>
      </c>
      <c r="B152" s="1" t="n">
        <v>44839.506875</v>
      </c>
      <c r="C152" s="1" t="n">
        <v>46132</v>
      </c>
      <c r="D152" t="inlineStr">
        <is>
          <t>VÄSTMANLANDS LÄN</t>
        </is>
      </c>
      <c r="E152" t="inlineStr">
        <is>
          <t>SALA</t>
        </is>
      </c>
      <c r="G152" t="n">
        <v>2.1</v>
      </c>
      <c r="H152" t="n">
        <v>0</v>
      </c>
      <c r="I152" t="n">
        <v>0</v>
      </c>
      <c r="J152" t="n">
        <v>0</v>
      </c>
      <c r="K152" t="n">
        <v>0</v>
      </c>
      <c r="L152" t="n">
        <v>0</v>
      </c>
      <c r="M152" t="n">
        <v>0</v>
      </c>
      <c r="N152" t="n">
        <v>0</v>
      </c>
      <c r="O152" t="n">
        <v>0</v>
      </c>
      <c r="P152" t="n">
        <v>0</v>
      </c>
      <c r="Q152" t="n">
        <v>0</v>
      </c>
      <c r="R152" s="2" t="inlineStr"/>
    </row>
    <row r="153" ht="15" customHeight="1">
      <c r="A153" t="inlineStr">
        <is>
          <t>A 25603-2022</t>
        </is>
      </c>
      <c r="B153" s="1" t="n">
        <v>44732</v>
      </c>
      <c r="C153" s="1" t="n">
        <v>46132</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46132</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23847-2022</t>
        </is>
      </c>
      <c r="B155" s="1" t="n">
        <v>44722</v>
      </c>
      <c r="C155" s="1" t="n">
        <v>46132</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46132</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46132</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46132</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46132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46132</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46132</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46132</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46132</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46132</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46132</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46132</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46132</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46132</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46132</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46132</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46132</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46132</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46132</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46132</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46132</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46132</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46132</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46132</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46132</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46132</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27486-2022</t>
        </is>
      </c>
      <c r="B181" s="1" t="n">
        <v>44742.60846064815</v>
      </c>
      <c r="C181" s="1" t="n">
        <v>46132</v>
      </c>
      <c r="D181" t="inlineStr">
        <is>
          <t>VÄSTMANLANDS LÄN</t>
        </is>
      </c>
      <c r="E181" t="inlineStr">
        <is>
          <t>SALA</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27261-2024</t>
        </is>
      </c>
      <c r="B182" s="1" t="n">
        <v>45471</v>
      </c>
      <c r="C182" s="1" t="n">
        <v>46132</v>
      </c>
      <c r="D182" t="inlineStr">
        <is>
          <t>VÄSTMANLANDS LÄN</t>
        </is>
      </c>
      <c r="E182" t="inlineStr">
        <is>
          <t>SALA</t>
        </is>
      </c>
      <c r="G182" t="n">
        <v>6.1</v>
      </c>
      <c r="H182" t="n">
        <v>0</v>
      </c>
      <c r="I182" t="n">
        <v>0</v>
      </c>
      <c r="J182" t="n">
        <v>0</v>
      </c>
      <c r="K182" t="n">
        <v>0</v>
      </c>
      <c r="L182" t="n">
        <v>0</v>
      </c>
      <c r="M182" t="n">
        <v>0</v>
      </c>
      <c r="N182" t="n">
        <v>0</v>
      </c>
      <c r="O182" t="n">
        <v>0</v>
      </c>
      <c r="P182" t="n">
        <v>0</v>
      </c>
      <c r="Q182" t="n">
        <v>0</v>
      </c>
      <c r="R182" s="2" t="inlineStr"/>
    </row>
    <row r="183" ht="15" customHeight="1">
      <c r="A183" t="inlineStr">
        <is>
          <t>A 18713-2025</t>
        </is>
      </c>
      <c r="B183" s="1" t="n">
        <v>45763</v>
      </c>
      <c r="C183" s="1" t="n">
        <v>46132</v>
      </c>
      <c r="D183" t="inlineStr">
        <is>
          <t>VÄSTMANLANDS LÄN</t>
        </is>
      </c>
      <c r="E183" t="inlineStr">
        <is>
          <t>SALA</t>
        </is>
      </c>
      <c r="F183" t="inlineStr">
        <is>
          <t>Bergvik skog öst AB</t>
        </is>
      </c>
      <c r="G183" t="n">
        <v>11.6</v>
      </c>
      <c r="H183" t="n">
        <v>0</v>
      </c>
      <c r="I183" t="n">
        <v>0</v>
      </c>
      <c r="J183" t="n">
        <v>0</v>
      </c>
      <c r="K183" t="n">
        <v>0</v>
      </c>
      <c r="L183" t="n">
        <v>0</v>
      </c>
      <c r="M183" t="n">
        <v>0</v>
      </c>
      <c r="N183" t="n">
        <v>0</v>
      </c>
      <c r="O183" t="n">
        <v>0</v>
      </c>
      <c r="P183" t="n">
        <v>0</v>
      </c>
      <c r="Q183" t="n">
        <v>0</v>
      </c>
      <c r="R183" s="2" t="inlineStr"/>
    </row>
    <row r="184" ht="15" customHeight="1">
      <c r="A184" t="inlineStr">
        <is>
          <t>A 39597-2022</t>
        </is>
      </c>
      <c r="B184" s="1" t="n">
        <v>44818</v>
      </c>
      <c r="C184" s="1" t="n">
        <v>46132</v>
      </c>
      <c r="D184" t="inlineStr">
        <is>
          <t>VÄSTMANLANDS LÄN</t>
        </is>
      </c>
      <c r="E184" t="inlineStr">
        <is>
          <t>SALA</t>
        </is>
      </c>
      <c r="G184" t="n">
        <v>2.3</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46132</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6134-2024</t>
        </is>
      </c>
      <c r="B186" s="1" t="n">
        <v>45337</v>
      </c>
      <c r="C186" s="1" t="n">
        <v>46132</v>
      </c>
      <c r="D186" t="inlineStr">
        <is>
          <t>VÄSTMANLANDS LÄN</t>
        </is>
      </c>
      <c r="E186" t="inlineStr">
        <is>
          <t>SALA</t>
        </is>
      </c>
      <c r="G186" t="n">
        <v>1.8</v>
      </c>
      <c r="H186" t="n">
        <v>0</v>
      </c>
      <c r="I186" t="n">
        <v>0</v>
      </c>
      <c r="J186" t="n">
        <v>0</v>
      </c>
      <c r="K186" t="n">
        <v>0</v>
      </c>
      <c r="L186" t="n">
        <v>0</v>
      </c>
      <c r="M186" t="n">
        <v>0</v>
      </c>
      <c r="N186" t="n">
        <v>0</v>
      </c>
      <c r="O186" t="n">
        <v>0</v>
      </c>
      <c r="P186" t="n">
        <v>0</v>
      </c>
      <c r="Q186" t="n">
        <v>0</v>
      </c>
      <c r="R186" s="2" t="inlineStr"/>
    </row>
    <row r="187" ht="15" customHeight="1">
      <c r="A187" t="inlineStr">
        <is>
          <t>A 25860-2024</t>
        </is>
      </c>
      <c r="B187" s="1" t="n">
        <v>45467.46278935186</v>
      </c>
      <c r="C187" s="1" t="n">
        <v>46132</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22026-2021</t>
        </is>
      </c>
      <c r="B188" s="1" t="n">
        <v>44323</v>
      </c>
      <c r="C188" s="1" t="n">
        <v>46132</v>
      </c>
      <c r="D188" t="inlineStr">
        <is>
          <t>VÄSTMANLANDS LÄN</t>
        </is>
      </c>
      <c r="E188" t="inlineStr">
        <is>
          <t>SALA</t>
        </is>
      </c>
      <c r="G188" t="n">
        <v>2.9</v>
      </c>
      <c r="H188" t="n">
        <v>0</v>
      </c>
      <c r="I188" t="n">
        <v>0</v>
      </c>
      <c r="J188" t="n">
        <v>0</v>
      </c>
      <c r="K188" t="n">
        <v>0</v>
      </c>
      <c r="L188" t="n">
        <v>0</v>
      </c>
      <c r="M188" t="n">
        <v>0</v>
      </c>
      <c r="N188" t="n">
        <v>0</v>
      </c>
      <c r="O188" t="n">
        <v>0</v>
      </c>
      <c r="P188" t="n">
        <v>0</v>
      </c>
      <c r="Q188" t="n">
        <v>0</v>
      </c>
      <c r="R188" s="2" t="inlineStr"/>
    </row>
    <row r="189" ht="15" customHeight="1">
      <c r="A189" t="inlineStr">
        <is>
          <t>A 40597-2022</t>
        </is>
      </c>
      <c r="B189" s="1" t="n">
        <v>44823.84862268518</v>
      </c>
      <c r="C189" s="1" t="n">
        <v>46132</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46132</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21168-2025</t>
        </is>
      </c>
      <c r="B191" s="1" t="n">
        <v>45777</v>
      </c>
      <c r="C191" s="1" t="n">
        <v>46132</v>
      </c>
      <c r="D191" t="inlineStr">
        <is>
          <t>VÄSTMANLANDS LÄN</t>
        </is>
      </c>
      <c r="E191" t="inlineStr">
        <is>
          <t>SALA</t>
        </is>
      </c>
      <c r="G191" t="n">
        <v>4.5</v>
      </c>
      <c r="H191" t="n">
        <v>0</v>
      </c>
      <c r="I191" t="n">
        <v>0</v>
      </c>
      <c r="J191" t="n">
        <v>0</v>
      </c>
      <c r="K191" t="n">
        <v>0</v>
      </c>
      <c r="L191" t="n">
        <v>0</v>
      </c>
      <c r="M191" t="n">
        <v>0</v>
      </c>
      <c r="N191" t="n">
        <v>0</v>
      </c>
      <c r="O191" t="n">
        <v>0</v>
      </c>
      <c r="P191" t="n">
        <v>0</v>
      </c>
      <c r="Q191" t="n">
        <v>0</v>
      </c>
      <c r="R191" s="2" t="inlineStr"/>
    </row>
    <row r="192" ht="15" customHeight="1">
      <c r="A192" t="inlineStr">
        <is>
          <t>A 7196-2025</t>
        </is>
      </c>
      <c r="B192" s="1" t="n">
        <v>45702</v>
      </c>
      <c r="C192" s="1" t="n">
        <v>46132</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6183-2025</t>
        </is>
      </c>
      <c r="B193" s="1" t="n">
        <v>45698</v>
      </c>
      <c r="C193" s="1" t="n">
        <v>46132</v>
      </c>
      <c r="D193" t="inlineStr">
        <is>
          <t>VÄSTMANLANDS LÄN</t>
        </is>
      </c>
      <c r="E193" t="inlineStr">
        <is>
          <t>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40871-2021</t>
        </is>
      </c>
      <c r="B194" s="1" t="n">
        <v>44421</v>
      </c>
      <c r="C194" s="1" t="n">
        <v>46132</v>
      </c>
      <c r="D194" t="inlineStr">
        <is>
          <t>VÄSTMANLANDS LÄN</t>
        </is>
      </c>
      <c r="E194" t="inlineStr">
        <is>
          <t>SALA</t>
        </is>
      </c>
      <c r="G194" t="n">
        <v>1.4</v>
      </c>
      <c r="H194" t="n">
        <v>0</v>
      </c>
      <c r="I194" t="n">
        <v>0</v>
      </c>
      <c r="J194" t="n">
        <v>0</v>
      </c>
      <c r="K194" t="n">
        <v>0</v>
      </c>
      <c r="L194" t="n">
        <v>0</v>
      </c>
      <c r="M194" t="n">
        <v>0</v>
      </c>
      <c r="N194" t="n">
        <v>0</v>
      </c>
      <c r="O194" t="n">
        <v>0</v>
      </c>
      <c r="P194" t="n">
        <v>0</v>
      </c>
      <c r="Q194" t="n">
        <v>0</v>
      </c>
      <c r="R194" s="2" t="inlineStr"/>
    </row>
    <row r="195" ht="15" customHeight="1">
      <c r="A195" t="inlineStr">
        <is>
          <t>A 19803-2024</t>
        </is>
      </c>
      <c r="B195" s="1" t="n">
        <v>45432</v>
      </c>
      <c r="C195" s="1" t="n">
        <v>46132</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21751-2025</t>
        </is>
      </c>
      <c r="B196" s="1" t="n">
        <v>45783.61372685185</v>
      </c>
      <c r="C196" s="1" t="n">
        <v>46132</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73673-2021</t>
        </is>
      </c>
      <c r="B197" s="1" t="n">
        <v>44552.46501157407</v>
      </c>
      <c r="C197" s="1" t="n">
        <v>46132</v>
      </c>
      <c r="D197" t="inlineStr">
        <is>
          <t>VÄSTMANLANDS LÄN</t>
        </is>
      </c>
      <c r="E197" t="inlineStr">
        <is>
          <t>SALA</t>
        </is>
      </c>
      <c r="G197" t="n">
        <v>11.4</v>
      </c>
      <c r="H197" t="n">
        <v>0</v>
      </c>
      <c r="I197" t="n">
        <v>0</v>
      </c>
      <c r="J197" t="n">
        <v>0</v>
      </c>
      <c r="K197" t="n">
        <v>0</v>
      </c>
      <c r="L197" t="n">
        <v>0</v>
      </c>
      <c r="M197" t="n">
        <v>0</v>
      </c>
      <c r="N197" t="n">
        <v>0</v>
      </c>
      <c r="O197" t="n">
        <v>0</v>
      </c>
      <c r="P197" t="n">
        <v>0</v>
      </c>
      <c r="Q197" t="n">
        <v>0</v>
      </c>
      <c r="R197" s="2" t="inlineStr"/>
    </row>
    <row r="198" ht="15" customHeight="1">
      <c r="A198" t="inlineStr">
        <is>
          <t>A 38574-2025</t>
        </is>
      </c>
      <c r="B198" s="1" t="n">
        <v>45884.46390046296</v>
      </c>
      <c r="C198" s="1" t="n">
        <v>46132</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38294-2025</t>
        </is>
      </c>
      <c r="B199" s="1" t="n">
        <v>45883.44854166666</v>
      </c>
      <c r="C199" s="1" t="n">
        <v>46132</v>
      </c>
      <c r="D199" t="inlineStr">
        <is>
          <t>VÄSTMANLANDS LÄN</t>
        </is>
      </c>
      <c r="E199" t="inlineStr">
        <is>
          <t>SALA</t>
        </is>
      </c>
      <c r="G199" t="n">
        <v>1.5</v>
      </c>
      <c r="H199" t="n">
        <v>0</v>
      </c>
      <c r="I199" t="n">
        <v>0</v>
      </c>
      <c r="J199" t="n">
        <v>0</v>
      </c>
      <c r="K199" t="n">
        <v>0</v>
      </c>
      <c r="L199" t="n">
        <v>0</v>
      </c>
      <c r="M199" t="n">
        <v>0</v>
      </c>
      <c r="N199" t="n">
        <v>0</v>
      </c>
      <c r="O199" t="n">
        <v>0</v>
      </c>
      <c r="P199" t="n">
        <v>0</v>
      </c>
      <c r="Q199" t="n">
        <v>0</v>
      </c>
      <c r="R199" s="2" t="inlineStr"/>
    </row>
    <row r="200" ht="15" customHeight="1">
      <c r="A200" t="inlineStr">
        <is>
          <t>A 21754-2025</t>
        </is>
      </c>
      <c r="B200" s="1" t="n">
        <v>45783.61837962963</v>
      </c>
      <c r="C200" s="1" t="n">
        <v>46132</v>
      </c>
      <c r="D200" t="inlineStr">
        <is>
          <t>VÄSTMANLANDS LÄN</t>
        </is>
      </c>
      <c r="E200" t="inlineStr">
        <is>
          <t>SALA</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37587-2024</t>
        </is>
      </c>
      <c r="B201" s="1" t="n">
        <v>45541</v>
      </c>
      <c r="C201" s="1" t="n">
        <v>46132</v>
      </c>
      <c r="D201" t="inlineStr">
        <is>
          <t>VÄSTMANLANDS LÄN</t>
        </is>
      </c>
      <c r="E201" t="inlineStr">
        <is>
          <t>SALA</t>
        </is>
      </c>
      <c r="G201" t="n">
        <v>1.2</v>
      </c>
      <c r="H201" t="n">
        <v>0</v>
      </c>
      <c r="I201" t="n">
        <v>0</v>
      </c>
      <c r="J201" t="n">
        <v>0</v>
      </c>
      <c r="K201" t="n">
        <v>0</v>
      </c>
      <c r="L201" t="n">
        <v>0</v>
      </c>
      <c r="M201" t="n">
        <v>0</v>
      </c>
      <c r="N201" t="n">
        <v>0</v>
      </c>
      <c r="O201" t="n">
        <v>0</v>
      </c>
      <c r="P201" t="n">
        <v>0</v>
      </c>
      <c r="Q201" t="n">
        <v>0</v>
      </c>
      <c r="R201" s="2" t="inlineStr"/>
    </row>
    <row r="202" ht="15" customHeight="1">
      <c r="A202" t="inlineStr">
        <is>
          <t>A 24864-2024</t>
        </is>
      </c>
      <c r="B202" s="1" t="n">
        <v>45461.48888888889</v>
      </c>
      <c r="C202" s="1" t="n">
        <v>46132</v>
      </c>
      <c r="D202" t="inlineStr">
        <is>
          <t>VÄSTMANLANDS LÄN</t>
        </is>
      </c>
      <c r="E202" t="inlineStr">
        <is>
          <t>SALA</t>
        </is>
      </c>
      <c r="G202" t="n">
        <v>0.6</v>
      </c>
      <c r="H202" t="n">
        <v>0</v>
      </c>
      <c r="I202" t="n">
        <v>0</v>
      </c>
      <c r="J202" t="n">
        <v>0</v>
      </c>
      <c r="K202" t="n">
        <v>0</v>
      </c>
      <c r="L202" t="n">
        <v>0</v>
      </c>
      <c r="M202" t="n">
        <v>0</v>
      </c>
      <c r="N202" t="n">
        <v>0</v>
      </c>
      <c r="O202" t="n">
        <v>0</v>
      </c>
      <c r="P202" t="n">
        <v>0</v>
      </c>
      <c r="Q202" t="n">
        <v>0</v>
      </c>
      <c r="R202" s="2" t="inlineStr"/>
    </row>
    <row r="203" ht="15" customHeight="1">
      <c r="A203" t="inlineStr">
        <is>
          <t>A 51626-2025</t>
        </is>
      </c>
      <c r="B203" s="1" t="n">
        <v>45951.41769675926</v>
      </c>
      <c r="C203" s="1" t="n">
        <v>46132</v>
      </c>
      <c r="D203" t="inlineStr">
        <is>
          <t>VÄSTMANLANDS LÄN</t>
        </is>
      </c>
      <c r="E203" t="inlineStr">
        <is>
          <t>SALA</t>
        </is>
      </c>
      <c r="G203" t="n">
        <v>2.6</v>
      </c>
      <c r="H203" t="n">
        <v>0</v>
      </c>
      <c r="I203" t="n">
        <v>0</v>
      </c>
      <c r="J203" t="n">
        <v>0</v>
      </c>
      <c r="K203" t="n">
        <v>0</v>
      </c>
      <c r="L203" t="n">
        <v>0</v>
      </c>
      <c r="M203" t="n">
        <v>0</v>
      </c>
      <c r="N203" t="n">
        <v>0</v>
      </c>
      <c r="O203" t="n">
        <v>0</v>
      </c>
      <c r="P203" t="n">
        <v>0</v>
      </c>
      <c r="Q203" t="n">
        <v>0</v>
      </c>
      <c r="R203" s="2" t="inlineStr"/>
    </row>
    <row r="204" ht="15" customHeight="1">
      <c r="A204" t="inlineStr">
        <is>
          <t>A 1118-2024</t>
        </is>
      </c>
      <c r="B204" s="1" t="n">
        <v>45302</v>
      </c>
      <c r="C204" s="1" t="n">
        <v>46132</v>
      </c>
      <c r="D204" t="inlineStr">
        <is>
          <t>VÄSTMANLANDS LÄN</t>
        </is>
      </c>
      <c r="E204" t="inlineStr">
        <is>
          <t>SALA</t>
        </is>
      </c>
      <c r="G204" t="n">
        <v>1.9</v>
      </c>
      <c r="H204" t="n">
        <v>0</v>
      </c>
      <c r="I204" t="n">
        <v>0</v>
      </c>
      <c r="J204" t="n">
        <v>0</v>
      </c>
      <c r="K204" t="n">
        <v>0</v>
      </c>
      <c r="L204" t="n">
        <v>0</v>
      </c>
      <c r="M204" t="n">
        <v>0</v>
      </c>
      <c r="N204" t="n">
        <v>0</v>
      </c>
      <c r="O204" t="n">
        <v>0</v>
      </c>
      <c r="P204" t="n">
        <v>0</v>
      </c>
      <c r="Q204" t="n">
        <v>0</v>
      </c>
      <c r="R204" s="2" t="inlineStr"/>
    </row>
    <row r="205" ht="15" customHeight="1">
      <c r="A205" t="inlineStr">
        <is>
          <t>A 51690-2025</t>
        </is>
      </c>
      <c r="B205" s="1" t="n">
        <v>45951.53462962963</v>
      </c>
      <c r="C205" s="1" t="n">
        <v>46132</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63933-2023</t>
        </is>
      </c>
      <c r="B206" s="1" t="n">
        <v>45278</v>
      </c>
      <c r="C206" s="1" t="n">
        <v>46132</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22353-2025</t>
        </is>
      </c>
      <c r="B207" s="1" t="n">
        <v>45786</v>
      </c>
      <c r="C207" s="1" t="n">
        <v>46132</v>
      </c>
      <c r="D207" t="inlineStr">
        <is>
          <t>VÄSTMANLANDS LÄN</t>
        </is>
      </c>
      <c r="E207" t="inlineStr">
        <is>
          <t>SALA</t>
        </is>
      </c>
      <c r="G207" t="n">
        <v>2.5</v>
      </c>
      <c r="H207" t="n">
        <v>0</v>
      </c>
      <c r="I207" t="n">
        <v>0</v>
      </c>
      <c r="J207" t="n">
        <v>0</v>
      </c>
      <c r="K207" t="n">
        <v>0</v>
      </c>
      <c r="L207" t="n">
        <v>0</v>
      </c>
      <c r="M207" t="n">
        <v>0</v>
      </c>
      <c r="N207" t="n">
        <v>0</v>
      </c>
      <c r="O207" t="n">
        <v>0</v>
      </c>
      <c r="P207" t="n">
        <v>0</v>
      </c>
      <c r="Q207" t="n">
        <v>0</v>
      </c>
      <c r="R207" s="2" t="inlineStr"/>
    </row>
    <row r="208" ht="15" customHeight="1">
      <c r="A208" t="inlineStr">
        <is>
          <t>A 64724-2023</t>
        </is>
      </c>
      <c r="B208" s="1" t="n">
        <v>45281.7602662037</v>
      </c>
      <c r="C208" s="1" t="n">
        <v>46132</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51809-2025</t>
        </is>
      </c>
      <c r="B209" s="1" t="n">
        <v>45951.80116898148</v>
      </c>
      <c r="C209" s="1" t="n">
        <v>46132</v>
      </c>
      <c r="D209" t="inlineStr">
        <is>
          <t>VÄSTMANLANDS LÄN</t>
        </is>
      </c>
      <c r="E209" t="inlineStr">
        <is>
          <t>SALA</t>
        </is>
      </c>
      <c r="F209" t="inlineStr">
        <is>
          <t>Kommuner</t>
        </is>
      </c>
      <c r="G209" t="n">
        <v>3.5</v>
      </c>
      <c r="H209" t="n">
        <v>0</v>
      </c>
      <c r="I209" t="n">
        <v>0</v>
      </c>
      <c r="J209" t="n">
        <v>0</v>
      </c>
      <c r="K209" t="n">
        <v>0</v>
      </c>
      <c r="L209" t="n">
        <v>0</v>
      </c>
      <c r="M209" t="n">
        <v>0</v>
      </c>
      <c r="N209" t="n">
        <v>0</v>
      </c>
      <c r="O209" t="n">
        <v>0</v>
      </c>
      <c r="P209" t="n">
        <v>0</v>
      </c>
      <c r="Q209" t="n">
        <v>0</v>
      </c>
      <c r="R209" s="2" t="inlineStr"/>
    </row>
    <row r="210" ht="15" customHeight="1">
      <c r="A210" t="inlineStr">
        <is>
          <t>A 37190-2024</t>
        </is>
      </c>
      <c r="B210" s="1" t="n">
        <v>45539</v>
      </c>
      <c r="C210" s="1" t="n">
        <v>46132</v>
      </c>
      <c r="D210" t="inlineStr">
        <is>
          <t>VÄSTMANLANDS LÄN</t>
        </is>
      </c>
      <c r="E210" t="inlineStr">
        <is>
          <t>SALA</t>
        </is>
      </c>
      <c r="G210" t="n">
        <v>0.9</v>
      </c>
      <c r="H210" t="n">
        <v>0</v>
      </c>
      <c r="I210" t="n">
        <v>0</v>
      </c>
      <c r="J210" t="n">
        <v>0</v>
      </c>
      <c r="K210" t="n">
        <v>0</v>
      </c>
      <c r="L210" t="n">
        <v>0</v>
      </c>
      <c r="M210" t="n">
        <v>0</v>
      </c>
      <c r="N210" t="n">
        <v>0</v>
      </c>
      <c r="O210" t="n">
        <v>0</v>
      </c>
      <c r="P210" t="n">
        <v>0</v>
      </c>
      <c r="Q210" t="n">
        <v>0</v>
      </c>
      <c r="R210" s="2" t="inlineStr"/>
    </row>
    <row r="211" ht="15" customHeight="1">
      <c r="A211" t="inlineStr">
        <is>
          <t>A 39439-2021</t>
        </is>
      </c>
      <c r="B211" s="1" t="n">
        <v>44414</v>
      </c>
      <c r="C211" s="1" t="n">
        <v>46132</v>
      </c>
      <c r="D211" t="inlineStr">
        <is>
          <t>VÄSTMANLANDS LÄN</t>
        </is>
      </c>
      <c r="E211" t="inlineStr">
        <is>
          <t>SALA</t>
        </is>
      </c>
      <c r="G211" t="n">
        <v>1.1</v>
      </c>
      <c r="H211" t="n">
        <v>0</v>
      </c>
      <c r="I211" t="n">
        <v>0</v>
      </c>
      <c r="J211" t="n">
        <v>0</v>
      </c>
      <c r="K211" t="n">
        <v>0</v>
      </c>
      <c r="L211" t="n">
        <v>0</v>
      </c>
      <c r="M211" t="n">
        <v>0</v>
      </c>
      <c r="N211" t="n">
        <v>0</v>
      </c>
      <c r="O211" t="n">
        <v>0</v>
      </c>
      <c r="P211" t="n">
        <v>0</v>
      </c>
      <c r="Q211" t="n">
        <v>0</v>
      </c>
      <c r="R211" s="2" t="inlineStr"/>
    </row>
    <row r="212" ht="15" customHeight="1">
      <c r="A212" t="inlineStr">
        <is>
          <t>A 22370-2025</t>
        </is>
      </c>
      <c r="B212" s="1" t="n">
        <v>45786</v>
      </c>
      <c r="C212" s="1" t="n">
        <v>46132</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22383-2025</t>
        </is>
      </c>
      <c r="B213" s="1" t="n">
        <v>45786</v>
      </c>
      <c r="C213" s="1" t="n">
        <v>46132</v>
      </c>
      <c r="D213" t="inlineStr">
        <is>
          <t>VÄSTMANLANDS LÄN</t>
        </is>
      </c>
      <c r="E213" t="inlineStr">
        <is>
          <t>SALA</t>
        </is>
      </c>
      <c r="G213" t="n">
        <v>2.2</v>
      </c>
      <c r="H213" t="n">
        <v>0</v>
      </c>
      <c r="I213" t="n">
        <v>0</v>
      </c>
      <c r="J213" t="n">
        <v>0</v>
      </c>
      <c r="K213" t="n">
        <v>0</v>
      </c>
      <c r="L213" t="n">
        <v>0</v>
      </c>
      <c r="M213" t="n">
        <v>0</v>
      </c>
      <c r="N213" t="n">
        <v>0</v>
      </c>
      <c r="O213" t="n">
        <v>0</v>
      </c>
      <c r="P213" t="n">
        <v>0</v>
      </c>
      <c r="Q213" t="n">
        <v>0</v>
      </c>
      <c r="R213" s="2" t="inlineStr"/>
    </row>
    <row r="214" ht="15" customHeight="1">
      <c r="A214" t="inlineStr">
        <is>
          <t>A 51803-2025</t>
        </is>
      </c>
      <c r="B214" s="1" t="n">
        <v>45951.76818287037</v>
      </c>
      <c r="C214" s="1" t="n">
        <v>46132</v>
      </c>
      <c r="D214" t="inlineStr">
        <is>
          <t>VÄSTMANLANDS LÄN</t>
        </is>
      </c>
      <c r="E214" t="inlineStr">
        <is>
          <t>SALA</t>
        </is>
      </c>
      <c r="F214" t="inlineStr">
        <is>
          <t>Kommuner</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51805-2025</t>
        </is>
      </c>
      <c r="B215" s="1" t="n">
        <v>45951.78359953704</v>
      </c>
      <c r="C215" s="1" t="n">
        <v>46132</v>
      </c>
      <c r="D215" t="inlineStr">
        <is>
          <t>VÄSTMANLANDS LÄN</t>
        </is>
      </c>
      <c r="E215" t="inlineStr">
        <is>
          <t>SALA</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51804-2025</t>
        </is>
      </c>
      <c r="B216" s="1" t="n">
        <v>45951.77697916667</v>
      </c>
      <c r="C216" s="1" t="n">
        <v>46132</v>
      </c>
      <c r="D216" t="inlineStr">
        <is>
          <t>VÄSTMANLANDS LÄN</t>
        </is>
      </c>
      <c r="E216" t="inlineStr">
        <is>
          <t>SALA</t>
        </is>
      </c>
      <c r="F216" t="inlineStr">
        <is>
          <t>Kommuner</t>
        </is>
      </c>
      <c r="G216" t="n">
        <v>2</v>
      </c>
      <c r="H216" t="n">
        <v>0</v>
      </c>
      <c r="I216" t="n">
        <v>0</v>
      </c>
      <c r="J216" t="n">
        <v>0</v>
      </c>
      <c r="K216" t="n">
        <v>0</v>
      </c>
      <c r="L216" t="n">
        <v>0</v>
      </c>
      <c r="M216" t="n">
        <v>0</v>
      </c>
      <c r="N216" t="n">
        <v>0</v>
      </c>
      <c r="O216" t="n">
        <v>0</v>
      </c>
      <c r="P216" t="n">
        <v>0</v>
      </c>
      <c r="Q216" t="n">
        <v>0</v>
      </c>
      <c r="R216" s="2" t="inlineStr"/>
    </row>
    <row r="217" ht="15" customHeight="1">
      <c r="A217" t="inlineStr">
        <is>
          <t>A 51808-2025</t>
        </is>
      </c>
      <c r="B217" s="1" t="n">
        <v>45951.79302083333</v>
      </c>
      <c r="C217" s="1" t="n">
        <v>46132</v>
      </c>
      <c r="D217" t="inlineStr">
        <is>
          <t>VÄSTMANLANDS LÄN</t>
        </is>
      </c>
      <c r="E217" t="inlineStr">
        <is>
          <t>SALA</t>
        </is>
      </c>
      <c r="F217" t="inlineStr">
        <is>
          <t>Kommuner</t>
        </is>
      </c>
      <c r="G217" t="n">
        <v>3</v>
      </c>
      <c r="H217" t="n">
        <v>0</v>
      </c>
      <c r="I217" t="n">
        <v>0</v>
      </c>
      <c r="J217" t="n">
        <v>0</v>
      </c>
      <c r="K217" t="n">
        <v>0</v>
      </c>
      <c r="L217" t="n">
        <v>0</v>
      </c>
      <c r="M217" t="n">
        <v>0</v>
      </c>
      <c r="N217" t="n">
        <v>0</v>
      </c>
      <c r="O217" t="n">
        <v>0</v>
      </c>
      <c r="P217" t="n">
        <v>0</v>
      </c>
      <c r="Q217" t="n">
        <v>0</v>
      </c>
      <c r="R217" s="2" t="inlineStr"/>
    </row>
    <row r="218" ht="15" customHeight="1">
      <c r="A218" t="inlineStr">
        <is>
          <t>A 51764-2025</t>
        </is>
      </c>
      <c r="B218" s="1" t="n">
        <v>45951.63636574074</v>
      </c>
      <c r="C218" s="1" t="n">
        <v>46132</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11389-2024</t>
        </is>
      </c>
      <c r="B219" s="1" t="n">
        <v>45372.45016203704</v>
      </c>
      <c r="C219" s="1" t="n">
        <v>46132</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56706-2022</t>
        </is>
      </c>
      <c r="B220" s="1" t="n">
        <v>44893.78893518518</v>
      </c>
      <c r="C220" s="1" t="n">
        <v>46132</v>
      </c>
      <c r="D220" t="inlineStr">
        <is>
          <t>VÄSTMANLANDS LÄN</t>
        </is>
      </c>
      <c r="E220" t="inlineStr">
        <is>
          <t>SALA</t>
        </is>
      </c>
      <c r="G220" t="n">
        <v>4.5</v>
      </c>
      <c r="H220" t="n">
        <v>0</v>
      </c>
      <c r="I220" t="n">
        <v>0</v>
      </c>
      <c r="J220" t="n">
        <v>0</v>
      </c>
      <c r="K220" t="n">
        <v>0</v>
      </c>
      <c r="L220" t="n">
        <v>0</v>
      </c>
      <c r="M220" t="n">
        <v>0</v>
      </c>
      <c r="N220" t="n">
        <v>0</v>
      </c>
      <c r="O220" t="n">
        <v>0</v>
      </c>
      <c r="P220" t="n">
        <v>0</v>
      </c>
      <c r="Q220" t="n">
        <v>0</v>
      </c>
      <c r="R220" s="2" t="inlineStr"/>
    </row>
    <row r="221" ht="15" customHeight="1">
      <c r="A221" t="inlineStr">
        <is>
          <t>A 56707-2022</t>
        </is>
      </c>
      <c r="B221" s="1" t="n">
        <v>44893.79412037037</v>
      </c>
      <c r="C221" s="1" t="n">
        <v>46132</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30971-2022</t>
        </is>
      </c>
      <c r="B222" s="1" t="n">
        <v>44768.46725694444</v>
      </c>
      <c r="C222" s="1" t="n">
        <v>46132</v>
      </c>
      <c r="D222" t="inlineStr">
        <is>
          <t>VÄSTMANLANDS LÄN</t>
        </is>
      </c>
      <c r="E222" t="inlineStr">
        <is>
          <t>SALA</t>
        </is>
      </c>
      <c r="G222" t="n">
        <v>2.4</v>
      </c>
      <c r="H222" t="n">
        <v>0</v>
      </c>
      <c r="I222" t="n">
        <v>0</v>
      </c>
      <c r="J222" t="n">
        <v>0</v>
      </c>
      <c r="K222" t="n">
        <v>0</v>
      </c>
      <c r="L222" t="n">
        <v>0</v>
      </c>
      <c r="M222" t="n">
        <v>0</v>
      </c>
      <c r="N222" t="n">
        <v>0</v>
      </c>
      <c r="O222" t="n">
        <v>0</v>
      </c>
      <c r="P222" t="n">
        <v>0</v>
      </c>
      <c r="Q222" t="n">
        <v>0</v>
      </c>
      <c r="R222" s="2" t="inlineStr"/>
    </row>
    <row r="223" ht="15" customHeight="1">
      <c r="A223" t="inlineStr">
        <is>
          <t>A 7176-2023</t>
        </is>
      </c>
      <c r="B223" s="1" t="n">
        <v>44970</v>
      </c>
      <c r="C223" s="1" t="n">
        <v>46132</v>
      </c>
      <c r="D223" t="inlineStr">
        <is>
          <t>VÄSTMANLANDS LÄN</t>
        </is>
      </c>
      <c r="E223" t="inlineStr">
        <is>
          <t>SALA</t>
        </is>
      </c>
      <c r="G223" t="n">
        <v>1.5</v>
      </c>
      <c r="H223" t="n">
        <v>0</v>
      </c>
      <c r="I223" t="n">
        <v>0</v>
      </c>
      <c r="J223" t="n">
        <v>0</v>
      </c>
      <c r="K223" t="n">
        <v>0</v>
      </c>
      <c r="L223" t="n">
        <v>0</v>
      </c>
      <c r="M223" t="n">
        <v>0</v>
      </c>
      <c r="N223" t="n">
        <v>0</v>
      </c>
      <c r="O223" t="n">
        <v>0</v>
      </c>
      <c r="P223" t="n">
        <v>0</v>
      </c>
      <c r="Q223" t="n">
        <v>0</v>
      </c>
      <c r="R223" s="2" t="inlineStr"/>
    </row>
    <row r="224" ht="15" customHeight="1">
      <c r="A224" t="inlineStr">
        <is>
          <t>A 39182-2025</t>
        </is>
      </c>
      <c r="B224" s="1" t="n">
        <v>45888.66204861111</v>
      </c>
      <c r="C224" s="1" t="n">
        <v>46132</v>
      </c>
      <c r="D224" t="inlineStr">
        <is>
          <t>VÄSTMANLANDS LÄN</t>
        </is>
      </c>
      <c r="E224" t="inlineStr">
        <is>
          <t>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22624-2025</t>
        </is>
      </c>
      <c r="B225" s="1" t="n">
        <v>45789.43327546296</v>
      </c>
      <c r="C225" s="1" t="n">
        <v>46132</v>
      </c>
      <c r="D225" t="inlineStr">
        <is>
          <t>VÄSTMANLANDS LÄN</t>
        </is>
      </c>
      <c r="E225" t="inlineStr">
        <is>
          <t>SALA</t>
        </is>
      </c>
      <c r="G225" t="n">
        <v>1.5</v>
      </c>
      <c r="H225" t="n">
        <v>0</v>
      </c>
      <c r="I225" t="n">
        <v>0</v>
      </c>
      <c r="J225" t="n">
        <v>0</v>
      </c>
      <c r="K225" t="n">
        <v>0</v>
      </c>
      <c r="L225" t="n">
        <v>0</v>
      </c>
      <c r="M225" t="n">
        <v>0</v>
      </c>
      <c r="N225" t="n">
        <v>0</v>
      </c>
      <c r="O225" t="n">
        <v>0</v>
      </c>
      <c r="P225" t="n">
        <v>0</v>
      </c>
      <c r="Q225" t="n">
        <v>0</v>
      </c>
      <c r="R225" s="2" t="inlineStr"/>
    </row>
    <row r="226" ht="15" customHeight="1">
      <c r="A226" t="inlineStr">
        <is>
          <t>A 31405-2024</t>
        </is>
      </c>
      <c r="B226" s="1" t="n">
        <v>45505.5490625</v>
      </c>
      <c r="C226" s="1" t="n">
        <v>46132</v>
      </c>
      <c r="D226" t="inlineStr">
        <is>
          <t>VÄSTMANLANDS LÄN</t>
        </is>
      </c>
      <c r="E226" t="inlineStr">
        <is>
          <t>SALA</t>
        </is>
      </c>
      <c r="G226" t="n">
        <v>5.2</v>
      </c>
      <c r="H226" t="n">
        <v>0</v>
      </c>
      <c r="I226" t="n">
        <v>0</v>
      </c>
      <c r="J226" t="n">
        <v>0</v>
      </c>
      <c r="K226" t="n">
        <v>0</v>
      </c>
      <c r="L226" t="n">
        <v>0</v>
      </c>
      <c r="M226" t="n">
        <v>0</v>
      </c>
      <c r="N226" t="n">
        <v>0</v>
      </c>
      <c r="O226" t="n">
        <v>0</v>
      </c>
      <c r="P226" t="n">
        <v>0</v>
      </c>
      <c r="Q226" t="n">
        <v>0</v>
      </c>
      <c r="R226" s="2" t="inlineStr"/>
    </row>
    <row r="227" ht="15" customHeight="1">
      <c r="A227" t="inlineStr">
        <is>
          <t>A 46279-2021</t>
        </is>
      </c>
      <c r="B227" s="1" t="n">
        <v>44442.57797453704</v>
      </c>
      <c r="C227" s="1" t="n">
        <v>46132</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22616-2025</t>
        </is>
      </c>
      <c r="B228" s="1" t="n">
        <v>45789.42752314815</v>
      </c>
      <c r="C228" s="1" t="n">
        <v>46132</v>
      </c>
      <c r="D228" t="inlineStr">
        <is>
          <t>VÄSTMANLANDS LÄN</t>
        </is>
      </c>
      <c r="E228" t="inlineStr">
        <is>
          <t>SALA</t>
        </is>
      </c>
      <c r="G228" t="n">
        <v>0.8</v>
      </c>
      <c r="H228" t="n">
        <v>0</v>
      </c>
      <c r="I228" t="n">
        <v>0</v>
      </c>
      <c r="J228" t="n">
        <v>0</v>
      </c>
      <c r="K228" t="n">
        <v>0</v>
      </c>
      <c r="L228" t="n">
        <v>0</v>
      </c>
      <c r="M228" t="n">
        <v>0</v>
      </c>
      <c r="N228" t="n">
        <v>0</v>
      </c>
      <c r="O228" t="n">
        <v>0</v>
      </c>
      <c r="P228" t="n">
        <v>0</v>
      </c>
      <c r="Q228" t="n">
        <v>0</v>
      </c>
      <c r="R228" s="2" t="inlineStr"/>
    </row>
    <row r="229" ht="15" customHeight="1">
      <c r="A229" t="inlineStr">
        <is>
          <t>A 43600-2024</t>
        </is>
      </c>
      <c r="B229" s="1" t="n">
        <v>45569</v>
      </c>
      <c r="C229" s="1" t="n">
        <v>46132</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13130-2025</t>
        </is>
      </c>
      <c r="B230" s="1" t="n">
        <v>45734</v>
      </c>
      <c r="C230" s="1" t="n">
        <v>46132</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31864-2025</t>
        </is>
      </c>
      <c r="B231" s="1" t="n">
        <v>45834.63819444444</v>
      </c>
      <c r="C231" s="1" t="n">
        <v>46132</v>
      </c>
      <c r="D231" t="inlineStr">
        <is>
          <t>VÄSTMANLANDS LÄN</t>
        </is>
      </c>
      <c r="E231" t="inlineStr">
        <is>
          <t>SALA</t>
        </is>
      </c>
      <c r="G231" t="n">
        <v>6.3</v>
      </c>
      <c r="H231" t="n">
        <v>0</v>
      </c>
      <c r="I231" t="n">
        <v>0</v>
      </c>
      <c r="J231" t="n">
        <v>0</v>
      </c>
      <c r="K231" t="n">
        <v>0</v>
      </c>
      <c r="L231" t="n">
        <v>0</v>
      </c>
      <c r="M231" t="n">
        <v>0</v>
      </c>
      <c r="N231" t="n">
        <v>0</v>
      </c>
      <c r="O231" t="n">
        <v>0</v>
      </c>
      <c r="P231" t="n">
        <v>0</v>
      </c>
      <c r="Q231" t="n">
        <v>0</v>
      </c>
      <c r="R231" s="2" t="inlineStr"/>
    </row>
    <row r="232" ht="15" customHeight="1">
      <c r="A232" t="inlineStr">
        <is>
          <t>A 2900-2023</t>
        </is>
      </c>
      <c r="B232" s="1" t="n">
        <v>44943</v>
      </c>
      <c r="C232" s="1" t="n">
        <v>46132</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39167-2025</t>
        </is>
      </c>
      <c r="B233" s="1" t="n">
        <v>45888</v>
      </c>
      <c r="C233" s="1" t="n">
        <v>46132</v>
      </c>
      <c r="D233" t="inlineStr">
        <is>
          <t>VÄSTMANLANDS LÄN</t>
        </is>
      </c>
      <c r="E233" t="inlineStr">
        <is>
          <t>SALA</t>
        </is>
      </c>
      <c r="G233" t="n">
        <v>5.5</v>
      </c>
      <c r="H233" t="n">
        <v>0</v>
      </c>
      <c r="I233" t="n">
        <v>0</v>
      </c>
      <c r="J233" t="n">
        <v>0</v>
      </c>
      <c r="K233" t="n">
        <v>0</v>
      </c>
      <c r="L233" t="n">
        <v>0</v>
      </c>
      <c r="M233" t="n">
        <v>0</v>
      </c>
      <c r="N233" t="n">
        <v>0</v>
      </c>
      <c r="O233" t="n">
        <v>0</v>
      </c>
      <c r="P233" t="n">
        <v>0</v>
      </c>
      <c r="Q233" t="n">
        <v>0</v>
      </c>
      <c r="R233" s="2" t="inlineStr"/>
    </row>
    <row r="234" ht="15" customHeight="1">
      <c r="A234" t="inlineStr">
        <is>
          <t>A 60730-2023</t>
        </is>
      </c>
      <c r="B234" s="1" t="n">
        <v>45260</v>
      </c>
      <c r="C234" s="1" t="n">
        <v>46132</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60731-2023</t>
        </is>
      </c>
      <c r="B235" s="1" t="n">
        <v>45260</v>
      </c>
      <c r="C235" s="1" t="n">
        <v>46132</v>
      </c>
      <c r="D235" t="inlineStr">
        <is>
          <t>VÄSTMANLANDS LÄN</t>
        </is>
      </c>
      <c r="E235" t="inlineStr">
        <is>
          <t>SALA</t>
        </is>
      </c>
      <c r="G235" t="n">
        <v>1</v>
      </c>
      <c r="H235" t="n">
        <v>0</v>
      </c>
      <c r="I235" t="n">
        <v>0</v>
      </c>
      <c r="J235" t="n">
        <v>0</v>
      </c>
      <c r="K235" t="n">
        <v>0</v>
      </c>
      <c r="L235" t="n">
        <v>0</v>
      </c>
      <c r="M235" t="n">
        <v>0</v>
      </c>
      <c r="N235" t="n">
        <v>0</v>
      </c>
      <c r="O235" t="n">
        <v>0</v>
      </c>
      <c r="P235" t="n">
        <v>0</v>
      </c>
      <c r="Q235" t="n">
        <v>0</v>
      </c>
      <c r="R235" s="2" t="inlineStr"/>
    </row>
    <row r="236" ht="15" customHeight="1">
      <c r="A236" t="inlineStr">
        <is>
          <t>A 52498-2022</t>
        </is>
      </c>
      <c r="B236" s="1" t="n">
        <v>44874.50152777778</v>
      </c>
      <c r="C236" s="1" t="n">
        <v>46132</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35976-2024</t>
        </is>
      </c>
      <c r="B237" s="1" t="n">
        <v>45533.49555555556</v>
      </c>
      <c r="C237" s="1" t="n">
        <v>46132</v>
      </c>
      <c r="D237" t="inlineStr">
        <is>
          <t>VÄSTMANLANDS LÄN</t>
        </is>
      </c>
      <c r="E237" t="inlineStr">
        <is>
          <t>SALA</t>
        </is>
      </c>
      <c r="G237" t="n">
        <v>2.3</v>
      </c>
      <c r="H237" t="n">
        <v>0</v>
      </c>
      <c r="I237" t="n">
        <v>0</v>
      </c>
      <c r="J237" t="n">
        <v>0</v>
      </c>
      <c r="K237" t="n">
        <v>0</v>
      </c>
      <c r="L237" t="n">
        <v>0</v>
      </c>
      <c r="M237" t="n">
        <v>0</v>
      </c>
      <c r="N237" t="n">
        <v>0</v>
      </c>
      <c r="O237" t="n">
        <v>0</v>
      </c>
      <c r="P237" t="n">
        <v>0</v>
      </c>
      <c r="Q237" t="n">
        <v>0</v>
      </c>
      <c r="R237" s="2" t="inlineStr"/>
    </row>
    <row r="238" ht="15" customHeight="1">
      <c r="A238" t="inlineStr">
        <is>
          <t>A 24169-2025</t>
        </is>
      </c>
      <c r="B238" s="1" t="n">
        <v>45796</v>
      </c>
      <c r="C238" s="1" t="n">
        <v>46132</v>
      </c>
      <c r="D238" t="inlineStr">
        <is>
          <t>VÄSTMANLANDS LÄN</t>
        </is>
      </c>
      <c r="E238" t="inlineStr">
        <is>
          <t>SALA</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22126-2025</t>
        </is>
      </c>
      <c r="B239" s="1" t="n">
        <v>45785</v>
      </c>
      <c r="C239" s="1" t="n">
        <v>46132</v>
      </c>
      <c r="D239" t="inlineStr">
        <is>
          <t>VÄSTMANLANDS LÄN</t>
        </is>
      </c>
      <c r="E239" t="inlineStr">
        <is>
          <t>SALA</t>
        </is>
      </c>
      <c r="G239" t="n">
        <v>10.6</v>
      </c>
      <c r="H239" t="n">
        <v>0</v>
      </c>
      <c r="I239" t="n">
        <v>0</v>
      </c>
      <c r="J239" t="n">
        <v>0</v>
      </c>
      <c r="K239" t="n">
        <v>0</v>
      </c>
      <c r="L239" t="n">
        <v>0</v>
      </c>
      <c r="M239" t="n">
        <v>0</v>
      </c>
      <c r="N239" t="n">
        <v>0</v>
      </c>
      <c r="O239" t="n">
        <v>0</v>
      </c>
      <c r="P239" t="n">
        <v>0</v>
      </c>
      <c r="Q239" t="n">
        <v>0</v>
      </c>
      <c r="R239" s="2" t="inlineStr"/>
    </row>
    <row r="240" ht="15" customHeight="1">
      <c r="A240" t="inlineStr">
        <is>
          <t>A 23810-2025</t>
        </is>
      </c>
      <c r="B240" s="1" t="n">
        <v>45793.56989583333</v>
      </c>
      <c r="C240" s="1" t="n">
        <v>46132</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40556-2025</t>
        </is>
      </c>
      <c r="B241" s="1" t="n">
        <v>45896.44944444444</v>
      </c>
      <c r="C241" s="1" t="n">
        <v>46132</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40559-2025</t>
        </is>
      </c>
      <c r="B242" s="1" t="n">
        <v>45896.45037037037</v>
      </c>
      <c r="C242" s="1" t="n">
        <v>46132</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24944-2023</t>
        </is>
      </c>
      <c r="B243" s="1" t="n">
        <v>45085</v>
      </c>
      <c r="C243" s="1" t="n">
        <v>46132</v>
      </c>
      <c r="D243" t="inlineStr">
        <is>
          <t>VÄSTMANLANDS LÄN</t>
        </is>
      </c>
      <c r="E243" t="inlineStr">
        <is>
          <t>SALA</t>
        </is>
      </c>
      <c r="G243" t="n">
        <v>3.8</v>
      </c>
      <c r="H243" t="n">
        <v>0</v>
      </c>
      <c r="I243" t="n">
        <v>0</v>
      </c>
      <c r="J243" t="n">
        <v>0</v>
      </c>
      <c r="K243" t="n">
        <v>0</v>
      </c>
      <c r="L243" t="n">
        <v>0</v>
      </c>
      <c r="M243" t="n">
        <v>0</v>
      </c>
      <c r="N243" t="n">
        <v>0</v>
      </c>
      <c r="O243" t="n">
        <v>0</v>
      </c>
      <c r="P243" t="n">
        <v>0</v>
      </c>
      <c r="Q243" t="n">
        <v>0</v>
      </c>
      <c r="R243" s="2" t="inlineStr"/>
    </row>
    <row r="244" ht="15" customHeight="1">
      <c r="A244" t="inlineStr">
        <is>
          <t>A 40620-2025</t>
        </is>
      </c>
      <c r="B244" s="1" t="n">
        <v>45896.58609953704</v>
      </c>
      <c r="C244" s="1" t="n">
        <v>46132</v>
      </c>
      <c r="D244" t="inlineStr">
        <is>
          <t>VÄSTMANLANDS LÄN</t>
        </is>
      </c>
      <c r="E244" t="inlineStr">
        <is>
          <t>SALA</t>
        </is>
      </c>
      <c r="G244" t="n">
        <v>6.7</v>
      </c>
      <c r="H244" t="n">
        <v>0</v>
      </c>
      <c r="I244" t="n">
        <v>0</v>
      </c>
      <c r="J244" t="n">
        <v>0</v>
      </c>
      <c r="K244" t="n">
        <v>0</v>
      </c>
      <c r="L244" t="n">
        <v>0</v>
      </c>
      <c r="M244" t="n">
        <v>0</v>
      </c>
      <c r="N244" t="n">
        <v>0</v>
      </c>
      <c r="O244" t="n">
        <v>0</v>
      </c>
      <c r="P244" t="n">
        <v>0</v>
      </c>
      <c r="Q244" t="n">
        <v>0</v>
      </c>
      <c r="R244" s="2" t="inlineStr"/>
    </row>
    <row r="245" ht="15" customHeight="1">
      <c r="A245" t="inlineStr">
        <is>
          <t>A 23804-2025</t>
        </is>
      </c>
      <c r="B245" s="1" t="n">
        <v>45793.55995370371</v>
      </c>
      <c r="C245" s="1" t="n">
        <v>46132</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11210-2025</t>
        </is>
      </c>
      <c r="B246" s="1" t="n">
        <v>45726</v>
      </c>
      <c r="C246" s="1" t="n">
        <v>46132</v>
      </c>
      <c r="D246" t="inlineStr">
        <is>
          <t>VÄSTMANLANDS LÄN</t>
        </is>
      </c>
      <c r="E246" t="inlineStr">
        <is>
          <t>SALA</t>
        </is>
      </c>
      <c r="G246" t="n">
        <v>4.1</v>
      </c>
      <c r="H246" t="n">
        <v>0</v>
      </c>
      <c r="I246" t="n">
        <v>0</v>
      </c>
      <c r="J246" t="n">
        <v>0</v>
      </c>
      <c r="K246" t="n">
        <v>0</v>
      </c>
      <c r="L246" t="n">
        <v>0</v>
      </c>
      <c r="M246" t="n">
        <v>0</v>
      </c>
      <c r="N246" t="n">
        <v>0</v>
      </c>
      <c r="O246" t="n">
        <v>0</v>
      </c>
      <c r="P246" t="n">
        <v>0</v>
      </c>
      <c r="Q246" t="n">
        <v>0</v>
      </c>
      <c r="R246" s="2" t="inlineStr"/>
    </row>
    <row r="247" ht="15" customHeight="1">
      <c r="A247" t="inlineStr">
        <is>
          <t>A 19297-2025</t>
        </is>
      </c>
      <c r="B247" s="1" t="n">
        <v>45769.56261574074</v>
      </c>
      <c r="C247" s="1" t="n">
        <v>46132</v>
      </c>
      <c r="D247" t="inlineStr">
        <is>
          <t>VÄSTMANLANDS LÄN</t>
        </is>
      </c>
      <c r="E247" t="inlineStr">
        <is>
          <t>SALA</t>
        </is>
      </c>
      <c r="G247" t="n">
        <v>0.8</v>
      </c>
      <c r="H247" t="n">
        <v>0</v>
      </c>
      <c r="I247" t="n">
        <v>0</v>
      </c>
      <c r="J247" t="n">
        <v>0</v>
      </c>
      <c r="K247" t="n">
        <v>0</v>
      </c>
      <c r="L247" t="n">
        <v>0</v>
      </c>
      <c r="M247" t="n">
        <v>0</v>
      </c>
      <c r="N247" t="n">
        <v>0</v>
      </c>
      <c r="O247" t="n">
        <v>0</v>
      </c>
      <c r="P247" t="n">
        <v>0</v>
      </c>
      <c r="Q247" t="n">
        <v>0</v>
      </c>
      <c r="R247" s="2" t="inlineStr"/>
    </row>
    <row r="248" ht="15" customHeight="1">
      <c r="A248" t="inlineStr">
        <is>
          <t>A 71471-2021</t>
        </is>
      </c>
      <c r="B248" s="1" t="n">
        <v>44540.53421296296</v>
      </c>
      <c r="C248" s="1" t="n">
        <v>46132</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8775-2024</t>
        </is>
      </c>
      <c r="B249" s="1" t="n">
        <v>45356</v>
      </c>
      <c r="C249" s="1" t="n">
        <v>46132</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24460-2025</t>
        </is>
      </c>
      <c r="B250" s="1" t="n">
        <v>45798</v>
      </c>
      <c r="C250" s="1" t="n">
        <v>46132</v>
      </c>
      <c r="D250" t="inlineStr">
        <is>
          <t>VÄSTMANLANDS LÄN</t>
        </is>
      </c>
      <c r="E250" t="inlineStr">
        <is>
          <t>SALA</t>
        </is>
      </c>
      <c r="F250" t="inlineStr">
        <is>
          <t>Bergvik skog öst AB</t>
        </is>
      </c>
      <c r="G250" t="n">
        <v>2.6</v>
      </c>
      <c r="H250" t="n">
        <v>0</v>
      </c>
      <c r="I250" t="n">
        <v>0</v>
      </c>
      <c r="J250" t="n">
        <v>0</v>
      </c>
      <c r="K250" t="n">
        <v>0</v>
      </c>
      <c r="L250" t="n">
        <v>0</v>
      </c>
      <c r="M250" t="n">
        <v>0</v>
      </c>
      <c r="N250" t="n">
        <v>0</v>
      </c>
      <c r="O250" t="n">
        <v>0</v>
      </c>
      <c r="P250" t="n">
        <v>0</v>
      </c>
      <c r="Q250" t="n">
        <v>0</v>
      </c>
      <c r="R250" s="2" t="inlineStr"/>
    </row>
    <row r="251" ht="15" customHeight="1">
      <c r="A251" t="inlineStr">
        <is>
          <t>A 41230-2025</t>
        </is>
      </c>
      <c r="B251" s="1" t="n">
        <v>45898</v>
      </c>
      <c r="C251" s="1" t="n">
        <v>46132</v>
      </c>
      <c r="D251" t="inlineStr">
        <is>
          <t>VÄSTMANLANDS LÄN</t>
        </is>
      </c>
      <c r="E251" t="inlineStr">
        <is>
          <t>SALA</t>
        </is>
      </c>
      <c r="G251" t="n">
        <v>2.3</v>
      </c>
      <c r="H251" t="n">
        <v>0</v>
      </c>
      <c r="I251" t="n">
        <v>0</v>
      </c>
      <c r="J251" t="n">
        <v>0</v>
      </c>
      <c r="K251" t="n">
        <v>0</v>
      </c>
      <c r="L251" t="n">
        <v>0</v>
      </c>
      <c r="M251" t="n">
        <v>0</v>
      </c>
      <c r="N251" t="n">
        <v>0</v>
      </c>
      <c r="O251" t="n">
        <v>0</v>
      </c>
      <c r="P251" t="n">
        <v>0</v>
      </c>
      <c r="Q251" t="n">
        <v>0</v>
      </c>
      <c r="R251" s="2" t="inlineStr"/>
    </row>
    <row r="252" ht="15" customHeight="1">
      <c r="A252" t="inlineStr">
        <is>
          <t>A 39011-2023</t>
        </is>
      </c>
      <c r="B252" s="1" t="n">
        <v>45162</v>
      </c>
      <c r="C252" s="1" t="n">
        <v>46132</v>
      </c>
      <c r="D252" t="inlineStr">
        <is>
          <t>VÄSTMANLANDS LÄN</t>
        </is>
      </c>
      <c r="E252" t="inlineStr">
        <is>
          <t>SALA</t>
        </is>
      </c>
      <c r="G252" t="n">
        <v>1.6</v>
      </c>
      <c r="H252" t="n">
        <v>0</v>
      </c>
      <c r="I252" t="n">
        <v>0</v>
      </c>
      <c r="J252" t="n">
        <v>0</v>
      </c>
      <c r="K252" t="n">
        <v>0</v>
      </c>
      <c r="L252" t="n">
        <v>0</v>
      </c>
      <c r="M252" t="n">
        <v>0</v>
      </c>
      <c r="N252" t="n">
        <v>0</v>
      </c>
      <c r="O252" t="n">
        <v>0</v>
      </c>
      <c r="P252" t="n">
        <v>0</v>
      </c>
      <c r="Q252" t="n">
        <v>0</v>
      </c>
      <c r="R252" s="2" t="inlineStr"/>
    </row>
    <row r="253" ht="15" customHeight="1">
      <c r="A253" t="inlineStr">
        <is>
          <t>A 56547-2022</t>
        </is>
      </c>
      <c r="B253" s="1" t="n">
        <v>44893.48284722222</v>
      </c>
      <c r="C253" s="1" t="n">
        <v>46132</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55065-2024</t>
        </is>
      </c>
      <c r="B254" s="1" t="n">
        <v>45618</v>
      </c>
      <c r="C254" s="1" t="n">
        <v>46132</v>
      </c>
      <c r="D254" t="inlineStr">
        <is>
          <t>VÄSTMANLANDS LÄN</t>
        </is>
      </c>
      <c r="E254" t="inlineStr">
        <is>
          <t>SALA</t>
        </is>
      </c>
      <c r="G254" t="n">
        <v>3.5</v>
      </c>
      <c r="H254" t="n">
        <v>0</v>
      </c>
      <c r="I254" t="n">
        <v>0</v>
      </c>
      <c r="J254" t="n">
        <v>0</v>
      </c>
      <c r="K254" t="n">
        <v>0</v>
      </c>
      <c r="L254" t="n">
        <v>0</v>
      </c>
      <c r="M254" t="n">
        <v>0</v>
      </c>
      <c r="N254" t="n">
        <v>0</v>
      </c>
      <c r="O254" t="n">
        <v>0</v>
      </c>
      <c r="P254" t="n">
        <v>0</v>
      </c>
      <c r="Q254" t="n">
        <v>0</v>
      </c>
      <c r="R254" s="2" t="inlineStr"/>
    </row>
    <row r="255" ht="15" customHeight="1">
      <c r="A255" t="inlineStr">
        <is>
          <t>A 24463-2025</t>
        </is>
      </c>
      <c r="B255" s="1" t="n">
        <v>45798</v>
      </c>
      <c r="C255" s="1" t="n">
        <v>46132</v>
      </c>
      <c r="D255" t="inlineStr">
        <is>
          <t>VÄSTMANLANDS LÄN</t>
        </is>
      </c>
      <c r="E255" t="inlineStr">
        <is>
          <t>SALA</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41431-2025</t>
        </is>
      </c>
      <c r="B256" s="1" t="n">
        <v>45901.39347222223</v>
      </c>
      <c r="C256" s="1" t="n">
        <v>46132</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56916-2022</t>
        </is>
      </c>
      <c r="B257" s="1" t="n">
        <v>44888</v>
      </c>
      <c r="C257" s="1" t="n">
        <v>46132</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41414-2025</t>
        </is>
      </c>
      <c r="B258" s="1" t="n">
        <v>45901.360625</v>
      </c>
      <c r="C258" s="1" t="n">
        <v>46132</v>
      </c>
      <c r="D258" t="inlineStr">
        <is>
          <t>VÄSTMANLANDS LÄN</t>
        </is>
      </c>
      <c r="E258" t="inlineStr">
        <is>
          <t>SALA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53164-2024</t>
        </is>
      </c>
      <c r="B259" s="1" t="n">
        <v>45611.64887731482</v>
      </c>
      <c r="C259" s="1" t="n">
        <v>46132</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61717-2024</t>
        </is>
      </c>
      <c r="B260" s="1" t="n">
        <v>45648</v>
      </c>
      <c r="C260" s="1" t="n">
        <v>46132</v>
      </c>
      <c r="D260" t="inlineStr">
        <is>
          <t>VÄSTMANLANDS LÄN</t>
        </is>
      </c>
      <c r="E260" t="inlineStr">
        <is>
          <t>SALA</t>
        </is>
      </c>
      <c r="G260" t="n">
        <v>3.7</v>
      </c>
      <c r="H260" t="n">
        <v>0</v>
      </c>
      <c r="I260" t="n">
        <v>0</v>
      </c>
      <c r="J260" t="n">
        <v>0</v>
      </c>
      <c r="K260" t="n">
        <v>0</v>
      </c>
      <c r="L260" t="n">
        <v>0</v>
      </c>
      <c r="M260" t="n">
        <v>0</v>
      </c>
      <c r="N260" t="n">
        <v>0</v>
      </c>
      <c r="O260" t="n">
        <v>0</v>
      </c>
      <c r="P260" t="n">
        <v>0</v>
      </c>
      <c r="Q260" t="n">
        <v>0</v>
      </c>
      <c r="R260" s="2" t="inlineStr"/>
    </row>
    <row r="261" ht="15" customHeight="1">
      <c r="A261" t="inlineStr">
        <is>
          <t>A 24907-2025</t>
        </is>
      </c>
      <c r="B261" s="1" t="n">
        <v>45799</v>
      </c>
      <c r="C261" s="1" t="n">
        <v>46132</v>
      </c>
      <c r="D261" t="inlineStr">
        <is>
          <t>VÄSTMANLANDS LÄN</t>
        </is>
      </c>
      <c r="E261" t="inlineStr">
        <is>
          <t>SALA</t>
        </is>
      </c>
      <c r="G261" t="n">
        <v>3.5</v>
      </c>
      <c r="H261" t="n">
        <v>0</v>
      </c>
      <c r="I261" t="n">
        <v>0</v>
      </c>
      <c r="J261" t="n">
        <v>0</v>
      </c>
      <c r="K261" t="n">
        <v>0</v>
      </c>
      <c r="L261" t="n">
        <v>0</v>
      </c>
      <c r="M261" t="n">
        <v>0</v>
      </c>
      <c r="N261" t="n">
        <v>0</v>
      </c>
      <c r="O261" t="n">
        <v>0</v>
      </c>
      <c r="P261" t="n">
        <v>0</v>
      </c>
      <c r="Q261" t="n">
        <v>0</v>
      </c>
      <c r="R261" s="2" t="inlineStr"/>
    </row>
    <row r="262" ht="15" customHeight="1">
      <c r="A262" t="inlineStr">
        <is>
          <t>A 24910-2025</t>
        </is>
      </c>
      <c r="B262" s="1" t="n">
        <v>45799.53775462963</v>
      </c>
      <c r="C262" s="1" t="n">
        <v>46132</v>
      </c>
      <c r="D262" t="inlineStr">
        <is>
          <t>VÄSTMANLANDS LÄN</t>
        </is>
      </c>
      <c r="E262" t="inlineStr">
        <is>
          <t>SALA</t>
        </is>
      </c>
      <c r="G262" t="n">
        <v>3.5</v>
      </c>
      <c r="H262" t="n">
        <v>0</v>
      </c>
      <c r="I262" t="n">
        <v>0</v>
      </c>
      <c r="J262" t="n">
        <v>0</v>
      </c>
      <c r="K262" t="n">
        <v>0</v>
      </c>
      <c r="L262" t="n">
        <v>0</v>
      </c>
      <c r="M262" t="n">
        <v>0</v>
      </c>
      <c r="N262" t="n">
        <v>0</v>
      </c>
      <c r="O262" t="n">
        <v>0</v>
      </c>
      <c r="P262" t="n">
        <v>0</v>
      </c>
      <c r="Q262" t="n">
        <v>0</v>
      </c>
      <c r="R262" s="2" t="inlineStr"/>
    </row>
    <row r="263" ht="15" customHeight="1">
      <c r="A263" t="inlineStr">
        <is>
          <t>A 10909-2024</t>
        </is>
      </c>
      <c r="B263" s="1" t="n">
        <v>45370</v>
      </c>
      <c r="C263" s="1" t="n">
        <v>46132</v>
      </c>
      <c r="D263" t="inlineStr">
        <is>
          <t>VÄSTMANLANDS LÄN</t>
        </is>
      </c>
      <c r="E263" t="inlineStr">
        <is>
          <t>SALA</t>
        </is>
      </c>
      <c r="G263" t="n">
        <v>3.3</v>
      </c>
      <c r="H263" t="n">
        <v>0</v>
      </c>
      <c r="I263" t="n">
        <v>0</v>
      </c>
      <c r="J263" t="n">
        <v>0</v>
      </c>
      <c r="K263" t="n">
        <v>0</v>
      </c>
      <c r="L263" t="n">
        <v>0</v>
      </c>
      <c r="M263" t="n">
        <v>0</v>
      </c>
      <c r="N263" t="n">
        <v>0</v>
      </c>
      <c r="O263" t="n">
        <v>0</v>
      </c>
      <c r="P263" t="n">
        <v>0</v>
      </c>
      <c r="Q263" t="n">
        <v>0</v>
      </c>
      <c r="R263" s="2" t="inlineStr"/>
    </row>
    <row r="264" ht="15" customHeight="1">
      <c r="A264" t="inlineStr">
        <is>
          <t>A 45313-2024</t>
        </is>
      </c>
      <c r="B264" s="1" t="n">
        <v>45576</v>
      </c>
      <c r="C264" s="1" t="n">
        <v>46132</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21968-2024</t>
        </is>
      </c>
      <c r="B265" s="1" t="n">
        <v>45443</v>
      </c>
      <c r="C265" s="1" t="n">
        <v>46132</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56535-2022</t>
        </is>
      </c>
      <c r="B266" s="1" t="n">
        <v>44893.47173611111</v>
      </c>
      <c r="C266" s="1" t="n">
        <v>46132</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47909-2022</t>
        </is>
      </c>
      <c r="B267" s="1" t="n">
        <v>44855</v>
      </c>
      <c r="C267" s="1" t="n">
        <v>46132</v>
      </c>
      <c r="D267" t="inlineStr">
        <is>
          <t>VÄSTMANLANDS LÄN</t>
        </is>
      </c>
      <c r="E267" t="inlineStr">
        <is>
          <t>SALA</t>
        </is>
      </c>
      <c r="F267" t="inlineStr">
        <is>
          <t>Bergvik skog öst AB</t>
        </is>
      </c>
      <c r="G267" t="n">
        <v>2</v>
      </c>
      <c r="H267" t="n">
        <v>0</v>
      </c>
      <c r="I267" t="n">
        <v>0</v>
      </c>
      <c r="J267" t="n">
        <v>0</v>
      </c>
      <c r="K267" t="n">
        <v>0</v>
      </c>
      <c r="L267" t="n">
        <v>0</v>
      </c>
      <c r="M267" t="n">
        <v>0</v>
      </c>
      <c r="N267" t="n">
        <v>0</v>
      </c>
      <c r="O267" t="n">
        <v>0</v>
      </c>
      <c r="P267" t="n">
        <v>0</v>
      </c>
      <c r="Q267" t="n">
        <v>0</v>
      </c>
      <c r="R267" s="2" t="inlineStr"/>
    </row>
    <row r="268" ht="15" customHeight="1">
      <c r="A268" t="inlineStr">
        <is>
          <t>A 52630-2022</t>
        </is>
      </c>
      <c r="B268" s="1" t="n">
        <v>44874</v>
      </c>
      <c r="C268" s="1" t="n">
        <v>46132</v>
      </c>
      <c r="D268" t="inlineStr">
        <is>
          <t>VÄSTMANLANDS LÄN</t>
        </is>
      </c>
      <c r="E268" t="inlineStr">
        <is>
          <t>SALA</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56687-2024</t>
        </is>
      </c>
      <c r="B269" s="1" t="n">
        <v>45627.63271990741</v>
      </c>
      <c r="C269" s="1" t="n">
        <v>46132</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61715-2024</t>
        </is>
      </c>
      <c r="B270" s="1" t="n">
        <v>45648.89519675926</v>
      </c>
      <c r="C270" s="1" t="n">
        <v>46132</v>
      </c>
      <c r="D270" t="inlineStr">
        <is>
          <t>VÄSTMANLANDS LÄN</t>
        </is>
      </c>
      <c r="E270" t="inlineStr">
        <is>
          <t>SALA</t>
        </is>
      </c>
      <c r="G270" t="n">
        <v>2.5</v>
      </c>
      <c r="H270" t="n">
        <v>0</v>
      </c>
      <c r="I270" t="n">
        <v>0</v>
      </c>
      <c r="J270" t="n">
        <v>0</v>
      </c>
      <c r="K270" t="n">
        <v>0</v>
      </c>
      <c r="L270" t="n">
        <v>0</v>
      </c>
      <c r="M270" t="n">
        <v>0</v>
      </c>
      <c r="N270" t="n">
        <v>0</v>
      </c>
      <c r="O270" t="n">
        <v>0</v>
      </c>
      <c r="P270" t="n">
        <v>0</v>
      </c>
      <c r="Q270" t="n">
        <v>0</v>
      </c>
      <c r="R270" s="2" t="inlineStr"/>
    </row>
    <row r="271" ht="15" customHeight="1">
      <c r="A271" t="inlineStr">
        <is>
          <t>A 42421-2025</t>
        </is>
      </c>
      <c r="B271" s="1" t="n">
        <v>45905.40067129629</v>
      </c>
      <c r="C271" s="1" t="n">
        <v>46132</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43028-2025</t>
        </is>
      </c>
      <c r="B272" s="1" t="n">
        <v>45909.53472222222</v>
      </c>
      <c r="C272" s="1" t="n">
        <v>46132</v>
      </c>
      <c r="D272" t="inlineStr">
        <is>
          <t>VÄSTMANLANDS LÄN</t>
        </is>
      </c>
      <c r="E272" t="inlineStr">
        <is>
          <t>SALA</t>
        </is>
      </c>
      <c r="G272" t="n">
        <v>3.8</v>
      </c>
      <c r="H272" t="n">
        <v>0</v>
      </c>
      <c r="I272" t="n">
        <v>0</v>
      </c>
      <c r="J272" t="n">
        <v>0</v>
      </c>
      <c r="K272" t="n">
        <v>0</v>
      </c>
      <c r="L272" t="n">
        <v>0</v>
      </c>
      <c r="M272" t="n">
        <v>0</v>
      </c>
      <c r="N272" t="n">
        <v>0</v>
      </c>
      <c r="O272" t="n">
        <v>0</v>
      </c>
      <c r="P272" t="n">
        <v>0</v>
      </c>
      <c r="Q272" t="n">
        <v>0</v>
      </c>
      <c r="R272" s="2" t="inlineStr"/>
    </row>
    <row r="273" ht="15" customHeight="1">
      <c r="A273" t="inlineStr">
        <is>
          <t>A 43328-2025</t>
        </is>
      </c>
      <c r="B273" s="1" t="n">
        <v>45910</v>
      </c>
      <c r="C273" s="1" t="n">
        <v>46132</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16404-2022</t>
        </is>
      </c>
      <c r="B274" s="1" t="n">
        <v>44671</v>
      </c>
      <c r="C274" s="1" t="n">
        <v>46132</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53744-2025</t>
        </is>
      </c>
      <c r="B275" s="1" t="n">
        <v>45960.64863425926</v>
      </c>
      <c r="C275" s="1" t="n">
        <v>46132</v>
      </c>
      <c r="D275" t="inlineStr">
        <is>
          <t>VÄSTMANLANDS LÄN</t>
        </is>
      </c>
      <c r="E275" t="inlineStr">
        <is>
          <t>SALA</t>
        </is>
      </c>
      <c r="G275" t="n">
        <v>2</v>
      </c>
      <c r="H275" t="n">
        <v>0</v>
      </c>
      <c r="I275" t="n">
        <v>0</v>
      </c>
      <c r="J275" t="n">
        <v>0</v>
      </c>
      <c r="K275" t="n">
        <v>0</v>
      </c>
      <c r="L275" t="n">
        <v>0</v>
      </c>
      <c r="M275" t="n">
        <v>0</v>
      </c>
      <c r="N275" t="n">
        <v>0</v>
      </c>
      <c r="O275" t="n">
        <v>0</v>
      </c>
      <c r="P275" t="n">
        <v>0</v>
      </c>
      <c r="Q275" t="n">
        <v>0</v>
      </c>
      <c r="R275" s="2" t="inlineStr"/>
    </row>
    <row r="276" ht="15" customHeight="1">
      <c r="A276" t="inlineStr">
        <is>
          <t>A 43031-2025</t>
        </is>
      </c>
      <c r="B276" s="1" t="n">
        <v>45909.53856481481</v>
      </c>
      <c r="C276" s="1" t="n">
        <v>46132</v>
      </c>
      <c r="D276" t="inlineStr">
        <is>
          <t>VÄSTMANLANDS LÄN</t>
        </is>
      </c>
      <c r="E276" t="inlineStr">
        <is>
          <t>SALA</t>
        </is>
      </c>
      <c r="G276" t="n">
        <v>0.2</v>
      </c>
      <c r="H276" t="n">
        <v>0</v>
      </c>
      <c r="I276" t="n">
        <v>0</v>
      </c>
      <c r="J276" t="n">
        <v>0</v>
      </c>
      <c r="K276" t="n">
        <v>0</v>
      </c>
      <c r="L276" t="n">
        <v>0</v>
      </c>
      <c r="M276" t="n">
        <v>0</v>
      </c>
      <c r="N276" t="n">
        <v>0</v>
      </c>
      <c r="O276" t="n">
        <v>0</v>
      </c>
      <c r="P276" t="n">
        <v>0</v>
      </c>
      <c r="Q276" t="n">
        <v>0</v>
      </c>
      <c r="R276" s="2" t="inlineStr"/>
    </row>
    <row r="277" ht="15" customHeight="1">
      <c r="A277" t="inlineStr">
        <is>
          <t>A 6097-2022</t>
        </is>
      </c>
      <c r="B277" s="1" t="n">
        <v>44599</v>
      </c>
      <c r="C277" s="1" t="n">
        <v>46132</v>
      </c>
      <c r="D277" t="inlineStr">
        <is>
          <t>VÄSTMANLANDS LÄN</t>
        </is>
      </c>
      <c r="E277" t="inlineStr">
        <is>
          <t>SALA</t>
        </is>
      </c>
      <c r="G277" t="n">
        <v>0.6</v>
      </c>
      <c r="H277" t="n">
        <v>0</v>
      </c>
      <c r="I277" t="n">
        <v>0</v>
      </c>
      <c r="J277" t="n">
        <v>0</v>
      </c>
      <c r="K277" t="n">
        <v>0</v>
      </c>
      <c r="L277" t="n">
        <v>0</v>
      </c>
      <c r="M277" t="n">
        <v>0</v>
      </c>
      <c r="N277" t="n">
        <v>0</v>
      </c>
      <c r="O277" t="n">
        <v>0</v>
      </c>
      <c r="P277" t="n">
        <v>0</v>
      </c>
      <c r="Q277" t="n">
        <v>0</v>
      </c>
      <c r="R277" s="2" t="inlineStr"/>
    </row>
    <row r="278" ht="15" customHeight="1">
      <c r="A278" t="inlineStr">
        <is>
          <t>A 17495-2024</t>
        </is>
      </c>
      <c r="B278" s="1" t="n">
        <v>45415</v>
      </c>
      <c r="C278" s="1" t="n">
        <v>46132</v>
      </c>
      <c r="D278" t="inlineStr">
        <is>
          <t>VÄSTMANLANDS LÄN</t>
        </is>
      </c>
      <c r="E278" t="inlineStr">
        <is>
          <t>SALA</t>
        </is>
      </c>
      <c r="G278" t="n">
        <v>3.1</v>
      </c>
      <c r="H278" t="n">
        <v>0</v>
      </c>
      <c r="I278" t="n">
        <v>0</v>
      </c>
      <c r="J278" t="n">
        <v>0</v>
      </c>
      <c r="K278" t="n">
        <v>0</v>
      </c>
      <c r="L278" t="n">
        <v>0</v>
      </c>
      <c r="M278" t="n">
        <v>0</v>
      </c>
      <c r="N278" t="n">
        <v>0</v>
      </c>
      <c r="O278" t="n">
        <v>0</v>
      </c>
      <c r="P278" t="n">
        <v>0</v>
      </c>
      <c r="Q278" t="n">
        <v>0</v>
      </c>
      <c r="R278" s="2" t="inlineStr"/>
    </row>
    <row r="279" ht="15" customHeight="1">
      <c r="A279" t="inlineStr">
        <is>
          <t>A 37263-2025</t>
        </is>
      </c>
      <c r="B279" s="1" t="n">
        <v>45876.4584837963</v>
      </c>
      <c r="C279" s="1" t="n">
        <v>46132</v>
      </c>
      <c r="D279" t="inlineStr">
        <is>
          <t>VÄSTMANLANDS LÄN</t>
        </is>
      </c>
      <c r="E279" t="inlineStr">
        <is>
          <t>SALA</t>
        </is>
      </c>
      <c r="G279" t="n">
        <v>2.3</v>
      </c>
      <c r="H279" t="n">
        <v>0</v>
      </c>
      <c r="I279" t="n">
        <v>0</v>
      </c>
      <c r="J279" t="n">
        <v>0</v>
      </c>
      <c r="K279" t="n">
        <v>0</v>
      </c>
      <c r="L279" t="n">
        <v>0</v>
      </c>
      <c r="M279" t="n">
        <v>0</v>
      </c>
      <c r="N279" t="n">
        <v>0</v>
      </c>
      <c r="O279" t="n">
        <v>0</v>
      </c>
      <c r="P279" t="n">
        <v>0</v>
      </c>
      <c r="Q279" t="n">
        <v>0</v>
      </c>
      <c r="R279" s="2" t="inlineStr"/>
    </row>
    <row r="280" ht="15" customHeight="1">
      <c r="A280" t="inlineStr">
        <is>
          <t>A 40554-2025</t>
        </is>
      </c>
      <c r="B280" s="1" t="n">
        <v>45896.44506944445</v>
      </c>
      <c r="C280" s="1" t="n">
        <v>46132</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53725-2025</t>
        </is>
      </c>
      <c r="B281" s="1" t="n">
        <v>45960.63394675926</v>
      </c>
      <c r="C281" s="1" t="n">
        <v>46132</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43129-2025</t>
        </is>
      </c>
      <c r="B282" s="1" t="n">
        <v>45909</v>
      </c>
      <c r="C282" s="1" t="n">
        <v>46132</v>
      </c>
      <c r="D282" t="inlineStr">
        <is>
          <t>VÄSTMANLANDS LÄN</t>
        </is>
      </c>
      <c r="E282" t="inlineStr">
        <is>
          <t>SALA</t>
        </is>
      </c>
      <c r="G282" t="n">
        <v>2.4</v>
      </c>
      <c r="H282" t="n">
        <v>0</v>
      </c>
      <c r="I282" t="n">
        <v>0</v>
      </c>
      <c r="J282" t="n">
        <v>0</v>
      </c>
      <c r="K282" t="n">
        <v>0</v>
      </c>
      <c r="L282" t="n">
        <v>0</v>
      </c>
      <c r="M282" t="n">
        <v>0</v>
      </c>
      <c r="N282" t="n">
        <v>0</v>
      </c>
      <c r="O282" t="n">
        <v>0</v>
      </c>
      <c r="P282" t="n">
        <v>0</v>
      </c>
      <c r="Q282" t="n">
        <v>0</v>
      </c>
      <c r="R282" s="2" t="inlineStr"/>
    </row>
    <row r="283" ht="15" customHeight="1">
      <c r="A283" t="inlineStr">
        <is>
          <t>A 43130-2025</t>
        </is>
      </c>
      <c r="B283" s="1" t="n">
        <v>45909</v>
      </c>
      <c r="C283" s="1" t="n">
        <v>46132</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43128-2025</t>
        </is>
      </c>
      <c r="B284" s="1" t="n">
        <v>45909</v>
      </c>
      <c r="C284" s="1" t="n">
        <v>46132</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43127-2025</t>
        </is>
      </c>
      <c r="B285" s="1" t="n">
        <v>45909</v>
      </c>
      <c r="C285" s="1" t="n">
        <v>46132</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10559-2024</t>
        </is>
      </c>
      <c r="B286" s="1" t="n">
        <v>45366</v>
      </c>
      <c r="C286" s="1" t="n">
        <v>46132</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60545-2024</t>
        </is>
      </c>
      <c r="B287" s="1" t="n">
        <v>45643</v>
      </c>
      <c r="C287" s="1" t="n">
        <v>46132</v>
      </c>
      <c r="D287" t="inlineStr">
        <is>
          <t>VÄSTMANLANDS LÄN</t>
        </is>
      </c>
      <c r="E287" t="inlineStr">
        <is>
          <t>SALA</t>
        </is>
      </c>
      <c r="G287" t="n">
        <v>3.3</v>
      </c>
      <c r="H287" t="n">
        <v>0</v>
      </c>
      <c r="I287" t="n">
        <v>0</v>
      </c>
      <c r="J287" t="n">
        <v>0</v>
      </c>
      <c r="K287" t="n">
        <v>0</v>
      </c>
      <c r="L287" t="n">
        <v>0</v>
      </c>
      <c r="M287" t="n">
        <v>0</v>
      </c>
      <c r="N287" t="n">
        <v>0</v>
      </c>
      <c r="O287" t="n">
        <v>0</v>
      </c>
      <c r="P287" t="n">
        <v>0</v>
      </c>
      <c r="Q287" t="n">
        <v>0</v>
      </c>
      <c r="R287" s="2" t="inlineStr"/>
    </row>
    <row r="288" ht="15" customHeight="1">
      <c r="A288" t="inlineStr">
        <is>
          <t>A 60547-2024</t>
        </is>
      </c>
      <c r="B288" s="1" t="n">
        <v>45643</v>
      </c>
      <c r="C288" s="1" t="n">
        <v>46132</v>
      </c>
      <c r="D288" t="inlineStr">
        <is>
          <t>VÄSTMANLANDS LÄN</t>
        </is>
      </c>
      <c r="E288" t="inlineStr">
        <is>
          <t>SALA</t>
        </is>
      </c>
      <c r="G288" t="n">
        <v>0.6</v>
      </c>
      <c r="H288" t="n">
        <v>0</v>
      </c>
      <c r="I288" t="n">
        <v>0</v>
      </c>
      <c r="J288" t="n">
        <v>0</v>
      </c>
      <c r="K288" t="n">
        <v>0</v>
      </c>
      <c r="L288" t="n">
        <v>0</v>
      </c>
      <c r="M288" t="n">
        <v>0</v>
      </c>
      <c r="N288" t="n">
        <v>0</v>
      </c>
      <c r="O288" t="n">
        <v>0</v>
      </c>
      <c r="P288" t="n">
        <v>0</v>
      </c>
      <c r="Q288" t="n">
        <v>0</v>
      </c>
      <c r="R288" s="2" t="inlineStr"/>
    </row>
    <row r="289" ht="15" customHeight="1">
      <c r="A289" t="inlineStr">
        <is>
          <t>A 26661-2025</t>
        </is>
      </c>
      <c r="B289" s="1" t="n">
        <v>45810</v>
      </c>
      <c r="C289" s="1" t="n">
        <v>46132</v>
      </c>
      <c r="D289" t="inlineStr">
        <is>
          <t>VÄSTMANLANDS LÄN</t>
        </is>
      </c>
      <c r="E289" t="inlineStr">
        <is>
          <t>SALA</t>
        </is>
      </c>
      <c r="G289" t="n">
        <v>3.5</v>
      </c>
      <c r="H289" t="n">
        <v>0</v>
      </c>
      <c r="I289" t="n">
        <v>0</v>
      </c>
      <c r="J289" t="n">
        <v>0</v>
      </c>
      <c r="K289" t="n">
        <v>0</v>
      </c>
      <c r="L289" t="n">
        <v>0</v>
      </c>
      <c r="M289" t="n">
        <v>0</v>
      </c>
      <c r="N289" t="n">
        <v>0</v>
      </c>
      <c r="O289" t="n">
        <v>0</v>
      </c>
      <c r="P289" t="n">
        <v>0</v>
      </c>
      <c r="Q289" t="n">
        <v>0</v>
      </c>
      <c r="R289" s="2" t="inlineStr"/>
    </row>
    <row r="290" ht="15" customHeight="1">
      <c r="A290" t="inlineStr">
        <is>
          <t>A 15965-2024</t>
        </is>
      </c>
      <c r="B290" s="1" t="n">
        <v>45405.55740740741</v>
      </c>
      <c r="C290" s="1" t="n">
        <v>46132</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1196-2023</t>
        </is>
      </c>
      <c r="B291" s="1" t="n">
        <v>44935.82290509259</v>
      </c>
      <c r="C291" s="1" t="n">
        <v>46132</v>
      </c>
      <c r="D291" t="inlineStr">
        <is>
          <t>VÄSTMANLANDS LÄN</t>
        </is>
      </c>
      <c r="E291" t="inlineStr">
        <is>
          <t>SALA</t>
        </is>
      </c>
      <c r="G291" t="n">
        <v>4.1</v>
      </c>
      <c r="H291" t="n">
        <v>0</v>
      </c>
      <c r="I291" t="n">
        <v>0</v>
      </c>
      <c r="J291" t="n">
        <v>0</v>
      </c>
      <c r="K291" t="n">
        <v>0</v>
      </c>
      <c r="L291" t="n">
        <v>0</v>
      </c>
      <c r="M291" t="n">
        <v>0</v>
      </c>
      <c r="N291" t="n">
        <v>0</v>
      </c>
      <c r="O291" t="n">
        <v>0</v>
      </c>
      <c r="P291" t="n">
        <v>0</v>
      </c>
      <c r="Q291" t="n">
        <v>0</v>
      </c>
      <c r="R291" s="2" t="inlineStr"/>
    </row>
    <row r="292" ht="15" customHeight="1">
      <c r="A292" t="inlineStr">
        <is>
          <t>A 53724-2025</t>
        </is>
      </c>
      <c r="B292" s="1" t="n">
        <v>45960.63174768518</v>
      </c>
      <c r="C292" s="1" t="n">
        <v>46132</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38636-2024</t>
        </is>
      </c>
      <c r="B293" s="1" t="n">
        <v>45546</v>
      </c>
      <c r="C293" s="1" t="n">
        <v>46132</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54201-2025</t>
        </is>
      </c>
      <c r="B294" s="1" t="n">
        <v>45964.58055555556</v>
      </c>
      <c r="C294" s="1" t="n">
        <v>46132</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44100-2025</t>
        </is>
      </c>
      <c r="B295" s="1" t="n">
        <v>45915.56707175926</v>
      </c>
      <c r="C295" s="1" t="n">
        <v>46132</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54344-2025</t>
        </is>
      </c>
      <c r="B296" s="1" t="n">
        <v>45965.36462962963</v>
      </c>
      <c r="C296" s="1" t="n">
        <v>46132</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44486-2025</t>
        </is>
      </c>
      <c r="B297" s="1" t="n">
        <v>45916.65517361111</v>
      </c>
      <c r="C297" s="1" t="n">
        <v>46132</v>
      </c>
      <c r="D297" t="inlineStr">
        <is>
          <t>VÄSTMANLANDS LÄN</t>
        </is>
      </c>
      <c r="E297" t="inlineStr">
        <is>
          <t>SALA</t>
        </is>
      </c>
      <c r="G297" t="n">
        <v>1.7</v>
      </c>
      <c r="H297" t="n">
        <v>0</v>
      </c>
      <c r="I297" t="n">
        <v>0</v>
      </c>
      <c r="J297" t="n">
        <v>0</v>
      </c>
      <c r="K297" t="n">
        <v>0</v>
      </c>
      <c r="L297" t="n">
        <v>0</v>
      </c>
      <c r="M297" t="n">
        <v>0</v>
      </c>
      <c r="N297" t="n">
        <v>0</v>
      </c>
      <c r="O297" t="n">
        <v>0</v>
      </c>
      <c r="P297" t="n">
        <v>0</v>
      </c>
      <c r="Q297" t="n">
        <v>0</v>
      </c>
      <c r="R297" s="2" t="inlineStr"/>
    </row>
    <row r="298" ht="15" customHeight="1">
      <c r="A298" t="inlineStr">
        <is>
          <t>A 44524-2025</t>
        </is>
      </c>
      <c r="B298" s="1" t="n">
        <v>45916.72920138889</v>
      </c>
      <c r="C298" s="1" t="n">
        <v>46132</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62651-2022</t>
        </is>
      </c>
      <c r="B299" s="1" t="n">
        <v>44917</v>
      </c>
      <c r="C299" s="1" t="n">
        <v>46132</v>
      </c>
      <c r="D299" t="inlineStr">
        <is>
          <t>VÄSTMANLANDS LÄN</t>
        </is>
      </c>
      <c r="E299" t="inlineStr">
        <is>
          <t>SALA</t>
        </is>
      </c>
      <c r="G299" t="n">
        <v>0.4</v>
      </c>
      <c r="H299" t="n">
        <v>0</v>
      </c>
      <c r="I299" t="n">
        <v>0</v>
      </c>
      <c r="J299" t="n">
        <v>0</v>
      </c>
      <c r="K299" t="n">
        <v>0</v>
      </c>
      <c r="L299" t="n">
        <v>0</v>
      </c>
      <c r="M299" t="n">
        <v>0</v>
      </c>
      <c r="N299" t="n">
        <v>0</v>
      </c>
      <c r="O299" t="n">
        <v>0</v>
      </c>
      <c r="P299" t="n">
        <v>0</v>
      </c>
      <c r="Q299" t="n">
        <v>0</v>
      </c>
      <c r="R299" s="2" t="inlineStr"/>
    </row>
    <row r="300" ht="15" customHeight="1">
      <c r="A300" t="inlineStr">
        <is>
          <t>A 54836-2024</t>
        </is>
      </c>
      <c r="B300" s="1" t="n">
        <v>45618</v>
      </c>
      <c r="C300" s="1" t="n">
        <v>46132</v>
      </c>
      <c r="D300" t="inlineStr">
        <is>
          <t>VÄSTMANLANDS LÄN</t>
        </is>
      </c>
      <c r="E300" t="inlineStr">
        <is>
          <t>SALA</t>
        </is>
      </c>
      <c r="G300" t="n">
        <v>0.6</v>
      </c>
      <c r="H300" t="n">
        <v>0</v>
      </c>
      <c r="I300" t="n">
        <v>0</v>
      </c>
      <c r="J300" t="n">
        <v>0</v>
      </c>
      <c r="K300" t="n">
        <v>0</v>
      </c>
      <c r="L300" t="n">
        <v>0</v>
      </c>
      <c r="M300" t="n">
        <v>0</v>
      </c>
      <c r="N300" t="n">
        <v>0</v>
      </c>
      <c r="O300" t="n">
        <v>0</v>
      </c>
      <c r="P300" t="n">
        <v>0</v>
      </c>
      <c r="Q300" t="n">
        <v>0</v>
      </c>
      <c r="R300" s="2" t="inlineStr"/>
    </row>
    <row r="301" ht="15" customHeight="1">
      <c r="A301" t="inlineStr">
        <is>
          <t>A 13987-2023</t>
        </is>
      </c>
      <c r="B301" s="1" t="n">
        <v>45007</v>
      </c>
      <c r="C301" s="1" t="n">
        <v>46132</v>
      </c>
      <c r="D301" t="inlineStr">
        <is>
          <t>VÄSTMANLANDS LÄN</t>
        </is>
      </c>
      <c r="E301" t="inlineStr">
        <is>
          <t>SALA</t>
        </is>
      </c>
      <c r="G301" t="n">
        <v>3.2</v>
      </c>
      <c r="H301" t="n">
        <v>0</v>
      </c>
      <c r="I301" t="n">
        <v>0</v>
      </c>
      <c r="J301" t="n">
        <v>0</v>
      </c>
      <c r="K301" t="n">
        <v>0</v>
      </c>
      <c r="L301" t="n">
        <v>0</v>
      </c>
      <c r="M301" t="n">
        <v>0</v>
      </c>
      <c r="N301" t="n">
        <v>0</v>
      </c>
      <c r="O301" t="n">
        <v>0</v>
      </c>
      <c r="P301" t="n">
        <v>0</v>
      </c>
      <c r="Q301" t="n">
        <v>0</v>
      </c>
      <c r="R301" s="2" t="inlineStr"/>
    </row>
    <row r="302" ht="15" customHeight="1">
      <c r="A302" t="inlineStr">
        <is>
          <t>A 13990-2023</t>
        </is>
      </c>
      <c r="B302" s="1" t="n">
        <v>45007</v>
      </c>
      <c r="C302" s="1" t="n">
        <v>46132</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54590-2025</t>
        </is>
      </c>
      <c r="B303" s="1" t="n">
        <v>45965.74199074074</v>
      </c>
      <c r="C303" s="1" t="n">
        <v>46132</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54893-2025</t>
        </is>
      </c>
      <c r="B304" s="1" t="n">
        <v>45967.36383101852</v>
      </c>
      <c r="C304" s="1" t="n">
        <v>46132</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51464-2024</t>
        </is>
      </c>
      <c r="B305" s="1" t="n">
        <v>45604.49768518518</v>
      </c>
      <c r="C305" s="1" t="n">
        <v>46132</v>
      </c>
      <c r="D305" t="inlineStr">
        <is>
          <t>VÄSTMANLANDS LÄN</t>
        </is>
      </c>
      <c r="E305" t="inlineStr">
        <is>
          <t>SALA</t>
        </is>
      </c>
      <c r="G305" t="n">
        <v>3.9</v>
      </c>
      <c r="H305" t="n">
        <v>0</v>
      </c>
      <c r="I305" t="n">
        <v>0</v>
      </c>
      <c r="J305" t="n">
        <v>0</v>
      </c>
      <c r="K305" t="n">
        <v>0</v>
      </c>
      <c r="L305" t="n">
        <v>0</v>
      </c>
      <c r="M305" t="n">
        <v>0</v>
      </c>
      <c r="N305" t="n">
        <v>0</v>
      </c>
      <c r="O305" t="n">
        <v>0</v>
      </c>
      <c r="P305" t="n">
        <v>0</v>
      </c>
      <c r="Q305" t="n">
        <v>0</v>
      </c>
      <c r="R305" s="2" t="inlineStr"/>
    </row>
    <row r="306" ht="15" customHeight="1">
      <c r="A306" t="inlineStr">
        <is>
          <t>A 43122-2025</t>
        </is>
      </c>
      <c r="B306" s="1" t="n">
        <v>45909</v>
      </c>
      <c r="C306" s="1" t="n">
        <v>46132</v>
      </c>
      <c r="D306" t="inlineStr">
        <is>
          <t>VÄSTMANLANDS LÄN</t>
        </is>
      </c>
      <c r="E306" t="inlineStr">
        <is>
          <t>SALA</t>
        </is>
      </c>
      <c r="G306" t="n">
        <v>3.2</v>
      </c>
      <c r="H306" t="n">
        <v>0</v>
      </c>
      <c r="I306" t="n">
        <v>0</v>
      </c>
      <c r="J306" t="n">
        <v>0</v>
      </c>
      <c r="K306" t="n">
        <v>0</v>
      </c>
      <c r="L306" t="n">
        <v>0</v>
      </c>
      <c r="M306" t="n">
        <v>0</v>
      </c>
      <c r="N306" t="n">
        <v>0</v>
      </c>
      <c r="O306" t="n">
        <v>0</v>
      </c>
      <c r="P306" t="n">
        <v>0</v>
      </c>
      <c r="Q306" t="n">
        <v>0</v>
      </c>
      <c r="R306" s="2" t="inlineStr"/>
    </row>
    <row r="307" ht="15" customHeight="1">
      <c r="A307" t="inlineStr">
        <is>
          <t>A 1128-2025</t>
        </is>
      </c>
      <c r="B307" s="1" t="n">
        <v>45666.68469907407</v>
      </c>
      <c r="C307" s="1" t="n">
        <v>46132</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43176-2023</t>
        </is>
      </c>
      <c r="B308" s="1" t="n">
        <v>45183</v>
      </c>
      <c r="C308" s="1" t="n">
        <v>46132</v>
      </c>
      <c r="D308" t="inlineStr">
        <is>
          <t>VÄSTMANLANDS LÄN</t>
        </is>
      </c>
      <c r="E308" t="inlineStr">
        <is>
          <t>SALA</t>
        </is>
      </c>
      <c r="G308" t="n">
        <v>1.2</v>
      </c>
      <c r="H308" t="n">
        <v>0</v>
      </c>
      <c r="I308" t="n">
        <v>0</v>
      </c>
      <c r="J308" t="n">
        <v>0</v>
      </c>
      <c r="K308" t="n">
        <v>0</v>
      </c>
      <c r="L308" t="n">
        <v>0</v>
      </c>
      <c r="M308" t="n">
        <v>0</v>
      </c>
      <c r="N308" t="n">
        <v>0</v>
      </c>
      <c r="O308" t="n">
        <v>0</v>
      </c>
      <c r="P308" t="n">
        <v>0</v>
      </c>
      <c r="Q308" t="n">
        <v>0</v>
      </c>
      <c r="R308" s="2" t="inlineStr"/>
    </row>
    <row r="309" ht="15" customHeight="1">
      <c r="A309" t="inlineStr">
        <is>
          <t>A 73835-2021</t>
        </is>
      </c>
      <c r="B309" s="1" t="n">
        <v>44552.92112268518</v>
      </c>
      <c r="C309" s="1" t="n">
        <v>46132</v>
      </c>
      <c r="D309" t="inlineStr">
        <is>
          <t>VÄSTMANLANDS LÄN</t>
        </is>
      </c>
      <c r="E309" t="inlineStr">
        <is>
          <t>SALA</t>
        </is>
      </c>
      <c r="G309" t="n">
        <v>2</v>
      </c>
      <c r="H309" t="n">
        <v>0</v>
      </c>
      <c r="I309" t="n">
        <v>0</v>
      </c>
      <c r="J309" t="n">
        <v>0</v>
      </c>
      <c r="K309" t="n">
        <v>0</v>
      </c>
      <c r="L309" t="n">
        <v>0</v>
      </c>
      <c r="M309" t="n">
        <v>0</v>
      </c>
      <c r="N309" t="n">
        <v>0</v>
      </c>
      <c r="O309" t="n">
        <v>0</v>
      </c>
      <c r="P309" t="n">
        <v>0</v>
      </c>
      <c r="Q309" t="n">
        <v>0</v>
      </c>
      <c r="R309" s="2" t="inlineStr"/>
    </row>
    <row r="310" ht="15" customHeight="1">
      <c r="A310" t="inlineStr">
        <is>
          <t>A 60379-2022</t>
        </is>
      </c>
      <c r="B310" s="1" t="n">
        <v>44910</v>
      </c>
      <c r="C310" s="1" t="n">
        <v>46132</v>
      </c>
      <c r="D310" t="inlineStr">
        <is>
          <t>VÄSTMANLANDS LÄN</t>
        </is>
      </c>
      <c r="E310" t="inlineStr">
        <is>
          <t>SALA</t>
        </is>
      </c>
      <c r="F310" t="inlineStr">
        <is>
          <t>Kyrkan</t>
        </is>
      </c>
      <c r="G310" t="n">
        <v>2.5</v>
      </c>
      <c r="H310" t="n">
        <v>0</v>
      </c>
      <c r="I310" t="n">
        <v>0</v>
      </c>
      <c r="J310" t="n">
        <v>0</v>
      </c>
      <c r="K310" t="n">
        <v>0</v>
      </c>
      <c r="L310" t="n">
        <v>0</v>
      </c>
      <c r="M310" t="n">
        <v>0</v>
      </c>
      <c r="N310" t="n">
        <v>0</v>
      </c>
      <c r="O310" t="n">
        <v>0</v>
      </c>
      <c r="P310" t="n">
        <v>0</v>
      </c>
      <c r="Q310" t="n">
        <v>0</v>
      </c>
      <c r="R310" s="2" t="inlineStr"/>
    </row>
    <row r="311" ht="15" customHeight="1">
      <c r="A311" t="inlineStr">
        <is>
          <t>A 1638-2023</t>
        </is>
      </c>
      <c r="B311" s="1" t="n">
        <v>44937</v>
      </c>
      <c r="C311" s="1" t="n">
        <v>46132</v>
      </c>
      <c r="D311" t="inlineStr">
        <is>
          <t>VÄSTMANLANDS LÄN</t>
        </is>
      </c>
      <c r="E311" t="inlineStr">
        <is>
          <t>SALA</t>
        </is>
      </c>
      <c r="G311" t="n">
        <v>3.1</v>
      </c>
      <c r="H311" t="n">
        <v>0</v>
      </c>
      <c r="I311" t="n">
        <v>0</v>
      </c>
      <c r="J311" t="n">
        <v>0</v>
      </c>
      <c r="K311" t="n">
        <v>0</v>
      </c>
      <c r="L311" t="n">
        <v>0</v>
      </c>
      <c r="M311" t="n">
        <v>0</v>
      </c>
      <c r="N311" t="n">
        <v>0</v>
      </c>
      <c r="O311" t="n">
        <v>0</v>
      </c>
      <c r="P311" t="n">
        <v>0</v>
      </c>
      <c r="Q311" t="n">
        <v>0</v>
      </c>
      <c r="R311" s="2" t="inlineStr"/>
    </row>
    <row r="312" ht="15" customHeight="1">
      <c r="A312" t="inlineStr">
        <is>
          <t>A 7953-2024</t>
        </is>
      </c>
      <c r="B312" s="1" t="n">
        <v>45350</v>
      </c>
      <c r="C312" s="1" t="n">
        <v>46132</v>
      </c>
      <c r="D312" t="inlineStr">
        <is>
          <t>VÄSTMANLANDS LÄN</t>
        </is>
      </c>
      <c r="E312" t="inlineStr">
        <is>
          <t>SALA</t>
        </is>
      </c>
      <c r="G312" t="n">
        <v>2.6</v>
      </c>
      <c r="H312" t="n">
        <v>0</v>
      </c>
      <c r="I312" t="n">
        <v>0</v>
      </c>
      <c r="J312" t="n">
        <v>0</v>
      </c>
      <c r="K312" t="n">
        <v>0</v>
      </c>
      <c r="L312" t="n">
        <v>0</v>
      </c>
      <c r="M312" t="n">
        <v>0</v>
      </c>
      <c r="N312" t="n">
        <v>0</v>
      </c>
      <c r="O312" t="n">
        <v>0</v>
      </c>
      <c r="P312" t="n">
        <v>0</v>
      </c>
      <c r="Q312" t="n">
        <v>0</v>
      </c>
      <c r="R312" s="2" t="inlineStr"/>
    </row>
    <row r="313" ht="15" customHeight="1">
      <c r="A313" t="inlineStr">
        <is>
          <t>A 5477-2024</t>
        </is>
      </c>
      <c r="B313" s="1" t="n">
        <v>45333.67833333334</v>
      </c>
      <c r="C313" s="1" t="n">
        <v>46132</v>
      </c>
      <c r="D313" t="inlineStr">
        <is>
          <t>VÄSTMANLANDS LÄN</t>
        </is>
      </c>
      <c r="E313" t="inlineStr">
        <is>
          <t>SALA</t>
        </is>
      </c>
      <c r="G313" t="n">
        <v>2.3</v>
      </c>
      <c r="H313" t="n">
        <v>0</v>
      </c>
      <c r="I313" t="n">
        <v>0</v>
      </c>
      <c r="J313" t="n">
        <v>0</v>
      </c>
      <c r="K313" t="n">
        <v>0</v>
      </c>
      <c r="L313" t="n">
        <v>0</v>
      </c>
      <c r="M313" t="n">
        <v>0</v>
      </c>
      <c r="N313" t="n">
        <v>0</v>
      </c>
      <c r="O313" t="n">
        <v>0</v>
      </c>
      <c r="P313" t="n">
        <v>0</v>
      </c>
      <c r="Q313" t="n">
        <v>0</v>
      </c>
      <c r="R313" s="2" t="inlineStr"/>
    </row>
    <row r="314" ht="15" customHeight="1">
      <c r="A314" t="inlineStr">
        <is>
          <t>A 28193-2025</t>
        </is>
      </c>
      <c r="B314" s="1" t="n">
        <v>45818.425625</v>
      </c>
      <c r="C314" s="1" t="n">
        <v>46132</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27981-2025</t>
        </is>
      </c>
      <c r="B315" s="1" t="n">
        <v>45817.57471064815</v>
      </c>
      <c r="C315" s="1" t="n">
        <v>46132</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19033-2025</t>
        </is>
      </c>
      <c r="B316" s="1" t="n">
        <v>45764.65796296296</v>
      </c>
      <c r="C316" s="1" t="n">
        <v>46132</v>
      </c>
      <c r="D316" t="inlineStr">
        <is>
          <t>VÄSTMANLANDS LÄN</t>
        </is>
      </c>
      <c r="E316" t="inlineStr">
        <is>
          <t>SALA</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45371-2025</t>
        </is>
      </c>
      <c r="B317" s="1" t="n">
        <v>45922.39001157408</v>
      </c>
      <c r="C317" s="1" t="n">
        <v>46132</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28278-2025</t>
        </is>
      </c>
      <c r="B318" s="1" t="n">
        <v>45818.58454861111</v>
      </c>
      <c r="C318" s="1" t="n">
        <v>46132</v>
      </c>
      <c r="D318" t="inlineStr">
        <is>
          <t>VÄSTMANLANDS LÄN</t>
        </is>
      </c>
      <c r="E318" t="inlineStr">
        <is>
          <t>SALA</t>
        </is>
      </c>
      <c r="G318" t="n">
        <v>7.6</v>
      </c>
      <c r="H318" t="n">
        <v>0</v>
      </c>
      <c r="I318" t="n">
        <v>0</v>
      </c>
      <c r="J318" t="n">
        <v>0</v>
      </c>
      <c r="K318" t="n">
        <v>0</v>
      </c>
      <c r="L318" t="n">
        <v>0</v>
      </c>
      <c r="M318" t="n">
        <v>0</v>
      </c>
      <c r="N318" t="n">
        <v>0</v>
      </c>
      <c r="O318" t="n">
        <v>0</v>
      </c>
      <c r="P318" t="n">
        <v>0</v>
      </c>
      <c r="Q318" t="n">
        <v>0</v>
      </c>
      <c r="R318" s="2" t="inlineStr"/>
    </row>
    <row r="319" ht="15" customHeight="1">
      <c r="A319" t="inlineStr">
        <is>
          <t>A 45177-2025</t>
        </is>
      </c>
      <c r="B319" s="1" t="n">
        <v>45919.52444444445</v>
      </c>
      <c r="C319" s="1" t="n">
        <v>46132</v>
      </c>
      <c r="D319" t="inlineStr">
        <is>
          <t>VÄSTMANLANDS LÄN</t>
        </is>
      </c>
      <c r="E319" t="inlineStr">
        <is>
          <t>SALA</t>
        </is>
      </c>
      <c r="G319" t="n">
        <v>2.4</v>
      </c>
      <c r="H319" t="n">
        <v>0</v>
      </c>
      <c r="I319" t="n">
        <v>0</v>
      </c>
      <c r="J319" t="n">
        <v>0</v>
      </c>
      <c r="K319" t="n">
        <v>0</v>
      </c>
      <c r="L319" t="n">
        <v>0</v>
      </c>
      <c r="M319" t="n">
        <v>0</v>
      </c>
      <c r="N319" t="n">
        <v>0</v>
      </c>
      <c r="O319" t="n">
        <v>0</v>
      </c>
      <c r="P319" t="n">
        <v>0</v>
      </c>
      <c r="Q319" t="n">
        <v>0</v>
      </c>
      <c r="R319" s="2" t="inlineStr"/>
    </row>
    <row r="320" ht="15" customHeight="1">
      <c r="A320" t="inlineStr">
        <is>
          <t>A 26507-2023</t>
        </is>
      </c>
      <c r="B320" s="1" t="n">
        <v>45092</v>
      </c>
      <c r="C320" s="1" t="n">
        <v>46132</v>
      </c>
      <c r="D320" t="inlineStr">
        <is>
          <t>VÄSTMANLANDS LÄN</t>
        </is>
      </c>
      <c r="E320" t="inlineStr">
        <is>
          <t>SALA</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6032-2025</t>
        </is>
      </c>
      <c r="B321" s="1" t="n">
        <v>45695.6371875</v>
      </c>
      <c r="C321" s="1" t="n">
        <v>46132</v>
      </c>
      <c r="D321" t="inlineStr">
        <is>
          <t>VÄSTMANLANDS LÄN</t>
        </is>
      </c>
      <c r="E321" t="inlineStr">
        <is>
          <t>SALA</t>
        </is>
      </c>
      <c r="F321" t="inlineStr">
        <is>
          <t>Bergvik skog öst AB</t>
        </is>
      </c>
      <c r="G321" t="n">
        <v>8.1</v>
      </c>
      <c r="H321" t="n">
        <v>0</v>
      </c>
      <c r="I321" t="n">
        <v>0</v>
      </c>
      <c r="J321" t="n">
        <v>0</v>
      </c>
      <c r="K321" t="n">
        <v>0</v>
      </c>
      <c r="L321" t="n">
        <v>0</v>
      </c>
      <c r="M321" t="n">
        <v>0</v>
      </c>
      <c r="N321" t="n">
        <v>0</v>
      </c>
      <c r="O321" t="n">
        <v>0</v>
      </c>
      <c r="P321" t="n">
        <v>0</v>
      </c>
      <c r="Q321" t="n">
        <v>0</v>
      </c>
      <c r="R321" s="2" t="inlineStr"/>
    </row>
    <row r="322" ht="15" customHeight="1">
      <c r="A322" t="inlineStr">
        <is>
          <t>A 27989-2025</t>
        </is>
      </c>
      <c r="B322" s="1" t="n">
        <v>45817.58716435185</v>
      </c>
      <c r="C322" s="1" t="n">
        <v>46132</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28284-2025</t>
        </is>
      </c>
      <c r="B323" s="1" t="n">
        <v>45818.58893518519</v>
      </c>
      <c r="C323" s="1" t="n">
        <v>46132</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34814-2021</t>
        </is>
      </c>
      <c r="B324" s="1" t="n">
        <v>44383</v>
      </c>
      <c r="C324" s="1" t="n">
        <v>46132</v>
      </c>
      <c r="D324" t="inlineStr">
        <is>
          <t>VÄSTMANLANDS LÄN</t>
        </is>
      </c>
      <c r="E324" t="inlineStr">
        <is>
          <t>SALA</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28632-2025</t>
        </is>
      </c>
      <c r="B325" s="1" t="n">
        <v>45819.62344907408</v>
      </c>
      <c r="C325" s="1" t="n">
        <v>46132</v>
      </c>
      <c r="D325" t="inlineStr">
        <is>
          <t>VÄSTMANLANDS LÄN</t>
        </is>
      </c>
      <c r="E325" t="inlineStr">
        <is>
          <t>SALA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54118-2023</t>
        </is>
      </c>
      <c r="B326" s="1" t="n">
        <v>45232</v>
      </c>
      <c r="C326" s="1" t="n">
        <v>46132</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45914-2025</t>
        </is>
      </c>
      <c r="B327" s="1" t="n">
        <v>45923.82582175926</v>
      </c>
      <c r="C327" s="1" t="n">
        <v>46132</v>
      </c>
      <c r="D327" t="inlineStr">
        <is>
          <t>VÄSTMANLANDS LÄN</t>
        </is>
      </c>
      <c r="E327" t="inlineStr">
        <is>
          <t>SALA</t>
        </is>
      </c>
      <c r="F327" t="inlineStr">
        <is>
          <t>Kommuner</t>
        </is>
      </c>
      <c r="G327" t="n">
        <v>18.2</v>
      </c>
      <c r="H327" t="n">
        <v>0</v>
      </c>
      <c r="I327" t="n">
        <v>0</v>
      </c>
      <c r="J327" t="n">
        <v>0</v>
      </c>
      <c r="K327" t="n">
        <v>0</v>
      </c>
      <c r="L327" t="n">
        <v>0</v>
      </c>
      <c r="M327" t="n">
        <v>0</v>
      </c>
      <c r="N327" t="n">
        <v>0</v>
      </c>
      <c r="O327" t="n">
        <v>0</v>
      </c>
      <c r="P327" t="n">
        <v>0</v>
      </c>
      <c r="Q327" t="n">
        <v>0</v>
      </c>
      <c r="R327" s="2" t="inlineStr"/>
    </row>
    <row r="328" ht="15" customHeight="1">
      <c r="A328" t="inlineStr">
        <is>
          <t>A 35462-2024</t>
        </is>
      </c>
      <c r="B328" s="1" t="n">
        <v>45531</v>
      </c>
      <c r="C328" s="1" t="n">
        <v>46132</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45909-2025</t>
        </is>
      </c>
      <c r="B329" s="1" t="n">
        <v>45923.75078703704</v>
      </c>
      <c r="C329" s="1" t="n">
        <v>46132</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28628-2025</t>
        </is>
      </c>
      <c r="B330" s="1" t="n">
        <v>45819.62158564815</v>
      </c>
      <c r="C330" s="1" t="n">
        <v>46132</v>
      </c>
      <c r="D330" t="inlineStr">
        <is>
          <t>VÄSTMANLANDS LÄN</t>
        </is>
      </c>
      <c r="E330" t="inlineStr">
        <is>
          <t>SALA</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28630-2025</t>
        </is>
      </c>
      <c r="B331" s="1" t="n">
        <v>45819.62274305556</v>
      </c>
      <c r="C331" s="1" t="n">
        <v>46132</v>
      </c>
      <c r="D331" t="inlineStr">
        <is>
          <t>VÄSTMANLANDS LÄN</t>
        </is>
      </c>
      <c r="E331" t="inlineStr">
        <is>
          <t>SALA</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46597-2025</t>
        </is>
      </c>
      <c r="B332" s="1" t="n">
        <v>45926.40113425926</v>
      </c>
      <c r="C332" s="1" t="n">
        <v>46132</v>
      </c>
      <c r="D332" t="inlineStr">
        <is>
          <t>VÄSTMANLANDS LÄN</t>
        </is>
      </c>
      <c r="E332" t="inlineStr">
        <is>
          <t>SALA</t>
        </is>
      </c>
      <c r="G332" t="n">
        <v>3.4</v>
      </c>
      <c r="H332" t="n">
        <v>0</v>
      </c>
      <c r="I332" t="n">
        <v>0</v>
      </c>
      <c r="J332" t="n">
        <v>0</v>
      </c>
      <c r="K332" t="n">
        <v>0</v>
      </c>
      <c r="L332" t="n">
        <v>0</v>
      </c>
      <c r="M332" t="n">
        <v>0</v>
      </c>
      <c r="N332" t="n">
        <v>0</v>
      </c>
      <c r="O332" t="n">
        <v>0</v>
      </c>
      <c r="P332" t="n">
        <v>0</v>
      </c>
      <c r="Q332" t="n">
        <v>0</v>
      </c>
      <c r="R332" s="2" t="inlineStr"/>
    </row>
    <row r="333" ht="15" customHeight="1">
      <c r="A333" t="inlineStr">
        <is>
          <t>A 28837-2025</t>
        </is>
      </c>
      <c r="B333" s="1" t="n">
        <v>45820.56243055555</v>
      </c>
      <c r="C333" s="1" t="n">
        <v>46132</v>
      </c>
      <c r="D333" t="inlineStr">
        <is>
          <t>VÄSTMANLANDS LÄN</t>
        </is>
      </c>
      <c r="E333" t="inlineStr">
        <is>
          <t>SALA</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28849-2025</t>
        </is>
      </c>
      <c r="B334" s="1" t="n">
        <v>45820</v>
      </c>
      <c r="C334" s="1" t="n">
        <v>46132</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36393-2023</t>
        </is>
      </c>
      <c r="B335" s="1" t="n">
        <v>45152</v>
      </c>
      <c r="C335" s="1" t="n">
        <v>46132</v>
      </c>
      <c r="D335" t="inlineStr">
        <is>
          <t>VÄSTMANLANDS LÄN</t>
        </is>
      </c>
      <c r="E335" t="inlineStr">
        <is>
          <t>SALA</t>
        </is>
      </c>
      <c r="G335" t="n">
        <v>0.9</v>
      </c>
      <c r="H335" t="n">
        <v>0</v>
      </c>
      <c r="I335" t="n">
        <v>0</v>
      </c>
      <c r="J335" t="n">
        <v>0</v>
      </c>
      <c r="K335" t="n">
        <v>0</v>
      </c>
      <c r="L335" t="n">
        <v>0</v>
      </c>
      <c r="M335" t="n">
        <v>0</v>
      </c>
      <c r="N335" t="n">
        <v>0</v>
      </c>
      <c r="O335" t="n">
        <v>0</v>
      </c>
      <c r="P335" t="n">
        <v>0</v>
      </c>
      <c r="Q335" t="n">
        <v>0</v>
      </c>
      <c r="R335" s="2" t="inlineStr"/>
    </row>
    <row r="336" ht="15" customHeight="1">
      <c r="A336" t="inlineStr">
        <is>
          <t>A 45790-2023</t>
        </is>
      </c>
      <c r="B336" s="1" t="n">
        <v>45195.45958333334</v>
      </c>
      <c r="C336" s="1" t="n">
        <v>46132</v>
      </c>
      <c r="D336" t="inlineStr">
        <is>
          <t>VÄSTMANLANDS LÄN</t>
        </is>
      </c>
      <c r="E336" t="inlineStr">
        <is>
          <t>SALA</t>
        </is>
      </c>
      <c r="G336" t="n">
        <v>5.7</v>
      </c>
      <c r="H336" t="n">
        <v>0</v>
      </c>
      <c r="I336" t="n">
        <v>0</v>
      </c>
      <c r="J336" t="n">
        <v>0</v>
      </c>
      <c r="K336" t="n">
        <v>0</v>
      </c>
      <c r="L336" t="n">
        <v>0</v>
      </c>
      <c r="M336" t="n">
        <v>0</v>
      </c>
      <c r="N336" t="n">
        <v>0</v>
      </c>
      <c r="O336" t="n">
        <v>0</v>
      </c>
      <c r="P336" t="n">
        <v>0</v>
      </c>
      <c r="Q336" t="n">
        <v>0</v>
      </c>
      <c r="R336" s="2" t="inlineStr"/>
    </row>
    <row r="337" ht="15" customHeight="1">
      <c r="A337" t="inlineStr">
        <is>
          <t>A 56949-2023</t>
        </is>
      </c>
      <c r="B337" s="1" t="n">
        <v>45244.61589120371</v>
      </c>
      <c r="C337" s="1" t="n">
        <v>46132</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29085-2025</t>
        </is>
      </c>
      <c r="B338" s="1" t="n">
        <v>45821</v>
      </c>
      <c r="C338" s="1" t="n">
        <v>46132</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60541-2024</t>
        </is>
      </c>
      <c r="B339" s="1" t="n">
        <v>45643</v>
      </c>
      <c r="C339" s="1" t="n">
        <v>46132</v>
      </c>
      <c r="D339" t="inlineStr">
        <is>
          <t>VÄSTMANLANDS LÄN</t>
        </is>
      </c>
      <c r="E339" t="inlineStr">
        <is>
          <t>SALA</t>
        </is>
      </c>
      <c r="G339" t="n">
        <v>10.6</v>
      </c>
      <c r="H339" t="n">
        <v>0</v>
      </c>
      <c r="I339" t="n">
        <v>0</v>
      </c>
      <c r="J339" t="n">
        <v>0</v>
      </c>
      <c r="K339" t="n">
        <v>0</v>
      </c>
      <c r="L339" t="n">
        <v>0</v>
      </c>
      <c r="M339" t="n">
        <v>0</v>
      </c>
      <c r="N339" t="n">
        <v>0</v>
      </c>
      <c r="O339" t="n">
        <v>0</v>
      </c>
      <c r="P339" t="n">
        <v>0</v>
      </c>
      <c r="Q339" t="n">
        <v>0</v>
      </c>
      <c r="R339" s="2" t="inlineStr"/>
    </row>
    <row r="340" ht="15" customHeight="1">
      <c r="A340" t="inlineStr">
        <is>
          <t>A 29826-2025</t>
        </is>
      </c>
      <c r="B340" s="1" t="n">
        <v>45825.85761574074</v>
      </c>
      <c r="C340" s="1" t="n">
        <v>46132</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46661-2025</t>
        </is>
      </c>
      <c r="B341" s="1" t="n">
        <v>45926</v>
      </c>
      <c r="C341" s="1" t="n">
        <v>46132</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40214-2023</t>
        </is>
      </c>
      <c r="B342" s="1" t="n">
        <v>45169.45173611111</v>
      </c>
      <c r="C342" s="1" t="n">
        <v>46132</v>
      </c>
      <c r="D342" t="inlineStr">
        <is>
          <t>VÄSTMANLANDS LÄN</t>
        </is>
      </c>
      <c r="E342" t="inlineStr">
        <is>
          <t>SALA</t>
        </is>
      </c>
      <c r="G342" t="n">
        <v>5.5</v>
      </c>
      <c r="H342" t="n">
        <v>0</v>
      </c>
      <c r="I342" t="n">
        <v>0</v>
      </c>
      <c r="J342" t="n">
        <v>0</v>
      </c>
      <c r="K342" t="n">
        <v>0</v>
      </c>
      <c r="L342" t="n">
        <v>0</v>
      </c>
      <c r="M342" t="n">
        <v>0</v>
      </c>
      <c r="N342" t="n">
        <v>0</v>
      </c>
      <c r="O342" t="n">
        <v>0</v>
      </c>
      <c r="P342" t="n">
        <v>0</v>
      </c>
      <c r="Q342" t="n">
        <v>0</v>
      </c>
      <c r="R342" s="2" t="inlineStr"/>
    </row>
    <row r="343" ht="15" customHeight="1">
      <c r="A343" t="inlineStr">
        <is>
          <t>A 35016-2024</t>
        </is>
      </c>
      <c r="B343" s="1" t="n">
        <v>45527.59115740741</v>
      </c>
      <c r="C343" s="1" t="n">
        <v>46132</v>
      </c>
      <c r="D343" t="inlineStr">
        <is>
          <t>VÄSTMANLANDS LÄN</t>
        </is>
      </c>
      <c r="E343" t="inlineStr">
        <is>
          <t>SALA</t>
        </is>
      </c>
      <c r="G343" t="n">
        <v>0.4</v>
      </c>
      <c r="H343" t="n">
        <v>0</v>
      </c>
      <c r="I343" t="n">
        <v>0</v>
      </c>
      <c r="J343" t="n">
        <v>0</v>
      </c>
      <c r="K343" t="n">
        <v>0</v>
      </c>
      <c r="L343" t="n">
        <v>0</v>
      </c>
      <c r="M343" t="n">
        <v>0</v>
      </c>
      <c r="N343" t="n">
        <v>0</v>
      </c>
      <c r="O343" t="n">
        <v>0</v>
      </c>
      <c r="P343" t="n">
        <v>0</v>
      </c>
      <c r="Q343" t="n">
        <v>0</v>
      </c>
      <c r="R343" s="2" t="inlineStr"/>
    </row>
    <row r="344" ht="15" customHeight="1">
      <c r="A344" t="inlineStr">
        <is>
          <t>A 29691-2025</t>
        </is>
      </c>
      <c r="B344" s="1" t="n">
        <v>45825.53645833334</v>
      </c>
      <c r="C344" s="1" t="n">
        <v>46132</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37612-2024</t>
        </is>
      </c>
      <c r="B345" s="1" t="n">
        <v>45541</v>
      </c>
      <c r="C345" s="1" t="n">
        <v>46132</v>
      </c>
      <c r="D345" t="inlineStr">
        <is>
          <t>VÄSTMANLANDS LÄN</t>
        </is>
      </c>
      <c r="E345" t="inlineStr">
        <is>
          <t>SALA</t>
        </is>
      </c>
      <c r="G345" t="n">
        <v>2.2</v>
      </c>
      <c r="H345" t="n">
        <v>0</v>
      </c>
      <c r="I345" t="n">
        <v>0</v>
      </c>
      <c r="J345" t="n">
        <v>0</v>
      </c>
      <c r="K345" t="n">
        <v>0</v>
      </c>
      <c r="L345" t="n">
        <v>0</v>
      </c>
      <c r="M345" t="n">
        <v>0</v>
      </c>
      <c r="N345" t="n">
        <v>0</v>
      </c>
      <c r="O345" t="n">
        <v>0</v>
      </c>
      <c r="P345" t="n">
        <v>0</v>
      </c>
      <c r="Q345" t="n">
        <v>0</v>
      </c>
      <c r="R345" s="2" t="inlineStr"/>
    </row>
    <row r="346" ht="15" customHeight="1">
      <c r="A346" t="inlineStr">
        <is>
          <t>A 37615-2024</t>
        </is>
      </c>
      <c r="B346" s="1" t="n">
        <v>45541.50673611111</v>
      </c>
      <c r="C346" s="1" t="n">
        <v>46132</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46915-2025</t>
        </is>
      </c>
      <c r="B347" s="1" t="n">
        <v>45929.42114583333</v>
      </c>
      <c r="C347" s="1" t="n">
        <v>46132</v>
      </c>
      <c r="D347" t="inlineStr">
        <is>
          <t>VÄSTMANLANDS LÄN</t>
        </is>
      </c>
      <c r="E347" t="inlineStr">
        <is>
          <t>SALA</t>
        </is>
      </c>
      <c r="G347" t="n">
        <v>1.5</v>
      </c>
      <c r="H347" t="n">
        <v>0</v>
      </c>
      <c r="I347" t="n">
        <v>0</v>
      </c>
      <c r="J347" t="n">
        <v>0</v>
      </c>
      <c r="K347" t="n">
        <v>0</v>
      </c>
      <c r="L347" t="n">
        <v>0</v>
      </c>
      <c r="M347" t="n">
        <v>0</v>
      </c>
      <c r="N347" t="n">
        <v>0</v>
      </c>
      <c r="O347" t="n">
        <v>0</v>
      </c>
      <c r="P347" t="n">
        <v>0</v>
      </c>
      <c r="Q347" t="n">
        <v>0</v>
      </c>
      <c r="R347" s="2" t="inlineStr"/>
    </row>
    <row r="348" ht="15" customHeight="1">
      <c r="A348" t="inlineStr">
        <is>
          <t>A 5728-2022</t>
        </is>
      </c>
      <c r="B348" s="1" t="n">
        <v>44596.42082175926</v>
      </c>
      <c r="C348" s="1" t="n">
        <v>46132</v>
      </c>
      <c r="D348" t="inlineStr">
        <is>
          <t>VÄSTMANLANDS LÄN</t>
        </is>
      </c>
      <c r="E348" t="inlineStr">
        <is>
          <t>SALA</t>
        </is>
      </c>
      <c r="G348" t="n">
        <v>1.7</v>
      </c>
      <c r="H348" t="n">
        <v>0</v>
      </c>
      <c r="I348" t="n">
        <v>0</v>
      </c>
      <c r="J348" t="n">
        <v>0</v>
      </c>
      <c r="K348" t="n">
        <v>0</v>
      </c>
      <c r="L348" t="n">
        <v>0</v>
      </c>
      <c r="M348" t="n">
        <v>0</v>
      </c>
      <c r="N348" t="n">
        <v>0</v>
      </c>
      <c r="O348" t="n">
        <v>0</v>
      </c>
      <c r="P348" t="n">
        <v>0</v>
      </c>
      <c r="Q348" t="n">
        <v>0</v>
      </c>
      <c r="R348" s="2" t="inlineStr"/>
    </row>
    <row r="349" ht="15" customHeight="1">
      <c r="A349" t="inlineStr">
        <is>
          <t>A 19751-2022</t>
        </is>
      </c>
      <c r="B349" s="1" t="n">
        <v>44694</v>
      </c>
      <c r="C349" s="1" t="n">
        <v>46132</v>
      </c>
      <c r="D349" t="inlineStr">
        <is>
          <t>VÄSTMANLANDS LÄN</t>
        </is>
      </c>
      <c r="E349" t="inlineStr">
        <is>
          <t>SALA</t>
        </is>
      </c>
      <c r="G349" t="n">
        <v>2.7</v>
      </c>
      <c r="H349" t="n">
        <v>0</v>
      </c>
      <c r="I349" t="n">
        <v>0</v>
      </c>
      <c r="J349" t="n">
        <v>0</v>
      </c>
      <c r="K349" t="n">
        <v>0</v>
      </c>
      <c r="L349" t="n">
        <v>0</v>
      </c>
      <c r="M349" t="n">
        <v>0</v>
      </c>
      <c r="N349" t="n">
        <v>0</v>
      </c>
      <c r="O349" t="n">
        <v>0</v>
      </c>
      <c r="P349" t="n">
        <v>0</v>
      </c>
      <c r="Q349" t="n">
        <v>0</v>
      </c>
      <c r="R349" s="2" t="inlineStr"/>
    </row>
    <row r="350" ht="15" customHeight="1">
      <c r="A350" t="inlineStr">
        <is>
          <t>A 48057-2025</t>
        </is>
      </c>
      <c r="B350" s="1" t="n">
        <v>45932.67947916667</v>
      </c>
      <c r="C350" s="1" t="n">
        <v>46132</v>
      </c>
      <c r="D350" t="inlineStr">
        <is>
          <t>VÄSTMANLANDS LÄN</t>
        </is>
      </c>
      <c r="E350" t="inlineStr">
        <is>
          <t>SALA</t>
        </is>
      </c>
      <c r="G350" t="n">
        <v>4.3</v>
      </c>
      <c r="H350" t="n">
        <v>0</v>
      </c>
      <c r="I350" t="n">
        <v>0</v>
      </c>
      <c r="J350" t="n">
        <v>0</v>
      </c>
      <c r="K350" t="n">
        <v>0</v>
      </c>
      <c r="L350" t="n">
        <v>0</v>
      </c>
      <c r="M350" t="n">
        <v>0</v>
      </c>
      <c r="N350" t="n">
        <v>0</v>
      </c>
      <c r="O350" t="n">
        <v>0</v>
      </c>
      <c r="P350" t="n">
        <v>0</v>
      </c>
      <c r="Q350" t="n">
        <v>0</v>
      </c>
      <c r="R350" s="2" t="inlineStr"/>
    </row>
    <row r="351" ht="15" customHeight="1">
      <c r="A351" t="inlineStr">
        <is>
          <t>A 47577-2025</t>
        </is>
      </c>
      <c r="B351" s="1" t="n">
        <v>45931.4047337963</v>
      </c>
      <c r="C351" s="1" t="n">
        <v>46132</v>
      </c>
      <c r="D351" t="inlineStr">
        <is>
          <t>VÄSTMANLANDS LÄN</t>
        </is>
      </c>
      <c r="E351" t="inlineStr">
        <is>
          <t>SALA</t>
        </is>
      </c>
      <c r="G351" t="n">
        <v>3.7</v>
      </c>
      <c r="H351" t="n">
        <v>0</v>
      </c>
      <c r="I351" t="n">
        <v>0</v>
      </c>
      <c r="J351" t="n">
        <v>0</v>
      </c>
      <c r="K351" t="n">
        <v>0</v>
      </c>
      <c r="L351" t="n">
        <v>0</v>
      </c>
      <c r="M351" t="n">
        <v>0</v>
      </c>
      <c r="N351" t="n">
        <v>0</v>
      </c>
      <c r="O351" t="n">
        <v>0</v>
      </c>
      <c r="P351" t="n">
        <v>0</v>
      </c>
      <c r="Q351" t="n">
        <v>0</v>
      </c>
      <c r="R351" s="2" t="inlineStr"/>
    </row>
    <row r="352" ht="15" customHeight="1">
      <c r="A352" t="inlineStr">
        <is>
          <t>A 30874-2025</t>
        </is>
      </c>
      <c r="B352" s="1" t="n">
        <v>45832.34430555555</v>
      </c>
      <c r="C352" s="1" t="n">
        <v>46132</v>
      </c>
      <c r="D352" t="inlineStr">
        <is>
          <t>VÄSTMANLANDS LÄN</t>
        </is>
      </c>
      <c r="E352" t="inlineStr">
        <is>
          <t>SALA</t>
        </is>
      </c>
      <c r="G352" t="n">
        <v>8.4</v>
      </c>
      <c r="H352" t="n">
        <v>0</v>
      </c>
      <c r="I352" t="n">
        <v>0</v>
      </c>
      <c r="J352" t="n">
        <v>0</v>
      </c>
      <c r="K352" t="n">
        <v>0</v>
      </c>
      <c r="L352" t="n">
        <v>0</v>
      </c>
      <c r="M352" t="n">
        <v>0</v>
      </c>
      <c r="N352" t="n">
        <v>0</v>
      </c>
      <c r="O352" t="n">
        <v>0</v>
      </c>
      <c r="P352" t="n">
        <v>0</v>
      </c>
      <c r="Q352" t="n">
        <v>0</v>
      </c>
      <c r="R352" s="2" t="inlineStr"/>
    </row>
    <row r="353" ht="15" customHeight="1">
      <c r="A353" t="inlineStr">
        <is>
          <t>A 30899-2025</t>
        </is>
      </c>
      <c r="B353" s="1" t="n">
        <v>45832.35767361111</v>
      </c>
      <c r="C353" s="1" t="n">
        <v>46132</v>
      </c>
      <c r="D353" t="inlineStr">
        <is>
          <t>VÄSTMANLANDS LÄN</t>
        </is>
      </c>
      <c r="E353" t="inlineStr">
        <is>
          <t>SALA</t>
        </is>
      </c>
      <c r="G353" t="n">
        <v>3.1</v>
      </c>
      <c r="H353" t="n">
        <v>0</v>
      </c>
      <c r="I353" t="n">
        <v>0</v>
      </c>
      <c r="J353" t="n">
        <v>0</v>
      </c>
      <c r="K353" t="n">
        <v>0</v>
      </c>
      <c r="L353" t="n">
        <v>0</v>
      </c>
      <c r="M353" t="n">
        <v>0</v>
      </c>
      <c r="N353" t="n">
        <v>0</v>
      </c>
      <c r="O353" t="n">
        <v>0</v>
      </c>
      <c r="P353" t="n">
        <v>0</v>
      </c>
      <c r="Q353" t="n">
        <v>0</v>
      </c>
      <c r="R353" s="2" t="inlineStr"/>
    </row>
    <row r="354" ht="15" customHeight="1">
      <c r="A354" t="inlineStr">
        <is>
          <t>A 48710-2025</t>
        </is>
      </c>
      <c r="B354" s="1" t="n">
        <v>45936.63184027778</v>
      </c>
      <c r="C354" s="1" t="n">
        <v>46132</v>
      </c>
      <c r="D354" t="inlineStr">
        <is>
          <t>VÄSTMANLANDS LÄN</t>
        </is>
      </c>
      <c r="E354" t="inlineStr">
        <is>
          <t>SALA</t>
        </is>
      </c>
      <c r="G354" t="n">
        <v>2.7</v>
      </c>
      <c r="H354" t="n">
        <v>0</v>
      </c>
      <c r="I354" t="n">
        <v>0</v>
      </c>
      <c r="J354" t="n">
        <v>0</v>
      </c>
      <c r="K354" t="n">
        <v>0</v>
      </c>
      <c r="L354" t="n">
        <v>0</v>
      </c>
      <c r="M354" t="n">
        <v>0</v>
      </c>
      <c r="N354" t="n">
        <v>0</v>
      </c>
      <c r="O354" t="n">
        <v>0</v>
      </c>
      <c r="P354" t="n">
        <v>0</v>
      </c>
      <c r="Q354" t="n">
        <v>0</v>
      </c>
      <c r="R354" s="2" t="inlineStr"/>
    </row>
    <row r="355" ht="15" customHeight="1">
      <c r="A355" t="inlineStr">
        <is>
          <t>A 30866-2025</t>
        </is>
      </c>
      <c r="B355" s="1" t="n">
        <v>45832.3246875</v>
      </c>
      <c r="C355" s="1" t="n">
        <v>46132</v>
      </c>
      <c r="D355" t="inlineStr">
        <is>
          <t>VÄSTMANLANDS LÄN</t>
        </is>
      </c>
      <c r="E355" t="inlineStr">
        <is>
          <t>SALA</t>
        </is>
      </c>
      <c r="G355" t="n">
        <v>14.3</v>
      </c>
      <c r="H355" t="n">
        <v>0</v>
      </c>
      <c r="I355" t="n">
        <v>0</v>
      </c>
      <c r="J355" t="n">
        <v>0</v>
      </c>
      <c r="K355" t="n">
        <v>0</v>
      </c>
      <c r="L355" t="n">
        <v>0</v>
      </c>
      <c r="M355" t="n">
        <v>0</v>
      </c>
      <c r="N355" t="n">
        <v>0</v>
      </c>
      <c r="O355" t="n">
        <v>0</v>
      </c>
      <c r="P355" t="n">
        <v>0</v>
      </c>
      <c r="Q355" t="n">
        <v>0</v>
      </c>
      <c r="R355" s="2" t="inlineStr"/>
    </row>
    <row r="356" ht="15" customHeight="1">
      <c r="A356" t="inlineStr">
        <is>
          <t>A 55997-2025</t>
        </is>
      </c>
      <c r="B356" s="1" t="n">
        <v>45973.56833333334</v>
      </c>
      <c r="C356" s="1" t="n">
        <v>46132</v>
      </c>
      <c r="D356" t="inlineStr">
        <is>
          <t>VÄSTMANLANDS LÄN</t>
        </is>
      </c>
      <c r="E356" t="inlineStr">
        <is>
          <t>SALA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6312-2025</t>
        </is>
      </c>
      <c r="B357" s="1" t="n">
        <v>45698</v>
      </c>
      <c r="C357" s="1" t="n">
        <v>46132</v>
      </c>
      <c r="D357" t="inlineStr">
        <is>
          <t>VÄSTMANLANDS LÄN</t>
        </is>
      </c>
      <c r="E357" t="inlineStr">
        <is>
          <t>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31065-2025</t>
        </is>
      </c>
      <c r="B358" s="1" t="n">
        <v>45832.57571759259</v>
      </c>
      <c r="C358" s="1" t="n">
        <v>46132</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55035-2023</t>
        </is>
      </c>
      <c r="B359" s="1" t="n">
        <v>45229</v>
      </c>
      <c r="C359" s="1" t="n">
        <v>46132</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31612-2025</t>
        </is>
      </c>
      <c r="B360" s="1" t="n">
        <v>45833.80056712963</v>
      </c>
      <c r="C360" s="1" t="n">
        <v>46132</v>
      </c>
      <c r="D360" t="inlineStr">
        <is>
          <t>VÄSTMANLANDS LÄN</t>
        </is>
      </c>
      <c r="E360" t="inlineStr">
        <is>
          <t>SALA</t>
        </is>
      </c>
      <c r="G360" t="n">
        <v>6.3</v>
      </c>
      <c r="H360" t="n">
        <v>0</v>
      </c>
      <c r="I360" t="n">
        <v>0</v>
      </c>
      <c r="J360" t="n">
        <v>0</v>
      </c>
      <c r="K360" t="n">
        <v>0</v>
      </c>
      <c r="L360" t="n">
        <v>0</v>
      </c>
      <c r="M360" t="n">
        <v>0</v>
      </c>
      <c r="N360" t="n">
        <v>0</v>
      </c>
      <c r="O360" t="n">
        <v>0</v>
      </c>
      <c r="P360" t="n">
        <v>0</v>
      </c>
      <c r="Q360" t="n">
        <v>0</v>
      </c>
      <c r="R360" s="2" t="inlineStr"/>
    </row>
    <row r="361" ht="15" customHeight="1">
      <c r="A361" t="inlineStr">
        <is>
          <t>A 31748-2025</t>
        </is>
      </c>
      <c r="B361" s="1" t="n">
        <v>45834</v>
      </c>
      <c r="C361" s="1" t="n">
        <v>46132</v>
      </c>
      <c r="D361" t="inlineStr">
        <is>
          <t>VÄSTMANLANDS LÄN</t>
        </is>
      </c>
      <c r="E361" t="inlineStr">
        <is>
          <t>SALA</t>
        </is>
      </c>
      <c r="G361" t="n">
        <v>2</v>
      </c>
      <c r="H361" t="n">
        <v>0</v>
      </c>
      <c r="I361" t="n">
        <v>0</v>
      </c>
      <c r="J361" t="n">
        <v>0</v>
      </c>
      <c r="K361" t="n">
        <v>0</v>
      </c>
      <c r="L361" t="n">
        <v>0</v>
      </c>
      <c r="M361" t="n">
        <v>0</v>
      </c>
      <c r="N361" t="n">
        <v>0</v>
      </c>
      <c r="O361" t="n">
        <v>0</v>
      </c>
      <c r="P361" t="n">
        <v>0</v>
      </c>
      <c r="Q361" t="n">
        <v>0</v>
      </c>
      <c r="R361" s="2" t="inlineStr"/>
    </row>
    <row r="362" ht="15" customHeight="1">
      <c r="A362" t="inlineStr">
        <is>
          <t>A 31288-2025</t>
        </is>
      </c>
      <c r="B362" s="1" t="n">
        <v>45833</v>
      </c>
      <c r="C362" s="1" t="n">
        <v>46132</v>
      </c>
      <c r="D362" t="inlineStr">
        <is>
          <t>VÄSTMANLANDS LÄN</t>
        </is>
      </c>
      <c r="E362" t="inlineStr">
        <is>
          <t>SALA</t>
        </is>
      </c>
      <c r="G362" t="n">
        <v>3.1</v>
      </c>
      <c r="H362" t="n">
        <v>0</v>
      </c>
      <c r="I362" t="n">
        <v>0</v>
      </c>
      <c r="J362" t="n">
        <v>0</v>
      </c>
      <c r="K362" t="n">
        <v>0</v>
      </c>
      <c r="L362" t="n">
        <v>0</v>
      </c>
      <c r="M362" t="n">
        <v>0</v>
      </c>
      <c r="N362" t="n">
        <v>0</v>
      </c>
      <c r="O362" t="n">
        <v>0</v>
      </c>
      <c r="P362" t="n">
        <v>0</v>
      </c>
      <c r="Q362" t="n">
        <v>0</v>
      </c>
      <c r="R362" s="2" t="inlineStr"/>
    </row>
    <row r="363" ht="15" customHeight="1">
      <c r="A363" t="inlineStr">
        <is>
          <t>A 31771-2025</t>
        </is>
      </c>
      <c r="B363" s="1" t="n">
        <v>45834.50910879629</v>
      </c>
      <c r="C363" s="1" t="n">
        <v>46132</v>
      </c>
      <c r="D363" t="inlineStr">
        <is>
          <t>VÄSTMANLANDS LÄN</t>
        </is>
      </c>
      <c r="E363" t="inlineStr">
        <is>
          <t>SALA</t>
        </is>
      </c>
      <c r="G363" t="n">
        <v>5.1</v>
      </c>
      <c r="H363" t="n">
        <v>0</v>
      </c>
      <c r="I363" t="n">
        <v>0</v>
      </c>
      <c r="J363" t="n">
        <v>0</v>
      </c>
      <c r="K363" t="n">
        <v>0</v>
      </c>
      <c r="L363" t="n">
        <v>0</v>
      </c>
      <c r="M363" t="n">
        <v>0</v>
      </c>
      <c r="N363" t="n">
        <v>0</v>
      </c>
      <c r="O363" t="n">
        <v>0</v>
      </c>
      <c r="P363" t="n">
        <v>0</v>
      </c>
      <c r="Q363" t="n">
        <v>0</v>
      </c>
      <c r="R363" s="2" t="inlineStr"/>
    </row>
    <row r="364" ht="15" customHeight="1">
      <c r="A364" t="inlineStr">
        <is>
          <t>A 31554-2025</t>
        </is>
      </c>
      <c r="B364" s="1" t="n">
        <v>45833</v>
      </c>
      <c r="C364" s="1" t="n">
        <v>46132</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52500-2024</t>
        </is>
      </c>
      <c r="B365" s="1" t="n">
        <v>45609</v>
      </c>
      <c r="C365" s="1" t="n">
        <v>46132</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31762-2025</t>
        </is>
      </c>
      <c r="B366" s="1" t="n">
        <v>45834.49288194445</v>
      </c>
      <c r="C366" s="1" t="n">
        <v>46132</v>
      </c>
      <c r="D366" t="inlineStr">
        <is>
          <t>VÄSTMANLANDS LÄN</t>
        </is>
      </c>
      <c r="E366" t="inlineStr">
        <is>
          <t>SALA</t>
        </is>
      </c>
      <c r="G366" t="n">
        <v>5.9</v>
      </c>
      <c r="H366" t="n">
        <v>0</v>
      </c>
      <c r="I366" t="n">
        <v>0</v>
      </c>
      <c r="J366" t="n">
        <v>0</v>
      </c>
      <c r="K366" t="n">
        <v>0</v>
      </c>
      <c r="L366" t="n">
        <v>0</v>
      </c>
      <c r="M366" t="n">
        <v>0</v>
      </c>
      <c r="N366" t="n">
        <v>0</v>
      </c>
      <c r="O366" t="n">
        <v>0</v>
      </c>
      <c r="P366" t="n">
        <v>0</v>
      </c>
      <c r="Q366" t="n">
        <v>0</v>
      </c>
      <c r="R366" s="2" t="inlineStr"/>
    </row>
    <row r="367" ht="15" customHeight="1">
      <c r="A367" t="inlineStr">
        <is>
          <t>A 31608-2025</t>
        </is>
      </c>
      <c r="B367" s="1" t="n">
        <v>45833</v>
      </c>
      <c r="C367" s="1" t="n">
        <v>46132</v>
      </c>
      <c r="D367" t="inlineStr">
        <is>
          <t>VÄSTMANLANDS LÄN</t>
        </is>
      </c>
      <c r="E367" t="inlineStr">
        <is>
          <t>SALA</t>
        </is>
      </c>
      <c r="G367" t="n">
        <v>6.1</v>
      </c>
      <c r="H367" t="n">
        <v>0</v>
      </c>
      <c r="I367" t="n">
        <v>0</v>
      </c>
      <c r="J367" t="n">
        <v>0</v>
      </c>
      <c r="K367" t="n">
        <v>0</v>
      </c>
      <c r="L367" t="n">
        <v>0</v>
      </c>
      <c r="M367" t="n">
        <v>0</v>
      </c>
      <c r="N367" t="n">
        <v>0</v>
      </c>
      <c r="O367" t="n">
        <v>0</v>
      </c>
      <c r="P367" t="n">
        <v>0</v>
      </c>
      <c r="Q367" t="n">
        <v>0</v>
      </c>
      <c r="R367" s="2" t="inlineStr"/>
    </row>
    <row r="368" ht="15" customHeight="1">
      <c r="A368" t="inlineStr">
        <is>
          <t>A 31610-2025</t>
        </is>
      </c>
      <c r="B368" s="1" t="n">
        <v>45833.78650462963</v>
      </c>
      <c r="C368" s="1" t="n">
        <v>46132</v>
      </c>
      <c r="D368" t="inlineStr">
        <is>
          <t>VÄSTMANLANDS LÄN</t>
        </is>
      </c>
      <c r="E368" t="inlineStr">
        <is>
          <t>SALA</t>
        </is>
      </c>
      <c r="G368" t="n">
        <v>8</v>
      </c>
      <c r="H368" t="n">
        <v>0</v>
      </c>
      <c r="I368" t="n">
        <v>0</v>
      </c>
      <c r="J368" t="n">
        <v>0</v>
      </c>
      <c r="K368" t="n">
        <v>0</v>
      </c>
      <c r="L368" t="n">
        <v>0</v>
      </c>
      <c r="M368" t="n">
        <v>0</v>
      </c>
      <c r="N368" t="n">
        <v>0</v>
      </c>
      <c r="O368" t="n">
        <v>0</v>
      </c>
      <c r="P368" t="n">
        <v>0</v>
      </c>
      <c r="Q368" t="n">
        <v>0</v>
      </c>
      <c r="R368" s="2" t="inlineStr"/>
    </row>
    <row r="369" ht="15" customHeight="1">
      <c r="A369" t="inlineStr">
        <is>
          <t>A 31296-2025</t>
        </is>
      </c>
      <c r="B369" s="1" t="n">
        <v>45833.36765046296</v>
      </c>
      <c r="C369" s="1" t="n">
        <v>46132</v>
      </c>
      <c r="D369" t="inlineStr">
        <is>
          <t>VÄSTMANLANDS LÄN</t>
        </is>
      </c>
      <c r="E369" t="inlineStr">
        <is>
          <t>SALA</t>
        </is>
      </c>
      <c r="G369" t="n">
        <v>3.7</v>
      </c>
      <c r="H369" t="n">
        <v>0</v>
      </c>
      <c r="I369" t="n">
        <v>0</v>
      </c>
      <c r="J369" t="n">
        <v>0</v>
      </c>
      <c r="K369" t="n">
        <v>0</v>
      </c>
      <c r="L369" t="n">
        <v>0</v>
      </c>
      <c r="M369" t="n">
        <v>0</v>
      </c>
      <c r="N369" t="n">
        <v>0</v>
      </c>
      <c r="O369" t="n">
        <v>0</v>
      </c>
      <c r="P369" t="n">
        <v>0</v>
      </c>
      <c r="Q369" t="n">
        <v>0</v>
      </c>
      <c r="R369" s="2" t="inlineStr"/>
    </row>
    <row r="370" ht="15" customHeight="1">
      <c r="A370" t="inlineStr">
        <is>
          <t>A 31573-2025</t>
        </is>
      </c>
      <c r="B370" s="1" t="n">
        <v>45833</v>
      </c>
      <c r="C370" s="1" t="n">
        <v>46132</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7950-2025</t>
        </is>
      </c>
      <c r="B371" s="1" t="n">
        <v>45707.41799768519</v>
      </c>
      <c r="C371" s="1" t="n">
        <v>46132</v>
      </c>
      <c r="D371" t="inlineStr">
        <is>
          <t>VÄSTMANLANDS LÄN</t>
        </is>
      </c>
      <c r="E371" t="inlineStr">
        <is>
          <t>SALA</t>
        </is>
      </c>
      <c r="G371" t="n">
        <v>3.2</v>
      </c>
      <c r="H371" t="n">
        <v>0</v>
      </c>
      <c r="I371" t="n">
        <v>0</v>
      </c>
      <c r="J371" t="n">
        <v>0</v>
      </c>
      <c r="K371" t="n">
        <v>0</v>
      </c>
      <c r="L371" t="n">
        <v>0</v>
      </c>
      <c r="M371" t="n">
        <v>0</v>
      </c>
      <c r="N371" t="n">
        <v>0</v>
      </c>
      <c r="O371" t="n">
        <v>0</v>
      </c>
      <c r="P371" t="n">
        <v>0</v>
      </c>
      <c r="Q371" t="n">
        <v>0</v>
      </c>
      <c r="R371" s="2" t="inlineStr"/>
    </row>
    <row r="372" ht="15" customHeight="1">
      <c r="A372" t="inlineStr">
        <is>
          <t>A 32201-2025</t>
        </is>
      </c>
      <c r="B372" s="1" t="n">
        <v>45835</v>
      </c>
      <c r="C372" s="1" t="n">
        <v>46132</v>
      </c>
      <c r="D372" t="inlineStr">
        <is>
          <t>VÄSTMANLANDS LÄN</t>
        </is>
      </c>
      <c r="E372" t="inlineStr">
        <is>
          <t>SALA</t>
        </is>
      </c>
      <c r="F372" t="inlineStr">
        <is>
          <t>Bergvik skog öst AB</t>
        </is>
      </c>
      <c r="G372" t="n">
        <v>1.8</v>
      </c>
      <c r="H372" t="n">
        <v>0</v>
      </c>
      <c r="I372" t="n">
        <v>0</v>
      </c>
      <c r="J372" t="n">
        <v>0</v>
      </c>
      <c r="K372" t="n">
        <v>0</v>
      </c>
      <c r="L372" t="n">
        <v>0</v>
      </c>
      <c r="M372" t="n">
        <v>0</v>
      </c>
      <c r="N372" t="n">
        <v>0</v>
      </c>
      <c r="O372" t="n">
        <v>0</v>
      </c>
      <c r="P372" t="n">
        <v>0</v>
      </c>
      <c r="Q372" t="n">
        <v>0</v>
      </c>
      <c r="R372" s="2" t="inlineStr"/>
    </row>
    <row r="373" ht="15" customHeight="1">
      <c r="A373" t="inlineStr">
        <is>
          <t>A 32205-2025</t>
        </is>
      </c>
      <c r="B373" s="1" t="n">
        <v>45835</v>
      </c>
      <c r="C373" s="1" t="n">
        <v>46132</v>
      </c>
      <c r="D373" t="inlineStr">
        <is>
          <t>VÄSTMANLANDS LÄN</t>
        </is>
      </c>
      <c r="E373" t="inlineStr">
        <is>
          <t>SALA</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32210-2025</t>
        </is>
      </c>
      <c r="B374" s="1" t="n">
        <v>45835</v>
      </c>
      <c r="C374" s="1" t="n">
        <v>46132</v>
      </c>
      <c r="D374" t="inlineStr">
        <is>
          <t>VÄSTMANLANDS LÄN</t>
        </is>
      </c>
      <c r="E374" t="inlineStr">
        <is>
          <t>SALA</t>
        </is>
      </c>
      <c r="F374" t="inlineStr">
        <is>
          <t>Bergvik skog öst AB</t>
        </is>
      </c>
      <c r="G374" t="n">
        <v>1.5</v>
      </c>
      <c r="H374" t="n">
        <v>0</v>
      </c>
      <c r="I374" t="n">
        <v>0</v>
      </c>
      <c r="J374" t="n">
        <v>0</v>
      </c>
      <c r="K374" t="n">
        <v>0</v>
      </c>
      <c r="L374" t="n">
        <v>0</v>
      </c>
      <c r="M374" t="n">
        <v>0</v>
      </c>
      <c r="N374" t="n">
        <v>0</v>
      </c>
      <c r="O374" t="n">
        <v>0</v>
      </c>
      <c r="P374" t="n">
        <v>0</v>
      </c>
      <c r="Q374" t="n">
        <v>0</v>
      </c>
      <c r="R374" s="2" t="inlineStr"/>
    </row>
    <row r="375" ht="15" customHeight="1">
      <c r="A375" t="inlineStr">
        <is>
          <t>A 48910-2025</t>
        </is>
      </c>
      <c r="B375" s="1" t="n">
        <v>45937.48649305556</v>
      </c>
      <c r="C375" s="1" t="n">
        <v>46132</v>
      </c>
      <c r="D375" t="inlineStr">
        <is>
          <t>VÄSTMANLANDS LÄN</t>
        </is>
      </c>
      <c r="E375" t="inlineStr">
        <is>
          <t>SALA</t>
        </is>
      </c>
      <c r="G375" t="n">
        <v>7.8</v>
      </c>
      <c r="H375" t="n">
        <v>0</v>
      </c>
      <c r="I375" t="n">
        <v>0</v>
      </c>
      <c r="J375" t="n">
        <v>0</v>
      </c>
      <c r="K375" t="n">
        <v>0</v>
      </c>
      <c r="L375" t="n">
        <v>0</v>
      </c>
      <c r="M375" t="n">
        <v>0</v>
      </c>
      <c r="N375" t="n">
        <v>0</v>
      </c>
      <c r="O375" t="n">
        <v>0</v>
      </c>
      <c r="P375" t="n">
        <v>0</v>
      </c>
      <c r="Q375" t="n">
        <v>0</v>
      </c>
      <c r="R375" s="2" t="inlineStr"/>
    </row>
    <row r="376" ht="15" customHeight="1">
      <c r="A376" t="inlineStr">
        <is>
          <t>A 49640-2025</t>
        </is>
      </c>
      <c r="B376" s="1" t="n">
        <v>45939.61459490741</v>
      </c>
      <c r="C376" s="1" t="n">
        <v>46132</v>
      </c>
      <c r="D376" t="inlineStr">
        <is>
          <t>VÄSTMANLANDS LÄN</t>
        </is>
      </c>
      <c r="E376" t="inlineStr">
        <is>
          <t>SALA</t>
        </is>
      </c>
      <c r="F376" t="inlineStr">
        <is>
          <t>Kommuner</t>
        </is>
      </c>
      <c r="G376" t="n">
        <v>18.8</v>
      </c>
      <c r="H376" t="n">
        <v>0</v>
      </c>
      <c r="I376" t="n">
        <v>0</v>
      </c>
      <c r="J376" t="n">
        <v>0</v>
      </c>
      <c r="K376" t="n">
        <v>0</v>
      </c>
      <c r="L376" t="n">
        <v>0</v>
      </c>
      <c r="M376" t="n">
        <v>0</v>
      </c>
      <c r="N376" t="n">
        <v>0</v>
      </c>
      <c r="O376" t="n">
        <v>0</v>
      </c>
      <c r="P376" t="n">
        <v>0</v>
      </c>
      <c r="Q376" t="n">
        <v>0</v>
      </c>
      <c r="R376" s="2" t="inlineStr"/>
    </row>
    <row r="377" ht="15" customHeight="1">
      <c r="A377" t="inlineStr">
        <is>
          <t>A 32286-2025</t>
        </is>
      </c>
      <c r="B377" s="1" t="n">
        <v>45835</v>
      </c>
      <c r="C377" s="1" t="n">
        <v>46132</v>
      </c>
      <c r="D377" t="inlineStr">
        <is>
          <t>VÄSTMANLANDS LÄN</t>
        </is>
      </c>
      <c r="E377" t="inlineStr">
        <is>
          <t>SALA</t>
        </is>
      </c>
      <c r="G377" t="n">
        <v>6.4</v>
      </c>
      <c r="H377" t="n">
        <v>0</v>
      </c>
      <c r="I377" t="n">
        <v>0</v>
      </c>
      <c r="J377" t="n">
        <v>0</v>
      </c>
      <c r="K377" t="n">
        <v>0</v>
      </c>
      <c r="L377" t="n">
        <v>0</v>
      </c>
      <c r="M377" t="n">
        <v>0</v>
      </c>
      <c r="N377" t="n">
        <v>0</v>
      </c>
      <c r="O377" t="n">
        <v>0</v>
      </c>
      <c r="P377" t="n">
        <v>0</v>
      </c>
      <c r="Q377" t="n">
        <v>0</v>
      </c>
      <c r="R377" s="2" t="inlineStr"/>
    </row>
    <row r="378" ht="15" customHeight="1">
      <c r="A378" t="inlineStr">
        <is>
          <t>A 32207-2025</t>
        </is>
      </c>
      <c r="B378" s="1" t="n">
        <v>45835</v>
      </c>
      <c r="C378" s="1" t="n">
        <v>46132</v>
      </c>
      <c r="D378" t="inlineStr">
        <is>
          <t>VÄSTMANLANDS LÄN</t>
        </is>
      </c>
      <c r="E378" t="inlineStr">
        <is>
          <t>SALA</t>
        </is>
      </c>
      <c r="F378" t="inlineStr">
        <is>
          <t>Bergvik skog öst AB</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16328-2025</t>
        </is>
      </c>
      <c r="B379" s="1" t="n">
        <v>45751</v>
      </c>
      <c r="C379" s="1" t="n">
        <v>46132</v>
      </c>
      <c r="D379" t="inlineStr">
        <is>
          <t>VÄSTMANLANDS LÄN</t>
        </is>
      </c>
      <c r="E379" t="inlineStr">
        <is>
          <t>SALA</t>
        </is>
      </c>
      <c r="G379" t="n">
        <v>2.9</v>
      </c>
      <c r="H379" t="n">
        <v>0</v>
      </c>
      <c r="I379" t="n">
        <v>0</v>
      </c>
      <c r="J379" t="n">
        <v>0</v>
      </c>
      <c r="K379" t="n">
        <v>0</v>
      </c>
      <c r="L379" t="n">
        <v>0</v>
      </c>
      <c r="M379" t="n">
        <v>0</v>
      </c>
      <c r="N379" t="n">
        <v>0</v>
      </c>
      <c r="O379" t="n">
        <v>0</v>
      </c>
      <c r="P379" t="n">
        <v>0</v>
      </c>
      <c r="Q379" t="n">
        <v>0</v>
      </c>
      <c r="R379" s="2" t="inlineStr"/>
    </row>
    <row r="380" ht="15" customHeight="1">
      <c r="A380" t="inlineStr">
        <is>
          <t>A 49585-2025</t>
        </is>
      </c>
      <c r="B380" s="1" t="n">
        <v>45939.5043287037</v>
      </c>
      <c r="C380" s="1" t="n">
        <v>46132</v>
      </c>
      <c r="D380" t="inlineStr">
        <is>
          <t>VÄSTMANLANDS LÄN</t>
        </is>
      </c>
      <c r="E380" t="inlineStr">
        <is>
          <t>SALA</t>
        </is>
      </c>
      <c r="G380" t="n">
        <v>2.2</v>
      </c>
      <c r="H380" t="n">
        <v>0</v>
      </c>
      <c r="I380" t="n">
        <v>0</v>
      </c>
      <c r="J380" t="n">
        <v>0</v>
      </c>
      <c r="K380" t="n">
        <v>0</v>
      </c>
      <c r="L380" t="n">
        <v>0</v>
      </c>
      <c r="M380" t="n">
        <v>0</v>
      </c>
      <c r="N380" t="n">
        <v>0</v>
      </c>
      <c r="O380" t="n">
        <v>0</v>
      </c>
      <c r="P380" t="n">
        <v>0</v>
      </c>
      <c r="Q380" t="n">
        <v>0</v>
      </c>
      <c r="R380" s="2" t="inlineStr"/>
    </row>
    <row r="381" ht="15" customHeight="1">
      <c r="A381" t="inlineStr">
        <is>
          <t>A 32902-2025</t>
        </is>
      </c>
      <c r="B381" s="1" t="n">
        <v>45839</v>
      </c>
      <c r="C381" s="1" t="n">
        <v>46132</v>
      </c>
      <c r="D381" t="inlineStr">
        <is>
          <t>VÄSTMANLANDS LÄN</t>
        </is>
      </c>
      <c r="E381" t="inlineStr">
        <is>
          <t>SALA</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50128-2025</t>
        </is>
      </c>
      <c r="B382" s="1" t="n">
        <v>45943.55318287037</v>
      </c>
      <c r="C382" s="1" t="n">
        <v>46132</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31609-2024</t>
        </is>
      </c>
      <c r="B383" s="1" t="n">
        <v>45506</v>
      </c>
      <c r="C383" s="1" t="n">
        <v>46132</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50249-2025</t>
        </is>
      </c>
      <c r="B384" s="1" t="n">
        <v>45944.31508101852</v>
      </c>
      <c r="C384" s="1" t="n">
        <v>46132</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50119-2025</t>
        </is>
      </c>
      <c r="B385" s="1" t="n">
        <v>45943.54883101852</v>
      </c>
      <c r="C385" s="1" t="n">
        <v>46132</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50059-2025</t>
        </is>
      </c>
      <c r="B386" s="1" t="n">
        <v>45943.44125</v>
      </c>
      <c r="C386" s="1" t="n">
        <v>46132</v>
      </c>
      <c r="D386" t="inlineStr">
        <is>
          <t>VÄSTMANLANDS LÄN</t>
        </is>
      </c>
      <c r="E386" t="inlineStr">
        <is>
          <t>SALA</t>
        </is>
      </c>
      <c r="G386" t="n">
        <v>4.4</v>
      </c>
      <c r="H386" t="n">
        <v>0</v>
      </c>
      <c r="I386" t="n">
        <v>0</v>
      </c>
      <c r="J386" t="n">
        <v>0</v>
      </c>
      <c r="K386" t="n">
        <v>0</v>
      </c>
      <c r="L386" t="n">
        <v>0</v>
      </c>
      <c r="M386" t="n">
        <v>0</v>
      </c>
      <c r="N386" t="n">
        <v>0</v>
      </c>
      <c r="O386" t="n">
        <v>0</v>
      </c>
      <c r="P386" t="n">
        <v>0</v>
      </c>
      <c r="Q386" t="n">
        <v>0</v>
      </c>
      <c r="R386" s="2" t="inlineStr"/>
    </row>
    <row r="387" ht="15" customHeight="1">
      <c r="A387" t="inlineStr">
        <is>
          <t>A 35410-2022</t>
        </is>
      </c>
      <c r="B387" s="1" t="n">
        <v>44798.62576388889</v>
      </c>
      <c r="C387" s="1" t="n">
        <v>46132</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34069-2025</t>
        </is>
      </c>
      <c r="B388" s="1" t="n">
        <v>45845.43560185185</v>
      </c>
      <c r="C388" s="1" t="n">
        <v>46132</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c r="U388">
        <f>HYPERLINK("https://klasma.github.io/Logging_1981/knärot/A 34069-2025 karta knärot.png", "A 34069-2025")</f>
        <v/>
      </c>
      <c r="V388">
        <f>HYPERLINK("https://klasma.github.io/Logging_1981/klagomål/A 34069-2025 FSC-klagomål.docx", "A 34069-2025")</f>
        <v/>
      </c>
      <c r="W388">
        <f>HYPERLINK("https://klasma.github.io/Logging_1981/klagomålsmail/A 34069-2025 FSC-klagomål mail.docx", "A 34069-2025")</f>
        <v/>
      </c>
      <c r="X388">
        <f>HYPERLINK("https://klasma.github.io/Logging_1981/tillsyn/A 34069-2025 tillsynsbegäran.docx", "A 34069-2025")</f>
        <v/>
      </c>
      <c r="Y388">
        <f>HYPERLINK("https://klasma.github.io/Logging_1981/tillsynsmail/A 34069-2025 tillsynsbegäran mail.docx", "A 34069-2025")</f>
        <v/>
      </c>
    </row>
    <row r="389" ht="15" customHeight="1">
      <c r="A389" t="inlineStr">
        <is>
          <t>A 55714-2025</t>
        </is>
      </c>
      <c r="B389" s="1" t="n">
        <v>45972.49131944445</v>
      </c>
      <c r="C389" s="1" t="n">
        <v>46132</v>
      </c>
      <c r="D389" t="inlineStr">
        <is>
          <t>VÄSTMANLANDS LÄN</t>
        </is>
      </c>
      <c r="E389" t="inlineStr">
        <is>
          <t>SALA</t>
        </is>
      </c>
      <c r="G389" t="n">
        <v>6.6</v>
      </c>
      <c r="H389" t="n">
        <v>0</v>
      </c>
      <c r="I389" t="n">
        <v>0</v>
      </c>
      <c r="J389" t="n">
        <v>0</v>
      </c>
      <c r="K389" t="n">
        <v>0</v>
      </c>
      <c r="L389" t="n">
        <v>0</v>
      </c>
      <c r="M389" t="n">
        <v>0</v>
      </c>
      <c r="N389" t="n">
        <v>0</v>
      </c>
      <c r="O389" t="n">
        <v>0</v>
      </c>
      <c r="P389" t="n">
        <v>0</v>
      </c>
      <c r="Q389" t="n">
        <v>0</v>
      </c>
      <c r="R389" s="2" t="inlineStr"/>
    </row>
    <row r="390" ht="15" customHeight="1">
      <c r="A390" t="inlineStr">
        <is>
          <t>A 21159-2022</t>
        </is>
      </c>
      <c r="B390" s="1" t="n">
        <v>44704</v>
      </c>
      <c r="C390" s="1" t="n">
        <v>46132</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56614-2025</t>
        </is>
      </c>
      <c r="B391" s="1" t="n">
        <v>45975.59288194445</v>
      </c>
      <c r="C391" s="1" t="n">
        <v>46132</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56611-2025</t>
        </is>
      </c>
      <c r="B392" s="1" t="n">
        <v>45975</v>
      </c>
      <c r="C392" s="1" t="n">
        <v>46132</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41292-2021</t>
        </is>
      </c>
      <c r="B393" s="1" t="n">
        <v>44424</v>
      </c>
      <c r="C393" s="1" t="n">
        <v>46132</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60328-2024</t>
        </is>
      </c>
      <c r="B394" s="1" t="n">
        <v>45643.38416666666</v>
      </c>
      <c r="C394" s="1" t="n">
        <v>46132</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15744-2025</t>
        </is>
      </c>
      <c r="B395" s="1" t="n">
        <v>45748</v>
      </c>
      <c r="C395" s="1" t="n">
        <v>46132</v>
      </c>
      <c r="D395" t="inlineStr">
        <is>
          <t>VÄSTMANLANDS LÄN</t>
        </is>
      </c>
      <c r="E395" t="inlineStr">
        <is>
          <t>SALA</t>
        </is>
      </c>
      <c r="G395" t="n">
        <v>1.6</v>
      </c>
      <c r="H395" t="n">
        <v>0</v>
      </c>
      <c r="I395" t="n">
        <v>0</v>
      </c>
      <c r="J395" t="n">
        <v>0</v>
      </c>
      <c r="K395" t="n">
        <v>0</v>
      </c>
      <c r="L395" t="n">
        <v>0</v>
      </c>
      <c r="M395" t="n">
        <v>0</v>
      </c>
      <c r="N395" t="n">
        <v>0</v>
      </c>
      <c r="O395" t="n">
        <v>0</v>
      </c>
      <c r="P395" t="n">
        <v>0</v>
      </c>
      <c r="Q395" t="n">
        <v>0</v>
      </c>
      <c r="R395" s="2" t="inlineStr"/>
    </row>
    <row r="396" ht="15" customHeight="1">
      <c r="A396" t="inlineStr">
        <is>
          <t>A 57014-2025</t>
        </is>
      </c>
      <c r="B396" s="1" t="n">
        <v>45978</v>
      </c>
      <c r="C396" s="1" t="n">
        <v>46132</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56502-2025</t>
        </is>
      </c>
      <c r="B397" s="1" t="n">
        <v>45975</v>
      </c>
      <c r="C397" s="1" t="n">
        <v>46132</v>
      </c>
      <c r="D397" t="inlineStr">
        <is>
          <t>VÄSTMANLANDS LÄN</t>
        </is>
      </c>
      <c r="E397" t="inlineStr">
        <is>
          <t>SALA</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33273-2023</t>
        </is>
      </c>
      <c r="B398" s="1" t="n">
        <v>45127</v>
      </c>
      <c r="C398" s="1" t="n">
        <v>46132</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56593-2025</t>
        </is>
      </c>
      <c r="B399" s="1" t="n">
        <v>45975</v>
      </c>
      <c r="C399" s="1" t="n">
        <v>46132</v>
      </c>
      <c r="D399" t="inlineStr">
        <is>
          <t>VÄSTMANLANDS LÄN</t>
        </is>
      </c>
      <c r="E399" t="inlineStr">
        <is>
          <t>SALA</t>
        </is>
      </c>
      <c r="F399" t="inlineStr">
        <is>
          <t>Kyrkan</t>
        </is>
      </c>
      <c r="G399" t="n">
        <v>0.1</v>
      </c>
      <c r="H399" t="n">
        <v>0</v>
      </c>
      <c r="I399" t="n">
        <v>0</v>
      </c>
      <c r="J399" t="n">
        <v>0</v>
      </c>
      <c r="K399" t="n">
        <v>0</v>
      </c>
      <c r="L399" t="n">
        <v>0</v>
      </c>
      <c r="M399" t="n">
        <v>0</v>
      </c>
      <c r="N399" t="n">
        <v>0</v>
      </c>
      <c r="O399" t="n">
        <v>0</v>
      </c>
      <c r="P399" t="n">
        <v>0</v>
      </c>
      <c r="Q399" t="n">
        <v>0</v>
      </c>
      <c r="R399" s="2" t="inlineStr"/>
    </row>
    <row r="400" ht="15" customHeight="1">
      <c r="A400" t="inlineStr">
        <is>
          <t>A 56645-2025</t>
        </is>
      </c>
      <c r="B400" s="1" t="n">
        <v>45975.63063657407</v>
      </c>
      <c r="C400" s="1" t="n">
        <v>46132</v>
      </c>
      <c r="D400" t="inlineStr">
        <is>
          <t>VÄSTMANLANDS LÄN</t>
        </is>
      </c>
      <c r="E400" t="inlineStr">
        <is>
          <t>SALA</t>
        </is>
      </c>
      <c r="F400" t="inlineStr">
        <is>
          <t>Bergvik skog öst AB</t>
        </is>
      </c>
      <c r="G400" t="n">
        <v>5.3</v>
      </c>
      <c r="H400" t="n">
        <v>0</v>
      </c>
      <c r="I400" t="n">
        <v>0</v>
      </c>
      <c r="J400" t="n">
        <v>0</v>
      </c>
      <c r="K400" t="n">
        <v>0</v>
      </c>
      <c r="L400" t="n">
        <v>0</v>
      </c>
      <c r="M400" t="n">
        <v>0</v>
      </c>
      <c r="N400" t="n">
        <v>0</v>
      </c>
      <c r="O400" t="n">
        <v>0</v>
      </c>
      <c r="P400" t="n">
        <v>0</v>
      </c>
      <c r="Q400" t="n">
        <v>0</v>
      </c>
      <c r="R400" s="2" t="inlineStr"/>
    </row>
    <row r="401" ht="15" customHeight="1">
      <c r="A401" t="inlineStr">
        <is>
          <t>A 52827-2024</t>
        </is>
      </c>
      <c r="B401" s="1" t="n">
        <v>45610</v>
      </c>
      <c r="C401" s="1" t="n">
        <v>46132</v>
      </c>
      <c r="D401" t="inlineStr">
        <is>
          <t>VÄSTMANLANDS LÄN</t>
        </is>
      </c>
      <c r="E401" t="inlineStr">
        <is>
          <t>SALA</t>
        </is>
      </c>
      <c r="G401" t="n">
        <v>0.2</v>
      </c>
      <c r="H401" t="n">
        <v>0</v>
      </c>
      <c r="I401" t="n">
        <v>0</v>
      </c>
      <c r="J401" t="n">
        <v>0</v>
      </c>
      <c r="K401" t="n">
        <v>0</v>
      </c>
      <c r="L401" t="n">
        <v>0</v>
      </c>
      <c r="M401" t="n">
        <v>0</v>
      </c>
      <c r="N401" t="n">
        <v>0</v>
      </c>
      <c r="O401" t="n">
        <v>0</v>
      </c>
      <c r="P401" t="n">
        <v>0</v>
      </c>
      <c r="Q401" t="n">
        <v>0</v>
      </c>
      <c r="R401" s="2" t="inlineStr"/>
    </row>
    <row r="402" ht="15" customHeight="1">
      <c r="A402" t="inlineStr">
        <is>
          <t>A 53166-2024</t>
        </is>
      </c>
      <c r="B402" s="1" t="n">
        <v>45611</v>
      </c>
      <c r="C402" s="1" t="n">
        <v>46132</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11244-2024</t>
        </is>
      </c>
      <c r="B403" s="1" t="n">
        <v>45371</v>
      </c>
      <c r="C403" s="1" t="n">
        <v>46132</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62654-2022</t>
        </is>
      </c>
      <c r="B404" s="1" t="n">
        <v>44917</v>
      </c>
      <c r="C404" s="1" t="n">
        <v>46132</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6135-2023</t>
        </is>
      </c>
      <c r="B405" s="1" t="n">
        <v>44964.62628472222</v>
      </c>
      <c r="C405" s="1" t="n">
        <v>46132</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53864-2022</t>
        </is>
      </c>
      <c r="B406" s="1" t="n">
        <v>44880.64016203704</v>
      </c>
      <c r="C406" s="1" t="n">
        <v>46132</v>
      </c>
      <c r="D406" t="inlineStr">
        <is>
          <t>VÄSTMANLANDS LÄN</t>
        </is>
      </c>
      <c r="E406" t="inlineStr">
        <is>
          <t>SALA</t>
        </is>
      </c>
      <c r="G406" t="n">
        <v>5.9</v>
      </c>
      <c r="H406" t="n">
        <v>0</v>
      </c>
      <c r="I406" t="n">
        <v>0</v>
      </c>
      <c r="J406" t="n">
        <v>0</v>
      </c>
      <c r="K406" t="n">
        <v>0</v>
      </c>
      <c r="L406" t="n">
        <v>0</v>
      </c>
      <c r="M406" t="n">
        <v>0</v>
      </c>
      <c r="N406" t="n">
        <v>0</v>
      </c>
      <c r="O406" t="n">
        <v>0</v>
      </c>
      <c r="P406" t="n">
        <v>0</v>
      </c>
      <c r="Q406" t="n">
        <v>0</v>
      </c>
      <c r="R406" s="2" t="inlineStr"/>
    </row>
    <row r="407" ht="15" customHeight="1">
      <c r="A407" t="inlineStr">
        <is>
          <t>A 27255-2023</t>
        </is>
      </c>
      <c r="B407" s="1" t="n">
        <v>45096</v>
      </c>
      <c r="C407" s="1" t="n">
        <v>46132</v>
      </c>
      <c r="D407" t="inlineStr">
        <is>
          <t>VÄSTMANLANDS LÄN</t>
        </is>
      </c>
      <c r="E407" t="inlineStr">
        <is>
          <t>SALA</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35715-2025</t>
        </is>
      </c>
      <c r="B408" s="1" t="n">
        <v>45860.42148148148</v>
      </c>
      <c r="C408" s="1" t="n">
        <v>46132</v>
      </c>
      <c r="D408" t="inlineStr">
        <is>
          <t>VÄSTMANLANDS LÄN</t>
        </is>
      </c>
      <c r="E408" t="inlineStr">
        <is>
          <t>SALA</t>
        </is>
      </c>
      <c r="G408" t="n">
        <v>3.8</v>
      </c>
      <c r="H408" t="n">
        <v>0</v>
      </c>
      <c r="I408" t="n">
        <v>0</v>
      </c>
      <c r="J408" t="n">
        <v>0</v>
      </c>
      <c r="K408" t="n">
        <v>0</v>
      </c>
      <c r="L408" t="n">
        <v>0</v>
      </c>
      <c r="M408" t="n">
        <v>0</v>
      </c>
      <c r="N408" t="n">
        <v>0</v>
      </c>
      <c r="O408" t="n">
        <v>0</v>
      </c>
      <c r="P408" t="n">
        <v>0</v>
      </c>
      <c r="Q408" t="n">
        <v>0</v>
      </c>
      <c r="R408" s="2" t="inlineStr"/>
    </row>
    <row r="409" ht="15" customHeight="1">
      <c r="A409" t="inlineStr">
        <is>
          <t>A 35651-2025</t>
        </is>
      </c>
      <c r="B409" s="1" t="n">
        <v>45859.52435185185</v>
      </c>
      <c r="C409" s="1" t="n">
        <v>46132</v>
      </c>
      <c r="D409" t="inlineStr">
        <is>
          <t>VÄSTMANLANDS LÄN</t>
        </is>
      </c>
      <c r="E409" t="inlineStr">
        <is>
          <t>SALA</t>
        </is>
      </c>
      <c r="G409" t="n">
        <v>6.3</v>
      </c>
      <c r="H409" t="n">
        <v>0</v>
      </c>
      <c r="I409" t="n">
        <v>0</v>
      </c>
      <c r="J409" t="n">
        <v>0</v>
      </c>
      <c r="K409" t="n">
        <v>0</v>
      </c>
      <c r="L409" t="n">
        <v>0</v>
      </c>
      <c r="M409" t="n">
        <v>0</v>
      </c>
      <c r="N409" t="n">
        <v>0</v>
      </c>
      <c r="O409" t="n">
        <v>0</v>
      </c>
      <c r="P409" t="n">
        <v>0</v>
      </c>
      <c r="Q409" t="n">
        <v>0</v>
      </c>
      <c r="R409" s="2" t="inlineStr"/>
    </row>
    <row r="410" ht="15" customHeight="1">
      <c r="A410" t="inlineStr">
        <is>
          <t>A 35775-2025</t>
        </is>
      </c>
      <c r="B410" s="1" t="n">
        <v>45860</v>
      </c>
      <c r="C410" s="1" t="n">
        <v>46132</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35774-2025</t>
        </is>
      </c>
      <c r="B411" s="1" t="n">
        <v>45860.68780092592</v>
      </c>
      <c r="C411" s="1" t="n">
        <v>46132</v>
      </c>
      <c r="D411" t="inlineStr">
        <is>
          <t>VÄSTMANLANDS LÄN</t>
        </is>
      </c>
      <c r="E411" t="inlineStr">
        <is>
          <t>SALA</t>
        </is>
      </c>
      <c r="G411" t="n">
        <v>6.5</v>
      </c>
      <c r="H411" t="n">
        <v>0</v>
      </c>
      <c r="I411" t="n">
        <v>0</v>
      </c>
      <c r="J411" t="n">
        <v>0</v>
      </c>
      <c r="K411" t="n">
        <v>0</v>
      </c>
      <c r="L411" t="n">
        <v>0</v>
      </c>
      <c r="M411" t="n">
        <v>0</v>
      </c>
      <c r="N411" t="n">
        <v>0</v>
      </c>
      <c r="O411" t="n">
        <v>0</v>
      </c>
      <c r="P411" t="n">
        <v>0</v>
      </c>
      <c r="Q411" t="n">
        <v>0</v>
      </c>
      <c r="R411" s="2" t="inlineStr"/>
    </row>
    <row r="412" ht="15" customHeight="1">
      <c r="A412" t="inlineStr">
        <is>
          <t>A 35776-2025</t>
        </is>
      </c>
      <c r="B412" s="1" t="n">
        <v>45860.69211805556</v>
      </c>
      <c r="C412" s="1" t="n">
        <v>46132</v>
      </c>
      <c r="D412" t="inlineStr">
        <is>
          <t>VÄSTMANLANDS LÄN</t>
        </is>
      </c>
      <c r="E412" t="inlineStr">
        <is>
          <t>SALA</t>
        </is>
      </c>
      <c r="G412" t="n">
        <v>14.2</v>
      </c>
      <c r="H412" t="n">
        <v>0</v>
      </c>
      <c r="I412" t="n">
        <v>0</v>
      </c>
      <c r="J412" t="n">
        <v>0</v>
      </c>
      <c r="K412" t="n">
        <v>0</v>
      </c>
      <c r="L412" t="n">
        <v>0</v>
      </c>
      <c r="M412" t="n">
        <v>0</v>
      </c>
      <c r="N412" t="n">
        <v>0</v>
      </c>
      <c r="O412" t="n">
        <v>0</v>
      </c>
      <c r="P412" t="n">
        <v>0</v>
      </c>
      <c r="Q412" t="n">
        <v>0</v>
      </c>
      <c r="R412" s="2" t="inlineStr"/>
    </row>
    <row r="413" ht="15" customHeight="1">
      <c r="A413" t="inlineStr">
        <is>
          <t>A 35779-2025</t>
        </is>
      </c>
      <c r="B413" s="1" t="n">
        <v>45860.69495370371</v>
      </c>
      <c r="C413" s="1" t="n">
        <v>46132</v>
      </c>
      <c r="D413" t="inlineStr">
        <is>
          <t>VÄSTMANLANDS LÄN</t>
        </is>
      </c>
      <c r="E413" t="inlineStr">
        <is>
          <t>SALA</t>
        </is>
      </c>
      <c r="G413" t="n">
        <v>2.4</v>
      </c>
      <c r="H413" t="n">
        <v>0</v>
      </c>
      <c r="I413" t="n">
        <v>0</v>
      </c>
      <c r="J413" t="n">
        <v>0</v>
      </c>
      <c r="K413" t="n">
        <v>0</v>
      </c>
      <c r="L413" t="n">
        <v>0</v>
      </c>
      <c r="M413" t="n">
        <v>0</v>
      </c>
      <c r="N413" t="n">
        <v>0</v>
      </c>
      <c r="O413" t="n">
        <v>0</v>
      </c>
      <c r="P413" t="n">
        <v>0</v>
      </c>
      <c r="Q413" t="n">
        <v>0</v>
      </c>
      <c r="R413" s="2" t="inlineStr"/>
    </row>
    <row r="414" ht="15" customHeight="1">
      <c r="A414" t="inlineStr">
        <is>
          <t>A 60034-2024</t>
        </is>
      </c>
      <c r="B414" s="1" t="n">
        <v>45642.46261574074</v>
      </c>
      <c r="C414" s="1" t="n">
        <v>46132</v>
      </c>
      <c r="D414" t="inlineStr">
        <is>
          <t>VÄSTMANLANDS LÄN</t>
        </is>
      </c>
      <c r="E414" t="inlineStr">
        <is>
          <t>SALA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57412-2025</t>
        </is>
      </c>
      <c r="B415" s="1" t="n">
        <v>45980.44883101852</v>
      </c>
      <c r="C415" s="1" t="n">
        <v>46132</v>
      </c>
      <c r="D415" t="inlineStr">
        <is>
          <t>VÄSTMANLANDS LÄN</t>
        </is>
      </c>
      <c r="E415" t="inlineStr">
        <is>
          <t>SALA</t>
        </is>
      </c>
      <c r="F415" t="inlineStr">
        <is>
          <t>Bergvik skog öst AB</t>
        </is>
      </c>
      <c r="G415" t="n">
        <v>4.5</v>
      </c>
      <c r="H415" t="n">
        <v>0</v>
      </c>
      <c r="I415" t="n">
        <v>0</v>
      </c>
      <c r="J415" t="n">
        <v>0</v>
      </c>
      <c r="K415" t="n">
        <v>0</v>
      </c>
      <c r="L415" t="n">
        <v>0</v>
      </c>
      <c r="M415" t="n">
        <v>0</v>
      </c>
      <c r="N415" t="n">
        <v>0</v>
      </c>
      <c r="O415" t="n">
        <v>0</v>
      </c>
      <c r="P415" t="n">
        <v>0</v>
      </c>
      <c r="Q415" t="n">
        <v>0</v>
      </c>
      <c r="R415" s="2" t="inlineStr"/>
    </row>
    <row r="416" ht="15" customHeight="1">
      <c r="A416" t="inlineStr">
        <is>
          <t>A 3810-2023</t>
        </is>
      </c>
      <c r="B416" s="1" t="n">
        <v>44951.60454861111</v>
      </c>
      <c r="C416" s="1" t="n">
        <v>46132</v>
      </c>
      <c r="D416" t="inlineStr">
        <is>
          <t>VÄSTMANLANDS LÄN</t>
        </is>
      </c>
      <c r="E416" t="inlineStr">
        <is>
          <t>SALA</t>
        </is>
      </c>
      <c r="G416" t="n">
        <v>4.2</v>
      </c>
      <c r="H416" t="n">
        <v>0</v>
      </c>
      <c r="I416" t="n">
        <v>0</v>
      </c>
      <c r="J416" t="n">
        <v>0</v>
      </c>
      <c r="K416" t="n">
        <v>0</v>
      </c>
      <c r="L416" t="n">
        <v>0</v>
      </c>
      <c r="M416" t="n">
        <v>0</v>
      </c>
      <c r="N416" t="n">
        <v>0</v>
      </c>
      <c r="O416" t="n">
        <v>0</v>
      </c>
      <c r="P416" t="n">
        <v>0</v>
      </c>
      <c r="Q416" t="n">
        <v>0</v>
      </c>
      <c r="R416" s="2" t="inlineStr"/>
    </row>
    <row r="417" ht="15" customHeight="1">
      <c r="A417" t="inlineStr">
        <is>
          <t>A 36049-2025</t>
        </is>
      </c>
      <c r="B417" s="1" t="n">
        <v>45866.37065972222</v>
      </c>
      <c r="C417" s="1" t="n">
        <v>46132</v>
      </c>
      <c r="D417" t="inlineStr">
        <is>
          <t>VÄSTMANLANDS LÄN</t>
        </is>
      </c>
      <c r="E417" t="inlineStr">
        <is>
          <t>SALA</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36031-2025</t>
        </is>
      </c>
      <c r="B418" s="1" t="n">
        <v>45865.46111111111</v>
      </c>
      <c r="C418" s="1" t="n">
        <v>46132</v>
      </c>
      <c r="D418" t="inlineStr">
        <is>
          <t>VÄSTMANLANDS LÄN</t>
        </is>
      </c>
      <c r="E418" t="inlineStr">
        <is>
          <t>SALA</t>
        </is>
      </c>
      <c r="G418" t="n">
        <v>7.2</v>
      </c>
      <c r="H418" t="n">
        <v>0</v>
      </c>
      <c r="I418" t="n">
        <v>0</v>
      </c>
      <c r="J418" t="n">
        <v>0</v>
      </c>
      <c r="K418" t="n">
        <v>0</v>
      </c>
      <c r="L418" t="n">
        <v>0</v>
      </c>
      <c r="M418" t="n">
        <v>0</v>
      </c>
      <c r="N418" t="n">
        <v>0</v>
      </c>
      <c r="O418" t="n">
        <v>0</v>
      </c>
      <c r="P418" t="n">
        <v>0</v>
      </c>
      <c r="Q418" t="n">
        <v>0</v>
      </c>
      <c r="R418" s="2" t="inlineStr"/>
    </row>
    <row r="419" ht="15" customHeight="1">
      <c r="A419" t="inlineStr">
        <is>
          <t>A 36060-2025</t>
        </is>
      </c>
      <c r="B419" s="1" t="n">
        <v>45866.39469907407</v>
      </c>
      <c r="C419" s="1" t="n">
        <v>46132</v>
      </c>
      <c r="D419" t="inlineStr">
        <is>
          <t>VÄSTMANLANDS LÄN</t>
        </is>
      </c>
      <c r="E419" t="inlineStr">
        <is>
          <t>SALA</t>
        </is>
      </c>
      <c r="F419" t="inlineStr">
        <is>
          <t>Kommuner</t>
        </is>
      </c>
      <c r="G419" t="n">
        <v>4.3</v>
      </c>
      <c r="H419" t="n">
        <v>0</v>
      </c>
      <c r="I419" t="n">
        <v>0</v>
      </c>
      <c r="J419" t="n">
        <v>0</v>
      </c>
      <c r="K419" t="n">
        <v>0</v>
      </c>
      <c r="L419" t="n">
        <v>0</v>
      </c>
      <c r="M419" t="n">
        <v>0</v>
      </c>
      <c r="N419" t="n">
        <v>0</v>
      </c>
      <c r="O419" t="n">
        <v>0</v>
      </c>
      <c r="P419" t="n">
        <v>0</v>
      </c>
      <c r="Q419" t="n">
        <v>0</v>
      </c>
      <c r="R419" s="2" t="inlineStr"/>
    </row>
    <row r="420" ht="15" customHeight="1">
      <c r="A420" t="inlineStr">
        <is>
          <t>A 36032-2025</t>
        </is>
      </c>
      <c r="B420" s="1" t="n">
        <v>45865.48740740741</v>
      </c>
      <c r="C420" s="1" t="n">
        <v>46132</v>
      </c>
      <c r="D420" t="inlineStr">
        <is>
          <t>VÄSTMANLANDS LÄN</t>
        </is>
      </c>
      <c r="E420" t="inlineStr">
        <is>
          <t>SALA</t>
        </is>
      </c>
      <c r="G420" t="n">
        <v>0.7</v>
      </c>
      <c r="H420" t="n">
        <v>0</v>
      </c>
      <c r="I420" t="n">
        <v>0</v>
      </c>
      <c r="J420" t="n">
        <v>0</v>
      </c>
      <c r="K420" t="n">
        <v>0</v>
      </c>
      <c r="L420" t="n">
        <v>0</v>
      </c>
      <c r="M420" t="n">
        <v>0</v>
      </c>
      <c r="N420" t="n">
        <v>0</v>
      </c>
      <c r="O420" t="n">
        <v>0</v>
      </c>
      <c r="P420" t="n">
        <v>0</v>
      </c>
      <c r="Q420" t="n">
        <v>0</v>
      </c>
      <c r="R420" s="2" t="inlineStr"/>
    </row>
    <row r="421" ht="15" customHeight="1">
      <c r="A421" t="inlineStr">
        <is>
          <t>A 36043-2025</t>
        </is>
      </c>
      <c r="B421" s="1" t="n">
        <v>45866.35333333333</v>
      </c>
      <c r="C421" s="1" t="n">
        <v>46132</v>
      </c>
      <c r="D421" t="inlineStr">
        <is>
          <t>VÄSTMANLANDS LÄN</t>
        </is>
      </c>
      <c r="E421" t="inlineStr">
        <is>
          <t>SALA</t>
        </is>
      </c>
      <c r="F421" t="inlineStr">
        <is>
          <t>Kommuner</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36045-2025</t>
        </is>
      </c>
      <c r="B422" s="1" t="n">
        <v>45866.36200231482</v>
      </c>
      <c r="C422" s="1" t="n">
        <v>46132</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57414-2025</t>
        </is>
      </c>
      <c r="B423" s="1" t="n">
        <v>45980.45003472222</v>
      </c>
      <c r="C423" s="1" t="n">
        <v>46132</v>
      </c>
      <c r="D423" t="inlineStr">
        <is>
          <t>VÄSTMANLANDS LÄN</t>
        </is>
      </c>
      <c r="E423" t="inlineStr">
        <is>
          <t>SALA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57415-2025</t>
        </is>
      </c>
      <c r="B424" s="1" t="n">
        <v>45980.45099537037</v>
      </c>
      <c r="C424" s="1" t="n">
        <v>46132</v>
      </c>
      <c r="D424" t="inlineStr">
        <is>
          <t>VÄSTMANLANDS LÄN</t>
        </is>
      </c>
      <c r="E424" t="inlineStr">
        <is>
          <t>SALA</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52503-2024</t>
        </is>
      </c>
      <c r="B425" s="1" t="n">
        <v>45609.58806712963</v>
      </c>
      <c r="C425" s="1" t="n">
        <v>46132</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2521-2025</t>
        </is>
      </c>
      <c r="B426" s="1" t="n">
        <v>45674</v>
      </c>
      <c r="C426" s="1" t="n">
        <v>46132</v>
      </c>
      <c r="D426" t="inlineStr">
        <is>
          <t>VÄSTMANLANDS LÄN</t>
        </is>
      </c>
      <c r="E426" t="inlineStr">
        <is>
          <t>SALA</t>
        </is>
      </c>
      <c r="G426" t="n">
        <v>3.5</v>
      </c>
      <c r="H426" t="n">
        <v>0</v>
      </c>
      <c r="I426" t="n">
        <v>0</v>
      </c>
      <c r="J426" t="n">
        <v>0</v>
      </c>
      <c r="K426" t="n">
        <v>0</v>
      </c>
      <c r="L426" t="n">
        <v>0</v>
      </c>
      <c r="M426" t="n">
        <v>0</v>
      </c>
      <c r="N426" t="n">
        <v>0</v>
      </c>
      <c r="O426" t="n">
        <v>0</v>
      </c>
      <c r="P426" t="n">
        <v>0</v>
      </c>
      <c r="Q426" t="n">
        <v>0</v>
      </c>
      <c r="R426" s="2" t="inlineStr"/>
    </row>
    <row r="427" ht="15" customHeight="1">
      <c r="A427" t="inlineStr">
        <is>
          <t>A 17985-2025</t>
        </is>
      </c>
      <c r="B427" s="1" t="n">
        <v>45761</v>
      </c>
      <c r="C427" s="1" t="n">
        <v>46132</v>
      </c>
      <c r="D427" t="inlineStr">
        <is>
          <t>VÄSTMANLANDS LÄN</t>
        </is>
      </c>
      <c r="E427" t="inlineStr">
        <is>
          <t>SALA</t>
        </is>
      </c>
      <c r="G427" t="n">
        <v>12.5</v>
      </c>
      <c r="H427" t="n">
        <v>0</v>
      </c>
      <c r="I427" t="n">
        <v>0</v>
      </c>
      <c r="J427" t="n">
        <v>0</v>
      </c>
      <c r="K427" t="n">
        <v>0</v>
      </c>
      <c r="L427" t="n">
        <v>0</v>
      </c>
      <c r="M427" t="n">
        <v>0</v>
      </c>
      <c r="N427" t="n">
        <v>0</v>
      </c>
      <c r="O427" t="n">
        <v>0</v>
      </c>
      <c r="P427" t="n">
        <v>0</v>
      </c>
      <c r="Q427" t="n">
        <v>0</v>
      </c>
      <c r="R427" s="2" t="inlineStr"/>
    </row>
    <row r="428" ht="15" customHeight="1">
      <c r="A428" t="inlineStr">
        <is>
          <t>A 31869-2025</t>
        </is>
      </c>
      <c r="B428" s="1" t="n">
        <v>45834.64555555556</v>
      </c>
      <c r="C428" s="1" t="n">
        <v>46132</v>
      </c>
      <c r="D428" t="inlineStr">
        <is>
          <t>VÄSTMANLANDS LÄN</t>
        </is>
      </c>
      <c r="E428" t="inlineStr">
        <is>
          <t>SALA</t>
        </is>
      </c>
      <c r="G428" t="n">
        <v>17.5</v>
      </c>
      <c r="H428" t="n">
        <v>0</v>
      </c>
      <c r="I428" t="n">
        <v>0</v>
      </c>
      <c r="J428" t="n">
        <v>0</v>
      </c>
      <c r="K428" t="n">
        <v>0</v>
      </c>
      <c r="L428" t="n">
        <v>0</v>
      </c>
      <c r="M428" t="n">
        <v>0</v>
      </c>
      <c r="N428" t="n">
        <v>0</v>
      </c>
      <c r="O428" t="n">
        <v>0</v>
      </c>
      <c r="P428" t="n">
        <v>0</v>
      </c>
      <c r="Q428" t="n">
        <v>0</v>
      </c>
      <c r="R428" s="2" t="inlineStr"/>
    </row>
    <row r="429" ht="15" customHeight="1">
      <c r="A429" t="inlineStr">
        <is>
          <t>A 31863-2025</t>
        </is>
      </c>
      <c r="B429" s="1" t="n">
        <v>45834.63303240741</v>
      </c>
      <c r="C429" s="1" t="n">
        <v>46132</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31000-2022</t>
        </is>
      </c>
      <c r="B430" s="1" t="n">
        <v>44768</v>
      </c>
      <c r="C430" s="1" t="n">
        <v>46132</v>
      </c>
      <c r="D430" t="inlineStr">
        <is>
          <t>VÄSTMANLANDS LÄN</t>
        </is>
      </c>
      <c r="E430" t="inlineStr">
        <is>
          <t>SALA</t>
        </is>
      </c>
      <c r="G430" t="n">
        <v>5.7</v>
      </c>
      <c r="H430" t="n">
        <v>0</v>
      </c>
      <c r="I430" t="n">
        <v>0</v>
      </c>
      <c r="J430" t="n">
        <v>0</v>
      </c>
      <c r="K430" t="n">
        <v>0</v>
      </c>
      <c r="L430" t="n">
        <v>0</v>
      </c>
      <c r="M430" t="n">
        <v>0</v>
      </c>
      <c r="N430" t="n">
        <v>0</v>
      </c>
      <c r="O430" t="n">
        <v>0</v>
      </c>
      <c r="P430" t="n">
        <v>0</v>
      </c>
      <c r="Q430" t="n">
        <v>0</v>
      </c>
      <c r="R430" s="2" t="inlineStr"/>
    </row>
    <row r="431" ht="15" customHeight="1">
      <c r="A431" t="inlineStr">
        <is>
          <t>A 17766-2025</t>
        </is>
      </c>
      <c r="B431" s="1" t="n">
        <v>45758</v>
      </c>
      <c r="C431" s="1" t="n">
        <v>46132</v>
      </c>
      <c r="D431" t="inlineStr">
        <is>
          <t>VÄSTMANLANDS LÄN</t>
        </is>
      </c>
      <c r="E431" t="inlineStr">
        <is>
          <t>SALA</t>
        </is>
      </c>
      <c r="G431" t="n">
        <v>16.5</v>
      </c>
      <c r="H431" t="n">
        <v>0</v>
      </c>
      <c r="I431" t="n">
        <v>0</v>
      </c>
      <c r="J431" t="n">
        <v>0</v>
      </c>
      <c r="K431" t="n">
        <v>0</v>
      </c>
      <c r="L431" t="n">
        <v>0</v>
      </c>
      <c r="M431" t="n">
        <v>0</v>
      </c>
      <c r="N431" t="n">
        <v>0</v>
      </c>
      <c r="O431" t="n">
        <v>0</v>
      </c>
      <c r="P431" t="n">
        <v>0</v>
      </c>
      <c r="Q431" t="n">
        <v>0</v>
      </c>
      <c r="R431" s="2" t="inlineStr"/>
    </row>
    <row r="432" ht="15" customHeight="1">
      <c r="A432" t="inlineStr">
        <is>
          <t>A 7664-2023</t>
        </is>
      </c>
      <c r="B432" s="1" t="n">
        <v>44972</v>
      </c>
      <c r="C432" s="1" t="n">
        <v>46132</v>
      </c>
      <c r="D432" t="inlineStr">
        <is>
          <t>VÄSTMANLANDS LÄN</t>
        </is>
      </c>
      <c r="E432" t="inlineStr">
        <is>
          <t>SALA</t>
        </is>
      </c>
      <c r="G432" t="n">
        <v>1.4</v>
      </c>
      <c r="H432" t="n">
        <v>0</v>
      </c>
      <c r="I432" t="n">
        <v>0</v>
      </c>
      <c r="J432" t="n">
        <v>0</v>
      </c>
      <c r="K432" t="n">
        <v>0</v>
      </c>
      <c r="L432" t="n">
        <v>0</v>
      </c>
      <c r="M432" t="n">
        <v>0</v>
      </c>
      <c r="N432" t="n">
        <v>0</v>
      </c>
      <c r="O432" t="n">
        <v>0</v>
      </c>
      <c r="P432" t="n">
        <v>0</v>
      </c>
      <c r="Q432" t="n">
        <v>0</v>
      </c>
      <c r="R432" s="2" t="inlineStr"/>
    </row>
    <row r="433" ht="15" customHeight="1">
      <c r="A433" t="inlineStr">
        <is>
          <t>A 3546-2025</t>
        </is>
      </c>
      <c r="B433" s="1" t="n">
        <v>45680</v>
      </c>
      <c r="C433" s="1" t="n">
        <v>46132</v>
      </c>
      <c r="D433" t="inlineStr">
        <is>
          <t>VÄSTMANLANDS LÄN</t>
        </is>
      </c>
      <c r="E433" t="inlineStr">
        <is>
          <t>SALA</t>
        </is>
      </c>
      <c r="G433" t="n">
        <v>0.4</v>
      </c>
      <c r="H433" t="n">
        <v>0</v>
      </c>
      <c r="I433" t="n">
        <v>0</v>
      </c>
      <c r="J433" t="n">
        <v>0</v>
      </c>
      <c r="K433" t="n">
        <v>0</v>
      </c>
      <c r="L433" t="n">
        <v>0</v>
      </c>
      <c r="M433" t="n">
        <v>0</v>
      </c>
      <c r="N433" t="n">
        <v>0</v>
      </c>
      <c r="O433" t="n">
        <v>0</v>
      </c>
      <c r="P433" t="n">
        <v>0</v>
      </c>
      <c r="Q433" t="n">
        <v>0</v>
      </c>
      <c r="R433" s="2" t="inlineStr"/>
    </row>
    <row r="434" ht="15" customHeight="1">
      <c r="A434" t="inlineStr">
        <is>
          <t>A 31950-2023</t>
        </is>
      </c>
      <c r="B434" s="1" t="n">
        <v>45107</v>
      </c>
      <c r="C434" s="1" t="n">
        <v>46132</v>
      </c>
      <c r="D434" t="inlineStr">
        <is>
          <t>VÄSTMANLANDS LÄN</t>
        </is>
      </c>
      <c r="E434" t="inlineStr">
        <is>
          <t>SALA</t>
        </is>
      </c>
      <c r="G434" t="n">
        <v>0.1</v>
      </c>
      <c r="H434" t="n">
        <v>0</v>
      </c>
      <c r="I434" t="n">
        <v>0</v>
      </c>
      <c r="J434" t="n">
        <v>0</v>
      </c>
      <c r="K434" t="n">
        <v>0</v>
      </c>
      <c r="L434" t="n">
        <v>0</v>
      </c>
      <c r="M434" t="n">
        <v>0</v>
      </c>
      <c r="N434" t="n">
        <v>0</v>
      </c>
      <c r="O434" t="n">
        <v>0</v>
      </c>
      <c r="P434" t="n">
        <v>0</v>
      </c>
      <c r="Q434" t="n">
        <v>0</v>
      </c>
      <c r="R434" s="2" t="inlineStr"/>
    </row>
    <row r="435" ht="15" customHeight="1">
      <c r="A435" t="inlineStr">
        <is>
          <t>A 16693-2023</t>
        </is>
      </c>
      <c r="B435" s="1" t="n">
        <v>45028</v>
      </c>
      <c r="C435" s="1" t="n">
        <v>46132</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23182-2022</t>
        </is>
      </c>
      <c r="B436" s="1" t="n">
        <v>44719.79707175926</v>
      </c>
      <c r="C436" s="1" t="n">
        <v>46132</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37017-2025</t>
        </is>
      </c>
      <c r="B437" s="1" t="n">
        <v>45874</v>
      </c>
      <c r="C437" s="1" t="n">
        <v>46132</v>
      </c>
      <c r="D437" t="inlineStr">
        <is>
          <t>VÄSTMANLANDS LÄN</t>
        </is>
      </c>
      <c r="E437" t="inlineStr">
        <is>
          <t>SALA</t>
        </is>
      </c>
      <c r="G437" t="n">
        <v>11.1</v>
      </c>
      <c r="H437" t="n">
        <v>0</v>
      </c>
      <c r="I437" t="n">
        <v>0</v>
      </c>
      <c r="J437" t="n">
        <v>0</v>
      </c>
      <c r="K437" t="n">
        <v>0</v>
      </c>
      <c r="L437" t="n">
        <v>0</v>
      </c>
      <c r="M437" t="n">
        <v>0</v>
      </c>
      <c r="N437" t="n">
        <v>0</v>
      </c>
      <c r="O437" t="n">
        <v>0</v>
      </c>
      <c r="P437" t="n">
        <v>0</v>
      </c>
      <c r="Q437" t="n">
        <v>0</v>
      </c>
      <c r="R437" s="2" t="inlineStr"/>
    </row>
    <row r="438" ht="15" customHeight="1">
      <c r="A438" t="inlineStr">
        <is>
          <t>A 57371-2022</t>
        </is>
      </c>
      <c r="B438" s="1" t="n">
        <v>44896.43832175926</v>
      </c>
      <c r="C438" s="1" t="n">
        <v>46132</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37103-2025</t>
        </is>
      </c>
      <c r="B439" s="1" t="n">
        <v>45875.47743055555</v>
      </c>
      <c r="C439" s="1" t="n">
        <v>46132</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37246-2025</t>
        </is>
      </c>
      <c r="B440" s="1" t="n">
        <v>45876.39435185185</v>
      </c>
      <c r="C440" s="1" t="n">
        <v>46132</v>
      </c>
      <c r="D440" t="inlineStr">
        <is>
          <t>VÄSTMANLANDS LÄN</t>
        </is>
      </c>
      <c r="E440" t="inlineStr">
        <is>
          <t>SALA</t>
        </is>
      </c>
      <c r="G440" t="n">
        <v>2.3</v>
      </c>
      <c r="H440" t="n">
        <v>0</v>
      </c>
      <c r="I440" t="n">
        <v>0</v>
      </c>
      <c r="J440" t="n">
        <v>0</v>
      </c>
      <c r="K440" t="n">
        <v>0</v>
      </c>
      <c r="L440" t="n">
        <v>0</v>
      </c>
      <c r="M440" t="n">
        <v>0</v>
      </c>
      <c r="N440" t="n">
        <v>0</v>
      </c>
      <c r="O440" t="n">
        <v>0</v>
      </c>
      <c r="P440" t="n">
        <v>0</v>
      </c>
      <c r="Q440" t="n">
        <v>0</v>
      </c>
      <c r="R440" s="2" t="inlineStr"/>
    </row>
    <row r="441" ht="15" customHeight="1">
      <c r="A441" t="inlineStr">
        <is>
          <t>A 58357-2025</t>
        </is>
      </c>
      <c r="B441" s="1" t="n">
        <v>45985.51518518518</v>
      </c>
      <c r="C441" s="1" t="n">
        <v>46132</v>
      </c>
      <c r="D441" t="inlineStr">
        <is>
          <t>VÄSTMANLANDS LÄN</t>
        </is>
      </c>
      <c r="E441" t="inlineStr">
        <is>
          <t>SALA</t>
        </is>
      </c>
      <c r="G441" t="n">
        <v>3</v>
      </c>
      <c r="H441" t="n">
        <v>0</v>
      </c>
      <c r="I441" t="n">
        <v>0</v>
      </c>
      <c r="J441" t="n">
        <v>0</v>
      </c>
      <c r="K441" t="n">
        <v>0</v>
      </c>
      <c r="L441" t="n">
        <v>0</v>
      </c>
      <c r="M441" t="n">
        <v>0</v>
      </c>
      <c r="N441" t="n">
        <v>0</v>
      </c>
      <c r="O441" t="n">
        <v>0</v>
      </c>
      <c r="P441" t="n">
        <v>0</v>
      </c>
      <c r="Q441" t="n">
        <v>0</v>
      </c>
      <c r="R441" s="2" t="inlineStr"/>
    </row>
    <row r="442" ht="15" customHeight="1">
      <c r="A442" t="inlineStr">
        <is>
          <t>A 56548-2024</t>
        </is>
      </c>
      <c r="B442" s="1" t="n">
        <v>45625</v>
      </c>
      <c r="C442" s="1" t="n">
        <v>46132</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47086-2022</t>
        </is>
      </c>
      <c r="B443" s="1" t="n">
        <v>44852</v>
      </c>
      <c r="C443" s="1" t="n">
        <v>46132</v>
      </c>
      <c r="D443" t="inlineStr">
        <is>
          <t>VÄSTMANLANDS LÄN</t>
        </is>
      </c>
      <c r="E443" t="inlineStr">
        <is>
          <t>SALA</t>
        </is>
      </c>
      <c r="G443" t="n">
        <v>12.5</v>
      </c>
      <c r="H443" t="n">
        <v>0</v>
      </c>
      <c r="I443" t="n">
        <v>0</v>
      </c>
      <c r="J443" t="n">
        <v>0</v>
      </c>
      <c r="K443" t="n">
        <v>0</v>
      </c>
      <c r="L443" t="n">
        <v>0</v>
      </c>
      <c r="M443" t="n">
        <v>0</v>
      </c>
      <c r="N443" t="n">
        <v>0</v>
      </c>
      <c r="O443" t="n">
        <v>0</v>
      </c>
      <c r="P443" t="n">
        <v>0</v>
      </c>
      <c r="Q443" t="n">
        <v>0</v>
      </c>
      <c r="R443" s="2" t="inlineStr"/>
    </row>
    <row r="444" ht="15" customHeight="1">
      <c r="A444" t="inlineStr">
        <is>
          <t>A 55760-2025</t>
        </is>
      </c>
      <c r="B444" s="1" t="n">
        <v>45972</v>
      </c>
      <c r="C444" s="1" t="n">
        <v>46132</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58365-2025</t>
        </is>
      </c>
      <c r="B445" s="1" t="n">
        <v>45985.52288194445</v>
      </c>
      <c r="C445" s="1" t="n">
        <v>46132</v>
      </c>
      <c r="D445" t="inlineStr">
        <is>
          <t>VÄSTMANLANDS LÄN</t>
        </is>
      </c>
      <c r="E445" t="inlineStr">
        <is>
          <t>SALA</t>
        </is>
      </c>
      <c r="G445" t="n">
        <v>3.9</v>
      </c>
      <c r="H445" t="n">
        <v>0</v>
      </c>
      <c r="I445" t="n">
        <v>0</v>
      </c>
      <c r="J445" t="n">
        <v>0</v>
      </c>
      <c r="K445" t="n">
        <v>0</v>
      </c>
      <c r="L445" t="n">
        <v>0</v>
      </c>
      <c r="M445" t="n">
        <v>0</v>
      </c>
      <c r="N445" t="n">
        <v>0</v>
      </c>
      <c r="O445" t="n">
        <v>0</v>
      </c>
      <c r="P445" t="n">
        <v>0</v>
      </c>
      <c r="Q445" t="n">
        <v>0</v>
      </c>
      <c r="R445" s="2" t="inlineStr"/>
    </row>
    <row r="446" ht="15" customHeight="1">
      <c r="A446" t="inlineStr">
        <is>
          <t>A 37590-2025</t>
        </is>
      </c>
      <c r="B446" s="1" t="n">
        <v>45880.41138888889</v>
      </c>
      <c r="C446" s="1" t="n">
        <v>46132</v>
      </c>
      <c r="D446" t="inlineStr">
        <is>
          <t>VÄSTMANLANDS LÄN</t>
        </is>
      </c>
      <c r="E446" t="inlineStr">
        <is>
          <t>SALA</t>
        </is>
      </c>
      <c r="G446" t="n">
        <v>2.2</v>
      </c>
      <c r="H446" t="n">
        <v>0</v>
      </c>
      <c r="I446" t="n">
        <v>0</v>
      </c>
      <c r="J446" t="n">
        <v>0</v>
      </c>
      <c r="K446" t="n">
        <v>0</v>
      </c>
      <c r="L446" t="n">
        <v>0</v>
      </c>
      <c r="M446" t="n">
        <v>0</v>
      </c>
      <c r="N446" t="n">
        <v>0</v>
      </c>
      <c r="O446" t="n">
        <v>0</v>
      </c>
      <c r="P446" t="n">
        <v>0</v>
      </c>
      <c r="Q446" t="n">
        <v>0</v>
      </c>
      <c r="R446" s="2" t="inlineStr"/>
    </row>
    <row r="447" ht="15" customHeight="1">
      <c r="A447" t="inlineStr">
        <is>
          <t>A 37593-2025</t>
        </is>
      </c>
      <c r="B447" s="1" t="n">
        <v>45880.41325231481</v>
      </c>
      <c r="C447" s="1" t="n">
        <v>46132</v>
      </c>
      <c r="D447" t="inlineStr">
        <is>
          <t>VÄSTMANLANDS LÄN</t>
        </is>
      </c>
      <c r="E447" t="inlineStr">
        <is>
          <t>SALA</t>
        </is>
      </c>
      <c r="G447" t="n">
        <v>1.4</v>
      </c>
      <c r="H447" t="n">
        <v>0</v>
      </c>
      <c r="I447" t="n">
        <v>0</v>
      </c>
      <c r="J447" t="n">
        <v>0</v>
      </c>
      <c r="K447" t="n">
        <v>0</v>
      </c>
      <c r="L447" t="n">
        <v>0</v>
      </c>
      <c r="M447" t="n">
        <v>0</v>
      </c>
      <c r="N447" t="n">
        <v>0</v>
      </c>
      <c r="O447" t="n">
        <v>0</v>
      </c>
      <c r="P447" t="n">
        <v>0</v>
      </c>
      <c r="Q447" t="n">
        <v>0</v>
      </c>
      <c r="R447" s="2" t="inlineStr"/>
    </row>
    <row r="448" ht="15" customHeight="1">
      <c r="A448" t="inlineStr">
        <is>
          <t>A 58282-2025</t>
        </is>
      </c>
      <c r="B448" s="1" t="n">
        <v>45985.44309027777</v>
      </c>
      <c r="C448" s="1" t="n">
        <v>46132</v>
      </c>
      <c r="D448" t="inlineStr">
        <is>
          <t>VÄSTMANLANDS LÄN</t>
        </is>
      </c>
      <c r="E448" t="inlineStr">
        <is>
          <t>SALA</t>
        </is>
      </c>
      <c r="G448" t="n">
        <v>8.9</v>
      </c>
      <c r="H448" t="n">
        <v>0</v>
      </c>
      <c r="I448" t="n">
        <v>0</v>
      </c>
      <c r="J448" t="n">
        <v>0</v>
      </c>
      <c r="K448" t="n">
        <v>0</v>
      </c>
      <c r="L448" t="n">
        <v>0</v>
      </c>
      <c r="M448" t="n">
        <v>0</v>
      </c>
      <c r="N448" t="n">
        <v>0</v>
      </c>
      <c r="O448" t="n">
        <v>0</v>
      </c>
      <c r="P448" t="n">
        <v>0</v>
      </c>
      <c r="Q448" t="n">
        <v>0</v>
      </c>
      <c r="R448" s="2" t="inlineStr"/>
    </row>
    <row r="449" ht="15" customHeight="1">
      <c r="A449" t="inlineStr">
        <is>
          <t>A 58359-2025</t>
        </is>
      </c>
      <c r="B449" s="1" t="n">
        <v>45985.51594907408</v>
      </c>
      <c r="C449" s="1" t="n">
        <v>46132</v>
      </c>
      <c r="D449" t="inlineStr">
        <is>
          <t>VÄSTMANLANDS LÄN</t>
        </is>
      </c>
      <c r="E449" t="inlineStr">
        <is>
          <t>SALA</t>
        </is>
      </c>
      <c r="G449" t="n">
        <v>3.7</v>
      </c>
      <c r="H449" t="n">
        <v>0</v>
      </c>
      <c r="I449" t="n">
        <v>0</v>
      </c>
      <c r="J449" t="n">
        <v>0</v>
      </c>
      <c r="K449" t="n">
        <v>0</v>
      </c>
      <c r="L449" t="n">
        <v>0</v>
      </c>
      <c r="M449" t="n">
        <v>0</v>
      </c>
      <c r="N449" t="n">
        <v>0</v>
      </c>
      <c r="O449" t="n">
        <v>0</v>
      </c>
      <c r="P449" t="n">
        <v>0</v>
      </c>
      <c r="Q449" t="n">
        <v>0</v>
      </c>
      <c r="R449" s="2" t="inlineStr"/>
    </row>
    <row r="450" ht="15" customHeight="1">
      <c r="A450" t="inlineStr">
        <is>
          <t>A 58364-2025</t>
        </is>
      </c>
      <c r="B450" s="1" t="n">
        <v>45985.5228125</v>
      </c>
      <c r="C450" s="1" t="n">
        <v>46132</v>
      </c>
      <c r="D450" t="inlineStr">
        <is>
          <t>VÄSTMANLANDS LÄN</t>
        </is>
      </c>
      <c r="E450" t="inlineStr">
        <is>
          <t>SALA</t>
        </is>
      </c>
      <c r="G450" t="n">
        <v>2.1</v>
      </c>
      <c r="H450" t="n">
        <v>0</v>
      </c>
      <c r="I450" t="n">
        <v>0</v>
      </c>
      <c r="J450" t="n">
        <v>0</v>
      </c>
      <c r="K450" t="n">
        <v>0</v>
      </c>
      <c r="L450" t="n">
        <v>0</v>
      </c>
      <c r="M450" t="n">
        <v>0</v>
      </c>
      <c r="N450" t="n">
        <v>0</v>
      </c>
      <c r="O450" t="n">
        <v>0</v>
      </c>
      <c r="P450" t="n">
        <v>0</v>
      </c>
      <c r="Q450" t="n">
        <v>0</v>
      </c>
      <c r="R450" s="2" t="inlineStr"/>
    </row>
    <row r="451" ht="15" customHeight="1">
      <c r="A451" t="inlineStr">
        <is>
          <t>A 51247-2025</t>
        </is>
      </c>
      <c r="B451" s="1" t="n">
        <v>45947.86487268518</v>
      </c>
      <c r="C451" s="1" t="n">
        <v>46132</v>
      </c>
      <c r="D451" t="inlineStr">
        <is>
          <t>VÄSTMANLANDS LÄN</t>
        </is>
      </c>
      <c r="E451" t="inlineStr">
        <is>
          <t>SALA</t>
        </is>
      </c>
      <c r="G451" t="n">
        <v>10.4</v>
      </c>
      <c r="H451" t="n">
        <v>0</v>
      </c>
      <c r="I451" t="n">
        <v>0</v>
      </c>
      <c r="J451" t="n">
        <v>0</v>
      </c>
      <c r="K451" t="n">
        <v>0</v>
      </c>
      <c r="L451" t="n">
        <v>0</v>
      </c>
      <c r="M451" t="n">
        <v>0</v>
      </c>
      <c r="N451" t="n">
        <v>0</v>
      </c>
      <c r="O451" t="n">
        <v>0</v>
      </c>
      <c r="P451" t="n">
        <v>0</v>
      </c>
      <c r="Q451" t="n">
        <v>0</v>
      </c>
      <c r="R451" s="2" t="inlineStr"/>
    </row>
    <row r="452" ht="15" customHeight="1">
      <c r="A452" t="inlineStr">
        <is>
          <t>A 43359-2024</t>
        </is>
      </c>
      <c r="B452" s="1" t="n">
        <v>45568.57724537037</v>
      </c>
      <c r="C452" s="1" t="n">
        <v>46132</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29972-2025</t>
        </is>
      </c>
      <c r="B453" s="1" t="n">
        <v>45826</v>
      </c>
      <c r="C453" s="1" t="n">
        <v>46132</v>
      </c>
      <c r="D453" t="inlineStr">
        <is>
          <t>VÄSTMANLANDS LÄN</t>
        </is>
      </c>
      <c r="E453" t="inlineStr">
        <is>
          <t>SALA</t>
        </is>
      </c>
      <c r="G453" t="n">
        <v>2.7</v>
      </c>
      <c r="H453" t="n">
        <v>0</v>
      </c>
      <c r="I453" t="n">
        <v>0</v>
      </c>
      <c r="J453" t="n">
        <v>0</v>
      </c>
      <c r="K453" t="n">
        <v>0</v>
      </c>
      <c r="L453" t="n">
        <v>0</v>
      </c>
      <c r="M453" t="n">
        <v>0</v>
      </c>
      <c r="N453" t="n">
        <v>0</v>
      </c>
      <c r="O453" t="n">
        <v>0</v>
      </c>
      <c r="P453" t="n">
        <v>0</v>
      </c>
      <c r="Q453" t="n">
        <v>0</v>
      </c>
      <c r="R453" s="2" t="inlineStr"/>
    </row>
    <row r="454" ht="15" customHeight="1">
      <c r="A454" t="inlineStr">
        <is>
          <t>A 988-2025</t>
        </is>
      </c>
      <c r="B454" s="1" t="n">
        <v>45666.44038194444</v>
      </c>
      <c r="C454" s="1" t="n">
        <v>46132</v>
      </c>
      <c r="D454" t="inlineStr">
        <is>
          <t>VÄSTMANLANDS LÄN</t>
        </is>
      </c>
      <c r="E454" t="inlineStr">
        <is>
          <t>SALA</t>
        </is>
      </c>
      <c r="G454" t="n">
        <v>1.3</v>
      </c>
      <c r="H454" t="n">
        <v>0</v>
      </c>
      <c r="I454" t="n">
        <v>0</v>
      </c>
      <c r="J454" t="n">
        <v>0</v>
      </c>
      <c r="K454" t="n">
        <v>0</v>
      </c>
      <c r="L454" t="n">
        <v>0</v>
      </c>
      <c r="M454" t="n">
        <v>0</v>
      </c>
      <c r="N454" t="n">
        <v>0</v>
      </c>
      <c r="O454" t="n">
        <v>0</v>
      </c>
      <c r="P454" t="n">
        <v>0</v>
      </c>
      <c r="Q454" t="n">
        <v>0</v>
      </c>
      <c r="R454" s="2" t="inlineStr"/>
    </row>
    <row r="455" ht="15" customHeight="1">
      <c r="A455" t="inlineStr">
        <is>
          <t>A 5032-2025</t>
        </is>
      </c>
      <c r="B455" s="1" t="n">
        <v>45691</v>
      </c>
      <c r="C455" s="1" t="n">
        <v>46132</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59817-2025</t>
        </is>
      </c>
      <c r="B456" s="1" t="n">
        <v>45992.63711805556</v>
      </c>
      <c r="C456" s="1" t="n">
        <v>46132</v>
      </c>
      <c r="D456" t="inlineStr">
        <is>
          <t>VÄSTMANLANDS LÄN</t>
        </is>
      </c>
      <c r="E456" t="inlineStr">
        <is>
          <t>SALA</t>
        </is>
      </c>
      <c r="G456" t="n">
        <v>6.9</v>
      </c>
      <c r="H456" t="n">
        <v>0</v>
      </c>
      <c r="I456" t="n">
        <v>0</v>
      </c>
      <c r="J456" t="n">
        <v>0</v>
      </c>
      <c r="K456" t="n">
        <v>0</v>
      </c>
      <c r="L456" t="n">
        <v>0</v>
      </c>
      <c r="M456" t="n">
        <v>0</v>
      </c>
      <c r="N456" t="n">
        <v>0</v>
      </c>
      <c r="O456" t="n">
        <v>0</v>
      </c>
      <c r="P456" t="n">
        <v>0</v>
      </c>
      <c r="Q456" t="n">
        <v>0</v>
      </c>
      <c r="R456" s="2" t="inlineStr"/>
    </row>
    <row r="457" ht="15" customHeight="1">
      <c r="A457" t="inlineStr">
        <is>
          <t>A 59390-2025</t>
        </is>
      </c>
      <c r="B457" s="1" t="n">
        <v>45989.4640162037</v>
      </c>
      <c r="C457" s="1" t="n">
        <v>46132</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59385-2025</t>
        </is>
      </c>
      <c r="B458" s="1" t="n">
        <v>45989.45746527778</v>
      </c>
      <c r="C458" s="1" t="n">
        <v>46132</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66908-2021</t>
        </is>
      </c>
      <c r="B459" s="1" t="n">
        <v>44522</v>
      </c>
      <c r="C459" s="1" t="n">
        <v>46132</v>
      </c>
      <c r="D459" t="inlineStr">
        <is>
          <t>VÄSTMANLANDS LÄN</t>
        </is>
      </c>
      <c r="E459" t="inlineStr">
        <is>
          <t>SALA</t>
        </is>
      </c>
      <c r="G459" t="n">
        <v>2.6</v>
      </c>
      <c r="H459" t="n">
        <v>0</v>
      </c>
      <c r="I459" t="n">
        <v>0</v>
      </c>
      <c r="J459" t="n">
        <v>0</v>
      </c>
      <c r="K459" t="n">
        <v>0</v>
      </c>
      <c r="L459" t="n">
        <v>0</v>
      </c>
      <c r="M459" t="n">
        <v>0</v>
      </c>
      <c r="N459" t="n">
        <v>0</v>
      </c>
      <c r="O459" t="n">
        <v>0</v>
      </c>
      <c r="P459" t="n">
        <v>0</v>
      </c>
      <c r="Q459" t="n">
        <v>0</v>
      </c>
      <c r="R459" s="2" t="inlineStr"/>
    </row>
    <row r="460" ht="15" customHeight="1">
      <c r="A460" t="inlineStr">
        <is>
          <t>A 60017-2025</t>
        </is>
      </c>
      <c r="B460" s="1" t="n">
        <v>45993.59998842593</v>
      </c>
      <c r="C460" s="1" t="n">
        <v>46132</v>
      </c>
      <c r="D460" t="inlineStr">
        <is>
          <t>VÄSTMANLANDS LÄN</t>
        </is>
      </c>
      <c r="E460" t="inlineStr">
        <is>
          <t>SALA</t>
        </is>
      </c>
      <c r="G460" t="n">
        <v>4.4</v>
      </c>
      <c r="H460" t="n">
        <v>0</v>
      </c>
      <c r="I460" t="n">
        <v>0</v>
      </c>
      <c r="J460" t="n">
        <v>0</v>
      </c>
      <c r="K460" t="n">
        <v>0</v>
      </c>
      <c r="L460" t="n">
        <v>0</v>
      </c>
      <c r="M460" t="n">
        <v>0</v>
      </c>
      <c r="N460" t="n">
        <v>0</v>
      </c>
      <c r="O460" t="n">
        <v>0</v>
      </c>
      <c r="P460" t="n">
        <v>0</v>
      </c>
      <c r="Q460" t="n">
        <v>0</v>
      </c>
      <c r="R460" s="2" t="inlineStr"/>
    </row>
    <row r="461" ht="15" customHeight="1">
      <c r="A461" t="inlineStr">
        <is>
          <t>A 60258-2025</t>
        </is>
      </c>
      <c r="B461" s="1" t="n">
        <v>45994.6064699074</v>
      </c>
      <c r="C461" s="1" t="n">
        <v>46132</v>
      </c>
      <c r="D461" t="inlineStr">
        <is>
          <t>VÄSTMANLANDS LÄN</t>
        </is>
      </c>
      <c r="E461" t="inlineStr">
        <is>
          <t>SALA</t>
        </is>
      </c>
      <c r="G461" t="n">
        <v>2.2</v>
      </c>
      <c r="H461" t="n">
        <v>0</v>
      </c>
      <c r="I461" t="n">
        <v>0</v>
      </c>
      <c r="J461" t="n">
        <v>0</v>
      </c>
      <c r="K461" t="n">
        <v>0</v>
      </c>
      <c r="L461" t="n">
        <v>0</v>
      </c>
      <c r="M461" t="n">
        <v>0</v>
      </c>
      <c r="N461" t="n">
        <v>0</v>
      </c>
      <c r="O461" t="n">
        <v>0</v>
      </c>
      <c r="P461" t="n">
        <v>0</v>
      </c>
      <c r="Q461" t="n">
        <v>0</v>
      </c>
      <c r="R461" s="2" t="inlineStr"/>
    </row>
    <row r="462" ht="15" customHeight="1">
      <c r="A462" t="inlineStr">
        <is>
          <t>A 11696-2025</t>
        </is>
      </c>
      <c r="B462" s="1" t="n">
        <v>45727</v>
      </c>
      <c r="C462" s="1" t="n">
        <v>46132</v>
      </c>
      <c r="D462" t="inlineStr">
        <is>
          <t>VÄSTMANLANDS LÄN</t>
        </is>
      </c>
      <c r="E462" t="inlineStr">
        <is>
          <t>SALA</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60241-2025</t>
        </is>
      </c>
      <c r="B463" s="1" t="n">
        <v>45994.58454861111</v>
      </c>
      <c r="C463" s="1" t="n">
        <v>46132</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59870-2025</t>
        </is>
      </c>
      <c r="B464" s="1" t="n">
        <v>45992.92226851852</v>
      </c>
      <c r="C464" s="1" t="n">
        <v>46132</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60259-2025</t>
        </is>
      </c>
      <c r="B465" s="1" t="n">
        <v>45994.60913194445</v>
      </c>
      <c r="C465" s="1" t="n">
        <v>46132</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60246-2025</t>
        </is>
      </c>
      <c r="B466" s="1" t="n">
        <v>45994.58931712963</v>
      </c>
      <c r="C466" s="1" t="n">
        <v>46132</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60254-2025</t>
        </is>
      </c>
      <c r="B467" s="1" t="n">
        <v>45994.60146990741</v>
      </c>
      <c r="C467" s="1" t="n">
        <v>46132</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59926-2025</t>
        </is>
      </c>
      <c r="B468" s="1" t="n">
        <v>45993.39221064815</v>
      </c>
      <c r="C468" s="1" t="n">
        <v>46132</v>
      </c>
      <c r="D468" t="inlineStr">
        <is>
          <t>VÄSTMANLANDS LÄN</t>
        </is>
      </c>
      <c r="E468" t="inlineStr">
        <is>
          <t>SALA</t>
        </is>
      </c>
      <c r="G468" t="n">
        <v>7.1</v>
      </c>
      <c r="H468" t="n">
        <v>0</v>
      </c>
      <c r="I468" t="n">
        <v>0</v>
      </c>
      <c r="J468" t="n">
        <v>0</v>
      </c>
      <c r="K468" t="n">
        <v>0</v>
      </c>
      <c r="L468" t="n">
        <v>0</v>
      </c>
      <c r="M468" t="n">
        <v>0</v>
      </c>
      <c r="N468" t="n">
        <v>0</v>
      </c>
      <c r="O468" t="n">
        <v>0</v>
      </c>
      <c r="P468" t="n">
        <v>0</v>
      </c>
      <c r="Q468" t="n">
        <v>0</v>
      </c>
      <c r="R468" s="2" t="inlineStr"/>
    </row>
    <row r="469" ht="15" customHeight="1">
      <c r="A469" t="inlineStr">
        <is>
          <t>A 43509-2021</t>
        </is>
      </c>
      <c r="B469" s="1" t="n">
        <v>44433</v>
      </c>
      <c r="C469" s="1" t="n">
        <v>46132</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60629-2025</t>
        </is>
      </c>
      <c r="B470" s="1" t="n">
        <v>45996.41972222222</v>
      </c>
      <c r="C470" s="1" t="n">
        <v>46132</v>
      </c>
      <c r="D470" t="inlineStr">
        <is>
          <t>VÄSTMANLANDS LÄN</t>
        </is>
      </c>
      <c r="E470" t="inlineStr">
        <is>
          <t>SALA</t>
        </is>
      </c>
      <c r="G470" t="n">
        <v>4.3</v>
      </c>
      <c r="H470" t="n">
        <v>0</v>
      </c>
      <c r="I470" t="n">
        <v>0</v>
      </c>
      <c r="J470" t="n">
        <v>0</v>
      </c>
      <c r="K470" t="n">
        <v>0</v>
      </c>
      <c r="L470" t="n">
        <v>0</v>
      </c>
      <c r="M470" t="n">
        <v>0</v>
      </c>
      <c r="N470" t="n">
        <v>0</v>
      </c>
      <c r="O470" t="n">
        <v>0</v>
      </c>
      <c r="P470" t="n">
        <v>0</v>
      </c>
      <c r="Q470" t="n">
        <v>0</v>
      </c>
      <c r="R470" s="2" t="inlineStr"/>
    </row>
    <row r="471" ht="15" customHeight="1">
      <c r="A471" t="inlineStr">
        <is>
          <t>A 13746-2025</t>
        </is>
      </c>
      <c r="B471" s="1" t="n">
        <v>45737.40944444444</v>
      </c>
      <c r="C471" s="1" t="n">
        <v>46132</v>
      </c>
      <c r="D471" t="inlineStr">
        <is>
          <t>VÄSTMANLANDS LÄN</t>
        </is>
      </c>
      <c r="E471" t="inlineStr">
        <is>
          <t>SALA</t>
        </is>
      </c>
      <c r="G471" t="n">
        <v>2.1</v>
      </c>
      <c r="H471" t="n">
        <v>0</v>
      </c>
      <c r="I471" t="n">
        <v>0</v>
      </c>
      <c r="J471" t="n">
        <v>0</v>
      </c>
      <c r="K471" t="n">
        <v>0</v>
      </c>
      <c r="L471" t="n">
        <v>0</v>
      </c>
      <c r="M471" t="n">
        <v>0</v>
      </c>
      <c r="N471" t="n">
        <v>0</v>
      </c>
      <c r="O471" t="n">
        <v>0</v>
      </c>
      <c r="P471" t="n">
        <v>0</v>
      </c>
      <c r="Q471" t="n">
        <v>0</v>
      </c>
      <c r="R471" s="2" t="inlineStr"/>
    </row>
    <row r="472" ht="15" customHeight="1">
      <c r="A472" t="inlineStr">
        <is>
          <t>A 25897-2024</t>
        </is>
      </c>
      <c r="B472" s="1" t="n">
        <v>45467.54435185185</v>
      </c>
      <c r="C472" s="1" t="n">
        <v>46132</v>
      </c>
      <c r="D472" t="inlineStr">
        <is>
          <t>VÄSTMANLANDS LÄN</t>
        </is>
      </c>
      <c r="E472" t="inlineStr">
        <is>
          <t>SALA</t>
        </is>
      </c>
      <c r="G472" t="n">
        <v>9.9</v>
      </c>
      <c r="H472" t="n">
        <v>0</v>
      </c>
      <c r="I472" t="n">
        <v>0</v>
      </c>
      <c r="J472" t="n">
        <v>0</v>
      </c>
      <c r="K472" t="n">
        <v>0</v>
      </c>
      <c r="L472" t="n">
        <v>0</v>
      </c>
      <c r="M472" t="n">
        <v>0</v>
      </c>
      <c r="N472" t="n">
        <v>0</v>
      </c>
      <c r="O472" t="n">
        <v>0</v>
      </c>
      <c r="P472" t="n">
        <v>0</v>
      </c>
      <c r="Q472" t="n">
        <v>0</v>
      </c>
      <c r="R472" s="2" t="inlineStr"/>
    </row>
    <row r="473" ht="15" customHeight="1">
      <c r="A473" t="inlineStr">
        <is>
          <t>A 23222-2023</t>
        </is>
      </c>
      <c r="B473" s="1" t="n">
        <v>45075</v>
      </c>
      <c r="C473" s="1" t="n">
        <v>46132</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23224-2023</t>
        </is>
      </c>
      <c r="B474" s="1" t="n">
        <v>45075.65040509259</v>
      </c>
      <c r="C474" s="1" t="n">
        <v>46132</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50479-2022</t>
        </is>
      </c>
      <c r="B475" s="1" t="n">
        <v>44861</v>
      </c>
      <c r="C475" s="1" t="n">
        <v>46132</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14919-2025</t>
        </is>
      </c>
      <c r="B476" s="1" t="n">
        <v>45743.54256944444</v>
      </c>
      <c r="C476" s="1" t="n">
        <v>46132</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14920-2025</t>
        </is>
      </c>
      <c r="B477" s="1" t="n">
        <v>45743</v>
      </c>
      <c r="C477" s="1" t="n">
        <v>46132</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13855-2023</t>
        </is>
      </c>
      <c r="B478" s="1" t="n">
        <v>45007</v>
      </c>
      <c r="C478" s="1" t="n">
        <v>46132</v>
      </c>
      <c r="D478" t="inlineStr">
        <is>
          <t>VÄSTMANLANDS LÄN</t>
        </is>
      </c>
      <c r="E478" t="inlineStr">
        <is>
          <t>SALA</t>
        </is>
      </c>
      <c r="G478" t="n">
        <v>2.9</v>
      </c>
      <c r="H478" t="n">
        <v>0</v>
      </c>
      <c r="I478" t="n">
        <v>0</v>
      </c>
      <c r="J478" t="n">
        <v>0</v>
      </c>
      <c r="K478" t="n">
        <v>0</v>
      </c>
      <c r="L478" t="n">
        <v>0</v>
      </c>
      <c r="M478" t="n">
        <v>0</v>
      </c>
      <c r="N478" t="n">
        <v>0</v>
      </c>
      <c r="O478" t="n">
        <v>0</v>
      </c>
      <c r="P478" t="n">
        <v>0</v>
      </c>
      <c r="Q478" t="n">
        <v>0</v>
      </c>
      <c r="R478" s="2" t="inlineStr"/>
    </row>
    <row r="479" ht="15" customHeight="1">
      <c r="A479" t="inlineStr">
        <is>
          <t>A 18877-2023</t>
        </is>
      </c>
      <c r="B479" s="1" t="n">
        <v>45044</v>
      </c>
      <c r="C479" s="1" t="n">
        <v>46132</v>
      </c>
      <c r="D479" t="inlineStr">
        <is>
          <t>VÄSTMANLANDS LÄN</t>
        </is>
      </c>
      <c r="E479" t="inlineStr">
        <is>
          <t>SALA</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55556-2023</t>
        </is>
      </c>
      <c r="B480" s="1" t="n">
        <v>45232</v>
      </c>
      <c r="C480" s="1" t="n">
        <v>46132</v>
      </c>
      <c r="D480" t="inlineStr">
        <is>
          <t>VÄSTMANLANDS LÄN</t>
        </is>
      </c>
      <c r="E480" t="inlineStr">
        <is>
          <t>SALA</t>
        </is>
      </c>
      <c r="G480" t="n">
        <v>1.3</v>
      </c>
      <c r="H480" t="n">
        <v>0</v>
      </c>
      <c r="I480" t="n">
        <v>0</v>
      </c>
      <c r="J480" t="n">
        <v>0</v>
      </c>
      <c r="K480" t="n">
        <v>0</v>
      </c>
      <c r="L480" t="n">
        <v>0</v>
      </c>
      <c r="M480" t="n">
        <v>0</v>
      </c>
      <c r="N480" t="n">
        <v>0</v>
      </c>
      <c r="O480" t="n">
        <v>0</v>
      </c>
      <c r="P480" t="n">
        <v>0</v>
      </c>
      <c r="Q480" t="n">
        <v>0</v>
      </c>
      <c r="R480" s="2" t="inlineStr"/>
    </row>
    <row r="481" ht="15" customHeight="1">
      <c r="A481" t="inlineStr">
        <is>
          <t>A 34494-2023</t>
        </is>
      </c>
      <c r="B481" s="1" t="n">
        <v>45133</v>
      </c>
      <c r="C481" s="1" t="n">
        <v>46132</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61522-2025</t>
        </is>
      </c>
      <c r="B482" s="1" t="n">
        <v>46001.68684027778</v>
      </c>
      <c r="C482" s="1" t="n">
        <v>46132</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13752-2025</t>
        </is>
      </c>
      <c r="B483" s="1" t="n">
        <v>45737.41416666667</v>
      </c>
      <c r="C483" s="1" t="n">
        <v>46132</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19398-2025</t>
        </is>
      </c>
      <c r="B484" s="1" t="n">
        <v>45769</v>
      </c>
      <c r="C484" s="1" t="n">
        <v>46132</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22921-2023</t>
        </is>
      </c>
      <c r="B485" s="1" t="n">
        <v>45070</v>
      </c>
      <c r="C485" s="1" t="n">
        <v>46132</v>
      </c>
      <c r="D485" t="inlineStr">
        <is>
          <t>VÄSTMANLANDS LÄN</t>
        </is>
      </c>
      <c r="E485" t="inlineStr">
        <is>
          <t>SALA</t>
        </is>
      </c>
      <c r="G485" t="n">
        <v>1.3</v>
      </c>
      <c r="H485" t="n">
        <v>0</v>
      </c>
      <c r="I485" t="n">
        <v>0</v>
      </c>
      <c r="J485" t="n">
        <v>0</v>
      </c>
      <c r="K485" t="n">
        <v>0</v>
      </c>
      <c r="L485" t="n">
        <v>0</v>
      </c>
      <c r="M485" t="n">
        <v>0</v>
      </c>
      <c r="N485" t="n">
        <v>0</v>
      </c>
      <c r="O485" t="n">
        <v>0</v>
      </c>
      <c r="P485" t="n">
        <v>0</v>
      </c>
      <c r="Q485" t="n">
        <v>0</v>
      </c>
      <c r="R485" s="2" t="inlineStr"/>
    </row>
    <row r="486" ht="15" customHeight="1">
      <c r="A486" t="inlineStr">
        <is>
          <t>A 62523-2025</t>
        </is>
      </c>
      <c r="B486" s="1" t="n">
        <v>46007.61512731481</v>
      </c>
      <c r="C486" s="1" t="n">
        <v>46132</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16133-2025</t>
        </is>
      </c>
      <c r="B487" s="1" t="n">
        <v>45750</v>
      </c>
      <c r="C487" s="1" t="n">
        <v>46132</v>
      </c>
      <c r="D487" t="inlineStr">
        <is>
          <t>VÄSTMANLANDS LÄN</t>
        </is>
      </c>
      <c r="E487" t="inlineStr">
        <is>
          <t>SALA</t>
        </is>
      </c>
      <c r="G487" t="n">
        <v>0.9</v>
      </c>
      <c r="H487" t="n">
        <v>0</v>
      </c>
      <c r="I487" t="n">
        <v>0</v>
      </c>
      <c r="J487" t="n">
        <v>0</v>
      </c>
      <c r="K487" t="n">
        <v>0</v>
      </c>
      <c r="L487" t="n">
        <v>0</v>
      </c>
      <c r="M487" t="n">
        <v>0</v>
      </c>
      <c r="N487" t="n">
        <v>0</v>
      </c>
      <c r="O487" t="n">
        <v>0</v>
      </c>
      <c r="P487" t="n">
        <v>0</v>
      </c>
      <c r="Q487" t="n">
        <v>0</v>
      </c>
      <c r="R487" s="2" t="inlineStr"/>
    </row>
    <row r="488" ht="15" customHeight="1">
      <c r="A488" t="inlineStr">
        <is>
          <t>A 6127-2025</t>
        </is>
      </c>
      <c r="B488" s="1" t="n">
        <v>45698</v>
      </c>
      <c r="C488" s="1" t="n">
        <v>46132</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15272-2025</t>
        </is>
      </c>
      <c r="B489" s="1" t="n">
        <v>45744</v>
      </c>
      <c r="C489" s="1" t="n">
        <v>46132</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63055-2025</t>
        </is>
      </c>
      <c r="B490" s="1" t="n">
        <v>46009.63619212963</v>
      </c>
      <c r="C490" s="1" t="n">
        <v>46132</v>
      </c>
      <c r="D490" t="inlineStr">
        <is>
          <t>VÄSTMANLANDS LÄN</t>
        </is>
      </c>
      <c r="E490" t="inlineStr">
        <is>
          <t>SALA</t>
        </is>
      </c>
      <c r="G490" t="n">
        <v>0.4</v>
      </c>
      <c r="H490" t="n">
        <v>0</v>
      </c>
      <c r="I490" t="n">
        <v>0</v>
      </c>
      <c r="J490" t="n">
        <v>0</v>
      </c>
      <c r="K490" t="n">
        <v>0</v>
      </c>
      <c r="L490" t="n">
        <v>0</v>
      </c>
      <c r="M490" t="n">
        <v>0</v>
      </c>
      <c r="N490" t="n">
        <v>0</v>
      </c>
      <c r="O490" t="n">
        <v>0</v>
      </c>
      <c r="P490" t="n">
        <v>0</v>
      </c>
      <c r="Q490" t="n">
        <v>0</v>
      </c>
      <c r="R490" s="2" t="inlineStr"/>
    </row>
    <row r="491" ht="15" customHeight="1">
      <c r="A491" t="inlineStr">
        <is>
          <t>A 24248-2023</t>
        </is>
      </c>
      <c r="B491" s="1" t="n">
        <v>45079</v>
      </c>
      <c r="C491" s="1" t="n">
        <v>46132</v>
      </c>
      <c r="D491" t="inlineStr">
        <is>
          <t>VÄSTMANLANDS LÄN</t>
        </is>
      </c>
      <c r="E491" t="inlineStr">
        <is>
          <t>SALA</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63353-2025</t>
        </is>
      </c>
      <c r="B492" s="1" t="n">
        <v>46010.66670138889</v>
      </c>
      <c r="C492" s="1" t="n">
        <v>46132</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38195-2021</t>
        </is>
      </c>
      <c r="B493" s="1" t="n">
        <v>44405</v>
      </c>
      <c r="C493" s="1" t="n">
        <v>46132</v>
      </c>
      <c r="D493" t="inlineStr">
        <is>
          <t>VÄSTMANLANDS LÄN</t>
        </is>
      </c>
      <c r="E493" t="inlineStr">
        <is>
          <t>SALA</t>
        </is>
      </c>
      <c r="F493" t="inlineStr">
        <is>
          <t>Sveaskog</t>
        </is>
      </c>
      <c r="G493" t="n">
        <v>1</v>
      </c>
      <c r="H493" t="n">
        <v>0</v>
      </c>
      <c r="I493" t="n">
        <v>0</v>
      </c>
      <c r="J493" t="n">
        <v>0</v>
      </c>
      <c r="K493" t="n">
        <v>0</v>
      </c>
      <c r="L493" t="n">
        <v>0</v>
      </c>
      <c r="M493" t="n">
        <v>0</v>
      </c>
      <c r="N493" t="n">
        <v>0</v>
      </c>
      <c r="O493" t="n">
        <v>0</v>
      </c>
      <c r="P493" t="n">
        <v>0</v>
      </c>
      <c r="Q493" t="n">
        <v>0</v>
      </c>
      <c r="R493" s="2" t="inlineStr"/>
    </row>
    <row r="494" ht="15" customHeight="1">
      <c r="A494" t="inlineStr">
        <is>
          <t>A 27228-2023</t>
        </is>
      </c>
      <c r="B494" s="1" t="n">
        <v>45096.59189814814</v>
      </c>
      <c r="C494" s="1" t="n">
        <v>46132</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63051-2025</t>
        </is>
      </c>
      <c r="B495" s="1" t="n">
        <v>46009.63134259259</v>
      </c>
      <c r="C495" s="1" t="n">
        <v>46132</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63046-2025</t>
        </is>
      </c>
      <c r="B496" s="1" t="n">
        <v>46009.62373842593</v>
      </c>
      <c r="C496" s="1" t="n">
        <v>46132</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63269-2025</t>
        </is>
      </c>
      <c r="B497" s="1" t="n">
        <v>46010</v>
      </c>
      <c r="C497" s="1" t="n">
        <v>46132</v>
      </c>
      <c r="D497" t="inlineStr">
        <is>
          <t>VÄSTMANLANDS LÄN</t>
        </is>
      </c>
      <c r="E497" t="inlineStr">
        <is>
          <t>SALA</t>
        </is>
      </c>
      <c r="G497" t="n">
        <v>6.4</v>
      </c>
      <c r="H497" t="n">
        <v>0</v>
      </c>
      <c r="I497" t="n">
        <v>0</v>
      </c>
      <c r="J497" t="n">
        <v>0</v>
      </c>
      <c r="K497" t="n">
        <v>0</v>
      </c>
      <c r="L497" t="n">
        <v>0</v>
      </c>
      <c r="M497" t="n">
        <v>0</v>
      </c>
      <c r="N497" t="n">
        <v>0</v>
      </c>
      <c r="O497" t="n">
        <v>0</v>
      </c>
      <c r="P497" t="n">
        <v>0</v>
      </c>
      <c r="Q497" t="n">
        <v>0</v>
      </c>
      <c r="R497" s="2" t="inlineStr"/>
    </row>
    <row r="498" ht="15" customHeight="1">
      <c r="A498" t="inlineStr">
        <is>
          <t>A 53838-2022</t>
        </is>
      </c>
      <c r="B498" s="1" t="n">
        <v>44880.59363425926</v>
      </c>
      <c r="C498" s="1" t="n">
        <v>46132</v>
      </c>
      <c r="D498" t="inlineStr">
        <is>
          <t>VÄSTMANLANDS LÄN</t>
        </is>
      </c>
      <c r="E498" t="inlineStr">
        <is>
          <t>SALA</t>
        </is>
      </c>
      <c r="G498" t="n">
        <v>3.9</v>
      </c>
      <c r="H498" t="n">
        <v>0</v>
      </c>
      <c r="I498" t="n">
        <v>0</v>
      </c>
      <c r="J498" t="n">
        <v>0</v>
      </c>
      <c r="K498" t="n">
        <v>0</v>
      </c>
      <c r="L498" t="n">
        <v>0</v>
      </c>
      <c r="M498" t="n">
        <v>0</v>
      </c>
      <c r="N498" t="n">
        <v>0</v>
      </c>
      <c r="O498" t="n">
        <v>0</v>
      </c>
      <c r="P498" t="n">
        <v>0</v>
      </c>
      <c r="Q498" t="n">
        <v>0</v>
      </c>
      <c r="R498" s="2" t="inlineStr"/>
    </row>
    <row r="499" ht="15" customHeight="1">
      <c r="A499" t="inlineStr">
        <is>
          <t>A 25260-2023</t>
        </is>
      </c>
      <c r="B499" s="1" t="n">
        <v>45086</v>
      </c>
      <c r="C499" s="1" t="n">
        <v>46132</v>
      </c>
      <c r="D499" t="inlineStr">
        <is>
          <t>VÄSTMANLANDS LÄN</t>
        </is>
      </c>
      <c r="E499" t="inlineStr">
        <is>
          <t>SALA</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17722-2025</t>
        </is>
      </c>
      <c r="B500" s="1" t="n">
        <v>45758</v>
      </c>
      <c r="C500" s="1" t="n">
        <v>46132</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16769-2024</t>
        </is>
      </c>
      <c r="B501" s="1" t="n">
        <v>45411.38738425926</v>
      </c>
      <c r="C501" s="1" t="n">
        <v>46132</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63749-2025</t>
        </is>
      </c>
      <c r="B502" s="1" t="n">
        <v>46017.75243055556</v>
      </c>
      <c r="C502" s="1" t="n">
        <v>46132</v>
      </c>
      <c r="D502" t="inlineStr">
        <is>
          <t>VÄSTMANLANDS LÄN</t>
        </is>
      </c>
      <c r="E502" t="inlineStr">
        <is>
          <t>SALA</t>
        </is>
      </c>
      <c r="G502" t="n">
        <v>1.5</v>
      </c>
      <c r="H502" t="n">
        <v>0</v>
      </c>
      <c r="I502" t="n">
        <v>0</v>
      </c>
      <c r="J502" t="n">
        <v>0</v>
      </c>
      <c r="K502" t="n">
        <v>0</v>
      </c>
      <c r="L502" t="n">
        <v>0</v>
      </c>
      <c r="M502" t="n">
        <v>0</v>
      </c>
      <c r="N502" t="n">
        <v>0</v>
      </c>
      <c r="O502" t="n">
        <v>0</v>
      </c>
      <c r="P502" t="n">
        <v>0</v>
      </c>
      <c r="Q502" t="n">
        <v>0</v>
      </c>
      <c r="R502" s="2" t="inlineStr"/>
    </row>
    <row r="503" ht="15" customHeight="1">
      <c r="A503" t="inlineStr">
        <is>
          <t>A 60249-2023</t>
        </is>
      </c>
      <c r="B503" s="1" t="n">
        <v>45258</v>
      </c>
      <c r="C503" s="1" t="n">
        <v>46132</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14271-2025</t>
        </is>
      </c>
      <c r="B504" s="1" t="n">
        <v>45740.64129629629</v>
      </c>
      <c r="C504" s="1" t="n">
        <v>46132</v>
      </c>
      <c r="D504" t="inlineStr">
        <is>
          <t>VÄSTMANLANDS LÄN</t>
        </is>
      </c>
      <c r="E504" t="inlineStr">
        <is>
          <t>SALA</t>
        </is>
      </c>
      <c r="G504" t="n">
        <v>0.8</v>
      </c>
      <c r="H504" t="n">
        <v>0</v>
      </c>
      <c r="I504" t="n">
        <v>0</v>
      </c>
      <c r="J504" t="n">
        <v>0</v>
      </c>
      <c r="K504" t="n">
        <v>0</v>
      </c>
      <c r="L504" t="n">
        <v>0</v>
      </c>
      <c r="M504" t="n">
        <v>0</v>
      </c>
      <c r="N504" t="n">
        <v>0</v>
      </c>
      <c r="O504" t="n">
        <v>0</v>
      </c>
      <c r="P504" t="n">
        <v>0</v>
      </c>
      <c r="Q504" t="n">
        <v>0</v>
      </c>
      <c r="R504" s="2" t="inlineStr"/>
    </row>
    <row r="505" ht="15" customHeight="1">
      <c r="A505" t="inlineStr">
        <is>
          <t>A 69232-2021</t>
        </is>
      </c>
      <c r="B505" s="1" t="n">
        <v>44531.39696759259</v>
      </c>
      <c r="C505" s="1" t="n">
        <v>46132</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63748-2025</t>
        </is>
      </c>
      <c r="B506" s="1" t="n">
        <v>46017.71640046296</v>
      </c>
      <c r="C506" s="1" t="n">
        <v>46132</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28328-2023</t>
        </is>
      </c>
      <c r="B507" s="1" t="n">
        <v>45099.71063657408</v>
      </c>
      <c r="C507" s="1" t="n">
        <v>46132</v>
      </c>
      <c r="D507" t="inlineStr">
        <is>
          <t>VÄSTMANLANDS LÄN</t>
        </is>
      </c>
      <c r="E507" t="inlineStr">
        <is>
          <t>SALA</t>
        </is>
      </c>
      <c r="G507" t="n">
        <v>1.8</v>
      </c>
      <c r="H507" t="n">
        <v>0</v>
      </c>
      <c r="I507" t="n">
        <v>0</v>
      </c>
      <c r="J507" t="n">
        <v>0</v>
      </c>
      <c r="K507" t="n">
        <v>0</v>
      </c>
      <c r="L507" t="n">
        <v>0</v>
      </c>
      <c r="M507" t="n">
        <v>0</v>
      </c>
      <c r="N507" t="n">
        <v>0</v>
      </c>
      <c r="O507" t="n">
        <v>0</v>
      </c>
      <c r="P507" t="n">
        <v>0</v>
      </c>
      <c r="Q507" t="n">
        <v>0</v>
      </c>
      <c r="R507" s="2" t="inlineStr"/>
    </row>
    <row r="508" ht="15" customHeight="1">
      <c r="A508" t="inlineStr">
        <is>
          <t>A 40085-2024</t>
        </is>
      </c>
      <c r="B508" s="1" t="n">
        <v>45554</v>
      </c>
      <c r="C508" s="1" t="n">
        <v>46132</v>
      </c>
      <c r="D508" t="inlineStr">
        <is>
          <t>VÄSTMANLANDS LÄN</t>
        </is>
      </c>
      <c r="E508" t="inlineStr">
        <is>
          <t>SALA</t>
        </is>
      </c>
      <c r="G508" t="n">
        <v>2.8</v>
      </c>
      <c r="H508" t="n">
        <v>0</v>
      </c>
      <c r="I508" t="n">
        <v>0</v>
      </c>
      <c r="J508" t="n">
        <v>0</v>
      </c>
      <c r="K508" t="n">
        <v>0</v>
      </c>
      <c r="L508" t="n">
        <v>0</v>
      </c>
      <c r="M508" t="n">
        <v>0</v>
      </c>
      <c r="N508" t="n">
        <v>0</v>
      </c>
      <c r="O508" t="n">
        <v>0</v>
      </c>
      <c r="P508" t="n">
        <v>0</v>
      </c>
      <c r="Q508" t="n">
        <v>0</v>
      </c>
      <c r="R508" s="2" t="inlineStr"/>
    </row>
    <row r="509" ht="15" customHeight="1">
      <c r="A509" t="inlineStr">
        <is>
          <t>A 18158-2025</t>
        </is>
      </c>
      <c r="B509" s="1" t="n">
        <v>45761</v>
      </c>
      <c r="C509" s="1" t="n">
        <v>46132</v>
      </c>
      <c r="D509" t="inlineStr">
        <is>
          <t>VÄSTMANLANDS LÄN</t>
        </is>
      </c>
      <c r="E509" t="inlineStr">
        <is>
          <t>SALA</t>
        </is>
      </c>
      <c r="F509" t="inlineStr">
        <is>
          <t>Bergvik skog öst AB</t>
        </is>
      </c>
      <c r="G509" t="n">
        <v>1.6</v>
      </c>
      <c r="H509" t="n">
        <v>0</v>
      </c>
      <c r="I509" t="n">
        <v>0</v>
      </c>
      <c r="J509" t="n">
        <v>0</v>
      </c>
      <c r="K509" t="n">
        <v>0</v>
      </c>
      <c r="L509" t="n">
        <v>0</v>
      </c>
      <c r="M509" t="n">
        <v>0</v>
      </c>
      <c r="N509" t="n">
        <v>0</v>
      </c>
      <c r="O509" t="n">
        <v>0</v>
      </c>
      <c r="P509" t="n">
        <v>0</v>
      </c>
      <c r="Q509" t="n">
        <v>0</v>
      </c>
      <c r="R509" s="2" t="inlineStr"/>
    </row>
    <row r="510" ht="15" customHeight="1">
      <c r="A510" t="inlineStr">
        <is>
          <t>A 49661-2024</t>
        </is>
      </c>
      <c r="B510" s="1" t="n">
        <v>45596</v>
      </c>
      <c r="C510" s="1" t="n">
        <v>46132</v>
      </c>
      <c r="D510" t="inlineStr">
        <is>
          <t>VÄSTMANLANDS LÄN</t>
        </is>
      </c>
      <c r="E510" t="inlineStr">
        <is>
          <t>SALA</t>
        </is>
      </c>
      <c r="G510" t="n">
        <v>6.7</v>
      </c>
      <c r="H510" t="n">
        <v>0</v>
      </c>
      <c r="I510" t="n">
        <v>0</v>
      </c>
      <c r="J510" t="n">
        <v>0</v>
      </c>
      <c r="K510" t="n">
        <v>0</v>
      </c>
      <c r="L510" t="n">
        <v>0</v>
      </c>
      <c r="M510" t="n">
        <v>0</v>
      </c>
      <c r="N510" t="n">
        <v>0</v>
      </c>
      <c r="O510" t="n">
        <v>0</v>
      </c>
      <c r="P510" t="n">
        <v>0</v>
      </c>
      <c r="Q510" t="n">
        <v>0</v>
      </c>
      <c r="R510" s="2" t="inlineStr"/>
    </row>
    <row r="511" ht="15" customHeight="1">
      <c r="A511" t="inlineStr">
        <is>
          <t>A 910-2026</t>
        </is>
      </c>
      <c r="B511" s="1" t="n">
        <v>46030.4771412037</v>
      </c>
      <c r="C511" s="1" t="n">
        <v>46132</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35519-2024</t>
        </is>
      </c>
      <c r="B512" s="1" t="n">
        <v>45531</v>
      </c>
      <c r="C512" s="1" t="n">
        <v>46132</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914-2026</t>
        </is>
      </c>
      <c r="B513" s="1" t="n">
        <v>46030.47952546296</v>
      </c>
      <c r="C513" s="1" t="n">
        <v>46132</v>
      </c>
      <c r="D513" t="inlineStr">
        <is>
          <t>VÄSTMANLANDS LÄN</t>
        </is>
      </c>
      <c r="E513" t="inlineStr">
        <is>
          <t>SALA</t>
        </is>
      </c>
      <c r="G513" t="n">
        <v>0.9</v>
      </c>
      <c r="H513" t="n">
        <v>0</v>
      </c>
      <c r="I513" t="n">
        <v>0</v>
      </c>
      <c r="J513" t="n">
        <v>0</v>
      </c>
      <c r="K513" t="n">
        <v>0</v>
      </c>
      <c r="L513" t="n">
        <v>0</v>
      </c>
      <c r="M513" t="n">
        <v>0</v>
      </c>
      <c r="N513" t="n">
        <v>0</v>
      </c>
      <c r="O513" t="n">
        <v>0</v>
      </c>
      <c r="P513" t="n">
        <v>0</v>
      </c>
      <c r="Q513" t="n">
        <v>0</v>
      </c>
      <c r="R513" s="2" t="inlineStr"/>
    </row>
    <row r="514" ht="15" customHeight="1">
      <c r="A514" t="inlineStr">
        <is>
          <t>A 948-2026</t>
        </is>
      </c>
      <c r="B514" s="1" t="n">
        <v>46030.53986111111</v>
      </c>
      <c r="C514" s="1" t="n">
        <v>46132</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54347-2024</t>
        </is>
      </c>
      <c r="B515" s="1" t="n">
        <v>45617.39325231482</v>
      </c>
      <c r="C515" s="1" t="n">
        <v>46132</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13022-2023</t>
        </is>
      </c>
      <c r="B516" s="1" t="n">
        <v>45002.33291666667</v>
      </c>
      <c r="C516" s="1" t="n">
        <v>46132</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35003-2024</t>
        </is>
      </c>
      <c r="B517" s="1" t="n">
        <v>45527.56790509259</v>
      </c>
      <c r="C517" s="1" t="n">
        <v>46132</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66307-2021</t>
        </is>
      </c>
      <c r="B518" s="1" t="n">
        <v>44518.48670138889</v>
      </c>
      <c r="C518" s="1" t="n">
        <v>46132</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6030-2024</t>
        </is>
      </c>
      <c r="B519" s="1" t="n">
        <v>45336.62782407407</v>
      </c>
      <c r="C519" s="1" t="n">
        <v>46132</v>
      </c>
      <c r="D519" t="inlineStr">
        <is>
          <t>VÄSTMANLANDS LÄN</t>
        </is>
      </c>
      <c r="E519" t="inlineStr">
        <is>
          <t>SALA</t>
        </is>
      </c>
      <c r="G519" t="n">
        <v>3.9</v>
      </c>
      <c r="H519" t="n">
        <v>0</v>
      </c>
      <c r="I519" t="n">
        <v>0</v>
      </c>
      <c r="J519" t="n">
        <v>0</v>
      </c>
      <c r="K519" t="n">
        <v>0</v>
      </c>
      <c r="L519" t="n">
        <v>0</v>
      </c>
      <c r="M519" t="n">
        <v>0</v>
      </c>
      <c r="N519" t="n">
        <v>0</v>
      </c>
      <c r="O519" t="n">
        <v>0</v>
      </c>
      <c r="P519" t="n">
        <v>0</v>
      </c>
      <c r="Q519" t="n">
        <v>0</v>
      </c>
      <c r="R519" s="2" t="inlineStr"/>
    </row>
    <row r="520" ht="15" customHeight="1">
      <c r="A520" t="inlineStr">
        <is>
          <t>A 26761-2023</t>
        </is>
      </c>
      <c r="B520" s="1" t="n">
        <v>45093</v>
      </c>
      <c r="C520" s="1" t="n">
        <v>46132</v>
      </c>
      <c r="D520" t="inlineStr">
        <is>
          <t>VÄSTMANLANDS LÄN</t>
        </is>
      </c>
      <c r="E520" t="inlineStr">
        <is>
          <t>SALA</t>
        </is>
      </c>
      <c r="G520" t="n">
        <v>4.3</v>
      </c>
      <c r="H520" t="n">
        <v>0</v>
      </c>
      <c r="I520" t="n">
        <v>0</v>
      </c>
      <c r="J520" t="n">
        <v>0</v>
      </c>
      <c r="K520" t="n">
        <v>0</v>
      </c>
      <c r="L520" t="n">
        <v>0</v>
      </c>
      <c r="M520" t="n">
        <v>0</v>
      </c>
      <c r="N520" t="n">
        <v>0</v>
      </c>
      <c r="O520" t="n">
        <v>0</v>
      </c>
      <c r="P520" t="n">
        <v>0</v>
      </c>
      <c r="Q520" t="n">
        <v>0</v>
      </c>
      <c r="R520" s="2" t="inlineStr"/>
    </row>
    <row r="521" ht="15" customHeight="1">
      <c r="A521" t="inlineStr">
        <is>
          <t>A 61892-2021</t>
        </is>
      </c>
      <c r="B521" s="1" t="n">
        <v>44502</v>
      </c>
      <c r="C521" s="1" t="n">
        <v>46132</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1705-2026</t>
        </is>
      </c>
      <c r="B522" s="1" t="n">
        <v>46034.59930555556</v>
      </c>
      <c r="C522" s="1" t="n">
        <v>46132</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7772-2023</t>
        </is>
      </c>
      <c r="B523" s="1" t="n">
        <v>44973.40076388889</v>
      </c>
      <c r="C523" s="1" t="n">
        <v>46132</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46132</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19381-2025</t>
        </is>
      </c>
      <c r="B525" s="1" t="n">
        <v>45769</v>
      </c>
      <c r="C525" s="1" t="n">
        <v>46132</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48688-2024</t>
        </is>
      </c>
      <c r="B526" s="1" t="n">
        <v>45593.50541666667</v>
      </c>
      <c r="C526" s="1" t="n">
        <v>46132</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45187-2024</t>
        </is>
      </c>
      <c r="B527" s="1" t="n">
        <v>45575</v>
      </c>
      <c r="C527" s="1" t="n">
        <v>46132</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15968-2024</t>
        </is>
      </c>
      <c r="B528" s="1" t="n">
        <v>45405.56021990741</v>
      </c>
      <c r="C528" s="1" t="n">
        <v>46132</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3733-2023</t>
        </is>
      </c>
      <c r="B529" s="1" t="n">
        <v>44951.42501157407</v>
      </c>
      <c r="C529" s="1" t="n">
        <v>46132</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44544-2024</t>
        </is>
      </c>
      <c r="B530" s="1" t="n">
        <v>45574.46119212963</v>
      </c>
      <c r="C530" s="1" t="n">
        <v>46132</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64729-2023</t>
        </is>
      </c>
      <c r="B531" s="1" t="n">
        <v>45281</v>
      </c>
      <c r="C531" s="1" t="n">
        <v>46132</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68864-2021</t>
        </is>
      </c>
      <c r="B532" s="1" t="n">
        <v>44530</v>
      </c>
      <c r="C532" s="1" t="n">
        <v>46132</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4681-2026</t>
        </is>
      </c>
      <c r="B533" s="1" t="n">
        <v>46048.43016203704</v>
      </c>
      <c r="C533" s="1" t="n">
        <v>46132</v>
      </c>
      <c r="D533" t="inlineStr">
        <is>
          <t>VÄSTMANLANDS LÄN</t>
        </is>
      </c>
      <c r="E533" t="inlineStr">
        <is>
          <t>SALA</t>
        </is>
      </c>
      <c r="G533" t="n">
        <v>2.5</v>
      </c>
      <c r="H533" t="n">
        <v>0</v>
      </c>
      <c r="I533" t="n">
        <v>0</v>
      </c>
      <c r="J533" t="n">
        <v>0</v>
      </c>
      <c r="K533" t="n">
        <v>0</v>
      </c>
      <c r="L533" t="n">
        <v>0</v>
      </c>
      <c r="M533" t="n">
        <v>0</v>
      </c>
      <c r="N533" t="n">
        <v>0</v>
      </c>
      <c r="O533" t="n">
        <v>0</v>
      </c>
      <c r="P533" t="n">
        <v>0</v>
      </c>
      <c r="Q533" t="n">
        <v>0</v>
      </c>
      <c r="R533" s="2" t="inlineStr"/>
    </row>
    <row r="534" ht="15" customHeight="1">
      <c r="A534" t="inlineStr">
        <is>
          <t>A 4664-2026</t>
        </is>
      </c>
      <c r="B534" s="1" t="n">
        <v>46048.41061342593</v>
      </c>
      <c r="C534" s="1" t="n">
        <v>46132</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12497-2026</t>
        </is>
      </c>
      <c r="B535" s="1" t="n">
        <v>46090.57240740741</v>
      </c>
      <c r="C535" s="1" t="n">
        <v>46132</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64925-2023</t>
        </is>
      </c>
      <c r="B536" s="1" t="n">
        <v>45282</v>
      </c>
      <c r="C536" s="1" t="n">
        <v>46132</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48570-2024</t>
        </is>
      </c>
      <c r="B537" s="1" t="n">
        <v>45591</v>
      </c>
      <c r="C537" s="1" t="n">
        <v>46132</v>
      </c>
      <c r="D537" t="inlineStr">
        <is>
          <t>VÄSTMANLANDS LÄN</t>
        </is>
      </c>
      <c r="E537" t="inlineStr">
        <is>
          <t>SALA</t>
        </is>
      </c>
      <c r="G537" t="n">
        <v>3</v>
      </c>
      <c r="H537" t="n">
        <v>0</v>
      </c>
      <c r="I537" t="n">
        <v>0</v>
      </c>
      <c r="J537" t="n">
        <v>0</v>
      </c>
      <c r="K537" t="n">
        <v>0</v>
      </c>
      <c r="L537" t="n">
        <v>0</v>
      </c>
      <c r="M537" t="n">
        <v>0</v>
      </c>
      <c r="N537" t="n">
        <v>0</v>
      </c>
      <c r="O537" t="n">
        <v>0</v>
      </c>
      <c r="P537" t="n">
        <v>0</v>
      </c>
      <c r="Q537" t="n">
        <v>0</v>
      </c>
      <c r="R537" s="2" t="inlineStr"/>
    </row>
    <row r="538" ht="15" customHeight="1">
      <c r="A538" t="inlineStr">
        <is>
          <t>A 4712-2026</t>
        </is>
      </c>
      <c r="B538" s="1" t="n">
        <v>46048.46082175926</v>
      </c>
      <c r="C538" s="1" t="n">
        <v>46132</v>
      </c>
      <c r="D538" t="inlineStr">
        <is>
          <t>VÄSTMANLANDS LÄN</t>
        </is>
      </c>
      <c r="E538" t="inlineStr">
        <is>
          <t>SALA</t>
        </is>
      </c>
      <c r="G538" t="n">
        <v>4.1</v>
      </c>
      <c r="H538" t="n">
        <v>0</v>
      </c>
      <c r="I538" t="n">
        <v>0</v>
      </c>
      <c r="J538" t="n">
        <v>0</v>
      </c>
      <c r="K538" t="n">
        <v>0</v>
      </c>
      <c r="L538" t="n">
        <v>0</v>
      </c>
      <c r="M538" t="n">
        <v>0</v>
      </c>
      <c r="N538" t="n">
        <v>0</v>
      </c>
      <c r="O538" t="n">
        <v>0</v>
      </c>
      <c r="P538" t="n">
        <v>0</v>
      </c>
      <c r="Q538" t="n">
        <v>0</v>
      </c>
      <c r="R538" s="2" t="inlineStr"/>
    </row>
    <row r="539" ht="15" customHeight="1">
      <c r="A539" t="inlineStr">
        <is>
          <t>A 61517-2024</t>
        </is>
      </c>
      <c r="B539" s="1" t="n">
        <v>45645</v>
      </c>
      <c r="C539" s="1" t="n">
        <v>46132</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4624-2026</t>
        </is>
      </c>
      <c r="B540" s="1" t="n">
        <v>46048.38107638889</v>
      </c>
      <c r="C540" s="1" t="n">
        <v>46132</v>
      </c>
      <c r="D540" t="inlineStr">
        <is>
          <t>VÄSTMANLANDS LÄN</t>
        </is>
      </c>
      <c r="E540" t="inlineStr">
        <is>
          <t>SALA</t>
        </is>
      </c>
      <c r="G540" t="n">
        <v>12.3</v>
      </c>
      <c r="H540" t="n">
        <v>0</v>
      </c>
      <c r="I540" t="n">
        <v>0</v>
      </c>
      <c r="J540" t="n">
        <v>0</v>
      </c>
      <c r="K540" t="n">
        <v>0</v>
      </c>
      <c r="L540" t="n">
        <v>0</v>
      </c>
      <c r="M540" t="n">
        <v>0</v>
      </c>
      <c r="N540" t="n">
        <v>0</v>
      </c>
      <c r="O540" t="n">
        <v>0</v>
      </c>
      <c r="P540" t="n">
        <v>0</v>
      </c>
      <c r="Q540" t="n">
        <v>0</v>
      </c>
      <c r="R540" s="2" t="inlineStr"/>
    </row>
    <row r="541" ht="15" customHeight="1">
      <c r="A541" t="inlineStr">
        <is>
          <t>A 16760-2024</t>
        </is>
      </c>
      <c r="B541" s="1" t="n">
        <v>45411</v>
      </c>
      <c r="C541" s="1" t="n">
        <v>46132</v>
      </c>
      <c r="D541" t="inlineStr">
        <is>
          <t>VÄSTMANLANDS LÄN</t>
        </is>
      </c>
      <c r="E541" t="inlineStr">
        <is>
          <t>SALA</t>
        </is>
      </c>
      <c r="G541" t="n">
        <v>2.6</v>
      </c>
      <c r="H541" t="n">
        <v>0</v>
      </c>
      <c r="I541" t="n">
        <v>0</v>
      </c>
      <c r="J541" t="n">
        <v>0</v>
      </c>
      <c r="K541" t="n">
        <v>0</v>
      </c>
      <c r="L541" t="n">
        <v>0</v>
      </c>
      <c r="M541" t="n">
        <v>0</v>
      </c>
      <c r="N541" t="n">
        <v>0</v>
      </c>
      <c r="O541" t="n">
        <v>0</v>
      </c>
      <c r="P541" t="n">
        <v>0</v>
      </c>
      <c r="Q541" t="n">
        <v>0</v>
      </c>
      <c r="R541" s="2" t="inlineStr"/>
    </row>
    <row r="542" ht="15" customHeight="1">
      <c r="A542" t="inlineStr">
        <is>
          <t>A 4214-2026</t>
        </is>
      </c>
      <c r="B542" s="1" t="n">
        <v>46044.76459490741</v>
      </c>
      <c r="C542" s="1" t="n">
        <v>46132</v>
      </c>
      <c r="D542" t="inlineStr">
        <is>
          <t>VÄSTMANLANDS LÄN</t>
        </is>
      </c>
      <c r="E542" t="inlineStr">
        <is>
          <t>SALA</t>
        </is>
      </c>
      <c r="G542" t="n">
        <v>1.7</v>
      </c>
      <c r="H542" t="n">
        <v>0</v>
      </c>
      <c r="I542" t="n">
        <v>0</v>
      </c>
      <c r="J542" t="n">
        <v>0</v>
      </c>
      <c r="K542" t="n">
        <v>0</v>
      </c>
      <c r="L542" t="n">
        <v>0</v>
      </c>
      <c r="M542" t="n">
        <v>0</v>
      </c>
      <c r="N542" t="n">
        <v>0</v>
      </c>
      <c r="O542" t="n">
        <v>0</v>
      </c>
      <c r="P542" t="n">
        <v>0</v>
      </c>
      <c r="Q542" t="n">
        <v>0</v>
      </c>
      <c r="R542" s="2" t="inlineStr"/>
    </row>
    <row r="543" ht="15" customHeight="1">
      <c r="A543" t="inlineStr">
        <is>
          <t>A 4683-2026</t>
        </is>
      </c>
      <c r="B543" s="1" t="n">
        <v>46048.43489583334</v>
      </c>
      <c r="C543" s="1" t="n">
        <v>46132</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54603-2024</t>
        </is>
      </c>
      <c r="B544" s="1" t="n">
        <v>45617.68224537037</v>
      </c>
      <c r="C544" s="1" t="n">
        <v>46132</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5418-2026</t>
        </is>
      </c>
      <c r="B545" s="1" t="n">
        <v>46050.53740740741</v>
      </c>
      <c r="C545" s="1" t="n">
        <v>46132</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5525-2026</t>
        </is>
      </c>
      <c r="B546" s="1" t="n">
        <v>46050.65055555556</v>
      </c>
      <c r="C546" s="1" t="n">
        <v>46132</v>
      </c>
      <c r="D546" t="inlineStr">
        <is>
          <t>VÄSTMANLANDS LÄN</t>
        </is>
      </c>
      <c r="E546" t="inlineStr">
        <is>
          <t>SALA</t>
        </is>
      </c>
      <c r="G546" t="n">
        <v>13.1</v>
      </c>
      <c r="H546" t="n">
        <v>0</v>
      </c>
      <c r="I546" t="n">
        <v>0</v>
      </c>
      <c r="J546" t="n">
        <v>0</v>
      </c>
      <c r="K546" t="n">
        <v>0</v>
      </c>
      <c r="L546" t="n">
        <v>0</v>
      </c>
      <c r="M546" t="n">
        <v>0</v>
      </c>
      <c r="N546" t="n">
        <v>0</v>
      </c>
      <c r="O546" t="n">
        <v>0</v>
      </c>
      <c r="P546" t="n">
        <v>0</v>
      </c>
      <c r="Q546" t="n">
        <v>0</v>
      </c>
      <c r="R546" s="2" t="inlineStr"/>
    </row>
    <row r="547" ht="15" customHeight="1">
      <c r="A547" t="inlineStr">
        <is>
          <t>A 5219-2026</t>
        </is>
      </c>
      <c r="B547" s="1" t="n">
        <v>46049.76225694444</v>
      </c>
      <c r="C547" s="1" t="n">
        <v>46132</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5894-2026</t>
        </is>
      </c>
      <c r="B548" s="1" t="n">
        <v>46052.42412037037</v>
      </c>
      <c r="C548" s="1" t="n">
        <v>46132</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13032-2026</t>
        </is>
      </c>
      <c r="B549" s="1" t="n">
        <v>46092.90436342593</v>
      </c>
      <c r="C549" s="1" t="n">
        <v>46132</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18762-2024</t>
        </is>
      </c>
      <c r="B550" s="1" t="n">
        <v>45426.55240740741</v>
      </c>
      <c r="C550" s="1" t="n">
        <v>46132</v>
      </c>
      <c r="D550" t="inlineStr">
        <is>
          <t>VÄSTMANLANDS LÄN</t>
        </is>
      </c>
      <c r="E550" t="inlineStr">
        <is>
          <t>SALA</t>
        </is>
      </c>
      <c r="G550" t="n">
        <v>6.2</v>
      </c>
      <c r="H550" t="n">
        <v>0</v>
      </c>
      <c r="I550" t="n">
        <v>0</v>
      </c>
      <c r="J550" t="n">
        <v>0</v>
      </c>
      <c r="K550" t="n">
        <v>0</v>
      </c>
      <c r="L550" t="n">
        <v>0</v>
      </c>
      <c r="M550" t="n">
        <v>0</v>
      </c>
      <c r="N550" t="n">
        <v>0</v>
      </c>
      <c r="O550" t="n">
        <v>0</v>
      </c>
      <c r="P550" t="n">
        <v>0</v>
      </c>
      <c r="Q550" t="n">
        <v>0</v>
      </c>
      <c r="R550" s="2" t="inlineStr"/>
    </row>
    <row r="551" ht="15" customHeight="1">
      <c r="A551" t="inlineStr">
        <is>
          <t>A 17120-2023</t>
        </is>
      </c>
      <c r="B551" s="1" t="n">
        <v>45034</v>
      </c>
      <c r="C551" s="1" t="n">
        <v>46132</v>
      </c>
      <c r="D551" t="inlineStr">
        <is>
          <t>VÄSTMANLANDS LÄN</t>
        </is>
      </c>
      <c r="E551" t="inlineStr">
        <is>
          <t>SALA</t>
        </is>
      </c>
      <c r="G551" t="n">
        <v>0.1</v>
      </c>
      <c r="H551" t="n">
        <v>0</v>
      </c>
      <c r="I551" t="n">
        <v>0</v>
      </c>
      <c r="J551" t="n">
        <v>0</v>
      </c>
      <c r="K551" t="n">
        <v>0</v>
      </c>
      <c r="L551" t="n">
        <v>0</v>
      </c>
      <c r="M551" t="n">
        <v>0</v>
      </c>
      <c r="N551" t="n">
        <v>0</v>
      </c>
      <c r="O551" t="n">
        <v>0</v>
      </c>
      <c r="P551" t="n">
        <v>0</v>
      </c>
      <c r="Q551" t="n">
        <v>0</v>
      </c>
      <c r="R551" s="2" t="inlineStr"/>
    </row>
    <row r="552" ht="15" customHeight="1">
      <c r="A552" t="inlineStr">
        <is>
          <t>A 42938-2023</t>
        </is>
      </c>
      <c r="B552" s="1" t="n">
        <v>45179</v>
      </c>
      <c r="C552" s="1" t="n">
        <v>46132</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42984-2023</t>
        </is>
      </c>
      <c r="B553" s="1" t="n">
        <v>45179</v>
      </c>
      <c r="C553" s="1" t="n">
        <v>46132</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15972-2024</t>
        </is>
      </c>
      <c r="B554" s="1" t="n">
        <v>45405.56498842593</v>
      </c>
      <c r="C554" s="1" t="n">
        <v>46132</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39714-2023</t>
        </is>
      </c>
      <c r="B555" s="1" t="n">
        <v>45167.62133101852</v>
      </c>
      <c r="C555" s="1" t="n">
        <v>46132</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14000-2026</t>
        </is>
      </c>
      <c r="B556" s="1" t="n">
        <v>46098.64246527778</v>
      </c>
      <c r="C556" s="1" t="n">
        <v>46132</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33527-2023</t>
        </is>
      </c>
      <c r="B557" s="1" t="n">
        <v>45131</v>
      </c>
      <c r="C557" s="1" t="n">
        <v>46132</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10913-2025</t>
        </is>
      </c>
      <c r="B558" s="1" t="n">
        <v>45722.73423611111</v>
      </c>
      <c r="C558" s="1" t="n">
        <v>46132</v>
      </c>
      <c r="D558" t="inlineStr">
        <is>
          <t>VÄSTMANLANDS LÄN</t>
        </is>
      </c>
      <c r="E558" t="inlineStr">
        <is>
          <t>SALA</t>
        </is>
      </c>
      <c r="G558" t="n">
        <v>7.6</v>
      </c>
      <c r="H558" t="n">
        <v>0</v>
      </c>
      <c r="I558" t="n">
        <v>0</v>
      </c>
      <c r="J558" t="n">
        <v>0</v>
      </c>
      <c r="K558" t="n">
        <v>0</v>
      </c>
      <c r="L558" t="n">
        <v>0</v>
      </c>
      <c r="M558" t="n">
        <v>0</v>
      </c>
      <c r="N558" t="n">
        <v>0</v>
      </c>
      <c r="O558" t="n">
        <v>0</v>
      </c>
      <c r="P558" t="n">
        <v>0</v>
      </c>
      <c r="Q558" t="n">
        <v>0</v>
      </c>
      <c r="R558" s="2" t="inlineStr"/>
    </row>
    <row r="559" ht="15" customHeight="1">
      <c r="A559" t="inlineStr">
        <is>
          <t>A 58107-2021</t>
        </is>
      </c>
      <c r="B559" s="1" t="n">
        <v>44487</v>
      </c>
      <c r="C559" s="1" t="n">
        <v>46132</v>
      </c>
      <c r="D559" t="inlineStr">
        <is>
          <t>VÄSTMANLANDS LÄN</t>
        </is>
      </c>
      <c r="E559" t="inlineStr">
        <is>
          <t>SALA</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2927-2024</t>
        </is>
      </c>
      <c r="B560" s="1" t="n">
        <v>45315.58989583333</v>
      </c>
      <c r="C560" s="1" t="n">
        <v>46132</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13996-2026</t>
        </is>
      </c>
      <c r="B561" s="1" t="n">
        <v>46098.63159722222</v>
      </c>
      <c r="C561" s="1" t="n">
        <v>46132</v>
      </c>
      <c r="D561" t="inlineStr">
        <is>
          <t>VÄSTMANLANDS LÄN</t>
        </is>
      </c>
      <c r="E561" t="inlineStr">
        <is>
          <t>SALA</t>
        </is>
      </c>
      <c r="G561" t="n">
        <v>2.5</v>
      </c>
      <c r="H561" t="n">
        <v>0</v>
      </c>
      <c r="I561" t="n">
        <v>0</v>
      </c>
      <c r="J561" t="n">
        <v>0</v>
      </c>
      <c r="K561" t="n">
        <v>0</v>
      </c>
      <c r="L561" t="n">
        <v>0</v>
      </c>
      <c r="M561" t="n">
        <v>0</v>
      </c>
      <c r="N561" t="n">
        <v>0</v>
      </c>
      <c r="O561" t="n">
        <v>0</v>
      </c>
      <c r="P561" t="n">
        <v>0</v>
      </c>
      <c r="Q561" t="n">
        <v>0</v>
      </c>
      <c r="R561" s="2" t="inlineStr"/>
    </row>
    <row r="562" ht="15" customHeight="1">
      <c r="A562" t="inlineStr">
        <is>
          <t>A 37183-2024</t>
        </is>
      </c>
      <c r="B562" s="1" t="n">
        <v>45539</v>
      </c>
      <c r="C562" s="1" t="n">
        <v>46132</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6021-2026</t>
        </is>
      </c>
      <c r="B563" s="1" t="n">
        <v>46050</v>
      </c>
      <c r="C563" s="1" t="n">
        <v>46132</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54199-2024</t>
        </is>
      </c>
      <c r="B564" s="1" t="n">
        <v>45616.64703703704</v>
      </c>
      <c r="C564" s="1" t="n">
        <v>46132</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60548-2024</t>
        </is>
      </c>
      <c r="B565" s="1" t="n">
        <v>45643.80978009259</v>
      </c>
      <c r="C565" s="1" t="n">
        <v>46132</v>
      </c>
      <c r="D565" t="inlineStr">
        <is>
          <t>VÄSTMANLANDS LÄN</t>
        </is>
      </c>
      <c r="E565" t="inlineStr">
        <is>
          <t>SALA</t>
        </is>
      </c>
      <c r="G565" t="n">
        <v>1.6</v>
      </c>
      <c r="H565" t="n">
        <v>0</v>
      </c>
      <c r="I565" t="n">
        <v>0</v>
      </c>
      <c r="J565" t="n">
        <v>0</v>
      </c>
      <c r="K565" t="n">
        <v>0</v>
      </c>
      <c r="L565" t="n">
        <v>0</v>
      </c>
      <c r="M565" t="n">
        <v>0</v>
      </c>
      <c r="N565" t="n">
        <v>0</v>
      </c>
      <c r="O565" t="n">
        <v>0</v>
      </c>
      <c r="P565" t="n">
        <v>0</v>
      </c>
      <c r="Q565" t="n">
        <v>0</v>
      </c>
      <c r="R565" s="2" t="inlineStr"/>
    </row>
    <row r="566" ht="15" customHeight="1">
      <c r="A566" t="inlineStr">
        <is>
          <t>A 7327-2026</t>
        </is>
      </c>
      <c r="B566" s="1" t="n">
        <v>46058.68371527778</v>
      </c>
      <c r="C566" s="1" t="n">
        <v>46132</v>
      </c>
      <c r="D566" t="inlineStr">
        <is>
          <t>VÄSTMANLANDS LÄN</t>
        </is>
      </c>
      <c r="E566" t="inlineStr">
        <is>
          <t>SALA</t>
        </is>
      </c>
      <c r="G566" t="n">
        <v>5.8</v>
      </c>
      <c r="H566" t="n">
        <v>0</v>
      </c>
      <c r="I566" t="n">
        <v>0</v>
      </c>
      <c r="J566" t="n">
        <v>0</v>
      </c>
      <c r="K566" t="n">
        <v>0</v>
      </c>
      <c r="L566" t="n">
        <v>0</v>
      </c>
      <c r="M566" t="n">
        <v>0</v>
      </c>
      <c r="N566" t="n">
        <v>0</v>
      </c>
      <c r="O566" t="n">
        <v>0</v>
      </c>
      <c r="P566" t="n">
        <v>0</v>
      </c>
      <c r="Q566" t="n">
        <v>0</v>
      </c>
      <c r="R566" s="2" t="inlineStr"/>
    </row>
    <row r="567" ht="15" customHeight="1">
      <c r="A567" t="inlineStr">
        <is>
          <t>A 7332-2026</t>
        </is>
      </c>
      <c r="B567" s="1" t="n">
        <v>46058.68884259259</v>
      </c>
      <c r="C567" s="1" t="n">
        <v>46132</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14490-2026</t>
        </is>
      </c>
      <c r="B568" s="1" t="n">
        <v>46100.59277777778</v>
      </c>
      <c r="C568" s="1" t="n">
        <v>46132</v>
      </c>
      <c r="D568" t="inlineStr">
        <is>
          <t>VÄSTMANLANDS LÄN</t>
        </is>
      </c>
      <c r="E568" t="inlineStr">
        <is>
          <t>SALA</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7324-2026</t>
        </is>
      </c>
      <c r="B569" s="1" t="n">
        <v>46058.68023148148</v>
      </c>
      <c r="C569" s="1" t="n">
        <v>46132</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57895-2024</t>
        </is>
      </c>
      <c r="B570" s="1" t="n">
        <v>45631</v>
      </c>
      <c r="C570" s="1" t="n">
        <v>46132</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31597-2024</t>
        </is>
      </c>
      <c r="B571" s="1" t="n">
        <v>45506</v>
      </c>
      <c r="C571" s="1" t="n">
        <v>46132</v>
      </c>
      <c r="D571" t="inlineStr">
        <is>
          <t>VÄSTMANLANDS LÄN</t>
        </is>
      </c>
      <c r="E571" t="inlineStr">
        <is>
          <t>SALA</t>
        </is>
      </c>
      <c r="G571" t="n">
        <v>2.4</v>
      </c>
      <c r="H571" t="n">
        <v>0</v>
      </c>
      <c r="I571" t="n">
        <v>0</v>
      </c>
      <c r="J571" t="n">
        <v>0</v>
      </c>
      <c r="K571" t="n">
        <v>0</v>
      </c>
      <c r="L571" t="n">
        <v>0</v>
      </c>
      <c r="M571" t="n">
        <v>0</v>
      </c>
      <c r="N571" t="n">
        <v>0</v>
      </c>
      <c r="O571" t="n">
        <v>0</v>
      </c>
      <c r="P571" t="n">
        <v>0</v>
      </c>
      <c r="Q571" t="n">
        <v>0</v>
      </c>
      <c r="R571" s="2" t="inlineStr"/>
    </row>
    <row r="572" ht="15" customHeight="1">
      <c r="A572" t="inlineStr">
        <is>
          <t>A 14481-2026</t>
        </is>
      </c>
      <c r="B572" s="1" t="n">
        <v>46100.58707175926</v>
      </c>
      <c r="C572" s="1" t="n">
        <v>46132</v>
      </c>
      <c r="D572" t="inlineStr">
        <is>
          <t>VÄSTMANLANDS LÄN</t>
        </is>
      </c>
      <c r="E572" t="inlineStr">
        <is>
          <t>SALA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14482-2026</t>
        </is>
      </c>
      <c r="B573" s="1" t="n">
        <v>46100.588125</v>
      </c>
      <c r="C573" s="1" t="n">
        <v>46132</v>
      </c>
      <c r="D573" t="inlineStr">
        <is>
          <t>VÄSTMANLANDS LÄN</t>
        </is>
      </c>
      <c r="E573" t="inlineStr">
        <is>
          <t>SALA</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14484-2026</t>
        </is>
      </c>
      <c r="B574" s="1" t="n">
        <v>46100.5887962963</v>
      </c>
      <c r="C574" s="1" t="n">
        <v>46132</v>
      </c>
      <c r="D574" t="inlineStr">
        <is>
          <t>VÄSTMANLANDS LÄN</t>
        </is>
      </c>
      <c r="E574" t="inlineStr">
        <is>
          <t>SALA</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17458-2024</t>
        </is>
      </c>
      <c r="B575" s="1" t="n">
        <v>45415</v>
      </c>
      <c r="C575" s="1" t="n">
        <v>46132</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56543-2024</t>
        </is>
      </c>
      <c r="B576" s="1" t="n">
        <v>45625</v>
      </c>
      <c r="C576" s="1" t="n">
        <v>46132</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7329-2026</t>
        </is>
      </c>
      <c r="B577" s="1" t="n">
        <v>46058.68678240741</v>
      </c>
      <c r="C577" s="1" t="n">
        <v>46132</v>
      </c>
      <c r="D577" t="inlineStr">
        <is>
          <t>VÄSTMANLANDS LÄN</t>
        </is>
      </c>
      <c r="E577" t="inlineStr">
        <is>
          <t>SALA</t>
        </is>
      </c>
      <c r="G577" t="n">
        <v>3.1</v>
      </c>
      <c r="H577" t="n">
        <v>0</v>
      </c>
      <c r="I577" t="n">
        <v>0</v>
      </c>
      <c r="J577" t="n">
        <v>0</v>
      </c>
      <c r="K577" t="n">
        <v>0</v>
      </c>
      <c r="L577" t="n">
        <v>0</v>
      </c>
      <c r="M577" t="n">
        <v>0</v>
      </c>
      <c r="N577" t="n">
        <v>0</v>
      </c>
      <c r="O577" t="n">
        <v>0</v>
      </c>
      <c r="P577" t="n">
        <v>0</v>
      </c>
      <c r="Q577" t="n">
        <v>0</v>
      </c>
      <c r="R577" s="2" t="inlineStr"/>
    </row>
    <row r="578" ht="15" customHeight="1">
      <c r="A578" t="inlineStr">
        <is>
          <t>A 28661-2024</t>
        </is>
      </c>
      <c r="B578" s="1" t="n">
        <v>45478</v>
      </c>
      <c r="C578" s="1" t="n">
        <v>46132</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2529-2022</t>
        </is>
      </c>
      <c r="B579" s="1" t="n">
        <v>44579.86452546297</v>
      </c>
      <c r="C579" s="1" t="n">
        <v>46132</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7850-2026</t>
        </is>
      </c>
      <c r="B580" s="1" t="n">
        <v>46062.66236111111</v>
      </c>
      <c r="C580" s="1" t="n">
        <v>46132</v>
      </c>
      <c r="D580" t="inlineStr">
        <is>
          <t>VÄSTMANLANDS LÄN</t>
        </is>
      </c>
      <c r="E580" t="inlineStr">
        <is>
          <t>SALA</t>
        </is>
      </c>
      <c r="G580" t="n">
        <v>2.3</v>
      </c>
      <c r="H580" t="n">
        <v>0</v>
      </c>
      <c r="I580" t="n">
        <v>0</v>
      </c>
      <c r="J580" t="n">
        <v>0</v>
      </c>
      <c r="K580" t="n">
        <v>0</v>
      </c>
      <c r="L580" t="n">
        <v>0</v>
      </c>
      <c r="M580" t="n">
        <v>0</v>
      </c>
      <c r="N580" t="n">
        <v>0</v>
      </c>
      <c r="O580" t="n">
        <v>0</v>
      </c>
      <c r="P580" t="n">
        <v>0</v>
      </c>
      <c r="Q580" t="n">
        <v>0</v>
      </c>
      <c r="R580" s="2" t="inlineStr"/>
    </row>
    <row r="581" ht="15" customHeight="1">
      <c r="A581" t="inlineStr">
        <is>
          <t>A 56540-2024</t>
        </is>
      </c>
      <c r="B581" s="1" t="n">
        <v>45625</v>
      </c>
      <c r="C581" s="1" t="n">
        <v>46132</v>
      </c>
      <c r="D581" t="inlineStr">
        <is>
          <t>VÄSTMANLANDS LÄN</t>
        </is>
      </c>
      <c r="E581" t="inlineStr">
        <is>
          <t>SALA</t>
        </is>
      </c>
      <c r="G581" t="n">
        <v>1.8</v>
      </c>
      <c r="H581" t="n">
        <v>0</v>
      </c>
      <c r="I581" t="n">
        <v>0</v>
      </c>
      <c r="J581" t="n">
        <v>0</v>
      </c>
      <c r="K581" t="n">
        <v>0</v>
      </c>
      <c r="L581" t="n">
        <v>0</v>
      </c>
      <c r="M581" t="n">
        <v>0</v>
      </c>
      <c r="N581" t="n">
        <v>0</v>
      </c>
      <c r="O581" t="n">
        <v>0</v>
      </c>
      <c r="P581" t="n">
        <v>0</v>
      </c>
      <c r="Q581" t="n">
        <v>0</v>
      </c>
      <c r="R581" s="2" t="inlineStr"/>
    </row>
    <row r="582" ht="15" customHeight="1">
      <c r="A582" t="inlineStr">
        <is>
          <t>A 31599-2024</t>
        </is>
      </c>
      <c r="B582" s="1" t="n">
        <v>45506</v>
      </c>
      <c r="C582" s="1" t="n">
        <v>46132</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31601-2024</t>
        </is>
      </c>
      <c r="B583" s="1" t="n">
        <v>45506</v>
      </c>
      <c r="C583" s="1" t="n">
        <v>46132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31608-2024</t>
        </is>
      </c>
      <c r="B584" s="1" t="n">
        <v>45506</v>
      </c>
      <c r="C584" s="1" t="n">
        <v>46132</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31612-2024</t>
        </is>
      </c>
      <c r="B585" s="1" t="n">
        <v>45506</v>
      </c>
      <c r="C585" s="1" t="n">
        <v>46132</v>
      </c>
      <c r="D585" t="inlineStr">
        <is>
          <t>VÄSTMANLANDS LÄN</t>
        </is>
      </c>
      <c r="E585" t="inlineStr">
        <is>
          <t>SALA</t>
        </is>
      </c>
      <c r="G585" t="n">
        <v>3.2</v>
      </c>
      <c r="H585" t="n">
        <v>0</v>
      </c>
      <c r="I585" t="n">
        <v>0</v>
      </c>
      <c r="J585" t="n">
        <v>0</v>
      </c>
      <c r="K585" t="n">
        <v>0</v>
      </c>
      <c r="L585" t="n">
        <v>0</v>
      </c>
      <c r="M585" t="n">
        <v>0</v>
      </c>
      <c r="N585" t="n">
        <v>0</v>
      </c>
      <c r="O585" t="n">
        <v>0</v>
      </c>
      <c r="P585" t="n">
        <v>0</v>
      </c>
      <c r="Q585" t="n">
        <v>0</v>
      </c>
      <c r="R585" s="2" t="inlineStr"/>
    </row>
    <row r="586" ht="15" customHeight="1">
      <c r="A586" t="inlineStr">
        <is>
          <t>A 7654-2026</t>
        </is>
      </c>
      <c r="B586" s="1" t="n">
        <v>46062.38828703704</v>
      </c>
      <c r="C586" s="1" t="n">
        <v>46132</v>
      </c>
      <c r="D586" t="inlineStr">
        <is>
          <t>VÄSTMANLANDS LÄN</t>
        </is>
      </c>
      <c r="E586" t="inlineStr">
        <is>
          <t>SALA</t>
        </is>
      </c>
      <c r="G586" t="n">
        <v>4.5</v>
      </c>
      <c r="H586" t="n">
        <v>0</v>
      </c>
      <c r="I586" t="n">
        <v>0</v>
      </c>
      <c r="J586" t="n">
        <v>0</v>
      </c>
      <c r="K586" t="n">
        <v>0</v>
      </c>
      <c r="L586" t="n">
        <v>0</v>
      </c>
      <c r="M586" t="n">
        <v>0</v>
      </c>
      <c r="N586" t="n">
        <v>0</v>
      </c>
      <c r="O586" t="n">
        <v>0</v>
      </c>
      <c r="P586" t="n">
        <v>0</v>
      </c>
      <c r="Q586" t="n">
        <v>0</v>
      </c>
      <c r="R586" s="2" t="inlineStr"/>
    </row>
    <row r="587" ht="15" customHeight="1">
      <c r="A587" t="inlineStr">
        <is>
          <t>A 7597-2026</t>
        </is>
      </c>
      <c r="B587" s="1" t="n">
        <v>46061.91765046296</v>
      </c>
      <c r="C587" s="1" t="n">
        <v>46132</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11617-2026</t>
        </is>
      </c>
      <c r="B588" s="1" t="n">
        <v>46084</v>
      </c>
      <c r="C588" s="1" t="n">
        <v>46132</v>
      </c>
      <c r="D588" t="inlineStr">
        <is>
          <t>VÄSTMANLANDS LÄN</t>
        </is>
      </c>
      <c r="E588" t="inlineStr">
        <is>
          <t>SALA</t>
        </is>
      </c>
      <c r="F588" t="inlineStr">
        <is>
          <t>Kyrkan</t>
        </is>
      </c>
      <c r="G588" t="n">
        <v>3.7</v>
      </c>
      <c r="H588" t="n">
        <v>0</v>
      </c>
      <c r="I588" t="n">
        <v>0</v>
      </c>
      <c r="J588" t="n">
        <v>0</v>
      </c>
      <c r="K588" t="n">
        <v>0</v>
      </c>
      <c r="L588" t="n">
        <v>0</v>
      </c>
      <c r="M588" t="n">
        <v>0</v>
      </c>
      <c r="N588" t="n">
        <v>0</v>
      </c>
      <c r="O588" t="n">
        <v>0</v>
      </c>
      <c r="P588" t="n">
        <v>0</v>
      </c>
      <c r="Q588" t="n">
        <v>0</v>
      </c>
      <c r="R588" s="2" t="inlineStr"/>
    </row>
    <row r="589" ht="15" customHeight="1">
      <c r="A589" t="inlineStr">
        <is>
          <t>A 10579-2022</t>
        </is>
      </c>
      <c r="B589" s="1" t="n">
        <v>44624</v>
      </c>
      <c r="C589" s="1" t="n">
        <v>46132</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7611-2026</t>
        </is>
      </c>
      <c r="B590" s="1" t="n">
        <v>46062.32387731481</v>
      </c>
      <c r="C590" s="1" t="n">
        <v>46132</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7676-2026</t>
        </is>
      </c>
      <c r="B591" s="1" t="n">
        <v>46062.42498842593</v>
      </c>
      <c r="C591" s="1" t="n">
        <v>46132</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7680-2026</t>
        </is>
      </c>
      <c r="B592" s="1" t="n">
        <v>46062.43087962963</v>
      </c>
      <c r="C592" s="1" t="n">
        <v>46132</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7584-2026</t>
        </is>
      </c>
      <c r="B593" s="1" t="n">
        <v>46061.81653935185</v>
      </c>
      <c r="C593" s="1" t="n">
        <v>46132</v>
      </c>
      <c r="D593" t="inlineStr">
        <is>
          <t>VÄSTMANLANDS LÄN</t>
        </is>
      </c>
      <c r="E593" t="inlineStr">
        <is>
          <t>SALA</t>
        </is>
      </c>
      <c r="G593" t="n">
        <v>16.7</v>
      </c>
      <c r="H593" t="n">
        <v>0</v>
      </c>
      <c r="I593" t="n">
        <v>0</v>
      </c>
      <c r="J593" t="n">
        <v>0</v>
      </c>
      <c r="K593" t="n">
        <v>0</v>
      </c>
      <c r="L593" t="n">
        <v>0</v>
      </c>
      <c r="M593" t="n">
        <v>0</v>
      </c>
      <c r="N593" t="n">
        <v>0</v>
      </c>
      <c r="O593" t="n">
        <v>0</v>
      </c>
      <c r="P593" t="n">
        <v>0</v>
      </c>
      <c r="Q593" t="n">
        <v>0</v>
      </c>
      <c r="R593" s="2" t="inlineStr"/>
    </row>
    <row r="594" ht="15" customHeight="1">
      <c r="A594" t="inlineStr">
        <is>
          <t>A 7590-2026</t>
        </is>
      </c>
      <c r="B594" s="1" t="n">
        <v>46061.85252314815</v>
      </c>
      <c r="C594" s="1" t="n">
        <v>46132</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7596-2026</t>
        </is>
      </c>
      <c r="B595" s="1" t="n">
        <v>46061.90922453703</v>
      </c>
      <c r="C595" s="1" t="n">
        <v>46132</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64693-2023</t>
        </is>
      </c>
      <c r="B596" s="1" t="n">
        <v>45281.63850694444</v>
      </c>
      <c r="C596" s="1" t="n">
        <v>46132</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64695-2023</t>
        </is>
      </c>
      <c r="B597" s="1" t="n">
        <v>45281.64099537037</v>
      </c>
      <c r="C597" s="1" t="n">
        <v>46132</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7661-2026</t>
        </is>
      </c>
      <c r="B598" s="1" t="n">
        <v>46062.39614583334</v>
      </c>
      <c r="C598" s="1" t="n">
        <v>46132</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7588-2026</t>
        </is>
      </c>
      <c r="B599" s="1" t="n">
        <v>46061.83528935185</v>
      </c>
      <c r="C599" s="1" t="n">
        <v>46132</v>
      </c>
      <c r="D599" t="inlineStr">
        <is>
          <t>VÄSTMANLANDS LÄN</t>
        </is>
      </c>
      <c r="E599" t="inlineStr">
        <is>
          <t>SALA</t>
        </is>
      </c>
      <c r="G599" t="n">
        <v>2.8</v>
      </c>
      <c r="H599" t="n">
        <v>0</v>
      </c>
      <c r="I599" t="n">
        <v>0</v>
      </c>
      <c r="J599" t="n">
        <v>0</v>
      </c>
      <c r="K599" t="n">
        <v>0</v>
      </c>
      <c r="L599" t="n">
        <v>0</v>
      </c>
      <c r="M599" t="n">
        <v>0</v>
      </c>
      <c r="N599" t="n">
        <v>0</v>
      </c>
      <c r="O599" t="n">
        <v>0</v>
      </c>
      <c r="P599" t="n">
        <v>0</v>
      </c>
      <c r="Q599" t="n">
        <v>0</v>
      </c>
      <c r="R599" s="2" t="inlineStr"/>
    </row>
    <row r="600" ht="15" customHeight="1">
      <c r="A600" t="inlineStr">
        <is>
          <t>A 7595-2026</t>
        </is>
      </c>
      <c r="B600" s="1" t="n">
        <v>46061.90009259259</v>
      </c>
      <c r="C600" s="1" t="n">
        <v>46132</v>
      </c>
      <c r="D600" t="inlineStr">
        <is>
          <t>VÄSTMANLANDS LÄN</t>
        </is>
      </c>
      <c r="E600" t="inlineStr">
        <is>
          <t>SALA</t>
        </is>
      </c>
      <c r="G600" t="n">
        <v>1.2</v>
      </c>
      <c r="H600" t="n">
        <v>0</v>
      </c>
      <c r="I600" t="n">
        <v>0</v>
      </c>
      <c r="J600" t="n">
        <v>0</v>
      </c>
      <c r="K600" t="n">
        <v>0</v>
      </c>
      <c r="L600" t="n">
        <v>0</v>
      </c>
      <c r="M600" t="n">
        <v>0</v>
      </c>
      <c r="N600" t="n">
        <v>0</v>
      </c>
      <c r="O600" t="n">
        <v>0</v>
      </c>
      <c r="P600" t="n">
        <v>0</v>
      </c>
      <c r="Q600" t="n">
        <v>0</v>
      </c>
      <c r="R600" s="2" t="inlineStr"/>
    </row>
    <row r="601" ht="15" customHeight="1">
      <c r="A601" t="inlineStr">
        <is>
          <t>A 7593-2026</t>
        </is>
      </c>
      <c r="B601" s="1" t="n">
        <v>46061.88057870371</v>
      </c>
      <c r="C601" s="1" t="n">
        <v>46132</v>
      </c>
      <c r="D601" t="inlineStr">
        <is>
          <t>VÄSTMANLANDS LÄN</t>
        </is>
      </c>
      <c r="E601" t="inlineStr">
        <is>
          <t>SALA</t>
        </is>
      </c>
      <c r="G601" t="n">
        <v>7.5</v>
      </c>
      <c r="H601" t="n">
        <v>0</v>
      </c>
      <c r="I601" t="n">
        <v>0</v>
      </c>
      <c r="J601" t="n">
        <v>0</v>
      </c>
      <c r="K601" t="n">
        <v>0</v>
      </c>
      <c r="L601" t="n">
        <v>0</v>
      </c>
      <c r="M601" t="n">
        <v>0</v>
      </c>
      <c r="N601" t="n">
        <v>0</v>
      </c>
      <c r="O601" t="n">
        <v>0</v>
      </c>
      <c r="P601" t="n">
        <v>0</v>
      </c>
      <c r="Q601" t="n">
        <v>0</v>
      </c>
      <c r="R601" s="2" t="inlineStr"/>
    </row>
    <row r="602" ht="15" customHeight="1">
      <c r="A602" t="inlineStr">
        <is>
          <t>A 55784-2024</t>
        </is>
      </c>
      <c r="B602" s="1" t="n">
        <v>45623</v>
      </c>
      <c r="C602" s="1" t="n">
        <v>46132</v>
      </c>
      <c r="D602" t="inlineStr">
        <is>
          <t>VÄSTMANLANDS LÄN</t>
        </is>
      </c>
      <c r="E602" t="inlineStr">
        <is>
          <t>SALA</t>
        </is>
      </c>
      <c r="F602" t="inlineStr">
        <is>
          <t>Bergvik skog öst AB</t>
        </is>
      </c>
      <c r="G602" t="n">
        <v>28.4</v>
      </c>
      <c r="H602" t="n">
        <v>0</v>
      </c>
      <c r="I602" t="n">
        <v>0</v>
      </c>
      <c r="J602" t="n">
        <v>0</v>
      </c>
      <c r="K602" t="n">
        <v>0</v>
      </c>
      <c r="L602" t="n">
        <v>0</v>
      </c>
      <c r="M602" t="n">
        <v>0</v>
      </c>
      <c r="N602" t="n">
        <v>0</v>
      </c>
      <c r="O602" t="n">
        <v>0</v>
      </c>
      <c r="P602" t="n">
        <v>0</v>
      </c>
      <c r="Q602" t="n">
        <v>0</v>
      </c>
      <c r="R602" s="2" t="inlineStr"/>
    </row>
    <row r="603" ht="15" customHeight="1">
      <c r="A603" t="inlineStr">
        <is>
          <t>A 29542-2023</t>
        </is>
      </c>
      <c r="B603" s="1" t="n">
        <v>45098</v>
      </c>
      <c r="C603" s="1" t="n">
        <v>46132</v>
      </c>
      <c r="D603" t="inlineStr">
        <is>
          <t>VÄSTMANLANDS LÄN</t>
        </is>
      </c>
      <c r="E603" t="inlineStr">
        <is>
          <t>SALA</t>
        </is>
      </c>
      <c r="G603" t="n">
        <v>4.8</v>
      </c>
      <c r="H603" t="n">
        <v>0</v>
      </c>
      <c r="I603" t="n">
        <v>0</v>
      </c>
      <c r="J603" t="n">
        <v>0</v>
      </c>
      <c r="K603" t="n">
        <v>0</v>
      </c>
      <c r="L603" t="n">
        <v>0</v>
      </c>
      <c r="M603" t="n">
        <v>0</v>
      </c>
      <c r="N603" t="n">
        <v>0</v>
      </c>
      <c r="O603" t="n">
        <v>0</v>
      </c>
      <c r="P603" t="n">
        <v>0</v>
      </c>
      <c r="Q603" t="n">
        <v>0</v>
      </c>
      <c r="R603" s="2" t="inlineStr"/>
    </row>
    <row r="604" ht="15" customHeight="1">
      <c r="A604" t="inlineStr">
        <is>
          <t>A 27038-2023</t>
        </is>
      </c>
      <c r="B604" s="1" t="n">
        <v>45095</v>
      </c>
      <c r="C604" s="1" t="n">
        <v>46132</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15630-2026</t>
        </is>
      </c>
      <c r="B605" s="1" t="n">
        <v>46106.62283564815</v>
      </c>
      <c r="C605" s="1" t="n">
        <v>46132</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15823-2026</t>
        </is>
      </c>
      <c r="B606" s="1" t="n">
        <v>46107.54096064815</v>
      </c>
      <c r="C606" s="1" t="n">
        <v>46132</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17051-2025</t>
        </is>
      </c>
      <c r="B607" s="1" t="n">
        <v>45755</v>
      </c>
      <c r="C607" s="1" t="n">
        <v>46132</v>
      </c>
      <c r="D607" t="inlineStr">
        <is>
          <t>VÄSTMANLANDS LÄN</t>
        </is>
      </c>
      <c r="E607" t="inlineStr">
        <is>
          <t>SALA</t>
        </is>
      </c>
      <c r="G607" t="n">
        <v>2.9</v>
      </c>
      <c r="H607" t="n">
        <v>0</v>
      </c>
      <c r="I607" t="n">
        <v>0</v>
      </c>
      <c r="J607" t="n">
        <v>0</v>
      </c>
      <c r="K607" t="n">
        <v>0</v>
      </c>
      <c r="L607" t="n">
        <v>0</v>
      </c>
      <c r="M607" t="n">
        <v>0</v>
      </c>
      <c r="N607" t="n">
        <v>0</v>
      </c>
      <c r="O607" t="n">
        <v>0</v>
      </c>
      <c r="P607" t="n">
        <v>0</v>
      </c>
      <c r="Q607" t="n">
        <v>0</v>
      </c>
      <c r="R607" s="2" t="inlineStr"/>
    </row>
    <row r="608" ht="15" customHeight="1">
      <c r="A608" t="inlineStr">
        <is>
          <t>A 8285-2025</t>
        </is>
      </c>
      <c r="B608" s="1" t="n">
        <v>45708</v>
      </c>
      <c r="C608" s="1" t="n">
        <v>46132</v>
      </c>
      <c r="D608" t="inlineStr">
        <is>
          <t>VÄSTMANLANDS LÄN</t>
        </is>
      </c>
      <c r="E608" t="inlineStr">
        <is>
          <t>SALA</t>
        </is>
      </c>
      <c r="G608" t="n">
        <v>5.7</v>
      </c>
      <c r="H608" t="n">
        <v>0</v>
      </c>
      <c r="I608" t="n">
        <v>0</v>
      </c>
      <c r="J608" t="n">
        <v>0</v>
      </c>
      <c r="K608" t="n">
        <v>0</v>
      </c>
      <c r="L608" t="n">
        <v>0</v>
      </c>
      <c r="M608" t="n">
        <v>0</v>
      </c>
      <c r="N608" t="n">
        <v>0</v>
      </c>
      <c r="O608" t="n">
        <v>0</v>
      </c>
      <c r="P608" t="n">
        <v>0</v>
      </c>
      <c r="Q608" t="n">
        <v>0</v>
      </c>
      <c r="R608" s="2" t="inlineStr"/>
    </row>
    <row r="609" ht="15" customHeight="1">
      <c r="A609" t="inlineStr">
        <is>
          <t>A 22019-2021</t>
        </is>
      </c>
      <c r="B609" s="1" t="n">
        <v>44323</v>
      </c>
      <c r="C609" s="1" t="n">
        <v>46132</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16354-2026</t>
        </is>
      </c>
      <c r="B610" s="1" t="n">
        <v>46111.5968287037</v>
      </c>
      <c r="C610" s="1" t="n">
        <v>46132</v>
      </c>
      <c r="D610" t="inlineStr">
        <is>
          <t>VÄSTMANLANDS LÄN</t>
        </is>
      </c>
      <c r="E610" t="inlineStr">
        <is>
          <t>SALA</t>
        </is>
      </c>
      <c r="G610" t="n">
        <v>5.2</v>
      </c>
      <c r="H610" t="n">
        <v>0</v>
      </c>
      <c r="I610" t="n">
        <v>0</v>
      </c>
      <c r="J610" t="n">
        <v>0</v>
      </c>
      <c r="K610" t="n">
        <v>0</v>
      </c>
      <c r="L610" t="n">
        <v>0</v>
      </c>
      <c r="M610" t="n">
        <v>0</v>
      </c>
      <c r="N610" t="n">
        <v>0</v>
      </c>
      <c r="O610" t="n">
        <v>0</v>
      </c>
      <c r="P610" t="n">
        <v>0</v>
      </c>
      <c r="Q610" t="n">
        <v>0</v>
      </c>
      <c r="R610" s="2" t="inlineStr"/>
    </row>
    <row r="611" ht="15" customHeight="1">
      <c r="A611" t="inlineStr">
        <is>
          <t>A 57404-2024</t>
        </is>
      </c>
      <c r="B611" s="1" t="n">
        <v>45629.71967592592</v>
      </c>
      <c r="C611" s="1" t="n">
        <v>46132</v>
      </c>
      <c r="D611" t="inlineStr">
        <is>
          <t>VÄSTMANLANDS LÄN</t>
        </is>
      </c>
      <c r="E611" t="inlineStr">
        <is>
          <t>SALA</t>
        </is>
      </c>
      <c r="G611" t="n">
        <v>0.3</v>
      </c>
      <c r="H611" t="n">
        <v>0</v>
      </c>
      <c r="I611" t="n">
        <v>0</v>
      </c>
      <c r="J611" t="n">
        <v>0</v>
      </c>
      <c r="K611" t="n">
        <v>0</v>
      </c>
      <c r="L611" t="n">
        <v>0</v>
      </c>
      <c r="M611" t="n">
        <v>0</v>
      </c>
      <c r="N611" t="n">
        <v>0</v>
      </c>
      <c r="O611" t="n">
        <v>0</v>
      </c>
      <c r="P611" t="n">
        <v>0</v>
      </c>
      <c r="Q611" t="n">
        <v>0</v>
      </c>
      <c r="R611" s="2" t="inlineStr"/>
    </row>
    <row r="612" ht="15" customHeight="1">
      <c r="A612" t="inlineStr">
        <is>
          <t>A 16598-2026</t>
        </is>
      </c>
      <c r="B612" s="1" t="n">
        <v>46112.59598379629</v>
      </c>
      <c r="C612" s="1" t="n">
        <v>46132</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21777-2022</t>
        </is>
      </c>
      <c r="B613" s="1" t="n">
        <v>44708.48194444444</v>
      </c>
      <c r="C613" s="1" t="n">
        <v>46132</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17866-2025</t>
        </is>
      </c>
      <c r="B614" s="1" t="n">
        <v>45758</v>
      </c>
      <c r="C614" s="1" t="n">
        <v>46132</v>
      </c>
      <c r="D614" t="inlineStr">
        <is>
          <t>VÄSTMANLANDS LÄN</t>
        </is>
      </c>
      <c r="E614" t="inlineStr">
        <is>
          <t>SALA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33732-2023</t>
        </is>
      </c>
      <c r="B615" s="1" t="n">
        <v>45133.32409722222</v>
      </c>
      <c r="C615" s="1" t="n">
        <v>46132</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16367-2026</t>
        </is>
      </c>
      <c r="B616" s="1" t="n">
        <v>46111.61380787037</v>
      </c>
      <c r="C616" s="1" t="n">
        <v>46132</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16369-2026</t>
        </is>
      </c>
      <c r="B617" s="1" t="n">
        <v>46111</v>
      </c>
      <c r="C617" s="1" t="n">
        <v>46132</v>
      </c>
      <c r="D617" t="inlineStr">
        <is>
          <t>VÄSTMANLANDS LÄN</t>
        </is>
      </c>
      <c r="E617" t="inlineStr">
        <is>
          <t>SALA</t>
        </is>
      </c>
      <c r="G617" t="n">
        <v>1.4</v>
      </c>
      <c r="H617" t="n">
        <v>0</v>
      </c>
      <c r="I617" t="n">
        <v>0</v>
      </c>
      <c r="J617" t="n">
        <v>0</v>
      </c>
      <c r="K617" t="n">
        <v>0</v>
      </c>
      <c r="L617" t="n">
        <v>0</v>
      </c>
      <c r="M617" t="n">
        <v>0</v>
      </c>
      <c r="N617" t="n">
        <v>0</v>
      </c>
      <c r="O617" t="n">
        <v>0</v>
      </c>
      <c r="P617" t="n">
        <v>0</v>
      </c>
      <c r="Q617" t="n">
        <v>0</v>
      </c>
      <c r="R617" s="2" t="inlineStr"/>
    </row>
    <row r="618" ht="15" customHeight="1">
      <c r="A618" t="inlineStr">
        <is>
          <t>A 7166-2025</t>
        </is>
      </c>
      <c r="B618" s="1" t="n">
        <v>45702</v>
      </c>
      <c r="C618" s="1" t="n">
        <v>46132</v>
      </c>
      <c r="D618" t="inlineStr">
        <is>
          <t>VÄSTMANLANDS LÄN</t>
        </is>
      </c>
      <c r="E618" t="inlineStr">
        <is>
          <t>SALA</t>
        </is>
      </c>
      <c r="G618" t="n">
        <v>6.1</v>
      </c>
      <c r="H618" t="n">
        <v>0</v>
      </c>
      <c r="I618" t="n">
        <v>0</v>
      </c>
      <c r="J618" t="n">
        <v>0</v>
      </c>
      <c r="K618" t="n">
        <v>0</v>
      </c>
      <c r="L618" t="n">
        <v>0</v>
      </c>
      <c r="M618" t="n">
        <v>0</v>
      </c>
      <c r="N618" t="n">
        <v>0</v>
      </c>
      <c r="O618" t="n">
        <v>0</v>
      </c>
      <c r="P618" t="n">
        <v>0</v>
      </c>
      <c r="Q618" t="n">
        <v>0</v>
      </c>
      <c r="R618" s="2" t="inlineStr"/>
    </row>
    <row r="619" ht="15" customHeight="1">
      <c r="A619" t="inlineStr">
        <is>
          <t>A 16364-2026</t>
        </is>
      </c>
      <c r="B619" s="1" t="n">
        <v>46111.6115625</v>
      </c>
      <c r="C619" s="1" t="n">
        <v>46132</v>
      </c>
      <c r="D619" t="inlineStr">
        <is>
          <t>VÄSTMANLANDS LÄN</t>
        </is>
      </c>
      <c r="E619" t="inlineStr">
        <is>
          <t>SALA</t>
        </is>
      </c>
      <c r="G619" t="n">
        <v>4.7</v>
      </c>
      <c r="H619" t="n">
        <v>0</v>
      </c>
      <c r="I619" t="n">
        <v>0</v>
      </c>
      <c r="J619" t="n">
        <v>0</v>
      </c>
      <c r="K619" t="n">
        <v>0</v>
      </c>
      <c r="L619" t="n">
        <v>0</v>
      </c>
      <c r="M619" t="n">
        <v>0</v>
      </c>
      <c r="N619" t="n">
        <v>0</v>
      </c>
      <c r="O619" t="n">
        <v>0</v>
      </c>
      <c r="P619" t="n">
        <v>0</v>
      </c>
      <c r="Q619" t="n">
        <v>0</v>
      </c>
      <c r="R619" s="2" t="inlineStr"/>
    </row>
    <row r="620" ht="15" customHeight="1">
      <c r="A620" t="inlineStr">
        <is>
          <t>A 44857-2023</t>
        </is>
      </c>
      <c r="B620" s="1" t="n">
        <v>45190.58479166667</v>
      </c>
      <c r="C620" s="1" t="n">
        <v>46132</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46352-2023</t>
        </is>
      </c>
      <c r="B621" s="1" t="n">
        <v>45192</v>
      </c>
      <c r="C621" s="1" t="n">
        <v>46132</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22397-2022</t>
        </is>
      </c>
      <c r="B622" s="1" t="n">
        <v>44713</v>
      </c>
      <c r="C622" s="1" t="n">
        <v>46132</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27424-2023</t>
        </is>
      </c>
      <c r="B623" s="1" t="n">
        <v>45097.37690972222</v>
      </c>
      <c r="C623" s="1" t="n">
        <v>46132</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7469-2025</t>
        </is>
      </c>
      <c r="B624" s="1" t="n">
        <v>45705</v>
      </c>
      <c r="C624" s="1" t="n">
        <v>46132</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6691-2025</t>
        </is>
      </c>
      <c r="B625" s="1" t="n">
        <v>45700.50625</v>
      </c>
      <c r="C625" s="1" t="n">
        <v>46132</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60036-2024</t>
        </is>
      </c>
      <c r="B626" s="1" t="n">
        <v>45642.46434027778</v>
      </c>
      <c r="C626" s="1" t="n">
        <v>46132</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43188-2023</t>
        </is>
      </c>
      <c r="B627" s="1" t="n">
        <v>45183</v>
      </c>
      <c r="C627" s="1" t="n">
        <v>46132</v>
      </c>
      <c r="D627" t="inlineStr">
        <is>
          <t>VÄSTMANLANDS LÄN</t>
        </is>
      </c>
      <c r="E627" t="inlineStr">
        <is>
          <t>SALA</t>
        </is>
      </c>
      <c r="G627" t="n">
        <v>1.2</v>
      </c>
      <c r="H627" t="n">
        <v>0</v>
      </c>
      <c r="I627" t="n">
        <v>0</v>
      </c>
      <c r="J627" t="n">
        <v>0</v>
      </c>
      <c r="K627" t="n">
        <v>0</v>
      </c>
      <c r="L627" t="n">
        <v>0</v>
      </c>
      <c r="M627" t="n">
        <v>0</v>
      </c>
      <c r="N627" t="n">
        <v>0</v>
      </c>
      <c r="O627" t="n">
        <v>0</v>
      </c>
      <c r="P627" t="n">
        <v>0</v>
      </c>
      <c r="Q627" t="n">
        <v>0</v>
      </c>
      <c r="R627" s="2" t="inlineStr"/>
    </row>
    <row r="628" ht="15" customHeight="1">
      <c r="A628" t="inlineStr">
        <is>
          <t>A 43205-2023</t>
        </is>
      </c>
      <c r="B628" s="1" t="n">
        <v>45183</v>
      </c>
      <c r="C628" s="1" t="n">
        <v>46132</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28827-2022</t>
        </is>
      </c>
      <c r="B629" s="1" t="n">
        <v>44749.45561342593</v>
      </c>
      <c r="C629" s="1" t="n">
        <v>46132</v>
      </c>
      <c r="D629" t="inlineStr">
        <is>
          <t>VÄSTMANLANDS LÄN</t>
        </is>
      </c>
      <c r="E629" t="inlineStr">
        <is>
          <t>SALA</t>
        </is>
      </c>
      <c r="F629" t="inlineStr">
        <is>
          <t>Kommuner</t>
        </is>
      </c>
      <c r="G629" t="n">
        <v>11.9</v>
      </c>
      <c r="H629" t="n">
        <v>0</v>
      </c>
      <c r="I629" t="n">
        <v>0</v>
      </c>
      <c r="J629" t="n">
        <v>0</v>
      </c>
      <c r="K629" t="n">
        <v>0</v>
      </c>
      <c r="L629" t="n">
        <v>0</v>
      </c>
      <c r="M629" t="n">
        <v>0</v>
      </c>
      <c r="N629" t="n">
        <v>0</v>
      </c>
      <c r="O629" t="n">
        <v>0</v>
      </c>
      <c r="P629" t="n">
        <v>0</v>
      </c>
      <c r="Q629" t="n">
        <v>0</v>
      </c>
      <c r="R629" s="2" t="inlineStr"/>
    </row>
    <row r="630" ht="15" customHeight="1">
      <c r="A630" t="inlineStr">
        <is>
          <t>A 15756-2025</t>
        </is>
      </c>
      <c r="B630" s="1" t="n">
        <v>45748.56810185185</v>
      </c>
      <c r="C630" s="1" t="n">
        <v>46132</v>
      </c>
      <c r="D630" t="inlineStr">
        <is>
          <t>VÄSTMANLANDS LÄN</t>
        </is>
      </c>
      <c r="E630" t="inlineStr">
        <is>
          <t>SALA</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19243-2025</t>
        </is>
      </c>
      <c r="B631" s="1" t="n">
        <v>45769</v>
      </c>
      <c r="C631" s="1" t="n">
        <v>46132</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59297-2023</t>
        </is>
      </c>
      <c r="B632" s="1" t="n">
        <v>45253</v>
      </c>
      <c r="C632" s="1" t="n">
        <v>46132</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6136-2025</t>
        </is>
      </c>
      <c r="B633" s="1" t="n">
        <v>45698.37601851852</v>
      </c>
      <c r="C633" s="1" t="n">
        <v>46132</v>
      </c>
      <c r="D633" t="inlineStr">
        <is>
          <t>VÄSTMANLANDS LÄN</t>
        </is>
      </c>
      <c r="E633" t="inlineStr">
        <is>
          <t>SALA</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6190-2025</t>
        </is>
      </c>
      <c r="B634" s="1" t="n">
        <v>45698</v>
      </c>
      <c r="C634" s="1" t="n">
        <v>46132</v>
      </c>
      <c r="D634" t="inlineStr">
        <is>
          <t>VÄSTMANLANDS LÄN</t>
        </is>
      </c>
      <c r="E634" t="inlineStr">
        <is>
          <t>SALA</t>
        </is>
      </c>
      <c r="F634" t="inlineStr">
        <is>
          <t>Bergvik skog öst AB</t>
        </is>
      </c>
      <c r="G634" t="n">
        <v>4.6</v>
      </c>
      <c r="H634" t="n">
        <v>0</v>
      </c>
      <c r="I634" t="n">
        <v>0</v>
      </c>
      <c r="J634" t="n">
        <v>0</v>
      </c>
      <c r="K634" t="n">
        <v>0</v>
      </c>
      <c r="L634" t="n">
        <v>0</v>
      </c>
      <c r="M634" t="n">
        <v>0</v>
      </c>
      <c r="N634" t="n">
        <v>0</v>
      </c>
      <c r="O634" t="n">
        <v>0</v>
      </c>
      <c r="P634" t="n">
        <v>0</v>
      </c>
      <c r="Q634" t="n">
        <v>0</v>
      </c>
      <c r="R634" s="2" t="inlineStr"/>
    </row>
    <row r="635" ht="15" customHeight="1">
      <c r="A635" t="inlineStr">
        <is>
          <t>A 10245-2026</t>
        </is>
      </c>
      <c r="B635" s="1" t="n">
        <v>46076.55144675926</v>
      </c>
      <c r="C635" s="1" t="n">
        <v>46132</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10252-2026</t>
        </is>
      </c>
      <c r="B636" s="1" t="n">
        <v>46076.55700231482</v>
      </c>
      <c r="C636" s="1" t="n">
        <v>46132</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28863-2022</t>
        </is>
      </c>
      <c r="B637" s="1" t="n">
        <v>44749.50649305555</v>
      </c>
      <c r="C637" s="1" t="n">
        <v>46132</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10239-2026</t>
        </is>
      </c>
      <c r="B638" s="1" t="n">
        <v>46076.54824074074</v>
      </c>
      <c r="C638" s="1" t="n">
        <v>46132</v>
      </c>
      <c r="D638" t="inlineStr">
        <is>
          <t>VÄSTMANLANDS LÄN</t>
        </is>
      </c>
      <c r="E638" t="inlineStr">
        <is>
          <t>SALA</t>
        </is>
      </c>
      <c r="G638" t="n">
        <v>1.1</v>
      </c>
      <c r="H638" t="n">
        <v>0</v>
      </c>
      <c r="I638" t="n">
        <v>0</v>
      </c>
      <c r="J638" t="n">
        <v>0</v>
      </c>
      <c r="K638" t="n">
        <v>0</v>
      </c>
      <c r="L638" t="n">
        <v>0</v>
      </c>
      <c r="M638" t="n">
        <v>0</v>
      </c>
      <c r="N638" t="n">
        <v>0</v>
      </c>
      <c r="O638" t="n">
        <v>0</v>
      </c>
      <c r="P638" t="n">
        <v>0</v>
      </c>
      <c r="Q638" t="n">
        <v>0</v>
      </c>
      <c r="R638" s="2" t="inlineStr"/>
    </row>
    <row r="639" ht="15" customHeight="1">
      <c r="A639" t="inlineStr">
        <is>
          <t>A 25541-2024</t>
        </is>
      </c>
      <c r="B639" s="1" t="n">
        <v>45463.56337962963</v>
      </c>
      <c r="C639" s="1" t="n">
        <v>46132</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29213-2022</t>
        </is>
      </c>
      <c r="B640" s="1" t="n">
        <v>44750.57474537037</v>
      </c>
      <c r="C640" s="1" t="n">
        <v>46132</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56964-2023</t>
        </is>
      </c>
      <c r="B641" s="1" t="n">
        <v>45244.63140046296</v>
      </c>
      <c r="C641" s="1" t="n">
        <v>46132</v>
      </c>
      <c r="D641" t="inlineStr">
        <is>
          <t>VÄSTMANLANDS LÄN</t>
        </is>
      </c>
      <c r="E641" t="inlineStr">
        <is>
          <t>SALA</t>
        </is>
      </c>
      <c r="G641" t="n">
        <v>4.6</v>
      </c>
      <c r="H641" t="n">
        <v>0</v>
      </c>
      <c r="I641" t="n">
        <v>0</v>
      </c>
      <c r="J641" t="n">
        <v>0</v>
      </c>
      <c r="K641" t="n">
        <v>0</v>
      </c>
      <c r="L641" t="n">
        <v>0</v>
      </c>
      <c r="M641" t="n">
        <v>0</v>
      </c>
      <c r="N641" t="n">
        <v>0</v>
      </c>
      <c r="O641" t="n">
        <v>0</v>
      </c>
      <c r="P641" t="n">
        <v>0</v>
      </c>
      <c r="Q641" t="n">
        <v>0</v>
      </c>
      <c r="R641" s="2" t="inlineStr"/>
    </row>
    <row r="642" ht="15" customHeight="1">
      <c r="A642" t="inlineStr">
        <is>
          <t>A 13639-2026</t>
        </is>
      </c>
      <c r="B642" s="1" t="n">
        <v>46097</v>
      </c>
      <c r="C642" s="1" t="n">
        <v>46132</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1555-2024</t>
        </is>
      </c>
      <c r="B643" s="1" t="n">
        <v>45306</v>
      </c>
      <c r="C643" s="1" t="n">
        <v>46132</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13188-2025</t>
        </is>
      </c>
      <c r="B644" s="1" t="n">
        <v>45735.39246527778</v>
      </c>
      <c r="C644" s="1" t="n">
        <v>46132</v>
      </c>
      <c r="D644" t="inlineStr">
        <is>
          <t>VÄSTMANLANDS LÄN</t>
        </is>
      </c>
      <c r="E644" t="inlineStr">
        <is>
          <t>SALA</t>
        </is>
      </c>
      <c r="F644" t="inlineStr">
        <is>
          <t>Naturvårdsverket</t>
        </is>
      </c>
      <c r="G644" t="n">
        <v>18.4</v>
      </c>
      <c r="H644" t="n">
        <v>0</v>
      </c>
      <c r="I644" t="n">
        <v>0</v>
      </c>
      <c r="J644" t="n">
        <v>0</v>
      </c>
      <c r="K644" t="n">
        <v>0</v>
      </c>
      <c r="L644" t="n">
        <v>0</v>
      </c>
      <c r="M644" t="n">
        <v>0</v>
      </c>
      <c r="N644" t="n">
        <v>0</v>
      </c>
      <c r="O644" t="n">
        <v>0</v>
      </c>
      <c r="P644" t="n">
        <v>0</v>
      </c>
      <c r="Q644" t="n">
        <v>0</v>
      </c>
      <c r="R644" s="2" t="inlineStr"/>
    </row>
    <row r="645" ht="15" customHeight="1">
      <c r="A645" t="inlineStr">
        <is>
          <t>A 7197-2025</t>
        </is>
      </c>
      <c r="B645" s="1" t="n">
        <v>45702</v>
      </c>
      <c r="C645" s="1" t="n">
        <v>46132</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15099-2025</t>
        </is>
      </c>
      <c r="B646" s="1" t="n">
        <v>45744.3434837963</v>
      </c>
      <c r="C646" s="1" t="n">
        <v>46132</v>
      </c>
      <c r="D646" t="inlineStr">
        <is>
          <t>VÄSTMANLANDS LÄN</t>
        </is>
      </c>
      <c r="E646" t="inlineStr">
        <is>
          <t>SALA</t>
        </is>
      </c>
      <c r="F646" t="inlineStr">
        <is>
          <t>Sveaskog</t>
        </is>
      </c>
      <c r="G646" t="n">
        <v>14.4</v>
      </c>
      <c r="H646" t="n">
        <v>0</v>
      </c>
      <c r="I646" t="n">
        <v>0</v>
      </c>
      <c r="J646" t="n">
        <v>0</v>
      </c>
      <c r="K646" t="n">
        <v>0</v>
      </c>
      <c r="L646" t="n">
        <v>0</v>
      </c>
      <c r="M646" t="n">
        <v>0</v>
      </c>
      <c r="N646" t="n">
        <v>0</v>
      </c>
      <c r="O646" t="n">
        <v>0</v>
      </c>
      <c r="P646" t="n">
        <v>0</v>
      </c>
      <c r="Q646" t="n">
        <v>0</v>
      </c>
      <c r="R646" s="2" t="inlineStr"/>
    </row>
    <row r="647" ht="15" customHeight="1">
      <c r="A647" t="inlineStr">
        <is>
          <t>A 2928-2024</t>
        </is>
      </c>
      <c r="B647" s="1" t="n">
        <v>45315.59041666667</v>
      </c>
      <c r="C647" s="1" t="n">
        <v>46132</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9962-2025</t>
        </is>
      </c>
      <c r="B648" s="1" t="n">
        <v>45719.37072916667</v>
      </c>
      <c r="C648" s="1" t="n">
        <v>46132</v>
      </c>
      <c r="D648" t="inlineStr">
        <is>
          <t>VÄSTMANLANDS LÄN</t>
        </is>
      </c>
      <c r="E648" t="inlineStr">
        <is>
          <t>SALA</t>
        </is>
      </c>
      <c r="G648" t="n">
        <v>4.5</v>
      </c>
      <c r="H648" t="n">
        <v>0</v>
      </c>
      <c r="I648" t="n">
        <v>0</v>
      </c>
      <c r="J648" t="n">
        <v>0</v>
      </c>
      <c r="K648" t="n">
        <v>0</v>
      </c>
      <c r="L648" t="n">
        <v>0</v>
      </c>
      <c r="M648" t="n">
        <v>0</v>
      </c>
      <c r="N648" t="n">
        <v>0</v>
      </c>
      <c r="O648" t="n">
        <v>0</v>
      </c>
      <c r="P648" t="n">
        <v>0</v>
      </c>
      <c r="Q648" t="n">
        <v>0</v>
      </c>
      <c r="R648" s="2" t="inlineStr"/>
    </row>
    <row r="649" ht="15" customHeight="1">
      <c r="A649" t="inlineStr">
        <is>
          <t>A 14024-2025</t>
        </is>
      </c>
      <c r="B649" s="1" t="n">
        <v>45740.34650462963</v>
      </c>
      <c r="C649" s="1" t="n">
        <v>46132</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3551-2024</t>
        </is>
      </c>
      <c r="B650" s="1" t="n">
        <v>45320.61099537037</v>
      </c>
      <c r="C650" s="1" t="n">
        <v>46132</v>
      </c>
      <c r="D650" t="inlineStr">
        <is>
          <t>VÄSTMANLANDS LÄN</t>
        </is>
      </c>
      <c r="E650" t="inlineStr">
        <is>
          <t>SALA</t>
        </is>
      </c>
      <c r="F650" t="inlineStr">
        <is>
          <t>Kommuner</t>
        </is>
      </c>
      <c r="G650" t="n">
        <v>6</v>
      </c>
      <c r="H650" t="n">
        <v>0</v>
      </c>
      <c r="I650" t="n">
        <v>0</v>
      </c>
      <c r="J650" t="n">
        <v>0</v>
      </c>
      <c r="K650" t="n">
        <v>0</v>
      </c>
      <c r="L650" t="n">
        <v>0</v>
      </c>
      <c r="M650" t="n">
        <v>0</v>
      </c>
      <c r="N650" t="n">
        <v>0</v>
      </c>
      <c r="O650" t="n">
        <v>0</v>
      </c>
      <c r="P650" t="n">
        <v>0</v>
      </c>
      <c r="Q650" t="n">
        <v>0</v>
      </c>
      <c r="R650" s="2" t="inlineStr"/>
    </row>
    <row r="651" ht="15" customHeight="1">
      <c r="A651" t="inlineStr">
        <is>
          <t>A 62635-2022</t>
        </is>
      </c>
      <c r="B651" s="1" t="n">
        <v>44917</v>
      </c>
      <c r="C651" s="1" t="n">
        <v>46132</v>
      </c>
      <c r="D651" t="inlineStr">
        <is>
          <t>VÄSTMANLANDS LÄN</t>
        </is>
      </c>
      <c r="E651" t="inlineStr">
        <is>
          <t>SALA</t>
        </is>
      </c>
      <c r="G651" t="n">
        <v>0.4</v>
      </c>
      <c r="H651" t="n">
        <v>0</v>
      </c>
      <c r="I651" t="n">
        <v>0</v>
      </c>
      <c r="J651" t="n">
        <v>0</v>
      </c>
      <c r="K651" t="n">
        <v>0</v>
      </c>
      <c r="L651" t="n">
        <v>0</v>
      </c>
      <c r="M651" t="n">
        <v>0</v>
      </c>
      <c r="N651" t="n">
        <v>0</v>
      </c>
      <c r="O651" t="n">
        <v>0</v>
      </c>
      <c r="P651" t="n">
        <v>0</v>
      </c>
      <c r="Q651" t="n">
        <v>0</v>
      </c>
      <c r="R651" s="2" t="inlineStr"/>
    </row>
    <row r="652" ht="15" customHeight="1">
      <c r="A652" t="inlineStr">
        <is>
          <t>A 19304-2025</t>
        </is>
      </c>
      <c r="B652" s="1" t="n">
        <v>45769</v>
      </c>
      <c r="C652" s="1" t="n">
        <v>46132</v>
      </c>
      <c r="D652" t="inlineStr">
        <is>
          <t>VÄSTMANLANDS LÄN</t>
        </is>
      </c>
      <c r="E652" t="inlineStr">
        <is>
          <t>SALA</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56057-2023</t>
        </is>
      </c>
      <c r="B653" s="1" t="n">
        <v>45233</v>
      </c>
      <c r="C653" s="1" t="n">
        <v>46132</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18592-2026</t>
        </is>
      </c>
      <c r="B654" s="1" t="n">
        <v>46127.64232638889</v>
      </c>
      <c r="C654" s="1" t="n">
        <v>46132</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55024-2023</t>
        </is>
      </c>
      <c r="B655" s="1" t="n">
        <v>45229</v>
      </c>
      <c r="C655" s="1" t="n">
        <v>46132</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55032-2023</t>
        </is>
      </c>
      <c r="B656" s="1" t="n">
        <v>45229</v>
      </c>
      <c r="C656" s="1" t="n">
        <v>46132</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18382-2026</t>
        </is>
      </c>
      <c r="B657" s="1" t="n">
        <v>46126.63601851852</v>
      </c>
      <c r="C657" s="1" t="n">
        <v>46132</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29248-2022</t>
        </is>
      </c>
      <c r="B658" s="1" t="n">
        <v>44750</v>
      </c>
      <c r="C658" s="1" t="n">
        <v>46132</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59175-2022</t>
        </is>
      </c>
      <c r="B659" s="1" t="n">
        <v>44904.48502314815</v>
      </c>
      <c r="C659" s="1" t="n">
        <v>46132</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39451-2022</t>
        </is>
      </c>
      <c r="B660" s="1" t="n">
        <v>44818.36606481481</v>
      </c>
      <c r="C660" s="1" t="n">
        <v>46132</v>
      </c>
      <c r="D660" t="inlineStr">
        <is>
          <t>VÄSTMANLANDS LÄN</t>
        </is>
      </c>
      <c r="E660" t="inlineStr">
        <is>
          <t>SALA</t>
        </is>
      </c>
      <c r="G660" t="n">
        <v>9.4</v>
      </c>
      <c r="H660" t="n">
        <v>0</v>
      </c>
      <c r="I660" t="n">
        <v>0</v>
      </c>
      <c r="J660" t="n">
        <v>0</v>
      </c>
      <c r="K660" t="n">
        <v>0</v>
      </c>
      <c r="L660" t="n">
        <v>0</v>
      </c>
      <c r="M660" t="n">
        <v>0</v>
      </c>
      <c r="N660" t="n">
        <v>0</v>
      </c>
      <c r="O660" t="n">
        <v>0</v>
      </c>
      <c r="P660" t="n">
        <v>0</v>
      </c>
      <c r="Q660" t="n">
        <v>0</v>
      </c>
      <c r="R660" s="2" t="inlineStr"/>
    </row>
    <row r="661" ht="15" customHeight="1">
      <c r="A661" t="inlineStr">
        <is>
          <t>A 11631-2023</t>
        </is>
      </c>
      <c r="B661" s="1" t="n">
        <v>44994.44001157407</v>
      </c>
      <c r="C661" s="1" t="n">
        <v>46132</v>
      </c>
      <c r="D661" t="inlineStr">
        <is>
          <t>VÄSTMANLANDS LÄN</t>
        </is>
      </c>
      <c r="E661" t="inlineStr">
        <is>
          <t>SALA</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12144-2026</t>
        </is>
      </c>
      <c r="B662" s="1" t="n">
        <v>46086.58008101852</v>
      </c>
      <c r="C662" s="1" t="n">
        <v>46132</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62648-2022</t>
        </is>
      </c>
      <c r="B663" s="1" t="n">
        <v>44917</v>
      </c>
      <c r="C663" s="1" t="n">
        <v>46132</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1934-2023</t>
        </is>
      </c>
      <c r="B664" s="1" t="n">
        <v>44939.43024305555</v>
      </c>
      <c r="C664" s="1" t="n">
        <v>46132</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11927-2025</t>
        </is>
      </c>
      <c r="B665" s="1" t="n">
        <v>45728.5137962963</v>
      </c>
      <c r="C665" s="1" t="n">
        <v>46132</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60823-2024</t>
        </is>
      </c>
      <c r="B666" s="1" t="n">
        <v>45644</v>
      </c>
      <c r="C666" s="1" t="n">
        <v>46132</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96-2024</t>
        </is>
      </c>
      <c r="B667" s="1" t="n">
        <v>45293.85872685185</v>
      </c>
      <c r="C667" s="1" t="n">
        <v>46132</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23374-2023</t>
        </is>
      </c>
      <c r="B668" s="1" t="n">
        <v>45076.4399537037</v>
      </c>
      <c r="C668" s="1" t="n">
        <v>46132</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61874-2021</t>
        </is>
      </c>
      <c r="B669" s="1" t="n">
        <v>44502</v>
      </c>
      <c r="C669" s="1" t="n">
        <v>46132</v>
      </c>
      <c r="D669" t="inlineStr">
        <is>
          <t>VÄSTMANLANDS LÄN</t>
        </is>
      </c>
      <c r="E669" t="inlineStr">
        <is>
          <t>SALA</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9856-2022</t>
        </is>
      </c>
      <c r="B670" s="1" t="n">
        <v>44620</v>
      </c>
      <c r="C670" s="1" t="n">
        <v>46132</v>
      </c>
      <c r="D670" t="inlineStr">
        <is>
          <t>VÄSTMANLANDS LÄN</t>
        </is>
      </c>
      <c r="E670" t="inlineStr">
        <is>
          <t>SALA</t>
        </is>
      </c>
      <c r="G670" t="n">
        <v>2.4</v>
      </c>
      <c r="H670" t="n">
        <v>0</v>
      </c>
      <c r="I670" t="n">
        <v>0</v>
      </c>
      <c r="J670" t="n">
        <v>0</v>
      </c>
      <c r="K670" t="n">
        <v>0</v>
      </c>
      <c r="L670" t="n">
        <v>0</v>
      </c>
      <c r="M670" t="n">
        <v>0</v>
      </c>
      <c r="N670" t="n">
        <v>0</v>
      </c>
      <c r="O670" t="n">
        <v>0</v>
      </c>
      <c r="P670" t="n">
        <v>0</v>
      </c>
      <c r="Q670" t="n">
        <v>0</v>
      </c>
      <c r="R670" s="2" t="inlineStr"/>
    </row>
    <row r="671" ht="15" customHeight="1">
      <c r="A671" t="inlineStr">
        <is>
          <t>A 16159-2024</t>
        </is>
      </c>
      <c r="B671" s="1" t="n">
        <v>45406</v>
      </c>
      <c r="C671" s="1" t="n">
        <v>46132</v>
      </c>
      <c r="D671" t="inlineStr">
        <is>
          <t>VÄSTMANLANDS LÄN</t>
        </is>
      </c>
      <c r="E671" t="inlineStr">
        <is>
          <t>SALA</t>
        </is>
      </c>
      <c r="G671" t="n">
        <v>0.4</v>
      </c>
      <c r="H671" t="n">
        <v>0</v>
      </c>
      <c r="I671" t="n">
        <v>0</v>
      </c>
      <c r="J671" t="n">
        <v>0</v>
      </c>
      <c r="K671" t="n">
        <v>0</v>
      </c>
      <c r="L671" t="n">
        <v>0</v>
      </c>
      <c r="M671" t="n">
        <v>0</v>
      </c>
      <c r="N671" t="n">
        <v>0</v>
      </c>
      <c r="O671" t="n">
        <v>0</v>
      </c>
      <c r="P671" t="n">
        <v>0</v>
      </c>
      <c r="Q671" t="n">
        <v>0</v>
      </c>
      <c r="R671" s="2" t="inlineStr"/>
    </row>
    <row r="672" ht="15" customHeight="1">
      <c r="A672" t="inlineStr">
        <is>
          <t>A 50241-2023</t>
        </is>
      </c>
      <c r="B672" s="1" t="n">
        <v>45216</v>
      </c>
      <c r="C672" s="1" t="n">
        <v>46132</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3332-2024</t>
        </is>
      </c>
      <c r="B673" s="1" t="n">
        <v>45317</v>
      </c>
      <c r="C673" s="1" t="n">
        <v>46132</v>
      </c>
      <c r="D673" t="inlineStr">
        <is>
          <t>VÄSTMANLANDS LÄN</t>
        </is>
      </c>
      <c r="E673" t="inlineStr">
        <is>
          <t>SALA</t>
        </is>
      </c>
      <c r="G673" t="n">
        <v>2</v>
      </c>
      <c r="H673" t="n">
        <v>0</v>
      </c>
      <c r="I673" t="n">
        <v>0</v>
      </c>
      <c r="J673" t="n">
        <v>0</v>
      </c>
      <c r="K673" t="n">
        <v>0</v>
      </c>
      <c r="L673" t="n">
        <v>0</v>
      </c>
      <c r="M673" t="n">
        <v>0</v>
      </c>
      <c r="N673" t="n">
        <v>0</v>
      </c>
      <c r="O673" t="n">
        <v>0</v>
      </c>
      <c r="P673" t="n">
        <v>0</v>
      </c>
      <c r="Q673" t="n">
        <v>0</v>
      </c>
      <c r="R673" s="2" t="inlineStr"/>
    </row>
    <row r="674" ht="15" customHeight="1">
      <c r="A674" t="inlineStr">
        <is>
          <t>A 35637-2022</t>
        </is>
      </c>
      <c r="B674" s="1" t="n">
        <v>44799.55194444444</v>
      </c>
      <c r="C674" s="1" t="n">
        <v>46132</v>
      </c>
      <c r="D674" t="inlineStr">
        <is>
          <t>VÄSTMANLANDS LÄN</t>
        </is>
      </c>
      <c r="E674" t="inlineStr">
        <is>
          <t>SALA</t>
        </is>
      </c>
      <c r="G674" t="n">
        <v>1</v>
      </c>
      <c r="H674" t="n">
        <v>0</v>
      </c>
      <c r="I674" t="n">
        <v>0</v>
      </c>
      <c r="J674" t="n">
        <v>0</v>
      </c>
      <c r="K674" t="n">
        <v>0</v>
      </c>
      <c r="L674" t="n">
        <v>0</v>
      </c>
      <c r="M674" t="n">
        <v>0</v>
      </c>
      <c r="N674" t="n">
        <v>0</v>
      </c>
      <c r="O674" t="n">
        <v>0</v>
      </c>
      <c r="P674" t="n">
        <v>0</v>
      </c>
      <c r="Q674" t="n">
        <v>0</v>
      </c>
      <c r="R674" s="2" t="inlineStr"/>
    </row>
    <row r="675" ht="15" customHeight="1">
      <c r="A675" t="inlineStr">
        <is>
          <t>A 57883-2024</t>
        </is>
      </c>
      <c r="B675" s="1" t="n">
        <v>45630</v>
      </c>
      <c r="C675" s="1" t="n">
        <v>46132</v>
      </c>
      <c r="D675" t="inlineStr">
        <is>
          <t>VÄSTMANLANDS LÄN</t>
        </is>
      </c>
      <c r="E675" t="inlineStr">
        <is>
          <t>SALA</t>
        </is>
      </c>
      <c r="G675" t="n">
        <v>5.4</v>
      </c>
      <c r="H675" t="n">
        <v>0</v>
      </c>
      <c r="I675" t="n">
        <v>0</v>
      </c>
      <c r="J675" t="n">
        <v>0</v>
      </c>
      <c r="K675" t="n">
        <v>0</v>
      </c>
      <c r="L675" t="n">
        <v>0</v>
      </c>
      <c r="M675" t="n">
        <v>0</v>
      </c>
      <c r="N675" t="n">
        <v>0</v>
      </c>
      <c r="O675" t="n">
        <v>0</v>
      </c>
      <c r="P675" t="n">
        <v>0</v>
      </c>
      <c r="Q675" t="n">
        <v>0</v>
      </c>
      <c r="R675" s="2" t="inlineStr"/>
    </row>
    <row r="676" ht="15" customHeight="1">
      <c r="A676" t="inlineStr">
        <is>
          <t>A 50876-2023</t>
        </is>
      </c>
      <c r="B676" s="1" t="n">
        <v>45211</v>
      </c>
      <c r="C676" s="1" t="n">
        <v>46132</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37624-2024</t>
        </is>
      </c>
      <c r="B677" s="1" t="n">
        <v>45541</v>
      </c>
      <c r="C677" s="1" t="n">
        <v>46132</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40398-2021</t>
        </is>
      </c>
      <c r="B678" s="1" t="n">
        <v>44419</v>
      </c>
      <c r="C678" s="1" t="n">
        <v>46132</v>
      </c>
      <c r="D678" t="inlineStr">
        <is>
          <t>VÄSTMANLANDS LÄN</t>
        </is>
      </c>
      <c r="E678" t="inlineStr">
        <is>
          <t>SALA</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6351-2023</t>
        </is>
      </c>
      <c r="B679" s="1" t="n">
        <v>44965</v>
      </c>
      <c r="C679" s="1" t="n">
        <v>46132</v>
      </c>
      <c r="D679" t="inlineStr">
        <is>
          <t>VÄSTMANLANDS LÄN</t>
        </is>
      </c>
      <c r="E679" t="inlineStr">
        <is>
          <t>SALA</t>
        </is>
      </c>
      <c r="F679" t="inlineStr">
        <is>
          <t>Kommuner</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27262-2024</t>
        </is>
      </c>
      <c r="B680" s="1" t="n">
        <v>45471</v>
      </c>
      <c r="C680" s="1" t="n">
        <v>46132</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23119-2022</t>
        </is>
      </c>
      <c r="B681" s="1" t="n">
        <v>44719.56697916667</v>
      </c>
      <c r="C681" s="1" t="n">
        <v>46132</v>
      </c>
      <c r="D681" t="inlineStr">
        <is>
          <t>VÄSTMANLANDS LÄN</t>
        </is>
      </c>
      <c r="E681" t="inlineStr">
        <is>
          <t>SALA</t>
        </is>
      </c>
      <c r="G681" t="n">
        <v>7</v>
      </c>
      <c r="H681" t="n">
        <v>0</v>
      </c>
      <c r="I681" t="n">
        <v>0</v>
      </c>
      <c r="J681" t="n">
        <v>0</v>
      </c>
      <c r="K681" t="n">
        <v>0</v>
      </c>
      <c r="L681" t="n">
        <v>0</v>
      </c>
      <c r="M681" t="n">
        <v>0</v>
      </c>
      <c r="N681" t="n">
        <v>0</v>
      </c>
      <c r="O681" t="n">
        <v>0</v>
      </c>
      <c r="P681" t="n">
        <v>0</v>
      </c>
      <c r="Q681" t="n">
        <v>0</v>
      </c>
      <c r="R681" s="2" t="inlineStr"/>
    </row>
    <row r="682" ht="15" customHeight="1">
      <c r="A682" t="inlineStr">
        <is>
          <t>A 43751-2021</t>
        </is>
      </c>
      <c r="B682" s="1" t="n">
        <v>44433</v>
      </c>
      <c r="C682" s="1" t="n">
        <v>46132</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59483-2022</t>
        </is>
      </c>
      <c r="B683" s="1" t="n">
        <v>44907.45679398148</v>
      </c>
      <c r="C683" s="1" t="n">
        <v>46132</v>
      </c>
      <c r="D683" t="inlineStr">
        <is>
          <t>VÄSTMANLANDS LÄN</t>
        </is>
      </c>
      <c r="E683" t="inlineStr">
        <is>
          <t>SALA</t>
        </is>
      </c>
      <c r="G683" t="n">
        <v>5.2</v>
      </c>
      <c r="H683" t="n">
        <v>0</v>
      </c>
      <c r="I683" t="n">
        <v>0</v>
      </c>
      <c r="J683" t="n">
        <v>0</v>
      </c>
      <c r="K683" t="n">
        <v>0</v>
      </c>
      <c r="L683" t="n">
        <v>0</v>
      </c>
      <c r="M683" t="n">
        <v>0</v>
      </c>
      <c r="N683" t="n">
        <v>0</v>
      </c>
      <c r="O683" t="n">
        <v>0</v>
      </c>
      <c r="P683" t="n">
        <v>0</v>
      </c>
      <c r="Q683" t="n">
        <v>0</v>
      </c>
      <c r="R683" s="2" t="inlineStr"/>
    </row>
    <row r="684" ht="15" customHeight="1">
      <c r="A684" t="inlineStr">
        <is>
          <t>A 73673-2021</t>
        </is>
      </c>
      <c r="B684" s="1" t="n">
        <v>44552.46501157407</v>
      </c>
      <c r="C684" s="1" t="n">
        <v>46132</v>
      </c>
      <c r="D684" t="inlineStr">
        <is>
          <t>VÄSTMANLANDS LÄN</t>
        </is>
      </c>
      <c r="E684" t="inlineStr">
        <is>
          <t>SALA</t>
        </is>
      </c>
      <c r="G684" t="n">
        <v>11.4</v>
      </c>
      <c r="H684" t="n">
        <v>0</v>
      </c>
      <c r="I684" t="n">
        <v>0</v>
      </c>
      <c r="J684" t="n">
        <v>0</v>
      </c>
      <c r="K684" t="n">
        <v>0</v>
      </c>
      <c r="L684" t="n">
        <v>0</v>
      </c>
      <c r="M684" t="n">
        <v>0</v>
      </c>
      <c r="N684" t="n">
        <v>0</v>
      </c>
      <c r="O684" t="n">
        <v>0</v>
      </c>
      <c r="P684" t="n">
        <v>0</v>
      </c>
      <c r="Q684" t="n">
        <v>0</v>
      </c>
      <c r="R684" s="2" t="inlineStr"/>
    </row>
    <row r="685" ht="15" customHeight="1">
      <c r="A685" t="inlineStr">
        <is>
          <t>A 4853-2023</t>
        </is>
      </c>
      <c r="B685" s="1" t="n">
        <v>44957.73234953704</v>
      </c>
      <c r="C685" s="1" t="n">
        <v>46132</v>
      </c>
      <c r="D685" t="inlineStr">
        <is>
          <t>VÄSTMANLANDS LÄN</t>
        </is>
      </c>
      <c r="E685" t="inlineStr">
        <is>
          <t>SALA</t>
        </is>
      </c>
      <c r="G685" t="n">
        <v>2.7</v>
      </c>
      <c r="H685" t="n">
        <v>0</v>
      </c>
      <c r="I685" t="n">
        <v>0</v>
      </c>
      <c r="J685" t="n">
        <v>0</v>
      </c>
      <c r="K685" t="n">
        <v>0</v>
      </c>
      <c r="L685" t="n">
        <v>0</v>
      </c>
      <c r="M685" t="n">
        <v>0</v>
      </c>
      <c r="N685" t="n">
        <v>0</v>
      </c>
      <c r="O685" t="n">
        <v>0</v>
      </c>
      <c r="P685" t="n">
        <v>0</v>
      </c>
      <c r="Q685" t="n">
        <v>0</v>
      </c>
      <c r="R685" s="2" t="inlineStr"/>
    </row>
    <row r="686" ht="15" customHeight="1">
      <c r="A686" t="inlineStr">
        <is>
          <t>A 1993-2022</t>
        </is>
      </c>
      <c r="B686" s="1" t="n">
        <v>44575</v>
      </c>
      <c r="C686" s="1" t="n">
        <v>46132</v>
      </c>
      <c r="D686" t="inlineStr">
        <is>
          <t>VÄSTMANLANDS LÄN</t>
        </is>
      </c>
      <c r="E686" t="inlineStr">
        <is>
          <t>SALA</t>
        </is>
      </c>
      <c r="G686" t="n">
        <v>1.6</v>
      </c>
      <c r="H686" t="n">
        <v>0</v>
      </c>
      <c r="I686" t="n">
        <v>0</v>
      </c>
      <c r="J686" t="n">
        <v>0</v>
      </c>
      <c r="K686" t="n">
        <v>0</v>
      </c>
      <c r="L686" t="n">
        <v>0</v>
      </c>
      <c r="M686" t="n">
        <v>0</v>
      </c>
      <c r="N686" t="n">
        <v>0</v>
      </c>
      <c r="O686" t="n">
        <v>0</v>
      </c>
      <c r="P686" t="n">
        <v>0</v>
      </c>
      <c r="Q686" t="n">
        <v>0</v>
      </c>
      <c r="R686" s="2" t="inlineStr"/>
    </row>
    <row r="687" ht="15" customHeight="1">
      <c r="A687" t="inlineStr">
        <is>
          <t>A 1793-2023</t>
        </is>
      </c>
      <c r="B687" s="1" t="n">
        <v>44937</v>
      </c>
      <c r="C687" s="1" t="n">
        <v>46132</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42447-2022</t>
        </is>
      </c>
      <c r="B688" s="1" t="n">
        <v>44831</v>
      </c>
      <c r="C688" s="1" t="n">
        <v>46132</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11183-2023</t>
        </is>
      </c>
      <c r="B689" s="1" t="n">
        <v>44992.57782407408</v>
      </c>
      <c r="C689" s="1" t="n">
        <v>46132</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11190-2023</t>
        </is>
      </c>
      <c r="B690" s="1" t="n">
        <v>44992</v>
      </c>
      <c r="C690" s="1" t="n">
        <v>46132</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46132</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48710-2024</t>
        </is>
      </c>
      <c r="B692" s="1" t="n">
        <v>45593.53636574074</v>
      </c>
      <c r="C692" s="1" t="n">
        <v>46132</v>
      </c>
      <c r="D692" t="inlineStr">
        <is>
          <t>VÄSTMANLANDS LÄN</t>
        </is>
      </c>
      <c r="E692" t="inlineStr">
        <is>
          <t>SALA</t>
        </is>
      </c>
      <c r="G692" t="n">
        <v>6.5</v>
      </c>
      <c r="H692" t="n">
        <v>0</v>
      </c>
      <c r="I692" t="n">
        <v>0</v>
      </c>
      <c r="J692" t="n">
        <v>0</v>
      </c>
      <c r="K692" t="n">
        <v>0</v>
      </c>
      <c r="L692" t="n">
        <v>0</v>
      </c>
      <c r="M692" t="n">
        <v>0</v>
      </c>
      <c r="N692" t="n">
        <v>0</v>
      </c>
      <c r="O692" t="n">
        <v>0</v>
      </c>
      <c r="P692" t="n">
        <v>0</v>
      </c>
      <c r="Q692" t="n">
        <v>0</v>
      </c>
      <c r="R692" s="2" t="inlineStr"/>
    </row>
    <row r="693" ht="15" customHeight="1">
      <c r="A693" t="inlineStr">
        <is>
          <t>A 23406-2024</t>
        </is>
      </c>
      <c r="B693" s="1" t="n">
        <v>45453.58296296297</v>
      </c>
      <c r="C693" s="1" t="n">
        <v>46132</v>
      </c>
      <c r="D693" t="inlineStr">
        <is>
          <t>VÄSTMANLANDS LÄN</t>
        </is>
      </c>
      <c r="E693" t="inlineStr">
        <is>
          <t>SALA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12246-2023</t>
        </is>
      </c>
      <c r="B694" s="1" t="n">
        <v>44995</v>
      </c>
      <c r="C694" s="1" t="n">
        <v>46132</v>
      </c>
      <c r="D694" t="inlineStr">
        <is>
          <t>VÄSTMANLANDS LÄN</t>
        </is>
      </c>
      <c r="E694" t="inlineStr">
        <is>
          <t>SALA</t>
        </is>
      </c>
      <c r="G694" t="n">
        <v>2.4</v>
      </c>
      <c r="H694" t="n">
        <v>0</v>
      </c>
      <c r="I694" t="n">
        <v>0</v>
      </c>
      <c r="J694" t="n">
        <v>0</v>
      </c>
      <c r="K694" t="n">
        <v>0</v>
      </c>
      <c r="L694" t="n">
        <v>0</v>
      </c>
      <c r="M694" t="n">
        <v>0</v>
      </c>
      <c r="N694" t="n">
        <v>0</v>
      </c>
      <c r="O694" t="n">
        <v>0</v>
      </c>
      <c r="P694" t="n">
        <v>0</v>
      </c>
      <c r="Q694" t="n">
        <v>0</v>
      </c>
      <c r="R694" s="2" t="inlineStr"/>
    </row>
    <row r="695" ht="15" customHeight="1">
      <c r="A695" t="inlineStr">
        <is>
          <t>A 48571-2024</t>
        </is>
      </c>
      <c r="B695" s="1" t="n">
        <v>45591</v>
      </c>
      <c r="C695" s="1" t="n">
        <v>46132</v>
      </c>
      <c r="D695" t="inlineStr">
        <is>
          <t>VÄSTMANLANDS LÄN</t>
        </is>
      </c>
      <c r="E695" t="inlineStr">
        <is>
          <t>SALA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43362-2023</t>
        </is>
      </c>
      <c r="B696" s="1" t="n">
        <v>45183</v>
      </c>
      <c r="C696" s="1" t="n">
        <v>46132</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16767-2024</t>
        </is>
      </c>
      <c r="B697" s="1" t="n">
        <v>45411.38171296296</v>
      </c>
      <c r="C697" s="1" t="n">
        <v>46132</v>
      </c>
      <c r="D697" t="inlineStr">
        <is>
          <t>VÄSTMANLANDS LÄN</t>
        </is>
      </c>
      <c r="E697" t="inlineStr">
        <is>
          <t>SALA</t>
        </is>
      </c>
      <c r="G697" t="n">
        <v>2.5</v>
      </c>
      <c r="H697" t="n">
        <v>0</v>
      </c>
      <c r="I697" t="n">
        <v>0</v>
      </c>
      <c r="J697" t="n">
        <v>0</v>
      </c>
      <c r="K697" t="n">
        <v>0</v>
      </c>
      <c r="L697" t="n">
        <v>0</v>
      </c>
      <c r="M697" t="n">
        <v>0</v>
      </c>
      <c r="N697" t="n">
        <v>0</v>
      </c>
      <c r="O697" t="n">
        <v>0</v>
      </c>
      <c r="P697" t="n">
        <v>0</v>
      </c>
      <c r="Q697" t="n">
        <v>0</v>
      </c>
      <c r="R697" s="2" t="inlineStr"/>
    </row>
    <row r="698" ht="15" customHeight="1">
      <c r="A698" t="inlineStr">
        <is>
          <t>A 31470-2021</t>
        </is>
      </c>
      <c r="B698" s="1" t="n">
        <v>44369</v>
      </c>
      <c r="C698" s="1" t="n">
        <v>46132</v>
      </c>
      <c r="D698" t="inlineStr">
        <is>
          <t>VÄSTMANLANDS LÄN</t>
        </is>
      </c>
      <c r="E698" t="inlineStr">
        <is>
          <t>SALA</t>
        </is>
      </c>
      <c r="F698" t="inlineStr">
        <is>
          <t>Sveaskog</t>
        </is>
      </c>
      <c r="G698" t="n">
        <v>2.1</v>
      </c>
      <c r="H698" t="n">
        <v>0</v>
      </c>
      <c r="I698" t="n">
        <v>0</v>
      </c>
      <c r="J698" t="n">
        <v>0</v>
      </c>
      <c r="K698" t="n">
        <v>0</v>
      </c>
      <c r="L698" t="n">
        <v>0</v>
      </c>
      <c r="M698" t="n">
        <v>0</v>
      </c>
      <c r="N698" t="n">
        <v>0</v>
      </c>
      <c r="O698" t="n">
        <v>0</v>
      </c>
      <c r="P698" t="n">
        <v>0</v>
      </c>
      <c r="Q698" t="n">
        <v>0</v>
      </c>
      <c r="R698" s="2" t="inlineStr"/>
    </row>
    <row r="699" ht="15" customHeight="1">
      <c r="A699" t="inlineStr">
        <is>
          <t>A 18461-2024</t>
        </is>
      </c>
      <c r="B699" s="1" t="n">
        <v>45425.47435185185</v>
      </c>
      <c r="C699" s="1" t="n">
        <v>46132</v>
      </c>
      <c r="D699" t="inlineStr">
        <is>
          <t>VÄSTMANLANDS LÄN</t>
        </is>
      </c>
      <c r="E699" t="inlineStr">
        <is>
          <t>SALA</t>
        </is>
      </c>
      <c r="G699" t="n">
        <v>1.7</v>
      </c>
      <c r="H699" t="n">
        <v>0</v>
      </c>
      <c r="I699" t="n">
        <v>0</v>
      </c>
      <c r="J699" t="n">
        <v>0</v>
      </c>
      <c r="K699" t="n">
        <v>0</v>
      </c>
      <c r="L699" t="n">
        <v>0</v>
      </c>
      <c r="M699" t="n">
        <v>0</v>
      </c>
      <c r="N699" t="n">
        <v>0</v>
      </c>
      <c r="O699" t="n">
        <v>0</v>
      </c>
      <c r="P699" t="n">
        <v>0</v>
      </c>
      <c r="Q699" t="n">
        <v>0</v>
      </c>
      <c r="R699" s="2" t="inlineStr"/>
    </row>
    <row r="700" ht="15" customHeight="1">
      <c r="A700" t="inlineStr">
        <is>
          <t>A 29230-2022</t>
        </is>
      </c>
      <c r="B700" s="1" t="n">
        <v>44750</v>
      </c>
      <c r="C700" s="1" t="n">
        <v>46132</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9335-2022</t>
        </is>
      </c>
      <c r="B701" s="1" t="n">
        <v>44616.56579861111</v>
      </c>
      <c r="C701" s="1" t="n">
        <v>46132</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47479-2024</t>
        </is>
      </c>
      <c r="B702" s="1" t="n">
        <v>45587</v>
      </c>
      <c r="C702" s="1" t="n">
        <v>46132</v>
      </c>
      <c r="D702" t="inlineStr">
        <is>
          <t>VÄSTMANLANDS LÄN</t>
        </is>
      </c>
      <c r="E702" t="inlineStr">
        <is>
          <t>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19065-2022</t>
        </is>
      </c>
      <c r="B703" s="1" t="n">
        <v>44691.44309027777</v>
      </c>
      <c r="C703" s="1" t="n">
        <v>46132</v>
      </c>
      <c r="D703" t="inlineStr">
        <is>
          <t>VÄSTMANLANDS LÄN</t>
        </is>
      </c>
      <c r="E703" t="inlineStr">
        <is>
          <t>SALA</t>
        </is>
      </c>
      <c r="G703" t="n">
        <v>3.4</v>
      </c>
      <c r="H703" t="n">
        <v>0</v>
      </c>
      <c r="I703" t="n">
        <v>0</v>
      </c>
      <c r="J703" t="n">
        <v>0</v>
      </c>
      <c r="K703" t="n">
        <v>0</v>
      </c>
      <c r="L703" t="n">
        <v>0</v>
      </c>
      <c r="M703" t="n">
        <v>0</v>
      </c>
      <c r="N703" t="n">
        <v>0</v>
      </c>
      <c r="O703" t="n">
        <v>0</v>
      </c>
      <c r="P703" t="n">
        <v>0</v>
      </c>
      <c r="Q703" t="n">
        <v>0</v>
      </c>
      <c r="R703" s="2" t="inlineStr"/>
    </row>
    <row r="704" ht="15" customHeight="1">
      <c r="A704" t="inlineStr">
        <is>
          <t>A 22961-2023</t>
        </is>
      </c>
      <c r="B704" s="1" t="n">
        <v>45072</v>
      </c>
      <c r="C704" s="1" t="n">
        <v>46132</v>
      </c>
      <c r="D704" t="inlineStr">
        <is>
          <t>VÄSTMANLANDS LÄN</t>
        </is>
      </c>
      <c r="E704" t="inlineStr">
        <is>
          <t>SALA</t>
        </is>
      </c>
      <c r="G704" t="n">
        <v>2.7</v>
      </c>
      <c r="H704" t="n">
        <v>0</v>
      </c>
      <c r="I704" t="n">
        <v>0</v>
      </c>
      <c r="J704" t="n">
        <v>0</v>
      </c>
      <c r="K704" t="n">
        <v>0</v>
      </c>
      <c r="L704" t="n">
        <v>0</v>
      </c>
      <c r="M704" t="n">
        <v>0</v>
      </c>
      <c r="N704" t="n">
        <v>0</v>
      </c>
      <c r="O704" t="n">
        <v>0</v>
      </c>
      <c r="P704" t="n">
        <v>0</v>
      </c>
      <c r="Q704" t="n">
        <v>0</v>
      </c>
      <c r="R704" s="2" t="inlineStr"/>
    </row>
    <row r="705" ht="15" customHeight="1">
      <c r="A705" t="inlineStr">
        <is>
          <t>A 22963-2023</t>
        </is>
      </c>
      <c r="B705" s="1" t="n">
        <v>45072</v>
      </c>
      <c r="C705" s="1" t="n">
        <v>46132</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10585-2022</t>
        </is>
      </c>
      <c r="B706" s="1" t="n">
        <v>44624</v>
      </c>
      <c r="C706" s="1" t="n">
        <v>46132</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69236-2021</t>
        </is>
      </c>
      <c r="B707" s="1" t="n">
        <v>44531.4047337963</v>
      </c>
      <c r="C707" s="1" t="n">
        <v>46132</v>
      </c>
      <c r="D707" t="inlineStr">
        <is>
          <t>VÄSTMANLANDS LÄN</t>
        </is>
      </c>
      <c r="E707" t="inlineStr">
        <is>
          <t>SALA</t>
        </is>
      </c>
      <c r="G707" t="n">
        <v>2.8</v>
      </c>
      <c r="H707" t="n">
        <v>0</v>
      </c>
      <c r="I707" t="n">
        <v>0</v>
      </c>
      <c r="J707" t="n">
        <v>0</v>
      </c>
      <c r="K707" t="n">
        <v>0</v>
      </c>
      <c r="L707" t="n">
        <v>0</v>
      </c>
      <c r="M707" t="n">
        <v>0</v>
      </c>
      <c r="N707" t="n">
        <v>0</v>
      </c>
      <c r="O707" t="n">
        <v>0</v>
      </c>
      <c r="P707" t="n">
        <v>0</v>
      </c>
      <c r="Q707" t="n">
        <v>0</v>
      </c>
      <c r="R707" s="2" t="inlineStr"/>
    </row>
    <row r="708" ht="15" customHeight="1">
      <c r="A708" t="inlineStr">
        <is>
          <t>A 48117-2024</t>
        </is>
      </c>
      <c r="B708" s="1" t="n">
        <v>45589</v>
      </c>
      <c r="C708" s="1" t="n">
        <v>46132</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12225-2023</t>
        </is>
      </c>
      <c r="B709" s="1" t="n">
        <v>44995</v>
      </c>
      <c r="C709" s="1" t="n">
        <v>46132</v>
      </c>
      <c r="D709" t="inlineStr">
        <is>
          <t>VÄSTMANLANDS LÄN</t>
        </is>
      </c>
      <c r="E709" t="inlineStr">
        <is>
          <t>SALA</t>
        </is>
      </c>
      <c r="G709" t="n">
        <v>0.9</v>
      </c>
      <c r="H709" t="n">
        <v>0</v>
      </c>
      <c r="I709" t="n">
        <v>0</v>
      </c>
      <c r="J709" t="n">
        <v>0</v>
      </c>
      <c r="K709" t="n">
        <v>0</v>
      </c>
      <c r="L709" t="n">
        <v>0</v>
      </c>
      <c r="M709" t="n">
        <v>0</v>
      </c>
      <c r="N709" t="n">
        <v>0</v>
      </c>
      <c r="O709" t="n">
        <v>0</v>
      </c>
      <c r="P709" t="n">
        <v>0</v>
      </c>
      <c r="Q709" t="n">
        <v>0</v>
      </c>
      <c r="R709" s="2" t="inlineStr"/>
    </row>
    <row r="710" ht="15" customHeight="1">
      <c r="A710" t="inlineStr">
        <is>
          <t>A 12252-2023</t>
        </is>
      </c>
      <c r="B710" s="1" t="n">
        <v>44995</v>
      </c>
      <c r="C710" s="1" t="n">
        <v>46132</v>
      </c>
      <c r="D710" t="inlineStr">
        <is>
          <t>VÄSTMANLANDS LÄN</t>
        </is>
      </c>
      <c r="E710" t="inlineStr">
        <is>
          <t>SALA</t>
        </is>
      </c>
      <c r="G710" t="n">
        <v>2.6</v>
      </c>
      <c r="H710" t="n">
        <v>0</v>
      </c>
      <c r="I710" t="n">
        <v>0</v>
      </c>
      <c r="J710" t="n">
        <v>0</v>
      </c>
      <c r="K710" t="n">
        <v>0</v>
      </c>
      <c r="L710" t="n">
        <v>0</v>
      </c>
      <c r="M710" t="n">
        <v>0</v>
      </c>
      <c r="N710" t="n">
        <v>0</v>
      </c>
      <c r="O710" t="n">
        <v>0</v>
      </c>
      <c r="P710" t="n">
        <v>0</v>
      </c>
      <c r="Q710" t="n">
        <v>0</v>
      </c>
      <c r="R710" s="2" t="inlineStr"/>
    </row>
    <row r="711" ht="15" customHeight="1">
      <c r="A711" t="inlineStr">
        <is>
          <t>A 6116-2023</t>
        </is>
      </c>
      <c r="B711" s="1" t="n">
        <v>44964</v>
      </c>
      <c r="C711" s="1" t="n">
        <v>46132</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18100-2023</t>
        </is>
      </c>
      <c r="B712" s="1" t="n">
        <v>45040</v>
      </c>
      <c r="C712" s="1" t="n">
        <v>46132</v>
      </c>
      <c r="D712" t="inlineStr">
        <is>
          <t>VÄSTMANLANDS LÄN</t>
        </is>
      </c>
      <c r="E712" t="inlineStr">
        <is>
          <t>SALA</t>
        </is>
      </c>
      <c r="G712" t="n">
        <v>1.8</v>
      </c>
      <c r="H712" t="n">
        <v>0</v>
      </c>
      <c r="I712" t="n">
        <v>0</v>
      </c>
      <c r="J712" t="n">
        <v>0</v>
      </c>
      <c r="K712" t="n">
        <v>0</v>
      </c>
      <c r="L712" t="n">
        <v>0</v>
      </c>
      <c r="M712" t="n">
        <v>0</v>
      </c>
      <c r="N712" t="n">
        <v>0</v>
      </c>
      <c r="O712" t="n">
        <v>0</v>
      </c>
      <c r="P712" t="n">
        <v>0</v>
      </c>
      <c r="Q712" t="n">
        <v>0</v>
      </c>
      <c r="R712" s="2" t="inlineStr"/>
    </row>
    <row r="713" ht="15" customHeight="1">
      <c r="A713" t="inlineStr">
        <is>
          <t>A 13471-2025</t>
        </is>
      </c>
      <c r="B713" s="1" t="n">
        <v>45736.40579861111</v>
      </c>
      <c r="C713" s="1" t="n">
        <v>46132</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26854-2024</t>
        </is>
      </c>
      <c r="B714" s="1" t="n">
        <v>45470</v>
      </c>
      <c r="C714" s="1" t="n">
        <v>46132</v>
      </c>
      <c r="D714" t="inlineStr">
        <is>
          <t>VÄSTMANLANDS LÄN</t>
        </is>
      </c>
      <c r="E714" t="inlineStr">
        <is>
          <t>SALA</t>
        </is>
      </c>
      <c r="G714" t="n">
        <v>1.4</v>
      </c>
      <c r="H714" t="n">
        <v>0</v>
      </c>
      <c r="I714" t="n">
        <v>0</v>
      </c>
      <c r="J714" t="n">
        <v>0</v>
      </c>
      <c r="K714" t="n">
        <v>0</v>
      </c>
      <c r="L714" t="n">
        <v>0</v>
      </c>
      <c r="M714" t="n">
        <v>0</v>
      </c>
      <c r="N714" t="n">
        <v>0</v>
      </c>
      <c r="O714" t="n">
        <v>0</v>
      </c>
      <c r="P714" t="n">
        <v>0</v>
      </c>
      <c r="Q714" t="n">
        <v>0</v>
      </c>
      <c r="R714" s="2" t="inlineStr"/>
    </row>
    <row r="715" ht="15" customHeight="1">
      <c r="A715" t="inlineStr">
        <is>
          <t>A 37602-2024</t>
        </is>
      </c>
      <c r="B715" s="1" t="n">
        <v>45541</v>
      </c>
      <c r="C715" s="1" t="n">
        <v>46132</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1985-2022</t>
        </is>
      </c>
      <c r="B716" s="1" t="n">
        <v>44575</v>
      </c>
      <c r="C716" s="1" t="n">
        <v>46132</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21455-2023</t>
        </is>
      </c>
      <c r="B717" s="1" t="n">
        <v>45058</v>
      </c>
      <c r="C717" s="1" t="n">
        <v>46132</v>
      </c>
      <c r="D717" t="inlineStr">
        <is>
          <t>VÄSTMANLANDS LÄN</t>
        </is>
      </c>
      <c r="E717" t="inlineStr">
        <is>
          <t>SALA</t>
        </is>
      </c>
      <c r="G717" t="n">
        <v>6.4</v>
      </c>
      <c r="H717" t="n">
        <v>0</v>
      </c>
      <c r="I717" t="n">
        <v>0</v>
      </c>
      <c r="J717" t="n">
        <v>0</v>
      </c>
      <c r="K717" t="n">
        <v>0</v>
      </c>
      <c r="L717" t="n">
        <v>0</v>
      </c>
      <c r="M717" t="n">
        <v>0</v>
      </c>
      <c r="N717" t="n">
        <v>0</v>
      </c>
      <c r="O717" t="n">
        <v>0</v>
      </c>
      <c r="P717" t="n">
        <v>0</v>
      </c>
      <c r="Q717" t="n">
        <v>0</v>
      </c>
      <c r="R717" s="2" t="inlineStr"/>
    </row>
    <row r="718" ht="15" customHeight="1">
      <c r="A718" t="inlineStr">
        <is>
          <t>A 4797-2023</t>
        </is>
      </c>
      <c r="B718" s="1" t="n">
        <v>44957</v>
      </c>
      <c r="C718" s="1" t="n">
        <v>46132</v>
      </c>
      <c r="D718" t="inlineStr">
        <is>
          <t>VÄSTMANLANDS LÄN</t>
        </is>
      </c>
      <c r="E718" t="inlineStr">
        <is>
          <t>SALA</t>
        </is>
      </c>
      <c r="G718" t="n">
        <v>5.7</v>
      </c>
      <c r="H718" t="n">
        <v>0</v>
      </c>
      <c r="I718" t="n">
        <v>0</v>
      </c>
      <c r="J718" t="n">
        <v>0</v>
      </c>
      <c r="K718" t="n">
        <v>0</v>
      </c>
      <c r="L718" t="n">
        <v>0</v>
      </c>
      <c r="M718" t="n">
        <v>0</v>
      </c>
      <c r="N718" t="n">
        <v>0</v>
      </c>
      <c r="O718" t="n">
        <v>0</v>
      </c>
      <c r="P718" t="n">
        <v>0</v>
      </c>
      <c r="Q718" t="n">
        <v>0</v>
      </c>
      <c r="R718" s="2" t="inlineStr"/>
    </row>
    <row r="719" ht="15" customHeight="1">
      <c r="A719" t="inlineStr">
        <is>
          <t>A 4852-2023</t>
        </is>
      </c>
      <c r="B719" s="1" t="n">
        <v>44957.72496527778</v>
      </c>
      <c r="C719" s="1" t="n">
        <v>46132</v>
      </c>
      <c r="D719" t="inlineStr">
        <is>
          <t>VÄSTMANLANDS LÄN</t>
        </is>
      </c>
      <c r="E719" t="inlineStr">
        <is>
          <t>SALA</t>
        </is>
      </c>
      <c r="G719" t="n">
        <v>2</v>
      </c>
      <c r="H719" t="n">
        <v>0</v>
      </c>
      <c r="I719" t="n">
        <v>0</v>
      </c>
      <c r="J719" t="n">
        <v>0</v>
      </c>
      <c r="K719" t="n">
        <v>0</v>
      </c>
      <c r="L719" t="n">
        <v>0</v>
      </c>
      <c r="M719" t="n">
        <v>0</v>
      </c>
      <c r="N719" t="n">
        <v>0</v>
      </c>
      <c r="O719" t="n">
        <v>0</v>
      </c>
      <c r="P719" t="n">
        <v>0</v>
      </c>
      <c r="Q719" t="n">
        <v>0</v>
      </c>
      <c r="R719" s="2" t="inlineStr"/>
    </row>
    <row r="720" ht="15" customHeight="1">
      <c r="A720" t="inlineStr">
        <is>
          <t>A 36858-2023</t>
        </is>
      </c>
      <c r="B720" s="1" t="n">
        <v>45154.55184027777</v>
      </c>
      <c r="C720" s="1" t="n">
        <v>46132</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58701-2021</t>
        </is>
      </c>
      <c r="B721" s="1" t="n">
        <v>44489.46454861111</v>
      </c>
      <c r="C721" s="1" t="n">
        <v>46132</v>
      </c>
      <c r="D721" t="inlineStr">
        <is>
          <t>VÄSTMANLANDS LÄN</t>
        </is>
      </c>
      <c r="E721" t="inlineStr">
        <is>
          <t>SALA</t>
        </is>
      </c>
      <c r="G721" t="n">
        <v>0.7</v>
      </c>
      <c r="H721" t="n">
        <v>0</v>
      </c>
      <c r="I721" t="n">
        <v>0</v>
      </c>
      <c r="J721" t="n">
        <v>0</v>
      </c>
      <c r="K721" t="n">
        <v>0</v>
      </c>
      <c r="L721" t="n">
        <v>0</v>
      </c>
      <c r="M721" t="n">
        <v>0</v>
      </c>
      <c r="N721" t="n">
        <v>0</v>
      </c>
      <c r="O721" t="n">
        <v>0</v>
      </c>
      <c r="P721" t="n">
        <v>0</v>
      </c>
      <c r="Q721" t="n">
        <v>0</v>
      </c>
      <c r="R721" s="2" t="inlineStr"/>
    </row>
    <row r="722" ht="15" customHeight="1">
      <c r="A722" t="inlineStr">
        <is>
          <t>A 37337-2024</t>
        </is>
      </c>
      <c r="B722" s="1" t="n">
        <v>45540</v>
      </c>
      <c r="C722" s="1" t="n">
        <v>46132</v>
      </c>
      <c r="D722" t="inlineStr">
        <is>
          <t>VÄSTMANLANDS LÄN</t>
        </is>
      </c>
      <c r="E722" t="inlineStr">
        <is>
          <t>SALA</t>
        </is>
      </c>
      <c r="G722" t="n">
        <v>6.5</v>
      </c>
      <c r="H722" t="n">
        <v>0</v>
      </c>
      <c r="I722" t="n">
        <v>0</v>
      </c>
      <c r="J722" t="n">
        <v>0</v>
      </c>
      <c r="K722" t="n">
        <v>0</v>
      </c>
      <c r="L722" t="n">
        <v>0</v>
      </c>
      <c r="M722" t="n">
        <v>0</v>
      </c>
      <c r="N722" t="n">
        <v>0</v>
      </c>
      <c r="O722" t="n">
        <v>0</v>
      </c>
      <c r="P722" t="n">
        <v>0</v>
      </c>
      <c r="Q722" t="n">
        <v>0</v>
      </c>
      <c r="R722" s="2" t="inlineStr"/>
    </row>
    <row r="723" ht="15" customHeight="1">
      <c r="A723" t="inlineStr">
        <is>
          <t>A 10250-2025</t>
        </is>
      </c>
      <c r="B723" s="1" t="n">
        <v>45720.36165509259</v>
      </c>
      <c r="C723" s="1" t="n">
        <v>46132</v>
      </c>
      <c r="D723" t="inlineStr">
        <is>
          <t>VÄSTMANLANDS LÄN</t>
        </is>
      </c>
      <c r="E723" t="inlineStr">
        <is>
          <t>SALA</t>
        </is>
      </c>
      <c r="G723" t="n">
        <v>0.5</v>
      </c>
      <c r="H723" t="n">
        <v>0</v>
      </c>
      <c r="I723" t="n">
        <v>0</v>
      </c>
      <c r="J723" t="n">
        <v>0</v>
      </c>
      <c r="K723" t="n">
        <v>0</v>
      </c>
      <c r="L723" t="n">
        <v>0</v>
      </c>
      <c r="M723" t="n">
        <v>0</v>
      </c>
      <c r="N723" t="n">
        <v>0</v>
      </c>
      <c r="O723" t="n">
        <v>0</v>
      </c>
      <c r="P723" t="n">
        <v>0</v>
      </c>
      <c r="Q723" t="n">
        <v>0</v>
      </c>
      <c r="R723" s="2" t="inlineStr"/>
    </row>
    <row r="724" ht="15" customHeight="1">
      <c r="A724" t="inlineStr">
        <is>
          <t>A 23180-2022</t>
        </is>
      </c>
      <c r="B724" s="1" t="n">
        <v>44719.79344907407</v>
      </c>
      <c r="C724" s="1" t="n">
        <v>46132</v>
      </c>
      <c r="D724" t="inlineStr">
        <is>
          <t>VÄSTMANLANDS LÄN</t>
        </is>
      </c>
      <c r="E724" t="inlineStr">
        <is>
          <t>SALA</t>
        </is>
      </c>
      <c r="G724" t="n">
        <v>1.2</v>
      </c>
      <c r="H724" t="n">
        <v>0</v>
      </c>
      <c r="I724" t="n">
        <v>0</v>
      </c>
      <c r="J724" t="n">
        <v>0</v>
      </c>
      <c r="K724" t="n">
        <v>0</v>
      </c>
      <c r="L724" t="n">
        <v>0</v>
      </c>
      <c r="M724" t="n">
        <v>0</v>
      </c>
      <c r="N724" t="n">
        <v>0</v>
      </c>
      <c r="O724" t="n">
        <v>0</v>
      </c>
      <c r="P724" t="n">
        <v>0</v>
      </c>
      <c r="Q724" t="n">
        <v>0</v>
      </c>
      <c r="R724" s="2" t="inlineStr"/>
    </row>
    <row r="725" ht="15" customHeight="1">
      <c r="A725" t="inlineStr">
        <is>
          <t>A 21053-2022</t>
        </is>
      </c>
      <c r="B725" s="1" t="n">
        <v>44704</v>
      </c>
      <c r="C725" s="1" t="n">
        <v>46132</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18340-2025</t>
        </is>
      </c>
      <c r="B726" s="1" t="n">
        <v>45762</v>
      </c>
      <c r="C726" s="1" t="n">
        <v>46132</v>
      </c>
      <c r="D726" t="inlineStr">
        <is>
          <t>VÄSTMANLANDS LÄN</t>
        </is>
      </c>
      <c r="E726" t="inlineStr">
        <is>
          <t>SALA</t>
        </is>
      </c>
      <c r="G726" t="n">
        <v>2.1</v>
      </c>
      <c r="H726" t="n">
        <v>0</v>
      </c>
      <c r="I726" t="n">
        <v>0</v>
      </c>
      <c r="J726" t="n">
        <v>0</v>
      </c>
      <c r="K726" t="n">
        <v>0</v>
      </c>
      <c r="L726" t="n">
        <v>0</v>
      </c>
      <c r="M726" t="n">
        <v>0</v>
      </c>
      <c r="N726" t="n">
        <v>0</v>
      </c>
      <c r="O726" t="n">
        <v>0</v>
      </c>
      <c r="P726" t="n">
        <v>0</v>
      </c>
      <c r="Q726" t="n">
        <v>0</v>
      </c>
      <c r="R726" s="2" t="inlineStr"/>
    </row>
    <row r="727" ht="15" customHeight="1">
      <c r="A727" t="inlineStr">
        <is>
          <t>A 16638-2023</t>
        </is>
      </c>
      <c r="B727" s="1" t="n">
        <v>45027</v>
      </c>
      <c r="C727" s="1" t="n">
        <v>46132</v>
      </c>
      <c r="D727" t="inlineStr">
        <is>
          <t>VÄSTMANLANDS LÄN</t>
        </is>
      </c>
      <c r="E727" t="inlineStr">
        <is>
          <t>SALA</t>
        </is>
      </c>
      <c r="G727" t="n">
        <v>14.8</v>
      </c>
      <c r="H727" t="n">
        <v>0</v>
      </c>
      <c r="I727" t="n">
        <v>0</v>
      </c>
      <c r="J727" t="n">
        <v>0</v>
      </c>
      <c r="K727" t="n">
        <v>0</v>
      </c>
      <c r="L727" t="n">
        <v>0</v>
      </c>
      <c r="M727" t="n">
        <v>0</v>
      </c>
      <c r="N727" t="n">
        <v>0</v>
      </c>
      <c r="O727" t="n">
        <v>0</v>
      </c>
      <c r="P727" t="n">
        <v>0</v>
      </c>
      <c r="Q727" t="n">
        <v>0</v>
      </c>
      <c r="R727" s="2" t="inlineStr"/>
    </row>
    <row r="728" ht="15" customHeight="1">
      <c r="A728" t="inlineStr">
        <is>
          <t>A 17117-2023</t>
        </is>
      </c>
      <c r="B728" s="1" t="n">
        <v>45034</v>
      </c>
      <c r="C728" s="1" t="n">
        <v>46132</v>
      </c>
      <c r="D728" t="inlineStr">
        <is>
          <t>VÄSTMANLANDS LÄN</t>
        </is>
      </c>
      <c r="E728" t="inlineStr">
        <is>
          <t>SALA</t>
        </is>
      </c>
      <c r="G728" t="n">
        <v>0.4</v>
      </c>
      <c r="H728" t="n">
        <v>0</v>
      </c>
      <c r="I728" t="n">
        <v>0</v>
      </c>
      <c r="J728" t="n">
        <v>0</v>
      </c>
      <c r="K728" t="n">
        <v>0</v>
      </c>
      <c r="L728" t="n">
        <v>0</v>
      </c>
      <c r="M728" t="n">
        <v>0</v>
      </c>
      <c r="N728" t="n">
        <v>0</v>
      </c>
      <c r="O728" t="n">
        <v>0</v>
      </c>
      <c r="P728" t="n">
        <v>0</v>
      </c>
      <c r="Q728" t="n">
        <v>0</v>
      </c>
      <c r="R728" s="2" t="inlineStr"/>
    </row>
    <row r="729" ht="15" customHeight="1">
      <c r="A729" t="inlineStr">
        <is>
          <t>A 59909-2024</t>
        </is>
      </c>
      <c r="B729" s="1" t="n">
        <v>45641</v>
      </c>
      <c r="C729" s="1" t="n">
        <v>46132</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30028-2024</t>
        </is>
      </c>
      <c r="B730" s="1" t="n">
        <v>45485</v>
      </c>
      <c r="C730" s="1" t="n">
        <v>46132</v>
      </c>
      <c r="D730" t="inlineStr">
        <is>
          <t>VÄSTMANLANDS LÄN</t>
        </is>
      </c>
      <c r="E730" t="inlineStr">
        <is>
          <t>SALA</t>
        </is>
      </c>
      <c r="G730" t="n">
        <v>2.6</v>
      </c>
      <c r="H730" t="n">
        <v>0</v>
      </c>
      <c r="I730" t="n">
        <v>0</v>
      </c>
      <c r="J730" t="n">
        <v>0</v>
      </c>
      <c r="K730" t="n">
        <v>0</v>
      </c>
      <c r="L730" t="n">
        <v>0</v>
      </c>
      <c r="M730" t="n">
        <v>0</v>
      </c>
      <c r="N730" t="n">
        <v>0</v>
      </c>
      <c r="O730" t="n">
        <v>0</v>
      </c>
      <c r="P730" t="n">
        <v>0</v>
      </c>
      <c r="Q730" t="n">
        <v>0</v>
      </c>
      <c r="R730" s="2" t="inlineStr"/>
    </row>
    <row r="731" ht="15" customHeight="1">
      <c r="A731" t="inlineStr">
        <is>
          <t>A 33309-2022</t>
        </is>
      </c>
      <c r="B731" s="1" t="n">
        <v>44788.40986111111</v>
      </c>
      <c r="C731" s="1" t="n">
        <v>46132</v>
      </c>
      <c r="D731" t="inlineStr">
        <is>
          <t>VÄSTMANLANDS LÄN</t>
        </is>
      </c>
      <c r="E731" t="inlineStr">
        <is>
          <t>SALA</t>
        </is>
      </c>
      <c r="G731" t="n">
        <v>2.6</v>
      </c>
      <c r="H731" t="n">
        <v>0</v>
      </c>
      <c r="I731" t="n">
        <v>0</v>
      </c>
      <c r="J731" t="n">
        <v>0</v>
      </c>
      <c r="K731" t="n">
        <v>0</v>
      </c>
      <c r="L731" t="n">
        <v>0</v>
      </c>
      <c r="M731" t="n">
        <v>0</v>
      </c>
      <c r="N731" t="n">
        <v>0</v>
      </c>
      <c r="O731" t="n">
        <v>0</v>
      </c>
      <c r="P731" t="n">
        <v>0</v>
      </c>
      <c r="Q731" t="n">
        <v>0</v>
      </c>
      <c r="R731" s="2" t="inlineStr"/>
    </row>
    <row r="732" ht="15" customHeight="1">
      <c r="A732" t="inlineStr">
        <is>
          <t>A 7377-2023</t>
        </is>
      </c>
      <c r="B732" s="1" t="n">
        <v>44971</v>
      </c>
      <c r="C732" s="1" t="n">
        <v>46132</v>
      </c>
      <c r="D732" t="inlineStr">
        <is>
          <t>VÄSTMANLANDS LÄN</t>
        </is>
      </c>
      <c r="E732" t="inlineStr">
        <is>
          <t>SALA</t>
        </is>
      </c>
      <c r="G732" t="n">
        <v>0.9</v>
      </c>
      <c r="H732" t="n">
        <v>0</v>
      </c>
      <c r="I732" t="n">
        <v>0</v>
      </c>
      <c r="J732" t="n">
        <v>0</v>
      </c>
      <c r="K732" t="n">
        <v>0</v>
      </c>
      <c r="L732" t="n">
        <v>0</v>
      </c>
      <c r="M732" t="n">
        <v>0</v>
      </c>
      <c r="N732" t="n">
        <v>0</v>
      </c>
      <c r="O732" t="n">
        <v>0</v>
      </c>
      <c r="P732" t="n">
        <v>0</v>
      </c>
      <c r="Q732" t="n">
        <v>0</v>
      </c>
      <c r="R732" s="2" t="inlineStr"/>
    </row>
    <row r="733" ht="15" customHeight="1">
      <c r="A733" t="inlineStr">
        <is>
          <t>A 27229-2022</t>
        </is>
      </c>
      <c r="B733" s="1" t="n">
        <v>44741</v>
      </c>
      <c r="C733" s="1" t="n">
        <v>46132</v>
      </c>
      <c r="D733" t="inlineStr">
        <is>
          <t>VÄSTMANLANDS LÄN</t>
        </is>
      </c>
      <c r="E733" t="inlineStr">
        <is>
          <t>SALA</t>
        </is>
      </c>
      <c r="F733" t="inlineStr">
        <is>
          <t>Kommuner</t>
        </is>
      </c>
      <c r="G733" t="n">
        <v>1.4</v>
      </c>
      <c r="H733" t="n">
        <v>0</v>
      </c>
      <c r="I733" t="n">
        <v>0</v>
      </c>
      <c r="J733" t="n">
        <v>0</v>
      </c>
      <c r="K733" t="n">
        <v>0</v>
      </c>
      <c r="L733" t="n">
        <v>0</v>
      </c>
      <c r="M733" t="n">
        <v>0</v>
      </c>
      <c r="N733" t="n">
        <v>0</v>
      </c>
      <c r="O733" t="n">
        <v>0</v>
      </c>
      <c r="P733" t="n">
        <v>0</v>
      </c>
      <c r="Q733" t="n">
        <v>0</v>
      </c>
      <c r="R733" s="2" t="inlineStr"/>
    </row>
    <row r="734" ht="15" customHeight="1">
      <c r="A734" t="inlineStr">
        <is>
          <t>A 24755-2021</t>
        </is>
      </c>
      <c r="B734" s="1" t="n">
        <v>44340</v>
      </c>
      <c r="C734" s="1" t="n">
        <v>46132</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34867-2023</t>
        </is>
      </c>
      <c r="B735" s="1" t="n">
        <v>45142.33481481481</v>
      </c>
      <c r="C735" s="1" t="n">
        <v>46132</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25748-2022</t>
        </is>
      </c>
      <c r="B736" s="1" t="n">
        <v>44732</v>
      </c>
      <c r="C736" s="1" t="n">
        <v>46132</v>
      </c>
      <c r="D736" t="inlineStr">
        <is>
          <t>VÄSTMANLANDS LÄN</t>
        </is>
      </c>
      <c r="E736" t="inlineStr">
        <is>
          <t>SALA</t>
        </is>
      </c>
      <c r="G736" t="n">
        <v>7.7</v>
      </c>
      <c r="H736" t="n">
        <v>0</v>
      </c>
      <c r="I736" t="n">
        <v>0</v>
      </c>
      <c r="J736" t="n">
        <v>0</v>
      </c>
      <c r="K736" t="n">
        <v>0</v>
      </c>
      <c r="L736" t="n">
        <v>0</v>
      </c>
      <c r="M736" t="n">
        <v>0</v>
      </c>
      <c r="N736" t="n">
        <v>0</v>
      </c>
      <c r="O736" t="n">
        <v>0</v>
      </c>
      <c r="P736" t="n">
        <v>0</v>
      </c>
      <c r="Q736" t="n">
        <v>0</v>
      </c>
      <c r="R736" s="2" t="inlineStr"/>
    </row>
    <row r="737" ht="15" customHeight="1">
      <c r="A737" t="inlineStr">
        <is>
          <t>A 49512-2024</t>
        </is>
      </c>
      <c r="B737" s="1" t="n">
        <v>45591</v>
      </c>
      <c r="C737" s="1" t="n">
        <v>46132</v>
      </c>
      <c r="D737" t="inlineStr">
        <is>
          <t>VÄSTMANLANDS LÄN</t>
        </is>
      </c>
      <c r="E737" t="inlineStr">
        <is>
          <t>SALA</t>
        </is>
      </c>
      <c r="G737" t="n">
        <v>8.1</v>
      </c>
      <c r="H737" t="n">
        <v>0</v>
      </c>
      <c r="I737" t="n">
        <v>0</v>
      </c>
      <c r="J737" t="n">
        <v>0</v>
      </c>
      <c r="K737" t="n">
        <v>0</v>
      </c>
      <c r="L737" t="n">
        <v>0</v>
      </c>
      <c r="M737" t="n">
        <v>0</v>
      </c>
      <c r="N737" t="n">
        <v>0</v>
      </c>
      <c r="O737" t="n">
        <v>0</v>
      </c>
      <c r="P737" t="n">
        <v>0</v>
      </c>
      <c r="Q737" t="n">
        <v>0</v>
      </c>
      <c r="R737" s="2" t="inlineStr"/>
    </row>
    <row r="738" ht="15" customHeight="1">
      <c r="A738" t="inlineStr">
        <is>
          <t>A 13128-2023</t>
        </is>
      </c>
      <c r="B738" s="1" t="n">
        <v>45002</v>
      </c>
      <c r="C738" s="1" t="n">
        <v>46132</v>
      </c>
      <c r="D738" t="inlineStr">
        <is>
          <t>VÄSTMANLANDS LÄN</t>
        </is>
      </c>
      <c r="E738" t="inlineStr">
        <is>
          <t>SALA</t>
        </is>
      </c>
      <c r="G738" t="n">
        <v>7.9</v>
      </c>
      <c r="H738" t="n">
        <v>0</v>
      </c>
      <c r="I738" t="n">
        <v>0</v>
      </c>
      <c r="J738" t="n">
        <v>0</v>
      </c>
      <c r="K738" t="n">
        <v>0</v>
      </c>
      <c r="L738" t="n">
        <v>0</v>
      </c>
      <c r="M738" t="n">
        <v>0</v>
      </c>
      <c r="N738" t="n">
        <v>0</v>
      </c>
      <c r="O738" t="n">
        <v>0</v>
      </c>
      <c r="P738" t="n">
        <v>0</v>
      </c>
      <c r="Q738" t="n">
        <v>0</v>
      </c>
      <c r="R738" s="2" t="inlineStr"/>
    </row>
    <row r="739" ht="15" customHeight="1">
      <c r="A739" t="inlineStr">
        <is>
          <t>A 37958-2024</t>
        </is>
      </c>
      <c r="B739" s="1" t="n">
        <v>45544</v>
      </c>
      <c r="C739" s="1" t="n">
        <v>46132</v>
      </c>
      <c r="D739" t="inlineStr">
        <is>
          <t>VÄSTMANLANDS LÄN</t>
        </is>
      </c>
      <c r="E739" t="inlineStr">
        <is>
          <t>SALA</t>
        </is>
      </c>
      <c r="G739" t="n">
        <v>5.6</v>
      </c>
      <c r="H739" t="n">
        <v>0</v>
      </c>
      <c r="I739" t="n">
        <v>0</v>
      </c>
      <c r="J739" t="n">
        <v>0</v>
      </c>
      <c r="K739" t="n">
        <v>0</v>
      </c>
      <c r="L739" t="n">
        <v>0</v>
      </c>
      <c r="M739" t="n">
        <v>0</v>
      </c>
      <c r="N739" t="n">
        <v>0</v>
      </c>
      <c r="O739" t="n">
        <v>0</v>
      </c>
      <c r="P739" t="n">
        <v>0</v>
      </c>
      <c r="Q739" t="n">
        <v>0</v>
      </c>
      <c r="R739" s="2" t="inlineStr"/>
    </row>
    <row r="740" ht="15" customHeight="1">
      <c r="A740" t="inlineStr">
        <is>
          <t>A 18431-2023</t>
        </is>
      </c>
      <c r="B740" s="1" t="n">
        <v>45042</v>
      </c>
      <c r="C740" s="1" t="n">
        <v>46132</v>
      </c>
      <c r="D740" t="inlineStr">
        <is>
          <t>VÄSTMANLANDS LÄN</t>
        </is>
      </c>
      <c r="E740" t="inlineStr">
        <is>
          <t>SALA</t>
        </is>
      </c>
      <c r="G740" t="n">
        <v>1.9</v>
      </c>
      <c r="H740" t="n">
        <v>0</v>
      </c>
      <c r="I740" t="n">
        <v>0</v>
      </c>
      <c r="J740" t="n">
        <v>0</v>
      </c>
      <c r="K740" t="n">
        <v>0</v>
      </c>
      <c r="L740" t="n">
        <v>0</v>
      </c>
      <c r="M740" t="n">
        <v>0</v>
      </c>
      <c r="N740" t="n">
        <v>0</v>
      </c>
      <c r="O740" t="n">
        <v>0</v>
      </c>
      <c r="P740" t="n">
        <v>0</v>
      </c>
      <c r="Q740" t="n">
        <v>0</v>
      </c>
      <c r="R740" s="2" t="inlineStr"/>
    </row>
    <row r="741" ht="15" customHeight="1">
      <c r="A741" t="inlineStr">
        <is>
          <t>A 57650-2024</t>
        </is>
      </c>
      <c r="B741" s="1" t="n">
        <v>45630</v>
      </c>
      <c r="C741" s="1" t="n">
        <v>46132</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10255-2024</t>
        </is>
      </c>
      <c r="B742" s="1" t="n">
        <v>45365</v>
      </c>
      <c r="C742" s="1" t="n">
        <v>46132</v>
      </c>
      <c r="D742" t="inlineStr">
        <is>
          <t>VÄSTMANLANDS LÄN</t>
        </is>
      </c>
      <c r="E742" t="inlineStr">
        <is>
          <t>SALA</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28696-2023</t>
        </is>
      </c>
      <c r="B743" s="1" t="n">
        <v>45103.71759259259</v>
      </c>
      <c r="C743" s="1" t="n">
        <v>46132</v>
      </c>
      <c r="D743" t="inlineStr">
        <is>
          <t>VÄSTMANLANDS LÄN</t>
        </is>
      </c>
      <c r="E743" t="inlineStr">
        <is>
          <t>SALA</t>
        </is>
      </c>
      <c r="F743" t="inlineStr">
        <is>
          <t>Kommuner</t>
        </is>
      </c>
      <c r="G743" t="n">
        <v>5.9</v>
      </c>
      <c r="H743" t="n">
        <v>0</v>
      </c>
      <c r="I743" t="n">
        <v>0</v>
      </c>
      <c r="J743" t="n">
        <v>0</v>
      </c>
      <c r="K743" t="n">
        <v>0</v>
      </c>
      <c r="L743" t="n">
        <v>0</v>
      </c>
      <c r="M743" t="n">
        <v>0</v>
      </c>
      <c r="N743" t="n">
        <v>0</v>
      </c>
      <c r="O743" t="n">
        <v>0</v>
      </c>
      <c r="P743" t="n">
        <v>0</v>
      </c>
      <c r="Q743" t="n">
        <v>0</v>
      </c>
      <c r="R743" s="2" t="inlineStr"/>
    </row>
    <row r="744" ht="15" customHeight="1">
      <c r="A744" t="inlineStr">
        <is>
          <t>A 31072-2021</t>
        </is>
      </c>
      <c r="B744" s="1" t="n">
        <v>44368</v>
      </c>
      <c r="C744" s="1" t="n">
        <v>46132</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16543-2023</t>
        </is>
      </c>
      <c r="B745" s="1" t="n">
        <v>45029</v>
      </c>
      <c r="C745" s="1" t="n">
        <v>46132</v>
      </c>
      <c r="D745" t="inlineStr">
        <is>
          <t>VÄSTMANLANDS LÄN</t>
        </is>
      </c>
      <c r="E745" t="inlineStr">
        <is>
          <t>SALA</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22523-2023</t>
        </is>
      </c>
      <c r="B746" s="1" t="n">
        <v>45069</v>
      </c>
      <c r="C746" s="1" t="n">
        <v>46132</v>
      </c>
      <c r="D746" t="inlineStr">
        <is>
          <t>VÄSTMANLANDS LÄN</t>
        </is>
      </c>
      <c r="E746" t="inlineStr">
        <is>
          <t>SALA</t>
        </is>
      </c>
      <c r="G746" t="n">
        <v>2.4</v>
      </c>
      <c r="H746" t="n">
        <v>0</v>
      </c>
      <c r="I746" t="n">
        <v>0</v>
      </c>
      <c r="J746" t="n">
        <v>0</v>
      </c>
      <c r="K746" t="n">
        <v>0</v>
      </c>
      <c r="L746" t="n">
        <v>0</v>
      </c>
      <c r="M746" t="n">
        <v>0</v>
      </c>
      <c r="N746" t="n">
        <v>0</v>
      </c>
      <c r="O746" t="n">
        <v>0</v>
      </c>
      <c r="P746" t="n">
        <v>0</v>
      </c>
      <c r="Q746" t="n">
        <v>0</v>
      </c>
      <c r="R746" s="2" t="inlineStr"/>
    </row>
    <row r="747" ht="15" customHeight="1">
      <c r="A747" t="inlineStr">
        <is>
          <t>A 4663-2022</t>
        </is>
      </c>
      <c r="B747" s="1" t="n">
        <v>44592.45429398148</v>
      </c>
      <c r="C747" s="1" t="n">
        <v>46132</v>
      </c>
      <c r="D747" t="inlineStr">
        <is>
          <t>VÄSTMANLANDS LÄN</t>
        </is>
      </c>
      <c r="E747" t="inlineStr">
        <is>
          <t>SALA</t>
        </is>
      </c>
      <c r="G747" t="n">
        <v>2.5</v>
      </c>
      <c r="H747" t="n">
        <v>0</v>
      </c>
      <c r="I747" t="n">
        <v>0</v>
      </c>
      <c r="J747" t="n">
        <v>0</v>
      </c>
      <c r="K747" t="n">
        <v>0</v>
      </c>
      <c r="L747" t="n">
        <v>0</v>
      </c>
      <c r="M747" t="n">
        <v>0</v>
      </c>
      <c r="N747" t="n">
        <v>0</v>
      </c>
      <c r="O747" t="n">
        <v>0</v>
      </c>
      <c r="P747" t="n">
        <v>0</v>
      </c>
      <c r="Q747" t="n">
        <v>0</v>
      </c>
      <c r="R747" s="2" t="inlineStr"/>
    </row>
    <row r="748" ht="15" customHeight="1">
      <c r="A748" t="inlineStr">
        <is>
          <t>A 6132-2025</t>
        </is>
      </c>
      <c r="B748" s="1" t="n">
        <v>45698</v>
      </c>
      <c r="C748" s="1" t="n">
        <v>46132</v>
      </c>
      <c r="D748" t="inlineStr">
        <is>
          <t>VÄSTMANLANDS LÄN</t>
        </is>
      </c>
      <c r="E748" t="inlineStr">
        <is>
          <t>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46132</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61681-2024</t>
        </is>
      </c>
      <c r="B750" s="1" t="n">
        <v>45647</v>
      </c>
      <c r="C750" s="1" t="n">
        <v>46132</v>
      </c>
      <c r="D750" t="inlineStr">
        <is>
          <t>VÄSTMANLANDS LÄN</t>
        </is>
      </c>
      <c r="E750" t="inlineStr">
        <is>
          <t>SALA</t>
        </is>
      </c>
      <c r="F750" t="inlineStr">
        <is>
          <t>Kommuner</t>
        </is>
      </c>
      <c r="G750" t="n">
        <v>1</v>
      </c>
      <c r="H750" t="n">
        <v>0</v>
      </c>
      <c r="I750" t="n">
        <v>0</v>
      </c>
      <c r="J750" t="n">
        <v>0</v>
      </c>
      <c r="K750" t="n">
        <v>0</v>
      </c>
      <c r="L750" t="n">
        <v>0</v>
      </c>
      <c r="M750" t="n">
        <v>0</v>
      </c>
      <c r="N750" t="n">
        <v>0</v>
      </c>
      <c r="O750" t="n">
        <v>0</v>
      </c>
      <c r="P750" t="n">
        <v>0</v>
      </c>
      <c r="Q750" t="n">
        <v>0</v>
      </c>
      <c r="R750" s="2" t="inlineStr"/>
    </row>
    <row r="751" ht="15" customHeight="1">
      <c r="A751" t="inlineStr">
        <is>
          <t>A 54960-2024</t>
        </is>
      </c>
      <c r="B751" s="1" t="n">
        <v>45619.85208333333</v>
      </c>
      <c r="C751" s="1" t="n">
        <v>46132</v>
      </c>
      <c r="D751" t="inlineStr">
        <is>
          <t>VÄSTMANLANDS LÄN</t>
        </is>
      </c>
      <c r="E751" t="inlineStr">
        <is>
          <t>SALA</t>
        </is>
      </c>
      <c r="G751" t="n">
        <v>2.6</v>
      </c>
      <c r="H751" t="n">
        <v>0</v>
      </c>
      <c r="I751" t="n">
        <v>0</v>
      </c>
      <c r="J751" t="n">
        <v>0</v>
      </c>
      <c r="K751" t="n">
        <v>0</v>
      </c>
      <c r="L751" t="n">
        <v>0</v>
      </c>
      <c r="M751" t="n">
        <v>0</v>
      </c>
      <c r="N751" t="n">
        <v>0</v>
      </c>
      <c r="O751" t="n">
        <v>0</v>
      </c>
      <c r="P751" t="n">
        <v>0</v>
      </c>
      <c r="Q751" t="n">
        <v>0</v>
      </c>
      <c r="R751" s="2" t="inlineStr"/>
    </row>
    <row r="752" ht="15" customHeight="1">
      <c r="A752" t="inlineStr">
        <is>
          <t>A 31082-2021</t>
        </is>
      </c>
      <c r="B752" s="1" t="n">
        <v>44368</v>
      </c>
      <c r="C752" s="1" t="n">
        <v>46132</v>
      </c>
      <c r="D752" t="inlineStr">
        <is>
          <t>VÄSTMANLANDS LÄN</t>
        </is>
      </c>
      <c r="E752" t="inlineStr">
        <is>
          <t>SALA</t>
        </is>
      </c>
      <c r="G752" t="n">
        <v>2</v>
      </c>
      <c r="H752" t="n">
        <v>0</v>
      </c>
      <c r="I752" t="n">
        <v>0</v>
      </c>
      <c r="J752" t="n">
        <v>0</v>
      </c>
      <c r="K752" t="n">
        <v>0</v>
      </c>
      <c r="L752" t="n">
        <v>0</v>
      </c>
      <c r="M752" t="n">
        <v>0</v>
      </c>
      <c r="N752" t="n">
        <v>0</v>
      </c>
      <c r="O752" t="n">
        <v>0</v>
      </c>
      <c r="P752" t="n">
        <v>0</v>
      </c>
      <c r="Q752" t="n">
        <v>0</v>
      </c>
      <c r="R752" s="2" t="inlineStr"/>
    </row>
    <row r="753" ht="15" customHeight="1">
      <c r="A753" t="inlineStr">
        <is>
          <t>A 20352-2022</t>
        </is>
      </c>
      <c r="B753" s="1" t="n">
        <v>44699.37318287037</v>
      </c>
      <c r="C753" s="1" t="n">
        <v>46132</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27657-2023</t>
        </is>
      </c>
      <c r="B754" s="1" t="n">
        <v>45097.76631944445</v>
      </c>
      <c r="C754" s="1" t="n">
        <v>46132</v>
      </c>
      <c r="D754" t="inlineStr">
        <is>
          <t>VÄSTMANLANDS LÄN</t>
        </is>
      </c>
      <c r="E754" t="inlineStr">
        <is>
          <t>SALA</t>
        </is>
      </c>
      <c r="G754" t="n">
        <v>0.1</v>
      </c>
      <c r="H754" t="n">
        <v>0</v>
      </c>
      <c r="I754" t="n">
        <v>0</v>
      </c>
      <c r="J754" t="n">
        <v>0</v>
      </c>
      <c r="K754" t="n">
        <v>0</v>
      </c>
      <c r="L754" t="n">
        <v>0</v>
      </c>
      <c r="M754" t="n">
        <v>0</v>
      </c>
      <c r="N754" t="n">
        <v>0</v>
      </c>
      <c r="O754" t="n">
        <v>0</v>
      </c>
      <c r="P754" t="n">
        <v>0</v>
      </c>
      <c r="Q754" t="n">
        <v>0</v>
      </c>
      <c r="R754" s="2" t="inlineStr"/>
    </row>
    <row r="755" ht="15" customHeight="1">
      <c r="A755" t="inlineStr">
        <is>
          <t>A 2766-2024</t>
        </is>
      </c>
      <c r="B755" s="1" t="n">
        <v>45314.60950231482</v>
      </c>
      <c r="C755" s="1" t="n">
        <v>46132</v>
      </c>
      <c r="D755" t="inlineStr">
        <is>
          <t>VÄSTMANLANDS LÄN</t>
        </is>
      </c>
      <c r="E755" t="inlineStr">
        <is>
          <t>SALA</t>
        </is>
      </c>
      <c r="G755" t="n">
        <v>2.8</v>
      </c>
      <c r="H755" t="n">
        <v>0</v>
      </c>
      <c r="I755" t="n">
        <v>0</v>
      </c>
      <c r="J755" t="n">
        <v>0</v>
      </c>
      <c r="K755" t="n">
        <v>0</v>
      </c>
      <c r="L755" t="n">
        <v>0</v>
      </c>
      <c r="M755" t="n">
        <v>0</v>
      </c>
      <c r="N755" t="n">
        <v>0</v>
      </c>
      <c r="O755" t="n">
        <v>0</v>
      </c>
      <c r="P755" t="n">
        <v>0</v>
      </c>
      <c r="Q755" t="n">
        <v>0</v>
      </c>
      <c r="R755" s="2" t="inlineStr"/>
    </row>
    <row r="756" ht="15" customHeight="1">
      <c r="A756" t="inlineStr">
        <is>
          <t>A 60550-2024</t>
        </is>
      </c>
      <c r="B756" s="1" t="n">
        <v>45643</v>
      </c>
      <c r="C756" s="1" t="n">
        <v>46132</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14690-2025</t>
        </is>
      </c>
      <c r="B757" s="1" t="n">
        <v>45742.58212962963</v>
      </c>
      <c r="C757" s="1" t="n">
        <v>46132</v>
      </c>
      <c r="D757" t="inlineStr">
        <is>
          <t>VÄSTMANLANDS LÄN</t>
        </is>
      </c>
      <c r="E757" t="inlineStr">
        <is>
          <t>SALA</t>
        </is>
      </c>
      <c r="G757" t="n">
        <v>3.4</v>
      </c>
      <c r="H757" t="n">
        <v>0</v>
      </c>
      <c r="I757" t="n">
        <v>0</v>
      </c>
      <c r="J757" t="n">
        <v>0</v>
      </c>
      <c r="K757" t="n">
        <v>0</v>
      </c>
      <c r="L757" t="n">
        <v>0</v>
      </c>
      <c r="M757" t="n">
        <v>0</v>
      </c>
      <c r="N757" t="n">
        <v>0</v>
      </c>
      <c r="O757" t="n">
        <v>0</v>
      </c>
      <c r="P757" t="n">
        <v>0</v>
      </c>
      <c r="Q757" t="n">
        <v>0</v>
      </c>
      <c r="R757" s="2" t="inlineStr"/>
    </row>
    <row r="758" ht="15" customHeight="1">
      <c r="A758" t="inlineStr">
        <is>
          <t>A 24175-2024</t>
        </is>
      </c>
      <c r="B758" s="1" t="n">
        <v>45456</v>
      </c>
      <c r="C758" s="1" t="n">
        <v>46132</v>
      </c>
      <c r="D758" t="inlineStr">
        <is>
          <t>VÄSTMANLANDS LÄN</t>
        </is>
      </c>
      <c r="E758" t="inlineStr">
        <is>
          <t>SALA</t>
        </is>
      </c>
      <c r="G758" t="n">
        <v>0.6</v>
      </c>
      <c r="H758" t="n">
        <v>0</v>
      </c>
      <c r="I758" t="n">
        <v>0</v>
      </c>
      <c r="J758" t="n">
        <v>0</v>
      </c>
      <c r="K758" t="n">
        <v>0</v>
      </c>
      <c r="L758" t="n">
        <v>0</v>
      </c>
      <c r="M758" t="n">
        <v>0</v>
      </c>
      <c r="N758" t="n">
        <v>0</v>
      </c>
      <c r="O758" t="n">
        <v>0</v>
      </c>
      <c r="P758" t="n">
        <v>0</v>
      </c>
      <c r="Q758" t="n">
        <v>0</v>
      </c>
      <c r="R758" s="2" t="inlineStr"/>
    </row>
    <row r="759" ht="15" customHeight="1">
      <c r="A759" t="inlineStr">
        <is>
          <t>A 62449-2023</t>
        </is>
      </c>
      <c r="B759" s="1" t="n">
        <v>45268.49008101852</v>
      </c>
      <c r="C759" s="1" t="n">
        <v>46132</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row>
    <row r="760" ht="15" customHeight="1">
      <c r="A760" t="inlineStr">
        <is>
          <t>A 54910-2023</t>
        </is>
      </c>
      <c r="B760" s="1" t="n">
        <v>45229</v>
      </c>
      <c r="C760" s="1" t="n">
        <v>46132</v>
      </c>
      <c r="D760" t="inlineStr">
        <is>
          <t>VÄSTMANLANDS LÄN</t>
        </is>
      </c>
      <c r="E760" t="inlineStr">
        <is>
          <t>SALA</t>
        </is>
      </c>
      <c r="G760" t="n">
        <v>2.4</v>
      </c>
      <c r="H760" t="n">
        <v>0</v>
      </c>
      <c r="I760" t="n">
        <v>0</v>
      </c>
      <c r="J760" t="n">
        <v>0</v>
      </c>
      <c r="K760" t="n">
        <v>0</v>
      </c>
      <c r="L760" t="n">
        <v>0</v>
      </c>
      <c r="M760" t="n">
        <v>0</v>
      </c>
      <c r="N760" t="n">
        <v>0</v>
      </c>
      <c r="O760" t="n">
        <v>0</v>
      </c>
      <c r="P760" t="n">
        <v>0</v>
      </c>
      <c r="Q760" t="n">
        <v>0</v>
      </c>
      <c r="R760" s="2" t="inlineStr"/>
    </row>
    <row r="761" ht="15" customHeight="1">
      <c r="A761" t="inlineStr">
        <is>
          <t>A 19222-2025</t>
        </is>
      </c>
      <c r="B761" s="1" t="n">
        <v>45769</v>
      </c>
      <c r="C761" s="1" t="n">
        <v>46132</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19241-2025</t>
        </is>
      </c>
      <c r="B762" s="1" t="n">
        <v>45769</v>
      </c>
      <c r="C762" s="1" t="n">
        <v>46132</v>
      </c>
      <c r="D762" t="inlineStr">
        <is>
          <t>VÄSTMANLANDS LÄN</t>
        </is>
      </c>
      <c r="E762" t="inlineStr">
        <is>
          <t>SALA</t>
        </is>
      </c>
      <c r="G762" t="n">
        <v>3.6</v>
      </c>
      <c r="H762" t="n">
        <v>0</v>
      </c>
      <c r="I762" t="n">
        <v>0</v>
      </c>
      <c r="J762" t="n">
        <v>0</v>
      </c>
      <c r="K762" t="n">
        <v>0</v>
      </c>
      <c r="L762" t="n">
        <v>0</v>
      </c>
      <c r="M762" t="n">
        <v>0</v>
      </c>
      <c r="N762" t="n">
        <v>0</v>
      </c>
      <c r="O762" t="n">
        <v>0</v>
      </c>
      <c r="P762" t="n">
        <v>0</v>
      </c>
      <c r="Q762" t="n">
        <v>0</v>
      </c>
      <c r="R762" s="2" t="inlineStr"/>
    </row>
    <row r="763" ht="15" customHeight="1">
      <c r="A763" t="inlineStr">
        <is>
          <t>A 26416-2023</t>
        </is>
      </c>
      <c r="B763" s="1" t="n">
        <v>45092.38087962963</v>
      </c>
      <c r="C763" s="1" t="n">
        <v>46132</v>
      </c>
      <c r="D763" t="inlineStr">
        <is>
          <t>VÄSTMANLANDS LÄN</t>
        </is>
      </c>
      <c r="E763" t="inlineStr">
        <is>
          <t>SALA</t>
        </is>
      </c>
      <c r="G763" t="n">
        <v>2.9</v>
      </c>
      <c r="H763" t="n">
        <v>0</v>
      </c>
      <c r="I763" t="n">
        <v>0</v>
      </c>
      <c r="J763" t="n">
        <v>0</v>
      </c>
      <c r="K763" t="n">
        <v>0</v>
      </c>
      <c r="L763" t="n">
        <v>0</v>
      </c>
      <c r="M763" t="n">
        <v>0</v>
      </c>
      <c r="N763" t="n">
        <v>0</v>
      </c>
      <c r="O763" t="n">
        <v>0</v>
      </c>
      <c r="P763" t="n">
        <v>0</v>
      </c>
      <c r="Q763" t="n">
        <v>0</v>
      </c>
      <c r="R763" s="2" t="inlineStr"/>
    </row>
    <row r="764" ht="15" customHeight="1">
      <c r="A764" t="inlineStr">
        <is>
          <t>A 26692-2023</t>
        </is>
      </c>
      <c r="B764" s="1" t="n">
        <v>45093.360625</v>
      </c>
      <c r="C764" s="1" t="n">
        <v>46132</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15681-2025</t>
        </is>
      </c>
      <c r="B765" s="1" t="n">
        <v>45748.45454861111</v>
      </c>
      <c r="C765" s="1" t="n">
        <v>46132</v>
      </c>
      <c r="D765" t="inlineStr">
        <is>
          <t>VÄSTMANLANDS LÄN</t>
        </is>
      </c>
      <c r="E765" t="inlineStr">
        <is>
          <t>SALA</t>
        </is>
      </c>
      <c r="F765" t="inlineStr">
        <is>
          <t>Bergvik skog öst AB</t>
        </is>
      </c>
      <c r="G765" t="n">
        <v>4.3</v>
      </c>
      <c r="H765" t="n">
        <v>0</v>
      </c>
      <c r="I765" t="n">
        <v>0</v>
      </c>
      <c r="J765" t="n">
        <v>0</v>
      </c>
      <c r="K765" t="n">
        <v>0</v>
      </c>
      <c r="L765" t="n">
        <v>0</v>
      </c>
      <c r="M765" t="n">
        <v>0</v>
      </c>
      <c r="N765" t="n">
        <v>0</v>
      </c>
      <c r="O765" t="n">
        <v>0</v>
      </c>
      <c r="P765" t="n">
        <v>0</v>
      </c>
      <c r="Q765" t="n">
        <v>0</v>
      </c>
      <c r="R765" s="2" t="inlineStr"/>
    </row>
    <row r="766" ht="15" customHeight="1">
      <c r="A766" t="inlineStr">
        <is>
          <t>A 2925-2024</t>
        </is>
      </c>
      <c r="B766" s="1" t="n">
        <v>45315.58909722222</v>
      </c>
      <c r="C766" s="1" t="n">
        <v>46132</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44746-2024</t>
        </is>
      </c>
      <c r="B767" s="1" t="n">
        <v>45574.59813657407</v>
      </c>
      <c r="C767" s="1" t="n">
        <v>46132</v>
      </c>
      <c r="D767" t="inlineStr">
        <is>
          <t>VÄSTMANLANDS LÄN</t>
        </is>
      </c>
      <c r="E767" t="inlineStr">
        <is>
          <t>SALA</t>
        </is>
      </c>
      <c r="G767" t="n">
        <v>6.7</v>
      </c>
      <c r="H767" t="n">
        <v>0</v>
      </c>
      <c r="I767" t="n">
        <v>0</v>
      </c>
      <c r="J767" t="n">
        <v>0</v>
      </c>
      <c r="K767" t="n">
        <v>0</v>
      </c>
      <c r="L767" t="n">
        <v>0</v>
      </c>
      <c r="M767" t="n">
        <v>0</v>
      </c>
      <c r="N767" t="n">
        <v>0</v>
      </c>
      <c r="O767" t="n">
        <v>0</v>
      </c>
      <c r="P767" t="n">
        <v>0</v>
      </c>
      <c r="Q767" t="n">
        <v>0</v>
      </c>
      <c r="R767" s="2" t="inlineStr"/>
    </row>
    <row r="768" ht="15" customHeight="1">
      <c r="A768" t="inlineStr">
        <is>
          <t>A 44713-2023</t>
        </is>
      </c>
      <c r="B768" s="1" t="n">
        <v>45184</v>
      </c>
      <c r="C768" s="1" t="n">
        <v>46132</v>
      </c>
      <c r="D768" t="inlineStr">
        <is>
          <t>VÄSTMANLANDS LÄN</t>
        </is>
      </c>
      <c r="E768" t="inlineStr">
        <is>
          <t>SALA</t>
        </is>
      </c>
      <c r="F768" t="inlineStr">
        <is>
          <t>Kyrkan</t>
        </is>
      </c>
      <c r="G768" t="n">
        <v>7.6</v>
      </c>
      <c r="H768" t="n">
        <v>0</v>
      </c>
      <c r="I768" t="n">
        <v>0</v>
      </c>
      <c r="J768" t="n">
        <v>0</v>
      </c>
      <c r="K768" t="n">
        <v>0</v>
      </c>
      <c r="L768" t="n">
        <v>0</v>
      </c>
      <c r="M768" t="n">
        <v>0</v>
      </c>
      <c r="N768" t="n">
        <v>0</v>
      </c>
      <c r="O768" t="n">
        <v>0</v>
      </c>
      <c r="P768" t="n">
        <v>0</v>
      </c>
      <c r="Q768" t="n">
        <v>0</v>
      </c>
      <c r="R768" s="2" t="inlineStr"/>
    </row>
    <row r="769">
      <c r="A769" t="inlineStr">
        <is>
          <t>A 23431-2024</t>
        </is>
      </c>
      <c r="B769" s="1" t="n">
        <v>45453</v>
      </c>
      <c r="C769" s="1" t="n">
        <v>46132</v>
      </c>
      <c r="D769" t="inlineStr">
        <is>
          <t>VÄSTMANLANDS LÄN</t>
        </is>
      </c>
      <c r="E769" t="inlineStr">
        <is>
          <t>SALA</t>
        </is>
      </c>
      <c r="G769" t="n">
        <v>1.6</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2026-04-20T10:28:04Z</dcterms:created>
  <dcterms:modified xmlns:dcterms="http://purl.org/dc/terms/" xmlns:xsi="http://www.w3.org/2001/XMLSchema-instance" xsi:type="dcterms:W3CDTF">2026-04-20T10:28:04Z</dcterms:modified>
</cp:coreProperties>
</file>