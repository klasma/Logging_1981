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46077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46077</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46077</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46077</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27488-2023</t>
        </is>
      </c>
      <c r="B13" s="1" t="n">
        <v>45097</v>
      </c>
      <c r="C13" s="1" t="n">
        <v>46077</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46077</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46077</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34752-2023</t>
        </is>
      </c>
      <c r="B16" s="1" t="n">
        <v>45141</v>
      </c>
      <c r="C16" s="1" t="n">
        <v>46077</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46077</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62768-2021</t>
        </is>
      </c>
      <c r="B18" s="1" t="n">
        <v>44504</v>
      </c>
      <c r="C18" s="1" t="n">
        <v>46077</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53019-2024</t>
        </is>
      </c>
      <c r="B19" s="1" t="n">
        <v>45610</v>
      </c>
      <c r="C19" s="1" t="n">
        <v>46077</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3567-2024</t>
        </is>
      </c>
      <c r="B20" s="1" t="n">
        <v>45320.63706018519</v>
      </c>
      <c r="C20" s="1" t="n">
        <v>46077</v>
      </c>
      <c r="D20" t="inlineStr">
        <is>
          <t>VÄSTMANLANDS LÄN</t>
        </is>
      </c>
      <c r="E20" t="inlineStr">
        <is>
          <t>SALA</t>
        </is>
      </c>
      <c r="F20" t="inlineStr">
        <is>
          <t>Kommuner</t>
        </is>
      </c>
      <c r="G20" t="n">
        <v>4.1</v>
      </c>
      <c r="H20" t="n">
        <v>1</v>
      </c>
      <c r="I20" t="n">
        <v>2</v>
      </c>
      <c r="J20" t="n">
        <v>0</v>
      </c>
      <c r="K20" t="n">
        <v>1</v>
      </c>
      <c r="L20" t="n">
        <v>0</v>
      </c>
      <c r="M20" t="n">
        <v>0</v>
      </c>
      <c r="N20" t="n">
        <v>0</v>
      </c>
      <c r="O20" t="n">
        <v>1</v>
      </c>
      <c r="P20" t="n">
        <v>1</v>
      </c>
      <c r="Q20" t="n">
        <v>3</v>
      </c>
      <c r="R20" s="2" t="inlineStr">
        <is>
          <t>Knärot
Guldlockmossa
Vedticka</t>
        </is>
      </c>
      <c r="S20">
        <f>HYPERLINK("https://klasma.github.io/Logging_1981/artfynd/A 3567-2024 artfynd.xlsx", "A 3567-2024")</f>
        <v/>
      </c>
      <c r="T20">
        <f>HYPERLINK("https://klasma.github.io/Logging_1981/kartor/A 3567-2024 karta.png", "A 3567-2024")</f>
        <v/>
      </c>
      <c r="U20">
        <f>HYPERLINK("https://klasma.github.io/Logging_1981/knärot/A 3567-2024 karta knärot.png", "A 3567-2024")</f>
        <v/>
      </c>
      <c r="V20">
        <f>HYPERLINK("https://klasma.github.io/Logging_1981/klagomål/A 3567-2024 FSC-klagomål.docx", "A 3567-2024")</f>
        <v/>
      </c>
      <c r="W20">
        <f>HYPERLINK("https://klasma.github.io/Logging_1981/klagomålsmail/A 3567-2024 FSC-klagomål mail.docx", "A 3567-2024")</f>
        <v/>
      </c>
      <c r="X20">
        <f>HYPERLINK("https://klasma.github.io/Logging_1981/tillsyn/A 3567-2024 tillsynsbegäran.docx", "A 3567-2024")</f>
        <v/>
      </c>
      <c r="Y20">
        <f>HYPERLINK("https://klasma.github.io/Logging_1981/tillsynsmail/A 3567-2024 tillsynsbegäran mail.docx", "A 3567-2024")</f>
        <v/>
      </c>
    </row>
    <row r="21" ht="15" customHeight="1">
      <c r="A21" t="inlineStr">
        <is>
          <t>A 40493-2024</t>
        </is>
      </c>
      <c r="B21" s="1" t="n">
        <v>45555</v>
      </c>
      <c r="C21" s="1" t="n">
        <v>46077</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35461-2024</t>
        </is>
      </c>
      <c r="B22" s="1" t="n">
        <v>45531</v>
      </c>
      <c r="C22" s="1" t="n">
        <v>46077</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4264-2024</t>
        </is>
      </c>
      <c r="B23" s="1" t="n">
        <v>45324</v>
      </c>
      <c r="C23" s="1" t="n">
        <v>46077</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40895-2025</t>
        </is>
      </c>
      <c r="B24" s="1" t="n">
        <v>45897.61241898148</v>
      </c>
      <c r="C24" s="1" t="n">
        <v>46077</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3930-2026</t>
        </is>
      </c>
      <c r="B25" s="1" t="n">
        <v>46043</v>
      </c>
      <c r="C25" s="1" t="n">
        <v>46077</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34065-2025</t>
        </is>
      </c>
      <c r="B26" s="1" t="n">
        <v>45845.42806712963</v>
      </c>
      <c r="C26" s="1" t="n">
        <v>46077</v>
      </c>
      <c r="D26" t="inlineStr">
        <is>
          <t>VÄSTMANLANDS LÄN</t>
        </is>
      </c>
      <c r="E26" t="inlineStr">
        <is>
          <t>SALA</t>
        </is>
      </c>
      <c r="G26" t="n">
        <v>3</v>
      </c>
      <c r="H26" t="n">
        <v>0</v>
      </c>
      <c r="I26" t="n">
        <v>1</v>
      </c>
      <c r="J26" t="n">
        <v>2</v>
      </c>
      <c r="K26" t="n">
        <v>0</v>
      </c>
      <c r="L26" t="n">
        <v>0</v>
      </c>
      <c r="M26" t="n">
        <v>0</v>
      </c>
      <c r="N26" t="n">
        <v>0</v>
      </c>
      <c r="O26" t="n">
        <v>2</v>
      </c>
      <c r="P26" t="n">
        <v>0</v>
      </c>
      <c r="Q26" t="n">
        <v>3</v>
      </c>
      <c r="R26" s="2" t="inlineStr">
        <is>
          <t>Granticka
Leptoporus mollis
Vedticka</t>
        </is>
      </c>
      <c r="S26">
        <f>HYPERLINK("https://klasma.github.io/Logging_1981/artfynd/A 34065-2025 artfynd.xlsx", "A 34065-2025")</f>
        <v/>
      </c>
      <c r="T26">
        <f>HYPERLINK("https://klasma.github.io/Logging_1981/kartor/A 34065-2025 karta.png", "A 34065-2025")</f>
        <v/>
      </c>
      <c r="V26">
        <f>HYPERLINK("https://klasma.github.io/Logging_1981/klagomål/A 34065-2025 FSC-klagomål.docx", "A 34065-2025")</f>
        <v/>
      </c>
      <c r="W26">
        <f>HYPERLINK("https://klasma.github.io/Logging_1981/klagomålsmail/A 34065-2025 FSC-klagomål mail.docx", "A 34065-2025")</f>
        <v/>
      </c>
      <c r="X26">
        <f>HYPERLINK("https://klasma.github.io/Logging_1981/tillsyn/A 34065-2025 tillsynsbegäran.docx", "A 34065-2025")</f>
        <v/>
      </c>
      <c r="Y26">
        <f>HYPERLINK("https://klasma.github.io/Logging_1981/tillsynsmail/A 34065-2025 tillsynsbegäran mail.docx", "A 34065-2025")</f>
        <v/>
      </c>
    </row>
    <row r="27" ht="15" customHeight="1">
      <c r="A27" t="inlineStr">
        <is>
          <t>A 47475-2024</t>
        </is>
      </c>
      <c r="B27" s="1" t="n">
        <v>45587.57552083334</v>
      </c>
      <c r="C27" s="1" t="n">
        <v>46077</v>
      </c>
      <c r="D27" t="inlineStr">
        <is>
          <t>VÄSTMANLANDS LÄN</t>
        </is>
      </c>
      <c r="E27" t="inlineStr">
        <is>
          <t>SALA</t>
        </is>
      </c>
      <c r="G27" t="n">
        <v>1.4</v>
      </c>
      <c r="H27" t="n">
        <v>1</v>
      </c>
      <c r="I27" t="n">
        <v>0</v>
      </c>
      <c r="J27" t="n">
        <v>0</v>
      </c>
      <c r="K27" t="n">
        <v>3</v>
      </c>
      <c r="L27" t="n">
        <v>0</v>
      </c>
      <c r="M27" t="n">
        <v>0</v>
      </c>
      <c r="N27" t="n">
        <v>0</v>
      </c>
      <c r="O27" t="n">
        <v>3</v>
      </c>
      <c r="P27" t="n">
        <v>3</v>
      </c>
      <c r="Q27" t="n">
        <v>3</v>
      </c>
      <c r="R27" s="2" t="inlineStr">
        <is>
          <t>Knärot
Luddig stiftdynlav
Rynkskinn</t>
        </is>
      </c>
      <c r="S27">
        <f>HYPERLINK("https://klasma.github.io/Logging_1981/artfynd/A 47475-2024 artfynd.xlsx", "A 47475-2024")</f>
        <v/>
      </c>
      <c r="T27">
        <f>HYPERLINK("https://klasma.github.io/Logging_1981/kartor/A 47475-2024 karta.png", "A 47475-2024")</f>
        <v/>
      </c>
      <c r="U27">
        <f>HYPERLINK("https://klasma.github.io/Logging_1981/knärot/A 47475-2024 karta knärot.png", "A 47475-2024")</f>
        <v/>
      </c>
      <c r="V27">
        <f>HYPERLINK("https://klasma.github.io/Logging_1981/klagomål/A 47475-2024 FSC-klagomål.docx", "A 47475-2024")</f>
        <v/>
      </c>
      <c r="W27">
        <f>HYPERLINK("https://klasma.github.io/Logging_1981/klagomålsmail/A 47475-2024 FSC-klagomål mail.docx", "A 47475-2024")</f>
        <v/>
      </c>
      <c r="X27">
        <f>HYPERLINK("https://klasma.github.io/Logging_1981/tillsyn/A 47475-2024 tillsynsbegäran.docx", "A 47475-2024")</f>
        <v/>
      </c>
      <c r="Y27">
        <f>HYPERLINK("https://klasma.github.io/Logging_1981/tillsynsmail/A 47475-2024 tillsynsbegäran mail.docx", "A 47475-2024")</f>
        <v/>
      </c>
    </row>
    <row r="28" ht="15" customHeight="1">
      <c r="A28" t="inlineStr">
        <is>
          <t>A 52909-2022</t>
        </is>
      </c>
      <c r="B28" s="1" t="n">
        <v>44875</v>
      </c>
      <c r="C28" s="1" t="n">
        <v>46077</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46077</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46077</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13029-2023</t>
        </is>
      </c>
      <c r="B31" s="1" t="n">
        <v>45001</v>
      </c>
      <c r="C31" s="1" t="n">
        <v>46077</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12444-2024</t>
        </is>
      </c>
      <c r="B32" s="1" t="n">
        <v>45379.46285879629</v>
      </c>
      <c r="C32" s="1" t="n">
        <v>46077</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1500-2022</t>
        </is>
      </c>
      <c r="B33" s="1" t="n">
        <v>44573.54357638889</v>
      </c>
      <c r="C33" s="1" t="n">
        <v>46077</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46077</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53048-2025</t>
        </is>
      </c>
      <c r="B35" s="1" t="n">
        <v>45958.36018518519</v>
      </c>
      <c r="C35" s="1" t="n">
        <v>46077</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59826-2025</t>
        </is>
      </c>
      <c r="B36" s="1" t="n">
        <v>45992.65416666667</v>
      </c>
      <c r="C36" s="1" t="n">
        <v>46077</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24872-2025</t>
        </is>
      </c>
      <c r="B37" s="1" t="n">
        <v>45799.49038194444</v>
      </c>
      <c r="C37" s="1" t="n">
        <v>46077</v>
      </c>
      <c r="D37" t="inlineStr">
        <is>
          <t>VÄSTMANLANDS LÄN</t>
        </is>
      </c>
      <c r="E37" t="inlineStr">
        <is>
          <t>SALA</t>
        </is>
      </c>
      <c r="G37" t="n">
        <v>13.9</v>
      </c>
      <c r="H37" t="n">
        <v>1</v>
      </c>
      <c r="I37" t="n">
        <v>0</v>
      </c>
      <c r="J37" t="n">
        <v>1</v>
      </c>
      <c r="K37" t="n">
        <v>1</v>
      </c>
      <c r="L37" t="n">
        <v>0</v>
      </c>
      <c r="M37" t="n">
        <v>0</v>
      </c>
      <c r="N37" t="n">
        <v>0</v>
      </c>
      <c r="O37" t="n">
        <v>2</v>
      </c>
      <c r="P37" t="n">
        <v>1</v>
      </c>
      <c r="Q37" t="n">
        <v>2</v>
      </c>
      <c r="R37" s="2" t="inlineStr">
        <is>
          <t>Knärot
Motaggsvamp</t>
        </is>
      </c>
      <c r="S37">
        <f>HYPERLINK("https://klasma.github.io/Logging_1981/artfynd/A 24872-2025 artfynd.xlsx", "A 24872-2025")</f>
        <v/>
      </c>
      <c r="T37">
        <f>HYPERLINK("https://klasma.github.io/Logging_1981/kartor/A 24872-2025 karta.png", "A 24872-2025")</f>
        <v/>
      </c>
      <c r="U37">
        <f>HYPERLINK("https://klasma.github.io/Logging_1981/knärot/A 24872-2025 karta knärot.png", "A 24872-2025")</f>
        <v/>
      </c>
      <c r="V37">
        <f>HYPERLINK("https://klasma.github.io/Logging_1981/klagomål/A 24872-2025 FSC-klagomål.docx", "A 24872-2025")</f>
        <v/>
      </c>
      <c r="W37">
        <f>HYPERLINK("https://klasma.github.io/Logging_1981/klagomålsmail/A 24872-2025 FSC-klagomål mail.docx", "A 24872-2025")</f>
        <v/>
      </c>
      <c r="X37">
        <f>HYPERLINK("https://klasma.github.io/Logging_1981/tillsyn/A 24872-2025 tillsynsbegäran.docx", "A 24872-2025")</f>
        <v/>
      </c>
      <c r="Y37">
        <f>HYPERLINK("https://klasma.github.io/Logging_1981/tillsynsmail/A 24872-2025 tillsynsbegäran mail.docx", "A 24872-2025")</f>
        <v/>
      </c>
    </row>
    <row r="38" ht="15" customHeight="1">
      <c r="A38" t="inlineStr">
        <is>
          <t>A 63584-2025</t>
        </is>
      </c>
      <c r="B38" s="1" t="n">
        <v>46013.77002314815</v>
      </c>
      <c r="C38" s="1" t="n">
        <v>46077</v>
      </c>
      <c r="D38" t="inlineStr">
        <is>
          <t>VÄSTMANLANDS LÄN</t>
        </is>
      </c>
      <c r="E38" t="inlineStr">
        <is>
          <t>SALA</t>
        </is>
      </c>
      <c r="G38" t="n">
        <v>7.3</v>
      </c>
      <c r="H38" t="n">
        <v>1</v>
      </c>
      <c r="I38" t="n">
        <v>0</v>
      </c>
      <c r="J38" t="n">
        <v>1</v>
      </c>
      <c r="K38" t="n">
        <v>1</v>
      </c>
      <c r="L38" t="n">
        <v>0</v>
      </c>
      <c r="M38" t="n">
        <v>0</v>
      </c>
      <c r="N38" t="n">
        <v>0</v>
      </c>
      <c r="O38" t="n">
        <v>2</v>
      </c>
      <c r="P38" t="n">
        <v>1</v>
      </c>
      <c r="Q38" t="n">
        <v>2</v>
      </c>
      <c r="R38" s="2" t="inlineStr">
        <is>
          <t>Knärot
Vedtrappmossa</t>
        </is>
      </c>
      <c r="S38">
        <f>HYPERLINK("https://klasma.github.io/Logging_1981/artfynd/A 63584-2025 artfynd.xlsx", "A 63584-2025")</f>
        <v/>
      </c>
      <c r="T38">
        <f>HYPERLINK("https://klasma.github.io/Logging_1981/kartor/A 63584-2025 karta.png", "A 63584-2025")</f>
        <v/>
      </c>
      <c r="U38">
        <f>HYPERLINK("https://klasma.github.io/Logging_1981/knärot/A 63584-2025 karta knärot.png", "A 63584-2025")</f>
        <v/>
      </c>
      <c r="V38">
        <f>HYPERLINK("https://klasma.github.io/Logging_1981/klagomål/A 63584-2025 FSC-klagomål.docx", "A 63584-2025")</f>
        <v/>
      </c>
      <c r="W38">
        <f>HYPERLINK("https://klasma.github.io/Logging_1981/klagomålsmail/A 63584-2025 FSC-klagomål mail.docx", "A 63584-2025")</f>
        <v/>
      </c>
      <c r="X38">
        <f>HYPERLINK("https://klasma.github.io/Logging_1981/tillsyn/A 63584-2025 tillsynsbegäran.docx", "A 63584-2025")</f>
        <v/>
      </c>
      <c r="Y38">
        <f>HYPERLINK("https://klasma.github.io/Logging_1981/tillsynsmail/A 63584-2025 tillsynsbegäran mail.docx", "A 63584-2025")</f>
        <v/>
      </c>
    </row>
    <row r="39" ht="15" customHeight="1">
      <c r="A39" t="inlineStr">
        <is>
          <t>A 44970-2021</t>
        </is>
      </c>
      <c r="B39" s="1" t="n">
        <v>44438.74399305556</v>
      </c>
      <c r="C39" s="1" t="n">
        <v>46077</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46077</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46077</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7731-2023</t>
        </is>
      </c>
      <c r="B42" s="1" t="n">
        <v>44973</v>
      </c>
      <c r="C42" s="1" t="n">
        <v>46077</v>
      </c>
      <c r="D42" t="inlineStr">
        <is>
          <t>VÄSTMANLANDS LÄN</t>
        </is>
      </c>
      <c r="E42" t="inlineStr">
        <is>
          <t>SALA</t>
        </is>
      </c>
      <c r="F42" t="inlineStr">
        <is>
          <t>Bergvik skog öst AB</t>
        </is>
      </c>
      <c r="G42" t="n">
        <v>1.7</v>
      </c>
      <c r="H42" t="n">
        <v>1</v>
      </c>
      <c r="I42" t="n">
        <v>0</v>
      </c>
      <c r="J42" t="n">
        <v>1</v>
      </c>
      <c r="K42" t="n">
        <v>0</v>
      </c>
      <c r="L42" t="n">
        <v>0</v>
      </c>
      <c r="M42" t="n">
        <v>0</v>
      </c>
      <c r="N42" t="n">
        <v>0</v>
      </c>
      <c r="O42" t="n">
        <v>1</v>
      </c>
      <c r="P42" t="n">
        <v>0</v>
      </c>
      <c r="Q42" t="n">
        <v>1</v>
      </c>
      <c r="R42" s="2" t="inlineStr">
        <is>
          <t>Ävjepilört</t>
        </is>
      </c>
      <c r="S42">
        <f>HYPERLINK("https://klasma.github.io/Logging_1981/artfynd/A 7731-2023 artfynd.xlsx", "A 7731-2023")</f>
        <v/>
      </c>
      <c r="T42">
        <f>HYPERLINK("https://klasma.github.io/Logging_1981/kartor/A 7731-2023 karta.png", "A 7731-2023")</f>
        <v/>
      </c>
      <c r="V42">
        <f>HYPERLINK("https://klasma.github.io/Logging_1981/klagomål/A 7731-2023 FSC-klagomål.docx", "A 7731-2023")</f>
        <v/>
      </c>
      <c r="W42">
        <f>HYPERLINK("https://klasma.github.io/Logging_1981/klagomålsmail/A 7731-2023 FSC-klagomål mail.docx", "A 7731-2023")</f>
        <v/>
      </c>
      <c r="X42">
        <f>HYPERLINK("https://klasma.github.io/Logging_1981/tillsyn/A 7731-2023 tillsynsbegäran.docx", "A 7731-2023")</f>
        <v/>
      </c>
      <c r="Y42">
        <f>HYPERLINK("https://klasma.github.io/Logging_1981/tillsynsmail/A 7731-2023 tillsynsbegäran mail.docx", "A 7731-2023")</f>
        <v/>
      </c>
    </row>
    <row r="43" ht="15" customHeight="1">
      <c r="A43" t="inlineStr">
        <is>
          <t>A 56704-2022</t>
        </is>
      </c>
      <c r="B43" s="1" t="n">
        <v>44893.78075231481</v>
      </c>
      <c r="C43" s="1" t="n">
        <v>46077</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12509-2023</t>
        </is>
      </c>
      <c r="B44" s="1" t="n">
        <v>44999.95988425926</v>
      </c>
      <c r="C44" s="1" t="n">
        <v>46077</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41270-2024</t>
        </is>
      </c>
      <c r="B45" s="1" t="n">
        <v>45559</v>
      </c>
      <c r="C45" s="1" t="n">
        <v>46077</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14775-2023</t>
        </is>
      </c>
      <c r="B46" s="1" t="n">
        <v>45014</v>
      </c>
      <c r="C46" s="1" t="n">
        <v>46077</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19361-2025</t>
        </is>
      </c>
      <c r="B47" s="1" t="n">
        <v>45769.63357638889</v>
      </c>
      <c r="C47" s="1" t="n">
        <v>46077</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41570-2021</t>
        </is>
      </c>
      <c r="B48" s="1" t="n">
        <v>44425</v>
      </c>
      <c r="C48" s="1" t="n">
        <v>46077</v>
      </c>
      <c r="D48" t="inlineStr">
        <is>
          <t>VÄSTMANLANDS LÄN</t>
        </is>
      </c>
      <c r="E48" t="inlineStr">
        <is>
          <t>SALA</t>
        </is>
      </c>
      <c r="G48" t="n">
        <v>1.4</v>
      </c>
      <c r="H48" t="n">
        <v>0</v>
      </c>
      <c r="I48" t="n">
        <v>0</v>
      </c>
      <c r="J48" t="n">
        <v>1</v>
      </c>
      <c r="K48" t="n">
        <v>0</v>
      </c>
      <c r="L48" t="n">
        <v>0</v>
      </c>
      <c r="M48" t="n">
        <v>0</v>
      </c>
      <c r="N48" t="n">
        <v>0</v>
      </c>
      <c r="O48" t="n">
        <v>1</v>
      </c>
      <c r="P48" t="n">
        <v>0</v>
      </c>
      <c r="Q48" t="n">
        <v>1</v>
      </c>
      <c r="R48" s="2" t="inlineStr">
        <is>
          <t>Vedtrappmossa</t>
        </is>
      </c>
      <c r="S48">
        <f>HYPERLINK("https://klasma.github.io/Logging_1981/artfynd/A 41570-2021 artfynd.xlsx", "A 41570-2021")</f>
        <v/>
      </c>
      <c r="T48">
        <f>HYPERLINK("https://klasma.github.io/Logging_1981/kartor/A 41570-2021 karta.png", "A 41570-2021")</f>
        <v/>
      </c>
      <c r="V48">
        <f>HYPERLINK("https://klasma.github.io/Logging_1981/klagomål/A 41570-2021 FSC-klagomål.docx", "A 41570-2021")</f>
        <v/>
      </c>
      <c r="W48">
        <f>HYPERLINK("https://klasma.github.io/Logging_1981/klagomålsmail/A 41570-2021 FSC-klagomål mail.docx", "A 41570-2021")</f>
        <v/>
      </c>
      <c r="X48">
        <f>HYPERLINK("https://klasma.github.io/Logging_1981/tillsyn/A 41570-2021 tillsynsbegäran.docx", "A 41570-2021")</f>
        <v/>
      </c>
      <c r="Y48">
        <f>HYPERLINK("https://klasma.github.io/Logging_1981/tillsynsmail/A 41570-2021 tillsynsbegäran mail.docx", "A 41570-2021")</f>
        <v/>
      </c>
    </row>
    <row r="49" ht="15" customHeight="1">
      <c r="A49" t="inlineStr">
        <is>
          <t>A 43068-2024</t>
        </is>
      </c>
      <c r="B49" s="1" t="n">
        <v>45567</v>
      </c>
      <c r="C49" s="1" t="n">
        <v>46077</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37166-2024</t>
        </is>
      </c>
      <c r="B50" s="1" t="n">
        <v>45539</v>
      </c>
      <c r="C50" s="1" t="n">
        <v>46077</v>
      </c>
      <c r="D50" t="inlineStr">
        <is>
          <t>VÄSTMANLANDS LÄN</t>
        </is>
      </c>
      <c r="E50" t="inlineStr">
        <is>
          <t>SALA</t>
        </is>
      </c>
      <c r="G50" t="n">
        <v>1.3</v>
      </c>
      <c r="H50" t="n">
        <v>1</v>
      </c>
      <c r="I50" t="n">
        <v>0</v>
      </c>
      <c r="J50" t="n">
        <v>0</v>
      </c>
      <c r="K50" t="n">
        <v>1</v>
      </c>
      <c r="L50" t="n">
        <v>0</v>
      </c>
      <c r="M50" t="n">
        <v>0</v>
      </c>
      <c r="N50" t="n">
        <v>0</v>
      </c>
      <c r="O50" t="n">
        <v>1</v>
      </c>
      <c r="P50" t="n">
        <v>1</v>
      </c>
      <c r="Q50" t="n">
        <v>1</v>
      </c>
      <c r="R50" s="2" t="inlineStr">
        <is>
          <t>Knärot</t>
        </is>
      </c>
      <c r="S50">
        <f>HYPERLINK("https://klasma.github.io/Logging_1981/artfynd/A 37166-2024 artfynd.xlsx", "A 37166-2024")</f>
        <v/>
      </c>
      <c r="T50">
        <f>HYPERLINK("https://klasma.github.io/Logging_1981/kartor/A 37166-2024 karta.png", "A 37166-2024")</f>
        <v/>
      </c>
      <c r="U50">
        <f>HYPERLINK("https://klasma.github.io/Logging_1981/knärot/A 37166-2024 karta knärot.png", "A 37166-2024")</f>
        <v/>
      </c>
      <c r="V50">
        <f>HYPERLINK("https://klasma.github.io/Logging_1981/klagomål/A 37166-2024 FSC-klagomål.docx", "A 37166-2024")</f>
        <v/>
      </c>
      <c r="W50">
        <f>HYPERLINK("https://klasma.github.io/Logging_1981/klagomålsmail/A 37166-2024 FSC-klagomål mail.docx", "A 37166-2024")</f>
        <v/>
      </c>
      <c r="X50">
        <f>HYPERLINK("https://klasma.github.io/Logging_1981/tillsyn/A 37166-2024 tillsynsbegäran.docx", "A 37166-2024")</f>
        <v/>
      </c>
      <c r="Y50">
        <f>HYPERLINK("https://klasma.github.io/Logging_1981/tillsynsmail/A 37166-2024 tillsynsbegäran mail.docx", "A 37166-2024")</f>
        <v/>
      </c>
    </row>
    <row r="51" ht="15" customHeight="1">
      <c r="A51" t="inlineStr">
        <is>
          <t>A 38255-2025</t>
        </is>
      </c>
      <c r="B51" s="1" t="n">
        <v>45883.38020833334</v>
      </c>
      <c r="C51" s="1" t="n">
        <v>46077</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29985-2022</t>
        </is>
      </c>
      <c r="B52" s="1" t="n">
        <v>44756</v>
      </c>
      <c r="C52" s="1" t="n">
        <v>46077</v>
      </c>
      <c r="D52" t="inlineStr">
        <is>
          <t>VÄSTMANLANDS LÄN</t>
        </is>
      </c>
      <c r="E52" t="inlineStr">
        <is>
          <t>SALA</t>
        </is>
      </c>
      <c r="F52" t="inlineStr">
        <is>
          <t>Kommuner</t>
        </is>
      </c>
      <c r="G52" t="n">
        <v>1</v>
      </c>
      <c r="H52" t="n">
        <v>1</v>
      </c>
      <c r="I52" t="n">
        <v>1</v>
      </c>
      <c r="J52" t="n">
        <v>0</v>
      </c>
      <c r="K52" t="n">
        <v>0</v>
      </c>
      <c r="L52" t="n">
        <v>0</v>
      </c>
      <c r="M52" t="n">
        <v>0</v>
      </c>
      <c r="N52" t="n">
        <v>0</v>
      </c>
      <c r="O52" t="n">
        <v>0</v>
      </c>
      <c r="P52" t="n">
        <v>0</v>
      </c>
      <c r="Q52" t="n">
        <v>1</v>
      </c>
      <c r="R52" s="2" t="inlineStr">
        <is>
          <t>Skogsknipprot</t>
        </is>
      </c>
      <c r="S52">
        <f>HYPERLINK("https://klasma.github.io/Logging_1981/artfynd/A 29985-2022 artfynd.xlsx", "A 29985-2022")</f>
        <v/>
      </c>
      <c r="T52">
        <f>HYPERLINK("https://klasma.github.io/Logging_1981/kartor/A 29985-2022 karta.png", "A 29985-2022")</f>
        <v/>
      </c>
      <c r="V52">
        <f>HYPERLINK("https://klasma.github.io/Logging_1981/klagomål/A 29985-2022 FSC-klagomål.docx", "A 29985-2022")</f>
        <v/>
      </c>
      <c r="W52">
        <f>HYPERLINK("https://klasma.github.io/Logging_1981/klagomålsmail/A 29985-2022 FSC-klagomål mail.docx", "A 29985-2022")</f>
        <v/>
      </c>
      <c r="X52">
        <f>HYPERLINK("https://klasma.github.io/Logging_1981/tillsyn/A 29985-2022 tillsynsbegäran.docx", "A 29985-2022")</f>
        <v/>
      </c>
      <c r="Y52">
        <f>HYPERLINK("https://klasma.github.io/Logging_1981/tillsynsmail/A 29985-2022 tillsynsbegäran mail.docx", "A 29985-2022")</f>
        <v/>
      </c>
    </row>
    <row r="53" ht="15" customHeight="1">
      <c r="A53" t="inlineStr">
        <is>
          <t>A 7919-2022</t>
        </is>
      </c>
      <c r="B53" s="1" t="n">
        <v>44608</v>
      </c>
      <c r="C53" s="1" t="n">
        <v>46077</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60852-2024</t>
        </is>
      </c>
      <c r="B54" s="1" t="n">
        <v>45644</v>
      </c>
      <c r="C54" s="1" t="n">
        <v>46077</v>
      </c>
      <c r="D54" t="inlineStr">
        <is>
          <t>VÄSTMANLANDS LÄN</t>
        </is>
      </c>
      <c r="E54" t="inlineStr">
        <is>
          <t>SALA</t>
        </is>
      </c>
      <c r="G54" t="n">
        <v>7.6</v>
      </c>
      <c r="H54" t="n">
        <v>1</v>
      </c>
      <c r="I54" t="n">
        <v>0</v>
      </c>
      <c r="J54" t="n">
        <v>0</v>
      </c>
      <c r="K54" t="n">
        <v>0</v>
      </c>
      <c r="L54" t="n">
        <v>0</v>
      </c>
      <c r="M54" t="n">
        <v>0</v>
      </c>
      <c r="N54" t="n">
        <v>0</v>
      </c>
      <c r="O54" t="n">
        <v>0</v>
      </c>
      <c r="P54" t="n">
        <v>0</v>
      </c>
      <c r="Q54" t="n">
        <v>1</v>
      </c>
      <c r="R54" s="2" t="inlineStr">
        <is>
          <t>Blåsippa</t>
        </is>
      </c>
      <c r="S54">
        <f>HYPERLINK("https://klasma.github.io/Logging_1981/artfynd/A 60852-2024 artfynd.xlsx", "A 60852-2024")</f>
        <v/>
      </c>
      <c r="T54">
        <f>HYPERLINK("https://klasma.github.io/Logging_1981/kartor/A 60852-2024 karta.png", "A 60852-2024")</f>
        <v/>
      </c>
      <c r="V54">
        <f>HYPERLINK("https://klasma.github.io/Logging_1981/klagomål/A 60852-2024 FSC-klagomål.docx", "A 60852-2024")</f>
        <v/>
      </c>
      <c r="W54">
        <f>HYPERLINK("https://klasma.github.io/Logging_1981/klagomålsmail/A 60852-2024 FSC-klagomål mail.docx", "A 60852-2024")</f>
        <v/>
      </c>
      <c r="X54">
        <f>HYPERLINK("https://klasma.github.io/Logging_1981/tillsyn/A 60852-2024 tillsynsbegäran.docx", "A 60852-2024")</f>
        <v/>
      </c>
      <c r="Y54">
        <f>HYPERLINK("https://klasma.github.io/Logging_1981/tillsynsmail/A 60852-2024 tillsynsbegäran mail.docx", "A 60852-2024")</f>
        <v/>
      </c>
    </row>
    <row r="55" ht="15" customHeight="1">
      <c r="A55" t="inlineStr">
        <is>
          <t>A 43175-2023</t>
        </is>
      </c>
      <c r="B55" s="1" t="n">
        <v>45183</v>
      </c>
      <c r="C55" s="1" t="n">
        <v>46077</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29727-2023</t>
        </is>
      </c>
      <c r="B56" s="1" t="n">
        <v>45107</v>
      </c>
      <c r="C56" s="1" t="n">
        <v>46077</v>
      </c>
      <c r="D56" t="inlineStr">
        <is>
          <t>VÄSTMANLANDS LÄN</t>
        </is>
      </c>
      <c r="E56" t="inlineStr">
        <is>
          <t>SALA</t>
        </is>
      </c>
      <c r="G56" t="n">
        <v>1.9</v>
      </c>
      <c r="H56" t="n">
        <v>0</v>
      </c>
      <c r="I56" t="n">
        <v>0</v>
      </c>
      <c r="J56" t="n">
        <v>1</v>
      </c>
      <c r="K56" t="n">
        <v>0</v>
      </c>
      <c r="L56" t="n">
        <v>0</v>
      </c>
      <c r="M56" t="n">
        <v>0</v>
      </c>
      <c r="N56" t="n">
        <v>0</v>
      </c>
      <c r="O56" t="n">
        <v>1</v>
      </c>
      <c r="P56" t="n">
        <v>0</v>
      </c>
      <c r="Q56" t="n">
        <v>1</v>
      </c>
      <c r="R56" s="2" t="inlineStr">
        <is>
          <t>Vedtrappmossa</t>
        </is>
      </c>
      <c r="S56">
        <f>HYPERLINK("https://klasma.github.io/Logging_1981/artfynd/A 29727-2023 artfynd.xlsx", "A 29727-2023")</f>
        <v/>
      </c>
      <c r="T56">
        <f>HYPERLINK("https://klasma.github.io/Logging_1981/kartor/A 29727-2023 karta.png", "A 29727-2023")</f>
        <v/>
      </c>
      <c r="V56">
        <f>HYPERLINK("https://klasma.github.io/Logging_1981/klagomål/A 29727-2023 FSC-klagomål.docx", "A 29727-2023")</f>
        <v/>
      </c>
      <c r="W56">
        <f>HYPERLINK("https://klasma.github.io/Logging_1981/klagomålsmail/A 29727-2023 FSC-klagomål mail.docx", "A 29727-2023")</f>
        <v/>
      </c>
      <c r="X56">
        <f>HYPERLINK("https://klasma.github.io/Logging_1981/tillsyn/A 29727-2023 tillsynsbegäran.docx", "A 29727-2023")</f>
        <v/>
      </c>
      <c r="Y56">
        <f>HYPERLINK("https://klasma.github.io/Logging_1981/tillsynsmail/A 29727-2023 tillsynsbegäran mail.docx", "A 29727-2023")</f>
        <v/>
      </c>
    </row>
    <row r="57" ht="15" customHeight="1">
      <c r="A57" t="inlineStr">
        <is>
          <t>A 48705-2025</t>
        </is>
      </c>
      <c r="B57" s="1" t="n">
        <v>45936.62290509259</v>
      </c>
      <c r="C57" s="1" t="n">
        <v>46077</v>
      </c>
      <c r="D57" t="inlineStr">
        <is>
          <t>VÄSTMANLANDS LÄN</t>
        </is>
      </c>
      <c r="E57" t="inlineStr">
        <is>
          <t>SALA</t>
        </is>
      </c>
      <c r="G57" t="n">
        <v>4.4</v>
      </c>
      <c r="H57" t="n">
        <v>1</v>
      </c>
      <c r="I57" t="n">
        <v>1</v>
      </c>
      <c r="J57" t="n">
        <v>0</v>
      </c>
      <c r="K57" t="n">
        <v>0</v>
      </c>
      <c r="L57" t="n">
        <v>0</v>
      </c>
      <c r="M57" t="n">
        <v>0</v>
      </c>
      <c r="N57" t="n">
        <v>0</v>
      </c>
      <c r="O57" t="n">
        <v>0</v>
      </c>
      <c r="P57" t="n">
        <v>0</v>
      </c>
      <c r="Q57" t="n">
        <v>1</v>
      </c>
      <c r="R57" s="2" t="inlineStr">
        <is>
          <t>Plattlummer</t>
        </is>
      </c>
      <c r="S57">
        <f>HYPERLINK("https://klasma.github.io/Logging_1981/artfynd/A 48705-2025 artfynd.xlsx", "A 48705-2025")</f>
        <v/>
      </c>
      <c r="T57">
        <f>HYPERLINK("https://klasma.github.io/Logging_1981/kartor/A 48705-2025 karta.png", "A 48705-2025")</f>
        <v/>
      </c>
      <c r="V57">
        <f>HYPERLINK("https://klasma.github.io/Logging_1981/klagomål/A 48705-2025 FSC-klagomål.docx", "A 48705-2025")</f>
        <v/>
      </c>
      <c r="W57">
        <f>HYPERLINK("https://klasma.github.io/Logging_1981/klagomålsmail/A 48705-2025 FSC-klagomål mail.docx", "A 48705-2025")</f>
        <v/>
      </c>
      <c r="X57">
        <f>HYPERLINK("https://klasma.github.io/Logging_1981/tillsyn/A 48705-2025 tillsynsbegäran.docx", "A 48705-2025")</f>
        <v/>
      </c>
      <c r="Y57">
        <f>HYPERLINK("https://klasma.github.io/Logging_1981/tillsynsmail/A 48705-2025 tillsynsbegäran mail.docx", "A 48705-2025")</f>
        <v/>
      </c>
    </row>
    <row r="58" ht="15" customHeight="1">
      <c r="A58" t="inlineStr">
        <is>
          <t>A 50268-2025</t>
        </is>
      </c>
      <c r="B58" s="1" t="n">
        <v>45944.35162037037</v>
      </c>
      <c r="C58" s="1" t="n">
        <v>46077</v>
      </c>
      <c r="D58" t="inlineStr">
        <is>
          <t>VÄSTMANLANDS LÄN</t>
        </is>
      </c>
      <c r="E58" t="inlineStr">
        <is>
          <t>SALA</t>
        </is>
      </c>
      <c r="G58" t="n">
        <v>0.7</v>
      </c>
      <c r="H58" t="n">
        <v>1</v>
      </c>
      <c r="I58" t="n">
        <v>0</v>
      </c>
      <c r="J58" t="n">
        <v>0</v>
      </c>
      <c r="K58" t="n">
        <v>0</v>
      </c>
      <c r="L58" t="n">
        <v>0</v>
      </c>
      <c r="M58" t="n">
        <v>0</v>
      </c>
      <c r="N58" t="n">
        <v>0</v>
      </c>
      <c r="O58" t="n">
        <v>0</v>
      </c>
      <c r="P58" t="n">
        <v>0</v>
      </c>
      <c r="Q58" t="n">
        <v>1</v>
      </c>
      <c r="R58" s="2" t="inlineStr">
        <is>
          <t>Fläcknycklar</t>
        </is>
      </c>
      <c r="S58">
        <f>HYPERLINK("https://klasma.github.io/Logging_1981/artfynd/A 50268-2025 artfynd.xlsx", "A 50268-2025")</f>
        <v/>
      </c>
      <c r="T58">
        <f>HYPERLINK("https://klasma.github.io/Logging_1981/kartor/A 50268-2025 karta.png", "A 50268-2025")</f>
        <v/>
      </c>
      <c r="V58">
        <f>HYPERLINK("https://klasma.github.io/Logging_1981/klagomål/A 50268-2025 FSC-klagomål.docx", "A 50268-2025")</f>
        <v/>
      </c>
      <c r="W58">
        <f>HYPERLINK("https://klasma.github.io/Logging_1981/klagomålsmail/A 50268-2025 FSC-klagomål mail.docx", "A 50268-2025")</f>
        <v/>
      </c>
      <c r="X58">
        <f>HYPERLINK("https://klasma.github.io/Logging_1981/tillsyn/A 50268-2025 tillsynsbegäran.docx", "A 50268-2025")</f>
        <v/>
      </c>
      <c r="Y58">
        <f>HYPERLINK("https://klasma.github.io/Logging_1981/tillsynsmail/A 50268-2025 tillsynsbegäran mail.docx", "A 50268-2025")</f>
        <v/>
      </c>
    </row>
    <row r="59" ht="15" customHeight="1">
      <c r="A59" t="inlineStr">
        <is>
          <t>A 53052-2025</t>
        </is>
      </c>
      <c r="B59" s="1" t="n">
        <v>45958.36266203703</v>
      </c>
      <c r="C59" s="1" t="n">
        <v>46077</v>
      </c>
      <c r="D59" t="inlineStr">
        <is>
          <t>VÄSTMANLANDS LÄN</t>
        </is>
      </c>
      <c r="E59" t="inlineStr">
        <is>
          <t>SALA</t>
        </is>
      </c>
      <c r="F59" t="inlineStr">
        <is>
          <t>Sveaskog</t>
        </is>
      </c>
      <c r="G59" t="n">
        <v>1.1</v>
      </c>
      <c r="H59" t="n">
        <v>0</v>
      </c>
      <c r="I59" t="n">
        <v>0</v>
      </c>
      <c r="J59" t="n">
        <v>1</v>
      </c>
      <c r="K59" t="n">
        <v>0</v>
      </c>
      <c r="L59" t="n">
        <v>0</v>
      </c>
      <c r="M59" t="n">
        <v>0</v>
      </c>
      <c r="N59" t="n">
        <v>0</v>
      </c>
      <c r="O59" t="n">
        <v>1</v>
      </c>
      <c r="P59" t="n">
        <v>0</v>
      </c>
      <c r="Q59" t="n">
        <v>1</v>
      </c>
      <c r="R59" s="2" t="inlineStr">
        <is>
          <t>Motaggsvamp</t>
        </is>
      </c>
      <c r="S59">
        <f>HYPERLINK("https://klasma.github.io/Logging_1981/artfynd/A 53052-2025 artfynd.xlsx", "A 53052-2025")</f>
        <v/>
      </c>
      <c r="T59">
        <f>HYPERLINK("https://klasma.github.io/Logging_1981/kartor/A 53052-2025 karta.png", "A 53052-2025")</f>
        <v/>
      </c>
      <c r="V59">
        <f>HYPERLINK("https://klasma.github.io/Logging_1981/klagomål/A 53052-2025 FSC-klagomål.docx", "A 53052-2025")</f>
        <v/>
      </c>
      <c r="W59">
        <f>HYPERLINK("https://klasma.github.io/Logging_1981/klagomålsmail/A 53052-2025 FSC-klagomål mail.docx", "A 53052-2025")</f>
        <v/>
      </c>
      <c r="X59">
        <f>HYPERLINK("https://klasma.github.io/Logging_1981/tillsyn/A 53052-2025 tillsynsbegäran.docx", "A 53052-2025")</f>
        <v/>
      </c>
      <c r="Y59">
        <f>HYPERLINK("https://klasma.github.io/Logging_1981/tillsynsmail/A 53052-2025 tillsynsbegäran mail.docx", "A 53052-2025")</f>
        <v/>
      </c>
    </row>
    <row r="60" ht="15" customHeight="1">
      <c r="A60" t="inlineStr">
        <is>
          <t>A 55995-2025</t>
        </is>
      </c>
      <c r="B60" s="1" t="n">
        <v>45973.56733796297</v>
      </c>
      <c r="C60" s="1" t="n">
        <v>46077</v>
      </c>
      <c r="D60" t="inlineStr">
        <is>
          <t>VÄSTMANLANDS LÄN</t>
        </is>
      </c>
      <c r="E60" t="inlineStr">
        <is>
          <t>SALA</t>
        </is>
      </c>
      <c r="F60" t="inlineStr">
        <is>
          <t>Sveaskog</t>
        </is>
      </c>
      <c r="G60" t="n">
        <v>4.5</v>
      </c>
      <c r="H60" t="n">
        <v>1</v>
      </c>
      <c r="I60" t="n">
        <v>0</v>
      </c>
      <c r="J60" t="n">
        <v>0</v>
      </c>
      <c r="K60" t="n">
        <v>0</v>
      </c>
      <c r="L60" t="n">
        <v>0</v>
      </c>
      <c r="M60" t="n">
        <v>0</v>
      </c>
      <c r="N60" t="n">
        <v>0</v>
      </c>
      <c r="O60" t="n">
        <v>0</v>
      </c>
      <c r="P60" t="n">
        <v>0</v>
      </c>
      <c r="Q60" t="n">
        <v>1</v>
      </c>
      <c r="R60" s="2" t="inlineStr">
        <is>
          <t>Fläcknycklar</t>
        </is>
      </c>
      <c r="S60">
        <f>HYPERLINK("https://klasma.github.io/Logging_1981/artfynd/A 55995-2025 artfynd.xlsx", "A 55995-2025")</f>
        <v/>
      </c>
      <c r="T60">
        <f>HYPERLINK("https://klasma.github.io/Logging_1981/kartor/A 55995-2025 karta.png", "A 55995-2025")</f>
        <v/>
      </c>
      <c r="V60">
        <f>HYPERLINK("https://klasma.github.io/Logging_1981/klagomål/A 55995-2025 FSC-klagomål.docx", "A 55995-2025")</f>
        <v/>
      </c>
      <c r="W60">
        <f>HYPERLINK("https://klasma.github.io/Logging_1981/klagomålsmail/A 55995-2025 FSC-klagomål mail.docx", "A 55995-2025")</f>
        <v/>
      </c>
      <c r="X60">
        <f>HYPERLINK("https://klasma.github.io/Logging_1981/tillsyn/A 55995-2025 tillsynsbegäran.docx", "A 55995-2025")</f>
        <v/>
      </c>
      <c r="Y60">
        <f>HYPERLINK("https://klasma.github.io/Logging_1981/tillsynsmail/A 55995-2025 tillsynsbegäran mail.docx", "A 55995-2025")</f>
        <v/>
      </c>
    </row>
    <row r="61" ht="15" customHeight="1">
      <c r="A61" t="inlineStr">
        <is>
          <t>A 55550-2023</t>
        </is>
      </c>
      <c r="B61" s="1" t="n">
        <v>45232</v>
      </c>
      <c r="C61" s="1" t="n">
        <v>46077</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46077</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46077</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7672-2026</t>
        </is>
      </c>
      <c r="B64" s="1" t="n">
        <v>46062.42077546296</v>
      </c>
      <c r="C64" s="1" t="n">
        <v>46077</v>
      </c>
      <c r="D64" t="inlineStr">
        <is>
          <t>VÄSTMANLANDS LÄN</t>
        </is>
      </c>
      <c r="E64" t="inlineStr">
        <is>
          <t>SALA</t>
        </is>
      </c>
      <c r="G64" t="n">
        <v>2.9</v>
      </c>
      <c r="H64" t="n">
        <v>1</v>
      </c>
      <c r="I64" t="n">
        <v>0</v>
      </c>
      <c r="J64" t="n">
        <v>0</v>
      </c>
      <c r="K64" t="n">
        <v>0</v>
      </c>
      <c r="L64" t="n">
        <v>0</v>
      </c>
      <c r="M64" t="n">
        <v>0</v>
      </c>
      <c r="N64" t="n">
        <v>0</v>
      </c>
      <c r="O64" t="n">
        <v>0</v>
      </c>
      <c r="P64" t="n">
        <v>0</v>
      </c>
      <c r="Q64" t="n">
        <v>1</v>
      </c>
      <c r="R64" s="2" t="inlineStr">
        <is>
          <t>Nattviol</t>
        </is>
      </c>
      <c r="S64">
        <f>HYPERLINK("https://klasma.github.io/Logging_1981/artfynd/A 7672-2026 artfynd.xlsx", "A 7672-2026")</f>
        <v/>
      </c>
      <c r="T64">
        <f>HYPERLINK("https://klasma.github.io/Logging_1981/kartor/A 7672-2026 karta.png", "A 7672-2026")</f>
        <v/>
      </c>
      <c r="V64">
        <f>HYPERLINK("https://klasma.github.io/Logging_1981/klagomål/A 7672-2026 FSC-klagomål.docx", "A 7672-2026")</f>
        <v/>
      </c>
      <c r="W64">
        <f>HYPERLINK("https://klasma.github.io/Logging_1981/klagomålsmail/A 7672-2026 FSC-klagomål mail.docx", "A 7672-2026")</f>
        <v/>
      </c>
      <c r="X64">
        <f>HYPERLINK("https://klasma.github.io/Logging_1981/tillsyn/A 7672-2026 tillsynsbegäran.docx", "A 7672-2026")</f>
        <v/>
      </c>
      <c r="Y64">
        <f>HYPERLINK("https://klasma.github.io/Logging_1981/tillsynsmail/A 7672-2026 tillsynsbegäran mail.docx", "A 7672-2026")</f>
        <v/>
      </c>
    </row>
    <row r="65" ht="15" customHeight="1">
      <c r="A65" t="inlineStr">
        <is>
          <t>A 32594-2025</t>
        </is>
      </c>
      <c r="B65" s="1" t="n">
        <v>45838</v>
      </c>
      <c r="C65" s="1" t="n">
        <v>46077</v>
      </c>
      <c r="D65" t="inlineStr">
        <is>
          <t>VÄSTMANLANDS LÄN</t>
        </is>
      </c>
      <c r="E65" t="inlineStr">
        <is>
          <t>SALA</t>
        </is>
      </c>
      <c r="F65" t="inlineStr">
        <is>
          <t>Bergvik skog öst AB</t>
        </is>
      </c>
      <c r="G65" t="n">
        <v>0.9</v>
      </c>
      <c r="H65" t="n">
        <v>1</v>
      </c>
      <c r="I65" t="n">
        <v>0</v>
      </c>
      <c r="J65" t="n">
        <v>0</v>
      </c>
      <c r="K65" t="n">
        <v>0</v>
      </c>
      <c r="L65" t="n">
        <v>0</v>
      </c>
      <c r="M65" t="n">
        <v>0</v>
      </c>
      <c r="N65" t="n">
        <v>0</v>
      </c>
      <c r="O65" t="n">
        <v>0</v>
      </c>
      <c r="P65" t="n">
        <v>0</v>
      </c>
      <c r="Q65" t="n">
        <v>1</v>
      </c>
      <c r="R65" s="2" t="inlineStr">
        <is>
          <t>Blåsippa</t>
        </is>
      </c>
      <c r="S65">
        <f>HYPERLINK("https://klasma.github.io/Logging_1981/artfynd/A 32594-2025 artfynd.xlsx", "A 32594-2025")</f>
        <v/>
      </c>
      <c r="T65">
        <f>HYPERLINK("https://klasma.github.io/Logging_1981/kartor/A 32594-2025 karta.png", "A 32594-2025")</f>
        <v/>
      </c>
      <c r="V65">
        <f>HYPERLINK("https://klasma.github.io/Logging_1981/klagomål/A 32594-2025 FSC-klagomål.docx", "A 32594-2025")</f>
        <v/>
      </c>
      <c r="W65">
        <f>HYPERLINK("https://klasma.github.io/Logging_1981/klagomålsmail/A 32594-2025 FSC-klagomål mail.docx", "A 32594-2025")</f>
        <v/>
      </c>
      <c r="X65">
        <f>HYPERLINK("https://klasma.github.io/Logging_1981/tillsyn/A 32594-2025 tillsynsbegäran.docx", "A 32594-2025")</f>
        <v/>
      </c>
      <c r="Y65">
        <f>HYPERLINK("https://klasma.github.io/Logging_1981/tillsynsmail/A 32594-2025 tillsynsbegäran mail.docx", "A 32594-2025")</f>
        <v/>
      </c>
    </row>
    <row r="66" ht="15" customHeight="1">
      <c r="A66" t="inlineStr">
        <is>
          <t>A 22350-2024</t>
        </is>
      </c>
      <c r="B66" s="1" t="n">
        <v>45446</v>
      </c>
      <c r="C66" s="1" t="n">
        <v>46077</v>
      </c>
      <c r="D66" t="inlineStr">
        <is>
          <t>VÄSTMANLANDS LÄN</t>
        </is>
      </c>
      <c r="E66" t="inlineStr">
        <is>
          <t>SALA</t>
        </is>
      </c>
      <c r="G66" t="n">
        <v>1.2</v>
      </c>
      <c r="H66" t="n">
        <v>1</v>
      </c>
      <c r="I66" t="n">
        <v>0</v>
      </c>
      <c r="J66" t="n">
        <v>0</v>
      </c>
      <c r="K66" t="n">
        <v>0</v>
      </c>
      <c r="L66" t="n">
        <v>0</v>
      </c>
      <c r="M66" t="n">
        <v>0</v>
      </c>
      <c r="N66" t="n">
        <v>0</v>
      </c>
      <c r="O66" t="n">
        <v>0</v>
      </c>
      <c r="P66" t="n">
        <v>0</v>
      </c>
      <c r="Q66" t="n">
        <v>1</v>
      </c>
      <c r="R66" s="2" t="inlineStr">
        <is>
          <t>Blåsippa</t>
        </is>
      </c>
      <c r="S66">
        <f>HYPERLINK("https://klasma.github.io/Logging_1981/artfynd/A 22350-2024 artfynd.xlsx", "A 22350-2024")</f>
        <v/>
      </c>
      <c r="T66">
        <f>HYPERLINK("https://klasma.github.io/Logging_1981/kartor/A 22350-2024 karta.png", "A 22350-2024")</f>
        <v/>
      </c>
      <c r="V66">
        <f>HYPERLINK("https://klasma.github.io/Logging_1981/klagomål/A 22350-2024 FSC-klagomål.docx", "A 22350-2024")</f>
        <v/>
      </c>
      <c r="W66">
        <f>HYPERLINK("https://klasma.github.io/Logging_1981/klagomålsmail/A 22350-2024 FSC-klagomål mail.docx", "A 22350-2024")</f>
        <v/>
      </c>
      <c r="X66">
        <f>HYPERLINK("https://klasma.github.io/Logging_1981/tillsyn/A 22350-2024 tillsynsbegäran.docx", "A 22350-2024")</f>
        <v/>
      </c>
      <c r="Y66">
        <f>HYPERLINK("https://klasma.github.io/Logging_1981/tillsynsmail/A 22350-2024 tillsynsbegäran mail.docx", "A 22350-2024")</f>
        <v/>
      </c>
    </row>
    <row r="67" ht="15" customHeight="1">
      <c r="A67" t="inlineStr">
        <is>
          <t>A 73124-2021</t>
        </is>
      </c>
      <c r="B67" s="1" t="n">
        <v>44550</v>
      </c>
      <c r="C67" s="1" t="n">
        <v>46077</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46077</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34110-2022</t>
        </is>
      </c>
      <c r="B69" s="1" t="n">
        <v>44791</v>
      </c>
      <c r="C69" s="1" t="n">
        <v>46077</v>
      </c>
      <c r="D69" t="inlineStr">
        <is>
          <t>VÄSTMANLANDS LÄN</t>
        </is>
      </c>
      <c r="E69" t="inlineStr">
        <is>
          <t>SALA</t>
        </is>
      </c>
      <c r="G69" t="n">
        <v>0.2</v>
      </c>
      <c r="H69" t="n">
        <v>0</v>
      </c>
      <c r="I69" t="n">
        <v>0</v>
      </c>
      <c r="J69" t="n">
        <v>0</v>
      </c>
      <c r="K69" t="n">
        <v>0</v>
      </c>
      <c r="L69" t="n">
        <v>0</v>
      </c>
      <c r="M69" t="n">
        <v>0</v>
      </c>
      <c r="N69" t="n">
        <v>0</v>
      </c>
      <c r="O69" t="n">
        <v>0</v>
      </c>
      <c r="P69" t="n">
        <v>0</v>
      </c>
      <c r="Q69" t="n">
        <v>0</v>
      </c>
      <c r="R69" s="2" t="inlineStr"/>
    </row>
    <row r="70" ht="15" customHeight="1">
      <c r="A70" t="inlineStr">
        <is>
          <t>A 66561-2021</t>
        </is>
      </c>
      <c r="B70" s="1" t="n">
        <v>44519.41648148148</v>
      </c>
      <c r="C70" s="1" t="n">
        <v>46077</v>
      </c>
      <c r="D70" t="inlineStr">
        <is>
          <t>VÄSTMANLANDS LÄN</t>
        </is>
      </c>
      <c r="E70" t="inlineStr">
        <is>
          <t>SALA</t>
        </is>
      </c>
      <c r="G70" t="n">
        <v>0.3</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46077</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46077</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46077</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46077</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33762-2021</t>
        </is>
      </c>
      <c r="B75" s="1" t="n">
        <v>44378</v>
      </c>
      <c r="C75" s="1" t="n">
        <v>46077</v>
      </c>
      <c r="D75" t="inlineStr">
        <is>
          <t>VÄSTMANLANDS LÄN</t>
        </is>
      </c>
      <c r="E75" t="inlineStr">
        <is>
          <t>SALA</t>
        </is>
      </c>
      <c r="G75" t="n">
        <v>3.4</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46077</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43103-2022</t>
        </is>
      </c>
      <c r="B77" s="1" t="n">
        <v>44833.68795138889</v>
      </c>
      <c r="C77" s="1" t="n">
        <v>46077</v>
      </c>
      <c r="D77" t="inlineStr">
        <is>
          <t>VÄSTMANLANDS LÄN</t>
        </is>
      </c>
      <c r="E77" t="inlineStr">
        <is>
          <t>SALA</t>
        </is>
      </c>
      <c r="G77" t="n">
        <v>0.6</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46077</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46077</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46077</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4281-2022</t>
        </is>
      </c>
      <c r="B81" s="1" t="n">
        <v>44588</v>
      </c>
      <c r="C81" s="1" t="n">
        <v>46077</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46077</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46077</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47701-2021</t>
        </is>
      </c>
      <c r="B84" s="1" t="n">
        <v>44448</v>
      </c>
      <c r="C84" s="1" t="n">
        <v>46077</v>
      </c>
      <c r="D84" t="inlineStr">
        <is>
          <t>VÄSTMANLANDS LÄN</t>
        </is>
      </c>
      <c r="E84" t="inlineStr">
        <is>
          <t>SALA</t>
        </is>
      </c>
      <c r="G84" t="n">
        <v>2.3</v>
      </c>
      <c r="H84" t="n">
        <v>0</v>
      </c>
      <c r="I84" t="n">
        <v>0</v>
      </c>
      <c r="J84" t="n">
        <v>0</v>
      </c>
      <c r="K84" t="n">
        <v>0</v>
      </c>
      <c r="L84" t="n">
        <v>0</v>
      </c>
      <c r="M84" t="n">
        <v>0</v>
      </c>
      <c r="N84" t="n">
        <v>0</v>
      </c>
      <c r="O84" t="n">
        <v>0</v>
      </c>
      <c r="P84" t="n">
        <v>0</v>
      </c>
      <c r="Q84" t="n">
        <v>0</v>
      </c>
      <c r="R84" s="2" t="inlineStr"/>
    </row>
    <row r="85" ht="15" customHeight="1">
      <c r="A85" t="inlineStr">
        <is>
          <t>A 18385-2021</t>
        </is>
      </c>
      <c r="B85" s="1" t="n">
        <v>44305</v>
      </c>
      <c r="C85" s="1" t="n">
        <v>46077</v>
      </c>
      <c r="D85" t="inlineStr">
        <is>
          <t>VÄSTMANLANDS LÄN</t>
        </is>
      </c>
      <c r="E85" t="inlineStr">
        <is>
          <t>SALA</t>
        </is>
      </c>
      <c r="F85" t="inlineStr">
        <is>
          <t>Kommuner</t>
        </is>
      </c>
      <c r="G85" t="n">
        <v>0.6</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46077</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46077</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10083-2022</t>
        </is>
      </c>
      <c r="B88" s="1" t="n">
        <v>44621.66173611111</v>
      </c>
      <c r="C88" s="1" t="n">
        <v>46077</v>
      </c>
      <c r="D88" t="inlineStr">
        <is>
          <t>VÄSTMANLANDS LÄN</t>
        </is>
      </c>
      <c r="E88" t="inlineStr">
        <is>
          <t>SALA</t>
        </is>
      </c>
      <c r="G88" t="n">
        <v>7.8</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46077</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73683-2021</t>
        </is>
      </c>
      <c r="B90" s="1" t="n">
        <v>44552.47971064815</v>
      </c>
      <c r="C90" s="1" t="n">
        <v>46077</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3050-2022</t>
        </is>
      </c>
      <c r="B91" s="1" t="n">
        <v>44582</v>
      </c>
      <c r="C91" s="1" t="n">
        <v>46077</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24888-2021</t>
        </is>
      </c>
      <c r="B92" s="1" t="n">
        <v>44341</v>
      </c>
      <c r="C92" s="1" t="n">
        <v>46077</v>
      </c>
      <c r="D92" t="inlineStr">
        <is>
          <t>VÄSTMANLANDS LÄN</t>
        </is>
      </c>
      <c r="E92" t="inlineStr">
        <is>
          <t>SALA</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46077</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46077</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46077</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4237-2022</t>
        </is>
      </c>
      <c r="B96" s="1" t="n">
        <v>44588.64377314815</v>
      </c>
      <c r="C96" s="1" t="n">
        <v>46077</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42976-2021</t>
        </is>
      </c>
      <c r="B97" s="1" t="n">
        <v>44431</v>
      </c>
      <c r="C97" s="1" t="n">
        <v>46077</v>
      </c>
      <c r="D97" t="inlineStr">
        <is>
          <t>VÄSTMANLANDS LÄN</t>
        </is>
      </c>
      <c r="E97" t="inlineStr">
        <is>
          <t>SALA</t>
        </is>
      </c>
      <c r="G97" t="n">
        <v>1.1</v>
      </c>
      <c r="H97" t="n">
        <v>0</v>
      </c>
      <c r="I97" t="n">
        <v>0</v>
      </c>
      <c r="J97" t="n">
        <v>0</v>
      </c>
      <c r="K97" t="n">
        <v>0</v>
      </c>
      <c r="L97" t="n">
        <v>0</v>
      </c>
      <c r="M97" t="n">
        <v>0</v>
      </c>
      <c r="N97" t="n">
        <v>0</v>
      </c>
      <c r="O97" t="n">
        <v>0</v>
      </c>
      <c r="P97" t="n">
        <v>0</v>
      </c>
      <c r="Q97" t="n">
        <v>0</v>
      </c>
      <c r="R97" s="2" t="inlineStr"/>
    </row>
    <row r="98" ht="15" customHeight="1">
      <c r="A98" t="inlineStr">
        <is>
          <t>A 40153-2021</t>
        </is>
      </c>
      <c r="B98" s="1" t="n">
        <v>44418</v>
      </c>
      <c r="C98" s="1" t="n">
        <v>46077</v>
      </c>
      <c r="D98" t="inlineStr">
        <is>
          <t>VÄSTMANLANDS LÄN</t>
        </is>
      </c>
      <c r="E98" t="inlineStr">
        <is>
          <t>SALA</t>
        </is>
      </c>
      <c r="G98" t="n">
        <v>2.8</v>
      </c>
      <c r="H98" t="n">
        <v>0</v>
      </c>
      <c r="I98" t="n">
        <v>0</v>
      </c>
      <c r="J98" t="n">
        <v>0</v>
      </c>
      <c r="K98" t="n">
        <v>0</v>
      </c>
      <c r="L98" t="n">
        <v>0</v>
      </c>
      <c r="M98" t="n">
        <v>0</v>
      </c>
      <c r="N98" t="n">
        <v>0</v>
      </c>
      <c r="O98" t="n">
        <v>0</v>
      </c>
      <c r="P98" t="n">
        <v>0</v>
      </c>
      <c r="Q98" t="n">
        <v>0</v>
      </c>
      <c r="R98" s="2" t="inlineStr"/>
    </row>
    <row r="99" ht="15" customHeight="1">
      <c r="A99" t="inlineStr">
        <is>
          <t>A 40157-2021</t>
        </is>
      </c>
      <c r="B99" s="1" t="n">
        <v>44418.65399305556</v>
      </c>
      <c r="C99" s="1" t="n">
        <v>46077</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46077</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51377-2022</t>
        </is>
      </c>
      <c r="B101" s="1" t="n">
        <v>44866</v>
      </c>
      <c r="C101" s="1" t="n">
        <v>46077</v>
      </c>
      <c r="D101" t="inlineStr">
        <is>
          <t>VÄSTMANLANDS LÄN</t>
        </is>
      </c>
      <c r="E101" t="inlineStr">
        <is>
          <t>SALA</t>
        </is>
      </c>
      <c r="G101" t="n">
        <v>6.3</v>
      </c>
      <c r="H101" t="n">
        <v>0</v>
      </c>
      <c r="I101" t="n">
        <v>0</v>
      </c>
      <c r="J101" t="n">
        <v>0</v>
      </c>
      <c r="K101" t="n">
        <v>0</v>
      </c>
      <c r="L101" t="n">
        <v>0</v>
      </c>
      <c r="M101" t="n">
        <v>0</v>
      </c>
      <c r="N101" t="n">
        <v>0</v>
      </c>
      <c r="O101" t="n">
        <v>0</v>
      </c>
      <c r="P101" t="n">
        <v>0</v>
      </c>
      <c r="Q101" t="n">
        <v>0</v>
      </c>
      <c r="R101" s="2" t="inlineStr"/>
    </row>
    <row r="102" ht="15" customHeight="1">
      <c r="A102" t="inlineStr">
        <is>
          <t>A 68355-2021</t>
        </is>
      </c>
      <c r="B102" s="1" t="n">
        <v>44528</v>
      </c>
      <c r="C102" s="1" t="n">
        <v>46077</v>
      </c>
      <c r="D102" t="inlineStr">
        <is>
          <t>VÄSTMANLANDS LÄN</t>
        </is>
      </c>
      <c r="E102" t="inlineStr">
        <is>
          <t>SALA</t>
        </is>
      </c>
      <c r="G102" t="n">
        <v>0.5</v>
      </c>
      <c r="H102" t="n">
        <v>0</v>
      </c>
      <c r="I102" t="n">
        <v>0</v>
      </c>
      <c r="J102" t="n">
        <v>0</v>
      </c>
      <c r="K102" t="n">
        <v>0</v>
      </c>
      <c r="L102" t="n">
        <v>0</v>
      </c>
      <c r="M102" t="n">
        <v>0</v>
      </c>
      <c r="N102" t="n">
        <v>0</v>
      </c>
      <c r="O102" t="n">
        <v>0</v>
      </c>
      <c r="P102" t="n">
        <v>0</v>
      </c>
      <c r="Q102" t="n">
        <v>0</v>
      </c>
      <c r="R102" s="2" t="inlineStr"/>
    </row>
    <row r="103" ht="15" customHeight="1">
      <c r="A103" t="inlineStr">
        <is>
          <t>A 19760-2022</t>
        </is>
      </c>
      <c r="B103" s="1" t="n">
        <v>44694.63438657407</v>
      </c>
      <c r="C103" s="1" t="n">
        <v>46077</v>
      </c>
      <c r="D103" t="inlineStr">
        <is>
          <t>VÄSTMANLANDS LÄN</t>
        </is>
      </c>
      <c r="E103" t="inlineStr">
        <is>
          <t>SALA</t>
        </is>
      </c>
      <c r="G103" t="n">
        <v>0.9</v>
      </c>
      <c r="H103" t="n">
        <v>0</v>
      </c>
      <c r="I103" t="n">
        <v>0</v>
      </c>
      <c r="J103" t="n">
        <v>0</v>
      </c>
      <c r="K103" t="n">
        <v>0</v>
      </c>
      <c r="L103" t="n">
        <v>0</v>
      </c>
      <c r="M103" t="n">
        <v>0</v>
      </c>
      <c r="N103" t="n">
        <v>0</v>
      </c>
      <c r="O103" t="n">
        <v>0</v>
      </c>
      <c r="P103" t="n">
        <v>0</v>
      </c>
      <c r="Q103" t="n">
        <v>0</v>
      </c>
      <c r="R103" s="2" t="inlineStr"/>
    </row>
    <row r="104" ht="15" customHeight="1">
      <c r="A104" t="inlineStr">
        <is>
          <t>A 44318-2022</t>
        </is>
      </c>
      <c r="B104" s="1" t="n">
        <v>44839.64516203704</v>
      </c>
      <c r="C104" s="1" t="n">
        <v>46077</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46077</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1043-2022</t>
        </is>
      </c>
      <c r="B106" s="1" t="n">
        <v>44571.66552083333</v>
      </c>
      <c r="C106" s="1" t="n">
        <v>46077</v>
      </c>
      <c r="D106" t="inlineStr">
        <is>
          <t>VÄSTMANLANDS LÄN</t>
        </is>
      </c>
      <c r="E106" t="inlineStr">
        <is>
          <t>SALA</t>
        </is>
      </c>
      <c r="G106" t="n">
        <v>1.1</v>
      </c>
      <c r="H106" t="n">
        <v>0</v>
      </c>
      <c r="I106" t="n">
        <v>0</v>
      </c>
      <c r="J106" t="n">
        <v>0</v>
      </c>
      <c r="K106" t="n">
        <v>0</v>
      </c>
      <c r="L106" t="n">
        <v>0</v>
      </c>
      <c r="M106" t="n">
        <v>0</v>
      </c>
      <c r="N106" t="n">
        <v>0</v>
      </c>
      <c r="O106" t="n">
        <v>0</v>
      </c>
      <c r="P106" t="n">
        <v>0</v>
      </c>
      <c r="Q106" t="n">
        <v>0</v>
      </c>
      <c r="R106" s="2" t="inlineStr"/>
    </row>
    <row r="107" ht="15" customHeight="1">
      <c r="A107" t="inlineStr">
        <is>
          <t>A 15850-2022</t>
        </is>
      </c>
      <c r="B107" s="1" t="n">
        <v>44664.43082175926</v>
      </c>
      <c r="C107" s="1" t="n">
        <v>46077</v>
      </c>
      <c r="D107" t="inlineStr">
        <is>
          <t>VÄSTMANLANDS LÄN</t>
        </is>
      </c>
      <c r="E107" t="inlineStr">
        <is>
          <t>SALA</t>
        </is>
      </c>
      <c r="G107" t="n">
        <v>1</v>
      </c>
      <c r="H107" t="n">
        <v>0</v>
      </c>
      <c r="I107" t="n">
        <v>0</v>
      </c>
      <c r="J107" t="n">
        <v>0</v>
      </c>
      <c r="K107" t="n">
        <v>0</v>
      </c>
      <c r="L107" t="n">
        <v>0</v>
      </c>
      <c r="M107" t="n">
        <v>0</v>
      </c>
      <c r="N107" t="n">
        <v>0</v>
      </c>
      <c r="O107" t="n">
        <v>0</v>
      </c>
      <c r="P107" t="n">
        <v>0</v>
      </c>
      <c r="Q107" t="n">
        <v>0</v>
      </c>
      <c r="R107" s="2" t="inlineStr"/>
    </row>
    <row r="108" ht="15" customHeight="1">
      <c r="A108" t="inlineStr">
        <is>
          <t>A 18378-2021</t>
        </is>
      </c>
      <c r="B108" s="1" t="n">
        <v>44305</v>
      </c>
      <c r="C108" s="1" t="n">
        <v>46077</v>
      </c>
      <c r="D108" t="inlineStr">
        <is>
          <t>VÄSTMANLANDS LÄN</t>
        </is>
      </c>
      <c r="E108" t="inlineStr">
        <is>
          <t>SALA</t>
        </is>
      </c>
      <c r="F108" t="inlineStr">
        <is>
          <t>Kommuner</t>
        </is>
      </c>
      <c r="G108" t="n">
        <v>0.9</v>
      </c>
      <c r="H108" t="n">
        <v>0</v>
      </c>
      <c r="I108" t="n">
        <v>0</v>
      </c>
      <c r="J108" t="n">
        <v>0</v>
      </c>
      <c r="K108" t="n">
        <v>0</v>
      </c>
      <c r="L108" t="n">
        <v>0</v>
      </c>
      <c r="M108" t="n">
        <v>0</v>
      </c>
      <c r="N108" t="n">
        <v>0</v>
      </c>
      <c r="O108" t="n">
        <v>0</v>
      </c>
      <c r="P108" t="n">
        <v>0</v>
      </c>
      <c r="Q108" t="n">
        <v>0</v>
      </c>
      <c r="R108" s="2" t="inlineStr"/>
    </row>
    <row r="109" ht="15" customHeight="1">
      <c r="A109" t="inlineStr">
        <is>
          <t>A 18189-2021</t>
        </is>
      </c>
      <c r="B109" s="1" t="n">
        <v>44302.67659722222</v>
      </c>
      <c r="C109" s="1" t="n">
        <v>46077</v>
      </c>
      <c r="D109" t="inlineStr">
        <is>
          <t>VÄSTMANLANDS LÄN</t>
        </is>
      </c>
      <c r="E109" t="inlineStr">
        <is>
          <t>SALA</t>
        </is>
      </c>
      <c r="G109" t="n">
        <v>0.7</v>
      </c>
      <c r="H109" t="n">
        <v>0</v>
      </c>
      <c r="I109" t="n">
        <v>0</v>
      </c>
      <c r="J109" t="n">
        <v>0</v>
      </c>
      <c r="K109" t="n">
        <v>0</v>
      </c>
      <c r="L109" t="n">
        <v>0</v>
      </c>
      <c r="M109" t="n">
        <v>0</v>
      </c>
      <c r="N109" t="n">
        <v>0</v>
      </c>
      <c r="O109" t="n">
        <v>0</v>
      </c>
      <c r="P109" t="n">
        <v>0</v>
      </c>
      <c r="Q109" t="n">
        <v>0</v>
      </c>
      <c r="R109" s="2" t="inlineStr"/>
    </row>
    <row r="110" ht="15" customHeight="1">
      <c r="A110" t="inlineStr">
        <is>
          <t>A 18951-2021</t>
        </is>
      </c>
      <c r="B110" s="1" t="n">
        <v>44308</v>
      </c>
      <c r="C110" s="1" t="n">
        <v>46077</v>
      </c>
      <c r="D110" t="inlineStr">
        <is>
          <t>VÄSTMANLANDS LÄN</t>
        </is>
      </c>
      <c r="E110" t="inlineStr">
        <is>
          <t>SALA</t>
        </is>
      </c>
      <c r="G110" t="n">
        <v>0.3</v>
      </c>
      <c r="H110" t="n">
        <v>0</v>
      </c>
      <c r="I110" t="n">
        <v>0</v>
      </c>
      <c r="J110" t="n">
        <v>0</v>
      </c>
      <c r="K110" t="n">
        <v>0</v>
      </c>
      <c r="L110" t="n">
        <v>0</v>
      </c>
      <c r="M110" t="n">
        <v>0</v>
      </c>
      <c r="N110" t="n">
        <v>0</v>
      </c>
      <c r="O110" t="n">
        <v>0</v>
      </c>
      <c r="P110" t="n">
        <v>0</v>
      </c>
      <c r="Q110" t="n">
        <v>0</v>
      </c>
      <c r="R110" s="2" t="inlineStr"/>
    </row>
    <row r="111" ht="15" customHeight="1">
      <c r="A111" t="inlineStr">
        <is>
          <t>A 30170-2021</t>
        </is>
      </c>
      <c r="B111" s="1" t="n">
        <v>44363</v>
      </c>
      <c r="C111" s="1" t="n">
        <v>46077</v>
      </c>
      <c r="D111" t="inlineStr">
        <is>
          <t>VÄSTMANLANDS LÄN</t>
        </is>
      </c>
      <c r="E111" t="inlineStr">
        <is>
          <t>SALA</t>
        </is>
      </c>
      <c r="G111" t="n">
        <v>7.2</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46077</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46077</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46077</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46077</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46077</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46077</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57517-2021</t>
        </is>
      </c>
      <c r="B118" s="1" t="n">
        <v>44483</v>
      </c>
      <c r="C118" s="1" t="n">
        <v>46077</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55733-2022</t>
        </is>
      </c>
      <c r="B119" s="1" t="n">
        <v>44888.58435185185</v>
      </c>
      <c r="C119" s="1" t="n">
        <v>46077</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26575-2021</t>
        </is>
      </c>
      <c r="B120" s="1" t="n">
        <v>44348</v>
      </c>
      <c r="C120" s="1" t="n">
        <v>46077</v>
      </c>
      <c r="D120" t="inlineStr">
        <is>
          <t>VÄSTMANLANDS LÄN</t>
        </is>
      </c>
      <c r="E120" t="inlineStr">
        <is>
          <t>SALA</t>
        </is>
      </c>
      <c r="G120" t="n">
        <v>2.7</v>
      </c>
      <c r="H120" t="n">
        <v>0</v>
      </c>
      <c r="I120" t="n">
        <v>0</v>
      </c>
      <c r="J120" t="n">
        <v>0</v>
      </c>
      <c r="K120" t="n">
        <v>0</v>
      </c>
      <c r="L120" t="n">
        <v>0</v>
      </c>
      <c r="M120" t="n">
        <v>0</v>
      </c>
      <c r="N120" t="n">
        <v>0</v>
      </c>
      <c r="O120" t="n">
        <v>0</v>
      </c>
      <c r="P120" t="n">
        <v>0</v>
      </c>
      <c r="Q120" t="n">
        <v>0</v>
      </c>
      <c r="R120" s="2" t="inlineStr"/>
    </row>
    <row r="121" ht="15" customHeight="1">
      <c r="A121" t="inlineStr">
        <is>
          <t>A 23757-2022</t>
        </is>
      </c>
      <c r="B121" s="1" t="n">
        <v>44722.37339120371</v>
      </c>
      <c r="C121" s="1" t="n">
        <v>46077</v>
      </c>
      <c r="D121" t="inlineStr">
        <is>
          <t>VÄSTMANLANDS LÄN</t>
        </is>
      </c>
      <c r="E121" t="inlineStr">
        <is>
          <t>SALA</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46077</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46077</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46077</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23181-2022</t>
        </is>
      </c>
      <c r="B125" s="1" t="n">
        <v>44719.79537037037</v>
      </c>
      <c r="C125" s="1" t="n">
        <v>46077</v>
      </c>
      <c r="D125" t="inlineStr">
        <is>
          <t>VÄSTMANLANDS LÄN</t>
        </is>
      </c>
      <c r="E125" t="inlineStr">
        <is>
          <t>SALA</t>
        </is>
      </c>
      <c r="G125" t="n">
        <v>0.8</v>
      </c>
      <c r="H125" t="n">
        <v>0</v>
      </c>
      <c r="I125" t="n">
        <v>0</v>
      </c>
      <c r="J125" t="n">
        <v>0</v>
      </c>
      <c r="K125" t="n">
        <v>0</v>
      </c>
      <c r="L125" t="n">
        <v>0</v>
      </c>
      <c r="M125" t="n">
        <v>0</v>
      </c>
      <c r="N125" t="n">
        <v>0</v>
      </c>
      <c r="O125" t="n">
        <v>0</v>
      </c>
      <c r="P125" t="n">
        <v>0</v>
      </c>
      <c r="Q125" t="n">
        <v>0</v>
      </c>
      <c r="R125" s="2" t="inlineStr"/>
    </row>
    <row r="126" ht="15" customHeight="1">
      <c r="A126" t="inlineStr">
        <is>
          <t>A 65860-2021</t>
        </is>
      </c>
      <c r="B126" s="1" t="n">
        <v>44517.38163194444</v>
      </c>
      <c r="C126" s="1" t="n">
        <v>46077</v>
      </c>
      <c r="D126" t="inlineStr">
        <is>
          <t>VÄSTMANLANDS LÄN</t>
        </is>
      </c>
      <c r="E126" t="inlineStr">
        <is>
          <t>SALA</t>
        </is>
      </c>
      <c r="G126" t="n">
        <v>0.9</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46077</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46077</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46077</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8130-2022</t>
        </is>
      </c>
      <c r="B130" s="1" t="n">
        <v>44609.5984837963</v>
      </c>
      <c r="C130" s="1" t="n">
        <v>46077</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46077</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46077</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49254-2022</t>
        </is>
      </c>
      <c r="B133" s="1" t="n">
        <v>44861</v>
      </c>
      <c r="C133" s="1" t="n">
        <v>46077</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46077</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46077</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19058-2022</t>
        </is>
      </c>
      <c r="B136" s="1" t="n">
        <v>44691.4336574074</v>
      </c>
      <c r="C136" s="1" t="n">
        <v>46077</v>
      </c>
      <c r="D136" t="inlineStr">
        <is>
          <t>VÄSTMANLANDS LÄN</t>
        </is>
      </c>
      <c r="E136" t="inlineStr">
        <is>
          <t>SALA</t>
        </is>
      </c>
      <c r="G136" t="n">
        <v>1.2</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46077</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9050-2022</t>
        </is>
      </c>
      <c r="B138" s="1" t="n">
        <v>44615.45451388889</v>
      </c>
      <c r="C138" s="1" t="n">
        <v>46077</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46077</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29002-2022</t>
        </is>
      </c>
      <c r="B140" s="1" t="n">
        <v>44749</v>
      </c>
      <c r="C140" s="1" t="n">
        <v>46077</v>
      </c>
      <c r="D140" t="inlineStr">
        <is>
          <t>VÄSTMANLANDS LÄN</t>
        </is>
      </c>
      <c r="E140" t="inlineStr">
        <is>
          <t>SALA</t>
        </is>
      </c>
      <c r="G140" t="n">
        <v>5.4</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46077</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65856-2021</t>
        </is>
      </c>
      <c r="B142" s="1" t="n">
        <v>44517</v>
      </c>
      <c r="C142" s="1" t="n">
        <v>46077</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46077</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73663-2021</t>
        </is>
      </c>
      <c r="B144" s="1" t="n">
        <v>44552.45675925926</v>
      </c>
      <c r="C144" s="1" t="n">
        <v>46077</v>
      </c>
      <c r="D144" t="inlineStr">
        <is>
          <t>VÄSTMANLANDS LÄN</t>
        </is>
      </c>
      <c r="E144" t="inlineStr">
        <is>
          <t>SALA</t>
        </is>
      </c>
      <c r="G144" t="n">
        <v>1</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46077</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46077</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46077</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46077</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26570-2021</t>
        </is>
      </c>
      <c r="B149" s="1" t="n">
        <v>44348</v>
      </c>
      <c r="C149" s="1" t="n">
        <v>46077</v>
      </c>
      <c r="D149" t="inlineStr">
        <is>
          <t>VÄSTMANLANDS LÄN</t>
        </is>
      </c>
      <c r="E149" t="inlineStr">
        <is>
          <t>SALA</t>
        </is>
      </c>
      <c r="G149" t="n">
        <v>2.5</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46077</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46077</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9075-2022</t>
        </is>
      </c>
      <c r="B152" s="1" t="n">
        <v>44615.47800925926</v>
      </c>
      <c r="C152" s="1" t="n">
        <v>46077</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65353-2021</t>
        </is>
      </c>
      <c r="B153" s="1" t="n">
        <v>44515</v>
      </c>
      <c r="C153" s="1" t="n">
        <v>46077</v>
      </c>
      <c r="D153" t="inlineStr">
        <is>
          <t>VÄSTMANLANDS LÄN</t>
        </is>
      </c>
      <c r="E153" t="inlineStr">
        <is>
          <t>SALA</t>
        </is>
      </c>
      <c r="G153" t="n">
        <v>1.5</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46077</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46077</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46077</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46077</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46077</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53628-2022</t>
        </is>
      </c>
      <c r="B159" s="1" t="n">
        <v>44879.87171296297</v>
      </c>
      <c r="C159" s="1" t="n">
        <v>46077</v>
      </c>
      <c r="D159" t="inlineStr">
        <is>
          <t>VÄSTMANLANDS LÄN</t>
        </is>
      </c>
      <c r="E159" t="inlineStr">
        <is>
          <t>SALA</t>
        </is>
      </c>
      <c r="G159" t="n">
        <v>2.7</v>
      </c>
      <c r="H159" t="n">
        <v>0</v>
      </c>
      <c r="I159" t="n">
        <v>0</v>
      </c>
      <c r="J159" t="n">
        <v>0</v>
      </c>
      <c r="K159" t="n">
        <v>0</v>
      </c>
      <c r="L159" t="n">
        <v>0</v>
      </c>
      <c r="M159" t="n">
        <v>0</v>
      </c>
      <c r="N159" t="n">
        <v>0</v>
      </c>
      <c r="O159" t="n">
        <v>0</v>
      </c>
      <c r="P159" t="n">
        <v>0</v>
      </c>
      <c r="Q159" t="n">
        <v>0</v>
      </c>
      <c r="R159" s="2" t="inlineStr"/>
    </row>
    <row r="160" ht="15" customHeight="1">
      <c r="A160" t="inlineStr">
        <is>
          <t>A 72405-2021</t>
        </is>
      </c>
      <c r="B160" s="1" t="n">
        <v>44545</v>
      </c>
      <c r="C160" s="1" t="n">
        <v>46077</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46077</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46077</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46077</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53630-2022</t>
        </is>
      </c>
      <c r="B164" s="1" t="n">
        <v>44879.87533564815</v>
      </c>
      <c r="C164" s="1" t="n">
        <v>46077</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40113-2022</t>
        </is>
      </c>
      <c r="B165" s="1" t="n">
        <v>44819</v>
      </c>
      <c r="C165" s="1" t="n">
        <v>46077</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23847-2022</t>
        </is>
      </c>
      <c r="B166" s="1" t="n">
        <v>44722</v>
      </c>
      <c r="C166" s="1" t="n">
        <v>46077</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46077</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46077</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46077</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72805-2021</t>
        </is>
      </c>
      <c r="B170" s="1" t="n">
        <v>44546</v>
      </c>
      <c r="C170" s="1" t="n">
        <v>46077</v>
      </c>
      <c r="D170" t="inlineStr">
        <is>
          <t>VÄSTMANLANDS LÄN</t>
        </is>
      </c>
      <c r="E170" t="inlineStr">
        <is>
          <t>SALA</t>
        </is>
      </c>
      <c r="G170" t="n">
        <v>7.8</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46077</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46077</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46077</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29233-2022</t>
        </is>
      </c>
      <c r="B174" s="1" t="n">
        <v>44750</v>
      </c>
      <c r="C174" s="1" t="n">
        <v>46077</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46077</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46077</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63933-2023</t>
        </is>
      </c>
      <c r="B177" s="1" t="n">
        <v>45278</v>
      </c>
      <c r="C177" s="1" t="n">
        <v>46077</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57000-2021</t>
        </is>
      </c>
      <c r="B178" s="1" t="n">
        <v>44482.46760416667</v>
      </c>
      <c r="C178" s="1" t="n">
        <v>46077</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56688-2024</t>
        </is>
      </c>
      <c r="B179" s="1" t="n">
        <v>45627.66478009259</v>
      </c>
      <c r="C179" s="1" t="n">
        <v>46077</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1196-2023</t>
        </is>
      </c>
      <c r="B180" s="1" t="n">
        <v>44935.82290509259</v>
      </c>
      <c r="C180" s="1" t="n">
        <v>46077</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26579-2021</t>
        </is>
      </c>
      <c r="B181" s="1" t="n">
        <v>44348</v>
      </c>
      <c r="C181" s="1" t="n">
        <v>46077</v>
      </c>
      <c r="D181" t="inlineStr">
        <is>
          <t>VÄSTMANLANDS LÄN</t>
        </is>
      </c>
      <c r="E181" t="inlineStr">
        <is>
          <t>SALA</t>
        </is>
      </c>
      <c r="G181" t="n">
        <v>1.6</v>
      </c>
      <c r="H181" t="n">
        <v>0</v>
      </c>
      <c r="I181" t="n">
        <v>0</v>
      </c>
      <c r="J181" t="n">
        <v>0</v>
      </c>
      <c r="K181" t="n">
        <v>0</v>
      </c>
      <c r="L181" t="n">
        <v>0</v>
      </c>
      <c r="M181" t="n">
        <v>0</v>
      </c>
      <c r="N181" t="n">
        <v>0</v>
      </c>
      <c r="O181" t="n">
        <v>0</v>
      </c>
      <c r="P181" t="n">
        <v>0</v>
      </c>
      <c r="Q181" t="n">
        <v>0</v>
      </c>
      <c r="R181" s="2" t="inlineStr"/>
    </row>
    <row r="182" ht="15" customHeight="1">
      <c r="A182" t="inlineStr">
        <is>
          <t>A 27261-2024</t>
        </is>
      </c>
      <c r="B182" s="1" t="n">
        <v>45471</v>
      </c>
      <c r="C182" s="1" t="n">
        <v>46077</v>
      </c>
      <c r="D182" t="inlineStr">
        <is>
          <t>VÄSTMANLANDS LÄN</t>
        </is>
      </c>
      <c r="E182" t="inlineStr">
        <is>
          <t>SALA</t>
        </is>
      </c>
      <c r="G182" t="n">
        <v>6.1</v>
      </c>
      <c r="H182" t="n">
        <v>0</v>
      </c>
      <c r="I182" t="n">
        <v>0</v>
      </c>
      <c r="J182" t="n">
        <v>0</v>
      </c>
      <c r="K182" t="n">
        <v>0</v>
      </c>
      <c r="L182" t="n">
        <v>0</v>
      </c>
      <c r="M182" t="n">
        <v>0</v>
      </c>
      <c r="N182" t="n">
        <v>0</v>
      </c>
      <c r="O182" t="n">
        <v>0</v>
      </c>
      <c r="P182" t="n">
        <v>0</v>
      </c>
      <c r="Q182" t="n">
        <v>0</v>
      </c>
      <c r="R182" s="2" t="inlineStr"/>
    </row>
    <row r="183" ht="15" customHeight="1">
      <c r="A183" t="inlineStr">
        <is>
          <t>A 18713-2025</t>
        </is>
      </c>
      <c r="B183" s="1" t="n">
        <v>45763</v>
      </c>
      <c r="C183" s="1" t="n">
        <v>46077</v>
      </c>
      <c r="D183" t="inlineStr">
        <is>
          <t>VÄSTMANLANDS LÄN</t>
        </is>
      </c>
      <c r="E183" t="inlineStr">
        <is>
          <t>SALA</t>
        </is>
      </c>
      <c r="F183" t="inlineStr">
        <is>
          <t>Bergvik skog öst AB</t>
        </is>
      </c>
      <c r="G183" t="n">
        <v>11.6</v>
      </c>
      <c r="H183" t="n">
        <v>0</v>
      </c>
      <c r="I183" t="n">
        <v>0</v>
      </c>
      <c r="J183" t="n">
        <v>0</v>
      </c>
      <c r="K183" t="n">
        <v>0</v>
      </c>
      <c r="L183" t="n">
        <v>0</v>
      </c>
      <c r="M183" t="n">
        <v>0</v>
      </c>
      <c r="N183" t="n">
        <v>0</v>
      </c>
      <c r="O183" t="n">
        <v>0</v>
      </c>
      <c r="P183" t="n">
        <v>0</v>
      </c>
      <c r="Q183" t="n">
        <v>0</v>
      </c>
      <c r="R183" s="2" t="inlineStr"/>
    </row>
    <row r="184" ht="15" customHeight="1">
      <c r="A184" t="inlineStr">
        <is>
          <t>A 54959-2024</t>
        </is>
      </c>
      <c r="B184" s="1" t="n">
        <v>45619</v>
      </c>
      <c r="C184" s="1" t="n">
        <v>46077</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27486-2022</t>
        </is>
      </c>
      <c r="B185" s="1" t="n">
        <v>44742.60846064815</v>
      </c>
      <c r="C185" s="1" t="n">
        <v>46077</v>
      </c>
      <c r="D185" t="inlineStr">
        <is>
          <t>VÄSTMANLANDS LÄN</t>
        </is>
      </c>
      <c r="E185" t="inlineStr">
        <is>
          <t>SALA</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16651-2021</t>
        </is>
      </c>
      <c r="B186" s="1" t="n">
        <v>44294.50096064815</v>
      </c>
      <c r="C186" s="1" t="n">
        <v>46077</v>
      </c>
      <c r="D186" t="inlineStr">
        <is>
          <t>VÄSTMANLANDS LÄN</t>
        </is>
      </c>
      <c r="E186" t="inlineStr">
        <is>
          <t>SALA</t>
        </is>
      </c>
      <c r="G186" t="n">
        <v>7.7</v>
      </c>
      <c r="H186" t="n">
        <v>0</v>
      </c>
      <c r="I186" t="n">
        <v>0</v>
      </c>
      <c r="J186" t="n">
        <v>0</v>
      </c>
      <c r="K186" t="n">
        <v>0</v>
      </c>
      <c r="L186" t="n">
        <v>0</v>
      </c>
      <c r="M186" t="n">
        <v>0</v>
      </c>
      <c r="N186" t="n">
        <v>0</v>
      </c>
      <c r="O186" t="n">
        <v>0</v>
      </c>
      <c r="P186" t="n">
        <v>0</v>
      </c>
      <c r="Q186" t="n">
        <v>0</v>
      </c>
      <c r="R186" s="2" t="inlineStr"/>
    </row>
    <row r="187" ht="15" customHeight="1">
      <c r="A187" t="inlineStr">
        <is>
          <t>A 64932-2021</t>
        </is>
      </c>
      <c r="B187" s="1" t="n">
        <v>44512</v>
      </c>
      <c r="C187" s="1" t="n">
        <v>46077</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6134-2024</t>
        </is>
      </c>
      <c r="B188" s="1" t="n">
        <v>45337</v>
      </c>
      <c r="C188" s="1" t="n">
        <v>46077</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15354-2021</t>
        </is>
      </c>
      <c r="B189" s="1" t="n">
        <v>44284</v>
      </c>
      <c r="C189" s="1" t="n">
        <v>46077</v>
      </c>
      <c r="D189" t="inlineStr">
        <is>
          <t>VÄSTMANLANDS LÄN</t>
        </is>
      </c>
      <c r="E189" t="inlineStr">
        <is>
          <t>SALA</t>
        </is>
      </c>
      <c r="F189" t="inlineStr">
        <is>
          <t>Kyrkan</t>
        </is>
      </c>
      <c r="G189" t="n">
        <v>8.5</v>
      </c>
      <c r="H189" t="n">
        <v>0</v>
      </c>
      <c r="I189" t="n">
        <v>0</v>
      </c>
      <c r="J189" t="n">
        <v>0</v>
      </c>
      <c r="K189" t="n">
        <v>0</v>
      </c>
      <c r="L189" t="n">
        <v>0</v>
      </c>
      <c r="M189" t="n">
        <v>0</v>
      </c>
      <c r="N189" t="n">
        <v>0</v>
      </c>
      <c r="O189" t="n">
        <v>0</v>
      </c>
      <c r="P189" t="n">
        <v>0</v>
      </c>
      <c r="Q189" t="n">
        <v>0</v>
      </c>
      <c r="R189" s="2" t="inlineStr"/>
    </row>
    <row r="190" ht="15" customHeight="1">
      <c r="A190" t="inlineStr">
        <is>
          <t>A 62651-2022</t>
        </is>
      </c>
      <c r="B190" s="1" t="n">
        <v>44917</v>
      </c>
      <c r="C190" s="1" t="n">
        <v>46077</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54836-2024</t>
        </is>
      </c>
      <c r="B191" s="1" t="n">
        <v>45618</v>
      </c>
      <c r="C191" s="1" t="n">
        <v>46077</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13987-2023</t>
        </is>
      </c>
      <c r="B192" s="1" t="n">
        <v>45007</v>
      </c>
      <c r="C192" s="1" t="n">
        <v>46077</v>
      </c>
      <c r="D192" t="inlineStr">
        <is>
          <t>VÄSTMANLANDS LÄN</t>
        </is>
      </c>
      <c r="E192" t="inlineStr">
        <is>
          <t>SALA</t>
        </is>
      </c>
      <c r="G192" t="n">
        <v>3.2</v>
      </c>
      <c r="H192" t="n">
        <v>0</v>
      </c>
      <c r="I192" t="n">
        <v>0</v>
      </c>
      <c r="J192" t="n">
        <v>0</v>
      </c>
      <c r="K192" t="n">
        <v>0</v>
      </c>
      <c r="L192" t="n">
        <v>0</v>
      </c>
      <c r="M192" t="n">
        <v>0</v>
      </c>
      <c r="N192" t="n">
        <v>0</v>
      </c>
      <c r="O192" t="n">
        <v>0</v>
      </c>
      <c r="P192" t="n">
        <v>0</v>
      </c>
      <c r="Q192" t="n">
        <v>0</v>
      </c>
      <c r="R192" s="2" t="inlineStr"/>
    </row>
    <row r="193" ht="15" customHeight="1">
      <c r="A193" t="inlineStr">
        <is>
          <t>A 13990-2023</t>
        </is>
      </c>
      <c r="B193" s="1" t="n">
        <v>45007</v>
      </c>
      <c r="C193" s="1" t="n">
        <v>46077</v>
      </c>
      <c r="D193" t="inlineStr">
        <is>
          <t>VÄSTMANLANDS LÄN</t>
        </is>
      </c>
      <c r="E193" t="inlineStr">
        <is>
          <t>SALA</t>
        </is>
      </c>
      <c r="G193" t="n">
        <v>2.6</v>
      </c>
      <c r="H193" t="n">
        <v>0</v>
      </c>
      <c r="I193" t="n">
        <v>0</v>
      </c>
      <c r="J193" t="n">
        <v>0</v>
      </c>
      <c r="K193" t="n">
        <v>0</v>
      </c>
      <c r="L193" t="n">
        <v>0</v>
      </c>
      <c r="M193" t="n">
        <v>0</v>
      </c>
      <c r="N193" t="n">
        <v>0</v>
      </c>
      <c r="O193" t="n">
        <v>0</v>
      </c>
      <c r="P193" t="n">
        <v>0</v>
      </c>
      <c r="Q193" t="n">
        <v>0</v>
      </c>
      <c r="R193" s="2" t="inlineStr"/>
    </row>
    <row r="194" ht="15" customHeight="1">
      <c r="A194" t="inlineStr">
        <is>
          <t>A 21159-2022</t>
        </is>
      </c>
      <c r="B194" s="1" t="n">
        <v>44704</v>
      </c>
      <c r="C194" s="1" t="n">
        <v>46077</v>
      </c>
      <c r="D194" t="inlineStr">
        <is>
          <t>VÄSTMANLANDS LÄN</t>
        </is>
      </c>
      <c r="E194" t="inlineStr">
        <is>
          <t>SALA</t>
        </is>
      </c>
      <c r="G194" t="n">
        <v>1.4</v>
      </c>
      <c r="H194" t="n">
        <v>0</v>
      </c>
      <c r="I194" t="n">
        <v>0</v>
      </c>
      <c r="J194" t="n">
        <v>0</v>
      </c>
      <c r="K194" t="n">
        <v>0</v>
      </c>
      <c r="L194" t="n">
        <v>0</v>
      </c>
      <c r="M194" t="n">
        <v>0</v>
      </c>
      <c r="N194" t="n">
        <v>0</v>
      </c>
      <c r="O194" t="n">
        <v>0</v>
      </c>
      <c r="P194" t="n">
        <v>0</v>
      </c>
      <c r="Q194" t="n">
        <v>0</v>
      </c>
      <c r="R194" s="2" t="inlineStr"/>
    </row>
    <row r="195" ht="15" customHeight="1">
      <c r="A195" t="inlineStr">
        <is>
          <t>A 51464-2024</t>
        </is>
      </c>
      <c r="B195" s="1" t="n">
        <v>45604.49768518518</v>
      </c>
      <c r="C195" s="1" t="n">
        <v>46077</v>
      </c>
      <c r="D195" t="inlineStr">
        <is>
          <t>VÄSTMANLANDS LÄN</t>
        </is>
      </c>
      <c r="E195" t="inlineStr">
        <is>
          <t>SALA</t>
        </is>
      </c>
      <c r="G195" t="n">
        <v>3.9</v>
      </c>
      <c r="H195" t="n">
        <v>0</v>
      </c>
      <c r="I195" t="n">
        <v>0</v>
      </c>
      <c r="J195" t="n">
        <v>0</v>
      </c>
      <c r="K195" t="n">
        <v>0</v>
      </c>
      <c r="L195" t="n">
        <v>0</v>
      </c>
      <c r="M195" t="n">
        <v>0</v>
      </c>
      <c r="N195" t="n">
        <v>0</v>
      </c>
      <c r="O195" t="n">
        <v>0</v>
      </c>
      <c r="P195" t="n">
        <v>0</v>
      </c>
      <c r="Q195" t="n">
        <v>0</v>
      </c>
      <c r="R195" s="2" t="inlineStr"/>
    </row>
    <row r="196" ht="15" customHeight="1">
      <c r="A196" t="inlineStr">
        <is>
          <t>A 37190-2024</t>
        </is>
      </c>
      <c r="B196" s="1" t="n">
        <v>45539</v>
      </c>
      <c r="C196" s="1" t="n">
        <v>46077</v>
      </c>
      <c r="D196" t="inlineStr">
        <is>
          <t>VÄSTMANLANDS LÄN</t>
        </is>
      </c>
      <c r="E196" t="inlineStr">
        <is>
          <t>SALA</t>
        </is>
      </c>
      <c r="G196" t="n">
        <v>0.9</v>
      </c>
      <c r="H196" t="n">
        <v>0</v>
      </c>
      <c r="I196" t="n">
        <v>0</v>
      </c>
      <c r="J196" t="n">
        <v>0</v>
      </c>
      <c r="K196" t="n">
        <v>0</v>
      </c>
      <c r="L196" t="n">
        <v>0</v>
      </c>
      <c r="M196" t="n">
        <v>0</v>
      </c>
      <c r="N196" t="n">
        <v>0</v>
      </c>
      <c r="O196" t="n">
        <v>0</v>
      </c>
      <c r="P196" t="n">
        <v>0</v>
      </c>
      <c r="Q196" t="n">
        <v>0</v>
      </c>
      <c r="R196" s="2" t="inlineStr"/>
    </row>
    <row r="197" ht="15" customHeight="1">
      <c r="A197" t="inlineStr">
        <is>
          <t>A 1128-2025</t>
        </is>
      </c>
      <c r="B197" s="1" t="n">
        <v>45666.68469907407</v>
      </c>
      <c r="C197" s="1" t="n">
        <v>46077</v>
      </c>
      <c r="D197" t="inlineStr">
        <is>
          <t>VÄSTMANLANDS LÄN</t>
        </is>
      </c>
      <c r="E197" t="inlineStr">
        <is>
          <t>SALA</t>
        </is>
      </c>
      <c r="G197" t="n">
        <v>2.5</v>
      </c>
      <c r="H197" t="n">
        <v>0</v>
      </c>
      <c r="I197" t="n">
        <v>0</v>
      </c>
      <c r="J197" t="n">
        <v>0</v>
      </c>
      <c r="K197" t="n">
        <v>0</v>
      </c>
      <c r="L197" t="n">
        <v>0</v>
      </c>
      <c r="M197" t="n">
        <v>0</v>
      </c>
      <c r="N197" t="n">
        <v>0</v>
      </c>
      <c r="O197" t="n">
        <v>0</v>
      </c>
      <c r="P197" t="n">
        <v>0</v>
      </c>
      <c r="Q197" t="n">
        <v>0</v>
      </c>
      <c r="R197" s="2" t="inlineStr"/>
    </row>
    <row r="198" ht="15" customHeight="1">
      <c r="A198" t="inlineStr">
        <is>
          <t>A 43176-2023</t>
        </is>
      </c>
      <c r="B198" s="1" t="n">
        <v>45183</v>
      </c>
      <c r="C198" s="1" t="n">
        <v>46077</v>
      </c>
      <c r="D198" t="inlineStr">
        <is>
          <t>VÄSTMANLANDS LÄN</t>
        </is>
      </c>
      <c r="E198" t="inlineStr">
        <is>
          <t>SALA</t>
        </is>
      </c>
      <c r="G198" t="n">
        <v>1.2</v>
      </c>
      <c r="H198" t="n">
        <v>0</v>
      </c>
      <c r="I198" t="n">
        <v>0</v>
      </c>
      <c r="J198" t="n">
        <v>0</v>
      </c>
      <c r="K198" t="n">
        <v>0</v>
      </c>
      <c r="L198" t="n">
        <v>0</v>
      </c>
      <c r="M198" t="n">
        <v>0</v>
      </c>
      <c r="N198" t="n">
        <v>0</v>
      </c>
      <c r="O198" t="n">
        <v>0</v>
      </c>
      <c r="P198" t="n">
        <v>0</v>
      </c>
      <c r="Q198" t="n">
        <v>0</v>
      </c>
      <c r="R198" s="2" t="inlineStr"/>
    </row>
    <row r="199" ht="15" customHeight="1">
      <c r="A199" t="inlineStr">
        <is>
          <t>A 39597-2022</t>
        </is>
      </c>
      <c r="B199" s="1" t="n">
        <v>44818</v>
      </c>
      <c r="C199" s="1" t="n">
        <v>46077</v>
      </c>
      <c r="D199" t="inlineStr">
        <is>
          <t>VÄSTMANLANDS LÄN</t>
        </is>
      </c>
      <c r="E199" t="inlineStr">
        <is>
          <t>SALA</t>
        </is>
      </c>
      <c r="G199" t="n">
        <v>2.3</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46077</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60328-2024</t>
        </is>
      </c>
      <c r="B201" s="1" t="n">
        <v>45643.38416666666</v>
      </c>
      <c r="C201" s="1" t="n">
        <v>46077</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73835-2021</t>
        </is>
      </c>
      <c r="B202" s="1" t="n">
        <v>44552.92112268518</v>
      </c>
      <c r="C202" s="1" t="n">
        <v>46077</v>
      </c>
      <c r="D202" t="inlineStr">
        <is>
          <t>VÄSTMANLANDS LÄN</t>
        </is>
      </c>
      <c r="E202" t="inlineStr">
        <is>
          <t>SALA</t>
        </is>
      </c>
      <c r="G202" t="n">
        <v>2</v>
      </c>
      <c r="H202" t="n">
        <v>0</v>
      </c>
      <c r="I202" t="n">
        <v>0</v>
      </c>
      <c r="J202" t="n">
        <v>0</v>
      </c>
      <c r="K202" t="n">
        <v>0</v>
      </c>
      <c r="L202" t="n">
        <v>0</v>
      </c>
      <c r="M202" t="n">
        <v>0</v>
      </c>
      <c r="N202" t="n">
        <v>0</v>
      </c>
      <c r="O202" t="n">
        <v>0</v>
      </c>
      <c r="P202" t="n">
        <v>0</v>
      </c>
      <c r="Q202" t="n">
        <v>0</v>
      </c>
      <c r="R202" s="2" t="inlineStr"/>
    </row>
    <row r="203" ht="15" customHeight="1">
      <c r="A203" t="inlineStr">
        <is>
          <t>A 60379-2022</t>
        </is>
      </c>
      <c r="B203" s="1" t="n">
        <v>44910</v>
      </c>
      <c r="C203" s="1" t="n">
        <v>46077</v>
      </c>
      <c r="D203" t="inlineStr">
        <is>
          <t>VÄSTMANLANDS LÄN</t>
        </is>
      </c>
      <c r="E203" t="inlineStr">
        <is>
          <t>SALA</t>
        </is>
      </c>
      <c r="F203" t="inlineStr">
        <is>
          <t>Kyrkan</t>
        </is>
      </c>
      <c r="G203" t="n">
        <v>2.5</v>
      </c>
      <c r="H203" t="n">
        <v>0</v>
      </c>
      <c r="I203" t="n">
        <v>0</v>
      </c>
      <c r="J203" t="n">
        <v>0</v>
      </c>
      <c r="K203" t="n">
        <v>0</v>
      </c>
      <c r="L203" t="n">
        <v>0</v>
      </c>
      <c r="M203" t="n">
        <v>0</v>
      </c>
      <c r="N203" t="n">
        <v>0</v>
      </c>
      <c r="O203" t="n">
        <v>0</v>
      </c>
      <c r="P203" t="n">
        <v>0</v>
      </c>
      <c r="Q203" t="n">
        <v>0</v>
      </c>
      <c r="R203" s="2" t="inlineStr"/>
    </row>
    <row r="204" ht="15" customHeight="1">
      <c r="A204" t="inlineStr">
        <is>
          <t>A 25860-2024</t>
        </is>
      </c>
      <c r="B204" s="1" t="n">
        <v>45467.46278935186</v>
      </c>
      <c r="C204" s="1" t="n">
        <v>46077</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1638-2023</t>
        </is>
      </c>
      <c r="B205" s="1" t="n">
        <v>44937</v>
      </c>
      <c r="C205" s="1" t="n">
        <v>46077</v>
      </c>
      <c r="D205" t="inlineStr">
        <is>
          <t>VÄSTMANLANDS LÄN</t>
        </is>
      </c>
      <c r="E205" t="inlineStr">
        <is>
          <t>SALA</t>
        </is>
      </c>
      <c r="G205" t="n">
        <v>3.1</v>
      </c>
      <c r="H205" t="n">
        <v>0</v>
      </c>
      <c r="I205" t="n">
        <v>0</v>
      </c>
      <c r="J205" t="n">
        <v>0</v>
      </c>
      <c r="K205" t="n">
        <v>0</v>
      </c>
      <c r="L205" t="n">
        <v>0</v>
      </c>
      <c r="M205" t="n">
        <v>0</v>
      </c>
      <c r="N205" t="n">
        <v>0</v>
      </c>
      <c r="O205" t="n">
        <v>0</v>
      </c>
      <c r="P205" t="n">
        <v>0</v>
      </c>
      <c r="Q205" t="n">
        <v>0</v>
      </c>
      <c r="R205" s="2" t="inlineStr"/>
    </row>
    <row r="206" ht="15" customHeight="1">
      <c r="A206" t="inlineStr">
        <is>
          <t>A 7953-2024</t>
        </is>
      </c>
      <c r="B206" s="1" t="n">
        <v>45350</v>
      </c>
      <c r="C206" s="1" t="n">
        <v>46077</v>
      </c>
      <c r="D206" t="inlineStr">
        <is>
          <t>VÄSTMANLANDS LÄN</t>
        </is>
      </c>
      <c r="E206" t="inlineStr">
        <is>
          <t>SALA</t>
        </is>
      </c>
      <c r="G206" t="n">
        <v>2.6</v>
      </c>
      <c r="H206" t="n">
        <v>0</v>
      </c>
      <c r="I206" t="n">
        <v>0</v>
      </c>
      <c r="J206" t="n">
        <v>0</v>
      </c>
      <c r="K206" t="n">
        <v>0</v>
      </c>
      <c r="L206" t="n">
        <v>0</v>
      </c>
      <c r="M206" t="n">
        <v>0</v>
      </c>
      <c r="N206" t="n">
        <v>0</v>
      </c>
      <c r="O206" t="n">
        <v>0</v>
      </c>
      <c r="P206" t="n">
        <v>0</v>
      </c>
      <c r="Q206" t="n">
        <v>0</v>
      </c>
      <c r="R206" s="2" t="inlineStr"/>
    </row>
    <row r="207" ht="15" customHeight="1">
      <c r="A207" t="inlineStr">
        <is>
          <t>A 33273-2023</t>
        </is>
      </c>
      <c r="B207" s="1" t="n">
        <v>45127</v>
      </c>
      <c r="C207" s="1" t="n">
        <v>46077</v>
      </c>
      <c r="D207" t="inlineStr">
        <is>
          <t>VÄSTMANLANDS LÄN</t>
        </is>
      </c>
      <c r="E207" t="inlineStr">
        <is>
          <t>SALA</t>
        </is>
      </c>
      <c r="G207" t="n">
        <v>2.6</v>
      </c>
      <c r="H207" t="n">
        <v>0</v>
      </c>
      <c r="I207" t="n">
        <v>0</v>
      </c>
      <c r="J207" t="n">
        <v>0</v>
      </c>
      <c r="K207" t="n">
        <v>0</v>
      </c>
      <c r="L207" t="n">
        <v>0</v>
      </c>
      <c r="M207" t="n">
        <v>0</v>
      </c>
      <c r="N207" t="n">
        <v>0</v>
      </c>
      <c r="O207" t="n">
        <v>0</v>
      </c>
      <c r="P207" t="n">
        <v>0</v>
      </c>
      <c r="Q207" t="n">
        <v>0</v>
      </c>
      <c r="R207" s="2" t="inlineStr"/>
    </row>
    <row r="208" ht="15" customHeight="1">
      <c r="A208" t="inlineStr">
        <is>
          <t>A 39439-2021</t>
        </is>
      </c>
      <c r="B208" s="1" t="n">
        <v>44414</v>
      </c>
      <c r="C208" s="1" t="n">
        <v>46077</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5477-2024</t>
        </is>
      </c>
      <c r="B209" s="1" t="n">
        <v>45333.67833333334</v>
      </c>
      <c r="C209" s="1" t="n">
        <v>46077</v>
      </c>
      <c r="D209" t="inlineStr">
        <is>
          <t>VÄSTMANLANDS LÄN</t>
        </is>
      </c>
      <c r="E209" t="inlineStr">
        <is>
          <t>SALA</t>
        </is>
      </c>
      <c r="G209" t="n">
        <v>2.3</v>
      </c>
      <c r="H209" t="n">
        <v>0</v>
      </c>
      <c r="I209" t="n">
        <v>0</v>
      </c>
      <c r="J209" t="n">
        <v>0</v>
      </c>
      <c r="K209" t="n">
        <v>0</v>
      </c>
      <c r="L209" t="n">
        <v>0</v>
      </c>
      <c r="M209" t="n">
        <v>0</v>
      </c>
      <c r="N209" t="n">
        <v>0</v>
      </c>
      <c r="O209" t="n">
        <v>0</v>
      </c>
      <c r="P209" t="n">
        <v>0</v>
      </c>
      <c r="Q209" t="n">
        <v>0</v>
      </c>
      <c r="R209" s="2" t="inlineStr"/>
    </row>
    <row r="210" ht="15" customHeight="1">
      <c r="A210" t="inlineStr">
        <is>
          <t>A 22026-2021</t>
        </is>
      </c>
      <c r="B210" s="1" t="n">
        <v>44323</v>
      </c>
      <c r="C210" s="1" t="n">
        <v>46077</v>
      </c>
      <c r="D210" t="inlineStr">
        <is>
          <t>VÄSTMANLANDS LÄN</t>
        </is>
      </c>
      <c r="E210" t="inlineStr">
        <is>
          <t>SALA</t>
        </is>
      </c>
      <c r="G210" t="n">
        <v>2.9</v>
      </c>
      <c r="H210" t="n">
        <v>0</v>
      </c>
      <c r="I210" t="n">
        <v>0</v>
      </c>
      <c r="J210" t="n">
        <v>0</v>
      </c>
      <c r="K210" t="n">
        <v>0</v>
      </c>
      <c r="L210" t="n">
        <v>0</v>
      </c>
      <c r="M210" t="n">
        <v>0</v>
      </c>
      <c r="N210" t="n">
        <v>0</v>
      </c>
      <c r="O210" t="n">
        <v>0</v>
      </c>
      <c r="P210" t="n">
        <v>0</v>
      </c>
      <c r="Q210" t="n">
        <v>0</v>
      </c>
      <c r="R210" s="2" t="inlineStr"/>
    </row>
    <row r="211" ht="15" customHeight="1">
      <c r="A211" t="inlineStr">
        <is>
          <t>A 26507-2023</t>
        </is>
      </c>
      <c r="B211" s="1" t="n">
        <v>45092</v>
      </c>
      <c r="C211" s="1" t="n">
        <v>46077</v>
      </c>
      <c r="D211" t="inlineStr">
        <is>
          <t>VÄSTMANLANDS LÄN</t>
        </is>
      </c>
      <c r="E211" t="inlineStr">
        <is>
          <t>SALA</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52827-2024</t>
        </is>
      </c>
      <c r="B212" s="1" t="n">
        <v>45610</v>
      </c>
      <c r="C212" s="1" t="n">
        <v>46077</v>
      </c>
      <c r="D212" t="inlineStr">
        <is>
          <t>VÄSTMANLANDS LÄN</t>
        </is>
      </c>
      <c r="E212" t="inlineStr">
        <is>
          <t>SALA</t>
        </is>
      </c>
      <c r="G212" t="n">
        <v>0.2</v>
      </c>
      <c r="H212" t="n">
        <v>0</v>
      </c>
      <c r="I212" t="n">
        <v>0</v>
      </c>
      <c r="J212" t="n">
        <v>0</v>
      </c>
      <c r="K212" t="n">
        <v>0</v>
      </c>
      <c r="L212" t="n">
        <v>0</v>
      </c>
      <c r="M212" t="n">
        <v>0</v>
      </c>
      <c r="N212" t="n">
        <v>0</v>
      </c>
      <c r="O212" t="n">
        <v>0</v>
      </c>
      <c r="P212" t="n">
        <v>0</v>
      </c>
      <c r="Q212" t="n">
        <v>0</v>
      </c>
      <c r="R212" s="2" t="inlineStr"/>
    </row>
    <row r="213" ht="15" customHeight="1">
      <c r="A213" t="inlineStr">
        <is>
          <t>A 53166-2024</t>
        </is>
      </c>
      <c r="B213" s="1" t="n">
        <v>45611</v>
      </c>
      <c r="C213" s="1" t="n">
        <v>46077</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6032-2025</t>
        </is>
      </c>
      <c r="B214" s="1" t="n">
        <v>45695.6371875</v>
      </c>
      <c r="C214" s="1" t="n">
        <v>46077</v>
      </c>
      <c r="D214" t="inlineStr">
        <is>
          <t>VÄSTMANLANDS LÄN</t>
        </is>
      </c>
      <c r="E214" t="inlineStr">
        <is>
          <t>SALA</t>
        </is>
      </c>
      <c r="F214" t="inlineStr">
        <is>
          <t>Bergvik skog öst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11244-2024</t>
        </is>
      </c>
      <c r="B215" s="1" t="n">
        <v>45371</v>
      </c>
      <c r="C215" s="1" t="n">
        <v>46077</v>
      </c>
      <c r="D215" t="inlineStr">
        <is>
          <t>VÄSTMANLANDS LÄN</t>
        </is>
      </c>
      <c r="E215" t="inlineStr">
        <is>
          <t>SALA</t>
        </is>
      </c>
      <c r="G215" t="n">
        <v>1.2</v>
      </c>
      <c r="H215" t="n">
        <v>0</v>
      </c>
      <c r="I215" t="n">
        <v>0</v>
      </c>
      <c r="J215" t="n">
        <v>0</v>
      </c>
      <c r="K215" t="n">
        <v>0</v>
      </c>
      <c r="L215" t="n">
        <v>0</v>
      </c>
      <c r="M215" t="n">
        <v>0</v>
      </c>
      <c r="N215" t="n">
        <v>0</v>
      </c>
      <c r="O215" t="n">
        <v>0</v>
      </c>
      <c r="P215" t="n">
        <v>0</v>
      </c>
      <c r="Q215" t="n">
        <v>0</v>
      </c>
      <c r="R215" s="2" t="inlineStr"/>
    </row>
    <row r="216" ht="15" customHeight="1">
      <c r="A216" t="inlineStr">
        <is>
          <t>A 62654-2022</t>
        </is>
      </c>
      <c r="B216" s="1" t="n">
        <v>44917</v>
      </c>
      <c r="C216" s="1" t="n">
        <v>46077</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6135-2023</t>
        </is>
      </c>
      <c r="B217" s="1" t="n">
        <v>44964.62628472222</v>
      </c>
      <c r="C217" s="1" t="n">
        <v>46077</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53864-2022</t>
        </is>
      </c>
      <c r="B218" s="1" t="n">
        <v>44880.64016203704</v>
      </c>
      <c r="C218" s="1" t="n">
        <v>46077</v>
      </c>
      <c r="D218" t="inlineStr">
        <is>
          <t>VÄSTMANLANDS LÄN</t>
        </is>
      </c>
      <c r="E218" t="inlineStr">
        <is>
          <t>SALA</t>
        </is>
      </c>
      <c r="G218" t="n">
        <v>5.9</v>
      </c>
      <c r="H218" t="n">
        <v>0</v>
      </c>
      <c r="I218" t="n">
        <v>0</v>
      </c>
      <c r="J218" t="n">
        <v>0</v>
      </c>
      <c r="K218" t="n">
        <v>0</v>
      </c>
      <c r="L218" t="n">
        <v>0</v>
      </c>
      <c r="M218" t="n">
        <v>0</v>
      </c>
      <c r="N218" t="n">
        <v>0</v>
      </c>
      <c r="O218" t="n">
        <v>0</v>
      </c>
      <c r="P218" t="n">
        <v>0</v>
      </c>
      <c r="Q218" t="n">
        <v>0</v>
      </c>
      <c r="R218" s="2" t="inlineStr"/>
    </row>
    <row r="219" ht="15" customHeight="1">
      <c r="A219" t="inlineStr">
        <is>
          <t>A 16160-2024</t>
        </is>
      </c>
      <c r="B219" s="1" t="n">
        <v>45406</v>
      </c>
      <c r="C219" s="1" t="n">
        <v>46077</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27255-2023</t>
        </is>
      </c>
      <c r="B220" s="1" t="n">
        <v>45096</v>
      </c>
      <c r="C220" s="1" t="n">
        <v>46077</v>
      </c>
      <c r="D220" t="inlineStr">
        <is>
          <t>VÄSTMANLANDS LÄN</t>
        </is>
      </c>
      <c r="E220" t="inlineStr">
        <is>
          <t>SALA</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34814-2021</t>
        </is>
      </c>
      <c r="B221" s="1" t="n">
        <v>44383</v>
      </c>
      <c r="C221" s="1" t="n">
        <v>46077</v>
      </c>
      <c r="D221" t="inlineStr">
        <is>
          <t>VÄSTMANLANDS LÄN</t>
        </is>
      </c>
      <c r="E221" t="inlineStr">
        <is>
          <t>SALA</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40597-2022</t>
        </is>
      </c>
      <c r="B222" s="1" t="n">
        <v>44823.84862268518</v>
      </c>
      <c r="C222" s="1" t="n">
        <v>46077</v>
      </c>
      <c r="D222" t="inlineStr">
        <is>
          <t>VÄSTMANLANDS LÄN</t>
        </is>
      </c>
      <c r="E222" t="inlineStr">
        <is>
          <t>SALA</t>
        </is>
      </c>
      <c r="G222" t="n">
        <v>3.5</v>
      </c>
      <c r="H222" t="n">
        <v>0</v>
      </c>
      <c r="I222" t="n">
        <v>0</v>
      </c>
      <c r="J222" t="n">
        <v>0</v>
      </c>
      <c r="K222" t="n">
        <v>0</v>
      </c>
      <c r="L222" t="n">
        <v>0</v>
      </c>
      <c r="M222" t="n">
        <v>0</v>
      </c>
      <c r="N222" t="n">
        <v>0</v>
      </c>
      <c r="O222" t="n">
        <v>0</v>
      </c>
      <c r="P222" t="n">
        <v>0</v>
      </c>
      <c r="Q222" t="n">
        <v>0</v>
      </c>
      <c r="R222" s="2" t="inlineStr"/>
    </row>
    <row r="223" ht="15" customHeight="1">
      <c r="A223" t="inlineStr">
        <is>
          <t>A 54118-2023</t>
        </is>
      </c>
      <c r="B223" s="1" t="n">
        <v>45232</v>
      </c>
      <c r="C223" s="1" t="n">
        <v>46077</v>
      </c>
      <c r="D223" t="inlineStr">
        <is>
          <t>VÄSTMANLANDS LÄN</t>
        </is>
      </c>
      <c r="E223" t="inlineStr">
        <is>
          <t>SALA</t>
        </is>
      </c>
      <c r="G223" t="n">
        <v>1.1</v>
      </c>
      <c r="H223" t="n">
        <v>0</v>
      </c>
      <c r="I223" t="n">
        <v>0</v>
      </c>
      <c r="J223" t="n">
        <v>0</v>
      </c>
      <c r="K223" t="n">
        <v>0</v>
      </c>
      <c r="L223" t="n">
        <v>0</v>
      </c>
      <c r="M223" t="n">
        <v>0</v>
      </c>
      <c r="N223" t="n">
        <v>0</v>
      </c>
      <c r="O223" t="n">
        <v>0</v>
      </c>
      <c r="P223" t="n">
        <v>0</v>
      </c>
      <c r="Q223" t="n">
        <v>0</v>
      </c>
      <c r="R223" s="2" t="inlineStr"/>
    </row>
    <row r="224" ht="15" customHeight="1">
      <c r="A224" t="inlineStr">
        <is>
          <t>A 7196-2025</t>
        </is>
      </c>
      <c r="B224" s="1" t="n">
        <v>45702</v>
      </c>
      <c r="C224" s="1" t="n">
        <v>46077</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6183-2025</t>
        </is>
      </c>
      <c r="B225" s="1" t="n">
        <v>45698</v>
      </c>
      <c r="C225" s="1" t="n">
        <v>46077</v>
      </c>
      <c r="D225" t="inlineStr">
        <is>
          <t>VÄSTMANLANDS LÄN</t>
        </is>
      </c>
      <c r="E225" t="inlineStr">
        <is>
          <t>SALA</t>
        </is>
      </c>
      <c r="F225" t="inlineStr">
        <is>
          <t>Bergvik skog öst AB</t>
        </is>
      </c>
      <c r="G225" t="n">
        <v>2.3</v>
      </c>
      <c r="H225" t="n">
        <v>0</v>
      </c>
      <c r="I225" t="n">
        <v>0</v>
      </c>
      <c r="J225" t="n">
        <v>0</v>
      </c>
      <c r="K225" t="n">
        <v>0</v>
      </c>
      <c r="L225" t="n">
        <v>0</v>
      </c>
      <c r="M225" t="n">
        <v>0</v>
      </c>
      <c r="N225" t="n">
        <v>0</v>
      </c>
      <c r="O225" t="n">
        <v>0</v>
      </c>
      <c r="P225" t="n">
        <v>0</v>
      </c>
      <c r="Q225" t="n">
        <v>0</v>
      </c>
      <c r="R225" s="2" t="inlineStr"/>
    </row>
    <row r="226" ht="15" customHeight="1">
      <c r="A226" t="inlineStr">
        <is>
          <t>A 35462-2024</t>
        </is>
      </c>
      <c r="B226" s="1" t="n">
        <v>45531</v>
      </c>
      <c r="C226" s="1" t="n">
        <v>46077</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60034-2024</t>
        </is>
      </c>
      <c r="B227" s="1" t="n">
        <v>45642.46261574074</v>
      </c>
      <c r="C227" s="1" t="n">
        <v>46077</v>
      </c>
      <c r="D227" t="inlineStr">
        <is>
          <t>VÄSTMANLANDS LÄN</t>
        </is>
      </c>
      <c r="E227" t="inlineStr">
        <is>
          <t>SALA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3810-2023</t>
        </is>
      </c>
      <c r="B228" s="1" t="n">
        <v>44951.60454861111</v>
      </c>
      <c r="C228" s="1" t="n">
        <v>46077</v>
      </c>
      <c r="D228" t="inlineStr">
        <is>
          <t>VÄSTMANLANDS LÄN</t>
        </is>
      </c>
      <c r="E228" t="inlineStr">
        <is>
          <t>SALA</t>
        </is>
      </c>
      <c r="G228" t="n">
        <v>4.2</v>
      </c>
      <c r="H228" t="n">
        <v>0</v>
      </c>
      <c r="I228" t="n">
        <v>0</v>
      </c>
      <c r="J228" t="n">
        <v>0</v>
      </c>
      <c r="K228" t="n">
        <v>0</v>
      </c>
      <c r="L228" t="n">
        <v>0</v>
      </c>
      <c r="M228" t="n">
        <v>0</v>
      </c>
      <c r="N228" t="n">
        <v>0</v>
      </c>
      <c r="O228" t="n">
        <v>0</v>
      </c>
      <c r="P228" t="n">
        <v>0</v>
      </c>
      <c r="Q228" t="n">
        <v>0</v>
      </c>
      <c r="R228" s="2" t="inlineStr"/>
    </row>
    <row r="229" ht="15" customHeight="1">
      <c r="A229" t="inlineStr">
        <is>
          <t>A 11389-2024</t>
        </is>
      </c>
      <c r="B229" s="1" t="n">
        <v>45372.45016203704</v>
      </c>
      <c r="C229" s="1" t="n">
        <v>46077</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56706-2022</t>
        </is>
      </c>
      <c r="B230" s="1" t="n">
        <v>44893.78893518518</v>
      </c>
      <c r="C230" s="1" t="n">
        <v>46077</v>
      </c>
      <c r="D230" t="inlineStr">
        <is>
          <t>VÄSTMANLANDS LÄN</t>
        </is>
      </c>
      <c r="E230" t="inlineStr">
        <is>
          <t>SALA</t>
        </is>
      </c>
      <c r="G230" t="n">
        <v>4.5</v>
      </c>
      <c r="H230" t="n">
        <v>0</v>
      </c>
      <c r="I230" t="n">
        <v>0</v>
      </c>
      <c r="J230" t="n">
        <v>0</v>
      </c>
      <c r="K230" t="n">
        <v>0</v>
      </c>
      <c r="L230" t="n">
        <v>0</v>
      </c>
      <c r="M230" t="n">
        <v>0</v>
      </c>
      <c r="N230" t="n">
        <v>0</v>
      </c>
      <c r="O230" t="n">
        <v>0</v>
      </c>
      <c r="P230" t="n">
        <v>0</v>
      </c>
      <c r="Q230" t="n">
        <v>0</v>
      </c>
      <c r="R230" s="2" t="inlineStr"/>
    </row>
    <row r="231" ht="15" customHeight="1">
      <c r="A231" t="inlineStr">
        <is>
          <t>A 56707-2022</t>
        </is>
      </c>
      <c r="B231" s="1" t="n">
        <v>44893.79412037037</v>
      </c>
      <c r="C231" s="1" t="n">
        <v>46077</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40871-2021</t>
        </is>
      </c>
      <c r="B232" s="1" t="n">
        <v>44421</v>
      </c>
      <c r="C232" s="1" t="n">
        <v>46077</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19803-2024</t>
        </is>
      </c>
      <c r="B233" s="1" t="n">
        <v>45432</v>
      </c>
      <c r="C233" s="1" t="n">
        <v>46077</v>
      </c>
      <c r="D233" t="inlineStr">
        <is>
          <t>VÄSTMANLANDS LÄN</t>
        </is>
      </c>
      <c r="E233" t="inlineStr">
        <is>
          <t>SALA</t>
        </is>
      </c>
      <c r="G233" t="n">
        <v>3.1</v>
      </c>
      <c r="H233" t="n">
        <v>0</v>
      </c>
      <c r="I233" t="n">
        <v>0</v>
      </c>
      <c r="J233" t="n">
        <v>0</v>
      </c>
      <c r="K233" t="n">
        <v>0</v>
      </c>
      <c r="L233" t="n">
        <v>0</v>
      </c>
      <c r="M233" t="n">
        <v>0</v>
      </c>
      <c r="N233" t="n">
        <v>0</v>
      </c>
      <c r="O233" t="n">
        <v>0</v>
      </c>
      <c r="P233" t="n">
        <v>0</v>
      </c>
      <c r="Q233" t="n">
        <v>0</v>
      </c>
      <c r="R233" s="2" t="inlineStr"/>
    </row>
    <row r="234" ht="15" customHeight="1">
      <c r="A234" t="inlineStr">
        <is>
          <t>A 52503-2024</t>
        </is>
      </c>
      <c r="B234" s="1" t="n">
        <v>45609.58806712963</v>
      </c>
      <c r="C234" s="1" t="n">
        <v>46077</v>
      </c>
      <c r="D234" t="inlineStr">
        <is>
          <t>VÄSTMANLANDS LÄN</t>
        </is>
      </c>
      <c r="E234" t="inlineStr">
        <is>
          <t>SALA</t>
        </is>
      </c>
      <c r="G234" t="n">
        <v>0.8</v>
      </c>
      <c r="H234" t="n">
        <v>0</v>
      </c>
      <c r="I234" t="n">
        <v>0</v>
      </c>
      <c r="J234" t="n">
        <v>0</v>
      </c>
      <c r="K234" t="n">
        <v>0</v>
      </c>
      <c r="L234" t="n">
        <v>0</v>
      </c>
      <c r="M234" t="n">
        <v>0</v>
      </c>
      <c r="N234" t="n">
        <v>0</v>
      </c>
      <c r="O234" t="n">
        <v>0</v>
      </c>
      <c r="P234" t="n">
        <v>0</v>
      </c>
      <c r="Q234" t="n">
        <v>0</v>
      </c>
      <c r="R234" s="2" t="inlineStr"/>
    </row>
    <row r="235" ht="15" customHeight="1">
      <c r="A235" t="inlineStr">
        <is>
          <t>A 2521-2025</t>
        </is>
      </c>
      <c r="B235" s="1" t="n">
        <v>45674</v>
      </c>
      <c r="C235" s="1" t="n">
        <v>46077</v>
      </c>
      <c r="D235" t="inlineStr">
        <is>
          <t>VÄSTMANLANDS LÄN</t>
        </is>
      </c>
      <c r="E235" t="inlineStr">
        <is>
          <t>SALA</t>
        </is>
      </c>
      <c r="G235" t="n">
        <v>3.5</v>
      </c>
      <c r="H235" t="n">
        <v>0</v>
      </c>
      <c r="I235" t="n">
        <v>0</v>
      </c>
      <c r="J235" t="n">
        <v>0</v>
      </c>
      <c r="K235" t="n">
        <v>0</v>
      </c>
      <c r="L235" t="n">
        <v>0</v>
      </c>
      <c r="M235" t="n">
        <v>0</v>
      </c>
      <c r="N235" t="n">
        <v>0</v>
      </c>
      <c r="O235" t="n">
        <v>0</v>
      </c>
      <c r="P235" t="n">
        <v>0</v>
      </c>
      <c r="Q235" t="n">
        <v>0</v>
      </c>
      <c r="R235" s="2" t="inlineStr"/>
    </row>
    <row r="236" ht="15" customHeight="1">
      <c r="A236" t="inlineStr">
        <is>
          <t>A 36393-2023</t>
        </is>
      </c>
      <c r="B236" s="1" t="n">
        <v>45152</v>
      </c>
      <c r="C236" s="1" t="n">
        <v>46077</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45790-2023</t>
        </is>
      </c>
      <c r="B237" s="1" t="n">
        <v>45195.45958333334</v>
      </c>
      <c r="C237" s="1" t="n">
        <v>46077</v>
      </c>
      <c r="D237" t="inlineStr">
        <is>
          <t>VÄSTMANLANDS LÄN</t>
        </is>
      </c>
      <c r="E237" t="inlineStr">
        <is>
          <t>SALA</t>
        </is>
      </c>
      <c r="G237" t="n">
        <v>5.7</v>
      </c>
      <c r="H237" t="n">
        <v>0</v>
      </c>
      <c r="I237" t="n">
        <v>0</v>
      </c>
      <c r="J237" t="n">
        <v>0</v>
      </c>
      <c r="K237" t="n">
        <v>0</v>
      </c>
      <c r="L237" t="n">
        <v>0</v>
      </c>
      <c r="M237" t="n">
        <v>0</v>
      </c>
      <c r="N237" t="n">
        <v>0</v>
      </c>
      <c r="O237" t="n">
        <v>0</v>
      </c>
      <c r="P237" t="n">
        <v>0</v>
      </c>
      <c r="Q237" t="n">
        <v>0</v>
      </c>
      <c r="R237" s="2" t="inlineStr"/>
    </row>
    <row r="238" ht="15" customHeight="1">
      <c r="A238" t="inlineStr">
        <is>
          <t>A 56949-2023</t>
        </is>
      </c>
      <c r="B238" s="1" t="n">
        <v>45244.61589120371</v>
      </c>
      <c r="C238" s="1" t="n">
        <v>46077</v>
      </c>
      <c r="D238" t="inlineStr">
        <is>
          <t>VÄSTMANLANDS LÄN</t>
        </is>
      </c>
      <c r="E238" t="inlineStr">
        <is>
          <t>SALA</t>
        </is>
      </c>
      <c r="G238" t="n">
        <v>4.7</v>
      </c>
      <c r="H238" t="n">
        <v>0</v>
      </c>
      <c r="I238" t="n">
        <v>0</v>
      </c>
      <c r="J238" t="n">
        <v>0</v>
      </c>
      <c r="K238" t="n">
        <v>0</v>
      </c>
      <c r="L238" t="n">
        <v>0</v>
      </c>
      <c r="M238" t="n">
        <v>0</v>
      </c>
      <c r="N238" t="n">
        <v>0</v>
      </c>
      <c r="O238" t="n">
        <v>0</v>
      </c>
      <c r="P238" t="n">
        <v>0</v>
      </c>
      <c r="Q238" t="n">
        <v>0</v>
      </c>
      <c r="R238" s="2" t="inlineStr"/>
    </row>
    <row r="239" ht="15" customHeight="1">
      <c r="A239" t="inlineStr">
        <is>
          <t>A 30971-2022</t>
        </is>
      </c>
      <c r="B239" s="1" t="n">
        <v>44768.46725694444</v>
      </c>
      <c r="C239" s="1" t="n">
        <v>46077</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31000-2022</t>
        </is>
      </c>
      <c r="B240" s="1" t="n">
        <v>44768</v>
      </c>
      <c r="C240" s="1" t="n">
        <v>46077</v>
      </c>
      <c r="D240" t="inlineStr">
        <is>
          <t>VÄSTMANLANDS LÄN</t>
        </is>
      </c>
      <c r="E240" t="inlineStr">
        <is>
          <t>SALA</t>
        </is>
      </c>
      <c r="G240" t="n">
        <v>5.7</v>
      </c>
      <c r="H240" t="n">
        <v>0</v>
      </c>
      <c r="I240" t="n">
        <v>0</v>
      </c>
      <c r="J240" t="n">
        <v>0</v>
      </c>
      <c r="K240" t="n">
        <v>0</v>
      </c>
      <c r="L240" t="n">
        <v>0</v>
      </c>
      <c r="M240" t="n">
        <v>0</v>
      </c>
      <c r="N240" t="n">
        <v>0</v>
      </c>
      <c r="O240" t="n">
        <v>0</v>
      </c>
      <c r="P240" t="n">
        <v>0</v>
      </c>
      <c r="Q240" t="n">
        <v>0</v>
      </c>
      <c r="R240" s="2" t="inlineStr"/>
    </row>
    <row r="241" ht="15" customHeight="1">
      <c r="A241" t="inlineStr">
        <is>
          <t>A 40214-2023</t>
        </is>
      </c>
      <c r="B241" s="1" t="n">
        <v>45169.45173611111</v>
      </c>
      <c r="C241" s="1" t="n">
        <v>46077</v>
      </c>
      <c r="D241" t="inlineStr">
        <is>
          <t>VÄSTMANLANDS LÄN</t>
        </is>
      </c>
      <c r="E241" t="inlineStr">
        <is>
          <t>SALA</t>
        </is>
      </c>
      <c r="G241" t="n">
        <v>5.5</v>
      </c>
      <c r="H241" t="n">
        <v>0</v>
      </c>
      <c r="I241" t="n">
        <v>0</v>
      </c>
      <c r="J241" t="n">
        <v>0</v>
      </c>
      <c r="K241" t="n">
        <v>0</v>
      </c>
      <c r="L241" t="n">
        <v>0</v>
      </c>
      <c r="M241" t="n">
        <v>0</v>
      </c>
      <c r="N241" t="n">
        <v>0</v>
      </c>
      <c r="O241" t="n">
        <v>0</v>
      </c>
      <c r="P241" t="n">
        <v>0</v>
      </c>
      <c r="Q241" t="n">
        <v>0</v>
      </c>
      <c r="R241" s="2" t="inlineStr"/>
    </row>
    <row r="242" ht="15" customHeight="1">
      <c r="A242" t="inlineStr">
        <is>
          <t>A 35016-2024</t>
        </is>
      </c>
      <c r="B242" s="1" t="n">
        <v>45527.59115740741</v>
      </c>
      <c r="C242" s="1" t="n">
        <v>46077</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24864-2024</t>
        </is>
      </c>
      <c r="B243" s="1" t="n">
        <v>45461.48888888889</v>
      </c>
      <c r="C243" s="1" t="n">
        <v>46077</v>
      </c>
      <c r="D243" t="inlineStr">
        <is>
          <t>VÄSTMANLANDS LÄN</t>
        </is>
      </c>
      <c r="E243" t="inlineStr">
        <is>
          <t>SALA</t>
        </is>
      </c>
      <c r="G243" t="n">
        <v>0.6</v>
      </c>
      <c r="H243" t="n">
        <v>0</v>
      </c>
      <c r="I243" t="n">
        <v>0</v>
      </c>
      <c r="J243" t="n">
        <v>0</v>
      </c>
      <c r="K243" t="n">
        <v>0</v>
      </c>
      <c r="L243" t="n">
        <v>0</v>
      </c>
      <c r="M243" t="n">
        <v>0</v>
      </c>
      <c r="N243" t="n">
        <v>0</v>
      </c>
      <c r="O243" t="n">
        <v>0</v>
      </c>
      <c r="P243" t="n">
        <v>0</v>
      </c>
      <c r="Q243" t="n">
        <v>0</v>
      </c>
      <c r="R243" s="2" t="inlineStr"/>
    </row>
    <row r="244" ht="15" customHeight="1">
      <c r="A244" t="inlineStr">
        <is>
          <t>A 1118-2024</t>
        </is>
      </c>
      <c r="B244" s="1" t="n">
        <v>45302</v>
      </c>
      <c r="C244" s="1" t="n">
        <v>46077</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13746-2025</t>
        </is>
      </c>
      <c r="B245" s="1" t="n">
        <v>45737.40944444444</v>
      </c>
      <c r="C245" s="1" t="n">
        <v>46077</v>
      </c>
      <c r="D245" t="inlineStr">
        <is>
          <t>VÄSTMANLANDS LÄN</t>
        </is>
      </c>
      <c r="E245" t="inlineStr">
        <is>
          <t>SALA</t>
        </is>
      </c>
      <c r="G245" t="n">
        <v>2.1</v>
      </c>
      <c r="H245" t="n">
        <v>0</v>
      </c>
      <c r="I245" t="n">
        <v>0</v>
      </c>
      <c r="J245" t="n">
        <v>0</v>
      </c>
      <c r="K245" t="n">
        <v>0</v>
      </c>
      <c r="L245" t="n">
        <v>0</v>
      </c>
      <c r="M245" t="n">
        <v>0</v>
      </c>
      <c r="N245" t="n">
        <v>0</v>
      </c>
      <c r="O245" t="n">
        <v>0</v>
      </c>
      <c r="P245" t="n">
        <v>0</v>
      </c>
      <c r="Q245" t="n">
        <v>0</v>
      </c>
      <c r="R245" s="2" t="inlineStr"/>
    </row>
    <row r="246" ht="15" customHeight="1">
      <c r="A246" t="inlineStr">
        <is>
          <t>A 31950-2023</t>
        </is>
      </c>
      <c r="B246" s="1" t="n">
        <v>45107</v>
      </c>
      <c r="C246" s="1" t="n">
        <v>46077</v>
      </c>
      <c r="D246" t="inlineStr">
        <is>
          <t>VÄSTMANLANDS LÄN</t>
        </is>
      </c>
      <c r="E246" t="inlineStr">
        <is>
          <t>SALA</t>
        </is>
      </c>
      <c r="G246" t="n">
        <v>0.1</v>
      </c>
      <c r="H246" t="n">
        <v>0</v>
      </c>
      <c r="I246" t="n">
        <v>0</v>
      </c>
      <c r="J246" t="n">
        <v>0</v>
      </c>
      <c r="K246" t="n">
        <v>0</v>
      </c>
      <c r="L246" t="n">
        <v>0</v>
      </c>
      <c r="M246" t="n">
        <v>0</v>
      </c>
      <c r="N246" t="n">
        <v>0</v>
      </c>
      <c r="O246" t="n">
        <v>0</v>
      </c>
      <c r="P246" t="n">
        <v>0</v>
      </c>
      <c r="Q246" t="n">
        <v>0</v>
      </c>
      <c r="R246" s="2" t="inlineStr"/>
    </row>
    <row r="247" ht="15" customHeight="1">
      <c r="A247" t="inlineStr">
        <is>
          <t>A 37612-2024</t>
        </is>
      </c>
      <c r="B247" s="1" t="n">
        <v>45541</v>
      </c>
      <c r="C247" s="1" t="n">
        <v>46077</v>
      </c>
      <c r="D247" t="inlineStr">
        <is>
          <t>VÄSTMANLANDS LÄN</t>
        </is>
      </c>
      <c r="E247" t="inlineStr">
        <is>
          <t>SALA</t>
        </is>
      </c>
      <c r="G247" t="n">
        <v>2.2</v>
      </c>
      <c r="H247" t="n">
        <v>0</v>
      </c>
      <c r="I247" t="n">
        <v>0</v>
      </c>
      <c r="J247" t="n">
        <v>0</v>
      </c>
      <c r="K247" t="n">
        <v>0</v>
      </c>
      <c r="L247" t="n">
        <v>0</v>
      </c>
      <c r="M247" t="n">
        <v>0</v>
      </c>
      <c r="N247" t="n">
        <v>0</v>
      </c>
      <c r="O247" t="n">
        <v>0</v>
      </c>
      <c r="P247" t="n">
        <v>0</v>
      </c>
      <c r="Q247" t="n">
        <v>0</v>
      </c>
      <c r="R247" s="2" t="inlineStr"/>
    </row>
    <row r="248" ht="15" customHeight="1">
      <c r="A248" t="inlineStr">
        <is>
          <t>A 37615-2024</t>
        </is>
      </c>
      <c r="B248" s="1" t="n">
        <v>45541.50673611111</v>
      </c>
      <c r="C248" s="1" t="n">
        <v>46077</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5728-2022</t>
        </is>
      </c>
      <c r="B249" s="1" t="n">
        <v>44596.42082175926</v>
      </c>
      <c r="C249" s="1" t="n">
        <v>46077</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25897-2024</t>
        </is>
      </c>
      <c r="B250" s="1" t="n">
        <v>45467.54435185185</v>
      </c>
      <c r="C250" s="1" t="n">
        <v>46077</v>
      </c>
      <c r="D250" t="inlineStr">
        <is>
          <t>VÄSTMANLANDS LÄN</t>
        </is>
      </c>
      <c r="E250" t="inlineStr">
        <is>
          <t>SALA</t>
        </is>
      </c>
      <c r="G250" t="n">
        <v>9.9</v>
      </c>
      <c r="H250" t="n">
        <v>0</v>
      </c>
      <c r="I250" t="n">
        <v>0</v>
      </c>
      <c r="J250" t="n">
        <v>0</v>
      </c>
      <c r="K250" t="n">
        <v>0</v>
      </c>
      <c r="L250" t="n">
        <v>0</v>
      </c>
      <c r="M250" t="n">
        <v>0</v>
      </c>
      <c r="N250" t="n">
        <v>0</v>
      </c>
      <c r="O250" t="n">
        <v>0</v>
      </c>
      <c r="P250" t="n">
        <v>0</v>
      </c>
      <c r="Q250" t="n">
        <v>0</v>
      </c>
      <c r="R250" s="2" t="inlineStr"/>
    </row>
    <row r="251" ht="15" customHeight="1">
      <c r="A251" t="inlineStr">
        <is>
          <t>A 23222-2023</t>
        </is>
      </c>
      <c r="B251" s="1" t="n">
        <v>45075</v>
      </c>
      <c r="C251" s="1" t="n">
        <v>46077</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23224-2023</t>
        </is>
      </c>
      <c r="B252" s="1" t="n">
        <v>45075.65040509259</v>
      </c>
      <c r="C252" s="1" t="n">
        <v>46077</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50479-2022</t>
        </is>
      </c>
      <c r="B253" s="1" t="n">
        <v>44861</v>
      </c>
      <c r="C253" s="1" t="n">
        <v>46077</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16693-2023</t>
        </is>
      </c>
      <c r="B254" s="1" t="n">
        <v>45028</v>
      </c>
      <c r="C254" s="1" t="n">
        <v>46077</v>
      </c>
      <c r="D254" t="inlineStr">
        <is>
          <t>VÄSTMANLANDS LÄN</t>
        </is>
      </c>
      <c r="E254" t="inlineStr">
        <is>
          <t>SALA</t>
        </is>
      </c>
      <c r="G254" t="n">
        <v>1.5</v>
      </c>
      <c r="H254" t="n">
        <v>0</v>
      </c>
      <c r="I254" t="n">
        <v>0</v>
      </c>
      <c r="J254" t="n">
        <v>0</v>
      </c>
      <c r="K254" t="n">
        <v>0</v>
      </c>
      <c r="L254" t="n">
        <v>0</v>
      </c>
      <c r="M254" t="n">
        <v>0</v>
      </c>
      <c r="N254" t="n">
        <v>0</v>
      </c>
      <c r="O254" t="n">
        <v>0</v>
      </c>
      <c r="P254" t="n">
        <v>0</v>
      </c>
      <c r="Q254" t="n">
        <v>0</v>
      </c>
      <c r="R254" s="2" t="inlineStr"/>
    </row>
    <row r="255" ht="15" customHeight="1">
      <c r="A255" t="inlineStr">
        <is>
          <t>A 23182-2022</t>
        </is>
      </c>
      <c r="B255" s="1" t="n">
        <v>44719.79707175926</v>
      </c>
      <c r="C255" s="1" t="n">
        <v>46077</v>
      </c>
      <c r="D255" t="inlineStr">
        <is>
          <t>VÄSTMANLANDS LÄN</t>
        </is>
      </c>
      <c r="E255" t="inlineStr">
        <is>
          <t>SALA</t>
        </is>
      </c>
      <c r="G255" t="n">
        <v>1.2</v>
      </c>
      <c r="H255" t="n">
        <v>0</v>
      </c>
      <c r="I255" t="n">
        <v>0</v>
      </c>
      <c r="J255" t="n">
        <v>0</v>
      </c>
      <c r="K255" t="n">
        <v>0</v>
      </c>
      <c r="L255" t="n">
        <v>0</v>
      </c>
      <c r="M255" t="n">
        <v>0</v>
      </c>
      <c r="N255" t="n">
        <v>0</v>
      </c>
      <c r="O255" t="n">
        <v>0</v>
      </c>
      <c r="P255" t="n">
        <v>0</v>
      </c>
      <c r="Q255" t="n">
        <v>0</v>
      </c>
      <c r="R255" s="2" t="inlineStr"/>
    </row>
    <row r="256" ht="15" customHeight="1">
      <c r="A256" t="inlineStr">
        <is>
          <t>A 19751-2022</t>
        </is>
      </c>
      <c r="B256" s="1" t="n">
        <v>44694</v>
      </c>
      <c r="C256" s="1" t="n">
        <v>46077</v>
      </c>
      <c r="D256" t="inlineStr">
        <is>
          <t>VÄSTMANLANDS LÄN</t>
        </is>
      </c>
      <c r="E256" t="inlineStr">
        <is>
          <t>SALA</t>
        </is>
      </c>
      <c r="G256" t="n">
        <v>2.7</v>
      </c>
      <c r="H256" t="n">
        <v>0</v>
      </c>
      <c r="I256" t="n">
        <v>0</v>
      </c>
      <c r="J256" t="n">
        <v>0</v>
      </c>
      <c r="K256" t="n">
        <v>0</v>
      </c>
      <c r="L256" t="n">
        <v>0</v>
      </c>
      <c r="M256" t="n">
        <v>0</v>
      </c>
      <c r="N256" t="n">
        <v>0</v>
      </c>
      <c r="O256" t="n">
        <v>0</v>
      </c>
      <c r="P256" t="n">
        <v>0</v>
      </c>
      <c r="Q256" t="n">
        <v>0</v>
      </c>
      <c r="R256" s="2" t="inlineStr"/>
    </row>
    <row r="257" ht="15" customHeight="1">
      <c r="A257" t="inlineStr">
        <is>
          <t>A 14919-2025</t>
        </is>
      </c>
      <c r="B257" s="1" t="n">
        <v>45743.54256944444</v>
      </c>
      <c r="C257" s="1" t="n">
        <v>46077</v>
      </c>
      <c r="D257" t="inlineStr">
        <is>
          <t>VÄSTMANLANDS LÄN</t>
        </is>
      </c>
      <c r="E257" t="inlineStr">
        <is>
          <t>SALA</t>
        </is>
      </c>
      <c r="G257" t="n">
        <v>0.6</v>
      </c>
      <c r="H257" t="n">
        <v>0</v>
      </c>
      <c r="I257" t="n">
        <v>0</v>
      </c>
      <c r="J257" t="n">
        <v>0</v>
      </c>
      <c r="K257" t="n">
        <v>0</v>
      </c>
      <c r="L257" t="n">
        <v>0</v>
      </c>
      <c r="M257" t="n">
        <v>0</v>
      </c>
      <c r="N257" t="n">
        <v>0</v>
      </c>
      <c r="O257" t="n">
        <v>0</v>
      </c>
      <c r="P257" t="n">
        <v>0</v>
      </c>
      <c r="Q257" t="n">
        <v>0</v>
      </c>
      <c r="R257" s="2" t="inlineStr"/>
    </row>
    <row r="258" ht="15" customHeight="1">
      <c r="A258" t="inlineStr">
        <is>
          <t>A 57371-2022</t>
        </is>
      </c>
      <c r="B258" s="1" t="n">
        <v>44896.43832175926</v>
      </c>
      <c r="C258" s="1" t="n">
        <v>46077</v>
      </c>
      <c r="D258" t="inlineStr">
        <is>
          <t>VÄSTMANLANDS LÄN</t>
        </is>
      </c>
      <c r="E258" t="inlineStr">
        <is>
          <t>SALA</t>
        </is>
      </c>
      <c r="G258" t="n">
        <v>0.7</v>
      </c>
      <c r="H258" t="n">
        <v>0</v>
      </c>
      <c r="I258" t="n">
        <v>0</v>
      </c>
      <c r="J258" t="n">
        <v>0</v>
      </c>
      <c r="K258" t="n">
        <v>0</v>
      </c>
      <c r="L258" t="n">
        <v>0</v>
      </c>
      <c r="M258" t="n">
        <v>0</v>
      </c>
      <c r="N258" t="n">
        <v>0</v>
      </c>
      <c r="O258" t="n">
        <v>0</v>
      </c>
      <c r="P258" t="n">
        <v>0</v>
      </c>
      <c r="Q258" t="n">
        <v>0</v>
      </c>
      <c r="R258" s="2" t="inlineStr"/>
    </row>
    <row r="259" ht="15" customHeight="1">
      <c r="A259" t="inlineStr">
        <is>
          <t>A 14920-2025</t>
        </is>
      </c>
      <c r="B259" s="1" t="n">
        <v>45743</v>
      </c>
      <c r="C259" s="1" t="n">
        <v>46077</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13855-2023</t>
        </is>
      </c>
      <c r="B260" s="1" t="n">
        <v>45007</v>
      </c>
      <c r="C260" s="1" t="n">
        <v>46077</v>
      </c>
      <c r="D260" t="inlineStr">
        <is>
          <t>VÄSTMANLANDS LÄN</t>
        </is>
      </c>
      <c r="E260" t="inlineStr">
        <is>
          <t>SALA</t>
        </is>
      </c>
      <c r="G260" t="n">
        <v>2.9</v>
      </c>
      <c r="H260" t="n">
        <v>0</v>
      </c>
      <c r="I260" t="n">
        <v>0</v>
      </c>
      <c r="J260" t="n">
        <v>0</v>
      </c>
      <c r="K260" t="n">
        <v>0</v>
      </c>
      <c r="L260" t="n">
        <v>0</v>
      </c>
      <c r="M260" t="n">
        <v>0</v>
      </c>
      <c r="N260" t="n">
        <v>0</v>
      </c>
      <c r="O260" t="n">
        <v>0</v>
      </c>
      <c r="P260" t="n">
        <v>0</v>
      </c>
      <c r="Q260" t="n">
        <v>0</v>
      </c>
      <c r="R260" s="2" t="inlineStr"/>
    </row>
    <row r="261" ht="15" customHeight="1">
      <c r="A261" t="inlineStr">
        <is>
          <t>A 56548-2024</t>
        </is>
      </c>
      <c r="B261" s="1" t="n">
        <v>45625</v>
      </c>
      <c r="C261" s="1" t="n">
        <v>46077</v>
      </c>
      <c r="D261" t="inlineStr">
        <is>
          <t>VÄSTMANLANDS LÄN</t>
        </is>
      </c>
      <c r="E261" t="inlineStr">
        <is>
          <t>SALA</t>
        </is>
      </c>
      <c r="G261" t="n">
        <v>0.7</v>
      </c>
      <c r="H261" t="n">
        <v>0</v>
      </c>
      <c r="I261" t="n">
        <v>0</v>
      </c>
      <c r="J261" t="n">
        <v>0</v>
      </c>
      <c r="K261" t="n">
        <v>0</v>
      </c>
      <c r="L261" t="n">
        <v>0</v>
      </c>
      <c r="M261" t="n">
        <v>0</v>
      </c>
      <c r="N261" t="n">
        <v>0</v>
      </c>
      <c r="O261" t="n">
        <v>0</v>
      </c>
      <c r="P261" t="n">
        <v>0</v>
      </c>
      <c r="Q261" t="n">
        <v>0</v>
      </c>
      <c r="R261" s="2" t="inlineStr"/>
    </row>
    <row r="262" ht="15" customHeight="1">
      <c r="A262" t="inlineStr">
        <is>
          <t>A 47086-2022</t>
        </is>
      </c>
      <c r="B262" s="1" t="n">
        <v>44852</v>
      </c>
      <c r="C262" s="1" t="n">
        <v>46077</v>
      </c>
      <c r="D262" t="inlineStr">
        <is>
          <t>VÄSTMANLANDS LÄN</t>
        </is>
      </c>
      <c r="E262" t="inlineStr">
        <is>
          <t>SALA</t>
        </is>
      </c>
      <c r="G262" t="n">
        <v>12.5</v>
      </c>
      <c r="H262" t="n">
        <v>0</v>
      </c>
      <c r="I262" t="n">
        <v>0</v>
      </c>
      <c r="J262" t="n">
        <v>0</v>
      </c>
      <c r="K262" t="n">
        <v>0</v>
      </c>
      <c r="L262" t="n">
        <v>0</v>
      </c>
      <c r="M262" t="n">
        <v>0</v>
      </c>
      <c r="N262" t="n">
        <v>0</v>
      </c>
      <c r="O262" t="n">
        <v>0</v>
      </c>
      <c r="P262" t="n">
        <v>0</v>
      </c>
      <c r="Q262" t="n">
        <v>0</v>
      </c>
      <c r="R262" s="2" t="inlineStr"/>
    </row>
    <row r="263" ht="15" customHeight="1">
      <c r="A263" t="inlineStr">
        <is>
          <t>A 18877-2023</t>
        </is>
      </c>
      <c r="B263" s="1" t="n">
        <v>45044</v>
      </c>
      <c r="C263" s="1" t="n">
        <v>46077</v>
      </c>
      <c r="D263" t="inlineStr">
        <is>
          <t>VÄSTMANLANDS LÄN</t>
        </is>
      </c>
      <c r="E263" t="inlineStr">
        <is>
          <t>SALA</t>
        </is>
      </c>
      <c r="F263" t="inlineStr">
        <is>
          <t>Kommuner</t>
        </is>
      </c>
      <c r="G263" t="n">
        <v>4.4</v>
      </c>
      <c r="H263" t="n">
        <v>0</v>
      </c>
      <c r="I263" t="n">
        <v>0</v>
      </c>
      <c r="J263" t="n">
        <v>0</v>
      </c>
      <c r="K263" t="n">
        <v>0</v>
      </c>
      <c r="L263" t="n">
        <v>0</v>
      </c>
      <c r="M263" t="n">
        <v>0</v>
      </c>
      <c r="N263" t="n">
        <v>0</v>
      </c>
      <c r="O263" t="n">
        <v>0</v>
      </c>
      <c r="P263" t="n">
        <v>0</v>
      </c>
      <c r="Q263" t="n">
        <v>0</v>
      </c>
      <c r="R263" s="2" t="inlineStr"/>
    </row>
    <row r="264" ht="15" customHeight="1">
      <c r="A264" t="inlineStr">
        <is>
          <t>A 55556-2023</t>
        </is>
      </c>
      <c r="B264" s="1" t="n">
        <v>45232</v>
      </c>
      <c r="C264" s="1" t="n">
        <v>46077</v>
      </c>
      <c r="D264" t="inlineStr">
        <is>
          <t>VÄSTMANLANDS LÄN</t>
        </is>
      </c>
      <c r="E264" t="inlineStr">
        <is>
          <t>SALA</t>
        </is>
      </c>
      <c r="G264" t="n">
        <v>1.3</v>
      </c>
      <c r="H264" t="n">
        <v>0</v>
      </c>
      <c r="I264" t="n">
        <v>0</v>
      </c>
      <c r="J264" t="n">
        <v>0</v>
      </c>
      <c r="K264" t="n">
        <v>0</v>
      </c>
      <c r="L264" t="n">
        <v>0</v>
      </c>
      <c r="M264" t="n">
        <v>0</v>
      </c>
      <c r="N264" t="n">
        <v>0</v>
      </c>
      <c r="O264" t="n">
        <v>0</v>
      </c>
      <c r="P264" t="n">
        <v>0</v>
      </c>
      <c r="Q264" t="n">
        <v>0</v>
      </c>
      <c r="R264" s="2" t="inlineStr"/>
    </row>
    <row r="265" ht="15" customHeight="1">
      <c r="A265" t="inlineStr">
        <is>
          <t>A 34494-2023</t>
        </is>
      </c>
      <c r="B265" s="1" t="n">
        <v>45133</v>
      </c>
      <c r="C265" s="1" t="n">
        <v>46077</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13752-2025</t>
        </is>
      </c>
      <c r="B266" s="1" t="n">
        <v>45737.41416666667</v>
      </c>
      <c r="C266" s="1" t="n">
        <v>46077</v>
      </c>
      <c r="D266" t="inlineStr">
        <is>
          <t>VÄSTMANLANDS LÄN</t>
        </is>
      </c>
      <c r="E266" t="inlineStr">
        <is>
          <t>SALA</t>
        </is>
      </c>
      <c r="G266" t="n">
        <v>0.4</v>
      </c>
      <c r="H266" t="n">
        <v>0</v>
      </c>
      <c r="I266" t="n">
        <v>0</v>
      </c>
      <c r="J266" t="n">
        <v>0</v>
      </c>
      <c r="K266" t="n">
        <v>0</v>
      </c>
      <c r="L266" t="n">
        <v>0</v>
      </c>
      <c r="M266" t="n">
        <v>0</v>
      </c>
      <c r="N266" t="n">
        <v>0</v>
      </c>
      <c r="O266" t="n">
        <v>0</v>
      </c>
      <c r="P266" t="n">
        <v>0</v>
      </c>
      <c r="Q266" t="n">
        <v>0</v>
      </c>
      <c r="R266" s="2" t="inlineStr"/>
    </row>
    <row r="267" ht="15" customHeight="1">
      <c r="A267" t="inlineStr">
        <is>
          <t>A 6312-2025</t>
        </is>
      </c>
      <c r="B267" s="1" t="n">
        <v>45698</v>
      </c>
      <c r="C267" s="1" t="n">
        <v>46077</v>
      </c>
      <c r="D267" t="inlineStr">
        <is>
          <t>VÄSTMANLANDS LÄN</t>
        </is>
      </c>
      <c r="E267" t="inlineStr">
        <is>
          <t>SALA</t>
        </is>
      </c>
      <c r="G267" t="n">
        <v>1.2</v>
      </c>
      <c r="H267" t="n">
        <v>0</v>
      </c>
      <c r="I267" t="n">
        <v>0</v>
      </c>
      <c r="J267" t="n">
        <v>0</v>
      </c>
      <c r="K267" t="n">
        <v>0</v>
      </c>
      <c r="L267" t="n">
        <v>0</v>
      </c>
      <c r="M267" t="n">
        <v>0</v>
      </c>
      <c r="N267" t="n">
        <v>0</v>
      </c>
      <c r="O267" t="n">
        <v>0</v>
      </c>
      <c r="P267" t="n">
        <v>0</v>
      </c>
      <c r="Q267" t="n">
        <v>0</v>
      </c>
      <c r="R267" s="2" t="inlineStr"/>
    </row>
    <row r="268" ht="15" customHeight="1">
      <c r="A268" t="inlineStr">
        <is>
          <t>A 55035-2023</t>
        </is>
      </c>
      <c r="B268" s="1" t="n">
        <v>45229</v>
      </c>
      <c r="C268" s="1" t="n">
        <v>46077</v>
      </c>
      <c r="D268" t="inlineStr">
        <is>
          <t>VÄSTMANLANDS LÄN</t>
        </is>
      </c>
      <c r="E268" t="inlineStr">
        <is>
          <t>SALA</t>
        </is>
      </c>
      <c r="G268" t="n">
        <v>1.1</v>
      </c>
      <c r="H268" t="n">
        <v>0</v>
      </c>
      <c r="I268" t="n">
        <v>0</v>
      </c>
      <c r="J268" t="n">
        <v>0</v>
      </c>
      <c r="K268" t="n">
        <v>0</v>
      </c>
      <c r="L268" t="n">
        <v>0</v>
      </c>
      <c r="M268" t="n">
        <v>0</v>
      </c>
      <c r="N268" t="n">
        <v>0</v>
      </c>
      <c r="O268" t="n">
        <v>0</v>
      </c>
      <c r="P268" t="n">
        <v>0</v>
      </c>
      <c r="Q268" t="n">
        <v>0</v>
      </c>
      <c r="R268" s="2" t="inlineStr"/>
    </row>
    <row r="269" ht="15" customHeight="1">
      <c r="A269" t="inlineStr">
        <is>
          <t>A 19398-2025</t>
        </is>
      </c>
      <c r="B269" s="1" t="n">
        <v>45769</v>
      </c>
      <c r="C269" s="1" t="n">
        <v>46077</v>
      </c>
      <c r="D269" t="inlineStr">
        <is>
          <t>VÄSTMANLANDS LÄN</t>
        </is>
      </c>
      <c r="E269" t="inlineStr">
        <is>
          <t>SALA</t>
        </is>
      </c>
      <c r="G269" t="n">
        <v>0.4</v>
      </c>
      <c r="H269" t="n">
        <v>0</v>
      </c>
      <c r="I269" t="n">
        <v>0</v>
      </c>
      <c r="J269" t="n">
        <v>0</v>
      </c>
      <c r="K269" t="n">
        <v>0</v>
      </c>
      <c r="L269" t="n">
        <v>0</v>
      </c>
      <c r="M269" t="n">
        <v>0</v>
      </c>
      <c r="N269" t="n">
        <v>0</v>
      </c>
      <c r="O269" t="n">
        <v>0</v>
      </c>
      <c r="P269" t="n">
        <v>0</v>
      </c>
      <c r="Q269" t="n">
        <v>0</v>
      </c>
      <c r="R269" s="2" t="inlineStr"/>
    </row>
    <row r="270" ht="15" customHeight="1">
      <c r="A270" t="inlineStr">
        <is>
          <t>A 988-2025</t>
        </is>
      </c>
      <c r="B270" s="1" t="n">
        <v>45666.44038194444</v>
      </c>
      <c r="C270" s="1" t="n">
        <v>46077</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5032-2025</t>
        </is>
      </c>
      <c r="B271" s="1" t="n">
        <v>45691</v>
      </c>
      <c r="C271" s="1" t="n">
        <v>46077</v>
      </c>
      <c r="D271" t="inlineStr">
        <is>
          <t>VÄSTMANLANDS LÄN</t>
        </is>
      </c>
      <c r="E271" t="inlineStr">
        <is>
          <t>SALA</t>
        </is>
      </c>
      <c r="G271" t="n">
        <v>0.9</v>
      </c>
      <c r="H271" t="n">
        <v>0</v>
      </c>
      <c r="I271" t="n">
        <v>0</v>
      </c>
      <c r="J271" t="n">
        <v>0</v>
      </c>
      <c r="K271" t="n">
        <v>0</v>
      </c>
      <c r="L271" t="n">
        <v>0</v>
      </c>
      <c r="M271" t="n">
        <v>0</v>
      </c>
      <c r="N271" t="n">
        <v>0</v>
      </c>
      <c r="O271" t="n">
        <v>0</v>
      </c>
      <c r="P271" t="n">
        <v>0</v>
      </c>
      <c r="Q271" t="n">
        <v>0</v>
      </c>
      <c r="R271" s="2" t="inlineStr"/>
    </row>
    <row r="272" ht="15" customHeight="1">
      <c r="A272" t="inlineStr">
        <is>
          <t>A 22921-2023</t>
        </is>
      </c>
      <c r="B272" s="1" t="n">
        <v>45070</v>
      </c>
      <c r="C272" s="1" t="n">
        <v>46077</v>
      </c>
      <c r="D272" t="inlineStr">
        <is>
          <t>VÄSTMANLANDS LÄN</t>
        </is>
      </c>
      <c r="E272" t="inlineStr">
        <is>
          <t>SALA</t>
        </is>
      </c>
      <c r="G272" t="n">
        <v>1.3</v>
      </c>
      <c r="H272" t="n">
        <v>0</v>
      </c>
      <c r="I272" t="n">
        <v>0</v>
      </c>
      <c r="J272" t="n">
        <v>0</v>
      </c>
      <c r="K272" t="n">
        <v>0</v>
      </c>
      <c r="L272" t="n">
        <v>0</v>
      </c>
      <c r="M272" t="n">
        <v>0</v>
      </c>
      <c r="N272" t="n">
        <v>0</v>
      </c>
      <c r="O272" t="n">
        <v>0</v>
      </c>
      <c r="P272" t="n">
        <v>0</v>
      </c>
      <c r="Q272" t="n">
        <v>0</v>
      </c>
      <c r="R272" s="2" t="inlineStr"/>
    </row>
    <row r="273" ht="15" customHeight="1">
      <c r="A273" t="inlineStr">
        <is>
          <t>A 16133-2025</t>
        </is>
      </c>
      <c r="B273" s="1" t="n">
        <v>45750</v>
      </c>
      <c r="C273" s="1" t="n">
        <v>46077</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52500-2024</t>
        </is>
      </c>
      <c r="B274" s="1" t="n">
        <v>45609</v>
      </c>
      <c r="C274" s="1" t="n">
        <v>46077</v>
      </c>
      <c r="D274" t="inlineStr">
        <is>
          <t>VÄSTMANLANDS LÄN</t>
        </is>
      </c>
      <c r="E274" t="inlineStr">
        <is>
          <t>SALA</t>
        </is>
      </c>
      <c r="G274" t="n">
        <v>1.3</v>
      </c>
      <c r="H274" t="n">
        <v>0</v>
      </c>
      <c r="I274" t="n">
        <v>0</v>
      </c>
      <c r="J274" t="n">
        <v>0</v>
      </c>
      <c r="K274" t="n">
        <v>0</v>
      </c>
      <c r="L274" t="n">
        <v>0</v>
      </c>
      <c r="M274" t="n">
        <v>0</v>
      </c>
      <c r="N274" t="n">
        <v>0</v>
      </c>
      <c r="O274" t="n">
        <v>0</v>
      </c>
      <c r="P274" t="n">
        <v>0</v>
      </c>
      <c r="Q274" t="n">
        <v>0</v>
      </c>
      <c r="R274" s="2" t="inlineStr"/>
    </row>
    <row r="275" ht="15" customHeight="1">
      <c r="A275" t="inlineStr">
        <is>
          <t>A 66908-2021</t>
        </is>
      </c>
      <c r="B275" s="1" t="n">
        <v>44522</v>
      </c>
      <c r="C275" s="1" t="n">
        <v>46077</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11696-2025</t>
        </is>
      </c>
      <c r="B276" s="1" t="n">
        <v>45727</v>
      </c>
      <c r="C276" s="1" t="n">
        <v>46077</v>
      </c>
      <c r="D276" t="inlineStr">
        <is>
          <t>VÄSTMANLANDS LÄN</t>
        </is>
      </c>
      <c r="E276" t="inlineStr">
        <is>
          <t>SALA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6127-2025</t>
        </is>
      </c>
      <c r="B277" s="1" t="n">
        <v>45698</v>
      </c>
      <c r="C277" s="1" t="n">
        <v>46077</v>
      </c>
      <c r="D277" t="inlineStr">
        <is>
          <t>VÄSTMANLANDS LÄN</t>
        </is>
      </c>
      <c r="E277" t="inlineStr">
        <is>
          <t>SALA</t>
        </is>
      </c>
      <c r="F277" t="inlineStr">
        <is>
          <t>Bergvik skog öst AB</t>
        </is>
      </c>
      <c r="G277" t="n">
        <v>4.3</v>
      </c>
      <c r="H277" t="n">
        <v>0</v>
      </c>
      <c r="I277" t="n">
        <v>0</v>
      </c>
      <c r="J277" t="n">
        <v>0</v>
      </c>
      <c r="K277" t="n">
        <v>0</v>
      </c>
      <c r="L277" t="n">
        <v>0</v>
      </c>
      <c r="M277" t="n">
        <v>0</v>
      </c>
      <c r="N277" t="n">
        <v>0</v>
      </c>
      <c r="O277" t="n">
        <v>0</v>
      </c>
      <c r="P277" t="n">
        <v>0</v>
      </c>
      <c r="Q277" t="n">
        <v>0</v>
      </c>
      <c r="R277" s="2" t="inlineStr"/>
    </row>
    <row r="278" ht="15" customHeight="1">
      <c r="A278" t="inlineStr">
        <is>
          <t>A 15272-2025</t>
        </is>
      </c>
      <c r="B278" s="1" t="n">
        <v>45744</v>
      </c>
      <c r="C278" s="1" t="n">
        <v>46077</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7950-2025</t>
        </is>
      </c>
      <c r="B279" s="1" t="n">
        <v>45707.41799768519</v>
      </c>
      <c r="C279" s="1" t="n">
        <v>46077</v>
      </c>
      <c r="D279" t="inlineStr">
        <is>
          <t>VÄSTMANLANDS LÄN</t>
        </is>
      </c>
      <c r="E279" t="inlineStr">
        <is>
          <t>SALA</t>
        </is>
      </c>
      <c r="G279" t="n">
        <v>3.2</v>
      </c>
      <c r="H279" t="n">
        <v>0</v>
      </c>
      <c r="I279" t="n">
        <v>0</v>
      </c>
      <c r="J279" t="n">
        <v>0</v>
      </c>
      <c r="K279" t="n">
        <v>0</v>
      </c>
      <c r="L279" t="n">
        <v>0</v>
      </c>
      <c r="M279" t="n">
        <v>0</v>
      </c>
      <c r="N279" t="n">
        <v>0</v>
      </c>
      <c r="O279" t="n">
        <v>0</v>
      </c>
      <c r="P279" t="n">
        <v>0</v>
      </c>
      <c r="Q279" t="n">
        <v>0</v>
      </c>
      <c r="R279" s="2" t="inlineStr"/>
    </row>
    <row r="280" ht="15" customHeight="1">
      <c r="A280" t="inlineStr">
        <is>
          <t>A 24248-2023</t>
        </is>
      </c>
      <c r="B280" s="1" t="n">
        <v>45079</v>
      </c>
      <c r="C280" s="1" t="n">
        <v>46077</v>
      </c>
      <c r="D280" t="inlineStr">
        <is>
          <t>VÄSTMANLANDS LÄN</t>
        </is>
      </c>
      <c r="E280" t="inlineStr">
        <is>
          <t>SALA</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2900-2023</t>
        </is>
      </c>
      <c r="B281" s="1" t="n">
        <v>44943</v>
      </c>
      <c r="C281" s="1" t="n">
        <v>46077</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43509-2021</t>
        </is>
      </c>
      <c r="B282" s="1" t="n">
        <v>44433</v>
      </c>
      <c r="C282" s="1" t="n">
        <v>46077</v>
      </c>
      <c r="D282" t="inlineStr">
        <is>
          <t>VÄSTMANLANDS LÄN</t>
        </is>
      </c>
      <c r="E282" t="inlineStr">
        <is>
          <t>SALA</t>
        </is>
      </c>
      <c r="G282" t="n">
        <v>0.8</v>
      </c>
      <c r="H282" t="n">
        <v>0</v>
      </c>
      <c r="I282" t="n">
        <v>0</v>
      </c>
      <c r="J282" t="n">
        <v>0</v>
      </c>
      <c r="K282" t="n">
        <v>0</v>
      </c>
      <c r="L282" t="n">
        <v>0</v>
      </c>
      <c r="M282" t="n">
        <v>0</v>
      </c>
      <c r="N282" t="n">
        <v>0</v>
      </c>
      <c r="O282" t="n">
        <v>0</v>
      </c>
      <c r="P282" t="n">
        <v>0</v>
      </c>
      <c r="Q282" t="n">
        <v>0</v>
      </c>
      <c r="R282" s="2" t="inlineStr"/>
    </row>
    <row r="283" ht="15" customHeight="1">
      <c r="A283" t="inlineStr">
        <is>
          <t>A 38195-2021</t>
        </is>
      </c>
      <c r="B283" s="1" t="n">
        <v>44405</v>
      </c>
      <c r="C283" s="1" t="n">
        <v>46077</v>
      </c>
      <c r="D283" t="inlineStr">
        <is>
          <t>VÄSTMANLANDS LÄN</t>
        </is>
      </c>
      <c r="E283" t="inlineStr">
        <is>
          <t>SALA</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27228-2023</t>
        </is>
      </c>
      <c r="B284" s="1" t="n">
        <v>45096.59189814814</v>
      </c>
      <c r="C284" s="1" t="n">
        <v>46077</v>
      </c>
      <c r="D284" t="inlineStr">
        <is>
          <t>VÄSTMANLANDS LÄN</t>
        </is>
      </c>
      <c r="E284" t="inlineStr">
        <is>
          <t>SALA</t>
        </is>
      </c>
      <c r="G284" t="n">
        <v>1</v>
      </c>
      <c r="H284" t="n">
        <v>0</v>
      </c>
      <c r="I284" t="n">
        <v>0</v>
      </c>
      <c r="J284" t="n">
        <v>0</v>
      </c>
      <c r="K284" t="n">
        <v>0</v>
      </c>
      <c r="L284" t="n">
        <v>0</v>
      </c>
      <c r="M284" t="n">
        <v>0</v>
      </c>
      <c r="N284" t="n">
        <v>0</v>
      </c>
      <c r="O284" t="n">
        <v>0</v>
      </c>
      <c r="P284" t="n">
        <v>0</v>
      </c>
      <c r="Q284" t="n">
        <v>0</v>
      </c>
      <c r="R284" s="2" t="inlineStr"/>
    </row>
    <row r="285" ht="15" customHeight="1">
      <c r="A285" t="inlineStr">
        <is>
          <t>A 10812-2021</t>
        </is>
      </c>
      <c r="B285" s="1" t="n">
        <v>44259</v>
      </c>
      <c r="C285" s="1" t="n">
        <v>46077</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10154-2021</t>
        </is>
      </c>
      <c r="B286" s="1" t="n">
        <v>44256</v>
      </c>
      <c r="C286" s="1" t="n">
        <v>46077</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44544-2024</t>
        </is>
      </c>
      <c r="B287" s="1" t="n">
        <v>45574.46119212963</v>
      </c>
      <c r="C287" s="1" t="n">
        <v>46077</v>
      </c>
      <c r="D287" t="inlineStr">
        <is>
          <t>VÄSTMANLANDS LÄN</t>
        </is>
      </c>
      <c r="E287" t="inlineStr">
        <is>
          <t>SALA</t>
        </is>
      </c>
      <c r="G287" t="n">
        <v>3.3</v>
      </c>
      <c r="H287" t="n">
        <v>0</v>
      </c>
      <c r="I287" t="n">
        <v>0</v>
      </c>
      <c r="J287" t="n">
        <v>0</v>
      </c>
      <c r="K287" t="n">
        <v>0</v>
      </c>
      <c r="L287" t="n">
        <v>0</v>
      </c>
      <c r="M287" t="n">
        <v>0</v>
      </c>
      <c r="N287" t="n">
        <v>0</v>
      </c>
      <c r="O287" t="n">
        <v>0</v>
      </c>
      <c r="P287" t="n">
        <v>0</v>
      </c>
      <c r="Q287" t="n">
        <v>0</v>
      </c>
      <c r="R287" s="2" t="inlineStr"/>
    </row>
    <row r="288" ht="15" customHeight="1">
      <c r="A288" t="inlineStr">
        <is>
          <t>A 53838-2022</t>
        </is>
      </c>
      <c r="B288" s="1" t="n">
        <v>44880.59363425926</v>
      </c>
      <c r="C288" s="1" t="n">
        <v>46077</v>
      </c>
      <c r="D288" t="inlineStr">
        <is>
          <t>VÄSTMANLANDS LÄN</t>
        </is>
      </c>
      <c r="E288" t="inlineStr">
        <is>
          <t>SALA</t>
        </is>
      </c>
      <c r="G288" t="n">
        <v>3.9</v>
      </c>
      <c r="H288" t="n">
        <v>0</v>
      </c>
      <c r="I288" t="n">
        <v>0</v>
      </c>
      <c r="J288" t="n">
        <v>0</v>
      </c>
      <c r="K288" t="n">
        <v>0</v>
      </c>
      <c r="L288" t="n">
        <v>0</v>
      </c>
      <c r="M288" t="n">
        <v>0</v>
      </c>
      <c r="N288" t="n">
        <v>0</v>
      </c>
      <c r="O288" t="n">
        <v>0</v>
      </c>
      <c r="P288" t="n">
        <v>0</v>
      </c>
      <c r="Q288" t="n">
        <v>0</v>
      </c>
      <c r="R288" s="2" t="inlineStr"/>
    </row>
    <row r="289" ht="15" customHeight="1">
      <c r="A289" t="inlineStr">
        <is>
          <t>A 60730-2023</t>
        </is>
      </c>
      <c r="B289" s="1" t="n">
        <v>45260</v>
      </c>
      <c r="C289" s="1" t="n">
        <v>46077</v>
      </c>
      <c r="D289" t="inlineStr">
        <is>
          <t>VÄSTMANLANDS LÄN</t>
        </is>
      </c>
      <c r="E289" t="inlineStr">
        <is>
          <t>SALA</t>
        </is>
      </c>
      <c r="G289" t="n">
        <v>1.3</v>
      </c>
      <c r="H289" t="n">
        <v>0</v>
      </c>
      <c r="I289" t="n">
        <v>0</v>
      </c>
      <c r="J289" t="n">
        <v>0</v>
      </c>
      <c r="K289" t="n">
        <v>0</v>
      </c>
      <c r="L289" t="n">
        <v>0</v>
      </c>
      <c r="M289" t="n">
        <v>0</v>
      </c>
      <c r="N289" t="n">
        <v>0</v>
      </c>
      <c r="O289" t="n">
        <v>0</v>
      </c>
      <c r="P289" t="n">
        <v>0</v>
      </c>
      <c r="Q289" t="n">
        <v>0</v>
      </c>
      <c r="R289" s="2" t="inlineStr"/>
    </row>
    <row r="290" ht="15" customHeight="1">
      <c r="A290" t="inlineStr">
        <is>
          <t>A 60731-2023</t>
        </is>
      </c>
      <c r="B290" s="1" t="n">
        <v>45260</v>
      </c>
      <c r="C290" s="1" t="n">
        <v>46077</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64729-2023</t>
        </is>
      </c>
      <c r="B291" s="1" t="n">
        <v>45281</v>
      </c>
      <c r="C291" s="1" t="n">
        <v>46077</v>
      </c>
      <c r="D291" t="inlineStr">
        <is>
          <t>VÄSTMANLANDS LÄN</t>
        </is>
      </c>
      <c r="E291" t="inlineStr">
        <is>
          <t>SALA</t>
        </is>
      </c>
      <c r="G291" t="n">
        <v>1.8</v>
      </c>
      <c r="H291" t="n">
        <v>0</v>
      </c>
      <c r="I291" t="n">
        <v>0</v>
      </c>
      <c r="J291" t="n">
        <v>0</v>
      </c>
      <c r="K291" t="n">
        <v>0</v>
      </c>
      <c r="L291" t="n">
        <v>0</v>
      </c>
      <c r="M291" t="n">
        <v>0</v>
      </c>
      <c r="N291" t="n">
        <v>0</v>
      </c>
      <c r="O291" t="n">
        <v>0</v>
      </c>
      <c r="P291" t="n">
        <v>0</v>
      </c>
      <c r="Q291" t="n">
        <v>0</v>
      </c>
      <c r="R291" s="2" t="inlineStr"/>
    </row>
    <row r="292" ht="15" customHeight="1">
      <c r="A292" t="inlineStr">
        <is>
          <t>A 16328-2025</t>
        </is>
      </c>
      <c r="B292" s="1" t="n">
        <v>45751</v>
      </c>
      <c r="C292" s="1" t="n">
        <v>46077</v>
      </c>
      <c r="D292" t="inlineStr">
        <is>
          <t>VÄSTMANLANDS LÄN</t>
        </is>
      </c>
      <c r="E292" t="inlineStr">
        <is>
          <t>SALA</t>
        </is>
      </c>
      <c r="G292" t="n">
        <v>2.9</v>
      </c>
      <c r="H292" t="n">
        <v>0</v>
      </c>
      <c r="I292" t="n">
        <v>0</v>
      </c>
      <c r="J292" t="n">
        <v>0</v>
      </c>
      <c r="K292" t="n">
        <v>0</v>
      </c>
      <c r="L292" t="n">
        <v>0</v>
      </c>
      <c r="M292" t="n">
        <v>0</v>
      </c>
      <c r="N292" t="n">
        <v>0</v>
      </c>
      <c r="O292" t="n">
        <v>0</v>
      </c>
      <c r="P292" t="n">
        <v>0</v>
      </c>
      <c r="Q292" t="n">
        <v>0</v>
      </c>
      <c r="R292" s="2" t="inlineStr"/>
    </row>
    <row r="293" ht="15" customHeight="1">
      <c r="A293" t="inlineStr">
        <is>
          <t>A 68864-2021</t>
        </is>
      </c>
      <c r="B293" s="1" t="n">
        <v>44530</v>
      </c>
      <c r="C293" s="1" t="n">
        <v>46077</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25260-2023</t>
        </is>
      </c>
      <c r="B294" s="1" t="n">
        <v>45086</v>
      </c>
      <c r="C294" s="1" t="n">
        <v>46077</v>
      </c>
      <c r="D294" t="inlineStr">
        <is>
          <t>VÄSTMANLANDS LÄN</t>
        </is>
      </c>
      <c r="E294" t="inlineStr">
        <is>
          <t>SALA</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16769-2024</t>
        </is>
      </c>
      <c r="B295" s="1" t="n">
        <v>45411.38738425926</v>
      </c>
      <c r="C295" s="1" t="n">
        <v>46077</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31609-2024</t>
        </is>
      </c>
      <c r="B296" s="1" t="n">
        <v>45506</v>
      </c>
      <c r="C296" s="1" t="n">
        <v>46077</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60249-2023</t>
        </is>
      </c>
      <c r="B297" s="1" t="n">
        <v>45258</v>
      </c>
      <c r="C297" s="1" t="n">
        <v>46077</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14271-2025</t>
        </is>
      </c>
      <c r="B298" s="1" t="n">
        <v>45740.64129629629</v>
      </c>
      <c r="C298" s="1" t="n">
        <v>46077</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69232-2021</t>
        </is>
      </c>
      <c r="B299" s="1" t="n">
        <v>44531.39696759259</v>
      </c>
      <c r="C299" s="1" t="n">
        <v>46077</v>
      </c>
      <c r="D299" t="inlineStr">
        <is>
          <t>VÄSTMANLANDS LÄN</t>
        </is>
      </c>
      <c r="E299" t="inlineStr">
        <is>
          <t>SALA</t>
        </is>
      </c>
      <c r="G299" t="n">
        <v>2.3</v>
      </c>
      <c r="H299" t="n">
        <v>0</v>
      </c>
      <c r="I299" t="n">
        <v>0</v>
      </c>
      <c r="J299" t="n">
        <v>0</v>
      </c>
      <c r="K299" t="n">
        <v>0</v>
      </c>
      <c r="L299" t="n">
        <v>0</v>
      </c>
      <c r="M299" t="n">
        <v>0</v>
      </c>
      <c r="N299" t="n">
        <v>0</v>
      </c>
      <c r="O299" t="n">
        <v>0</v>
      </c>
      <c r="P299" t="n">
        <v>0</v>
      </c>
      <c r="Q299" t="n">
        <v>0</v>
      </c>
      <c r="R299" s="2" t="inlineStr"/>
    </row>
    <row r="300" ht="15" customHeight="1">
      <c r="A300" t="inlineStr">
        <is>
          <t>A 64925-2023</t>
        </is>
      </c>
      <c r="B300" s="1" t="n">
        <v>45282</v>
      </c>
      <c r="C300" s="1" t="n">
        <v>46077</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48570-2024</t>
        </is>
      </c>
      <c r="B301" s="1" t="n">
        <v>45591</v>
      </c>
      <c r="C301" s="1" t="n">
        <v>46077</v>
      </c>
      <c r="D301" t="inlineStr">
        <is>
          <t>VÄSTMANLANDS LÄN</t>
        </is>
      </c>
      <c r="E301" t="inlineStr">
        <is>
          <t>SALA</t>
        </is>
      </c>
      <c r="G301" t="n">
        <v>3</v>
      </c>
      <c r="H301" t="n">
        <v>0</v>
      </c>
      <c r="I301" t="n">
        <v>0</v>
      </c>
      <c r="J301" t="n">
        <v>0</v>
      </c>
      <c r="K301" t="n">
        <v>0</v>
      </c>
      <c r="L301" t="n">
        <v>0</v>
      </c>
      <c r="M301" t="n">
        <v>0</v>
      </c>
      <c r="N301" t="n">
        <v>0</v>
      </c>
      <c r="O301" t="n">
        <v>0</v>
      </c>
      <c r="P301" t="n">
        <v>0</v>
      </c>
      <c r="Q301" t="n">
        <v>0</v>
      </c>
      <c r="R301" s="2" t="inlineStr"/>
    </row>
    <row r="302" ht="15" customHeight="1">
      <c r="A302" t="inlineStr">
        <is>
          <t>A 28328-2023</t>
        </is>
      </c>
      <c r="B302" s="1" t="n">
        <v>45099.71063657408</v>
      </c>
      <c r="C302" s="1" t="n">
        <v>46077</v>
      </c>
      <c r="D302" t="inlineStr">
        <is>
          <t>VÄSTMANLANDS LÄN</t>
        </is>
      </c>
      <c r="E302" t="inlineStr">
        <is>
          <t>SALA</t>
        </is>
      </c>
      <c r="G302" t="n">
        <v>1.8</v>
      </c>
      <c r="H302" t="n">
        <v>0</v>
      </c>
      <c r="I302" t="n">
        <v>0</v>
      </c>
      <c r="J302" t="n">
        <v>0</v>
      </c>
      <c r="K302" t="n">
        <v>0</v>
      </c>
      <c r="L302" t="n">
        <v>0</v>
      </c>
      <c r="M302" t="n">
        <v>0</v>
      </c>
      <c r="N302" t="n">
        <v>0</v>
      </c>
      <c r="O302" t="n">
        <v>0</v>
      </c>
      <c r="P302" t="n">
        <v>0</v>
      </c>
      <c r="Q302" t="n">
        <v>0</v>
      </c>
      <c r="R302" s="2" t="inlineStr"/>
    </row>
    <row r="303" ht="15" customHeight="1">
      <c r="A303" t="inlineStr">
        <is>
          <t>A 61517-2024</t>
        </is>
      </c>
      <c r="B303" s="1" t="n">
        <v>45645</v>
      </c>
      <c r="C303" s="1" t="n">
        <v>46077</v>
      </c>
      <c r="D303" t="inlineStr">
        <is>
          <t>VÄSTMANLANDS LÄN</t>
        </is>
      </c>
      <c r="E303" t="inlineStr">
        <is>
          <t>SALA</t>
        </is>
      </c>
      <c r="G303" t="n">
        <v>0.6</v>
      </c>
      <c r="H303" t="n">
        <v>0</v>
      </c>
      <c r="I303" t="n">
        <v>0</v>
      </c>
      <c r="J303" t="n">
        <v>0</v>
      </c>
      <c r="K303" t="n">
        <v>0</v>
      </c>
      <c r="L303" t="n">
        <v>0</v>
      </c>
      <c r="M303" t="n">
        <v>0</v>
      </c>
      <c r="N303" t="n">
        <v>0</v>
      </c>
      <c r="O303" t="n">
        <v>0</v>
      </c>
      <c r="P303" t="n">
        <v>0</v>
      </c>
      <c r="Q303" t="n">
        <v>0</v>
      </c>
      <c r="R303" s="2" t="inlineStr"/>
    </row>
    <row r="304" ht="15" customHeight="1">
      <c r="A304" t="inlineStr">
        <is>
          <t>A 40085-2024</t>
        </is>
      </c>
      <c r="B304" s="1" t="n">
        <v>45554</v>
      </c>
      <c r="C304" s="1" t="n">
        <v>46077</v>
      </c>
      <c r="D304" t="inlineStr">
        <is>
          <t>VÄSTMANLANDS LÄN</t>
        </is>
      </c>
      <c r="E304" t="inlineStr">
        <is>
          <t>SALA</t>
        </is>
      </c>
      <c r="G304" t="n">
        <v>2.8</v>
      </c>
      <c r="H304" t="n">
        <v>0</v>
      </c>
      <c r="I304" t="n">
        <v>0</v>
      </c>
      <c r="J304" t="n">
        <v>0</v>
      </c>
      <c r="K304" t="n">
        <v>0</v>
      </c>
      <c r="L304" t="n">
        <v>0</v>
      </c>
      <c r="M304" t="n">
        <v>0</v>
      </c>
      <c r="N304" t="n">
        <v>0</v>
      </c>
      <c r="O304" t="n">
        <v>0</v>
      </c>
      <c r="P304" t="n">
        <v>0</v>
      </c>
      <c r="Q304" t="n">
        <v>0</v>
      </c>
      <c r="R304" s="2" t="inlineStr"/>
    </row>
    <row r="305" ht="15" customHeight="1">
      <c r="A305" t="inlineStr">
        <is>
          <t>A 35410-2022</t>
        </is>
      </c>
      <c r="B305" s="1" t="n">
        <v>44798.62576388889</v>
      </c>
      <c r="C305" s="1" t="n">
        <v>46077</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16760-2024</t>
        </is>
      </c>
      <c r="B306" s="1" t="n">
        <v>45411</v>
      </c>
      <c r="C306" s="1" t="n">
        <v>46077</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54603-2024</t>
        </is>
      </c>
      <c r="B307" s="1" t="n">
        <v>45617.68224537037</v>
      </c>
      <c r="C307" s="1" t="n">
        <v>46077</v>
      </c>
      <c r="D307" t="inlineStr">
        <is>
          <t>VÄSTMANLANDS LÄN</t>
        </is>
      </c>
      <c r="E307" t="inlineStr">
        <is>
          <t>SALA</t>
        </is>
      </c>
      <c r="G307" t="n">
        <v>1</v>
      </c>
      <c r="H307" t="n">
        <v>0</v>
      </c>
      <c r="I307" t="n">
        <v>0</v>
      </c>
      <c r="J307" t="n">
        <v>0</v>
      </c>
      <c r="K307" t="n">
        <v>0</v>
      </c>
      <c r="L307" t="n">
        <v>0</v>
      </c>
      <c r="M307" t="n">
        <v>0</v>
      </c>
      <c r="N307" t="n">
        <v>0</v>
      </c>
      <c r="O307" t="n">
        <v>0</v>
      </c>
      <c r="P307" t="n">
        <v>0</v>
      </c>
      <c r="Q307" t="n">
        <v>0</v>
      </c>
      <c r="R307" s="2" t="inlineStr"/>
    </row>
    <row r="308" ht="15" customHeight="1">
      <c r="A308" t="inlineStr">
        <is>
          <t>A 18158-2025</t>
        </is>
      </c>
      <c r="B308" s="1" t="n">
        <v>45761</v>
      </c>
      <c r="C308" s="1" t="n">
        <v>46077</v>
      </c>
      <c r="D308" t="inlineStr">
        <is>
          <t>VÄSTMANLANDS LÄN</t>
        </is>
      </c>
      <c r="E308" t="inlineStr">
        <is>
          <t>SALA</t>
        </is>
      </c>
      <c r="F308" t="inlineStr">
        <is>
          <t>Bergvik skog öst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49661-2024</t>
        </is>
      </c>
      <c r="B309" s="1" t="n">
        <v>45596</v>
      </c>
      <c r="C309" s="1" t="n">
        <v>46077</v>
      </c>
      <c r="D309" t="inlineStr">
        <is>
          <t>VÄSTMANLANDS LÄN</t>
        </is>
      </c>
      <c r="E309" t="inlineStr">
        <is>
          <t>SALA</t>
        </is>
      </c>
      <c r="G309" t="n">
        <v>6.7</v>
      </c>
      <c r="H309" t="n">
        <v>0</v>
      </c>
      <c r="I309" t="n">
        <v>0</v>
      </c>
      <c r="J309" t="n">
        <v>0</v>
      </c>
      <c r="K309" t="n">
        <v>0</v>
      </c>
      <c r="L309" t="n">
        <v>0</v>
      </c>
      <c r="M309" t="n">
        <v>0</v>
      </c>
      <c r="N309" t="n">
        <v>0</v>
      </c>
      <c r="O309" t="n">
        <v>0</v>
      </c>
      <c r="P309" t="n">
        <v>0</v>
      </c>
      <c r="Q309" t="n">
        <v>0</v>
      </c>
      <c r="R309" s="2" t="inlineStr"/>
    </row>
    <row r="310" ht="15" customHeight="1">
      <c r="A310" t="inlineStr">
        <is>
          <t>A 59297-2023</t>
        </is>
      </c>
      <c r="B310" s="1" t="n">
        <v>45253</v>
      </c>
      <c r="C310" s="1" t="n">
        <v>46077</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35519-2024</t>
        </is>
      </c>
      <c r="B311" s="1" t="n">
        <v>45531</v>
      </c>
      <c r="C311" s="1" t="n">
        <v>46077</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6136-2025</t>
        </is>
      </c>
      <c r="B312" s="1" t="n">
        <v>45698.37601851852</v>
      </c>
      <c r="C312" s="1" t="n">
        <v>46077</v>
      </c>
      <c r="D312" t="inlineStr">
        <is>
          <t>VÄSTMANLANDS LÄN</t>
        </is>
      </c>
      <c r="E312" t="inlineStr">
        <is>
          <t>SALA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6190-2025</t>
        </is>
      </c>
      <c r="B313" s="1" t="n">
        <v>45698</v>
      </c>
      <c r="C313" s="1" t="n">
        <v>46077</v>
      </c>
      <c r="D313" t="inlineStr">
        <is>
          <t>VÄSTMANLANDS LÄN</t>
        </is>
      </c>
      <c r="E313" t="inlineStr">
        <is>
          <t>SALA</t>
        </is>
      </c>
      <c r="F313" t="inlineStr">
        <is>
          <t>Bergvik skog öst AB</t>
        </is>
      </c>
      <c r="G313" t="n">
        <v>4.6</v>
      </c>
      <c r="H313" t="n">
        <v>0</v>
      </c>
      <c r="I313" t="n">
        <v>0</v>
      </c>
      <c r="J313" t="n">
        <v>0</v>
      </c>
      <c r="K313" t="n">
        <v>0</v>
      </c>
      <c r="L313" t="n">
        <v>0</v>
      </c>
      <c r="M313" t="n">
        <v>0</v>
      </c>
      <c r="N313" t="n">
        <v>0</v>
      </c>
      <c r="O313" t="n">
        <v>0</v>
      </c>
      <c r="P313" t="n">
        <v>0</v>
      </c>
      <c r="Q313" t="n">
        <v>0</v>
      </c>
      <c r="R313" s="2" t="inlineStr"/>
    </row>
    <row r="314" ht="15" customHeight="1">
      <c r="A314" t="inlineStr">
        <is>
          <t>A 18762-2024</t>
        </is>
      </c>
      <c r="B314" s="1" t="n">
        <v>45426.55240740741</v>
      </c>
      <c r="C314" s="1" t="n">
        <v>46077</v>
      </c>
      <c r="D314" t="inlineStr">
        <is>
          <t>VÄSTMANLANDS LÄN</t>
        </is>
      </c>
      <c r="E314" t="inlineStr">
        <is>
          <t>SALA</t>
        </is>
      </c>
      <c r="G314" t="n">
        <v>6.2</v>
      </c>
      <c r="H314" t="n">
        <v>0</v>
      </c>
      <c r="I314" t="n">
        <v>0</v>
      </c>
      <c r="J314" t="n">
        <v>0</v>
      </c>
      <c r="K314" t="n">
        <v>0</v>
      </c>
      <c r="L314" t="n">
        <v>0</v>
      </c>
      <c r="M314" t="n">
        <v>0</v>
      </c>
      <c r="N314" t="n">
        <v>0</v>
      </c>
      <c r="O314" t="n">
        <v>0</v>
      </c>
      <c r="P314" t="n">
        <v>0</v>
      </c>
      <c r="Q314" t="n">
        <v>0</v>
      </c>
      <c r="R314" s="2" t="inlineStr"/>
    </row>
    <row r="315" ht="15" customHeight="1">
      <c r="A315" t="inlineStr">
        <is>
          <t>A 17120-2023</t>
        </is>
      </c>
      <c r="B315" s="1" t="n">
        <v>45034</v>
      </c>
      <c r="C315" s="1" t="n">
        <v>46077</v>
      </c>
      <c r="D315" t="inlineStr">
        <is>
          <t>VÄSTMANLANDS LÄN</t>
        </is>
      </c>
      <c r="E315" t="inlineStr">
        <is>
          <t>SALA</t>
        </is>
      </c>
      <c r="G315" t="n">
        <v>0.1</v>
      </c>
      <c r="H315" t="n">
        <v>0</v>
      </c>
      <c r="I315" t="n">
        <v>0</v>
      </c>
      <c r="J315" t="n">
        <v>0</v>
      </c>
      <c r="K315" t="n">
        <v>0</v>
      </c>
      <c r="L315" t="n">
        <v>0</v>
      </c>
      <c r="M315" t="n">
        <v>0</v>
      </c>
      <c r="N315" t="n">
        <v>0</v>
      </c>
      <c r="O315" t="n">
        <v>0</v>
      </c>
      <c r="P315" t="n">
        <v>0</v>
      </c>
      <c r="Q315" t="n">
        <v>0</v>
      </c>
      <c r="R315" s="2" t="inlineStr"/>
    </row>
    <row r="316" ht="15" customHeight="1">
      <c r="A316" t="inlineStr">
        <is>
          <t>A 54347-2024</t>
        </is>
      </c>
      <c r="B316" s="1" t="n">
        <v>45617.39325231482</v>
      </c>
      <c r="C316" s="1" t="n">
        <v>46077</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42938-2023</t>
        </is>
      </c>
      <c r="B317" s="1" t="n">
        <v>45179</v>
      </c>
      <c r="C317" s="1" t="n">
        <v>46077</v>
      </c>
      <c r="D317" t="inlineStr">
        <is>
          <t>VÄSTMANLANDS LÄN</t>
        </is>
      </c>
      <c r="E317" t="inlineStr">
        <is>
          <t>SALA</t>
        </is>
      </c>
      <c r="G317" t="n">
        <v>10.9</v>
      </c>
      <c r="H317" t="n">
        <v>0</v>
      </c>
      <c r="I317" t="n">
        <v>0</v>
      </c>
      <c r="J317" t="n">
        <v>0</v>
      </c>
      <c r="K317" t="n">
        <v>0</v>
      </c>
      <c r="L317" t="n">
        <v>0</v>
      </c>
      <c r="M317" t="n">
        <v>0</v>
      </c>
      <c r="N317" t="n">
        <v>0</v>
      </c>
      <c r="O317" t="n">
        <v>0</v>
      </c>
      <c r="P317" t="n">
        <v>0</v>
      </c>
      <c r="Q317" t="n">
        <v>0</v>
      </c>
      <c r="R317" s="2" t="inlineStr"/>
    </row>
    <row r="318" ht="15" customHeight="1">
      <c r="A318" t="inlineStr">
        <is>
          <t>A 42984-2023</t>
        </is>
      </c>
      <c r="B318" s="1" t="n">
        <v>45179</v>
      </c>
      <c r="C318" s="1" t="n">
        <v>46077</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28863-2022</t>
        </is>
      </c>
      <c r="B319" s="1" t="n">
        <v>44749.50649305555</v>
      </c>
      <c r="C319" s="1" t="n">
        <v>46077</v>
      </c>
      <c r="D319" t="inlineStr">
        <is>
          <t>VÄSTMANLANDS LÄN</t>
        </is>
      </c>
      <c r="E319" t="inlineStr">
        <is>
          <t>SALA</t>
        </is>
      </c>
      <c r="G319" t="n">
        <v>1.6</v>
      </c>
      <c r="H319" t="n">
        <v>0</v>
      </c>
      <c r="I319" t="n">
        <v>0</v>
      </c>
      <c r="J319" t="n">
        <v>0</v>
      </c>
      <c r="K319" t="n">
        <v>0</v>
      </c>
      <c r="L319" t="n">
        <v>0</v>
      </c>
      <c r="M319" t="n">
        <v>0</v>
      </c>
      <c r="N319" t="n">
        <v>0</v>
      </c>
      <c r="O319" t="n">
        <v>0</v>
      </c>
      <c r="P319" t="n">
        <v>0</v>
      </c>
      <c r="Q319" t="n">
        <v>0</v>
      </c>
      <c r="R319" s="2" t="inlineStr"/>
    </row>
    <row r="320" ht="15" customHeight="1">
      <c r="A320" t="inlineStr">
        <is>
          <t>A 15972-2024</t>
        </is>
      </c>
      <c r="B320" s="1" t="n">
        <v>45405.56498842593</v>
      </c>
      <c r="C320" s="1" t="n">
        <v>46077</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13022-2023</t>
        </is>
      </c>
      <c r="B321" s="1" t="n">
        <v>45002.33291666667</v>
      </c>
      <c r="C321" s="1" t="n">
        <v>46077</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35003-2024</t>
        </is>
      </c>
      <c r="B322" s="1" t="n">
        <v>45527.56790509259</v>
      </c>
      <c r="C322" s="1" t="n">
        <v>46077</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39714-2023</t>
        </is>
      </c>
      <c r="B323" s="1" t="n">
        <v>45167.62133101852</v>
      </c>
      <c r="C323" s="1" t="n">
        <v>46077</v>
      </c>
      <c r="D323" t="inlineStr">
        <is>
          <t>VÄSTMANLANDS LÄN</t>
        </is>
      </c>
      <c r="E323" t="inlineStr">
        <is>
          <t>SALA</t>
        </is>
      </c>
      <c r="G323" t="n">
        <v>1.3</v>
      </c>
      <c r="H323" t="n">
        <v>0</v>
      </c>
      <c r="I323" t="n">
        <v>0</v>
      </c>
      <c r="J323" t="n">
        <v>0</v>
      </c>
      <c r="K323" t="n">
        <v>0</v>
      </c>
      <c r="L323" t="n">
        <v>0</v>
      </c>
      <c r="M323" t="n">
        <v>0</v>
      </c>
      <c r="N323" t="n">
        <v>0</v>
      </c>
      <c r="O323" t="n">
        <v>0</v>
      </c>
      <c r="P323" t="n">
        <v>0</v>
      </c>
      <c r="Q323" t="n">
        <v>0</v>
      </c>
      <c r="R323" s="2" t="inlineStr"/>
    </row>
    <row r="324" ht="15" customHeight="1">
      <c r="A324" t="inlineStr">
        <is>
          <t>A 66307-2021</t>
        </is>
      </c>
      <c r="B324" s="1" t="n">
        <v>44518.48670138889</v>
      </c>
      <c r="C324" s="1" t="n">
        <v>46077</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6030-2024</t>
        </is>
      </c>
      <c r="B325" s="1" t="n">
        <v>45336.62782407407</v>
      </c>
      <c r="C325" s="1" t="n">
        <v>46077</v>
      </c>
      <c r="D325" t="inlineStr">
        <is>
          <t>VÄSTMANLANDS LÄN</t>
        </is>
      </c>
      <c r="E325" t="inlineStr">
        <is>
          <t>SALA</t>
        </is>
      </c>
      <c r="G325" t="n">
        <v>3.9</v>
      </c>
      <c r="H325" t="n">
        <v>0</v>
      </c>
      <c r="I325" t="n">
        <v>0</v>
      </c>
      <c r="J325" t="n">
        <v>0</v>
      </c>
      <c r="K325" t="n">
        <v>0</v>
      </c>
      <c r="L325" t="n">
        <v>0</v>
      </c>
      <c r="M325" t="n">
        <v>0</v>
      </c>
      <c r="N325" t="n">
        <v>0</v>
      </c>
      <c r="O325" t="n">
        <v>0</v>
      </c>
      <c r="P325" t="n">
        <v>0</v>
      </c>
      <c r="Q325" t="n">
        <v>0</v>
      </c>
      <c r="R325" s="2" t="inlineStr"/>
    </row>
    <row r="326" ht="15" customHeight="1">
      <c r="A326" t="inlineStr">
        <is>
          <t>A 33527-2023</t>
        </is>
      </c>
      <c r="B326" s="1" t="n">
        <v>45131</v>
      </c>
      <c r="C326" s="1" t="n">
        <v>46077</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25541-2024</t>
        </is>
      </c>
      <c r="B327" s="1" t="n">
        <v>45463.56337962963</v>
      </c>
      <c r="C327" s="1" t="n">
        <v>46077</v>
      </c>
      <c r="D327" t="inlineStr">
        <is>
          <t>VÄSTMANLANDS LÄN</t>
        </is>
      </c>
      <c r="E327" t="inlineStr">
        <is>
          <t>SALA</t>
        </is>
      </c>
      <c r="G327" t="n">
        <v>0.5</v>
      </c>
      <c r="H327" t="n">
        <v>0</v>
      </c>
      <c r="I327" t="n">
        <v>0</v>
      </c>
      <c r="J327" t="n">
        <v>0</v>
      </c>
      <c r="K327" t="n">
        <v>0</v>
      </c>
      <c r="L327" t="n">
        <v>0</v>
      </c>
      <c r="M327" t="n">
        <v>0</v>
      </c>
      <c r="N327" t="n">
        <v>0</v>
      </c>
      <c r="O327" t="n">
        <v>0</v>
      </c>
      <c r="P327" t="n">
        <v>0</v>
      </c>
      <c r="Q327" t="n">
        <v>0</v>
      </c>
      <c r="R327" s="2" t="inlineStr"/>
    </row>
    <row r="328" ht="15" customHeight="1">
      <c r="A328" t="inlineStr">
        <is>
          <t>A 26761-2023</t>
        </is>
      </c>
      <c r="B328" s="1" t="n">
        <v>45093</v>
      </c>
      <c r="C328" s="1" t="n">
        <v>46077</v>
      </c>
      <c r="D328" t="inlineStr">
        <is>
          <t>VÄSTMANLANDS LÄN</t>
        </is>
      </c>
      <c r="E328" t="inlineStr">
        <is>
          <t>SALA</t>
        </is>
      </c>
      <c r="G328" t="n">
        <v>4.3</v>
      </c>
      <c r="H328" t="n">
        <v>0</v>
      </c>
      <c r="I328" t="n">
        <v>0</v>
      </c>
      <c r="J328" t="n">
        <v>0</v>
      </c>
      <c r="K328" t="n">
        <v>0</v>
      </c>
      <c r="L328" t="n">
        <v>0</v>
      </c>
      <c r="M328" t="n">
        <v>0</v>
      </c>
      <c r="N328" t="n">
        <v>0</v>
      </c>
      <c r="O328" t="n">
        <v>0</v>
      </c>
      <c r="P328" t="n">
        <v>0</v>
      </c>
      <c r="Q328" t="n">
        <v>0</v>
      </c>
      <c r="R328" s="2" t="inlineStr"/>
    </row>
    <row r="329" ht="15" customHeight="1">
      <c r="A329" t="inlineStr">
        <is>
          <t>A 61892-2021</t>
        </is>
      </c>
      <c r="B329" s="1" t="n">
        <v>44502</v>
      </c>
      <c r="C329" s="1" t="n">
        <v>46077</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10913-2025</t>
        </is>
      </c>
      <c r="B330" s="1" t="n">
        <v>45722.73423611111</v>
      </c>
      <c r="C330" s="1" t="n">
        <v>46077</v>
      </c>
      <c r="D330" t="inlineStr">
        <is>
          <t>VÄSTMANLANDS LÄN</t>
        </is>
      </c>
      <c r="E330" t="inlineStr">
        <is>
          <t>SALA</t>
        </is>
      </c>
      <c r="G330" t="n">
        <v>7.6</v>
      </c>
      <c r="H330" t="n">
        <v>0</v>
      </c>
      <c r="I330" t="n">
        <v>0</v>
      </c>
      <c r="J330" t="n">
        <v>0</v>
      </c>
      <c r="K330" t="n">
        <v>0</v>
      </c>
      <c r="L330" t="n">
        <v>0</v>
      </c>
      <c r="M330" t="n">
        <v>0</v>
      </c>
      <c r="N330" t="n">
        <v>0</v>
      </c>
      <c r="O330" t="n">
        <v>0</v>
      </c>
      <c r="P330" t="n">
        <v>0</v>
      </c>
      <c r="Q330" t="n">
        <v>0</v>
      </c>
      <c r="R330" s="2" t="inlineStr"/>
    </row>
    <row r="331" ht="15" customHeight="1">
      <c r="A331" t="inlineStr">
        <is>
          <t>A 58107-2021</t>
        </is>
      </c>
      <c r="B331" s="1" t="n">
        <v>44487</v>
      </c>
      <c r="C331" s="1" t="n">
        <v>46077</v>
      </c>
      <c r="D331" t="inlineStr">
        <is>
          <t>VÄSTMANLANDS LÄN</t>
        </is>
      </c>
      <c r="E331" t="inlineStr">
        <is>
          <t>SALA</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2927-2024</t>
        </is>
      </c>
      <c r="B332" s="1" t="n">
        <v>45315.58989583333</v>
      </c>
      <c r="C332" s="1" t="n">
        <v>46077</v>
      </c>
      <c r="D332" t="inlineStr">
        <is>
          <t>VÄSTMANLANDS LÄN</t>
        </is>
      </c>
      <c r="E332" t="inlineStr">
        <is>
          <t>SALA</t>
        </is>
      </c>
      <c r="G332" t="n">
        <v>2.5</v>
      </c>
      <c r="H332" t="n">
        <v>0</v>
      </c>
      <c r="I332" t="n">
        <v>0</v>
      </c>
      <c r="J332" t="n">
        <v>0</v>
      </c>
      <c r="K332" t="n">
        <v>0</v>
      </c>
      <c r="L332" t="n">
        <v>0</v>
      </c>
      <c r="M332" t="n">
        <v>0</v>
      </c>
      <c r="N332" t="n">
        <v>0</v>
      </c>
      <c r="O332" t="n">
        <v>0</v>
      </c>
      <c r="P332" t="n">
        <v>0</v>
      </c>
      <c r="Q332" t="n">
        <v>0</v>
      </c>
      <c r="R332" s="2" t="inlineStr"/>
    </row>
    <row r="333" ht="15" customHeight="1">
      <c r="A333" t="inlineStr">
        <is>
          <t>A 29213-2022</t>
        </is>
      </c>
      <c r="B333" s="1" t="n">
        <v>44750.57474537037</v>
      </c>
      <c r="C333" s="1" t="n">
        <v>46077</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35976-2024</t>
        </is>
      </c>
      <c r="B334" s="1" t="n">
        <v>45533.49555555556</v>
      </c>
      <c r="C334" s="1" t="n">
        <v>46077</v>
      </c>
      <c r="D334" t="inlineStr">
        <is>
          <t>VÄSTMANLANDS LÄN</t>
        </is>
      </c>
      <c r="E334" t="inlineStr">
        <is>
          <t>SALA</t>
        </is>
      </c>
      <c r="G334" t="n">
        <v>2.3</v>
      </c>
      <c r="H334" t="n">
        <v>0</v>
      </c>
      <c r="I334" t="n">
        <v>0</v>
      </c>
      <c r="J334" t="n">
        <v>0</v>
      </c>
      <c r="K334" t="n">
        <v>0</v>
      </c>
      <c r="L334" t="n">
        <v>0</v>
      </c>
      <c r="M334" t="n">
        <v>0</v>
      </c>
      <c r="N334" t="n">
        <v>0</v>
      </c>
      <c r="O334" t="n">
        <v>0</v>
      </c>
      <c r="P334" t="n">
        <v>0</v>
      </c>
      <c r="Q334" t="n">
        <v>0</v>
      </c>
      <c r="R334" s="2" t="inlineStr"/>
    </row>
    <row r="335" ht="15" customHeight="1">
      <c r="A335" t="inlineStr">
        <is>
          <t>A 56964-2023</t>
        </is>
      </c>
      <c r="B335" s="1" t="n">
        <v>45244.63140046296</v>
      </c>
      <c r="C335" s="1" t="n">
        <v>46077</v>
      </c>
      <c r="D335" t="inlineStr">
        <is>
          <t>VÄSTMANLANDS LÄN</t>
        </is>
      </c>
      <c r="E335" t="inlineStr">
        <is>
          <t>SALA</t>
        </is>
      </c>
      <c r="G335" t="n">
        <v>4.6</v>
      </c>
      <c r="H335" t="n">
        <v>0</v>
      </c>
      <c r="I335" t="n">
        <v>0</v>
      </c>
      <c r="J335" t="n">
        <v>0</v>
      </c>
      <c r="K335" t="n">
        <v>0</v>
      </c>
      <c r="L335" t="n">
        <v>0</v>
      </c>
      <c r="M335" t="n">
        <v>0</v>
      </c>
      <c r="N335" t="n">
        <v>0</v>
      </c>
      <c r="O335" t="n">
        <v>0</v>
      </c>
      <c r="P335" t="n">
        <v>0</v>
      </c>
      <c r="Q335" t="n">
        <v>0</v>
      </c>
      <c r="R335" s="2" t="inlineStr"/>
    </row>
    <row r="336" ht="15" customHeight="1">
      <c r="A336" t="inlineStr">
        <is>
          <t>A 37183-2024</t>
        </is>
      </c>
      <c r="B336" s="1" t="n">
        <v>45539</v>
      </c>
      <c r="C336" s="1" t="n">
        <v>46077</v>
      </c>
      <c r="D336" t="inlineStr">
        <is>
          <t>VÄSTMANLANDS LÄN</t>
        </is>
      </c>
      <c r="E336" t="inlineStr">
        <is>
          <t>SALA</t>
        </is>
      </c>
      <c r="G336" t="n">
        <v>1.2</v>
      </c>
      <c r="H336" t="n">
        <v>0</v>
      </c>
      <c r="I336" t="n">
        <v>0</v>
      </c>
      <c r="J336" t="n">
        <v>0</v>
      </c>
      <c r="K336" t="n">
        <v>0</v>
      </c>
      <c r="L336" t="n">
        <v>0</v>
      </c>
      <c r="M336" t="n">
        <v>0</v>
      </c>
      <c r="N336" t="n">
        <v>0</v>
      </c>
      <c r="O336" t="n">
        <v>0</v>
      </c>
      <c r="P336" t="n">
        <v>0</v>
      </c>
      <c r="Q336" t="n">
        <v>0</v>
      </c>
      <c r="R336" s="2" t="inlineStr"/>
    </row>
    <row r="337" ht="15" customHeight="1">
      <c r="A337" t="inlineStr">
        <is>
          <t>A 7772-2023</t>
        </is>
      </c>
      <c r="B337" s="1" t="n">
        <v>44973.40076388889</v>
      </c>
      <c r="C337" s="1" t="n">
        <v>46077</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54199-2024</t>
        </is>
      </c>
      <c r="B338" s="1" t="n">
        <v>45616.64703703704</v>
      </c>
      <c r="C338" s="1" t="n">
        <v>46077</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60548-2024</t>
        </is>
      </c>
      <c r="B339" s="1" t="n">
        <v>45643.80978009259</v>
      </c>
      <c r="C339" s="1" t="n">
        <v>46077</v>
      </c>
      <c r="D339" t="inlineStr">
        <is>
          <t>VÄSTMANLANDS LÄN</t>
        </is>
      </c>
      <c r="E339" t="inlineStr">
        <is>
          <t>SALA</t>
        </is>
      </c>
      <c r="G339" t="n">
        <v>1.6</v>
      </c>
      <c r="H339" t="n">
        <v>0</v>
      </c>
      <c r="I339" t="n">
        <v>0</v>
      </c>
      <c r="J339" t="n">
        <v>0</v>
      </c>
      <c r="K339" t="n">
        <v>0</v>
      </c>
      <c r="L339" t="n">
        <v>0</v>
      </c>
      <c r="M339" t="n">
        <v>0</v>
      </c>
      <c r="N339" t="n">
        <v>0</v>
      </c>
      <c r="O339" t="n">
        <v>0</v>
      </c>
      <c r="P339" t="n">
        <v>0</v>
      </c>
      <c r="Q339" t="n">
        <v>0</v>
      </c>
      <c r="R339" s="2" t="inlineStr"/>
    </row>
    <row r="340" ht="15" customHeight="1">
      <c r="A340" t="inlineStr">
        <is>
          <t>A 42416-2022</t>
        </is>
      </c>
      <c r="B340" s="1" t="n">
        <v>44831</v>
      </c>
      <c r="C340" s="1" t="n">
        <v>46077</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19381-2025</t>
        </is>
      </c>
      <c r="B341" s="1" t="n">
        <v>45769</v>
      </c>
      <c r="C341" s="1" t="n">
        <v>46077</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48688-2024</t>
        </is>
      </c>
      <c r="B342" s="1" t="n">
        <v>45593.50541666667</v>
      </c>
      <c r="C342" s="1" t="n">
        <v>46077</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1555-2024</t>
        </is>
      </c>
      <c r="B343" s="1" t="n">
        <v>45306</v>
      </c>
      <c r="C343" s="1" t="n">
        <v>46077</v>
      </c>
      <c r="D343" t="inlineStr">
        <is>
          <t>VÄSTMANLANDS LÄN</t>
        </is>
      </c>
      <c r="E343" t="inlineStr">
        <is>
          <t>SALA</t>
        </is>
      </c>
      <c r="G343" t="n">
        <v>1.3</v>
      </c>
      <c r="H343" t="n">
        <v>0</v>
      </c>
      <c r="I343" t="n">
        <v>0</v>
      </c>
      <c r="J343" t="n">
        <v>0</v>
      </c>
      <c r="K343" t="n">
        <v>0</v>
      </c>
      <c r="L343" t="n">
        <v>0</v>
      </c>
      <c r="M343" t="n">
        <v>0</v>
      </c>
      <c r="N343" t="n">
        <v>0</v>
      </c>
      <c r="O343" t="n">
        <v>0</v>
      </c>
      <c r="P343" t="n">
        <v>0</v>
      </c>
      <c r="Q343" t="n">
        <v>0</v>
      </c>
      <c r="R343" s="2" t="inlineStr"/>
    </row>
    <row r="344" ht="15" customHeight="1">
      <c r="A344" t="inlineStr">
        <is>
          <t>A 13188-2025</t>
        </is>
      </c>
      <c r="B344" s="1" t="n">
        <v>45735.39246527778</v>
      </c>
      <c r="C344" s="1" t="n">
        <v>46077</v>
      </c>
      <c r="D344" t="inlineStr">
        <is>
          <t>VÄSTMANLANDS LÄN</t>
        </is>
      </c>
      <c r="E344" t="inlineStr">
        <is>
          <t>SALA</t>
        </is>
      </c>
      <c r="F344" t="inlineStr">
        <is>
          <t>Naturvårdsverket</t>
        </is>
      </c>
      <c r="G344" t="n">
        <v>18.4</v>
      </c>
      <c r="H344" t="n">
        <v>0</v>
      </c>
      <c r="I344" t="n">
        <v>0</v>
      </c>
      <c r="J344" t="n">
        <v>0</v>
      </c>
      <c r="K344" t="n">
        <v>0</v>
      </c>
      <c r="L344" t="n">
        <v>0</v>
      </c>
      <c r="M344" t="n">
        <v>0</v>
      </c>
      <c r="N344" t="n">
        <v>0</v>
      </c>
      <c r="O344" t="n">
        <v>0</v>
      </c>
      <c r="P344" t="n">
        <v>0</v>
      </c>
      <c r="Q344" t="n">
        <v>0</v>
      </c>
      <c r="R344" s="2" t="inlineStr"/>
    </row>
    <row r="345" ht="15" customHeight="1">
      <c r="A345" t="inlineStr">
        <is>
          <t>A 57895-2024</t>
        </is>
      </c>
      <c r="B345" s="1" t="n">
        <v>45631</v>
      </c>
      <c r="C345" s="1" t="n">
        <v>46077</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7197-2025</t>
        </is>
      </c>
      <c r="B346" s="1" t="n">
        <v>45702</v>
      </c>
      <c r="C346" s="1" t="n">
        <v>46077</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31597-2024</t>
        </is>
      </c>
      <c r="B347" s="1" t="n">
        <v>45506</v>
      </c>
      <c r="C347" s="1" t="n">
        <v>46077</v>
      </c>
      <c r="D347" t="inlineStr">
        <is>
          <t>VÄSTMANLANDS LÄN</t>
        </is>
      </c>
      <c r="E347" t="inlineStr">
        <is>
          <t>SALA</t>
        </is>
      </c>
      <c r="G347" t="n">
        <v>2.4</v>
      </c>
      <c r="H347" t="n">
        <v>0</v>
      </c>
      <c r="I347" t="n">
        <v>0</v>
      </c>
      <c r="J347" t="n">
        <v>0</v>
      </c>
      <c r="K347" t="n">
        <v>0</v>
      </c>
      <c r="L347" t="n">
        <v>0</v>
      </c>
      <c r="M347" t="n">
        <v>0</v>
      </c>
      <c r="N347" t="n">
        <v>0</v>
      </c>
      <c r="O347" t="n">
        <v>0</v>
      </c>
      <c r="P347" t="n">
        <v>0</v>
      </c>
      <c r="Q347" t="n">
        <v>0</v>
      </c>
      <c r="R347" s="2" t="inlineStr"/>
    </row>
    <row r="348" ht="15" customHeight="1">
      <c r="A348" t="inlineStr">
        <is>
          <t>A 17458-2024</t>
        </is>
      </c>
      <c r="B348" s="1" t="n">
        <v>45415</v>
      </c>
      <c r="C348" s="1" t="n">
        <v>46077</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56543-2024</t>
        </is>
      </c>
      <c r="B349" s="1" t="n">
        <v>45625</v>
      </c>
      <c r="C349" s="1" t="n">
        <v>46077</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15099-2025</t>
        </is>
      </c>
      <c r="B350" s="1" t="n">
        <v>45744.3434837963</v>
      </c>
      <c r="C350" s="1" t="n">
        <v>46077</v>
      </c>
      <c r="D350" t="inlineStr">
        <is>
          <t>VÄSTMANLANDS LÄN</t>
        </is>
      </c>
      <c r="E350" t="inlineStr">
        <is>
          <t>SALA</t>
        </is>
      </c>
      <c r="F350" t="inlineStr">
        <is>
          <t>Sveaskog</t>
        </is>
      </c>
      <c r="G350" t="n">
        <v>14.4</v>
      </c>
      <c r="H350" t="n">
        <v>0</v>
      </c>
      <c r="I350" t="n">
        <v>0</v>
      </c>
      <c r="J350" t="n">
        <v>0</v>
      </c>
      <c r="K350" t="n">
        <v>0</v>
      </c>
      <c r="L350" t="n">
        <v>0</v>
      </c>
      <c r="M350" t="n">
        <v>0</v>
      </c>
      <c r="N350" t="n">
        <v>0</v>
      </c>
      <c r="O350" t="n">
        <v>0</v>
      </c>
      <c r="P350" t="n">
        <v>0</v>
      </c>
      <c r="Q350" t="n">
        <v>0</v>
      </c>
      <c r="R350" s="2" t="inlineStr"/>
    </row>
    <row r="351" ht="15" customHeight="1">
      <c r="A351" t="inlineStr">
        <is>
          <t>A 45187-2024</t>
        </is>
      </c>
      <c r="B351" s="1" t="n">
        <v>45575</v>
      </c>
      <c r="C351" s="1" t="n">
        <v>46077</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15968-2024</t>
        </is>
      </c>
      <c r="B352" s="1" t="n">
        <v>45405.56021990741</v>
      </c>
      <c r="C352" s="1" t="n">
        <v>46077</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2928-2024</t>
        </is>
      </c>
      <c r="B353" s="1" t="n">
        <v>45315.59041666667</v>
      </c>
      <c r="C353" s="1" t="n">
        <v>46077</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3733-2023</t>
        </is>
      </c>
      <c r="B354" s="1" t="n">
        <v>44951.42501157407</v>
      </c>
      <c r="C354" s="1" t="n">
        <v>46077</v>
      </c>
      <c r="D354" t="inlineStr">
        <is>
          <t>VÄSTMANLANDS LÄN</t>
        </is>
      </c>
      <c r="E354" t="inlineStr">
        <is>
          <t>SALA</t>
        </is>
      </c>
      <c r="G354" t="n">
        <v>3.1</v>
      </c>
      <c r="H354" t="n">
        <v>0</v>
      </c>
      <c r="I354" t="n">
        <v>0</v>
      </c>
      <c r="J354" t="n">
        <v>0</v>
      </c>
      <c r="K354" t="n">
        <v>0</v>
      </c>
      <c r="L354" t="n">
        <v>0</v>
      </c>
      <c r="M354" t="n">
        <v>0</v>
      </c>
      <c r="N354" t="n">
        <v>0</v>
      </c>
      <c r="O354" t="n">
        <v>0</v>
      </c>
      <c r="P354" t="n">
        <v>0</v>
      </c>
      <c r="Q354" t="n">
        <v>0</v>
      </c>
      <c r="R354" s="2" t="inlineStr"/>
    </row>
    <row r="355" ht="15" customHeight="1">
      <c r="A355" t="inlineStr">
        <is>
          <t>A 28661-2024</t>
        </is>
      </c>
      <c r="B355" s="1" t="n">
        <v>45478</v>
      </c>
      <c r="C355" s="1" t="n">
        <v>46077</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2529-2022</t>
        </is>
      </c>
      <c r="B356" s="1" t="n">
        <v>44579.86452546297</v>
      </c>
      <c r="C356" s="1" t="n">
        <v>46077</v>
      </c>
      <c r="D356" t="inlineStr">
        <is>
          <t>VÄSTMANLANDS LÄN</t>
        </is>
      </c>
      <c r="E356" t="inlineStr">
        <is>
          <t>SALA</t>
        </is>
      </c>
      <c r="G356" t="n">
        <v>1.7</v>
      </c>
      <c r="H356" t="n">
        <v>0</v>
      </c>
      <c r="I356" t="n">
        <v>0</v>
      </c>
      <c r="J356" t="n">
        <v>0</v>
      </c>
      <c r="K356" t="n">
        <v>0</v>
      </c>
      <c r="L356" t="n">
        <v>0</v>
      </c>
      <c r="M356" t="n">
        <v>0</v>
      </c>
      <c r="N356" t="n">
        <v>0</v>
      </c>
      <c r="O356" t="n">
        <v>0</v>
      </c>
      <c r="P356" t="n">
        <v>0</v>
      </c>
      <c r="Q356" t="n">
        <v>0</v>
      </c>
      <c r="R356" s="2" t="inlineStr"/>
    </row>
    <row r="357" ht="15" customHeight="1">
      <c r="A357" t="inlineStr">
        <is>
          <t>A 56540-2024</t>
        </is>
      </c>
      <c r="B357" s="1" t="n">
        <v>45625</v>
      </c>
      <c r="C357" s="1" t="n">
        <v>46077</v>
      </c>
      <c r="D357" t="inlineStr">
        <is>
          <t>VÄSTMANLANDS LÄN</t>
        </is>
      </c>
      <c r="E357" t="inlineStr">
        <is>
          <t>SALA</t>
        </is>
      </c>
      <c r="G357" t="n">
        <v>1.8</v>
      </c>
      <c r="H357" t="n">
        <v>0</v>
      </c>
      <c r="I357" t="n">
        <v>0</v>
      </c>
      <c r="J357" t="n">
        <v>0</v>
      </c>
      <c r="K357" t="n">
        <v>0</v>
      </c>
      <c r="L357" t="n">
        <v>0</v>
      </c>
      <c r="M357" t="n">
        <v>0</v>
      </c>
      <c r="N357" t="n">
        <v>0</v>
      </c>
      <c r="O357" t="n">
        <v>0</v>
      </c>
      <c r="P357" t="n">
        <v>0</v>
      </c>
      <c r="Q357" t="n">
        <v>0</v>
      </c>
      <c r="R357" s="2" t="inlineStr"/>
    </row>
    <row r="358" ht="15" customHeight="1">
      <c r="A358" t="inlineStr">
        <is>
          <t>A 9962-2025</t>
        </is>
      </c>
      <c r="B358" s="1" t="n">
        <v>45719.37072916667</v>
      </c>
      <c r="C358" s="1" t="n">
        <v>46077</v>
      </c>
      <c r="D358" t="inlineStr">
        <is>
          <t>VÄSTMANLANDS LÄN</t>
        </is>
      </c>
      <c r="E358" t="inlineStr">
        <is>
          <t>SALA</t>
        </is>
      </c>
      <c r="G358" t="n">
        <v>4.5</v>
      </c>
      <c r="H358" t="n">
        <v>0</v>
      </c>
      <c r="I358" t="n">
        <v>0</v>
      </c>
      <c r="J358" t="n">
        <v>0</v>
      </c>
      <c r="K358" t="n">
        <v>0</v>
      </c>
      <c r="L358" t="n">
        <v>0</v>
      </c>
      <c r="M358" t="n">
        <v>0</v>
      </c>
      <c r="N358" t="n">
        <v>0</v>
      </c>
      <c r="O358" t="n">
        <v>0</v>
      </c>
      <c r="P358" t="n">
        <v>0</v>
      </c>
      <c r="Q358" t="n">
        <v>0</v>
      </c>
      <c r="R358" s="2" t="inlineStr"/>
    </row>
    <row r="359" ht="15" customHeight="1">
      <c r="A359" t="inlineStr">
        <is>
          <t>A 31599-2024</t>
        </is>
      </c>
      <c r="B359" s="1" t="n">
        <v>45506</v>
      </c>
      <c r="C359" s="1" t="n">
        <v>46077</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31601-2024</t>
        </is>
      </c>
      <c r="B360" s="1" t="n">
        <v>45506</v>
      </c>
      <c r="C360" s="1" t="n">
        <v>46077</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31608-2024</t>
        </is>
      </c>
      <c r="B361" s="1" t="n">
        <v>45506</v>
      </c>
      <c r="C361" s="1" t="n">
        <v>46077</v>
      </c>
      <c r="D361" t="inlineStr">
        <is>
          <t>VÄSTMANLANDS LÄN</t>
        </is>
      </c>
      <c r="E361" t="inlineStr">
        <is>
          <t>SALA</t>
        </is>
      </c>
      <c r="G361" t="n">
        <v>1.7</v>
      </c>
      <c r="H361" t="n">
        <v>0</v>
      </c>
      <c r="I361" t="n">
        <v>0</v>
      </c>
      <c r="J361" t="n">
        <v>0</v>
      </c>
      <c r="K361" t="n">
        <v>0</v>
      </c>
      <c r="L361" t="n">
        <v>0</v>
      </c>
      <c r="M361" t="n">
        <v>0</v>
      </c>
      <c r="N361" t="n">
        <v>0</v>
      </c>
      <c r="O361" t="n">
        <v>0</v>
      </c>
      <c r="P361" t="n">
        <v>0</v>
      </c>
      <c r="Q361" t="n">
        <v>0</v>
      </c>
      <c r="R361" s="2" t="inlineStr"/>
    </row>
    <row r="362" ht="15" customHeight="1">
      <c r="A362" t="inlineStr">
        <is>
          <t>A 31612-2024</t>
        </is>
      </c>
      <c r="B362" s="1" t="n">
        <v>45506</v>
      </c>
      <c r="C362" s="1" t="n">
        <v>46077</v>
      </c>
      <c r="D362" t="inlineStr">
        <is>
          <t>VÄSTMANLANDS LÄN</t>
        </is>
      </c>
      <c r="E362" t="inlineStr">
        <is>
          <t>SALA</t>
        </is>
      </c>
      <c r="G362" t="n">
        <v>3.2</v>
      </c>
      <c r="H362" t="n">
        <v>0</v>
      </c>
      <c r="I362" t="n">
        <v>0</v>
      </c>
      <c r="J362" t="n">
        <v>0</v>
      </c>
      <c r="K362" t="n">
        <v>0</v>
      </c>
      <c r="L362" t="n">
        <v>0</v>
      </c>
      <c r="M362" t="n">
        <v>0</v>
      </c>
      <c r="N362" t="n">
        <v>0</v>
      </c>
      <c r="O362" t="n">
        <v>0</v>
      </c>
      <c r="P362" t="n">
        <v>0</v>
      </c>
      <c r="Q362" t="n">
        <v>0</v>
      </c>
      <c r="R362" s="2" t="inlineStr"/>
    </row>
    <row r="363" ht="15" customHeight="1">
      <c r="A363" t="inlineStr">
        <is>
          <t>A 71471-2021</t>
        </is>
      </c>
      <c r="B363" s="1" t="n">
        <v>44540.53421296296</v>
      </c>
      <c r="C363" s="1" t="n">
        <v>46077</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8775-2024</t>
        </is>
      </c>
      <c r="B364" s="1" t="n">
        <v>45356</v>
      </c>
      <c r="C364" s="1" t="n">
        <v>46077</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10579-2022</t>
        </is>
      </c>
      <c r="B365" s="1" t="n">
        <v>44624</v>
      </c>
      <c r="C365" s="1" t="n">
        <v>46077</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14024-2025</t>
        </is>
      </c>
      <c r="B366" s="1" t="n">
        <v>45740.34650462963</v>
      </c>
      <c r="C366" s="1" t="n">
        <v>46077</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64693-2023</t>
        </is>
      </c>
      <c r="B367" s="1" t="n">
        <v>45281.63850694444</v>
      </c>
      <c r="C367" s="1" t="n">
        <v>46077</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64695-2023</t>
        </is>
      </c>
      <c r="B368" s="1" t="n">
        <v>45281.64099537037</v>
      </c>
      <c r="C368" s="1" t="n">
        <v>46077</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3551-2024</t>
        </is>
      </c>
      <c r="B369" s="1" t="n">
        <v>45320.61099537037</v>
      </c>
      <c r="C369" s="1" t="n">
        <v>46077</v>
      </c>
      <c r="D369" t="inlineStr">
        <is>
          <t>VÄSTMANLANDS LÄN</t>
        </is>
      </c>
      <c r="E369" t="inlineStr">
        <is>
          <t>SALA</t>
        </is>
      </c>
      <c r="F369" t="inlineStr">
        <is>
          <t>Kommuner</t>
        </is>
      </c>
      <c r="G369" t="n">
        <v>6</v>
      </c>
      <c r="H369" t="n">
        <v>0</v>
      </c>
      <c r="I369" t="n">
        <v>0</v>
      </c>
      <c r="J369" t="n">
        <v>0</v>
      </c>
      <c r="K369" t="n">
        <v>0</v>
      </c>
      <c r="L369" t="n">
        <v>0</v>
      </c>
      <c r="M369" t="n">
        <v>0</v>
      </c>
      <c r="N369" t="n">
        <v>0</v>
      </c>
      <c r="O369" t="n">
        <v>0</v>
      </c>
      <c r="P369" t="n">
        <v>0</v>
      </c>
      <c r="Q369" t="n">
        <v>0</v>
      </c>
      <c r="R369" s="2" t="inlineStr"/>
    </row>
    <row r="370" ht="15" customHeight="1">
      <c r="A370" t="inlineStr">
        <is>
          <t>A 39011-2023</t>
        </is>
      </c>
      <c r="B370" s="1" t="n">
        <v>45162</v>
      </c>
      <c r="C370" s="1" t="n">
        <v>46077</v>
      </c>
      <c r="D370" t="inlineStr">
        <is>
          <t>VÄSTMANLANDS LÄN</t>
        </is>
      </c>
      <c r="E370" t="inlineStr">
        <is>
          <t>SALA</t>
        </is>
      </c>
      <c r="G370" t="n">
        <v>1.6</v>
      </c>
      <c r="H370" t="n">
        <v>0</v>
      </c>
      <c r="I370" t="n">
        <v>0</v>
      </c>
      <c r="J370" t="n">
        <v>0</v>
      </c>
      <c r="K370" t="n">
        <v>0</v>
      </c>
      <c r="L370" t="n">
        <v>0</v>
      </c>
      <c r="M370" t="n">
        <v>0</v>
      </c>
      <c r="N370" t="n">
        <v>0</v>
      </c>
      <c r="O370" t="n">
        <v>0</v>
      </c>
      <c r="P370" t="n">
        <v>0</v>
      </c>
      <c r="Q370" t="n">
        <v>0</v>
      </c>
      <c r="R370" s="2" t="inlineStr"/>
    </row>
    <row r="371" ht="15" customHeight="1">
      <c r="A371" t="inlineStr">
        <is>
          <t>A 62635-2022</t>
        </is>
      </c>
      <c r="B371" s="1" t="n">
        <v>44917</v>
      </c>
      <c r="C371" s="1" t="n">
        <v>46077</v>
      </c>
      <c r="D371" t="inlineStr">
        <is>
          <t>VÄSTMANLANDS LÄN</t>
        </is>
      </c>
      <c r="E371" t="inlineStr">
        <is>
          <t>SALA</t>
        </is>
      </c>
      <c r="G371" t="n">
        <v>0.4</v>
      </c>
      <c r="H371" t="n">
        <v>0</v>
      </c>
      <c r="I371" t="n">
        <v>0</v>
      </c>
      <c r="J371" t="n">
        <v>0</v>
      </c>
      <c r="K371" t="n">
        <v>0</v>
      </c>
      <c r="L371" t="n">
        <v>0</v>
      </c>
      <c r="M371" t="n">
        <v>0</v>
      </c>
      <c r="N371" t="n">
        <v>0</v>
      </c>
      <c r="O371" t="n">
        <v>0</v>
      </c>
      <c r="P371" t="n">
        <v>0</v>
      </c>
      <c r="Q371" t="n">
        <v>0</v>
      </c>
      <c r="R371" s="2" t="inlineStr"/>
    </row>
    <row r="372" ht="15" customHeight="1">
      <c r="A372" t="inlineStr">
        <is>
          <t>A 73673-2021</t>
        </is>
      </c>
      <c r="B372" s="1" t="n">
        <v>44552.46501157407</v>
      </c>
      <c r="C372" s="1" t="n">
        <v>46077</v>
      </c>
      <c r="D372" t="inlineStr">
        <is>
          <t>VÄSTMANLANDS LÄN</t>
        </is>
      </c>
      <c r="E372" t="inlineStr">
        <is>
          <t>SALA</t>
        </is>
      </c>
      <c r="G372" t="n">
        <v>11.4</v>
      </c>
      <c r="H372" t="n">
        <v>0</v>
      </c>
      <c r="I372" t="n">
        <v>0</v>
      </c>
      <c r="J372" t="n">
        <v>0</v>
      </c>
      <c r="K372" t="n">
        <v>0</v>
      </c>
      <c r="L372" t="n">
        <v>0</v>
      </c>
      <c r="M372" t="n">
        <v>0</v>
      </c>
      <c r="N372" t="n">
        <v>0</v>
      </c>
      <c r="O372" t="n">
        <v>0</v>
      </c>
      <c r="P372" t="n">
        <v>0</v>
      </c>
      <c r="Q372" t="n">
        <v>0</v>
      </c>
      <c r="R372" s="2" t="inlineStr"/>
    </row>
    <row r="373" ht="15" customHeight="1">
      <c r="A373" t="inlineStr">
        <is>
          <t>A 56547-2022</t>
        </is>
      </c>
      <c r="B373" s="1" t="n">
        <v>44893.48284722222</v>
      </c>
      <c r="C373" s="1" t="n">
        <v>46077</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19304-2025</t>
        </is>
      </c>
      <c r="B374" s="1" t="n">
        <v>45769</v>
      </c>
      <c r="C374" s="1" t="n">
        <v>46077</v>
      </c>
      <c r="D374" t="inlineStr">
        <is>
          <t>VÄSTMANLANDS LÄN</t>
        </is>
      </c>
      <c r="E374" t="inlineStr">
        <is>
          <t>SALA</t>
        </is>
      </c>
      <c r="F374" t="inlineStr">
        <is>
          <t>Bergvik skog öst AB</t>
        </is>
      </c>
      <c r="G374" t="n">
        <v>1.3</v>
      </c>
      <c r="H374" t="n">
        <v>0</v>
      </c>
      <c r="I374" t="n">
        <v>0</v>
      </c>
      <c r="J374" t="n">
        <v>0</v>
      </c>
      <c r="K374" t="n">
        <v>0</v>
      </c>
      <c r="L374" t="n">
        <v>0</v>
      </c>
      <c r="M374" t="n">
        <v>0</v>
      </c>
      <c r="N374" t="n">
        <v>0</v>
      </c>
      <c r="O374" t="n">
        <v>0</v>
      </c>
      <c r="P374" t="n">
        <v>0</v>
      </c>
      <c r="Q374" t="n">
        <v>0</v>
      </c>
      <c r="R374" s="2" t="inlineStr"/>
    </row>
    <row r="375" ht="15" customHeight="1">
      <c r="A375" t="inlineStr">
        <is>
          <t>A 55784-2024</t>
        </is>
      </c>
      <c r="B375" s="1" t="n">
        <v>45623</v>
      </c>
      <c r="C375" s="1" t="n">
        <v>46077</v>
      </c>
      <c r="D375" t="inlineStr">
        <is>
          <t>VÄSTMANLANDS LÄN</t>
        </is>
      </c>
      <c r="E375" t="inlineStr">
        <is>
          <t>SALA</t>
        </is>
      </c>
      <c r="F375" t="inlineStr">
        <is>
          <t>Bergvik skog öst AB</t>
        </is>
      </c>
      <c r="G375" t="n">
        <v>28.4</v>
      </c>
      <c r="H375" t="n">
        <v>0</v>
      </c>
      <c r="I375" t="n">
        <v>0</v>
      </c>
      <c r="J375" t="n">
        <v>0</v>
      </c>
      <c r="K375" t="n">
        <v>0</v>
      </c>
      <c r="L375" t="n">
        <v>0</v>
      </c>
      <c r="M375" t="n">
        <v>0</v>
      </c>
      <c r="N375" t="n">
        <v>0</v>
      </c>
      <c r="O375" t="n">
        <v>0</v>
      </c>
      <c r="P375" t="n">
        <v>0</v>
      </c>
      <c r="Q375" t="n">
        <v>0</v>
      </c>
      <c r="R375" s="2" t="inlineStr"/>
    </row>
    <row r="376" ht="15" customHeight="1">
      <c r="A376" t="inlineStr">
        <is>
          <t>A 38574-2025</t>
        </is>
      </c>
      <c r="B376" s="1" t="n">
        <v>45884.46390046296</v>
      </c>
      <c r="C376" s="1" t="n">
        <v>46077</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16651-2021</t>
        </is>
      </c>
      <c r="B377" s="1" t="n">
        <v>44294.50096064815</v>
      </c>
      <c r="C377" s="1" t="n">
        <v>46077</v>
      </c>
      <c r="D377" t="inlineStr">
        <is>
          <t>VÄSTMANLANDS LÄN</t>
        </is>
      </c>
      <c r="E377" t="inlineStr">
        <is>
          <t>SALA</t>
        </is>
      </c>
      <c r="G377" t="n">
        <v>7.7</v>
      </c>
      <c r="H377" t="n">
        <v>0</v>
      </c>
      <c r="I377" t="n">
        <v>0</v>
      </c>
      <c r="J377" t="n">
        <v>0</v>
      </c>
      <c r="K377" t="n">
        <v>0</v>
      </c>
      <c r="L377" t="n">
        <v>0</v>
      </c>
      <c r="M377" t="n">
        <v>0</v>
      </c>
      <c r="N377" t="n">
        <v>0</v>
      </c>
      <c r="O377" t="n">
        <v>0</v>
      </c>
      <c r="P377" t="n">
        <v>0</v>
      </c>
      <c r="Q377" t="n">
        <v>0</v>
      </c>
      <c r="R377" s="2" t="inlineStr"/>
    </row>
    <row r="378" ht="15" customHeight="1">
      <c r="A378" t="inlineStr">
        <is>
          <t>A 38294-2025</t>
        </is>
      </c>
      <c r="B378" s="1" t="n">
        <v>45883.44854166666</v>
      </c>
      <c r="C378" s="1" t="n">
        <v>46077</v>
      </c>
      <c r="D378" t="inlineStr">
        <is>
          <t>VÄSTMANLANDS LÄN</t>
        </is>
      </c>
      <c r="E378" t="inlineStr">
        <is>
          <t>SALA</t>
        </is>
      </c>
      <c r="G378" t="n">
        <v>1.5</v>
      </c>
      <c r="H378" t="n">
        <v>0</v>
      </c>
      <c r="I378" t="n">
        <v>0</v>
      </c>
      <c r="J378" t="n">
        <v>0</v>
      </c>
      <c r="K378" t="n">
        <v>0</v>
      </c>
      <c r="L378" t="n">
        <v>0</v>
      </c>
      <c r="M378" t="n">
        <v>0</v>
      </c>
      <c r="N378" t="n">
        <v>0</v>
      </c>
      <c r="O378" t="n">
        <v>0</v>
      </c>
      <c r="P378" t="n">
        <v>0</v>
      </c>
      <c r="Q378" t="n">
        <v>0</v>
      </c>
      <c r="R378" s="2" t="inlineStr"/>
    </row>
    <row r="379" ht="15" customHeight="1">
      <c r="A379" t="inlineStr">
        <is>
          <t>A 56057-2023</t>
        </is>
      </c>
      <c r="B379" s="1" t="n">
        <v>45233</v>
      </c>
      <c r="C379" s="1" t="n">
        <v>46077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29542-2023</t>
        </is>
      </c>
      <c r="B380" s="1" t="n">
        <v>45098</v>
      </c>
      <c r="C380" s="1" t="n">
        <v>46077</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27038-2023</t>
        </is>
      </c>
      <c r="B381" s="1" t="n">
        <v>45095</v>
      </c>
      <c r="C381" s="1" t="n">
        <v>46077</v>
      </c>
      <c r="D381" t="inlineStr">
        <is>
          <t>VÄSTMANLANDS LÄN</t>
        </is>
      </c>
      <c r="E381" t="inlineStr">
        <is>
          <t>SALA</t>
        </is>
      </c>
      <c r="G381" t="n">
        <v>0.8</v>
      </c>
      <c r="H381" t="n">
        <v>0</v>
      </c>
      <c r="I381" t="n">
        <v>0</v>
      </c>
      <c r="J381" t="n">
        <v>0</v>
      </c>
      <c r="K381" t="n">
        <v>0</v>
      </c>
      <c r="L381" t="n">
        <v>0</v>
      </c>
      <c r="M381" t="n">
        <v>0</v>
      </c>
      <c r="N381" t="n">
        <v>0</v>
      </c>
      <c r="O381" t="n">
        <v>0</v>
      </c>
      <c r="P381" t="n">
        <v>0</v>
      </c>
      <c r="Q381" t="n">
        <v>0</v>
      </c>
      <c r="R381" s="2" t="inlineStr"/>
    </row>
    <row r="382" ht="15" customHeight="1">
      <c r="A382" t="inlineStr">
        <is>
          <t>A 56916-2022</t>
        </is>
      </c>
      <c r="B382" s="1" t="n">
        <v>44888</v>
      </c>
      <c r="C382" s="1" t="n">
        <v>46077</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55024-2023</t>
        </is>
      </c>
      <c r="B383" s="1" t="n">
        <v>45229</v>
      </c>
      <c r="C383" s="1" t="n">
        <v>46077</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55032-2023</t>
        </is>
      </c>
      <c r="B384" s="1" t="n">
        <v>45229</v>
      </c>
      <c r="C384" s="1" t="n">
        <v>46077</v>
      </c>
      <c r="D384" t="inlineStr">
        <is>
          <t>VÄSTMANLANDS LÄN</t>
        </is>
      </c>
      <c r="E384" t="inlineStr">
        <is>
          <t>SALA</t>
        </is>
      </c>
      <c r="G384" t="n">
        <v>1.5</v>
      </c>
      <c r="H384" t="n">
        <v>0</v>
      </c>
      <c r="I384" t="n">
        <v>0</v>
      </c>
      <c r="J384" t="n">
        <v>0</v>
      </c>
      <c r="K384" t="n">
        <v>0</v>
      </c>
      <c r="L384" t="n">
        <v>0</v>
      </c>
      <c r="M384" t="n">
        <v>0</v>
      </c>
      <c r="N384" t="n">
        <v>0</v>
      </c>
      <c r="O384" t="n">
        <v>0</v>
      </c>
      <c r="P384" t="n">
        <v>0</v>
      </c>
      <c r="Q384" t="n">
        <v>0</v>
      </c>
      <c r="R384" s="2" t="inlineStr"/>
    </row>
    <row r="385" ht="15" customHeight="1">
      <c r="A385" t="inlineStr">
        <is>
          <t>A 29248-2022</t>
        </is>
      </c>
      <c r="B385" s="1" t="n">
        <v>44750</v>
      </c>
      <c r="C385" s="1" t="n">
        <v>46077</v>
      </c>
      <c r="D385" t="inlineStr">
        <is>
          <t>VÄSTMANLANDS LÄN</t>
        </is>
      </c>
      <c r="E385" t="inlineStr">
        <is>
          <t>SALA</t>
        </is>
      </c>
      <c r="G385" t="n">
        <v>1.6</v>
      </c>
      <c r="H385" t="n">
        <v>0</v>
      </c>
      <c r="I385" t="n">
        <v>0</v>
      </c>
      <c r="J385" t="n">
        <v>0</v>
      </c>
      <c r="K385" t="n">
        <v>0</v>
      </c>
      <c r="L385" t="n">
        <v>0</v>
      </c>
      <c r="M385" t="n">
        <v>0</v>
      </c>
      <c r="N385" t="n">
        <v>0</v>
      </c>
      <c r="O385" t="n">
        <v>0</v>
      </c>
      <c r="P385" t="n">
        <v>0</v>
      </c>
      <c r="Q385" t="n">
        <v>0</v>
      </c>
      <c r="R385" s="2" t="inlineStr"/>
    </row>
    <row r="386" ht="15" customHeight="1">
      <c r="A386" t="inlineStr">
        <is>
          <t>A 59175-2022</t>
        </is>
      </c>
      <c r="B386" s="1" t="n">
        <v>44904.48502314815</v>
      </c>
      <c r="C386" s="1" t="n">
        <v>46077</v>
      </c>
      <c r="D386" t="inlineStr">
        <is>
          <t>VÄSTMANLANDS LÄN</t>
        </is>
      </c>
      <c r="E386" t="inlineStr">
        <is>
          <t>SALA</t>
        </is>
      </c>
      <c r="G386" t="n">
        <v>2.1</v>
      </c>
      <c r="H386" t="n">
        <v>0</v>
      </c>
      <c r="I386" t="n">
        <v>0</v>
      </c>
      <c r="J386" t="n">
        <v>0</v>
      </c>
      <c r="K386" t="n">
        <v>0</v>
      </c>
      <c r="L386" t="n">
        <v>0</v>
      </c>
      <c r="M386" t="n">
        <v>0</v>
      </c>
      <c r="N386" t="n">
        <v>0</v>
      </c>
      <c r="O386" t="n">
        <v>0</v>
      </c>
      <c r="P386" t="n">
        <v>0</v>
      </c>
      <c r="Q386" t="n">
        <v>0</v>
      </c>
      <c r="R386" s="2" t="inlineStr"/>
    </row>
    <row r="387" ht="15" customHeight="1">
      <c r="A387" t="inlineStr">
        <is>
          <t>A 39451-2022</t>
        </is>
      </c>
      <c r="B387" s="1" t="n">
        <v>44818.36606481481</v>
      </c>
      <c r="C387" s="1" t="n">
        <v>46077</v>
      </c>
      <c r="D387" t="inlineStr">
        <is>
          <t>VÄSTMANLANDS LÄN</t>
        </is>
      </c>
      <c r="E387" t="inlineStr">
        <is>
          <t>SALA</t>
        </is>
      </c>
      <c r="G387" t="n">
        <v>9.4</v>
      </c>
      <c r="H387" t="n">
        <v>0</v>
      </c>
      <c r="I387" t="n">
        <v>0</v>
      </c>
      <c r="J387" t="n">
        <v>0</v>
      </c>
      <c r="K387" t="n">
        <v>0</v>
      </c>
      <c r="L387" t="n">
        <v>0</v>
      </c>
      <c r="M387" t="n">
        <v>0</v>
      </c>
      <c r="N387" t="n">
        <v>0</v>
      </c>
      <c r="O387" t="n">
        <v>0</v>
      </c>
      <c r="P387" t="n">
        <v>0</v>
      </c>
      <c r="Q387" t="n">
        <v>0</v>
      </c>
      <c r="R387" s="2" t="inlineStr"/>
    </row>
    <row r="388" ht="15" customHeight="1">
      <c r="A388" t="inlineStr">
        <is>
          <t>A 17051-2025</t>
        </is>
      </c>
      <c r="B388" s="1" t="n">
        <v>45755</v>
      </c>
      <c r="C388" s="1" t="n">
        <v>46077</v>
      </c>
      <c r="D388" t="inlineStr">
        <is>
          <t>VÄSTMANLANDS LÄN</t>
        </is>
      </c>
      <c r="E388" t="inlineStr">
        <is>
          <t>SALA</t>
        </is>
      </c>
      <c r="G388" t="n">
        <v>2.9</v>
      </c>
      <c r="H388" t="n">
        <v>0</v>
      </c>
      <c r="I388" t="n">
        <v>0</v>
      </c>
      <c r="J388" t="n">
        <v>0</v>
      </c>
      <c r="K388" t="n">
        <v>0</v>
      </c>
      <c r="L388" t="n">
        <v>0</v>
      </c>
      <c r="M388" t="n">
        <v>0</v>
      </c>
      <c r="N388" t="n">
        <v>0</v>
      </c>
      <c r="O388" t="n">
        <v>0</v>
      </c>
      <c r="P388" t="n">
        <v>0</v>
      </c>
      <c r="Q388" t="n">
        <v>0</v>
      </c>
      <c r="R388" s="2" t="inlineStr"/>
    </row>
    <row r="389" ht="15" customHeight="1">
      <c r="A389" t="inlineStr">
        <is>
          <t>A 11631-2023</t>
        </is>
      </c>
      <c r="B389" s="1" t="n">
        <v>44994.44001157407</v>
      </c>
      <c r="C389" s="1" t="n">
        <v>46077</v>
      </c>
      <c r="D389" t="inlineStr">
        <is>
          <t>VÄSTMANLANDS LÄN</t>
        </is>
      </c>
      <c r="E389" t="inlineStr">
        <is>
          <t>SALA</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8285-2025</t>
        </is>
      </c>
      <c r="B390" s="1" t="n">
        <v>45708</v>
      </c>
      <c r="C390" s="1" t="n">
        <v>46077</v>
      </c>
      <c r="D390" t="inlineStr">
        <is>
          <t>VÄSTMANLANDS LÄN</t>
        </is>
      </c>
      <c r="E390" t="inlineStr">
        <is>
          <t>SALA</t>
        </is>
      </c>
      <c r="G390" t="n">
        <v>5.7</v>
      </c>
      <c r="H390" t="n">
        <v>0</v>
      </c>
      <c r="I390" t="n">
        <v>0</v>
      </c>
      <c r="J390" t="n">
        <v>0</v>
      </c>
      <c r="K390" t="n">
        <v>0</v>
      </c>
      <c r="L390" t="n">
        <v>0</v>
      </c>
      <c r="M390" t="n">
        <v>0</v>
      </c>
      <c r="N390" t="n">
        <v>0</v>
      </c>
      <c r="O390" t="n">
        <v>0</v>
      </c>
      <c r="P390" t="n">
        <v>0</v>
      </c>
      <c r="Q390" t="n">
        <v>0</v>
      </c>
      <c r="R390" s="2" t="inlineStr"/>
    </row>
    <row r="391" ht="15" customHeight="1">
      <c r="A391" t="inlineStr">
        <is>
          <t>A 39182-2025</t>
        </is>
      </c>
      <c r="B391" s="1" t="n">
        <v>45888.66204861111</v>
      </c>
      <c r="C391" s="1" t="n">
        <v>46077</v>
      </c>
      <c r="D391" t="inlineStr">
        <is>
          <t>VÄSTMANLANDS LÄN</t>
        </is>
      </c>
      <c r="E391" t="inlineStr">
        <is>
          <t>SALA</t>
        </is>
      </c>
      <c r="F391" t="inlineStr">
        <is>
          <t>Bergvik skog öst AB</t>
        </is>
      </c>
      <c r="G391" t="n">
        <v>1.3</v>
      </c>
      <c r="H391" t="n">
        <v>0</v>
      </c>
      <c r="I391" t="n">
        <v>0</v>
      </c>
      <c r="J391" t="n">
        <v>0</v>
      </c>
      <c r="K391" t="n">
        <v>0</v>
      </c>
      <c r="L391" t="n">
        <v>0</v>
      </c>
      <c r="M391" t="n">
        <v>0</v>
      </c>
      <c r="N391" t="n">
        <v>0</v>
      </c>
      <c r="O391" t="n">
        <v>0</v>
      </c>
      <c r="P391" t="n">
        <v>0</v>
      </c>
      <c r="Q391" t="n">
        <v>0</v>
      </c>
      <c r="R391" s="2" t="inlineStr"/>
    </row>
    <row r="392" ht="15" customHeight="1">
      <c r="A392" t="inlineStr">
        <is>
          <t>A 14010-2021</t>
        </is>
      </c>
      <c r="B392" s="1" t="n">
        <v>44277.63396990741</v>
      </c>
      <c r="C392" s="1" t="n">
        <v>46077</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62648-2022</t>
        </is>
      </c>
      <c r="B393" s="1" t="n">
        <v>44917</v>
      </c>
      <c r="C393" s="1" t="n">
        <v>46077</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45313-2024</t>
        </is>
      </c>
      <c r="B394" s="1" t="n">
        <v>45576</v>
      </c>
      <c r="C394" s="1" t="n">
        <v>46077</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56535-2022</t>
        </is>
      </c>
      <c r="B395" s="1" t="n">
        <v>44893.47173611111</v>
      </c>
      <c r="C395" s="1" t="n">
        <v>46077</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1934-2023</t>
        </is>
      </c>
      <c r="B396" s="1" t="n">
        <v>44939.43024305555</v>
      </c>
      <c r="C396" s="1" t="n">
        <v>46077</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46279-2021</t>
        </is>
      </c>
      <c r="B397" s="1" t="n">
        <v>44442.57797453704</v>
      </c>
      <c r="C397" s="1" t="n">
        <v>46077</v>
      </c>
      <c r="D397" t="inlineStr">
        <is>
          <t>VÄSTMANLANDS LÄN</t>
        </is>
      </c>
      <c r="E397" t="inlineStr">
        <is>
          <t>SALA</t>
        </is>
      </c>
      <c r="G397" t="n">
        <v>1.4</v>
      </c>
      <c r="H397" t="n">
        <v>0</v>
      </c>
      <c r="I397" t="n">
        <v>0</v>
      </c>
      <c r="J397" t="n">
        <v>0</v>
      </c>
      <c r="K397" t="n">
        <v>0</v>
      </c>
      <c r="L397" t="n">
        <v>0</v>
      </c>
      <c r="M397" t="n">
        <v>0</v>
      </c>
      <c r="N397" t="n">
        <v>0</v>
      </c>
      <c r="O397" t="n">
        <v>0</v>
      </c>
      <c r="P397" t="n">
        <v>0</v>
      </c>
      <c r="Q397" t="n">
        <v>0</v>
      </c>
      <c r="R397" s="2" t="inlineStr"/>
    </row>
    <row r="398" ht="15" customHeight="1">
      <c r="A398" t="inlineStr">
        <is>
          <t>A 47909-2022</t>
        </is>
      </c>
      <c r="B398" s="1" t="n">
        <v>44855</v>
      </c>
      <c r="C398" s="1" t="n">
        <v>46077</v>
      </c>
      <c r="D398" t="inlineStr">
        <is>
          <t>VÄSTMANLANDS LÄN</t>
        </is>
      </c>
      <c r="E398" t="inlineStr">
        <is>
          <t>SALA</t>
        </is>
      </c>
      <c r="F398" t="inlineStr">
        <is>
          <t>Bergvik skog öst AB</t>
        </is>
      </c>
      <c r="G398" t="n">
        <v>2</v>
      </c>
      <c r="H398" t="n">
        <v>0</v>
      </c>
      <c r="I398" t="n">
        <v>0</v>
      </c>
      <c r="J398" t="n">
        <v>0</v>
      </c>
      <c r="K398" t="n">
        <v>0</v>
      </c>
      <c r="L398" t="n">
        <v>0</v>
      </c>
      <c r="M398" t="n">
        <v>0</v>
      </c>
      <c r="N398" t="n">
        <v>0</v>
      </c>
      <c r="O398" t="n">
        <v>0</v>
      </c>
      <c r="P398" t="n">
        <v>0</v>
      </c>
      <c r="Q398" t="n">
        <v>0</v>
      </c>
      <c r="R398" s="2" t="inlineStr"/>
    </row>
    <row r="399" ht="15" customHeight="1">
      <c r="A399" t="inlineStr">
        <is>
          <t>A 22019-2021</t>
        </is>
      </c>
      <c r="B399" s="1" t="n">
        <v>44323</v>
      </c>
      <c r="C399" s="1" t="n">
        <v>46077</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11927-2025</t>
        </is>
      </c>
      <c r="B400" s="1" t="n">
        <v>45728.5137962963</v>
      </c>
      <c r="C400" s="1" t="n">
        <v>46077</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60823-2024</t>
        </is>
      </c>
      <c r="B401" s="1" t="n">
        <v>45644</v>
      </c>
      <c r="C401" s="1" t="n">
        <v>46077</v>
      </c>
      <c r="D401" t="inlineStr">
        <is>
          <t>VÄSTMANLANDS LÄN</t>
        </is>
      </c>
      <c r="E401" t="inlineStr">
        <is>
          <t>SALA</t>
        </is>
      </c>
      <c r="G401" t="n">
        <v>0.6</v>
      </c>
      <c r="H401" t="n">
        <v>0</v>
      </c>
      <c r="I401" t="n">
        <v>0</v>
      </c>
      <c r="J401" t="n">
        <v>0</v>
      </c>
      <c r="K401" t="n">
        <v>0</v>
      </c>
      <c r="L401" t="n">
        <v>0</v>
      </c>
      <c r="M401" t="n">
        <v>0</v>
      </c>
      <c r="N401" t="n">
        <v>0</v>
      </c>
      <c r="O401" t="n">
        <v>0</v>
      </c>
      <c r="P401" t="n">
        <v>0</v>
      </c>
      <c r="Q401" t="n">
        <v>0</v>
      </c>
      <c r="R401" s="2" t="inlineStr"/>
    </row>
    <row r="402" ht="15" customHeight="1">
      <c r="A402" t="inlineStr">
        <is>
          <t>A 31864-2025</t>
        </is>
      </c>
      <c r="B402" s="1" t="n">
        <v>45834.63819444444</v>
      </c>
      <c r="C402" s="1" t="n">
        <v>46077</v>
      </c>
      <c r="D402" t="inlineStr">
        <is>
          <t>VÄSTMANLANDS LÄN</t>
        </is>
      </c>
      <c r="E402" t="inlineStr">
        <is>
          <t>SALA</t>
        </is>
      </c>
      <c r="G402" t="n">
        <v>6.3</v>
      </c>
      <c r="H402" t="n">
        <v>0</v>
      </c>
      <c r="I402" t="n">
        <v>0</v>
      </c>
      <c r="J402" t="n">
        <v>0</v>
      </c>
      <c r="K402" t="n">
        <v>0</v>
      </c>
      <c r="L402" t="n">
        <v>0</v>
      </c>
      <c r="M402" t="n">
        <v>0</v>
      </c>
      <c r="N402" t="n">
        <v>0</v>
      </c>
      <c r="O402" t="n">
        <v>0</v>
      </c>
      <c r="P402" t="n">
        <v>0</v>
      </c>
      <c r="Q402" t="n">
        <v>0</v>
      </c>
      <c r="R402" s="2" t="inlineStr"/>
    </row>
    <row r="403" ht="15" customHeight="1">
      <c r="A403" t="inlineStr">
        <is>
          <t>A 57404-2024</t>
        </is>
      </c>
      <c r="B403" s="1" t="n">
        <v>45629.71967592592</v>
      </c>
      <c r="C403" s="1" t="n">
        <v>46077</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96-2024</t>
        </is>
      </c>
      <c r="B404" s="1" t="n">
        <v>45293.85872685185</v>
      </c>
      <c r="C404" s="1" t="n">
        <v>46077</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23374-2023</t>
        </is>
      </c>
      <c r="B405" s="1" t="n">
        <v>45076.4399537037</v>
      </c>
      <c r="C405" s="1" t="n">
        <v>46077</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52630-2022</t>
        </is>
      </c>
      <c r="B406" s="1" t="n">
        <v>44874</v>
      </c>
      <c r="C406" s="1" t="n">
        <v>46077</v>
      </c>
      <c r="D406" t="inlineStr">
        <is>
          <t>VÄSTMANLANDS LÄN</t>
        </is>
      </c>
      <c r="E406" t="inlineStr">
        <is>
          <t>SALA</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21777-2022</t>
        </is>
      </c>
      <c r="B407" s="1" t="n">
        <v>44708.48194444444</v>
      </c>
      <c r="C407" s="1" t="n">
        <v>46077</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56687-2024</t>
        </is>
      </c>
      <c r="B408" s="1" t="n">
        <v>45627.63271990741</v>
      </c>
      <c r="C408" s="1" t="n">
        <v>46077</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39167-2025</t>
        </is>
      </c>
      <c r="B409" s="1" t="n">
        <v>45888</v>
      </c>
      <c r="C409" s="1" t="n">
        <v>46077</v>
      </c>
      <c r="D409" t="inlineStr">
        <is>
          <t>VÄSTMANLANDS LÄN</t>
        </is>
      </c>
      <c r="E409" t="inlineStr">
        <is>
          <t>SALA</t>
        </is>
      </c>
      <c r="G409" t="n">
        <v>5.5</v>
      </c>
      <c r="H409" t="n">
        <v>0</v>
      </c>
      <c r="I409" t="n">
        <v>0</v>
      </c>
      <c r="J409" t="n">
        <v>0</v>
      </c>
      <c r="K409" t="n">
        <v>0</v>
      </c>
      <c r="L409" t="n">
        <v>0</v>
      </c>
      <c r="M409" t="n">
        <v>0</v>
      </c>
      <c r="N409" t="n">
        <v>0</v>
      </c>
      <c r="O409" t="n">
        <v>0</v>
      </c>
      <c r="P409" t="n">
        <v>0</v>
      </c>
      <c r="Q409" t="n">
        <v>0</v>
      </c>
      <c r="R409" s="2" t="inlineStr"/>
    </row>
    <row r="410" ht="15" customHeight="1">
      <c r="A410" t="inlineStr">
        <is>
          <t>A 17866-2025</t>
        </is>
      </c>
      <c r="B410" s="1" t="n">
        <v>45758</v>
      </c>
      <c r="C410" s="1" t="n">
        <v>46077</v>
      </c>
      <c r="D410" t="inlineStr">
        <is>
          <t>VÄSTMANLANDS LÄN</t>
        </is>
      </c>
      <c r="E410" t="inlineStr">
        <is>
          <t>SALA</t>
        </is>
      </c>
      <c r="F410" t="inlineStr">
        <is>
          <t>Bergvik skog öst AB</t>
        </is>
      </c>
      <c r="G410" t="n">
        <v>2.1</v>
      </c>
      <c r="H410" t="n">
        <v>0</v>
      </c>
      <c r="I410" t="n">
        <v>0</v>
      </c>
      <c r="J410" t="n">
        <v>0</v>
      </c>
      <c r="K410" t="n">
        <v>0</v>
      </c>
      <c r="L410" t="n">
        <v>0</v>
      </c>
      <c r="M410" t="n">
        <v>0</v>
      </c>
      <c r="N410" t="n">
        <v>0</v>
      </c>
      <c r="O410" t="n">
        <v>0</v>
      </c>
      <c r="P410" t="n">
        <v>0</v>
      </c>
      <c r="Q410" t="n">
        <v>0</v>
      </c>
      <c r="R410" s="2" t="inlineStr"/>
    </row>
    <row r="411" ht="15" customHeight="1">
      <c r="A411" t="inlineStr">
        <is>
          <t>A 33732-2023</t>
        </is>
      </c>
      <c r="B411" s="1" t="n">
        <v>45133.32409722222</v>
      </c>
      <c r="C411" s="1" t="n">
        <v>46077</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61874-2021</t>
        </is>
      </c>
      <c r="B412" s="1" t="n">
        <v>44502</v>
      </c>
      <c r="C412" s="1" t="n">
        <v>46077</v>
      </c>
      <c r="D412" t="inlineStr">
        <is>
          <t>VÄSTMANLANDS LÄN</t>
        </is>
      </c>
      <c r="E412" t="inlineStr">
        <is>
          <t>SALA</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9856-2022</t>
        </is>
      </c>
      <c r="B413" s="1" t="n">
        <v>44620</v>
      </c>
      <c r="C413" s="1" t="n">
        <v>46077</v>
      </c>
      <c r="D413" t="inlineStr">
        <is>
          <t>VÄSTMANLANDS LÄN</t>
        </is>
      </c>
      <c r="E413" t="inlineStr">
        <is>
          <t>SALA</t>
        </is>
      </c>
      <c r="G413" t="n">
        <v>2.4</v>
      </c>
      <c r="H413" t="n">
        <v>0</v>
      </c>
      <c r="I413" t="n">
        <v>0</v>
      </c>
      <c r="J413" t="n">
        <v>0</v>
      </c>
      <c r="K413" t="n">
        <v>0</v>
      </c>
      <c r="L413" t="n">
        <v>0</v>
      </c>
      <c r="M413" t="n">
        <v>0</v>
      </c>
      <c r="N413" t="n">
        <v>0</v>
      </c>
      <c r="O413" t="n">
        <v>0</v>
      </c>
      <c r="P413" t="n">
        <v>0</v>
      </c>
      <c r="Q413" t="n">
        <v>0</v>
      </c>
      <c r="R413" s="2" t="inlineStr"/>
    </row>
    <row r="414" ht="15" customHeight="1">
      <c r="A414" t="inlineStr">
        <is>
          <t>A 16159-2024</t>
        </is>
      </c>
      <c r="B414" s="1" t="n">
        <v>45406</v>
      </c>
      <c r="C414" s="1" t="n">
        <v>46077</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7166-2025</t>
        </is>
      </c>
      <c r="B415" s="1" t="n">
        <v>45702</v>
      </c>
      <c r="C415" s="1" t="n">
        <v>46077</v>
      </c>
      <c r="D415" t="inlineStr">
        <is>
          <t>VÄSTMANLANDS LÄN</t>
        </is>
      </c>
      <c r="E415" t="inlineStr">
        <is>
          <t>SALA</t>
        </is>
      </c>
      <c r="G415" t="n">
        <v>6.1</v>
      </c>
      <c r="H415" t="n">
        <v>0</v>
      </c>
      <c r="I415" t="n">
        <v>0</v>
      </c>
      <c r="J415" t="n">
        <v>0</v>
      </c>
      <c r="K415" t="n">
        <v>0</v>
      </c>
      <c r="L415" t="n">
        <v>0</v>
      </c>
      <c r="M415" t="n">
        <v>0</v>
      </c>
      <c r="N415" t="n">
        <v>0</v>
      </c>
      <c r="O415" t="n">
        <v>0</v>
      </c>
      <c r="P415" t="n">
        <v>0</v>
      </c>
      <c r="Q415" t="n">
        <v>0</v>
      </c>
      <c r="R415" s="2" t="inlineStr"/>
    </row>
    <row r="416" ht="15" customHeight="1">
      <c r="A416" t="inlineStr">
        <is>
          <t>A 50241-2023</t>
        </is>
      </c>
      <c r="B416" s="1" t="n">
        <v>45216</v>
      </c>
      <c r="C416" s="1" t="n">
        <v>46077</v>
      </c>
      <c r="D416" t="inlineStr">
        <is>
          <t>VÄSTMANLANDS LÄN</t>
        </is>
      </c>
      <c r="E416" t="inlineStr">
        <is>
          <t>SALA</t>
        </is>
      </c>
      <c r="G416" t="n">
        <v>1.9</v>
      </c>
      <c r="H416" t="n">
        <v>0</v>
      </c>
      <c r="I416" t="n">
        <v>0</v>
      </c>
      <c r="J416" t="n">
        <v>0</v>
      </c>
      <c r="K416" t="n">
        <v>0</v>
      </c>
      <c r="L416" t="n">
        <v>0</v>
      </c>
      <c r="M416" t="n">
        <v>0</v>
      </c>
      <c r="N416" t="n">
        <v>0</v>
      </c>
      <c r="O416" t="n">
        <v>0</v>
      </c>
      <c r="P416" t="n">
        <v>0</v>
      </c>
      <c r="Q416" t="n">
        <v>0</v>
      </c>
      <c r="R416" s="2" t="inlineStr"/>
    </row>
    <row r="417" ht="15" customHeight="1">
      <c r="A417" t="inlineStr">
        <is>
          <t>A 44857-2023</t>
        </is>
      </c>
      <c r="B417" s="1" t="n">
        <v>45190.58479166667</v>
      </c>
      <c r="C417" s="1" t="n">
        <v>46077</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46352-2023</t>
        </is>
      </c>
      <c r="B418" s="1" t="n">
        <v>45192</v>
      </c>
      <c r="C418" s="1" t="n">
        <v>46077</v>
      </c>
      <c r="D418" t="inlineStr">
        <is>
          <t>VÄSTMANLANDS LÄN</t>
        </is>
      </c>
      <c r="E418" t="inlineStr">
        <is>
          <t>SALA</t>
        </is>
      </c>
      <c r="G418" t="n">
        <v>1.9</v>
      </c>
      <c r="H418" t="n">
        <v>0</v>
      </c>
      <c r="I418" t="n">
        <v>0</v>
      </c>
      <c r="J418" t="n">
        <v>0</v>
      </c>
      <c r="K418" t="n">
        <v>0</v>
      </c>
      <c r="L418" t="n">
        <v>0</v>
      </c>
      <c r="M418" t="n">
        <v>0</v>
      </c>
      <c r="N418" t="n">
        <v>0</v>
      </c>
      <c r="O418" t="n">
        <v>0</v>
      </c>
      <c r="P418" t="n">
        <v>0</v>
      </c>
      <c r="Q418" t="n">
        <v>0</v>
      </c>
      <c r="R418" s="2" t="inlineStr"/>
    </row>
    <row r="419" ht="15" customHeight="1">
      <c r="A419" t="inlineStr">
        <is>
          <t>A 3332-2024</t>
        </is>
      </c>
      <c r="B419" s="1" t="n">
        <v>45317</v>
      </c>
      <c r="C419" s="1" t="n">
        <v>46077</v>
      </c>
      <c r="D419" t="inlineStr">
        <is>
          <t>VÄSTMANLANDS LÄN</t>
        </is>
      </c>
      <c r="E419" t="inlineStr">
        <is>
          <t>SALA</t>
        </is>
      </c>
      <c r="G419" t="n">
        <v>2</v>
      </c>
      <c r="H419" t="n">
        <v>0</v>
      </c>
      <c r="I419" t="n">
        <v>0</v>
      </c>
      <c r="J419" t="n">
        <v>0</v>
      </c>
      <c r="K419" t="n">
        <v>0</v>
      </c>
      <c r="L419" t="n">
        <v>0</v>
      </c>
      <c r="M419" t="n">
        <v>0</v>
      </c>
      <c r="N419" t="n">
        <v>0</v>
      </c>
      <c r="O419" t="n">
        <v>0</v>
      </c>
      <c r="P419" t="n">
        <v>0</v>
      </c>
      <c r="Q419" t="n">
        <v>0</v>
      </c>
      <c r="R419" s="2" t="inlineStr"/>
    </row>
    <row r="420" ht="15" customHeight="1">
      <c r="A420" t="inlineStr">
        <is>
          <t>A 52498-2022</t>
        </is>
      </c>
      <c r="B420" s="1" t="n">
        <v>44874.50152777778</v>
      </c>
      <c r="C420" s="1" t="n">
        <v>46077</v>
      </c>
      <c r="D420" t="inlineStr">
        <is>
          <t>VÄSTMANLANDS LÄN</t>
        </is>
      </c>
      <c r="E420" t="inlineStr">
        <is>
          <t>SALA</t>
        </is>
      </c>
      <c r="G420" t="n">
        <v>2.1</v>
      </c>
      <c r="H420" t="n">
        <v>0</v>
      </c>
      <c r="I420" t="n">
        <v>0</v>
      </c>
      <c r="J420" t="n">
        <v>0</v>
      </c>
      <c r="K420" t="n">
        <v>0</v>
      </c>
      <c r="L420" t="n">
        <v>0</v>
      </c>
      <c r="M420" t="n">
        <v>0</v>
      </c>
      <c r="N420" t="n">
        <v>0</v>
      </c>
      <c r="O420" t="n">
        <v>0</v>
      </c>
      <c r="P420" t="n">
        <v>0</v>
      </c>
      <c r="Q420" t="n">
        <v>0</v>
      </c>
      <c r="R420" s="2" t="inlineStr"/>
    </row>
    <row r="421" ht="15" customHeight="1">
      <c r="A421" t="inlineStr">
        <is>
          <t>A 61715-2024</t>
        </is>
      </c>
      <c r="B421" s="1" t="n">
        <v>45648.89519675926</v>
      </c>
      <c r="C421" s="1" t="n">
        <v>46077</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22397-2022</t>
        </is>
      </c>
      <c r="B422" s="1" t="n">
        <v>44713</v>
      </c>
      <c r="C422" s="1" t="n">
        <v>46077</v>
      </c>
      <c r="D422" t="inlineStr">
        <is>
          <t>VÄSTMANLANDS LÄN</t>
        </is>
      </c>
      <c r="E422" t="inlineStr">
        <is>
          <t>SALA</t>
        </is>
      </c>
      <c r="G422" t="n">
        <v>2.1</v>
      </c>
      <c r="H422" t="n">
        <v>0</v>
      </c>
      <c r="I422" t="n">
        <v>0</v>
      </c>
      <c r="J422" t="n">
        <v>0</v>
      </c>
      <c r="K422" t="n">
        <v>0</v>
      </c>
      <c r="L422" t="n">
        <v>0</v>
      </c>
      <c r="M422" t="n">
        <v>0</v>
      </c>
      <c r="N422" t="n">
        <v>0</v>
      </c>
      <c r="O422" t="n">
        <v>0</v>
      </c>
      <c r="P422" t="n">
        <v>0</v>
      </c>
      <c r="Q422" t="n">
        <v>0</v>
      </c>
      <c r="R422" s="2" t="inlineStr"/>
    </row>
    <row r="423" ht="15" customHeight="1">
      <c r="A423" t="inlineStr">
        <is>
          <t>A 27424-2023</t>
        </is>
      </c>
      <c r="B423" s="1" t="n">
        <v>45097.37690972222</v>
      </c>
      <c r="C423" s="1" t="n">
        <v>46077</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35637-2022</t>
        </is>
      </c>
      <c r="B424" s="1" t="n">
        <v>44799.55194444444</v>
      </c>
      <c r="C424" s="1" t="n">
        <v>46077</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7469-2025</t>
        </is>
      </c>
      <c r="B425" s="1" t="n">
        <v>45705</v>
      </c>
      <c r="C425" s="1" t="n">
        <v>46077</v>
      </c>
      <c r="D425" t="inlineStr">
        <is>
          <t>VÄSTMANLANDS LÄN</t>
        </is>
      </c>
      <c r="E425" t="inlineStr">
        <is>
          <t>SALA</t>
        </is>
      </c>
      <c r="G425" t="n">
        <v>2.1</v>
      </c>
      <c r="H425" t="n">
        <v>0</v>
      </c>
      <c r="I425" t="n">
        <v>0</v>
      </c>
      <c r="J425" t="n">
        <v>0</v>
      </c>
      <c r="K425" t="n">
        <v>0</v>
      </c>
      <c r="L425" t="n">
        <v>0</v>
      </c>
      <c r="M425" t="n">
        <v>0</v>
      </c>
      <c r="N425" t="n">
        <v>0</v>
      </c>
      <c r="O425" t="n">
        <v>0</v>
      </c>
      <c r="P425" t="n">
        <v>0</v>
      </c>
      <c r="Q425" t="n">
        <v>0</v>
      </c>
      <c r="R425" s="2" t="inlineStr"/>
    </row>
    <row r="426" ht="15" customHeight="1">
      <c r="A426" t="inlineStr">
        <is>
          <t>A 6691-2025</t>
        </is>
      </c>
      <c r="B426" s="1" t="n">
        <v>45700.50625</v>
      </c>
      <c r="C426" s="1" t="n">
        <v>46077</v>
      </c>
      <c r="D426" t="inlineStr">
        <is>
          <t>VÄSTMANLANDS LÄN</t>
        </is>
      </c>
      <c r="E426" t="inlineStr">
        <is>
          <t>SALA</t>
        </is>
      </c>
      <c r="G426" t="n">
        <v>2.1</v>
      </c>
      <c r="H426" t="n">
        <v>0</v>
      </c>
      <c r="I426" t="n">
        <v>0</v>
      </c>
      <c r="J426" t="n">
        <v>0</v>
      </c>
      <c r="K426" t="n">
        <v>0</v>
      </c>
      <c r="L426" t="n">
        <v>0</v>
      </c>
      <c r="M426" t="n">
        <v>0</v>
      </c>
      <c r="N426" t="n">
        <v>0</v>
      </c>
      <c r="O426" t="n">
        <v>0</v>
      </c>
      <c r="P426" t="n">
        <v>0</v>
      </c>
      <c r="Q426" t="n">
        <v>0</v>
      </c>
      <c r="R426" s="2" t="inlineStr"/>
    </row>
    <row r="427" ht="15" customHeight="1">
      <c r="A427" t="inlineStr">
        <is>
          <t>A 60036-2024</t>
        </is>
      </c>
      <c r="B427" s="1" t="n">
        <v>45642.46434027778</v>
      </c>
      <c r="C427" s="1" t="n">
        <v>46077</v>
      </c>
      <c r="D427" t="inlineStr">
        <is>
          <t>VÄSTMANLANDS LÄN</t>
        </is>
      </c>
      <c r="E427" t="inlineStr">
        <is>
          <t>SALA</t>
        </is>
      </c>
      <c r="G427" t="n">
        <v>2.5</v>
      </c>
      <c r="H427" t="n">
        <v>0</v>
      </c>
      <c r="I427" t="n">
        <v>0</v>
      </c>
      <c r="J427" t="n">
        <v>0</v>
      </c>
      <c r="K427" t="n">
        <v>0</v>
      </c>
      <c r="L427" t="n">
        <v>0</v>
      </c>
      <c r="M427" t="n">
        <v>0</v>
      </c>
      <c r="N427" t="n">
        <v>0</v>
      </c>
      <c r="O427" t="n">
        <v>0</v>
      </c>
      <c r="P427" t="n">
        <v>0</v>
      </c>
      <c r="Q427" t="n">
        <v>0</v>
      </c>
      <c r="R427" s="2" t="inlineStr"/>
    </row>
    <row r="428" ht="15" customHeight="1">
      <c r="A428" t="inlineStr">
        <is>
          <t>A 57883-2024</t>
        </is>
      </c>
      <c r="B428" s="1" t="n">
        <v>45630</v>
      </c>
      <c r="C428" s="1" t="n">
        <v>46077</v>
      </c>
      <c r="D428" t="inlineStr">
        <is>
          <t>VÄSTMANLANDS LÄN</t>
        </is>
      </c>
      <c r="E428" t="inlineStr">
        <is>
          <t>SALA</t>
        </is>
      </c>
      <c r="G428" t="n">
        <v>5.4</v>
      </c>
      <c r="H428" t="n">
        <v>0</v>
      </c>
      <c r="I428" t="n">
        <v>0</v>
      </c>
      <c r="J428" t="n">
        <v>0</v>
      </c>
      <c r="K428" t="n">
        <v>0</v>
      </c>
      <c r="L428" t="n">
        <v>0</v>
      </c>
      <c r="M428" t="n">
        <v>0</v>
      </c>
      <c r="N428" t="n">
        <v>0</v>
      </c>
      <c r="O428" t="n">
        <v>0</v>
      </c>
      <c r="P428" t="n">
        <v>0</v>
      </c>
      <c r="Q428" t="n">
        <v>0</v>
      </c>
      <c r="R428" s="2" t="inlineStr"/>
    </row>
    <row r="429" ht="15" customHeight="1">
      <c r="A429" t="inlineStr">
        <is>
          <t>A 40556-2025</t>
        </is>
      </c>
      <c r="B429" s="1" t="n">
        <v>45896.44944444444</v>
      </c>
      <c r="C429" s="1" t="n">
        <v>46077</v>
      </c>
      <c r="D429" t="inlineStr">
        <is>
          <t>VÄSTMANLANDS LÄN</t>
        </is>
      </c>
      <c r="E429" t="inlineStr">
        <is>
          <t>SALA</t>
        </is>
      </c>
      <c r="G429" t="n">
        <v>1.9</v>
      </c>
      <c r="H429" t="n">
        <v>0</v>
      </c>
      <c r="I429" t="n">
        <v>0</v>
      </c>
      <c r="J429" t="n">
        <v>0</v>
      </c>
      <c r="K429" t="n">
        <v>0</v>
      </c>
      <c r="L429" t="n">
        <v>0</v>
      </c>
      <c r="M429" t="n">
        <v>0</v>
      </c>
      <c r="N429" t="n">
        <v>0</v>
      </c>
      <c r="O429" t="n">
        <v>0</v>
      </c>
      <c r="P429" t="n">
        <v>0</v>
      </c>
      <c r="Q429" t="n">
        <v>0</v>
      </c>
      <c r="R429" s="2" t="inlineStr"/>
    </row>
    <row r="430" ht="15" customHeight="1">
      <c r="A430" t="inlineStr">
        <is>
          <t>A 40559-2025</t>
        </is>
      </c>
      <c r="B430" s="1" t="n">
        <v>45896.45037037037</v>
      </c>
      <c r="C430" s="1" t="n">
        <v>46077</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50876-2023</t>
        </is>
      </c>
      <c r="B431" s="1" t="n">
        <v>45211</v>
      </c>
      <c r="C431" s="1" t="n">
        <v>46077</v>
      </c>
      <c r="D431" t="inlineStr">
        <is>
          <t>VÄSTMANLANDS LÄN</t>
        </is>
      </c>
      <c r="E431" t="inlineStr">
        <is>
          <t>SALA</t>
        </is>
      </c>
      <c r="G431" t="n">
        <v>1.9</v>
      </c>
      <c r="H431" t="n">
        <v>0</v>
      </c>
      <c r="I431" t="n">
        <v>0</v>
      </c>
      <c r="J431" t="n">
        <v>0</v>
      </c>
      <c r="K431" t="n">
        <v>0</v>
      </c>
      <c r="L431" t="n">
        <v>0</v>
      </c>
      <c r="M431" t="n">
        <v>0</v>
      </c>
      <c r="N431" t="n">
        <v>0</v>
      </c>
      <c r="O431" t="n">
        <v>0</v>
      </c>
      <c r="P431" t="n">
        <v>0</v>
      </c>
      <c r="Q431" t="n">
        <v>0</v>
      </c>
      <c r="R431" s="2" t="inlineStr"/>
    </row>
    <row r="432" ht="15" customHeight="1">
      <c r="A432" t="inlineStr">
        <is>
          <t>A 43188-2023</t>
        </is>
      </c>
      <c r="B432" s="1" t="n">
        <v>45183</v>
      </c>
      <c r="C432" s="1" t="n">
        <v>46077</v>
      </c>
      <c r="D432" t="inlineStr">
        <is>
          <t>VÄSTMANLANDS LÄN</t>
        </is>
      </c>
      <c r="E432" t="inlineStr">
        <is>
          <t>SALA</t>
        </is>
      </c>
      <c r="G432" t="n">
        <v>1.2</v>
      </c>
      <c r="H432" t="n">
        <v>0</v>
      </c>
      <c r="I432" t="n">
        <v>0</v>
      </c>
      <c r="J432" t="n">
        <v>0</v>
      </c>
      <c r="K432" t="n">
        <v>0</v>
      </c>
      <c r="L432" t="n">
        <v>0</v>
      </c>
      <c r="M432" t="n">
        <v>0</v>
      </c>
      <c r="N432" t="n">
        <v>0</v>
      </c>
      <c r="O432" t="n">
        <v>0</v>
      </c>
      <c r="P432" t="n">
        <v>0</v>
      </c>
      <c r="Q432" t="n">
        <v>0</v>
      </c>
      <c r="R432" s="2" t="inlineStr"/>
    </row>
    <row r="433" ht="15" customHeight="1">
      <c r="A433" t="inlineStr">
        <is>
          <t>A 43205-2023</t>
        </is>
      </c>
      <c r="B433" s="1" t="n">
        <v>45183</v>
      </c>
      <c r="C433" s="1" t="n">
        <v>46077</v>
      </c>
      <c r="D433" t="inlineStr">
        <is>
          <t>VÄSTMANLANDS LÄN</t>
        </is>
      </c>
      <c r="E433" t="inlineStr">
        <is>
          <t>SALA</t>
        </is>
      </c>
      <c r="G433" t="n">
        <v>2.1</v>
      </c>
      <c r="H433" t="n">
        <v>0</v>
      </c>
      <c r="I433" t="n">
        <v>0</v>
      </c>
      <c r="J433" t="n">
        <v>0</v>
      </c>
      <c r="K433" t="n">
        <v>0</v>
      </c>
      <c r="L433" t="n">
        <v>0</v>
      </c>
      <c r="M433" t="n">
        <v>0</v>
      </c>
      <c r="N433" t="n">
        <v>0</v>
      </c>
      <c r="O433" t="n">
        <v>0</v>
      </c>
      <c r="P433" t="n">
        <v>0</v>
      </c>
      <c r="Q433" t="n">
        <v>0</v>
      </c>
      <c r="R433" s="2" t="inlineStr"/>
    </row>
    <row r="434" ht="15" customHeight="1">
      <c r="A434" t="inlineStr">
        <is>
          <t>A 28827-2022</t>
        </is>
      </c>
      <c r="B434" s="1" t="n">
        <v>44749.45561342593</v>
      </c>
      <c r="C434" s="1" t="n">
        <v>46077</v>
      </c>
      <c r="D434" t="inlineStr">
        <is>
          <t>VÄSTMANLANDS LÄN</t>
        </is>
      </c>
      <c r="E434" t="inlineStr">
        <is>
          <t>SALA</t>
        </is>
      </c>
      <c r="F434" t="inlineStr">
        <is>
          <t>Kommuner</t>
        </is>
      </c>
      <c r="G434" t="n">
        <v>11.9</v>
      </c>
      <c r="H434" t="n">
        <v>0</v>
      </c>
      <c r="I434" t="n">
        <v>0</v>
      </c>
      <c r="J434" t="n">
        <v>0</v>
      </c>
      <c r="K434" t="n">
        <v>0</v>
      </c>
      <c r="L434" t="n">
        <v>0</v>
      </c>
      <c r="M434" t="n">
        <v>0</v>
      </c>
      <c r="N434" t="n">
        <v>0</v>
      </c>
      <c r="O434" t="n">
        <v>0</v>
      </c>
      <c r="P434" t="n">
        <v>0</v>
      </c>
      <c r="Q434" t="n">
        <v>0</v>
      </c>
      <c r="R434" s="2" t="inlineStr"/>
    </row>
    <row r="435" ht="15" customHeight="1">
      <c r="A435" t="inlineStr">
        <is>
          <t>A 15756-2025</t>
        </is>
      </c>
      <c r="B435" s="1" t="n">
        <v>45748.56810185185</v>
      </c>
      <c r="C435" s="1" t="n">
        <v>46077</v>
      </c>
      <c r="D435" t="inlineStr">
        <is>
          <t>VÄSTMANLANDS LÄN</t>
        </is>
      </c>
      <c r="E435" t="inlineStr">
        <is>
          <t>SALA</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40620-2025</t>
        </is>
      </c>
      <c r="B436" s="1" t="n">
        <v>45896.58609953704</v>
      </c>
      <c r="C436" s="1" t="n">
        <v>46077</v>
      </c>
      <c r="D436" t="inlineStr">
        <is>
          <t>VÄSTMANLANDS LÄN</t>
        </is>
      </c>
      <c r="E436" t="inlineStr">
        <is>
          <t>SALA</t>
        </is>
      </c>
      <c r="G436" t="n">
        <v>6.7</v>
      </c>
      <c r="H436" t="n">
        <v>0</v>
      </c>
      <c r="I436" t="n">
        <v>0</v>
      </c>
      <c r="J436" t="n">
        <v>0</v>
      </c>
      <c r="K436" t="n">
        <v>0</v>
      </c>
      <c r="L436" t="n">
        <v>0</v>
      </c>
      <c r="M436" t="n">
        <v>0</v>
      </c>
      <c r="N436" t="n">
        <v>0</v>
      </c>
      <c r="O436" t="n">
        <v>0</v>
      </c>
      <c r="P436" t="n">
        <v>0</v>
      </c>
      <c r="Q436" t="n">
        <v>0</v>
      </c>
      <c r="R436" s="2" t="inlineStr"/>
    </row>
    <row r="437" ht="15" customHeight="1">
      <c r="A437" t="inlineStr">
        <is>
          <t>A 19243-2025</t>
        </is>
      </c>
      <c r="B437" s="1" t="n">
        <v>45769</v>
      </c>
      <c r="C437" s="1" t="n">
        <v>46077</v>
      </c>
      <c r="D437" t="inlineStr">
        <is>
          <t>VÄSTMANLANDS LÄN</t>
        </is>
      </c>
      <c r="E437" t="inlineStr">
        <is>
          <t>SALA</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37624-2024</t>
        </is>
      </c>
      <c r="B438" s="1" t="n">
        <v>45541</v>
      </c>
      <c r="C438" s="1" t="n">
        <v>46077</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40398-2021</t>
        </is>
      </c>
      <c r="B439" s="1" t="n">
        <v>44419</v>
      </c>
      <c r="C439" s="1" t="n">
        <v>46077</v>
      </c>
      <c r="D439" t="inlineStr">
        <is>
          <t>VÄSTMANLANDS LÄN</t>
        </is>
      </c>
      <c r="E439" t="inlineStr">
        <is>
          <t>SALA</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6351-2023</t>
        </is>
      </c>
      <c r="B440" s="1" t="n">
        <v>44965</v>
      </c>
      <c r="C440" s="1" t="n">
        <v>46077</v>
      </c>
      <c r="D440" t="inlineStr">
        <is>
          <t>VÄSTMANLANDS LÄN</t>
        </is>
      </c>
      <c r="E440" t="inlineStr">
        <is>
          <t>SALA</t>
        </is>
      </c>
      <c r="F440" t="inlineStr">
        <is>
          <t>Kommuner</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16404-2022</t>
        </is>
      </c>
      <c r="B441" s="1" t="n">
        <v>44671</v>
      </c>
      <c r="C441" s="1" t="n">
        <v>46077</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27262-2024</t>
        </is>
      </c>
      <c r="B442" s="1" t="n">
        <v>45471</v>
      </c>
      <c r="C442" s="1" t="n">
        <v>46077</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46077</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15584-2021</t>
        </is>
      </c>
      <c r="B444" s="1" t="n">
        <v>44285</v>
      </c>
      <c r="C444" s="1" t="n">
        <v>46077</v>
      </c>
      <c r="D444" t="inlineStr">
        <is>
          <t>VÄSTMANLANDS LÄN</t>
        </is>
      </c>
      <c r="E444" t="inlineStr">
        <is>
          <t>SALA</t>
        </is>
      </c>
      <c r="G444" t="n">
        <v>3.4</v>
      </c>
      <c r="H444" t="n">
        <v>0</v>
      </c>
      <c r="I444" t="n">
        <v>0</v>
      </c>
      <c r="J444" t="n">
        <v>0</v>
      </c>
      <c r="K444" t="n">
        <v>0</v>
      </c>
      <c r="L444" t="n">
        <v>0</v>
      </c>
      <c r="M444" t="n">
        <v>0</v>
      </c>
      <c r="N444" t="n">
        <v>0</v>
      </c>
      <c r="O444" t="n">
        <v>0</v>
      </c>
      <c r="P444" t="n">
        <v>0</v>
      </c>
      <c r="Q444" t="n">
        <v>0</v>
      </c>
      <c r="R444" s="2" t="inlineStr"/>
    </row>
    <row r="445" ht="15" customHeight="1">
      <c r="A445" t="inlineStr">
        <is>
          <t>A 23119-2022</t>
        </is>
      </c>
      <c r="B445" s="1" t="n">
        <v>44719.56697916667</v>
      </c>
      <c r="C445" s="1" t="n">
        <v>46077</v>
      </c>
      <c r="D445" t="inlineStr">
        <is>
          <t>VÄSTMANLANDS LÄN</t>
        </is>
      </c>
      <c r="E445" t="inlineStr">
        <is>
          <t>SALA</t>
        </is>
      </c>
      <c r="G445" t="n">
        <v>7</v>
      </c>
      <c r="H445" t="n">
        <v>0</v>
      </c>
      <c r="I445" t="n">
        <v>0</v>
      </c>
      <c r="J445" t="n">
        <v>0</v>
      </c>
      <c r="K445" t="n">
        <v>0</v>
      </c>
      <c r="L445" t="n">
        <v>0</v>
      </c>
      <c r="M445" t="n">
        <v>0</v>
      </c>
      <c r="N445" t="n">
        <v>0</v>
      </c>
      <c r="O445" t="n">
        <v>0</v>
      </c>
      <c r="P445" t="n">
        <v>0</v>
      </c>
      <c r="Q445" t="n">
        <v>0</v>
      </c>
      <c r="R445" s="2" t="inlineStr"/>
    </row>
    <row r="446" ht="15" customHeight="1">
      <c r="A446" t="inlineStr">
        <is>
          <t>A 41230-2025</t>
        </is>
      </c>
      <c r="B446" s="1" t="n">
        <v>45898</v>
      </c>
      <c r="C446" s="1" t="n">
        <v>46077</v>
      </c>
      <c r="D446" t="inlineStr">
        <is>
          <t>VÄSTMANLANDS LÄN</t>
        </is>
      </c>
      <c r="E446" t="inlineStr">
        <is>
          <t>SALA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43751-2021</t>
        </is>
      </c>
      <c r="B447" s="1" t="n">
        <v>44433</v>
      </c>
      <c r="C447" s="1" t="n">
        <v>46077</v>
      </c>
      <c r="D447" t="inlineStr">
        <is>
          <t>VÄSTMANLANDS LÄN</t>
        </is>
      </c>
      <c r="E447" t="inlineStr">
        <is>
          <t>SALA</t>
        </is>
      </c>
      <c r="G447" t="n">
        <v>1.5</v>
      </c>
      <c r="H447" t="n">
        <v>0</v>
      </c>
      <c r="I447" t="n">
        <v>0</v>
      </c>
      <c r="J447" t="n">
        <v>0</v>
      </c>
      <c r="K447" t="n">
        <v>0</v>
      </c>
      <c r="L447" t="n">
        <v>0</v>
      </c>
      <c r="M447" t="n">
        <v>0</v>
      </c>
      <c r="N447" t="n">
        <v>0</v>
      </c>
      <c r="O447" t="n">
        <v>0</v>
      </c>
      <c r="P447" t="n">
        <v>0</v>
      </c>
      <c r="Q447" t="n">
        <v>0</v>
      </c>
      <c r="R447" s="2" t="inlineStr"/>
    </row>
    <row r="448" ht="15" customHeight="1">
      <c r="A448" t="inlineStr">
        <is>
          <t>A 59483-2022</t>
        </is>
      </c>
      <c r="B448" s="1" t="n">
        <v>44907.45679398148</v>
      </c>
      <c r="C448" s="1" t="n">
        <v>46077</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10559-2024</t>
        </is>
      </c>
      <c r="B449" s="1" t="n">
        <v>45366</v>
      </c>
      <c r="C449" s="1" t="n">
        <v>46077</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73673-2021</t>
        </is>
      </c>
      <c r="B450" s="1" t="n">
        <v>44552.46501157407</v>
      </c>
      <c r="C450" s="1" t="n">
        <v>46077</v>
      </c>
      <c r="D450" t="inlineStr">
        <is>
          <t>VÄSTMANLANDS LÄN</t>
        </is>
      </c>
      <c r="E450" t="inlineStr">
        <is>
          <t>SALA</t>
        </is>
      </c>
      <c r="G450" t="n">
        <v>11.4</v>
      </c>
      <c r="H450" t="n">
        <v>0</v>
      </c>
      <c r="I450" t="n">
        <v>0</v>
      </c>
      <c r="J450" t="n">
        <v>0</v>
      </c>
      <c r="K450" t="n">
        <v>0</v>
      </c>
      <c r="L450" t="n">
        <v>0</v>
      </c>
      <c r="M450" t="n">
        <v>0</v>
      </c>
      <c r="N450" t="n">
        <v>0</v>
      </c>
      <c r="O450" t="n">
        <v>0</v>
      </c>
      <c r="P450" t="n">
        <v>0</v>
      </c>
      <c r="Q450" t="n">
        <v>0</v>
      </c>
      <c r="R450" s="2" t="inlineStr"/>
    </row>
    <row r="451" ht="15" customHeight="1">
      <c r="A451" t="inlineStr">
        <is>
          <t>A 41431-2025</t>
        </is>
      </c>
      <c r="B451" s="1" t="n">
        <v>45901.39347222223</v>
      </c>
      <c r="C451" s="1" t="n">
        <v>46077</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60545-2024</t>
        </is>
      </c>
      <c r="B452" s="1" t="n">
        <v>45643</v>
      </c>
      <c r="C452" s="1" t="n">
        <v>46077</v>
      </c>
      <c r="D452" t="inlineStr">
        <is>
          <t>VÄSTMANLANDS LÄN</t>
        </is>
      </c>
      <c r="E452" t="inlineStr">
        <is>
          <t>SALA</t>
        </is>
      </c>
      <c r="G452" t="n">
        <v>3.3</v>
      </c>
      <c r="H452" t="n">
        <v>0</v>
      </c>
      <c r="I452" t="n">
        <v>0</v>
      </c>
      <c r="J452" t="n">
        <v>0</v>
      </c>
      <c r="K452" t="n">
        <v>0</v>
      </c>
      <c r="L452" t="n">
        <v>0</v>
      </c>
      <c r="M452" t="n">
        <v>0</v>
      </c>
      <c r="N452" t="n">
        <v>0</v>
      </c>
      <c r="O452" t="n">
        <v>0</v>
      </c>
      <c r="P452" t="n">
        <v>0</v>
      </c>
      <c r="Q452" t="n">
        <v>0</v>
      </c>
      <c r="R452" s="2" t="inlineStr"/>
    </row>
    <row r="453" ht="15" customHeight="1">
      <c r="A453" t="inlineStr">
        <is>
          <t>A 60547-2024</t>
        </is>
      </c>
      <c r="B453" s="1" t="n">
        <v>45643</v>
      </c>
      <c r="C453" s="1" t="n">
        <v>46077</v>
      </c>
      <c r="D453" t="inlineStr">
        <is>
          <t>VÄSTMANLANDS LÄN</t>
        </is>
      </c>
      <c r="E453" t="inlineStr">
        <is>
          <t>SALA</t>
        </is>
      </c>
      <c r="G453" t="n">
        <v>0.6</v>
      </c>
      <c r="H453" t="n">
        <v>0</v>
      </c>
      <c r="I453" t="n">
        <v>0</v>
      </c>
      <c r="J453" t="n">
        <v>0</v>
      </c>
      <c r="K453" t="n">
        <v>0</v>
      </c>
      <c r="L453" t="n">
        <v>0</v>
      </c>
      <c r="M453" t="n">
        <v>0</v>
      </c>
      <c r="N453" t="n">
        <v>0</v>
      </c>
      <c r="O453" t="n">
        <v>0</v>
      </c>
      <c r="P453" t="n">
        <v>0</v>
      </c>
      <c r="Q453" t="n">
        <v>0</v>
      </c>
      <c r="R453" s="2" t="inlineStr"/>
    </row>
    <row r="454" ht="15" customHeight="1">
      <c r="A454" t="inlineStr">
        <is>
          <t>A 4853-2023</t>
        </is>
      </c>
      <c r="B454" s="1" t="n">
        <v>44957.73234953704</v>
      </c>
      <c r="C454" s="1" t="n">
        <v>46077</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41414-2025</t>
        </is>
      </c>
      <c r="B455" s="1" t="n">
        <v>45901.360625</v>
      </c>
      <c r="C455" s="1" t="n">
        <v>46077</v>
      </c>
      <c r="D455" t="inlineStr">
        <is>
          <t>VÄSTMANLANDS LÄN</t>
        </is>
      </c>
      <c r="E455" t="inlineStr">
        <is>
          <t>SALA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53164-2024</t>
        </is>
      </c>
      <c r="B456" s="1" t="n">
        <v>45611.64887731482</v>
      </c>
      <c r="C456" s="1" t="n">
        <v>46077</v>
      </c>
      <c r="D456" t="inlineStr">
        <is>
          <t>VÄSTMANLANDS LÄN</t>
        </is>
      </c>
      <c r="E456" t="inlineStr">
        <is>
          <t>SALA</t>
        </is>
      </c>
      <c r="G456" t="n">
        <v>2.6</v>
      </c>
      <c r="H456" t="n">
        <v>0</v>
      </c>
      <c r="I456" t="n">
        <v>0</v>
      </c>
      <c r="J456" t="n">
        <v>0</v>
      </c>
      <c r="K456" t="n">
        <v>0</v>
      </c>
      <c r="L456" t="n">
        <v>0</v>
      </c>
      <c r="M456" t="n">
        <v>0</v>
      </c>
      <c r="N456" t="n">
        <v>0</v>
      </c>
      <c r="O456" t="n">
        <v>0</v>
      </c>
      <c r="P456" t="n">
        <v>0</v>
      </c>
      <c r="Q456" t="n">
        <v>0</v>
      </c>
      <c r="R456" s="2" t="inlineStr"/>
    </row>
    <row r="457" ht="15" customHeight="1">
      <c r="A457" t="inlineStr">
        <is>
          <t>A 15965-2024</t>
        </is>
      </c>
      <c r="B457" s="1" t="n">
        <v>45405.55740740741</v>
      </c>
      <c r="C457" s="1" t="n">
        <v>46077</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61717-2024</t>
        </is>
      </c>
      <c r="B458" s="1" t="n">
        <v>45648</v>
      </c>
      <c r="C458" s="1" t="n">
        <v>46077</v>
      </c>
      <c r="D458" t="inlineStr">
        <is>
          <t>VÄSTMANLANDS LÄN</t>
        </is>
      </c>
      <c r="E458" t="inlineStr">
        <is>
          <t>SALA</t>
        </is>
      </c>
      <c r="G458" t="n">
        <v>3.7</v>
      </c>
      <c r="H458" t="n">
        <v>0</v>
      </c>
      <c r="I458" t="n">
        <v>0</v>
      </c>
      <c r="J458" t="n">
        <v>0</v>
      </c>
      <c r="K458" t="n">
        <v>0</v>
      </c>
      <c r="L458" t="n">
        <v>0</v>
      </c>
      <c r="M458" t="n">
        <v>0</v>
      </c>
      <c r="N458" t="n">
        <v>0</v>
      </c>
      <c r="O458" t="n">
        <v>0</v>
      </c>
      <c r="P458" t="n">
        <v>0</v>
      </c>
      <c r="Q458" t="n">
        <v>0</v>
      </c>
      <c r="R458" s="2" t="inlineStr"/>
    </row>
    <row r="459" ht="15" customHeight="1">
      <c r="A459" t="inlineStr">
        <is>
          <t>A 1993-2022</t>
        </is>
      </c>
      <c r="B459" s="1" t="n">
        <v>44575</v>
      </c>
      <c r="C459" s="1" t="n">
        <v>46077</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1793-2023</t>
        </is>
      </c>
      <c r="B460" s="1" t="n">
        <v>44937</v>
      </c>
      <c r="C460" s="1" t="n">
        <v>46077</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42447-2022</t>
        </is>
      </c>
      <c r="B461" s="1" t="n">
        <v>44831</v>
      </c>
      <c r="C461" s="1" t="n">
        <v>46077</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21968-2024</t>
        </is>
      </c>
      <c r="B462" s="1" t="n">
        <v>45443</v>
      </c>
      <c r="C462" s="1" t="n">
        <v>46077</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11183-2023</t>
        </is>
      </c>
      <c r="B463" s="1" t="n">
        <v>44992.57782407408</v>
      </c>
      <c r="C463" s="1" t="n">
        <v>46077</v>
      </c>
      <c r="D463" t="inlineStr">
        <is>
          <t>VÄSTMANLANDS LÄN</t>
        </is>
      </c>
      <c r="E463" t="inlineStr">
        <is>
          <t>SALA</t>
        </is>
      </c>
      <c r="G463" t="n">
        <v>0.9</v>
      </c>
      <c r="H463" t="n">
        <v>0</v>
      </c>
      <c r="I463" t="n">
        <v>0</v>
      </c>
      <c r="J463" t="n">
        <v>0</v>
      </c>
      <c r="K463" t="n">
        <v>0</v>
      </c>
      <c r="L463" t="n">
        <v>0</v>
      </c>
      <c r="M463" t="n">
        <v>0</v>
      </c>
      <c r="N463" t="n">
        <v>0</v>
      </c>
      <c r="O463" t="n">
        <v>0</v>
      </c>
      <c r="P463" t="n">
        <v>0</v>
      </c>
      <c r="Q463" t="n">
        <v>0</v>
      </c>
      <c r="R463" s="2" t="inlineStr"/>
    </row>
    <row r="464" ht="15" customHeight="1">
      <c r="A464" t="inlineStr">
        <is>
          <t>A 11190-2023</t>
        </is>
      </c>
      <c r="B464" s="1" t="n">
        <v>44992</v>
      </c>
      <c r="C464" s="1" t="n">
        <v>46077</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31950-2023</t>
        </is>
      </c>
      <c r="B465" s="1" t="n">
        <v>45107</v>
      </c>
      <c r="C465" s="1" t="n">
        <v>46077</v>
      </c>
      <c r="D465" t="inlineStr">
        <is>
          <t>VÄSTMANLANDS LÄN</t>
        </is>
      </c>
      <c r="E465" t="inlineStr">
        <is>
          <t>SALA</t>
        </is>
      </c>
      <c r="G465" t="n">
        <v>1.9</v>
      </c>
      <c r="H465" t="n">
        <v>0</v>
      </c>
      <c r="I465" t="n">
        <v>0</v>
      </c>
      <c r="J465" t="n">
        <v>0</v>
      </c>
      <c r="K465" t="n">
        <v>0</v>
      </c>
      <c r="L465" t="n">
        <v>0</v>
      </c>
      <c r="M465" t="n">
        <v>0</v>
      </c>
      <c r="N465" t="n">
        <v>0</v>
      </c>
      <c r="O465" t="n">
        <v>0</v>
      </c>
      <c r="P465" t="n">
        <v>0</v>
      </c>
      <c r="Q465" t="n">
        <v>0</v>
      </c>
      <c r="R465" s="2" t="inlineStr"/>
    </row>
    <row r="466" ht="15" customHeight="1">
      <c r="A466" t="inlineStr">
        <is>
          <t>A 42421-2025</t>
        </is>
      </c>
      <c r="B466" s="1" t="n">
        <v>45905.40067129629</v>
      </c>
      <c r="C466" s="1" t="n">
        <v>46077</v>
      </c>
      <c r="D466" t="inlineStr">
        <is>
          <t>VÄSTMANLANDS LÄN</t>
        </is>
      </c>
      <c r="E466" t="inlineStr">
        <is>
          <t>SALA</t>
        </is>
      </c>
      <c r="G466" t="n">
        <v>1.3</v>
      </c>
      <c r="H466" t="n">
        <v>0</v>
      </c>
      <c r="I466" t="n">
        <v>0</v>
      </c>
      <c r="J466" t="n">
        <v>0</v>
      </c>
      <c r="K466" t="n">
        <v>0</v>
      </c>
      <c r="L466" t="n">
        <v>0</v>
      </c>
      <c r="M466" t="n">
        <v>0</v>
      </c>
      <c r="N466" t="n">
        <v>0</v>
      </c>
      <c r="O466" t="n">
        <v>0</v>
      </c>
      <c r="P466" t="n">
        <v>0</v>
      </c>
      <c r="Q466" t="n">
        <v>0</v>
      </c>
      <c r="R466" s="2" t="inlineStr"/>
    </row>
    <row r="467" ht="15" customHeight="1">
      <c r="A467" t="inlineStr">
        <is>
          <t>A 48710-2024</t>
        </is>
      </c>
      <c r="B467" s="1" t="n">
        <v>45593.53636574074</v>
      </c>
      <c r="C467" s="1" t="n">
        <v>46077</v>
      </c>
      <c r="D467" t="inlineStr">
        <is>
          <t>VÄSTMANLANDS LÄN</t>
        </is>
      </c>
      <c r="E467" t="inlineStr">
        <is>
          <t>SALA</t>
        </is>
      </c>
      <c r="G467" t="n">
        <v>6.5</v>
      </c>
      <c r="H467" t="n">
        <v>0</v>
      </c>
      <c r="I467" t="n">
        <v>0</v>
      </c>
      <c r="J467" t="n">
        <v>0</v>
      </c>
      <c r="K467" t="n">
        <v>0</v>
      </c>
      <c r="L467" t="n">
        <v>0</v>
      </c>
      <c r="M467" t="n">
        <v>0</v>
      </c>
      <c r="N467" t="n">
        <v>0</v>
      </c>
      <c r="O467" t="n">
        <v>0</v>
      </c>
      <c r="P467" t="n">
        <v>0</v>
      </c>
      <c r="Q467" t="n">
        <v>0</v>
      </c>
      <c r="R467" s="2" t="inlineStr"/>
    </row>
    <row r="468" ht="15" customHeight="1">
      <c r="A468" t="inlineStr">
        <is>
          <t>A 43028-2025</t>
        </is>
      </c>
      <c r="B468" s="1" t="n">
        <v>45909.53472222222</v>
      </c>
      <c r="C468" s="1" t="n">
        <v>46077</v>
      </c>
      <c r="D468" t="inlineStr">
        <is>
          <t>VÄSTMANLANDS LÄN</t>
        </is>
      </c>
      <c r="E468" t="inlineStr">
        <is>
          <t>SALA</t>
        </is>
      </c>
      <c r="G468" t="n">
        <v>3.8</v>
      </c>
      <c r="H468" t="n">
        <v>0</v>
      </c>
      <c r="I468" t="n">
        <v>0</v>
      </c>
      <c r="J468" t="n">
        <v>0</v>
      </c>
      <c r="K468" t="n">
        <v>0</v>
      </c>
      <c r="L468" t="n">
        <v>0</v>
      </c>
      <c r="M468" t="n">
        <v>0</v>
      </c>
      <c r="N468" t="n">
        <v>0</v>
      </c>
      <c r="O468" t="n">
        <v>0</v>
      </c>
      <c r="P468" t="n">
        <v>0</v>
      </c>
      <c r="Q468" t="n">
        <v>0</v>
      </c>
      <c r="R468" s="2" t="inlineStr"/>
    </row>
    <row r="469" ht="15" customHeight="1">
      <c r="A469" t="inlineStr">
        <is>
          <t>A 43328-2025</t>
        </is>
      </c>
      <c r="B469" s="1" t="n">
        <v>45910</v>
      </c>
      <c r="C469" s="1" t="n">
        <v>46077</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23406-2024</t>
        </is>
      </c>
      <c r="B470" s="1" t="n">
        <v>45453.58296296297</v>
      </c>
      <c r="C470" s="1" t="n">
        <v>46077</v>
      </c>
      <c r="D470" t="inlineStr">
        <is>
          <t>VÄSTMANLANDS LÄN</t>
        </is>
      </c>
      <c r="E470" t="inlineStr">
        <is>
          <t>SALA</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12246-2023</t>
        </is>
      </c>
      <c r="B471" s="1" t="n">
        <v>44995</v>
      </c>
      <c r="C471" s="1" t="n">
        <v>46077</v>
      </c>
      <c r="D471" t="inlineStr">
        <is>
          <t>VÄSTMANLANDS LÄN</t>
        </is>
      </c>
      <c r="E471" t="inlineStr">
        <is>
          <t>SALA</t>
        </is>
      </c>
      <c r="G471" t="n">
        <v>2.4</v>
      </c>
      <c r="H471" t="n">
        <v>0</v>
      </c>
      <c r="I471" t="n">
        <v>0</v>
      </c>
      <c r="J471" t="n">
        <v>0</v>
      </c>
      <c r="K471" t="n">
        <v>0</v>
      </c>
      <c r="L471" t="n">
        <v>0</v>
      </c>
      <c r="M471" t="n">
        <v>0</v>
      </c>
      <c r="N471" t="n">
        <v>0</v>
      </c>
      <c r="O471" t="n">
        <v>0</v>
      </c>
      <c r="P471" t="n">
        <v>0</v>
      </c>
      <c r="Q471" t="n">
        <v>0</v>
      </c>
      <c r="R471" s="2" t="inlineStr"/>
    </row>
    <row r="472" ht="15" customHeight="1">
      <c r="A472" t="inlineStr">
        <is>
          <t>A 43031-2025</t>
        </is>
      </c>
      <c r="B472" s="1" t="n">
        <v>45909.53856481481</v>
      </c>
      <c r="C472" s="1" t="n">
        <v>46077</v>
      </c>
      <c r="D472" t="inlineStr">
        <is>
          <t>VÄSTMANLANDS LÄN</t>
        </is>
      </c>
      <c r="E472" t="inlineStr">
        <is>
          <t>SALA</t>
        </is>
      </c>
      <c r="G472" t="n">
        <v>0.2</v>
      </c>
      <c r="H472" t="n">
        <v>0</v>
      </c>
      <c r="I472" t="n">
        <v>0</v>
      </c>
      <c r="J472" t="n">
        <v>0</v>
      </c>
      <c r="K472" t="n">
        <v>0</v>
      </c>
      <c r="L472" t="n">
        <v>0</v>
      </c>
      <c r="M472" t="n">
        <v>0</v>
      </c>
      <c r="N472" t="n">
        <v>0</v>
      </c>
      <c r="O472" t="n">
        <v>0</v>
      </c>
      <c r="P472" t="n">
        <v>0</v>
      </c>
      <c r="Q472" t="n">
        <v>0</v>
      </c>
      <c r="R472" s="2" t="inlineStr"/>
    </row>
    <row r="473" ht="15" customHeight="1">
      <c r="A473" t="inlineStr">
        <is>
          <t>A 17495-2024</t>
        </is>
      </c>
      <c r="B473" s="1" t="n">
        <v>45415</v>
      </c>
      <c r="C473" s="1" t="n">
        <v>46077</v>
      </c>
      <c r="D473" t="inlineStr">
        <is>
          <t>VÄSTMANLANDS LÄN</t>
        </is>
      </c>
      <c r="E473" t="inlineStr">
        <is>
          <t>SALA</t>
        </is>
      </c>
      <c r="G473" t="n">
        <v>3.1</v>
      </c>
      <c r="H473" t="n">
        <v>0</v>
      </c>
      <c r="I473" t="n">
        <v>0</v>
      </c>
      <c r="J473" t="n">
        <v>0</v>
      </c>
      <c r="K473" t="n">
        <v>0</v>
      </c>
      <c r="L473" t="n">
        <v>0</v>
      </c>
      <c r="M473" t="n">
        <v>0</v>
      </c>
      <c r="N473" t="n">
        <v>0</v>
      </c>
      <c r="O473" t="n">
        <v>0</v>
      </c>
      <c r="P473" t="n">
        <v>0</v>
      </c>
      <c r="Q473" t="n">
        <v>0</v>
      </c>
      <c r="R473" s="2" t="inlineStr"/>
    </row>
    <row r="474" ht="15" customHeight="1">
      <c r="A474" t="inlineStr">
        <is>
          <t>A 48571-2024</t>
        </is>
      </c>
      <c r="B474" s="1" t="n">
        <v>45591</v>
      </c>
      <c r="C474" s="1" t="n">
        <v>46077</v>
      </c>
      <c r="D474" t="inlineStr">
        <is>
          <t>VÄSTMANLANDS LÄN</t>
        </is>
      </c>
      <c r="E474" t="inlineStr">
        <is>
          <t>SALA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37263-2025</t>
        </is>
      </c>
      <c r="B475" s="1" t="n">
        <v>45876.4584837963</v>
      </c>
      <c r="C475" s="1" t="n">
        <v>46077</v>
      </c>
      <c r="D475" t="inlineStr">
        <is>
          <t>VÄSTMANLANDS LÄN</t>
        </is>
      </c>
      <c r="E475" t="inlineStr">
        <is>
          <t>SALA</t>
        </is>
      </c>
      <c r="G475" t="n">
        <v>2.3</v>
      </c>
      <c r="H475" t="n">
        <v>0</v>
      </c>
      <c r="I475" t="n">
        <v>0</v>
      </c>
      <c r="J475" t="n">
        <v>0</v>
      </c>
      <c r="K475" t="n">
        <v>0</v>
      </c>
      <c r="L475" t="n">
        <v>0</v>
      </c>
      <c r="M475" t="n">
        <v>0</v>
      </c>
      <c r="N475" t="n">
        <v>0</v>
      </c>
      <c r="O475" t="n">
        <v>0</v>
      </c>
      <c r="P475" t="n">
        <v>0</v>
      </c>
      <c r="Q475" t="n">
        <v>0</v>
      </c>
      <c r="R475" s="2" t="inlineStr"/>
    </row>
    <row r="476" ht="15" customHeight="1">
      <c r="A476" t="inlineStr">
        <is>
          <t>A 40554-2025</t>
        </is>
      </c>
      <c r="B476" s="1" t="n">
        <v>45896.44506944445</v>
      </c>
      <c r="C476" s="1" t="n">
        <v>46077</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43129-2025</t>
        </is>
      </c>
      <c r="B477" s="1" t="n">
        <v>45909</v>
      </c>
      <c r="C477" s="1" t="n">
        <v>46077</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43130-2025</t>
        </is>
      </c>
      <c r="B478" s="1" t="n">
        <v>45909</v>
      </c>
      <c r="C478" s="1" t="n">
        <v>46077</v>
      </c>
      <c r="D478" t="inlineStr">
        <is>
          <t>VÄSTMANLANDS LÄN</t>
        </is>
      </c>
      <c r="E478" t="inlineStr">
        <is>
          <t>SALA</t>
        </is>
      </c>
      <c r="G478" t="n">
        <v>0.9</v>
      </c>
      <c r="H478" t="n">
        <v>0</v>
      </c>
      <c r="I478" t="n">
        <v>0</v>
      </c>
      <c r="J478" t="n">
        <v>0</v>
      </c>
      <c r="K478" t="n">
        <v>0</v>
      </c>
      <c r="L478" t="n">
        <v>0</v>
      </c>
      <c r="M478" t="n">
        <v>0</v>
      </c>
      <c r="N478" t="n">
        <v>0</v>
      </c>
      <c r="O478" t="n">
        <v>0</v>
      </c>
      <c r="P478" t="n">
        <v>0</v>
      </c>
      <c r="Q478" t="n">
        <v>0</v>
      </c>
      <c r="R478" s="2" t="inlineStr"/>
    </row>
    <row r="479" ht="15" customHeight="1">
      <c r="A479" t="inlineStr">
        <is>
          <t>A 43128-2025</t>
        </is>
      </c>
      <c r="B479" s="1" t="n">
        <v>45909</v>
      </c>
      <c r="C479" s="1" t="n">
        <v>46077</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43127-2025</t>
        </is>
      </c>
      <c r="B480" s="1" t="n">
        <v>45909</v>
      </c>
      <c r="C480" s="1" t="n">
        <v>46077</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43362-2023</t>
        </is>
      </c>
      <c r="B481" s="1" t="n">
        <v>45183</v>
      </c>
      <c r="C481" s="1" t="n">
        <v>46077</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16767-2024</t>
        </is>
      </c>
      <c r="B482" s="1" t="n">
        <v>45411.38171296296</v>
      </c>
      <c r="C482" s="1" t="n">
        <v>46077</v>
      </c>
      <c r="D482" t="inlineStr">
        <is>
          <t>VÄSTMANLANDS LÄN</t>
        </is>
      </c>
      <c r="E482" t="inlineStr">
        <is>
          <t>SALA</t>
        </is>
      </c>
      <c r="G482" t="n">
        <v>2.5</v>
      </c>
      <c r="H482" t="n">
        <v>0</v>
      </c>
      <c r="I482" t="n">
        <v>0</v>
      </c>
      <c r="J482" t="n">
        <v>0</v>
      </c>
      <c r="K482" t="n">
        <v>0</v>
      </c>
      <c r="L482" t="n">
        <v>0</v>
      </c>
      <c r="M482" t="n">
        <v>0</v>
      </c>
      <c r="N482" t="n">
        <v>0</v>
      </c>
      <c r="O482" t="n">
        <v>0</v>
      </c>
      <c r="P482" t="n">
        <v>0</v>
      </c>
      <c r="Q482" t="n">
        <v>0</v>
      </c>
      <c r="R482" s="2" t="inlineStr"/>
    </row>
    <row r="483" ht="15" customHeight="1">
      <c r="A483" t="inlineStr">
        <is>
          <t>A 31470-2021</t>
        </is>
      </c>
      <c r="B483" s="1" t="n">
        <v>44369</v>
      </c>
      <c r="C483" s="1" t="n">
        <v>46077</v>
      </c>
      <c r="D483" t="inlineStr">
        <is>
          <t>VÄSTMANLANDS LÄN</t>
        </is>
      </c>
      <c r="E483" t="inlineStr">
        <is>
          <t>SALA</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18461-2024</t>
        </is>
      </c>
      <c r="B484" s="1" t="n">
        <v>45425.47435185185</v>
      </c>
      <c r="C484" s="1" t="n">
        <v>46077</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29230-2022</t>
        </is>
      </c>
      <c r="B485" s="1" t="n">
        <v>44750</v>
      </c>
      <c r="C485" s="1" t="n">
        <v>46077</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44100-2025</t>
        </is>
      </c>
      <c r="B486" s="1" t="n">
        <v>45915.56707175926</v>
      </c>
      <c r="C486" s="1" t="n">
        <v>46077</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9335-2022</t>
        </is>
      </c>
      <c r="B487" s="1" t="n">
        <v>44616.56579861111</v>
      </c>
      <c r="C487" s="1" t="n">
        <v>46077</v>
      </c>
      <c r="D487" t="inlineStr">
        <is>
          <t>VÄSTMANLANDS LÄN</t>
        </is>
      </c>
      <c r="E487" t="inlineStr">
        <is>
          <t>SALA</t>
        </is>
      </c>
      <c r="G487" t="n">
        <v>1.5</v>
      </c>
      <c r="H487" t="n">
        <v>0</v>
      </c>
      <c r="I487" t="n">
        <v>0</v>
      </c>
      <c r="J487" t="n">
        <v>0</v>
      </c>
      <c r="K487" t="n">
        <v>0</v>
      </c>
      <c r="L487" t="n">
        <v>0</v>
      </c>
      <c r="M487" t="n">
        <v>0</v>
      </c>
      <c r="N487" t="n">
        <v>0</v>
      </c>
      <c r="O487" t="n">
        <v>0</v>
      </c>
      <c r="P487" t="n">
        <v>0</v>
      </c>
      <c r="Q487" t="n">
        <v>0</v>
      </c>
      <c r="R487" s="2" t="inlineStr"/>
    </row>
    <row r="488" ht="15" customHeight="1">
      <c r="A488" t="inlineStr">
        <is>
          <t>A 47479-2024</t>
        </is>
      </c>
      <c r="B488" s="1" t="n">
        <v>45587</v>
      </c>
      <c r="C488" s="1" t="n">
        <v>46077</v>
      </c>
      <c r="D488" t="inlineStr">
        <is>
          <t>VÄSTMANLANDS LÄN</t>
        </is>
      </c>
      <c r="E488" t="inlineStr">
        <is>
          <t>SALA</t>
        </is>
      </c>
      <c r="F488" t="inlineStr">
        <is>
          <t>Kommuner</t>
        </is>
      </c>
      <c r="G488" t="n">
        <v>0.8</v>
      </c>
      <c r="H488" t="n">
        <v>0</v>
      </c>
      <c r="I488" t="n">
        <v>0</v>
      </c>
      <c r="J488" t="n">
        <v>0</v>
      </c>
      <c r="K488" t="n">
        <v>0</v>
      </c>
      <c r="L488" t="n">
        <v>0</v>
      </c>
      <c r="M488" t="n">
        <v>0</v>
      </c>
      <c r="N488" t="n">
        <v>0</v>
      </c>
      <c r="O488" t="n">
        <v>0</v>
      </c>
      <c r="P488" t="n">
        <v>0</v>
      </c>
      <c r="Q488" t="n">
        <v>0</v>
      </c>
      <c r="R488" s="2" t="inlineStr"/>
    </row>
    <row r="489" ht="15" customHeight="1">
      <c r="A489" t="inlineStr">
        <is>
          <t>A 44486-2025</t>
        </is>
      </c>
      <c r="B489" s="1" t="n">
        <v>45916.65517361111</v>
      </c>
      <c r="C489" s="1" t="n">
        <v>46077</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44524-2025</t>
        </is>
      </c>
      <c r="B490" s="1" t="n">
        <v>45916.72920138889</v>
      </c>
      <c r="C490" s="1" t="n">
        <v>46077</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19065-2022</t>
        </is>
      </c>
      <c r="B491" s="1" t="n">
        <v>44691.44309027777</v>
      </c>
      <c r="C491" s="1" t="n">
        <v>46077</v>
      </c>
      <c r="D491" t="inlineStr">
        <is>
          <t>VÄSTMANLANDS LÄN</t>
        </is>
      </c>
      <c r="E491" t="inlineStr">
        <is>
          <t>SALA</t>
        </is>
      </c>
      <c r="G491" t="n">
        <v>3.4</v>
      </c>
      <c r="H491" t="n">
        <v>0</v>
      </c>
      <c r="I491" t="n">
        <v>0</v>
      </c>
      <c r="J491" t="n">
        <v>0</v>
      </c>
      <c r="K491" t="n">
        <v>0</v>
      </c>
      <c r="L491" t="n">
        <v>0</v>
      </c>
      <c r="M491" t="n">
        <v>0</v>
      </c>
      <c r="N491" t="n">
        <v>0</v>
      </c>
      <c r="O491" t="n">
        <v>0</v>
      </c>
      <c r="P491" t="n">
        <v>0</v>
      </c>
      <c r="Q491" t="n">
        <v>0</v>
      </c>
      <c r="R491" s="2" t="inlineStr"/>
    </row>
    <row r="492" ht="15" customHeight="1">
      <c r="A492" t="inlineStr">
        <is>
          <t>A 22961-2023</t>
        </is>
      </c>
      <c r="B492" s="1" t="n">
        <v>45072</v>
      </c>
      <c r="C492" s="1" t="n">
        <v>46077</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22963-2023</t>
        </is>
      </c>
      <c r="B493" s="1" t="n">
        <v>45072</v>
      </c>
      <c r="C493" s="1" t="n">
        <v>46077</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43122-2025</t>
        </is>
      </c>
      <c r="B494" s="1" t="n">
        <v>45909</v>
      </c>
      <c r="C494" s="1" t="n">
        <v>46077</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10585-2022</t>
        </is>
      </c>
      <c r="B495" s="1" t="n">
        <v>44624</v>
      </c>
      <c r="C495" s="1" t="n">
        <v>46077</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69236-2021</t>
        </is>
      </c>
      <c r="B496" s="1" t="n">
        <v>44531.4047337963</v>
      </c>
      <c r="C496" s="1" t="n">
        <v>46077</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48117-2024</t>
        </is>
      </c>
      <c r="B497" s="1" t="n">
        <v>45589</v>
      </c>
      <c r="C497" s="1" t="n">
        <v>46077</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12225-2023</t>
        </is>
      </c>
      <c r="B498" s="1" t="n">
        <v>44995</v>
      </c>
      <c r="C498" s="1" t="n">
        <v>46077</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12252-2023</t>
        </is>
      </c>
      <c r="B499" s="1" t="n">
        <v>44995</v>
      </c>
      <c r="C499" s="1" t="n">
        <v>46077</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45371-2025</t>
        </is>
      </c>
      <c r="B500" s="1" t="n">
        <v>45922.39001157408</v>
      </c>
      <c r="C500" s="1" t="n">
        <v>46077</v>
      </c>
      <c r="D500" t="inlineStr">
        <is>
          <t>VÄSTMANLANDS LÄN</t>
        </is>
      </c>
      <c r="E500" t="inlineStr">
        <is>
          <t>SALA</t>
        </is>
      </c>
      <c r="G500" t="n">
        <v>2.1</v>
      </c>
      <c r="H500" t="n">
        <v>0</v>
      </c>
      <c r="I500" t="n">
        <v>0</v>
      </c>
      <c r="J500" t="n">
        <v>0</v>
      </c>
      <c r="K500" t="n">
        <v>0</v>
      </c>
      <c r="L500" t="n">
        <v>0</v>
      </c>
      <c r="M500" t="n">
        <v>0</v>
      </c>
      <c r="N500" t="n">
        <v>0</v>
      </c>
      <c r="O500" t="n">
        <v>0</v>
      </c>
      <c r="P500" t="n">
        <v>0</v>
      </c>
      <c r="Q500" t="n">
        <v>0</v>
      </c>
      <c r="R500" s="2" t="inlineStr"/>
    </row>
    <row r="501" ht="15" customHeight="1">
      <c r="A501" t="inlineStr">
        <is>
          <t>A 45177-2025</t>
        </is>
      </c>
      <c r="B501" s="1" t="n">
        <v>45919.52444444445</v>
      </c>
      <c r="C501" s="1" t="n">
        <v>46077</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6116-2023</t>
        </is>
      </c>
      <c r="B502" s="1" t="n">
        <v>44964</v>
      </c>
      <c r="C502" s="1" t="n">
        <v>46077</v>
      </c>
      <c r="D502" t="inlineStr">
        <is>
          <t>VÄSTMANLANDS LÄN</t>
        </is>
      </c>
      <c r="E502" t="inlineStr">
        <is>
          <t>SALA</t>
        </is>
      </c>
      <c r="G502" t="n">
        <v>1.9</v>
      </c>
      <c r="H502" t="n">
        <v>0</v>
      </c>
      <c r="I502" t="n">
        <v>0</v>
      </c>
      <c r="J502" t="n">
        <v>0</v>
      </c>
      <c r="K502" t="n">
        <v>0</v>
      </c>
      <c r="L502" t="n">
        <v>0</v>
      </c>
      <c r="M502" t="n">
        <v>0</v>
      </c>
      <c r="N502" t="n">
        <v>0</v>
      </c>
      <c r="O502" t="n">
        <v>0</v>
      </c>
      <c r="P502" t="n">
        <v>0</v>
      </c>
      <c r="Q502" t="n">
        <v>0</v>
      </c>
      <c r="R502" s="2" t="inlineStr"/>
    </row>
    <row r="503" ht="15" customHeight="1">
      <c r="A503" t="inlineStr">
        <is>
          <t>A 18100-2023</t>
        </is>
      </c>
      <c r="B503" s="1" t="n">
        <v>45040</v>
      </c>
      <c r="C503" s="1" t="n">
        <v>46077</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13471-2025</t>
        </is>
      </c>
      <c r="B504" s="1" t="n">
        <v>45736.40579861111</v>
      </c>
      <c r="C504" s="1" t="n">
        <v>46077</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26854-2024</t>
        </is>
      </c>
      <c r="B505" s="1" t="n">
        <v>45470</v>
      </c>
      <c r="C505" s="1" t="n">
        <v>46077</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37602-2024</t>
        </is>
      </c>
      <c r="B506" s="1" t="n">
        <v>45541</v>
      </c>
      <c r="C506" s="1" t="n">
        <v>46077</v>
      </c>
      <c r="D506" t="inlineStr">
        <is>
          <t>VÄSTMANLANDS LÄN</t>
        </is>
      </c>
      <c r="E506" t="inlineStr">
        <is>
          <t>SALA</t>
        </is>
      </c>
      <c r="G506" t="n">
        <v>1.5</v>
      </c>
      <c r="H506" t="n">
        <v>0</v>
      </c>
      <c r="I506" t="n">
        <v>0</v>
      </c>
      <c r="J506" t="n">
        <v>0</v>
      </c>
      <c r="K506" t="n">
        <v>0</v>
      </c>
      <c r="L506" t="n">
        <v>0</v>
      </c>
      <c r="M506" t="n">
        <v>0</v>
      </c>
      <c r="N506" t="n">
        <v>0</v>
      </c>
      <c r="O506" t="n">
        <v>0</v>
      </c>
      <c r="P506" t="n">
        <v>0</v>
      </c>
      <c r="Q506" t="n">
        <v>0</v>
      </c>
      <c r="R506" s="2" t="inlineStr"/>
    </row>
    <row r="507" ht="15" customHeight="1">
      <c r="A507" t="inlineStr">
        <is>
          <t>A 1985-2022</t>
        </is>
      </c>
      <c r="B507" s="1" t="n">
        <v>44575</v>
      </c>
      <c r="C507" s="1" t="n">
        <v>46077</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45914-2025</t>
        </is>
      </c>
      <c r="B508" s="1" t="n">
        <v>45923.82582175926</v>
      </c>
      <c r="C508" s="1" t="n">
        <v>46077</v>
      </c>
      <c r="D508" t="inlineStr">
        <is>
          <t>VÄSTMANLANDS LÄN</t>
        </is>
      </c>
      <c r="E508" t="inlineStr">
        <is>
          <t>SALA</t>
        </is>
      </c>
      <c r="F508" t="inlineStr">
        <is>
          <t>Kommuner</t>
        </is>
      </c>
      <c r="G508" t="n">
        <v>18.2</v>
      </c>
      <c r="H508" t="n">
        <v>0</v>
      </c>
      <c r="I508" t="n">
        <v>0</v>
      </c>
      <c r="J508" t="n">
        <v>0</v>
      </c>
      <c r="K508" t="n">
        <v>0</v>
      </c>
      <c r="L508" t="n">
        <v>0</v>
      </c>
      <c r="M508" t="n">
        <v>0</v>
      </c>
      <c r="N508" t="n">
        <v>0</v>
      </c>
      <c r="O508" t="n">
        <v>0</v>
      </c>
      <c r="P508" t="n">
        <v>0</v>
      </c>
      <c r="Q508" t="n">
        <v>0</v>
      </c>
      <c r="R508" s="2" t="inlineStr"/>
    </row>
    <row r="509" ht="15" customHeight="1">
      <c r="A509" t="inlineStr">
        <is>
          <t>A 45909-2025</t>
        </is>
      </c>
      <c r="B509" s="1" t="n">
        <v>45923.75078703704</v>
      </c>
      <c r="C509" s="1" t="n">
        <v>46077</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21455-2023</t>
        </is>
      </c>
      <c r="B510" s="1" t="n">
        <v>45058</v>
      </c>
      <c r="C510" s="1" t="n">
        <v>46077</v>
      </c>
      <c r="D510" t="inlineStr">
        <is>
          <t>VÄSTMANLANDS LÄN</t>
        </is>
      </c>
      <c r="E510" t="inlineStr">
        <is>
          <t>SALA</t>
        </is>
      </c>
      <c r="G510" t="n">
        <v>6.4</v>
      </c>
      <c r="H510" t="n">
        <v>0</v>
      </c>
      <c r="I510" t="n">
        <v>0</v>
      </c>
      <c r="J510" t="n">
        <v>0</v>
      </c>
      <c r="K510" t="n">
        <v>0</v>
      </c>
      <c r="L510" t="n">
        <v>0</v>
      </c>
      <c r="M510" t="n">
        <v>0</v>
      </c>
      <c r="N510" t="n">
        <v>0</v>
      </c>
      <c r="O510" t="n">
        <v>0</v>
      </c>
      <c r="P510" t="n">
        <v>0</v>
      </c>
      <c r="Q510" t="n">
        <v>0</v>
      </c>
      <c r="R510" s="2" t="inlineStr"/>
    </row>
    <row r="511" ht="15" customHeight="1">
      <c r="A511" t="inlineStr">
        <is>
          <t>A 46597-2025</t>
        </is>
      </c>
      <c r="B511" s="1" t="n">
        <v>45926.40113425926</v>
      </c>
      <c r="C511" s="1" t="n">
        <v>46077</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4797-2023</t>
        </is>
      </c>
      <c r="B512" s="1" t="n">
        <v>44957</v>
      </c>
      <c r="C512" s="1" t="n">
        <v>46077</v>
      </c>
      <c r="D512" t="inlineStr">
        <is>
          <t>VÄSTMANLANDS LÄN</t>
        </is>
      </c>
      <c r="E512" t="inlineStr">
        <is>
          <t>SALA</t>
        </is>
      </c>
      <c r="G512" t="n">
        <v>5.7</v>
      </c>
      <c r="H512" t="n">
        <v>0</v>
      </c>
      <c r="I512" t="n">
        <v>0</v>
      </c>
      <c r="J512" t="n">
        <v>0</v>
      </c>
      <c r="K512" t="n">
        <v>0</v>
      </c>
      <c r="L512" t="n">
        <v>0</v>
      </c>
      <c r="M512" t="n">
        <v>0</v>
      </c>
      <c r="N512" t="n">
        <v>0</v>
      </c>
      <c r="O512" t="n">
        <v>0</v>
      </c>
      <c r="P512" t="n">
        <v>0</v>
      </c>
      <c r="Q512" t="n">
        <v>0</v>
      </c>
      <c r="R512" s="2" t="inlineStr"/>
    </row>
    <row r="513" ht="15" customHeight="1">
      <c r="A513" t="inlineStr">
        <is>
          <t>A 4852-2023</t>
        </is>
      </c>
      <c r="B513" s="1" t="n">
        <v>44957.72496527778</v>
      </c>
      <c r="C513" s="1" t="n">
        <v>46077</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36858-2023</t>
        </is>
      </c>
      <c r="B514" s="1" t="n">
        <v>45154.55184027777</v>
      </c>
      <c r="C514" s="1" t="n">
        <v>46077</v>
      </c>
      <c r="D514" t="inlineStr">
        <is>
          <t>VÄSTMANLANDS LÄN</t>
        </is>
      </c>
      <c r="E514" t="inlineStr">
        <is>
          <t>SALA</t>
        </is>
      </c>
      <c r="G514" t="n">
        <v>2.1</v>
      </c>
      <c r="H514" t="n">
        <v>0</v>
      </c>
      <c r="I514" t="n">
        <v>0</v>
      </c>
      <c r="J514" t="n">
        <v>0</v>
      </c>
      <c r="K514" t="n">
        <v>0</v>
      </c>
      <c r="L514" t="n">
        <v>0</v>
      </c>
      <c r="M514" t="n">
        <v>0</v>
      </c>
      <c r="N514" t="n">
        <v>0</v>
      </c>
      <c r="O514" t="n">
        <v>0</v>
      </c>
      <c r="P514" t="n">
        <v>0</v>
      </c>
      <c r="Q514" t="n">
        <v>0</v>
      </c>
      <c r="R514" s="2" t="inlineStr"/>
    </row>
    <row r="515" ht="15" customHeight="1">
      <c r="A515" t="inlineStr">
        <is>
          <t>A 58701-2021</t>
        </is>
      </c>
      <c r="B515" s="1" t="n">
        <v>44489.46454861111</v>
      </c>
      <c r="C515" s="1" t="n">
        <v>46077</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46661-2025</t>
        </is>
      </c>
      <c r="B516" s="1" t="n">
        <v>45926</v>
      </c>
      <c r="C516" s="1" t="n">
        <v>46077</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46915-2025</t>
        </is>
      </c>
      <c r="B517" s="1" t="n">
        <v>45929.42114583333</v>
      </c>
      <c r="C517" s="1" t="n">
        <v>46077</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48057-2025</t>
        </is>
      </c>
      <c r="B518" s="1" t="n">
        <v>45932.67947916667</v>
      </c>
      <c r="C518" s="1" t="n">
        <v>46077</v>
      </c>
      <c r="D518" t="inlineStr">
        <is>
          <t>VÄSTMANLANDS LÄN</t>
        </is>
      </c>
      <c r="E518" t="inlineStr">
        <is>
          <t>SALA</t>
        </is>
      </c>
      <c r="G518" t="n">
        <v>4.3</v>
      </c>
      <c r="H518" t="n">
        <v>0</v>
      </c>
      <c r="I518" t="n">
        <v>0</v>
      </c>
      <c r="J518" t="n">
        <v>0</v>
      </c>
      <c r="K518" t="n">
        <v>0</v>
      </c>
      <c r="L518" t="n">
        <v>0</v>
      </c>
      <c r="M518" t="n">
        <v>0</v>
      </c>
      <c r="N518" t="n">
        <v>0</v>
      </c>
      <c r="O518" t="n">
        <v>0</v>
      </c>
      <c r="P518" t="n">
        <v>0</v>
      </c>
      <c r="Q518" t="n">
        <v>0</v>
      </c>
      <c r="R518" s="2" t="inlineStr"/>
    </row>
    <row r="519" ht="15" customHeight="1">
      <c r="A519" t="inlineStr">
        <is>
          <t>A 37337-2024</t>
        </is>
      </c>
      <c r="B519" s="1" t="n">
        <v>45540</v>
      </c>
      <c r="C519" s="1" t="n">
        <v>46077</v>
      </c>
      <c r="D519" t="inlineStr">
        <is>
          <t>VÄSTMANLANDS LÄN</t>
        </is>
      </c>
      <c r="E519" t="inlineStr">
        <is>
          <t>SALA</t>
        </is>
      </c>
      <c r="G519" t="n">
        <v>6.5</v>
      </c>
      <c r="H519" t="n">
        <v>0</v>
      </c>
      <c r="I519" t="n">
        <v>0</v>
      </c>
      <c r="J519" t="n">
        <v>0</v>
      </c>
      <c r="K519" t="n">
        <v>0</v>
      </c>
      <c r="L519" t="n">
        <v>0</v>
      </c>
      <c r="M519" t="n">
        <v>0</v>
      </c>
      <c r="N519" t="n">
        <v>0</v>
      </c>
      <c r="O519" t="n">
        <v>0</v>
      </c>
      <c r="P519" t="n">
        <v>0</v>
      </c>
      <c r="Q519" t="n">
        <v>0</v>
      </c>
      <c r="R519" s="2" t="inlineStr"/>
    </row>
    <row r="520" ht="15" customHeight="1">
      <c r="A520" t="inlineStr">
        <is>
          <t>A 47577-2025</t>
        </is>
      </c>
      <c r="B520" s="1" t="n">
        <v>45931.4047337963</v>
      </c>
      <c r="C520" s="1" t="n">
        <v>46077</v>
      </c>
      <c r="D520" t="inlineStr">
        <is>
          <t>VÄSTMANLANDS LÄN</t>
        </is>
      </c>
      <c r="E520" t="inlineStr">
        <is>
          <t>SALA</t>
        </is>
      </c>
      <c r="G520" t="n">
        <v>3.7</v>
      </c>
      <c r="H520" t="n">
        <v>0</v>
      </c>
      <c r="I520" t="n">
        <v>0</v>
      </c>
      <c r="J520" t="n">
        <v>0</v>
      </c>
      <c r="K520" t="n">
        <v>0</v>
      </c>
      <c r="L520" t="n">
        <v>0</v>
      </c>
      <c r="M520" t="n">
        <v>0</v>
      </c>
      <c r="N520" t="n">
        <v>0</v>
      </c>
      <c r="O520" t="n">
        <v>0</v>
      </c>
      <c r="P520" t="n">
        <v>0</v>
      </c>
      <c r="Q520" t="n">
        <v>0</v>
      </c>
      <c r="R520" s="2" t="inlineStr"/>
    </row>
    <row r="521" ht="15" customHeight="1">
      <c r="A521" t="inlineStr">
        <is>
          <t>A 48710-2025</t>
        </is>
      </c>
      <c r="B521" s="1" t="n">
        <v>45936.63184027778</v>
      </c>
      <c r="C521" s="1" t="n">
        <v>46077</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10250-2025</t>
        </is>
      </c>
      <c r="B522" s="1" t="n">
        <v>45720.36165509259</v>
      </c>
      <c r="C522" s="1" t="n">
        <v>46077</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23180-2022</t>
        </is>
      </c>
      <c r="B523" s="1" t="n">
        <v>44719.79344907407</v>
      </c>
      <c r="C523" s="1" t="n">
        <v>46077</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21053-2022</t>
        </is>
      </c>
      <c r="B524" s="1" t="n">
        <v>44704</v>
      </c>
      <c r="C524" s="1" t="n">
        <v>46077</v>
      </c>
      <c r="D524" t="inlineStr">
        <is>
          <t>VÄSTMANLANDS LÄN</t>
        </is>
      </c>
      <c r="E524" t="inlineStr">
        <is>
          <t>SALA</t>
        </is>
      </c>
      <c r="G524" t="n">
        <v>2</v>
      </c>
      <c r="H524" t="n">
        <v>0</v>
      </c>
      <c r="I524" t="n">
        <v>0</v>
      </c>
      <c r="J524" t="n">
        <v>0</v>
      </c>
      <c r="K524" t="n">
        <v>0</v>
      </c>
      <c r="L524" t="n">
        <v>0</v>
      </c>
      <c r="M524" t="n">
        <v>0</v>
      </c>
      <c r="N524" t="n">
        <v>0</v>
      </c>
      <c r="O524" t="n">
        <v>0</v>
      </c>
      <c r="P524" t="n">
        <v>0</v>
      </c>
      <c r="Q524" t="n">
        <v>0</v>
      </c>
      <c r="R524" s="2" t="inlineStr"/>
    </row>
    <row r="525" ht="15" customHeight="1">
      <c r="A525" t="inlineStr">
        <is>
          <t>A 18340-2025</t>
        </is>
      </c>
      <c r="B525" s="1" t="n">
        <v>45762</v>
      </c>
      <c r="C525" s="1" t="n">
        <v>46077</v>
      </c>
      <c r="D525" t="inlineStr">
        <is>
          <t>VÄSTMANLANDS LÄN</t>
        </is>
      </c>
      <c r="E525" t="inlineStr">
        <is>
          <t>SALA</t>
        </is>
      </c>
      <c r="G525" t="n">
        <v>2.1</v>
      </c>
      <c r="H525" t="n">
        <v>0</v>
      </c>
      <c r="I525" t="n">
        <v>0</v>
      </c>
      <c r="J525" t="n">
        <v>0</v>
      </c>
      <c r="K525" t="n">
        <v>0</v>
      </c>
      <c r="L525" t="n">
        <v>0</v>
      </c>
      <c r="M525" t="n">
        <v>0</v>
      </c>
      <c r="N525" t="n">
        <v>0</v>
      </c>
      <c r="O525" t="n">
        <v>0</v>
      </c>
      <c r="P525" t="n">
        <v>0</v>
      </c>
      <c r="Q525" t="n">
        <v>0</v>
      </c>
      <c r="R525" s="2" t="inlineStr"/>
    </row>
    <row r="526" ht="15" customHeight="1">
      <c r="A526" t="inlineStr">
        <is>
          <t>A 16638-2023</t>
        </is>
      </c>
      <c r="B526" s="1" t="n">
        <v>45027</v>
      </c>
      <c r="C526" s="1" t="n">
        <v>46077</v>
      </c>
      <c r="D526" t="inlineStr">
        <is>
          <t>VÄSTMANLANDS LÄN</t>
        </is>
      </c>
      <c r="E526" t="inlineStr">
        <is>
          <t>SALA</t>
        </is>
      </c>
      <c r="G526" t="n">
        <v>14.8</v>
      </c>
      <c r="H526" t="n">
        <v>0</v>
      </c>
      <c r="I526" t="n">
        <v>0</v>
      </c>
      <c r="J526" t="n">
        <v>0</v>
      </c>
      <c r="K526" t="n">
        <v>0</v>
      </c>
      <c r="L526" t="n">
        <v>0</v>
      </c>
      <c r="M526" t="n">
        <v>0</v>
      </c>
      <c r="N526" t="n">
        <v>0</v>
      </c>
      <c r="O526" t="n">
        <v>0</v>
      </c>
      <c r="P526" t="n">
        <v>0</v>
      </c>
      <c r="Q526" t="n">
        <v>0</v>
      </c>
      <c r="R526" s="2" t="inlineStr"/>
    </row>
    <row r="527" ht="15" customHeight="1">
      <c r="A527" t="inlineStr">
        <is>
          <t>A 48910-2025</t>
        </is>
      </c>
      <c r="B527" s="1" t="n">
        <v>45937.48649305556</v>
      </c>
      <c r="C527" s="1" t="n">
        <v>46077</v>
      </c>
      <c r="D527" t="inlineStr">
        <is>
          <t>VÄSTMANLANDS LÄN</t>
        </is>
      </c>
      <c r="E527" t="inlineStr">
        <is>
          <t>SALA</t>
        </is>
      </c>
      <c r="G527" t="n">
        <v>7.8</v>
      </c>
      <c r="H527" t="n">
        <v>0</v>
      </c>
      <c r="I527" t="n">
        <v>0</v>
      </c>
      <c r="J527" t="n">
        <v>0</v>
      </c>
      <c r="K527" t="n">
        <v>0</v>
      </c>
      <c r="L527" t="n">
        <v>0</v>
      </c>
      <c r="M527" t="n">
        <v>0</v>
      </c>
      <c r="N527" t="n">
        <v>0</v>
      </c>
      <c r="O527" t="n">
        <v>0</v>
      </c>
      <c r="P527" t="n">
        <v>0</v>
      </c>
      <c r="Q527" t="n">
        <v>0</v>
      </c>
      <c r="R527" s="2" t="inlineStr"/>
    </row>
    <row r="528" ht="15" customHeight="1">
      <c r="A528" t="inlineStr">
        <is>
          <t>A 17117-2023</t>
        </is>
      </c>
      <c r="B528" s="1" t="n">
        <v>45034</v>
      </c>
      <c r="C528" s="1" t="n">
        <v>46077</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49640-2025</t>
        </is>
      </c>
      <c r="B529" s="1" t="n">
        <v>45939.61459490741</v>
      </c>
      <c r="C529" s="1" t="n">
        <v>46077</v>
      </c>
      <c r="D529" t="inlineStr">
        <is>
          <t>VÄSTMANLANDS LÄN</t>
        </is>
      </c>
      <c r="E529" t="inlineStr">
        <is>
          <t>SALA</t>
        </is>
      </c>
      <c r="F529" t="inlineStr">
        <is>
          <t>Kommuner</t>
        </is>
      </c>
      <c r="G529" t="n">
        <v>18.8</v>
      </c>
      <c r="H529" t="n">
        <v>0</v>
      </c>
      <c r="I529" t="n">
        <v>0</v>
      </c>
      <c r="J529" t="n">
        <v>0</v>
      </c>
      <c r="K529" t="n">
        <v>0</v>
      </c>
      <c r="L529" t="n">
        <v>0</v>
      </c>
      <c r="M529" t="n">
        <v>0</v>
      </c>
      <c r="N529" t="n">
        <v>0</v>
      </c>
      <c r="O529" t="n">
        <v>0</v>
      </c>
      <c r="P529" t="n">
        <v>0</v>
      </c>
      <c r="Q529" t="n">
        <v>0</v>
      </c>
      <c r="R529" s="2" t="inlineStr"/>
    </row>
    <row r="530" ht="15" customHeight="1">
      <c r="A530" t="inlineStr">
        <is>
          <t>A 59909-2024</t>
        </is>
      </c>
      <c r="B530" s="1" t="n">
        <v>45641</v>
      </c>
      <c r="C530" s="1" t="n">
        <v>46077</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30028-2024</t>
        </is>
      </c>
      <c r="B531" s="1" t="n">
        <v>45485</v>
      </c>
      <c r="C531" s="1" t="n">
        <v>46077</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49585-2025</t>
        </is>
      </c>
      <c r="B532" s="1" t="n">
        <v>45939.5043287037</v>
      </c>
      <c r="C532" s="1" t="n">
        <v>46077</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33309-2022</t>
        </is>
      </c>
      <c r="B533" s="1" t="n">
        <v>44788.40986111111</v>
      </c>
      <c r="C533" s="1" t="n">
        <v>46077</v>
      </c>
      <c r="D533" t="inlineStr">
        <is>
          <t>VÄSTMANLANDS LÄN</t>
        </is>
      </c>
      <c r="E533" t="inlineStr">
        <is>
          <t>SALA</t>
        </is>
      </c>
      <c r="G533" t="n">
        <v>2.6</v>
      </c>
      <c r="H533" t="n">
        <v>0</v>
      </c>
      <c r="I533" t="n">
        <v>0</v>
      </c>
      <c r="J533" t="n">
        <v>0</v>
      </c>
      <c r="K533" t="n">
        <v>0</v>
      </c>
      <c r="L533" t="n">
        <v>0</v>
      </c>
      <c r="M533" t="n">
        <v>0</v>
      </c>
      <c r="N533" t="n">
        <v>0</v>
      </c>
      <c r="O533" t="n">
        <v>0</v>
      </c>
      <c r="P533" t="n">
        <v>0</v>
      </c>
      <c r="Q533" t="n">
        <v>0</v>
      </c>
      <c r="R533" s="2" t="inlineStr"/>
    </row>
    <row r="534" ht="15" customHeight="1">
      <c r="A534" t="inlineStr">
        <is>
          <t>A 7377-2023</t>
        </is>
      </c>
      <c r="B534" s="1" t="n">
        <v>44971</v>
      </c>
      <c r="C534" s="1" t="n">
        <v>46077</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27229-2022</t>
        </is>
      </c>
      <c r="B535" s="1" t="n">
        <v>44741</v>
      </c>
      <c r="C535" s="1" t="n">
        <v>46077</v>
      </c>
      <c r="D535" t="inlineStr">
        <is>
          <t>VÄSTMANLANDS LÄN</t>
        </is>
      </c>
      <c r="E535" t="inlineStr">
        <is>
          <t>SALA</t>
        </is>
      </c>
      <c r="F535" t="inlineStr">
        <is>
          <t>Kommuner</t>
        </is>
      </c>
      <c r="G535" t="n">
        <v>1.4</v>
      </c>
      <c r="H535" t="n">
        <v>0</v>
      </c>
      <c r="I535" t="n">
        <v>0</v>
      </c>
      <c r="J535" t="n">
        <v>0</v>
      </c>
      <c r="K535" t="n">
        <v>0</v>
      </c>
      <c r="L535" t="n">
        <v>0</v>
      </c>
      <c r="M535" t="n">
        <v>0</v>
      </c>
      <c r="N535" t="n">
        <v>0</v>
      </c>
      <c r="O535" t="n">
        <v>0</v>
      </c>
      <c r="P535" t="n">
        <v>0</v>
      </c>
      <c r="Q535" t="n">
        <v>0</v>
      </c>
      <c r="R535" s="2" t="inlineStr"/>
    </row>
    <row r="536" ht="15" customHeight="1">
      <c r="A536" t="inlineStr">
        <is>
          <t>A 50128-2025</t>
        </is>
      </c>
      <c r="B536" s="1" t="n">
        <v>45943.55318287037</v>
      </c>
      <c r="C536" s="1" t="n">
        <v>46077</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50249-2025</t>
        </is>
      </c>
      <c r="B537" s="1" t="n">
        <v>45944.31508101852</v>
      </c>
      <c r="C537" s="1" t="n">
        <v>46077</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24755-2021</t>
        </is>
      </c>
      <c r="B538" s="1" t="n">
        <v>44340</v>
      </c>
      <c r="C538" s="1" t="n">
        <v>46077</v>
      </c>
      <c r="D538" t="inlineStr">
        <is>
          <t>VÄSTMANLANDS LÄN</t>
        </is>
      </c>
      <c r="E538" t="inlineStr">
        <is>
          <t>SALA</t>
        </is>
      </c>
      <c r="G538" t="n">
        <v>1.2</v>
      </c>
      <c r="H538" t="n">
        <v>0</v>
      </c>
      <c r="I538" t="n">
        <v>0</v>
      </c>
      <c r="J538" t="n">
        <v>0</v>
      </c>
      <c r="K538" t="n">
        <v>0</v>
      </c>
      <c r="L538" t="n">
        <v>0</v>
      </c>
      <c r="M538" t="n">
        <v>0</v>
      </c>
      <c r="N538" t="n">
        <v>0</v>
      </c>
      <c r="O538" t="n">
        <v>0</v>
      </c>
      <c r="P538" t="n">
        <v>0</v>
      </c>
      <c r="Q538" t="n">
        <v>0</v>
      </c>
      <c r="R538" s="2" t="inlineStr"/>
    </row>
    <row r="539" ht="15" customHeight="1">
      <c r="A539" t="inlineStr">
        <is>
          <t>A 34867-2023</t>
        </is>
      </c>
      <c r="B539" s="1" t="n">
        <v>45142.33481481481</v>
      </c>
      <c r="C539" s="1" t="n">
        <v>46077</v>
      </c>
      <c r="D539" t="inlineStr">
        <is>
          <t>VÄSTMANLANDS LÄN</t>
        </is>
      </c>
      <c r="E539" t="inlineStr">
        <is>
          <t>SALA</t>
        </is>
      </c>
      <c r="G539" t="n">
        <v>1.1</v>
      </c>
      <c r="H539" t="n">
        <v>0</v>
      </c>
      <c r="I539" t="n">
        <v>0</v>
      </c>
      <c r="J539" t="n">
        <v>0</v>
      </c>
      <c r="K539" t="n">
        <v>0</v>
      </c>
      <c r="L539" t="n">
        <v>0</v>
      </c>
      <c r="M539" t="n">
        <v>0</v>
      </c>
      <c r="N539" t="n">
        <v>0</v>
      </c>
      <c r="O539" t="n">
        <v>0</v>
      </c>
      <c r="P539" t="n">
        <v>0</v>
      </c>
      <c r="Q539" t="n">
        <v>0</v>
      </c>
      <c r="R539" s="2" t="inlineStr"/>
    </row>
    <row r="540" ht="15" customHeight="1">
      <c r="A540" t="inlineStr">
        <is>
          <t>A 50119-2025</t>
        </is>
      </c>
      <c r="B540" s="1" t="n">
        <v>45943.54883101852</v>
      </c>
      <c r="C540" s="1" t="n">
        <v>46077</v>
      </c>
      <c r="D540" t="inlineStr">
        <is>
          <t>VÄSTMANLANDS LÄN</t>
        </is>
      </c>
      <c r="E540" t="inlineStr">
        <is>
          <t>SALA</t>
        </is>
      </c>
      <c r="G540" t="n">
        <v>3.3</v>
      </c>
      <c r="H540" t="n">
        <v>0</v>
      </c>
      <c r="I540" t="n">
        <v>0</v>
      </c>
      <c r="J540" t="n">
        <v>0</v>
      </c>
      <c r="K540" t="n">
        <v>0</v>
      </c>
      <c r="L540" t="n">
        <v>0</v>
      </c>
      <c r="M540" t="n">
        <v>0</v>
      </c>
      <c r="N540" t="n">
        <v>0</v>
      </c>
      <c r="O540" t="n">
        <v>0</v>
      </c>
      <c r="P540" t="n">
        <v>0</v>
      </c>
      <c r="Q540" t="n">
        <v>0</v>
      </c>
      <c r="R540" s="2" t="inlineStr"/>
    </row>
    <row r="541" ht="15" customHeight="1">
      <c r="A541" t="inlineStr">
        <is>
          <t>A 50059-2025</t>
        </is>
      </c>
      <c r="B541" s="1" t="n">
        <v>45943.44125</v>
      </c>
      <c r="C541" s="1" t="n">
        <v>46077</v>
      </c>
      <c r="D541" t="inlineStr">
        <is>
          <t>VÄSTMANLANDS LÄN</t>
        </is>
      </c>
      <c r="E541" t="inlineStr">
        <is>
          <t>SALA</t>
        </is>
      </c>
      <c r="G541" t="n">
        <v>4.4</v>
      </c>
      <c r="H541" t="n">
        <v>0</v>
      </c>
      <c r="I541" t="n">
        <v>0</v>
      </c>
      <c r="J541" t="n">
        <v>0</v>
      </c>
      <c r="K541" t="n">
        <v>0</v>
      </c>
      <c r="L541" t="n">
        <v>0</v>
      </c>
      <c r="M541" t="n">
        <v>0</v>
      </c>
      <c r="N541" t="n">
        <v>0</v>
      </c>
      <c r="O541" t="n">
        <v>0</v>
      </c>
      <c r="P541" t="n">
        <v>0</v>
      </c>
      <c r="Q541" t="n">
        <v>0</v>
      </c>
      <c r="R541" s="2" t="inlineStr"/>
    </row>
    <row r="542" ht="15" customHeight="1">
      <c r="A542" t="inlineStr">
        <is>
          <t>A 25748-2022</t>
        </is>
      </c>
      <c r="B542" s="1" t="n">
        <v>44732</v>
      </c>
      <c r="C542" s="1" t="n">
        <v>46077</v>
      </c>
      <c r="D542" t="inlineStr">
        <is>
          <t>VÄSTMANLANDS LÄN</t>
        </is>
      </c>
      <c r="E542" t="inlineStr">
        <is>
          <t>SALA</t>
        </is>
      </c>
      <c r="G542" t="n">
        <v>7.7</v>
      </c>
      <c r="H542" t="n">
        <v>0</v>
      </c>
      <c r="I542" t="n">
        <v>0</v>
      </c>
      <c r="J542" t="n">
        <v>0</v>
      </c>
      <c r="K542" t="n">
        <v>0</v>
      </c>
      <c r="L542" t="n">
        <v>0</v>
      </c>
      <c r="M542" t="n">
        <v>0</v>
      </c>
      <c r="N542" t="n">
        <v>0</v>
      </c>
      <c r="O542" t="n">
        <v>0</v>
      </c>
      <c r="P542" t="n">
        <v>0</v>
      </c>
      <c r="Q542" t="n">
        <v>0</v>
      </c>
      <c r="R542" s="2" t="inlineStr"/>
    </row>
    <row r="543" ht="15" customHeight="1">
      <c r="A543" t="inlineStr">
        <is>
          <t>A 49512-2024</t>
        </is>
      </c>
      <c r="B543" s="1" t="n">
        <v>45591</v>
      </c>
      <c r="C543" s="1" t="n">
        <v>46077</v>
      </c>
      <c r="D543" t="inlineStr">
        <is>
          <t>VÄSTMANLANDS LÄN</t>
        </is>
      </c>
      <c r="E543" t="inlineStr">
        <is>
          <t>SALA</t>
        </is>
      </c>
      <c r="G543" t="n">
        <v>8.1</v>
      </c>
      <c r="H543" t="n">
        <v>0</v>
      </c>
      <c r="I543" t="n">
        <v>0</v>
      </c>
      <c r="J543" t="n">
        <v>0</v>
      </c>
      <c r="K543" t="n">
        <v>0</v>
      </c>
      <c r="L543" t="n">
        <v>0</v>
      </c>
      <c r="M543" t="n">
        <v>0</v>
      </c>
      <c r="N543" t="n">
        <v>0</v>
      </c>
      <c r="O543" t="n">
        <v>0</v>
      </c>
      <c r="P543" t="n">
        <v>0</v>
      </c>
      <c r="Q543" t="n">
        <v>0</v>
      </c>
      <c r="R543" s="2" t="inlineStr"/>
    </row>
    <row r="544" ht="15" customHeight="1">
      <c r="A544" t="inlineStr">
        <is>
          <t>A 13128-2023</t>
        </is>
      </c>
      <c r="B544" s="1" t="n">
        <v>45002</v>
      </c>
      <c r="C544" s="1" t="n">
        <v>46077</v>
      </c>
      <c r="D544" t="inlineStr">
        <is>
          <t>VÄSTMANLANDS LÄN</t>
        </is>
      </c>
      <c r="E544" t="inlineStr">
        <is>
          <t>SALA</t>
        </is>
      </c>
      <c r="G544" t="n">
        <v>7.9</v>
      </c>
      <c r="H544" t="n">
        <v>0</v>
      </c>
      <c r="I544" t="n">
        <v>0</v>
      </c>
      <c r="J544" t="n">
        <v>0</v>
      </c>
      <c r="K544" t="n">
        <v>0</v>
      </c>
      <c r="L544" t="n">
        <v>0</v>
      </c>
      <c r="M544" t="n">
        <v>0</v>
      </c>
      <c r="N544" t="n">
        <v>0</v>
      </c>
      <c r="O544" t="n">
        <v>0</v>
      </c>
      <c r="P544" t="n">
        <v>0</v>
      </c>
      <c r="Q544" t="n">
        <v>0</v>
      </c>
      <c r="R544" s="2" t="inlineStr"/>
    </row>
    <row r="545" ht="15" customHeight="1">
      <c r="A545" t="inlineStr">
        <is>
          <t>A 37958-2024</t>
        </is>
      </c>
      <c r="B545" s="1" t="n">
        <v>45544</v>
      </c>
      <c r="C545" s="1" t="n">
        <v>46077</v>
      </c>
      <c r="D545" t="inlineStr">
        <is>
          <t>VÄSTMANLANDS LÄN</t>
        </is>
      </c>
      <c r="E545" t="inlineStr">
        <is>
          <t>SALA</t>
        </is>
      </c>
      <c r="G545" t="n">
        <v>5.6</v>
      </c>
      <c r="H545" t="n">
        <v>0</v>
      </c>
      <c r="I545" t="n">
        <v>0</v>
      </c>
      <c r="J545" t="n">
        <v>0</v>
      </c>
      <c r="K545" t="n">
        <v>0</v>
      </c>
      <c r="L545" t="n">
        <v>0</v>
      </c>
      <c r="M545" t="n">
        <v>0</v>
      </c>
      <c r="N545" t="n">
        <v>0</v>
      </c>
      <c r="O545" t="n">
        <v>0</v>
      </c>
      <c r="P545" t="n">
        <v>0</v>
      </c>
      <c r="Q545" t="n">
        <v>0</v>
      </c>
      <c r="R545" s="2" t="inlineStr"/>
    </row>
    <row r="546" ht="15" customHeight="1">
      <c r="A546" t="inlineStr">
        <is>
          <t>A 18431-2023</t>
        </is>
      </c>
      <c r="B546" s="1" t="n">
        <v>45042</v>
      </c>
      <c r="C546" s="1" t="n">
        <v>46077</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51626-2025</t>
        </is>
      </c>
      <c r="B547" s="1" t="n">
        <v>45951.41769675926</v>
      </c>
      <c r="C547" s="1" t="n">
        <v>46077</v>
      </c>
      <c r="D547" t="inlineStr">
        <is>
          <t>VÄSTMANLANDS LÄN</t>
        </is>
      </c>
      <c r="E547" t="inlineStr">
        <is>
          <t>SALA</t>
        </is>
      </c>
      <c r="G547" t="n">
        <v>2.6</v>
      </c>
      <c r="H547" t="n">
        <v>0</v>
      </c>
      <c r="I547" t="n">
        <v>0</v>
      </c>
      <c r="J547" t="n">
        <v>0</v>
      </c>
      <c r="K547" t="n">
        <v>0</v>
      </c>
      <c r="L547" t="n">
        <v>0</v>
      </c>
      <c r="M547" t="n">
        <v>0</v>
      </c>
      <c r="N547" t="n">
        <v>0</v>
      </c>
      <c r="O547" t="n">
        <v>0</v>
      </c>
      <c r="P547" t="n">
        <v>0</v>
      </c>
      <c r="Q547" t="n">
        <v>0</v>
      </c>
      <c r="R547" s="2" t="inlineStr"/>
    </row>
    <row r="548" ht="15" customHeight="1">
      <c r="A548" t="inlineStr">
        <is>
          <t>A 51690-2025</t>
        </is>
      </c>
      <c r="B548" s="1" t="n">
        <v>45951.53462962963</v>
      </c>
      <c r="C548" s="1" t="n">
        <v>46077</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51809-2025</t>
        </is>
      </c>
      <c r="B549" s="1" t="n">
        <v>45951.80116898148</v>
      </c>
      <c r="C549" s="1" t="n">
        <v>46077</v>
      </c>
      <c r="D549" t="inlineStr">
        <is>
          <t>VÄSTMANLANDS LÄN</t>
        </is>
      </c>
      <c r="E549" t="inlineStr">
        <is>
          <t>SALA</t>
        </is>
      </c>
      <c r="F549" t="inlineStr">
        <is>
          <t>Kommuner</t>
        </is>
      </c>
      <c r="G549" t="n">
        <v>3.5</v>
      </c>
      <c r="H549" t="n">
        <v>0</v>
      </c>
      <c r="I549" t="n">
        <v>0</v>
      </c>
      <c r="J549" t="n">
        <v>0</v>
      </c>
      <c r="K549" t="n">
        <v>0</v>
      </c>
      <c r="L549" t="n">
        <v>0</v>
      </c>
      <c r="M549" t="n">
        <v>0</v>
      </c>
      <c r="N549" t="n">
        <v>0</v>
      </c>
      <c r="O549" t="n">
        <v>0</v>
      </c>
      <c r="P549" t="n">
        <v>0</v>
      </c>
      <c r="Q549" t="n">
        <v>0</v>
      </c>
      <c r="R549" s="2" t="inlineStr"/>
    </row>
    <row r="550" ht="15" customHeight="1">
      <c r="A550" t="inlineStr">
        <is>
          <t>A 51803-2025</t>
        </is>
      </c>
      <c r="B550" s="1" t="n">
        <v>45951.76818287037</v>
      </c>
      <c r="C550" s="1" t="n">
        <v>46077</v>
      </c>
      <c r="D550" t="inlineStr">
        <is>
          <t>VÄSTMANLANDS LÄN</t>
        </is>
      </c>
      <c r="E550" t="inlineStr">
        <is>
          <t>SALA</t>
        </is>
      </c>
      <c r="F550" t="inlineStr">
        <is>
          <t>Kommuner</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51805-2025</t>
        </is>
      </c>
      <c r="B551" s="1" t="n">
        <v>45951.78359953704</v>
      </c>
      <c r="C551" s="1" t="n">
        <v>46077</v>
      </c>
      <c r="D551" t="inlineStr">
        <is>
          <t>VÄSTMANLANDS LÄN</t>
        </is>
      </c>
      <c r="E551" t="inlineStr">
        <is>
          <t>SALA</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51804-2025</t>
        </is>
      </c>
      <c r="B552" s="1" t="n">
        <v>45951.77697916667</v>
      </c>
      <c r="C552" s="1" t="n">
        <v>46077</v>
      </c>
      <c r="D552" t="inlineStr">
        <is>
          <t>VÄSTMANLANDS LÄN</t>
        </is>
      </c>
      <c r="E552" t="inlineStr">
        <is>
          <t>SALA</t>
        </is>
      </c>
      <c r="F552" t="inlineStr">
        <is>
          <t>Kommuner</t>
        </is>
      </c>
      <c r="G552" t="n">
        <v>2</v>
      </c>
      <c r="H552" t="n">
        <v>0</v>
      </c>
      <c r="I552" t="n">
        <v>0</v>
      </c>
      <c r="J552" t="n">
        <v>0</v>
      </c>
      <c r="K552" t="n">
        <v>0</v>
      </c>
      <c r="L552" t="n">
        <v>0</v>
      </c>
      <c r="M552" t="n">
        <v>0</v>
      </c>
      <c r="N552" t="n">
        <v>0</v>
      </c>
      <c r="O552" t="n">
        <v>0</v>
      </c>
      <c r="P552" t="n">
        <v>0</v>
      </c>
      <c r="Q552" t="n">
        <v>0</v>
      </c>
      <c r="R552" s="2" t="inlineStr"/>
    </row>
    <row r="553" ht="15" customHeight="1">
      <c r="A553" t="inlineStr">
        <is>
          <t>A 51808-2025</t>
        </is>
      </c>
      <c r="B553" s="1" t="n">
        <v>45951.79302083333</v>
      </c>
      <c r="C553" s="1" t="n">
        <v>46077</v>
      </c>
      <c r="D553" t="inlineStr">
        <is>
          <t>VÄSTMANLANDS LÄN</t>
        </is>
      </c>
      <c r="E553" t="inlineStr">
        <is>
          <t>SALA</t>
        </is>
      </c>
      <c r="F553" t="inlineStr">
        <is>
          <t>Kommuner</t>
        </is>
      </c>
      <c r="G553" t="n">
        <v>3</v>
      </c>
      <c r="H553" t="n">
        <v>0</v>
      </c>
      <c r="I553" t="n">
        <v>0</v>
      </c>
      <c r="J553" t="n">
        <v>0</v>
      </c>
      <c r="K553" t="n">
        <v>0</v>
      </c>
      <c r="L553" t="n">
        <v>0</v>
      </c>
      <c r="M553" t="n">
        <v>0</v>
      </c>
      <c r="N553" t="n">
        <v>0</v>
      </c>
      <c r="O553" t="n">
        <v>0</v>
      </c>
      <c r="P553" t="n">
        <v>0</v>
      </c>
      <c r="Q553" t="n">
        <v>0</v>
      </c>
      <c r="R553" s="2" t="inlineStr"/>
    </row>
    <row r="554" ht="15" customHeight="1">
      <c r="A554" t="inlineStr">
        <is>
          <t>A 57650-2024</t>
        </is>
      </c>
      <c r="B554" s="1" t="n">
        <v>45630</v>
      </c>
      <c r="C554" s="1" t="n">
        <v>46077</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51764-2025</t>
        </is>
      </c>
      <c r="B555" s="1" t="n">
        <v>45951.63636574074</v>
      </c>
      <c r="C555" s="1" t="n">
        <v>46077</v>
      </c>
      <c r="D555" t="inlineStr">
        <is>
          <t>VÄSTMANLANDS LÄN</t>
        </is>
      </c>
      <c r="E555" t="inlineStr">
        <is>
          <t>SALA</t>
        </is>
      </c>
      <c r="G555" t="n">
        <v>1.5</v>
      </c>
      <c r="H555" t="n">
        <v>0</v>
      </c>
      <c r="I555" t="n">
        <v>0</v>
      </c>
      <c r="J555" t="n">
        <v>0</v>
      </c>
      <c r="K555" t="n">
        <v>0</v>
      </c>
      <c r="L555" t="n">
        <v>0</v>
      </c>
      <c r="M555" t="n">
        <v>0</v>
      </c>
      <c r="N555" t="n">
        <v>0</v>
      </c>
      <c r="O555" t="n">
        <v>0</v>
      </c>
      <c r="P555" t="n">
        <v>0</v>
      </c>
      <c r="Q555" t="n">
        <v>0</v>
      </c>
      <c r="R555" s="2" t="inlineStr"/>
    </row>
    <row r="556" ht="15" customHeight="1">
      <c r="A556" t="inlineStr">
        <is>
          <t>A 10255-2024</t>
        </is>
      </c>
      <c r="B556" s="1" t="n">
        <v>45365</v>
      </c>
      <c r="C556" s="1" t="n">
        <v>46077</v>
      </c>
      <c r="D556" t="inlineStr">
        <is>
          <t>VÄSTMANLANDS LÄN</t>
        </is>
      </c>
      <c r="E556" t="inlineStr">
        <is>
          <t>SALA</t>
        </is>
      </c>
      <c r="F556" t="inlineStr">
        <is>
          <t>Kommuner</t>
        </is>
      </c>
      <c r="G556" t="n">
        <v>0.8</v>
      </c>
      <c r="H556" t="n">
        <v>0</v>
      </c>
      <c r="I556" t="n">
        <v>0</v>
      </c>
      <c r="J556" t="n">
        <v>0</v>
      </c>
      <c r="K556" t="n">
        <v>0</v>
      </c>
      <c r="L556" t="n">
        <v>0</v>
      </c>
      <c r="M556" t="n">
        <v>0</v>
      </c>
      <c r="N556" t="n">
        <v>0</v>
      </c>
      <c r="O556" t="n">
        <v>0</v>
      </c>
      <c r="P556" t="n">
        <v>0</v>
      </c>
      <c r="Q556" t="n">
        <v>0</v>
      </c>
      <c r="R556" s="2" t="inlineStr"/>
    </row>
    <row r="557" ht="15" customHeight="1">
      <c r="A557" t="inlineStr">
        <is>
          <t>A 28696-2023</t>
        </is>
      </c>
      <c r="B557" s="1" t="n">
        <v>45103.71759259259</v>
      </c>
      <c r="C557" s="1" t="n">
        <v>46077</v>
      </c>
      <c r="D557" t="inlineStr">
        <is>
          <t>VÄSTMANLANDS LÄN</t>
        </is>
      </c>
      <c r="E557" t="inlineStr">
        <is>
          <t>SALA</t>
        </is>
      </c>
      <c r="F557" t="inlineStr">
        <is>
          <t>Kommuner</t>
        </is>
      </c>
      <c r="G557" t="n">
        <v>5.9</v>
      </c>
      <c r="H557" t="n">
        <v>0</v>
      </c>
      <c r="I557" t="n">
        <v>0</v>
      </c>
      <c r="J557" t="n">
        <v>0</v>
      </c>
      <c r="K557" t="n">
        <v>0</v>
      </c>
      <c r="L557" t="n">
        <v>0</v>
      </c>
      <c r="M557" t="n">
        <v>0</v>
      </c>
      <c r="N557" t="n">
        <v>0</v>
      </c>
      <c r="O557" t="n">
        <v>0</v>
      </c>
      <c r="P557" t="n">
        <v>0</v>
      </c>
      <c r="Q557" t="n">
        <v>0</v>
      </c>
      <c r="R557" s="2" t="inlineStr"/>
    </row>
    <row r="558" ht="15" customHeight="1">
      <c r="A558" t="inlineStr">
        <is>
          <t>A 31072-2021</t>
        </is>
      </c>
      <c r="B558" s="1" t="n">
        <v>44368</v>
      </c>
      <c r="C558" s="1" t="n">
        <v>46077</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16543-2023</t>
        </is>
      </c>
      <c r="B559" s="1" t="n">
        <v>45029</v>
      </c>
      <c r="C559" s="1" t="n">
        <v>46077</v>
      </c>
      <c r="D559" t="inlineStr">
        <is>
          <t>VÄSTMANLANDS LÄN</t>
        </is>
      </c>
      <c r="E559" t="inlineStr">
        <is>
          <t>SALA</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22523-2023</t>
        </is>
      </c>
      <c r="B560" s="1" t="n">
        <v>45069</v>
      </c>
      <c r="C560" s="1" t="n">
        <v>46077</v>
      </c>
      <c r="D560" t="inlineStr">
        <is>
          <t>VÄSTMANLANDS LÄN</t>
        </is>
      </c>
      <c r="E560" t="inlineStr">
        <is>
          <t>SALA</t>
        </is>
      </c>
      <c r="G560" t="n">
        <v>2.4</v>
      </c>
      <c r="H560" t="n">
        <v>0</v>
      </c>
      <c r="I560" t="n">
        <v>0</v>
      </c>
      <c r="J560" t="n">
        <v>0</v>
      </c>
      <c r="K560" t="n">
        <v>0</v>
      </c>
      <c r="L560" t="n">
        <v>0</v>
      </c>
      <c r="M560" t="n">
        <v>0</v>
      </c>
      <c r="N560" t="n">
        <v>0</v>
      </c>
      <c r="O560" t="n">
        <v>0</v>
      </c>
      <c r="P560" t="n">
        <v>0</v>
      </c>
      <c r="Q560" t="n">
        <v>0</v>
      </c>
      <c r="R560" s="2" t="inlineStr"/>
    </row>
    <row r="561" ht="15" customHeight="1">
      <c r="A561" t="inlineStr">
        <is>
          <t>A 4663-2022</t>
        </is>
      </c>
      <c r="B561" s="1" t="n">
        <v>44592.45429398148</v>
      </c>
      <c r="C561" s="1" t="n">
        <v>46077</v>
      </c>
      <c r="D561" t="inlineStr">
        <is>
          <t>VÄSTMANLANDS LÄN</t>
        </is>
      </c>
      <c r="E561" t="inlineStr">
        <is>
          <t>SALA</t>
        </is>
      </c>
      <c r="G561" t="n">
        <v>2.5</v>
      </c>
      <c r="H561" t="n">
        <v>0</v>
      </c>
      <c r="I561" t="n">
        <v>0</v>
      </c>
      <c r="J561" t="n">
        <v>0</v>
      </c>
      <c r="K561" t="n">
        <v>0</v>
      </c>
      <c r="L561" t="n">
        <v>0</v>
      </c>
      <c r="M561" t="n">
        <v>0</v>
      </c>
      <c r="N561" t="n">
        <v>0</v>
      </c>
      <c r="O561" t="n">
        <v>0</v>
      </c>
      <c r="P561" t="n">
        <v>0</v>
      </c>
      <c r="Q561" t="n">
        <v>0</v>
      </c>
      <c r="R561" s="2" t="inlineStr"/>
    </row>
    <row r="562" ht="15" customHeight="1">
      <c r="A562" t="inlineStr">
        <is>
          <t>A 53744-2025</t>
        </is>
      </c>
      <c r="B562" s="1" t="n">
        <v>45960.64863425926</v>
      </c>
      <c r="C562" s="1" t="n">
        <v>46077</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53725-2025</t>
        </is>
      </c>
      <c r="B563" s="1" t="n">
        <v>45960.63394675926</v>
      </c>
      <c r="C563" s="1" t="n">
        <v>46077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6132-2025</t>
        </is>
      </c>
      <c r="B564" s="1" t="n">
        <v>45698</v>
      </c>
      <c r="C564" s="1" t="n">
        <v>46077</v>
      </c>
      <c r="D564" t="inlineStr">
        <is>
          <t>VÄSTMANLANDS LÄN</t>
        </is>
      </c>
      <c r="E564" t="inlineStr">
        <is>
          <t>SALA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31859-2023</t>
        </is>
      </c>
      <c r="B565" s="1" t="n">
        <v>45118</v>
      </c>
      <c r="C565" s="1" t="n">
        <v>46077</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c r="U565">
        <f>HYPERLINK("https://klasma.github.io/Logging_1981/knärot/A 31859-2023 karta knärot.png", "A 31859-2023")</f>
        <v/>
      </c>
      <c r="V565">
        <f>HYPERLINK("https://klasma.github.io/Logging_1981/klagomål/A 31859-2023 FSC-klagomål.docx", "A 31859-2023")</f>
        <v/>
      </c>
      <c r="W565">
        <f>HYPERLINK("https://klasma.github.io/Logging_1981/klagomålsmail/A 31859-2023 FSC-klagomål mail.docx", "A 31859-2023")</f>
        <v/>
      </c>
      <c r="X565">
        <f>HYPERLINK("https://klasma.github.io/Logging_1981/tillsyn/A 31859-2023 tillsynsbegäran.docx", "A 31859-2023")</f>
        <v/>
      </c>
      <c r="Y565">
        <f>HYPERLINK("https://klasma.github.io/Logging_1981/tillsynsmail/A 31859-2023 tillsynsbegäran mail.docx", "A 31859-2023")</f>
        <v/>
      </c>
    </row>
    <row r="566" ht="15" customHeight="1">
      <c r="A566" t="inlineStr">
        <is>
          <t>A 53724-2025</t>
        </is>
      </c>
      <c r="B566" s="1" t="n">
        <v>45960.63174768518</v>
      </c>
      <c r="C566" s="1" t="n">
        <v>46077</v>
      </c>
      <c r="D566" t="inlineStr">
        <is>
          <t>VÄSTMANLANDS LÄN</t>
        </is>
      </c>
      <c r="E566" t="inlineStr">
        <is>
          <t>SALA</t>
        </is>
      </c>
      <c r="G566" t="n">
        <v>2.8</v>
      </c>
      <c r="H566" t="n">
        <v>0</v>
      </c>
      <c r="I566" t="n">
        <v>0</v>
      </c>
      <c r="J566" t="n">
        <v>0</v>
      </c>
      <c r="K566" t="n">
        <v>0</v>
      </c>
      <c r="L566" t="n">
        <v>0</v>
      </c>
      <c r="M566" t="n">
        <v>0</v>
      </c>
      <c r="N566" t="n">
        <v>0</v>
      </c>
      <c r="O566" t="n">
        <v>0</v>
      </c>
      <c r="P566" t="n">
        <v>0</v>
      </c>
      <c r="Q566" t="n">
        <v>0</v>
      </c>
      <c r="R566" s="2" t="inlineStr"/>
    </row>
    <row r="567" ht="15" customHeight="1">
      <c r="A567" t="inlineStr">
        <is>
          <t>A 61681-2024</t>
        </is>
      </c>
      <c r="B567" s="1" t="n">
        <v>45647</v>
      </c>
      <c r="C567" s="1" t="n">
        <v>46077</v>
      </c>
      <c r="D567" t="inlineStr">
        <is>
          <t>VÄSTMANLANDS LÄN</t>
        </is>
      </c>
      <c r="E567" t="inlineStr">
        <is>
          <t>SALA</t>
        </is>
      </c>
      <c r="F567" t="inlineStr">
        <is>
          <t>Kommuner</t>
        </is>
      </c>
      <c r="G567" t="n">
        <v>1</v>
      </c>
      <c r="H567" t="n">
        <v>0</v>
      </c>
      <c r="I567" t="n">
        <v>0</v>
      </c>
      <c r="J567" t="n">
        <v>0</v>
      </c>
      <c r="K567" t="n">
        <v>0</v>
      </c>
      <c r="L567" t="n">
        <v>0</v>
      </c>
      <c r="M567" t="n">
        <v>0</v>
      </c>
      <c r="N567" t="n">
        <v>0</v>
      </c>
      <c r="O567" t="n">
        <v>0</v>
      </c>
      <c r="P567" t="n">
        <v>0</v>
      </c>
      <c r="Q567" t="n">
        <v>0</v>
      </c>
      <c r="R567" s="2" t="inlineStr"/>
    </row>
    <row r="568" ht="15" customHeight="1">
      <c r="A568" t="inlineStr">
        <is>
          <t>A 54960-2024</t>
        </is>
      </c>
      <c r="B568" s="1" t="n">
        <v>45619.85208333333</v>
      </c>
      <c r="C568" s="1" t="n">
        <v>46077</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38636-2024</t>
        </is>
      </c>
      <c r="B569" s="1" t="n">
        <v>45546</v>
      </c>
      <c r="C569" s="1" t="n">
        <v>46077</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31082-2021</t>
        </is>
      </c>
      <c r="B570" s="1" t="n">
        <v>44368</v>
      </c>
      <c r="C570" s="1" t="n">
        <v>46077</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54201-2025</t>
        </is>
      </c>
      <c r="B571" s="1" t="n">
        <v>45964.58055555556</v>
      </c>
      <c r="C571" s="1" t="n">
        <v>46077</v>
      </c>
      <c r="D571" t="inlineStr">
        <is>
          <t>VÄSTMANLANDS LÄN</t>
        </is>
      </c>
      <c r="E571" t="inlineStr">
        <is>
          <t>SALA</t>
        </is>
      </c>
      <c r="G571" t="n">
        <v>1.7</v>
      </c>
      <c r="H571" t="n">
        <v>0</v>
      </c>
      <c r="I571" t="n">
        <v>0</v>
      </c>
      <c r="J571" t="n">
        <v>0</v>
      </c>
      <c r="K571" t="n">
        <v>0</v>
      </c>
      <c r="L571" t="n">
        <v>0</v>
      </c>
      <c r="M571" t="n">
        <v>0</v>
      </c>
      <c r="N571" t="n">
        <v>0</v>
      </c>
      <c r="O571" t="n">
        <v>0</v>
      </c>
      <c r="P571" t="n">
        <v>0</v>
      </c>
      <c r="Q571" t="n">
        <v>0</v>
      </c>
      <c r="R571" s="2" t="inlineStr"/>
    </row>
    <row r="572" ht="15" customHeight="1">
      <c r="A572" t="inlineStr">
        <is>
          <t>A 20352-2022</t>
        </is>
      </c>
      <c r="B572" s="1" t="n">
        <v>44699.37318287037</v>
      </c>
      <c r="C572" s="1" t="n">
        <v>46077</v>
      </c>
      <c r="D572" t="inlineStr">
        <is>
          <t>VÄSTMANLANDS LÄN</t>
        </is>
      </c>
      <c r="E572" t="inlineStr">
        <is>
          <t>SALA</t>
        </is>
      </c>
      <c r="G572" t="n">
        <v>1.3</v>
      </c>
      <c r="H572" t="n">
        <v>0</v>
      </c>
      <c r="I572" t="n">
        <v>0</v>
      </c>
      <c r="J572" t="n">
        <v>0</v>
      </c>
      <c r="K572" t="n">
        <v>0</v>
      </c>
      <c r="L572" t="n">
        <v>0</v>
      </c>
      <c r="M572" t="n">
        <v>0</v>
      </c>
      <c r="N572" t="n">
        <v>0</v>
      </c>
      <c r="O572" t="n">
        <v>0</v>
      </c>
      <c r="P572" t="n">
        <v>0</v>
      </c>
      <c r="Q572" t="n">
        <v>0</v>
      </c>
      <c r="R572" s="2" t="inlineStr"/>
    </row>
    <row r="573" ht="15" customHeight="1">
      <c r="A573" t="inlineStr">
        <is>
          <t>A 27657-2023</t>
        </is>
      </c>
      <c r="B573" s="1" t="n">
        <v>45097.76631944445</v>
      </c>
      <c r="C573" s="1" t="n">
        <v>46077</v>
      </c>
      <c r="D573" t="inlineStr">
        <is>
          <t>VÄSTMANLANDS LÄN</t>
        </is>
      </c>
      <c r="E573" t="inlineStr">
        <is>
          <t>SALA</t>
        </is>
      </c>
      <c r="G573" t="n">
        <v>0.1</v>
      </c>
      <c r="H573" t="n">
        <v>0</v>
      </c>
      <c r="I573" t="n">
        <v>0</v>
      </c>
      <c r="J573" t="n">
        <v>0</v>
      </c>
      <c r="K573" t="n">
        <v>0</v>
      </c>
      <c r="L573" t="n">
        <v>0</v>
      </c>
      <c r="M573" t="n">
        <v>0</v>
      </c>
      <c r="N573" t="n">
        <v>0</v>
      </c>
      <c r="O573" t="n">
        <v>0</v>
      </c>
      <c r="P573" t="n">
        <v>0</v>
      </c>
      <c r="Q573" t="n">
        <v>0</v>
      </c>
      <c r="R573" s="2" t="inlineStr"/>
    </row>
    <row r="574" ht="15" customHeight="1">
      <c r="A574" t="inlineStr">
        <is>
          <t>A 2766-2024</t>
        </is>
      </c>
      <c r="B574" s="1" t="n">
        <v>45314.60950231482</v>
      </c>
      <c r="C574" s="1" t="n">
        <v>46077</v>
      </c>
      <c r="D574" t="inlineStr">
        <is>
          <t>VÄSTMANLANDS LÄN</t>
        </is>
      </c>
      <c r="E574" t="inlineStr">
        <is>
          <t>SALA</t>
        </is>
      </c>
      <c r="G574" t="n">
        <v>2.8</v>
      </c>
      <c r="H574" t="n">
        <v>0</v>
      </c>
      <c r="I574" t="n">
        <v>0</v>
      </c>
      <c r="J574" t="n">
        <v>0</v>
      </c>
      <c r="K574" t="n">
        <v>0</v>
      </c>
      <c r="L574" t="n">
        <v>0</v>
      </c>
      <c r="M574" t="n">
        <v>0</v>
      </c>
      <c r="N574" t="n">
        <v>0</v>
      </c>
      <c r="O574" t="n">
        <v>0</v>
      </c>
      <c r="P574" t="n">
        <v>0</v>
      </c>
      <c r="Q574" t="n">
        <v>0</v>
      </c>
      <c r="R574" s="2" t="inlineStr"/>
    </row>
    <row r="575" ht="15" customHeight="1">
      <c r="A575" t="inlineStr">
        <is>
          <t>A 54344-2025</t>
        </is>
      </c>
      <c r="B575" s="1" t="n">
        <v>45965.36462962963</v>
      </c>
      <c r="C575" s="1" t="n">
        <v>46077</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60550-2024</t>
        </is>
      </c>
      <c r="B576" s="1" t="n">
        <v>45643</v>
      </c>
      <c r="C576" s="1" t="n">
        <v>46077</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14690-2025</t>
        </is>
      </c>
      <c r="B577" s="1" t="n">
        <v>45742.58212962963</v>
      </c>
      <c r="C577" s="1" t="n">
        <v>46077</v>
      </c>
      <c r="D577" t="inlineStr">
        <is>
          <t>VÄSTMANLANDS LÄN</t>
        </is>
      </c>
      <c r="E577" t="inlineStr">
        <is>
          <t>SALA</t>
        </is>
      </c>
      <c r="G577" t="n">
        <v>3.4</v>
      </c>
      <c r="H577" t="n">
        <v>0</v>
      </c>
      <c r="I577" t="n">
        <v>0</v>
      </c>
      <c r="J577" t="n">
        <v>0</v>
      </c>
      <c r="K577" t="n">
        <v>0</v>
      </c>
      <c r="L577" t="n">
        <v>0</v>
      </c>
      <c r="M577" t="n">
        <v>0</v>
      </c>
      <c r="N577" t="n">
        <v>0</v>
      </c>
      <c r="O577" t="n">
        <v>0</v>
      </c>
      <c r="P577" t="n">
        <v>0</v>
      </c>
      <c r="Q577" t="n">
        <v>0</v>
      </c>
      <c r="R577" s="2" t="inlineStr"/>
    </row>
    <row r="578" ht="15" customHeight="1">
      <c r="A578" t="inlineStr">
        <is>
          <t>A 24175-2024</t>
        </is>
      </c>
      <c r="B578" s="1" t="n">
        <v>45456</v>
      </c>
      <c r="C578" s="1" t="n">
        <v>46077</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54590-2025</t>
        </is>
      </c>
      <c r="B579" s="1" t="n">
        <v>45965.74199074074</v>
      </c>
      <c r="C579" s="1" t="n">
        <v>46077</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62449-2023</t>
        </is>
      </c>
      <c r="B580" s="1" t="n">
        <v>45268.49008101852</v>
      </c>
      <c r="C580" s="1" t="n">
        <v>46077</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54910-2023</t>
        </is>
      </c>
      <c r="B581" s="1" t="n">
        <v>45229</v>
      </c>
      <c r="C581" s="1" t="n">
        <v>46077</v>
      </c>
      <c r="D581" t="inlineStr">
        <is>
          <t>VÄSTMANLANDS LÄN</t>
        </is>
      </c>
      <c r="E581" t="inlineStr">
        <is>
          <t>SALA</t>
        </is>
      </c>
      <c r="G581" t="n">
        <v>2.4</v>
      </c>
      <c r="H581" t="n">
        <v>0</v>
      </c>
      <c r="I581" t="n">
        <v>0</v>
      </c>
      <c r="J581" t="n">
        <v>0</v>
      </c>
      <c r="K581" t="n">
        <v>0</v>
      </c>
      <c r="L581" t="n">
        <v>0</v>
      </c>
      <c r="M581" t="n">
        <v>0</v>
      </c>
      <c r="N581" t="n">
        <v>0</v>
      </c>
      <c r="O581" t="n">
        <v>0</v>
      </c>
      <c r="P581" t="n">
        <v>0</v>
      </c>
      <c r="Q581" t="n">
        <v>0</v>
      </c>
      <c r="R581" s="2" t="inlineStr"/>
    </row>
    <row r="582" ht="15" customHeight="1">
      <c r="A582" t="inlineStr">
        <is>
          <t>A 54893-2025</t>
        </is>
      </c>
      <c r="B582" s="1" t="n">
        <v>45967.36383101852</v>
      </c>
      <c r="C582" s="1" t="n">
        <v>46077</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19222-2025</t>
        </is>
      </c>
      <c r="B583" s="1" t="n">
        <v>45769</v>
      </c>
      <c r="C583" s="1" t="n">
        <v>46077</v>
      </c>
      <c r="D583" t="inlineStr">
        <is>
          <t>VÄSTMANLANDS LÄN</t>
        </is>
      </c>
      <c r="E583" t="inlineStr">
        <is>
          <t>SALA</t>
        </is>
      </c>
      <c r="G583" t="n">
        <v>1.8</v>
      </c>
      <c r="H583" t="n">
        <v>0</v>
      </c>
      <c r="I583" t="n">
        <v>0</v>
      </c>
      <c r="J583" t="n">
        <v>0</v>
      </c>
      <c r="K583" t="n">
        <v>0</v>
      </c>
      <c r="L583" t="n">
        <v>0</v>
      </c>
      <c r="M583" t="n">
        <v>0</v>
      </c>
      <c r="N583" t="n">
        <v>0</v>
      </c>
      <c r="O583" t="n">
        <v>0</v>
      </c>
      <c r="P583" t="n">
        <v>0</v>
      </c>
      <c r="Q583" t="n">
        <v>0</v>
      </c>
      <c r="R583" s="2" t="inlineStr"/>
    </row>
    <row r="584" ht="15" customHeight="1">
      <c r="A584" t="inlineStr">
        <is>
          <t>A 19241-2025</t>
        </is>
      </c>
      <c r="B584" s="1" t="n">
        <v>45769</v>
      </c>
      <c r="C584" s="1" t="n">
        <v>46077</v>
      </c>
      <c r="D584" t="inlineStr">
        <is>
          <t>VÄSTMANLANDS LÄN</t>
        </is>
      </c>
      <c r="E584" t="inlineStr">
        <is>
          <t>SALA</t>
        </is>
      </c>
      <c r="G584" t="n">
        <v>3.6</v>
      </c>
      <c r="H584" t="n">
        <v>0</v>
      </c>
      <c r="I584" t="n">
        <v>0</v>
      </c>
      <c r="J584" t="n">
        <v>0</v>
      </c>
      <c r="K584" t="n">
        <v>0</v>
      </c>
      <c r="L584" t="n">
        <v>0</v>
      </c>
      <c r="M584" t="n">
        <v>0</v>
      </c>
      <c r="N584" t="n">
        <v>0</v>
      </c>
      <c r="O584" t="n">
        <v>0</v>
      </c>
      <c r="P584" t="n">
        <v>0</v>
      </c>
      <c r="Q584" t="n">
        <v>0</v>
      </c>
      <c r="R584" s="2" t="inlineStr"/>
    </row>
    <row r="585" ht="15" customHeight="1">
      <c r="A585" t="inlineStr">
        <is>
          <t>A 19033-2025</t>
        </is>
      </c>
      <c r="B585" s="1" t="n">
        <v>45764.65796296296</v>
      </c>
      <c r="C585" s="1" t="n">
        <v>46077</v>
      </c>
      <c r="D585" t="inlineStr">
        <is>
          <t>VÄSTMANLANDS LÄN</t>
        </is>
      </c>
      <c r="E585" t="inlineStr">
        <is>
          <t>SALA</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26416-2023</t>
        </is>
      </c>
      <c r="B586" s="1" t="n">
        <v>45092.38087962963</v>
      </c>
      <c r="C586" s="1" t="n">
        <v>46077</v>
      </c>
      <c r="D586" t="inlineStr">
        <is>
          <t>VÄSTMANLANDS LÄN</t>
        </is>
      </c>
      <c r="E586" t="inlineStr">
        <is>
          <t>SALA</t>
        </is>
      </c>
      <c r="G586" t="n">
        <v>2.9</v>
      </c>
      <c r="H586" t="n">
        <v>0</v>
      </c>
      <c r="I586" t="n">
        <v>0</v>
      </c>
      <c r="J586" t="n">
        <v>0</v>
      </c>
      <c r="K586" t="n">
        <v>0</v>
      </c>
      <c r="L586" t="n">
        <v>0</v>
      </c>
      <c r="M586" t="n">
        <v>0</v>
      </c>
      <c r="N586" t="n">
        <v>0</v>
      </c>
      <c r="O586" t="n">
        <v>0</v>
      </c>
      <c r="P586" t="n">
        <v>0</v>
      </c>
      <c r="Q586" t="n">
        <v>0</v>
      </c>
      <c r="R586" s="2" t="inlineStr"/>
    </row>
    <row r="587" ht="15" customHeight="1">
      <c r="A587" t="inlineStr">
        <is>
          <t>A 26692-2023</t>
        </is>
      </c>
      <c r="B587" s="1" t="n">
        <v>45093.360625</v>
      </c>
      <c r="C587" s="1" t="n">
        <v>46077</v>
      </c>
      <c r="D587" t="inlineStr">
        <is>
          <t>VÄSTMANLANDS LÄN</t>
        </is>
      </c>
      <c r="E587" t="inlineStr">
        <is>
          <t>SALA</t>
        </is>
      </c>
      <c r="G587" t="n">
        <v>1.8</v>
      </c>
      <c r="H587" t="n">
        <v>0</v>
      </c>
      <c r="I587" t="n">
        <v>0</v>
      </c>
      <c r="J587" t="n">
        <v>0</v>
      </c>
      <c r="K587" t="n">
        <v>0</v>
      </c>
      <c r="L587" t="n">
        <v>0</v>
      </c>
      <c r="M587" t="n">
        <v>0</v>
      </c>
      <c r="N587" t="n">
        <v>0</v>
      </c>
      <c r="O587" t="n">
        <v>0</v>
      </c>
      <c r="P587" t="n">
        <v>0</v>
      </c>
      <c r="Q587" t="n">
        <v>0</v>
      </c>
      <c r="R587" s="2" t="inlineStr"/>
    </row>
    <row r="588" ht="15" customHeight="1">
      <c r="A588" t="inlineStr">
        <is>
          <t>A 55997-2025</t>
        </is>
      </c>
      <c r="B588" s="1" t="n">
        <v>45973.56833333334</v>
      </c>
      <c r="C588" s="1" t="n">
        <v>46077</v>
      </c>
      <c r="D588" t="inlineStr">
        <is>
          <t>VÄSTMANLANDS LÄN</t>
        </is>
      </c>
      <c r="E588" t="inlineStr">
        <is>
          <t>SALA</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15681-2025</t>
        </is>
      </c>
      <c r="B589" s="1" t="n">
        <v>45748.45454861111</v>
      </c>
      <c r="C589" s="1" t="n">
        <v>46077</v>
      </c>
      <c r="D589" t="inlineStr">
        <is>
          <t>VÄSTMANLANDS LÄN</t>
        </is>
      </c>
      <c r="E589" t="inlineStr">
        <is>
          <t>SALA</t>
        </is>
      </c>
      <c r="F589" t="inlineStr">
        <is>
          <t>Bergvik skog öst AB</t>
        </is>
      </c>
      <c r="G589" t="n">
        <v>4.3</v>
      </c>
      <c r="H589" t="n">
        <v>0</v>
      </c>
      <c r="I589" t="n">
        <v>0</v>
      </c>
      <c r="J589" t="n">
        <v>0</v>
      </c>
      <c r="K589" t="n">
        <v>0</v>
      </c>
      <c r="L589" t="n">
        <v>0</v>
      </c>
      <c r="M589" t="n">
        <v>0</v>
      </c>
      <c r="N589" t="n">
        <v>0</v>
      </c>
      <c r="O589" t="n">
        <v>0</v>
      </c>
      <c r="P589" t="n">
        <v>0</v>
      </c>
      <c r="Q589" t="n">
        <v>0</v>
      </c>
      <c r="R589" s="2" t="inlineStr"/>
    </row>
    <row r="590" ht="15" customHeight="1">
      <c r="A590" t="inlineStr">
        <is>
          <t>A 55714-2025</t>
        </is>
      </c>
      <c r="B590" s="1" t="n">
        <v>45972.49131944445</v>
      </c>
      <c r="C590" s="1" t="n">
        <v>46077</v>
      </c>
      <c r="D590" t="inlineStr">
        <is>
          <t>VÄSTMANLANDS LÄN</t>
        </is>
      </c>
      <c r="E590" t="inlineStr">
        <is>
          <t>SALA</t>
        </is>
      </c>
      <c r="G590" t="n">
        <v>6.6</v>
      </c>
      <c r="H590" t="n">
        <v>0</v>
      </c>
      <c r="I590" t="n">
        <v>0</v>
      </c>
      <c r="J590" t="n">
        <v>0</v>
      </c>
      <c r="K590" t="n">
        <v>0</v>
      </c>
      <c r="L590" t="n">
        <v>0</v>
      </c>
      <c r="M590" t="n">
        <v>0</v>
      </c>
      <c r="N590" t="n">
        <v>0</v>
      </c>
      <c r="O590" t="n">
        <v>0</v>
      </c>
      <c r="P590" t="n">
        <v>0</v>
      </c>
      <c r="Q590" t="n">
        <v>0</v>
      </c>
      <c r="R590" s="2" t="inlineStr"/>
    </row>
    <row r="591" ht="15" customHeight="1">
      <c r="A591" t="inlineStr">
        <is>
          <t>A 56614-2025</t>
        </is>
      </c>
      <c r="B591" s="1" t="n">
        <v>45975.59288194445</v>
      </c>
      <c r="C591" s="1" t="n">
        <v>46077</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56611-2025</t>
        </is>
      </c>
      <c r="B592" s="1" t="n">
        <v>45975</v>
      </c>
      <c r="C592" s="1" t="n">
        <v>46077</v>
      </c>
      <c r="D592" t="inlineStr">
        <is>
          <t>VÄSTMANLANDS LÄN</t>
        </is>
      </c>
      <c r="E592" t="inlineStr">
        <is>
          <t>SALA</t>
        </is>
      </c>
      <c r="G592" t="n">
        <v>2.8</v>
      </c>
      <c r="H592" t="n">
        <v>0</v>
      </c>
      <c r="I592" t="n">
        <v>0</v>
      </c>
      <c r="J592" t="n">
        <v>0</v>
      </c>
      <c r="K592" t="n">
        <v>0</v>
      </c>
      <c r="L592" t="n">
        <v>0</v>
      </c>
      <c r="M592" t="n">
        <v>0</v>
      </c>
      <c r="N592" t="n">
        <v>0</v>
      </c>
      <c r="O592" t="n">
        <v>0</v>
      </c>
      <c r="P592" t="n">
        <v>0</v>
      </c>
      <c r="Q592" t="n">
        <v>0</v>
      </c>
      <c r="R592" s="2" t="inlineStr"/>
    </row>
    <row r="593" ht="15" customHeight="1">
      <c r="A593" t="inlineStr">
        <is>
          <t>A 57014-2025</t>
        </is>
      </c>
      <c r="B593" s="1" t="n">
        <v>45978</v>
      </c>
      <c r="C593" s="1" t="n">
        <v>46077</v>
      </c>
      <c r="D593" t="inlineStr">
        <is>
          <t>VÄSTMANLANDS LÄN</t>
        </is>
      </c>
      <c r="E593" t="inlineStr">
        <is>
          <t>SALA</t>
        </is>
      </c>
      <c r="G593" t="n">
        <v>2.2</v>
      </c>
      <c r="H593" t="n">
        <v>0</v>
      </c>
      <c r="I593" t="n">
        <v>0</v>
      </c>
      <c r="J593" t="n">
        <v>0</v>
      </c>
      <c r="K593" t="n">
        <v>0</v>
      </c>
      <c r="L593" t="n">
        <v>0</v>
      </c>
      <c r="M593" t="n">
        <v>0</v>
      </c>
      <c r="N593" t="n">
        <v>0</v>
      </c>
      <c r="O593" t="n">
        <v>0</v>
      </c>
      <c r="P593" t="n">
        <v>0</v>
      </c>
      <c r="Q593" t="n">
        <v>0</v>
      </c>
      <c r="R593" s="2" t="inlineStr"/>
    </row>
    <row r="594" ht="15" customHeight="1">
      <c r="A594" t="inlineStr">
        <is>
          <t>A 56502-2025</t>
        </is>
      </c>
      <c r="B594" s="1" t="n">
        <v>45975</v>
      </c>
      <c r="C594" s="1" t="n">
        <v>46077</v>
      </c>
      <c r="D594" t="inlineStr">
        <is>
          <t>VÄSTMANLANDS LÄN</t>
        </is>
      </c>
      <c r="E594" t="inlineStr">
        <is>
          <t>SALA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56593-2025</t>
        </is>
      </c>
      <c r="B595" s="1" t="n">
        <v>45975</v>
      </c>
      <c r="C595" s="1" t="n">
        <v>46077</v>
      </c>
      <c r="D595" t="inlineStr">
        <is>
          <t>VÄSTMANLANDS LÄN</t>
        </is>
      </c>
      <c r="E595" t="inlineStr">
        <is>
          <t>SALA</t>
        </is>
      </c>
      <c r="F595" t="inlineStr">
        <is>
          <t>Kyrkan</t>
        </is>
      </c>
      <c r="G595" t="n">
        <v>0.1</v>
      </c>
      <c r="H595" t="n">
        <v>0</v>
      </c>
      <c r="I595" t="n">
        <v>0</v>
      </c>
      <c r="J595" t="n">
        <v>0</v>
      </c>
      <c r="K595" t="n">
        <v>0</v>
      </c>
      <c r="L595" t="n">
        <v>0</v>
      </c>
      <c r="M595" t="n">
        <v>0</v>
      </c>
      <c r="N595" t="n">
        <v>0</v>
      </c>
      <c r="O595" t="n">
        <v>0</v>
      </c>
      <c r="P595" t="n">
        <v>0</v>
      </c>
      <c r="Q595" t="n">
        <v>0</v>
      </c>
      <c r="R595" s="2" t="inlineStr"/>
    </row>
    <row r="596" ht="15" customHeight="1">
      <c r="A596" t="inlineStr">
        <is>
          <t>A 56645-2025</t>
        </is>
      </c>
      <c r="B596" s="1" t="n">
        <v>45975.63063657407</v>
      </c>
      <c r="C596" s="1" t="n">
        <v>46077</v>
      </c>
      <c r="D596" t="inlineStr">
        <is>
          <t>VÄSTMANLANDS LÄN</t>
        </is>
      </c>
      <c r="E596" t="inlineStr">
        <is>
          <t>SALA</t>
        </is>
      </c>
      <c r="F596" t="inlineStr">
        <is>
          <t>Bergvik skog öst AB</t>
        </is>
      </c>
      <c r="G596" t="n">
        <v>5.3</v>
      </c>
      <c r="H596" t="n">
        <v>0</v>
      </c>
      <c r="I596" t="n">
        <v>0</v>
      </c>
      <c r="J596" t="n">
        <v>0</v>
      </c>
      <c r="K596" t="n">
        <v>0</v>
      </c>
      <c r="L596" t="n">
        <v>0</v>
      </c>
      <c r="M596" t="n">
        <v>0</v>
      </c>
      <c r="N596" t="n">
        <v>0</v>
      </c>
      <c r="O596" t="n">
        <v>0</v>
      </c>
      <c r="P596" t="n">
        <v>0</v>
      </c>
      <c r="Q596" t="n">
        <v>0</v>
      </c>
      <c r="R596" s="2" t="inlineStr"/>
    </row>
    <row r="597" ht="15" customHeight="1">
      <c r="A597" t="inlineStr">
        <is>
          <t>A 57412-2025</t>
        </is>
      </c>
      <c r="B597" s="1" t="n">
        <v>45980.44883101852</v>
      </c>
      <c r="C597" s="1" t="n">
        <v>46077</v>
      </c>
      <c r="D597" t="inlineStr">
        <is>
          <t>VÄSTMANLANDS LÄN</t>
        </is>
      </c>
      <c r="E597" t="inlineStr">
        <is>
          <t>SALA</t>
        </is>
      </c>
      <c r="F597" t="inlineStr">
        <is>
          <t>Bergvik skog öst AB</t>
        </is>
      </c>
      <c r="G597" t="n">
        <v>4.5</v>
      </c>
      <c r="H597" t="n">
        <v>0</v>
      </c>
      <c r="I597" t="n">
        <v>0</v>
      </c>
      <c r="J597" t="n">
        <v>0</v>
      </c>
      <c r="K597" t="n">
        <v>0</v>
      </c>
      <c r="L597" t="n">
        <v>0</v>
      </c>
      <c r="M597" t="n">
        <v>0</v>
      </c>
      <c r="N597" t="n">
        <v>0</v>
      </c>
      <c r="O597" t="n">
        <v>0</v>
      </c>
      <c r="P597" t="n">
        <v>0</v>
      </c>
      <c r="Q597" t="n">
        <v>0</v>
      </c>
      <c r="R597" s="2" t="inlineStr"/>
    </row>
    <row r="598" ht="15" customHeight="1">
      <c r="A598" t="inlineStr">
        <is>
          <t>A 2925-2024</t>
        </is>
      </c>
      <c r="B598" s="1" t="n">
        <v>45315.58909722222</v>
      </c>
      <c r="C598" s="1" t="n">
        <v>46077</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57414-2025</t>
        </is>
      </c>
      <c r="B599" s="1" t="n">
        <v>45980.45003472222</v>
      </c>
      <c r="C599" s="1" t="n">
        <v>46077</v>
      </c>
      <c r="D599" t="inlineStr">
        <is>
          <t>VÄSTMANLANDS LÄN</t>
        </is>
      </c>
      <c r="E599" t="inlineStr">
        <is>
          <t>SALA</t>
        </is>
      </c>
      <c r="F599" t="inlineStr">
        <is>
          <t>Bergvik skog öst AB</t>
        </is>
      </c>
      <c r="G599" t="n">
        <v>2</v>
      </c>
      <c r="H599" t="n">
        <v>0</v>
      </c>
      <c r="I599" t="n">
        <v>0</v>
      </c>
      <c r="J599" t="n">
        <v>0</v>
      </c>
      <c r="K599" t="n">
        <v>0</v>
      </c>
      <c r="L599" t="n">
        <v>0</v>
      </c>
      <c r="M599" t="n">
        <v>0</v>
      </c>
      <c r="N599" t="n">
        <v>0</v>
      </c>
      <c r="O599" t="n">
        <v>0</v>
      </c>
      <c r="P599" t="n">
        <v>0</v>
      </c>
      <c r="Q599" t="n">
        <v>0</v>
      </c>
      <c r="R599" s="2" t="inlineStr"/>
    </row>
    <row r="600" ht="15" customHeight="1">
      <c r="A600" t="inlineStr">
        <is>
          <t>A 57415-2025</t>
        </is>
      </c>
      <c r="B600" s="1" t="n">
        <v>45980.45099537037</v>
      </c>
      <c r="C600" s="1" t="n">
        <v>46077</v>
      </c>
      <c r="D600" t="inlineStr">
        <is>
          <t>VÄSTMANLANDS LÄN</t>
        </is>
      </c>
      <c r="E600" t="inlineStr">
        <is>
          <t>SALA</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44746-2024</t>
        </is>
      </c>
      <c r="B601" s="1" t="n">
        <v>45574.59813657407</v>
      </c>
      <c r="C601" s="1" t="n">
        <v>46077</v>
      </c>
      <c r="D601" t="inlineStr">
        <is>
          <t>VÄSTMANLANDS LÄN</t>
        </is>
      </c>
      <c r="E601" t="inlineStr">
        <is>
          <t>SALA</t>
        </is>
      </c>
      <c r="G601" t="n">
        <v>6.7</v>
      </c>
      <c r="H601" t="n">
        <v>0</v>
      </c>
      <c r="I601" t="n">
        <v>0</v>
      </c>
      <c r="J601" t="n">
        <v>0</v>
      </c>
      <c r="K601" t="n">
        <v>0</v>
      </c>
      <c r="L601" t="n">
        <v>0</v>
      </c>
      <c r="M601" t="n">
        <v>0</v>
      </c>
      <c r="N601" t="n">
        <v>0</v>
      </c>
      <c r="O601" t="n">
        <v>0</v>
      </c>
      <c r="P601" t="n">
        <v>0</v>
      </c>
      <c r="Q601" t="n">
        <v>0</v>
      </c>
      <c r="R601" s="2" t="inlineStr"/>
    </row>
    <row r="602" ht="15" customHeight="1">
      <c r="A602" t="inlineStr">
        <is>
          <t>A 44713-2023</t>
        </is>
      </c>
      <c r="B602" s="1" t="n">
        <v>45184</v>
      </c>
      <c r="C602" s="1" t="n">
        <v>46077</v>
      </c>
      <c r="D602" t="inlineStr">
        <is>
          <t>VÄSTMANLANDS LÄN</t>
        </is>
      </c>
      <c r="E602" t="inlineStr">
        <is>
          <t>SALA</t>
        </is>
      </c>
      <c r="F602" t="inlineStr">
        <is>
          <t>Kyrkan</t>
        </is>
      </c>
      <c r="G602" t="n">
        <v>7.6</v>
      </c>
      <c r="H602" t="n">
        <v>0</v>
      </c>
      <c r="I602" t="n">
        <v>0</v>
      </c>
      <c r="J602" t="n">
        <v>0</v>
      </c>
      <c r="K602" t="n">
        <v>0</v>
      </c>
      <c r="L602" t="n">
        <v>0</v>
      </c>
      <c r="M602" t="n">
        <v>0</v>
      </c>
      <c r="N602" t="n">
        <v>0</v>
      </c>
      <c r="O602" t="n">
        <v>0</v>
      </c>
      <c r="P602" t="n">
        <v>0</v>
      </c>
      <c r="Q602" t="n">
        <v>0</v>
      </c>
      <c r="R602" s="2" t="inlineStr"/>
    </row>
    <row r="603" ht="15" customHeight="1">
      <c r="A603" t="inlineStr">
        <is>
          <t>A 23431-2024</t>
        </is>
      </c>
      <c r="B603" s="1" t="n">
        <v>45453</v>
      </c>
      <c r="C603" s="1" t="n">
        <v>46077</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row r="604" ht="15" customHeight="1">
      <c r="A604" t="inlineStr">
        <is>
          <t>A 58357-2025</t>
        </is>
      </c>
      <c r="B604" s="1" t="n">
        <v>45985.51518518518</v>
      </c>
      <c r="C604" s="1" t="n">
        <v>46077</v>
      </c>
      <c r="D604" t="inlineStr">
        <is>
          <t>VÄSTMANLANDS LÄN</t>
        </is>
      </c>
      <c r="E604" t="inlineStr">
        <is>
          <t>SALA</t>
        </is>
      </c>
      <c r="G604" t="n">
        <v>3</v>
      </c>
      <c r="H604" t="n">
        <v>0</v>
      </c>
      <c r="I604" t="n">
        <v>0</v>
      </c>
      <c r="J604" t="n">
        <v>0</v>
      </c>
      <c r="K604" t="n">
        <v>0</v>
      </c>
      <c r="L604" t="n">
        <v>0</v>
      </c>
      <c r="M604" t="n">
        <v>0</v>
      </c>
      <c r="N604" t="n">
        <v>0</v>
      </c>
      <c r="O604" t="n">
        <v>0</v>
      </c>
      <c r="P604" t="n">
        <v>0</v>
      </c>
      <c r="Q604" t="n">
        <v>0</v>
      </c>
      <c r="R604" s="2" t="inlineStr"/>
    </row>
    <row r="605" ht="15" customHeight="1">
      <c r="A605" t="inlineStr">
        <is>
          <t>A 21168-2025</t>
        </is>
      </c>
      <c r="B605" s="1" t="n">
        <v>45777</v>
      </c>
      <c r="C605" s="1" t="n">
        <v>46077</v>
      </c>
      <c r="D605" t="inlineStr">
        <is>
          <t>VÄSTMANLANDS LÄN</t>
        </is>
      </c>
      <c r="E605" t="inlineStr">
        <is>
          <t>SALA</t>
        </is>
      </c>
      <c r="G605" t="n">
        <v>4.5</v>
      </c>
      <c r="H605" t="n">
        <v>0</v>
      </c>
      <c r="I605" t="n">
        <v>0</v>
      </c>
      <c r="J605" t="n">
        <v>0</v>
      </c>
      <c r="K605" t="n">
        <v>0</v>
      </c>
      <c r="L605" t="n">
        <v>0</v>
      </c>
      <c r="M605" t="n">
        <v>0</v>
      </c>
      <c r="N605" t="n">
        <v>0</v>
      </c>
      <c r="O605" t="n">
        <v>0</v>
      </c>
      <c r="P605" t="n">
        <v>0</v>
      </c>
      <c r="Q605" t="n">
        <v>0</v>
      </c>
      <c r="R605" s="2" t="inlineStr"/>
    </row>
    <row r="606" ht="15" customHeight="1">
      <c r="A606" t="inlineStr">
        <is>
          <t>A 55760-2025</t>
        </is>
      </c>
      <c r="B606" s="1" t="n">
        <v>45972</v>
      </c>
      <c r="C606" s="1" t="n">
        <v>46077</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58365-2025</t>
        </is>
      </c>
      <c r="B607" s="1" t="n">
        <v>45985.52288194445</v>
      </c>
      <c r="C607" s="1" t="n">
        <v>46077</v>
      </c>
      <c r="D607" t="inlineStr">
        <is>
          <t>VÄSTMANLANDS LÄN</t>
        </is>
      </c>
      <c r="E607" t="inlineStr">
        <is>
          <t>SALA</t>
        </is>
      </c>
      <c r="G607" t="n">
        <v>3.9</v>
      </c>
      <c r="H607" t="n">
        <v>0</v>
      </c>
      <c r="I607" t="n">
        <v>0</v>
      </c>
      <c r="J607" t="n">
        <v>0</v>
      </c>
      <c r="K607" t="n">
        <v>0</v>
      </c>
      <c r="L607" t="n">
        <v>0</v>
      </c>
      <c r="M607" t="n">
        <v>0</v>
      </c>
      <c r="N607" t="n">
        <v>0</v>
      </c>
      <c r="O607" t="n">
        <v>0</v>
      </c>
      <c r="P607" t="n">
        <v>0</v>
      </c>
      <c r="Q607" t="n">
        <v>0</v>
      </c>
      <c r="R607" s="2" t="inlineStr"/>
    </row>
    <row r="608" ht="15" customHeight="1">
      <c r="A608" t="inlineStr">
        <is>
          <t>A 58282-2025</t>
        </is>
      </c>
      <c r="B608" s="1" t="n">
        <v>45985.44309027777</v>
      </c>
      <c r="C608" s="1" t="n">
        <v>46077</v>
      </c>
      <c r="D608" t="inlineStr">
        <is>
          <t>VÄSTMANLANDS LÄN</t>
        </is>
      </c>
      <c r="E608" t="inlineStr">
        <is>
          <t>SALA</t>
        </is>
      </c>
      <c r="G608" t="n">
        <v>8.9</v>
      </c>
      <c r="H608" t="n">
        <v>0</v>
      </c>
      <c r="I608" t="n">
        <v>0</v>
      </c>
      <c r="J608" t="n">
        <v>0</v>
      </c>
      <c r="K608" t="n">
        <v>0</v>
      </c>
      <c r="L608" t="n">
        <v>0</v>
      </c>
      <c r="M608" t="n">
        <v>0</v>
      </c>
      <c r="N608" t="n">
        <v>0</v>
      </c>
      <c r="O608" t="n">
        <v>0</v>
      </c>
      <c r="P608" t="n">
        <v>0</v>
      </c>
      <c r="Q608" t="n">
        <v>0</v>
      </c>
      <c r="R608" s="2" t="inlineStr"/>
    </row>
    <row r="609" ht="15" customHeight="1">
      <c r="A609" t="inlineStr">
        <is>
          <t>A 58359-2025</t>
        </is>
      </c>
      <c r="B609" s="1" t="n">
        <v>45985.51594907408</v>
      </c>
      <c r="C609" s="1" t="n">
        <v>46077</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58364-2025</t>
        </is>
      </c>
      <c r="B610" s="1" t="n">
        <v>45985.5228125</v>
      </c>
      <c r="C610" s="1" t="n">
        <v>46077</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21751-2025</t>
        </is>
      </c>
      <c r="B611" s="1" t="n">
        <v>45783.61372685185</v>
      </c>
      <c r="C611" s="1" t="n">
        <v>46077</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51247-2025</t>
        </is>
      </c>
      <c r="B612" s="1" t="n">
        <v>45947.86487268518</v>
      </c>
      <c r="C612" s="1" t="n">
        <v>46077</v>
      </c>
      <c r="D612" t="inlineStr">
        <is>
          <t>VÄSTMANLANDS LÄN</t>
        </is>
      </c>
      <c r="E612" t="inlineStr">
        <is>
          <t>SALA</t>
        </is>
      </c>
      <c r="G612" t="n">
        <v>10.4</v>
      </c>
      <c r="H612" t="n">
        <v>0</v>
      </c>
      <c r="I612" t="n">
        <v>0</v>
      </c>
      <c r="J612" t="n">
        <v>0</v>
      </c>
      <c r="K612" t="n">
        <v>0</v>
      </c>
      <c r="L612" t="n">
        <v>0</v>
      </c>
      <c r="M612" t="n">
        <v>0</v>
      </c>
      <c r="N612" t="n">
        <v>0</v>
      </c>
      <c r="O612" t="n">
        <v>0</v>
      </c>
      <c r="P612" t="n">
        <v>0</v>
      </c>
      <c r="Q612" t="n">
        <v>0</v>
      </c>
      <c r="R612" s="2" t="inlineStr"/>
    </row>
    <row r="613" ht="15" customHeight="1">
      <c r="A613" t="inlineStr">
        <is>
          <t>A 21754-2025</t>
        </is>
      </c>
      <c r="B613" s="1" t="n">
        <v>45783.61837962963</v>
      </c>
      <c r="C613" s="1" t="n">
        <v>46077</v>
      </c>
      <c r="D613" t="inlineStr">
        <is>
          <t>VÄSTMANLANDS LÄN</t>
        </is>
      </c>
      <c r="E613" t="inlineStr">
        <is>
          <t>SALA</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37587-2024</t>
        </is>
      </c>
      <c r="B614" s="1" t="n">
        <v>45541</v>
      </c>
      <c r="C614" s="1" t="n">
        <v>46077</v>
      </c>
      <c r="D614" t="inlineStr">
        <is>
          <t>VÄSTMANLANDS LÄN</t>
        </is>
      </c>
      <c r="E614" t="inlineStr">
        <is>
          <t>SALA</t>
        </is>
      </c>
      <c r="G614" t="n">
        <v>1.2</v>
      </c>
      <c r="H614" t="n">
        <v>0</v>
      </c>
      <c r="I614" t="n">
        <v>0</v>
      </c>
      <c r="J614" t="n">
        <v>0</v>
      </c>
      <c r="K614" t="n">
        <v>0</v>
      </c>
      <c r="L614" t="n">
        <v>0</v>
      </c>
      <c r="M614" t="n">
        <v>0</v>
      </c>
      <c r="N614" t="n">
        <v>0</v>
      </c>
      <c r="O614" t="n">
        <v>0</v>
      </c>
      <c r="P614" t="n">
        <v>0</v>
      </c>
      <c r="Q614" t="n">
        <v>0</v>
      </c>
      <c r="R614" s="2" t="inlineStr"/>
    </row>
    <row r="615" ht="15" customHeight="1">
      <c r="A615" t="inlineStr">
        <is>
          <t>A 22353-2025</t>
        </is>
      </c>
      <c r="B615" s="1" t="n">
        <v>45786</v>
      </c>
      <c r="C615" s="1" t="n">
        <v>46077</v>
      </c>
      <c r="D615" t="inlineStr">
        <is>
          <t>VÄSTMANLANDS LÄN</t>
        </is>
      </c>
      <c r="E615" t="inlineStr">
        <is>
          <t>SALA</t>
        </is>
      </c>
      <c r="G615" t="n">
        <v>2.5</v>
      </c>
      <c r="H615" t="n">
        <v>0</v>
      </c>
      <c r="I615" t="n">
        <v>0</v>
      </c>
      <c r="J615" t="n">
        <v>0</v>
      </c>
      <c r="K615" t="n">
        <v>0</v>
      </c>
      <c r="L615" t="n">
        <v>0</v>
      </c>
      <c r="M615" t="n">
        <v>0</v>
      </c>
      <c r="N615" t="n">
        <v>0</v>
      </c>
      <c r="O615" t="n">
        <v>0</v>
      </c>
      <c r="P615" t="n">
        <v>0</v>
      </c>
      <c r="Q615" t="n">
        <v>0</v>
      </c>
      <c r="R615" s="2" t="inlineStr"/>
    </row>
    <row r="616" ht="15" customHeight="1">
      <c r="A616" t="inlineStr">
        <is>
          <t>A 64724-2023</t>
        </is>
      </c>
      <c r="B616" s="1" t="n">
        <v>45281.7602662037</v>
      </c>
      <c r="C616" s="1" t="n">
        <v>46077</v>
      </c>
      <c r="D616" t="inlineStr">
        <is>
          <t>VÄSTMANLANDS LÄN</t>
        </is>
      </c>
      <c r="E616" t="inlineStr">
        <is>
          <t>SALA</t>
        </is>
      </c>
      <c r="G616" t="n">
        <v>2.3</v>
      </c>
      <c r="H616" t="n">
        <v>0</v>
      </c>
      <c r="I616" t="n">
        <v>0</v>
      </c>
      <c r="J616" t="n">
        <v>0</v>
      </c>
      <c r="K616" t="n">
        <v>0</v>
      </c>
      <c r="L616" t="n">
        <v>0</v>
      </c>
      <c r="M616" t="n">
        <v>0</v>
      </c>
      <c r="N616" t="n">
        <v>0</v>
      </c>
      <c r="O616" t="n">
        <v>0</v>
      </c>
      <c r="P616" t="n">
        <v>0</v>
      </c>
      <c r="Q616" t="n">
        <v>0</v>
      </c>
      <c r="R616" s="2" t="inlineStr"/>
    </row>
    <row r="617" ht="15" customHeight="1">
      <c r="A617" t="inlineStr">
        <is>
          <t>A 59817-2025</t>
        </is>
      </c>
      <c r="B617" s="1" t="n">
        <v>45992.63711805556</v>
      </c>
      <c r="C617" s="1" t="n">
        <v>46077</v>
      </c>
      <c r="D617" t="inlineStr">
        <is>
          <t>VÄSTMANLANDS LÄN</t>
        </is>
      </c>
      <c r="E617" t="inlineStr">
        <is>
          <t>SALA</t>
        </is>
      </c>
      <c r="G617" t="n">
        <v>6.9</v>
      </c>
      <c r="H617" t="n">
        <v>0</v>
      </c>
      <c r="I617" t="n">
        <v>0</v>
      </c>
      <c r="J617" t="n">
        <v>0</v>
      </c>
      <c r="K617" t="n">
        <v>0</v>
      </c>
      <c r="L617" t="n">
        <v>0</v>
      </c>
      <c r="M617" t="n">
        <v>0</v>
      </c>
      <c r="N617" t="n">
        <v>0</v>
      </c>
      <c r="O617" t="n">
        <v>0</v>
      </c>
      <c r="P617" t="n">
        <v>0</v>
      </c>
      <c r="Q617" t="n">
        <v>0</v>
      </c>
      <c r="R617" s="2" t="inlineStr"/>
    </row>
    <row r="618" ht="15" customHeight="1">
      <c r="A618" t="inlineStr">
        <is>
          <t>A 59390-2025</t>
        </is>
      </c>
      <c r="B618" s="1" t="n">
        <v>45989.4640162037</v>
      </c>
      <c r="C618" s="1" t="n">
        <v>46077</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59385-2025</t>
        </is>
      </c>
      <c r="B619" s="1" t="n">
        <v>45989.45746527778</v>
      </c>
      <c r="C619" s="1" t="n">
        <v>46077</v>
      </c>
      <c r="D619" t="inlineStr">
        <is>
          <t>VÄSTMANLANDS LÄN</t>
        </is>
      </c>
      <c r="E619" t="inlineStr">
        <is>
          <t>SALA</t>
        </is>
      </c>
      <c r="G619" t="n">
        <v>0.4</v>
      </c>
      <c r="H619" t="n">
        <v>0</v>
      </c>
      <c r="I619" t="n">
        <v>0</v>
      </c>
      <c r="J619" t="n">
        <v>0</v>
      </c>
      <c r="K619" t="n">
        <v>0</v>
      </c>
      <c r="L619" t="n">
        <v>0</v>
      </c>
      <c r="M619" t="n">
        <v>0</v>
      </c>
      <c r="N619" t="n">
        <v>0</v>
      </c>
      <c r="O619" t="n">
        <v>0</v>
      </c>
      <c r="P619" t="n">
        <v>0</v>
      </c>
      <c r="Q619" t="n">
        <v>0</v>
      </c>
      <c r="R619" s="2" t="inlineStr"/>
    </row>
    <row r="620" ht="15" customHeight="1">
      <c r="A620" t="inlineStr">
        <is>
          <t>A 22370-2025</t>
        </is>
      </c>
      <c r="B620" s="1" t="n">
        <v>45786</v>
      </c>
      <c r="C620" s="1" t="n">
        <v>46077</v>
      </c>
      <c r="D620" t="inlineStr">
        <is>
          <t>VÄSTMANLANDS LÄN</t>
        </is>
      </c>
      <c r="E620" t="inlineStr">
        <is>
          <t>SALA</t>
        </is>
      </c>
      <c r="G620" t="n">
        <v>3.2</v>
      </c>
      <c r="H620" t="n">
        <v>0</v>
      </c>
      <c r="I620" t="n">
        <v>0</v>
      </c>
      <c r="J620" t="n">
        <v>0</v>
      </c>
      <c r="K620" t="n">
        <v>0</v>
      </c>
      <c r="L620" t="n">
        <v>0</v>
      </c>
      <c r="M620" t="n">
        <v>0</v>
      </c>
      <c r="N620" t="n">
        <v>0</v>
      </c>
      <c r="O620" t="n">
        <v>0</v>
      </c>
      <c r="P620" t="n">
        <v>0</v>
      </c>
      <c r="Q620" t="n">
        <v>0</v>
      </c>
      <c r="R620" s="2" t="inlineStr"/>
    </row>
    <row r="621" ht="15" customHeight="1">
      <c r="A621" t="inlineStr">
        <is>
          <t>A 22383-2025</t>
        </is>
      </c>
      <c r="B621" s="1" t="n">
        <v>45786</v>
      </c>
      <c r="C621" s="1" t="n">
        <v>46077</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60017-2025</t>
        </is>
      </c>
      <c r="B622" s="1" t="n">
        <v>45993.59998842593</v>
      </c>
      <c r="C622" s="1" t="n">
        <v>46077</v>
      </c>
      <c r="D622" t="inlineStr">
        <is>
          <t>VÄSTMANLANDS LÄN</t>
        </is>
      </c>
      <c r="E622" t="inlineStr">
        <is>
          <t>SALA</t>
        </is>
      </c>
      <c r="G622" t="n">
        <v>4.4</v>
      </c>
      <c r="H622" t="n">
        <v>0</v>
      </c>
      <c r="I622" t="n">
        <v>0</v>
      </c>
      <c r="J622" t="n">
        <v>0</v>
      </c>
      <c r="K622" t="n">
        <v>0</v>
      </c>
      <c r="L622" t="n">
        <v>0</v>
      </c>
      <c r="M622" t="n">
        <v>0</v>
      </c>
      <c r="N622" t="n">
        <v>0</v>
      </c>
      <c r="O622" t="n">
        <v>0</v>
      </c>
      <c r="P622" t="n">
        <v>0</v>
      </c>
      <c r="Q622" t="n">
        <v>0</v>
      </c>
      <c r="R622" s="2" t="inlineStr"/>
    </row>
    <row r="623" ht="15" customHeight="1">
      <c r="A623" t="inlineStr">
        <is>
          <t>A 60258-2025</t>
        </is>
      </c>
      <c r="B623" s="1" t="n">
        <v>45994.6064699074</v>
      </c>
      <c r="C623" s="1" t="n">
        <v>46077</v>
      </c>
      <c r="D623" t="inlineStr">
        <is>
          <t>VÄSTMANLANDS LÄN</t>
        </is>
      </c>
      <c r="E623" t="inlineStr">
        <is>
          <t>SALA</t>
        </is>
      </c>
      <c r="G623" t="n">
        <v>2.2</v>
      </c>
      <c r="H623" t="n">
        <v>0</v>
      </c>
      <c r="I623" t="n">
        <v>0</v>
      </c>
      <c r="J623" t="n">
        <v>0</v>
      </c>
      <c r="K623" t="n">
        <v>0</v>
      </c>
      <c r="L623" t="n">
        <v>0</v>
      </c>
      <c r="M623" t="n">
        <v>0</v>
      </c>
      <c r="N623" t="n">
        <v>0</v>
      </c>
      <c r="O623" t="n">
        <v>0</v>
      </c>
      <c r="P623" t="n">
        <v>0</v>
      </c>
      <c r="Q623" t="n">
        <v>0</v>
      </c>
      <c r="R623" s="2" t="inlineStr"/>
    </row>
    <row r="624" ht="15" customHeight="1">
      <c r="A624" t="inlineStr">
        <is>
          <t>A 60241-2025</t>
        </is>
      </c>
      <c r="B624" s="1" t="n">
        <v>45994.58454861111</v>
      </c>
      <c r="C624" s="1" t="n">
        <v>46077</v>
      </c>
      <c r="D624" t="inlineStr">
        <is>
          <t>VÄSTMANLANDS LÄN</t>
        </is>
      </c>
      <c r="E624" t="inlineStr">
        <is>
          <t>SALA</t>
        </is>
      </c>
      <c r="G624" t="n">
        <v>1.6</v>
      </c>
      <c r="H624" t="n">
        <v>0</v>
      </c>
      <c r="I624" t="n">
        <v>0</v>
      </c>
      <c r="J624" t="n">
        <v>0</v>
      </c>
      <c r="K624" t="n">
        <v>0</v>
      </c>
      <c r="L624" t="n">
        <v>0</v>
      </c>
      <c r="M624" t="n">
        <v>0</v>
      </c>
      <c r="N624" t="n">
        <v>0</v>
      </c>
      <c r="O624" t="n">
        <v>0</v>
      </c>
      <c r="P624" t="n">
        <v>0</v>
      </c>
      <c r="Q624" t="n">
        <v>0</v>
      </c>
      <c r="R624" s="2" t="inlineStr"/>
    </row>
    <row r="625" ht="15" customHeight="1">
      <c r="A625" t="inlineStr">
        <is>
          <t>A 59870-2025</t>
        </is>
      </c>
      <c r="B625" s="1" t="n">
        <v>45992.92226851852</v>
      </c>
      <c r="C625" s="1" t="n">
        <v>46077</v>
      </c>
      <c r="D625" t="inlineStr">
        <is>
          <t>VÄSTMANLANDS LÄN</t>
        </is>
      </c>
      <c r="E625" t="inlineStr">
        <is>
          <t>SALA</t>
        </is>
      </c>
      <c r="G625" t="n">
        <v>3.4</v>
      </c>
      <c r="H625" t="n">
        <v>0</v>
      </c>
      <c r="I625" t="n">
        <v>0</v>
      </c>
      <c r="J625" t="n">
        <v>0</v>
      </c>
      <c r="K625" t="n">
        <v>0</v>
      </c>
      <c r="L625" t="n">
        <v>0</v>
      </c>
      <c r="M625" t="n">
        <v>0</v>
      </c>
      <c r="N625" t="n">
        <v>0</v>
      </c>
      <c r="O625" t="n">
        <v>0</v>
      </c>
      <c r="P625" t="n">
        <v>0</v>
      </c>
      <c r="Q625" t="n">
        <v>0</v>
      </c>
      <c r="R625" s="2" t="inlineStr"/>
    </row>
    <row r="626" ht="15" customHeight="1">
      <c r="A626" t="inlineStr">
        <is>
          <t>A 60259-2025</t>
        </is>
      </c>
      <c r="B626" s="1" t="n">
        <v>45994.60913194445</v>
      </c>
      <c r="C626" s="1" t="n">
        <v>46077</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60246-2025</t>
        </is>
      </c>
      <c r="B627" s="1" t="n">
        <v>45994.58931712963</v>
      </c>
      <c r="C627" s="1" t="n">
        <v>46077</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7176-2023</t>
        </is>
      </c>
      <c r="B628" s="1" t="n">
        <v>44970</v>
      </c>
      <c r="C628" s="1" t="n">
        <v>46077</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60254-2025</t>
        </is>
      </c>
      <c r="B629" s="1" t="n">
        <v>45994.60146990741</v>
      </c>
      <c r="C629" s="1" t="n">
        <v>46077</v>
      </c>
      <c r="D629" t="inlineStr">
        <is>
          <t>VÄSTMANLANDS LÄN</t>
        </is>
      </c>
      <c r="E629" t="inlineStr">
        <is>
          <t>SALA</t>
        </is>
      </c>
      <c r="G629" t="n">
        <v>1.7</v>
      </c>
      <c r="H629" t="n">
        <v>0</v>
      </c>
      <c r="I629" t="n">
        <v>0</v>
      </c>
      <c r="J629" t="n">
        <v>0</v>
      </c>
      <c r="K629" t="n">
        <v>0</v>
      </c>
      <c r="L629" t="n">
        <v>0</v>
      </c>
      <c r="M629" t="n">
        <v>0</v>
      </c>
      <c r="N629" t="n">
        <v>0</v>
      </c>
      <c r="O629" t="n">
        <v>0</v>
      </c>
      <c r="P629" t="n">
        <v>0</v>
      </c>
      <c r="Q629" t="n">
        <v>0</v>
      </c>
      <c r="R629" s="2" t="inlineStr"/>
    </row>
    <row r="630" ht="15" customHeight="1">
      <c r="A630" t="inlineStr">
        <is>
          <t>A 59926-2025</t>
        </is>
      </c>
      <c r="B630" s="1" t="n">
        <v>45993.39221064815</v>
      </c>
      <c r="C630" s="1" t="n">
        <v>46077</v>
      </c>
      <c r="D630" t="inlineStr">
        <is>
          <t>VÄSTMANLANDS LÄN</t>
        </is>
      </c>
      <c r="E630" t="inlineStr">
        <is>
          <t>SALA</t>
        </is>
      </c>
      <c r="G630" t="n">
        <v>7.1</v>
      </c>
      <c r="H630" t="n">
        <v>0</v>
      </c>
      <c r="I630" t="n">
        <v>0</v>
      </c>
      <c r="J630" t="n">
        <v>0</v>
      </c>
      <c r="K630" t="n">
        <v>0</v>
      </c>
      <c r="L630" t="n">
        <v>0</v>
      </c>
      <c r="M630" t="n">
        <v>0</v>
      </c>
      <c r="N630" t="n">
        <v>0</v>
      </c>
      <c r="O630" t="n">
        <v>0</v>
      </c>
      <c r="P630" t="n">
        <v>0</v>
      </c>
      <c r="Q630" t="n">
        <v>0</v>
      </c>
      <c r="R630" s="2" t="inlineStr"/>
    </row>
    <row r="631" ht="15" customHeight="1">
      <c r="A631" t="inlineStr">
        <is>
          <t>A 22624-2025</t>
        </is>
      </c>
      <c r="B631" s="1" t="n">
        <v>45789.43327546296</v>
      </c>
      <c r="C631" s="1" t="n">
        <v>46077</v>
      </c>
      <c r="D631" t="inlineStr">
        <is>
          <t>VÄSTMANLANDS LÄN</t>
        </is>
      </c>
      <c r="E631" t="inlineStr">
        <is>
          <t>SALA</t>
        </is>
      </c>
      <c r="G631" t="n">
        <v>1.5</v>
      </c>
      <c r="H631" t="n">
        <v>0</v>
      </c>
      <c r="I631" t="n">
        <v>0</v>
      </c>
      <c r="J631" t="n">
        <v>0</v>
      </c>
      <c r="K631" t="n">
        <v>0</v>
      </c>
      <c r="L631" t="n">
        <v>0</v>
      </c>
      <c r="M631" t="n">
        <v>0</v>
      </c>
      <c r="N631" t="n">
        <v>0</v>
      </c>
      <c r="O631" t="n">
        <v>0</v>
      </c>
      <c r="P631" t="n">
        <v>0</v>
      </c>
      <c r="Q631" t="n">
        <v>0</v>
      </c>
      <c r="R631" s="2" t="inlineStr"/>
    </row>
    <row r="632" ht="15" customHeight="1">
      <c r="A632" t="inlineStr">
        <is>
          <t>A 31405-2024</t>
        </is>
      </c>
      <c r="B632" s="1" t="n">
        <v>45505.5490625</v>
      </c>
      <c r="C632" s="1" t="n">
        <v>46077</v>
      </c>
      <c r="D632" t="inlineStr">
        <is>
          <t>VÄSTMANLANDS LÄN</t>
        </is>
      </c>
      <c r="E632" t="inlineStr">
        <is>
          <t>SALA</t>
        </is>
      </c>
      <c r="G632" t="n">
        <v>5.2</v>
      </c>
      <c r="H632" t="n">
        <v>0</v>
      </c>
      <c r="I632" t="n">
        <v>0</v>
      </c>
      <c r="J632" t="n">
        <v>0</v>
      </c>
      <c r="K632" t="n">
        <v>0</v>
      </c>
      <c r="L632" t="n">
        <v>0</v>
      </c>
      <c r="M632" t="n">
        <v>0</v>
      </c>
      <c r="N632" t="n">
        <v>0</v>
      </c>
      <c r="O632" t="n">
        <v>0</v>
      </c>
      <c r="P632" t="n">
        <v>0</v>
      </c>
      <c r="Q632" t="n">
        <v>0</v>
      </c>
      <c r="R632" s="2" t="inlineStr"/>
    </row>
    <row r="633" ht="15" customHeight="1">
      <c r="A633" t="inlineStr">
        <is>
          <t>A 22616-2025</t>
        </is>
      </c>
      <c r="B633" s="1" t="n">
        <v>45789.42752314815</v>
      </c>
      <c r="C633" s="1" t="n">
        <v>46077</v>
      </c>
      <c r="D633" t="inlineStr">
        <is>
          <t>VÄSTMANLANDS LÄN</t>
        </is>
      </c>
      <c r="E633" t="inlineStr">
        <is>
          <t>SALA</t>
        </is>
      </c>
      <c r="G633" t="n">
        <v>0.8</v>
      </c>
      <c r="H633" t="n">
        <v>0</v>
      </c>
      <c r="I633" t="n">
        <v>0</v>
      </c>
      <c r="J633" t="n">
        <v>0</v>
      </c>
      <c r="K633" t="n">
        <v>0</v>
      </c>
      <c r="L633" t="n">
        <v>0</v>
      </c>
      <c r="M633" t="n">
        <v>0</v>
      </c>
      <c r="N633" t="n">
        <v>0</v>
      </c>
      <c r="O633" t="n">
        <v>0</v>
      </c>
      <c r="P633" t="n">
        <v>0</v>
      </c>
      <c r="Q633" t="n">
        <v>0</v>
      </c>
      <c r="R633" s="2" t="inlineStr"/>
    </row>
    <row r="634" ht="15" customHeight="1">
      <c r="A634" t="inlineStr">
        <is>
          <t>A 43600-2024</t>
        </is>
      </c>
      <c r="B634" s="1" t="n">
        <v>45569</v>
      </c>
      <c r="C634" s="1" t="n">
        <v>46077</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13130-2025</t>
        </is>
      </c>
      <c r="B635" s="1" t="n">
        <v>45734</v>
      </c>
      <c r="C635" s="1" t="n">
        <v>46077</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60629-2025</t>
        </is>
      </c>
      <c r="B636" s="1" t="n">
        <v>45996.41972222222</v>
      </c>
      <c r="C636" s="1" t="n">
        <v>46077</v>
      </c>
      <c r="D636" t="inlineStr">
        <is>
          <t>VÄSTMANLANDS LÄN</t>
        </is>
      </c>
      <c r="E636" t="inlineStr">
        <is>
          <t>SALA</t>
        </is>
      </c>
      <c r="G636" t="n">
        <v>4.3</v>
      </c>
      <c r="H636" t="n">
        <v>0</v>
      </c>
      <c r="I636" t="n">
        <v>0</v>
      </c>
      <c r="J636" t="n">
        <v>0</v>
      </c>
      <c r="K636" t="n">
        <v>0</v>
      </c>
      <c r="L636" t="n">
        <v>0</v>
      </c>
      <c r="M636" t="n">
        <v>0</v>
      </c>
      <c r="N636" t="n">
        <v>0</v>
      </c>
      <c r="O636" t="n">
        <v>0</v>
      </c>
      <c r="P636" t="n">
        <v>0</v>
      </c>
      <c r="Q636" t="n">
        <v>0</v>
      </c>
      <c r="R636" s="2" t="inlineStr"/>
    </row>
    <row r="637" ht="15" customHeight="1">
      <c r="A637" t="inlineStr">
        <is>
          <t>A 24169-2025</t>
        </is>
      </c>
      <c r="B637" s="1" t="n">
        <v>45796</v>
      </c>
      <c r="C637" s="1" t="n">
        <v>46077</v>
      </c>
      <c r="D637" t="inlineStr">
        <is>
          <t>VÄSTMANLANDS LÄN</t>
        </is>
      </c>
      <c r="E637" t="inlineStr">
        <is>
          <t>SALA</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22126-2025</t>
        </is>
      </c>
      <c r="B638" s="1" t="n">
        <v>45785</v>
      </c>
      <c r="C638" s="1" t="n">
        <v>46077</v>
      </c>
      <c r="D638" t="inlineStr">
        <is>
          <t>VÄSTMANLANDS LÄN</t>
        </is>
      </c>
      <c r="E638" t="inlineStr">
        <is>
          <t>SALA</t>
        </is>
      </c>
      <c r="G638" t="n">
        <v>10.6</v>
      </c>
      <c r="H638" t="n">
        <v>0</v>
      </c>
      <c r="I638" t="n">
        <v>0</v>
      </c>
      <c r="J638" t="n">
        <v>0</v>
      </c>
      <c r="K638" t="n">
        <v>0</v>
      </c>
      <c r="L638" t="n">
        <v>0</v>
      </c>
      <c r="M638" t="n">
        <v>0</v>
      </c>
      <c r="N638" t="n">
        <v>0</v>
      </c>
      <c r="O638" t="n">
        <v>0</v>
      </c>
      <c r="P638" t="n">
        <v>0</v>
      </c>
      <c r="Q638" t="n">
        <v>0</v>
      </c>
      <c r="R638" s="2" t="inlineStr"/>
    </row>
    <row r="639" ht="15" customHeight="1">
      <c r="A639" t="inlineStr">
        <is>
          <t>A 23810-2025</t>
        </is>
      </c>
      <c r="B639" s="1" t="n">
        <v>45793.56989583333</v>
      </c>
      <c r="C639" s="1" t="n">
        <v>46077</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24944-2023</t>
        </is>
      </c>
      <c r="B640" s="1" t="n">
        <v>45085</v>
      </c>
      <c r="C640" s="1" t="n">
        <v>46077</v>
      </c>
      <c r="D640" t="inlineStr">
        <is>
          <t>VÄSTMANLANDS LÄN</t>
        </is>
      </c>
      <c r="E640" t="inlineStr">
        <is>
          <t>SALA</t>
        </is>
      </c>
      <c r="G640" t="n">
        <v>3.8</v>
      </c>
      <c r="H640" t="n">
        <v>0</v>
      </c>
      <c r="I640" t="n">
        <v>0</v>
      </c>
      <c r="J640" t="n">
        <v>0</v>
      </c>
      <c r="K640" t="n">
        <v>0</v>
      </c>
      <c r="L640" t="n">
        <v>0</v>
      </c>
      <c r="M640" t="n">
        <v>0</v>
      </c>
      <c r="N640" t="n">
        <v>0</v>
      </c>
      <c r="O640" t="n">
        <v>0</v>
      </c>
      <c r="P640" t="n">
        <v>0</v>
      </c>
      <c r="Q640" t="n">
        <v>0</v>
      </c>
      <c r="R640" s="2" t="inlineStr"/>
    </row>
    <row r="641" ht="15" customHeight="1">
      <c r="A641" t="inlineStr">
        <is>
          <t>A 23804-2025</t>
        </is>
      </c>
      <c r="B641" s="1" t="n">
        <v>45793.55995370371</v>
      </c>
      <c r="C641" s="1" t="n">
        <v>46077</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11210-2025</t>
        </is>
      </c>
      <c r="B642" s="1" t="n">
        <v>45726</v>
      </c>
      <c r="C642" s="1" t="n">
        <v>46077</v>
      </c>
      <c r="D642" t="inlineStr">
        <is>
          <t>VÄSTMANLANDS LÄN</t>
        </is>
      </c>
      <c r="E642" t="inlineStr">
        <is>
          <t>SALA</t>
        </is>
      </c>
      <c r="G642" t="n">
        <v>4.1</v>
      </c>
      <c r="H642" t="n">
        <v>0</v>
      </c>
      <c r="I642" t="n">
        <v>0</v>
      </c>
      <c r="J642" t="n">
        <v>0</v>
      </c>
      <c r="K642" t="n">
        <v>0</v>
      </c>
      <c r="L642" t="n">
        <v>0</v>
      </c>
      <c r="M642" t="n">
        <v>0</v>
      </c>
      <c r="N642" t="n">
        <v>0</v>
      </c>
      <c r="O642" t="n">
        <v>0</v>
      </c>
      <c r="P642" t="n">
        <v>0</v>
      </c>
      <c r="Q642" t="n">
        <v>0</v>
      </c>
      <c r="R642" s="2" t="inlineStr"/>
    </row>
    <row r="643" ht="15" customHeight="1">
      <c r="A643" t="inlineStr">
        <is>
          <t>A 19297-2025</t>
        </is>
      </c>
      <c r="B643" s="1" t="n">
        <v>45769.56261574074</v>
      </c>
      <c r="C643" s="1" t="n">
        <v>46077</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24460-2025</t>
        </is>
      </c>
      <c r="B644" s="1" t="n">
        <v>45798</v>
      </c>
      <c r="C644" s="1" t="n">
        <v>46077</v>
      </c>
      <c r="D644" t="inlineStr">
        <is>
          <t>VÄSTMANLANDS LÄN</t>
        </is>
      </c>
      <c r="E644" t="inlineStr">
        <is>
          <t>SALA</t>
        </is>
      </c>
      <c r="F644" t="inlineStr">
        <is>
          <t>Bergvik skog öst AB</t>
        </is>
      </c>
      <c r="G644" t="n">
        <v>2.6</v>
      </c>
      <c r="H644" t="n">
        <v>0</v>
      </c>
      <c r="I644" t="n">
        <v>0</v>
      </c>
      <c r="J644" t="n">
        <v>0</v>
      </c>
      <c r="K644" t="n">
        <v>0</v>
      </c>
      <c r="L644" t="n">
        <v>0</v>
      </c>
      <c r="M644" t="n">
        <v>0</v>
      </c>
      <c r="N644" t="n">
        <v>0</v>
      </c>
      <c r="O644" t="n">
        <v>0</v>
      </c>
      <c r="P644" t="n">
        <v>0</v>
      </c>
      <c r="Q644" t="n">
        <v>0</v>
      </c>
      <c r="R644" s="2" t="inlineStr"/>
    </row>
    <row r="645" ht="15" customHeight="1">
      <c r="A645" t="inlineStr">
        <is>
          <t>A 55065-2024</t>
        </is>
      </c>
      <c r="B645" s="1" t="n">
        <v>45618</v>
      </c>
      <c r="C645" s="1" t="n">
        <v>46077</v>
      </c>
      <c r="D645" t="inlineStr">
        <is>
          <t>VÄSTMANLANDS LÄN</t>
        </is>
      </c>
      <c r="E645" t="inlineStr">
        <is>
          <t>SALA</t>
        </is>
      </c>
      <c r="G645" t="n">
        <v>3.5</v>
      </c>
      <c r="H645" t="n">
        <v>0</v>
      </c>
      <c r="I645" t="n">
        <v>0</v>
      </c>
      <c r="J645" t="n">
        <v>0</v>
      </c>
      <c r="K645" t="n">
        <v>0</v>
      </c>
      <c r="L645" t="n">
        <v>0</v>
      </c>
      <c r="M645" t="n">
        <v>0</v>
      </c>
      <c r="N645" t="n">
        <v>0</v>
      </c>
      <c r="O645" t="n">
        <v>0</v>
      </c>
      <c r="P645" t="n">
        <v>0</v>
      </c>
      <c r="Q645" t="n">
        <v>0</v>
      </c>
      <c r="R645" s="2" t="inlineStr"/>
    </row>
    <row r="646" ht="15" customHeight="1">
      <c r="A646" t="inlineStr">
        <is>
          <t>A 24463-2025</t>
        </is>
      </c>
      <c r="B646" s="1" t="n">
        <v>45798</v>
      </c>
      <c r="C646" s="1" t="n">
        <v>46077</v>
      </c>
      <c r="D646" t="inlineStr">
        <is>
          <t>VÄSTMANLANDS LÄN</t>
        </is>
      </c>
      <c r="E646" t="inlineStr">
        <is>
          <t>SALA</t>
        </is>
      </c>
      <c r="F646" t="inlineStr">
        <is>
          <t>Bergvik skog öst AB</t>
        </is>
      </c>
      <c r="G646" t="n">
        <v>1.5</v>
      </c>
      <c r="H646" t="n">
        <v>0</v>
      </c>
      <c r="I646" t="n">
        <v>0</v>
      </c>
      <c r="J646" t="n">
        <v>0</v>
      </c>
      <c r="K646" t="n">
        <v>0</v>
      </c>
      <c r="L646" t="n">
        <v>0</v>
      </c>
      <c r="M646" t="n">
        <v>0</v>
      </c>
      <c r="N646" t="n">
        <v>0</v>
      </c>
      <c r="O646" t="n">
        <v>0</v>
      </c>
      <c r="P646" t="n">
        <v>0</v>
      </c>
      <c r="Q646" t="n">
        <v>0</v>
      </c>
      <c r="R646" s="2" t="inlineStr"/>
    </row>
    <row r="647" ht="15" customHeight="1">
      <c r="A647" t="inlineStr">
        <is>
          <t>A 61522-2025</t>
        </is>
      </c>
      <c r="B647" s="1" t="n">
        <v>46001.68684027778</v>
      </c>
      <c r="C647" s="1" t="n">
        <v>46077</v>
      </c>
      <c r="D647" t="inlineStr">
        <is>
          <t>VÄSTMANLANDS LÄN</t>
        </is>
      </c>
      <c r="E647" t="inlineStr">
        <is>
          <t>SALA</t>
        </is>
      </c>
      <c r="G647" t="n">
        <v>5.7</v>
      </c>
      <c r="H647" t="n">
        <v>0</v>
      </c>
      <c r="I647" t="n">
        <v>0</v>
      </c>
      <c r="J647" t="n">
        <v>0</v>
      </c>
      <c r="K647" t="n">
        <v>0</v>
      </c>
      <c r="L647" t="n">
        <v>0</v>
      </c>
      <c r="M647" t="n">
        <v>0</v>
      </c>
      <c r="N647" t="n">
        <v>0</v>
      </c>
      <c r="O647" t="n">
        <v>0</v>
      </c>
      <c r="P647" t="n">
        <v>0</v>
      </c>
      <c r="Q647" t="n">
        <v>0</v>
      </c>
      <c r="R647" s="2" t="inlineStr"/>
    </row>
    <row r="648" ht="15" customHeight="1">
      <c r="A648" t="inlineStr">
        <is>
          <t>A 4712-2026</t>
        </is>
      </c>
      <c r="B648" s="1" t="n">
        <v>46048.46082175926</v>
      </c>
      <c r="C648" s="1" t="n">
        <v>46077</v>
      </c>
      <c r="D648" t="inlineStr">
        <is>
          <t>VÄSTMANLANDS LÄN</t>
        </is>
      </c>
      <c r="E648" t="inlineStr">
        <is>
          <t>SALA</t>
        </is>
      </c>
      <c r="G648" t="n">
        <v>4.1</v>
      </c>
      <c r="H648" t="n">
        <v>0</v>
      </c>
      <c r="I648" t="n">
        <v>0</v>
      </c>
      <c r="J648" t="n">
        <v>0</v>
      </c>
      <c r="K648" t="n">
        <v>0</v>
      </c>
      <c r="L648" t="n">
        <v>0</v>
      </c>
      <c r="M648" t="n">
        <v>0</v>
      </c>
      <c r="N648" t="n">
        <v>0</v>
      </c>
      <c r="O648" t="n">
        <v>0</v>
      </c>
      <c r="P648" t="n">
        <v>0</v>
      </c>
      <c r="Q648" t="n">
        <v>0</v>
      </c>
      <c r="R648" s="2" t="inlineStr"/>
    </row>
    <row r="649" ht="15" customHeight="1">
      <c r="A649" t="inlineStr">
        <is>
          <t>A 4664-2026</t>
        </is>
      </c>
      <c r="B649" s="1" t="n">
        <v>46048.41061342593</v>
      </c>
      <c r="C649" s="1" t="n">
        <v>46077</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4624-2026</t>
        </is>
      </c>
      <c r="B650" s="1" t="n">
        <v>46048.38107638889</v>
      </c>
      <c r="C650" s="1" t="n">
        <v>46077</v>
      </c>
      <c r="D650" t="inlineStr">
        <is>
          <t>VÄSTMANLANDS LÄN</t>
        </is>
      </c>
      <c r="E650" t="inlineStr">
        <is>
          <t>SALA</t>
        </is>
      </c>
      <c r="G650" t="n">
        <v>12.3</v>
      </c>
      <c r="H650" t="n">
        <v>0</v>
      </c>
      <c r="I650" t="n">
        <v>0</v>
      </c>
      <c r="J650" t="n">
        <v>0</v>
      </c>
      <c r="K650" t="n">
        <v>0</v>
      </c>
      <c r="L650" t="n">
        <v>0</v>
      </c>
      <c r="M650" t="n">
        <v>0</v>
      </c>
      <c r="N650" t="n">
        <v>0</v>
      </c>
      <c r="O650" t="n">
        <v>0</v>
      </c>
      <c r="P650" t="n">
        <v>0</v>
      </c>
      <c r="Q650" t="n">
        <v>0</v>
      </c>
      <c r="R650" s="2" t="inlineStr"/>
    </row>
    <row r="651" ht="15" customHeight="1">
      <c r="A651" t="inlineStr">
        <is>
          <t>A 24907-2025</t>
        </is>
      </c>
      <c r="B651" s="1" t="n">
        <v>45799</v>
      </c>
      <c r="C651" s="1" t="n">
        <v>46077</v>
      </c>
      <c r="D651" t="inlineStr">
        <is>
          <t>VÄSTMANLANDS LÄN</t>
        </is>
      </c>
      <c r="E651" t="inlineStr">
        <is>
          <t>SALA</t>
        </is>
      </c>
      <c r="G651" t="n">
        <v>3.5</v>
      </c>
      <c r="H651" t="n">
        <v>0</v>
      </c>
      <c r="I651" t="n">
        <v>0</v>
      </c>
      <c r="J651" t="n">
        <v>0</v>
      </c>
      <c r="K651" t="n">
        <v>0</v>
      </c>
      <c r="L651" t="n">
        <v>0</v>
      </c>
      <c r="M651" t="n">
        <v>0</v>
      </c>
      <c r="N651" t="n">
        <v>0</v>
      </c>
      <c r="O651" t="n">
        <v>0</v>
      </c>
      <c r="P651" t="n">
        <v>0</v>
      </c>
      <c r="Q651" t="n">
        <v>0</v>
      </c>
      <c r="R651" s="2" t="inlineStr"/>
    </row>
    <row r="652" ht="15" customHeight="1">
      <c r="A652" t="inlineStr">
        <is>
          <t>A 24910-2025</t>
        </is>
      </c>
      <c r="B652" s="1" t="n">
        <v>45799.53775462963</v>
      </c>
      <c r="C652" s="1" t="n">
        <v>46077</v>
      </c>
      <c r="D652" t="inlineStr">
        <is>
          <t>VÄSTMANLANDS LÄN</t>
        </is>
      </c>
      <c r="E652" t="inlineStr">
        <is>
          <t>SALA</t>
        </is>
      </c>
      <c r="G652" t="n">
        <v>3.5</v>
      </c>
      <c r="H652" t="n">
        <v>0</v>
      </c>
      <c r="I652" t="n">
        <v>0</v>
      </c>
      <c r="J652" t="n">
        <v>0</v>
      </c>
      <c r="K652" t="n">
        <v>0</v>
      </c>
      <c r="L652" t="n">
        <v>0</v>
      </c>
      <c r="M652" t="n">
        <v>0</v>
      </c>
      <c r="N652" t="n">
        <v>0</v>
      </c>
      <c r="O652" t="n">
        <v>0</v>
      </c>
      <c r="P652" t="n">
        <v>0</v>
      </c>
      <c r="Q652" t="n">
        <v>0</v>
      </c>
      <c r="R652" s="2" t="inlineStr"/>
    </row>
    <row r="653" ht="15" customHeight="1">
      <c r="A653" t="inlineStr">
        <is>
          <t>A 4681-2026</t>
        </is>
      </c>
      <c r="B653" s="1" t="n">
        <v>46048.43016203704</v>
      </c>
      <c r="C653" s="1" t="n">
        <v>46077</v>
      </c>
      <c r="D653" t="inlineStr">
        <is>
          <t>VÄSTMANLANDS LÄN</t>
        </is>
      </c>
      <c r="E653" t="inlineStr">
        <is>
          <t>SALA</t>
        </is>
      </c>
      <c r="G653" t="n">
        <v>2.5</v>
      </c>
      <c r="H653" t="n">
        <v>0</v>
      </c>
      <c r="I653" t="n">
        <v>0</v>
      </c>
      <c r="J653" t="n">
        <v>0</v>
      </c>
      <c r="K653" t="n">
        <v>0</v>
      </c>
      <c r="L653" t="n">
        <v>0</v>
      </c>
      <c r="M653" t="n">
        <v>0</v>
      </c>
      <c r="N653" t="n">
        <v>0</v>
      </c>
      <c r="O653" t="n">
        <v>0</v>
      </c>
      <c r="P653" t="n">
        <v>0</v>
      </c>
      <c r="Q653" t="n">
        <v>0</v>
      </c>
      <c r="R653" s="2" t="inlineStr"/>
    </row>
    <row r="654" ht="15" customHeight="1">
      <c r="A654" t="inlineStr">
        <is>
          <t>A 10909-2024</t>
        </is>
      </c>
      <c r="B654" s="1" t="n">
        <v>45370</v>
      </c>
      <c r="C654" s="1" t="n">
        <v>46077</v>
      </c>
      <c r="D654" t="inlineStr">
        <is>
          <t>VÄSTMANLANDS LÄN</t>
        </is>
      </c>
      <c r="E654" t="inlineStr">
        <is>
          <t>SALA</t>
        </is>
      </c>
      <c r="G654" t="n">
        <v>3.3</v>
      </c>
      <c r="H654" t="n">
        <v>0</v>
      </c>
      <c r="I654" t="n">
        <v>0</v>
      </c>
      <c r="J654" t="n">
        <v>0</v>
      </c>
      <c r="K654" t="n">
        <v>0</v>
      </c>
      <c r="L654" t="n">
        <v>0</v>
      </c>
      <c r="M654" t="n">
        <v>0</v>
      </c>
      <c r="N654" t="n">
        <v>0</v>
      </c>
      <c r="O654" t="n">
        <v>0</v>
      </c>
      <c r="P654" t="n">
        <v>0</v>
      </c>
      <c r="Q654" t="n">
        <v>0</v>
      </c>
      <c r="R654" s="2" t="inlineStr"/>
    </row>
    <row r="655" ht="15" customHeight="1">
      <c r="A655" t="inlineStr">
        <is>
          <t>A 62523-2025</t>
        </is>
      </c>
      <c r="B655" s="1" t="n">
        <v>46007.61512731481</v>
      </c>
      <c r="C655" s="1" t="n">
        <v>46077</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5418-2026</t>
        </is>
      </c>
      <c r="B656" s="1" t="n">
        <v>46050.53740740741</v>
      </c>
      <c r="C656" s="1" t="n">
        <v>46077</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5525-2026</t>
        </is>
      </c>
      <c r="B657" s="1" t="n">
        <v>46050.65055555556</v>
      </c>
      <c r="C657" s="1" t="n">
        <v>46077</v>
      </c>
      <c r="D657" t="inlineStr">
        <is>
          <t>VÄSTMANLANDS LÄN</t>
        </is>
      </c>
      <c r="E657" t="inlineStr">
        <is>
          <t>SALA</t>
        </is>
      </c>
      <c r="G657" t="n">
        <v>13.1</v>
      </c>
      <c r="H657" t="n">
        <v>0</v>
      </c>
      <c r="I657" t="n">
        <v>0</v>
      </c>
      <c r="J657" t="n">
        <v>0</v>
      </c>
      <c r="K657" t="n">
        <v>0</v>
      </c>
      <c r="L657" t="n">
        <v>0</v>
      </c>
      <c r="M657" t="n">
        <v>0</v>
      </c>
      <c r="N657" t="n">
        <v>0</v>
      </c>
      <c r="O657" t="n">
        <v>0</v>
      </c>
      <c r="P657" t="n">
        <v>0</v>
      </c>
      <c r="Q657" t="n">
        <v>0</v>
      </c>
      <c r="R657" s="2" t="inlineStr"/>
    </row>
    <row r="658" ht="15" customHeight="1">
      <c r="A658" t="inlineStr">
        <is>
          <t>A 63055-2025</t>
        </is>
      </c>
      <c r="B658" s="1" t="n">
        <v>46009.63619212963</v>
      </c>
      <c r="C658" s="1" t="n">
        <v>46077</v>
      </c>
      <c r="D658" t="inlineStr">
        <is>
          <t>VÄSTMANLANDS LÄN</t>
        </is>
      </c>
      <c r="E658" t="inlineStr">
        <is>
          <t>SALA</t>
        </is>
      </c>
      <c r="G658" t="n">
        <v>0.4</v>
      </c>
      <c r="H658" t="n">
        <v>0</v>
      </c>
      <c r="I658" t="n">
        <v>0</v>
      </c>
      <c r="J658" t="n">
        <v>0</v>
      </c>
      <c r="K658" t="n">
        <v>0</v>
      </c>
      <c r="L658" t="n">
        <v>0</v>
      </c>
      <c r="M658" t="n">
        <v>0</v>
      </c>
      <c r="N658" t="n">
        <v>0</v>
      </c>
      <c r="O658" t="n">
        <v>0</v>
      </c>
      <c r="P658" t="n">
        <v>0</v>
      </c>
      <c r="Q658" t="n">
        <v>0</v>
      </c>
      <c r="R658" s="2" t="inlineStr"/>
    </row>
    <row r="659" ht="15" customHeight="1">
      <c r="A659" t="inlineStr">
        <is>
          <t>A 63353-2025</t>
        </is>
      </c>
      <c r="B659" s="1" t="n">
        <v>46010.66670138889</v>
      </c>
      <c r="C659" s="1" t="n">
        <v>46077</v>
      </c>
      <c r="D659" t="inlineStr">
        <is>
          <t>VÄSTMANLANDS LÄN</t>
        </is>
      </c>
      <c r="E659" t="inlineStr">
        <is>
          <t>SALA</t>
        </is>
      </c>
      <c r="G659" t="n">
        <v>1.9</v>
      </c>
      <c r="H659" t="n">
        <v>0</v>
      </c>
      <c r="I659" t="n">
        <v>0</v>
      </c>
      <c r="J659" t="n">
        <v>0</v>
      </c>
      <c r="K659" t="n">
        <v>0</v>
      </c>
      <c r="L659" t="n">
        <v>0</v>
      </c>
      <c r="M659" t="n">
        <v>0</v>
      </c>
      <c r="N659" t="n">
        <v>0</v>
      </c>
      <c r="O659" t="n">
        <v>0</v>
      </c>
      <c r="P659" t="n">
        <v>0</v>
      </c>
      <c r="Q659" t="n">
        <v>0</v>
      </c>
      <c r="R659" s="2" t="inlineStr"/>
    </row>
    <row r="660" ht="15" customHeight="1">
      <c r="A660" t="inlineStr">
        <is>
          <t>A 5894-2026</t>
        </is>
      </c>
      <c r="B660" s="1" t="n">
        <v>46052.42412037037</v>
      </c>
      <c r="C660" s="1" t="n">
        <v>46077</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63051-2025</t>
        </is>
      </c>
      <c r="B661" s="1" t="n">
        <v>46009.63134259259</v>
      </c>
      <c r="C661" s="1" t="n">
        <v>46077</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63046-2025</t>
        </is>
      </c>
      <c r="B662" s="1" t="n">
        <v>46009.62373842593</v>
      </c>
      <c r="C662" s="1" t="n">
        <v>46077</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63269-2025</t>
        </is>
      </c>
      <c r="B663" s="1" t="n">
        <v>46010</v>
      </c>
      <c r="C663" s="1" t="n">
        <v>46077</v>
      </c>
      <c r="D663" t="inlineStr">
        <is>
          <t>VÄSTMANLANDS LÄN</t>
        </is>
      </c>
      <c r="E663" t="inlineStr">
        <is>
          <t>SALA</t>
        </is>
      </c>
      <c r="G663" t="n">
        <v>6.4</v>
      </c>
      <c r="H663" t="n">
        <v>0</v>
      </c>
      <c r="I663" t="n">
        <v>0</v>
      </c>
      <c r="J663" t="n">
        <v>0</v>
      </c>
      <c r="K663" t="n">
        <v>0</v>
      </c>
      <c r="L663" t="n">
        <v>0</v>
      </c>
      <c r="M663" t="n">
        <v>0</v>
      </c>
      <c r="N663" t="n">
        <v>0</v>
      </c>
      <c r="O663" t="n">
        <v>0</v>
      </c>
      <c r="P663" t="n">
        <v>0</v>
      </c>
      <c r="Q663" t="n">
        <v>0</v>
      </c>
      <c r="R663" s="2" t="inlineStr"/>
    </row>
    <row r="664" ht="15" customHeight="1">
      <c r="A664" t="inlineStr">
        <is>
          <t>A 26661-2025</t>
        </is>
      </c>
      <c r="B664" s="1" t="n">
        <v>45810</v>
      </c>
      <c r="C664" s="1" t="n">
        <v>46077</v>
      </c>
      <c r="D664" t="inlineStr">
        <is>
          <t>VÄSTMANLANDS LÄN</t>
        </is>
      </c>
      <c r="E664" t="inlineStr">
        <is>
          <t>SALA</t>
        </is>
      </c>
      <c r="G664" t="n">
        <v>3.5</v>
      </c>
      <c r="H664" t="n">
        <v>0</v>
      </c>
      <c r="I664" t="n">
        <v>0</v>
      </c>
      <c r="J664" t="n">
        <v>0</v>
      </c>
      <c r="K664" t="n">
        <v>0</v>
      </c>
      <c r="L664" t="n">
        <v>0</v>
      </c>
      <c r="M664" t="n">
        <v>0</v>
      </c>
      <c r="N664" t="n">
        <v>0</v>
      </c>
      <c r="O664" t="n">
        <v>0</v>
      </c>
      <c r="P664" t="n">
        <v>0</v>
      </c>
      <c r="Q664" t="n">
        <v>0</v>
      </c>
      <c r="R664" s="2" t="inlineStr"/>
    </row>
    <row r="665" ht="15" customHeight="1">
      <c r="A665" t="inlineStr">
        <is>
          <t>A 17722-2025</t>
        </is>
      </c>
      <c r="B665" s="1" t="n">
        <v>45758</v>
      </c>
      <c r="C665" s="1" t="n">
        <v>46077</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6021-2026</t>
        </is>
      </c>
      <c r="B666" s="1" t="n">
        <v>46050</v>
      </c>
      <c r="C666" s="1" t="n">
        <v>46077</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7327-2026</t>
        </is>
      </c>
      <c r="B667" s="1" t="n">
        <v>46058.68371527778</v>
      </c>
      <c r="C667" s="1" t="n">
        <v>46077</v>
      </c>
      <c r="D667" t="inlineStr">
        <is>
          <t>VÄSTMANLANDS LÄN</t>
        </is>
      </c>
      <c r="E667" t="inlineStr">
        <is>
          <t>SALA</t>
        </is>
      </c>
      <c r="G667" t="n">
        <v>5.8</v>
      </c>
      <c r="H667" t="n">
        <v>0</v>
      </c>
      <c r="I667" t="n">
        <v>0</v>
      </c>
      <c r="J667" t="n">
        <v>0</v>
      </c>
      <c r="K667" t="n">
        <v>0</v>
      </c>
      <c r="L667" t="n">
        <v>0</v>
      </c>
      <c r="M667" t="n">
        <v>0</v>
      </c>
      <c r="N667" t="n">
        <v>0</v>
      </c>
      <c r="O667" t="n">
        <v>0</v>
      </c>
      <c r="P667" t="n">
        <v>0</v>
      </c>
      <c r="Q667" t="n">
        <v>0</v>
      </c>
      <c r="R667" s="2" t="inlineStr"/>
    </row>
    <row r="668" ht="15" customHeight="1">
      <c r="A668" t="inlineStr">
        <is>
          <t>A 28193-2025</t>
        </is>
      </c>
      <c r="B668" s="1" t="n">
        <v>45818.425625</v>
      </c>
      <c r="C668" s="1" t="n">
        <v>46077</v>
      </c>
      <c r="D668" t="inlineStr">
        <is>
          <t>VÄSTMANLANDS LÄN</t>
        </is>
      </c>
      <c r="E668" t="inlineStr">
        <is>
          <t>SALA</t>
        </is>
      </c>
      <c r="G668" t="n">
        <v>1.8</v>
      </c>
      <c r="H668" t="n">
        <v>0</v>
      </c>
      <c r="I668" t="n">
        <v>0</v>
      </c>
      <c r="J668" t="n">
        <v>0</v>
      </c>
      <c r="K668" t="n">
        <v>0</v>
      </c>
      <c r="L668" t="n">
        <v>0</v>
      </c>
      <c r="M668" t="n">
        <v>0</v>
      </c>
      <c r="N668" t="n">
        <v>0</v>
      </c>
      <c r="O668" t="n">
        <v>0</v>
      </c>
      <c r="P668" t="n">
        <v>0</v>
      </c>
      <c r="Q668" t="n">
        <v>0</v>
      </c>
      <c r="R668" s="2" t="inlineStr"/>
    </row>
    <row r="669" ht="15" customHeight="1">
      <c r="A669" t="inlineStr">
        <is>
          <t>A 27981-2025</t>
        </is>
      </c>
      <c r="B669" s="1" t="n">
        <v>45817.57471064815</v>
      </c>
      <c r="C669" s="1" t="n">
        <v>46077</v>
      </c>
      <c r="D669" t="inlineStr">
        <is>
          <t>VÄSTMANLANDS LÄN</t>
        </is>
      </c>
      <c r="E669" t="inlineStr">
        <is>
          <t>SALA</t>
        </is>
      </c>
      <c r="G669" t="n">
        <v>1.7</v>
      </c>
      <c r="H669" t="n">
        <v>0</v>
      </c>
      <c r="I669" t="n">
        <v>0</v>
      </c>
      <c r="J669" t="n">
        <v>0</v>
      </c>
      <c r="K669" t="n">
        <v>0</v>
      </c>
      <c r="L669" t="n">
        <v>0</v>
      </c>
      <c r="M669" t="n">
        <v>0</v>
      </c>
      <c r="N669" t="n">
        <v>0</v>
      </c>
      <c r="O669" t="n">
        <v>0</v>
      </c>
      <c r="P669" t="n">
        <v>0</v>
      </c>
      <c r="Q669" t="n">
        <v>0</v>
      </c>
      <c r="R669" s="2" t="inlineStr"/>
    </row>
    <row r="670" ht="15" customHeight="1">
      <c r="A670" t="inlineStr">
        <is>
          <t>A 28278-2025</t>
        </is>
      </c>
      <c r="B670" s="1" t="n">
        <v>45818.58454861111</v>
      </c>
      <c r="C670" s="1" t="n">
        <v>46077</v>
      </c>
      <c r="D670" t="inlineStr">
        <is>
          <t>VÄSTMANLANDS LÄN</t>
        </is>
      </c>
      <c r="E670" t="inlineStr">
        <is>
          <t>SALA</t>
        </is>
      </c>
      <c r="G670" t="n">
        <v>7.6</v>
      </c>
      <c r="H670" t="n">
        <v>0</v>
      </c>
      <c r="I670" t="n">
        <v>0</v>
      </c>
      <c r="J670" t="n">
        <v>0</v>
      </c>
      <c r="K670" t="n">
        <v>0</v>
      </c>
      <c r="L670" t="n">
        <v>0</v>
      </c>
      <c r="M670" t="n">
        <v>0</v>
      </c>
      <c r="N670" t="n">
        <v>0</v>
      </c>
      <c r="O670" t="n">
        <v>0</v>
      </c>
      <c r="P670" t="n">
        <v>0</v>
      </c>
      <c r="Q670" t="n">
        <v>0</v>
      </c>
      <c r="R670" s="2" t="inlineStr"/>
    </row>
    <row r="671" ht="15" customHeight="1">
      <c r="A671" t="inlineStr">
        <is>
          <t>A 7332-2026</t>
        </is>
      </c>
      <c r="B671" s="1" t="n">
        <v>46058.68884259259</v>
      </c>
      <c r="C671" s="1" t="n">
        <v>46077</v>
      </c>
      <c r="D671" t="inlineStr">
        <is>
          <t>VÄSTMANLANDS LÄN</t>
        </is>
      </c>
      <c r="E671" t="inlineStr">
        <is>
          <t>SALA</t>
        </is>
      </c>
      <c r="G671" t="n">
        <v>1.1</v>
      </c>
      <c r="H671" t="n">
        <v>0</v>
      </c>
      <c r="I671" t="n">
        <v>0</v>
      </c>
      <c r="J671" t="n">
        <v>0</v>
      </c>
      <c r="K671" t="n">
        <v>0</v>
      </c>
      <c r="L671" t="n">
        <v>0</v>
      </c>
      <c r="M671" t="n">
        <v>0</v>
      </c>
      <c r="N671" t="n">
        <v>0</v>
      </c>
      <c r="O671" t="n">
        <v>0</v>
      </c>
      <c r="P671" t="n">
        <v>0</v>
      </c>
      <c r="Q671" t="n">
        <v>0</v>
      </c>
      <c r="R671" s="2" t="inlineStr"/>
    </row>
    <row r="672" ht="15" customHeight="1">
      <c r="A672" t="inlineStr">
        <is>
          <t>A 7329-2026</t>
        </is>
      </c>
      <c r="B672" s="1" t="n">
        <v>46058.68678240741</v>
      </c>
      <c r="C672" s="1" t="n">
        <v>46077</v>
      </c>
      <c r="D672" t="inlineStr">
        <is>
          <t>VÄSTMANLANDS LÄN</t>
        </is>
      </c>
      <c r="E672" t="inlineStr">
        <is>
          <t>SALA</t>
        </is>
      </c>
      <c r="G672" t="n">
        <v>3.1</v>
      </c>
      <c r="H672" t="n">
        <v>0</v>
      </c>
      <c r="I672" t="n">
        <v>0</v>
      </c>
      <c r="J672" t="n">
        <v>0</v>
      </c>
      <c r="K672" t="n">
        <v>0</v>
      </c>
      <c r="L672" t="n">
        <v>0</v>
      </c>
      <c r="M672" t="n">
        <v>0</v>
      </c>
      <c r="N672" t="n">
        <v>0</v>
      </c>
      <c r="O672" t="n">
        <v>0</v>
      </c>
      <c r="P672" t="n">
        <v>0</v>
      </c>
      <c r="Q672" t="n">
        <v>0</v>
      </c>
      <c r="R672" s="2" t="inlineStr"/>
    </row>
    <row r="673" ht="15" customHeight="1">
      <c r="A673" t="inlineStr">
        <is>
          <t>A 27989-2025</t>
        </is>
      </c>
      <c r="B673" s="1" t="n">
        <v>45817.58716435185</v>
      </c>
      <c r="C673" s="1" t="n">
        <v>46077</v>
      </c>
      <c r="D673" t="inlineStr">
        <is>
          <t>VÄSTMANLANDS LÄN</t>
        </is>
      </c>
      <c r="E673" t="inlineStr">
        <is>
          <t>SALA</t>
        </is>
      </c>
      <c r="G673" t="n">
        <v>1.9</v>
      </c>
      <c r="H673" t="n">
        <v>0</v>
      </c>
      <c r="I673" t="n">
        <v>0</v>
      </c>
      <c r="J673" t="n">
        <v>0</v>
      </c>
      <c r="K673" t="n">
        <v>0</v>
      </c>
      <c r="L673" t="n">
        <v>0</v>
      </c>
      <c r="M673" t="n">
        <v>0</v>
      </c>
      <c r="N673" t="n">
        <v>0</v>
      </c>
      <c r="O673" t="n">
        <v>0</v>
      </c>
      <c r="P673" t="n">
        <v>0</v>
      </c>
      <c r="Q673" t="n">
        <v>0</v>
      </c>
      <c r="R673" s="2" t="inlineStr"/>
    </row>
    <row r="674" ht="15" customHeight="1">
      <c r="A674" t="inlineStr">
        <is>
          <t>A 7324-2026</t>
        </is>
      </c>
      <c r="B674" s="1" t="n">
        <v>46058.68023148148</v>
      </c>
      <c r="C674" s="1" t="n">
        <v>46077</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28284-2025</t>
        </is>
      </c>
      <c r="B675" s="1" t="n">
        <v>45818.58893518519</v>
      </c>
      <c r="C675" s="1" t="n">
        <v>46077</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7584-2026</t>
        </is>
      </c>
      <c r="B676" s="1" t="n">
        <v>46061.81653935185</v>
      </c>
      <c r="C676" s="1" t="n">
        <v>46077</v>
      </c>
      <c r="D676" t="inlineStr">
        <is>
          <t>VÄSTMANLANDS LÄN</t>
        </is>
      </c>
      <c r="E676" t="inlineStr">
        <is>
          <t>SALA</t>
        </is>
      </c>
      <c r="G676" t="n">
        <v>16.7</v>
      </c>
      <c r="H676" t="n">
        <v>0</v>
      </c>
      <c r="I676" t="n">
        <v>0</v>
      </c>
      <c r="J676" t="n">
        <v>0</v>
      </c>
      <c r="K676" t="n">
        <v>0</v>
      </c>
      <c r="L676" t="n">
        <v>0</v>
      </c>
      <c r="M676" t="n">
        <v>0</v>
      </c>
      <c r="N676" t="n">
        <v>0</v>
      </c>
      <c r="O676" t="n">
        <v>0</v>
      </c>
      <c r="P676" t="n">
        <v>0</v>
      </c>
      <c r="Q676" t="n">
        <v>0</v>
      </c>
      <c r="R676" s="2" t="inlineStr"/>
    </row>
    <row r="677" ht="15" customHeight="1">
      <c r="A677" t="inlineStr">
        <is>
          <t>A 7590-2026</t>
        </is>
      </c>
      <c r="B677" s="1" t="n">
        <v>46061.85252314815</v>
      </c>
      <c r="C677" s="1" t="n">
        <v>46077</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7596-2026</t>
        </is>
      </c>
      <c r="B678" s="1" t="n">
        <v>46061.90922453703</v>
      </c>
      <c r="C678" s="1" t="n">
        <v>46077</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28632-2025</t>
        </is>
      </c>
      <c r="B679" s="1" t="n">
        <v>45819.62344907408</v>
      </c>
      <c r="C679" s="1" t="n">
        <v>46077</v>
      </c>
      <c r="D679" t="inlineStr">
        <is>
          <t>VÄSTMANLANDS LÄN</t>
        </is>
      </c>
      <c r="E679" t="inlineStr">
        <is>
          <t>SALA</t>
        </is>
      </c>
      <c r="F679" t="inlineStr">
        <is>
          <t>Sveaskog</t>
        </is>
      </c>
      <c r="G679" t="n">
        <v>2.4</v>
      </c>
      <c r="H679" t="n">
        <v>0</v>
      </c>
      <c r="I679" t="n">
        <v>0</v>
      </c>
      <c r="J679" t="n">
        <v>0</v>
      </c>
      <c r="K679" t="n">
        <v>0</v>
      </c>
      <c r="L679" t="n">
        <v>0</v>
      </c>
      <c r="M679" t="n">
        <v>0</v>
      </c>
      <c r="N679" t="n">
        <v>0</v>
      </c>
      <c r="O679" t="n">
        <v>0</v>
      </c>
      <c r="P679" t="n">
        <v>0</v>
      </c>
      <c r="Q679" t="n">
        <v>0</v>
      </c>
      <c r="R679" s="2" t="inlineStr"/>
    </row>
    <row r="680" ht="15" customHeight="1">
      <c r="A680" t="inlineStr">
        <is>
          <t>A 7588-2026</t>
        </is>
      </c>
      <c r="B680" s="1" t="n">
        <v>46061.83528935185</v>
      </c>
      <c r="C680" s="1" t="n">
        <v>46077</v>
      </c>
      <c r="D680" t="inlineStr">
        <is>
          <t>VÄSTMANLANDS LÄN</t>
        </is>
      </c>
      <c r="E680" t="inlineStr">
        <is>
          <t>SALA</t>
        </is>
      </c>
      <c r="G680" t="n">
        <v>2.8</v>
      </c>
      <c r="H680" t="n">
        <v>0</v>
      </c>
      <c r="I680" t="n">
        <v>0</v>
      </c>
      <c r="J680" t="n">
        <v>0</v>
      </c>
      <c r="K680" t="n">
        <v>0</v>
      </c>
      <c r="L680" t="n">
        <v>0</v>
      </c>
      <c r="M680" t="n">
        <v>0</v>
      </c>
      <c r="N680" t="n">
        <v>0</v>
      </c>
      <c r="O680" t="n">
        <v>0</v>
      </c>
      <c r="P680" t="n">
        <v>0</v>
      </c>
      <c r="Q680" t="n">
        <v>0</v>
      </c>
      <c r="R680" s="2" t="inlineStr"/>
    </row>
    <row r="681" ht="15" customHeight="1">
      <c r="A681" t="inlineStr">
        <is>
          <t>A 7654-2026</t>
        </is>
      </c>
      <c r="B681" s="1" t="n">
        <v>46062.38828703704</v>
      </c>
      <c r="C681" s="1" t="n">
        <v>46077</v>
      </c>
      <c r="D681" t="inlineStr">
        <is>
          <t>VÄSTMANLANDS LÄN</t>
        </is>
      </c>
      <c r="E681" t="inlineStr">
        <is>
          <t>SALA</t>
        </is>
      </c>
      <c r="G681" t="n">
        <v>4.5</v>
      </c>
      <c r="H681" t="n">
        <v>0</v>
      </c>
      <c r="I681" t="n">
        <v>0</v>
      </c>
      <c r="J681" t="n">
        <v>0</v>
      </c>
      <c r="K681" t="n">
        <v>0</v>
      </c>
      <c r="L681" t="n">
        <v>0</v>
      </c>
      <c r="M681" t="n">
        <v>0</v>
      </c>
      <c r="N681" t="n">
        <v>0</v>
      </c>
      <c r="O681" t="n">
        <v>0</v>
      </c>
      <c r="P681" t="n">
        <v>0</v>
      </c>
      <c r="Q681" t="n">
        <v>0</v>
      </c>
      <c r="R681" s="2" t="inlineStr"/>
    </row>
    <row r="682" ht="15" customHeight="1">
      <c r="A682" t="inlineStr">
        <is>
          <t>A 7498-2026</t>
        </is>
      </c>
      <c r="B682" s="1" t="n">
        <v>46059.55550925926</v>
      </c>
      <c r="C682" s="1" t="n">
        <v>46077</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7676-2026</t>
        </is>
      </c>
      <c r="B683" s="1" t="n">
        <v>46062.42498842593</v>
      </c>
      <c r="C683" s="1" t="n">
        <v>46077</v>
      </c>
      <c r="D683" t="inlineStr">
        <is>
          <t>VÄSTMANLANDS LÄN</t>
        </is>
      </c>
      <c r="E683" t="inlineStr">
        <is>
          <t>SALA</t>
        </is>
      </c>
      <c r="G683" t="n">
        <v>2.1</v>
      </c>
      <c r="H683" t="n">
        <v>0</v>
      </c>
      <c r="I683" t="n">
        <v>0</v>
      </c>
      <c r="J683" t="n">
        <v>0</v>
      </c>
      <c r="K683" t="n">
        <v>0</v>
      </c>
      <c r="L683" t="n">
        <v>0</v>
      </c>
      <c r="M683" t="n">
        <v>0</v>
      </c>
      <c r="N683" t="n">
        <v>0</v>
      </c>
      <c r="O683" t="n">
        <v>0</v>
      </c>
      <c r="P683" t="n">
        <v>0</v>
      </c>
      <c r="Q683" t="n">
        <v>0</v>
      </c>
      <c r="R683" s="2" t="inlineStr"/>
    </row>
    <row r="684" ht="15" customHeight="1">
      <c r="A684" t="inlineStr">
        <is>
          <t>A 63749-2025</t>
        </is>
      </c>
      <c r="B684" s="1" t="n">
        <v>46017.75243055556</v>
      </c>
      <c r="C684" s="1" t="n">
        <v>46077</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28628-2025</t>
        </is>
      </c>
      <c r="B685" s="1" t="n">
        <v>45819.62158564815</v>
      </c>
      <c r="C685" s="1" t="n">
        <v>46077</v>
      </c>
      <c r="D685" t="inlineStr">
        <is>
          <t>VÄSTMANLANDS LÄN</t>
        </is>
      </c>
      <c r="E685" t="inlineStr">
        <is>
          <t>SALA</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28630-2025</t>
        </is>
      </c>
      <c r="B686" s="1" t="n">
        <v>45819.62274305556</v>
      </c>
      <c r="C686" s="1" t="n">
        <v>46077</v>
      </c>
      <c r="D686" t="inlineStr">
        <is>
          <t>VÄSTMANLANDS LÄN</t>
        </is>
      </c>
      <c r="E686" t="inlineStr">
        <is>
          <t>SALA</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4214-2026</t>
        </is>
      </c>
      <c r="B687" s="1" t="n">
        <v>46044.76459490741</v>
      </c>
      <c r="C687" s="1" t="n">
        <v>46077</v>
      </c>
      <c r="D687" t="inlineStr">
        <is>
          <t>VÄSTMANLANDS LÄN</t>
        </is>
      </c>
      <c r="E687" t="inlineStr">
        <is>
          <t>SALA</t>
        </is>
      </c>
      <c r="G687" t="n">
        <v>1.7</v>
      </c>
      <c r="H687" t="n">
        <v>0</v>
      </c>
      <c r="I687" t="n">
        <v>0</v>
      </c>
      <c r="J687" t="n">
        <v>0</v>
      </c>
      <c r="K687" t="n">
        <v>0</v>
      </c>
      <c r="L687" t="n">
        <v>0</v>
      </c>
      <c r="M687" t="n">
        <v>0</v>
      </c>
      <c r="N687" t="n">
        <v>0</v>
      </c>
      <c r="O687" t="n">
        <v>0</v>
      </c>
      <c r="P687" t="n">
        <v>0</v>
      </c>
      <c r="Q687" t="n">
        <v>0</v>
      </c>
      <c r="R687" s="2" t="inlineStr"/>
    </row>
    <row r="688" ht="15" customHeight="1">
      <c r="A688" t="inlineStr">
        <is>
          <t>A 28837-2025</t>
        </is>
      </c>
      <c r="B688" s="1" t="n">
        <v>45820.56243055555</v>
      </c>
      <c r="C688" s="1" t="n">
        <v>46077</v>
      </c>
      <c r="D688" t="inlineStr">
        <is>
          <t>VÄSTMANLANDS LÄN</t>
        </is>
      </c>
      <c r="E688" t="inlineStr">
        <is>
          <t>SALA</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28849-2025</t>
        </is>
      </c>
      <c r="B689" s="1" t="n">
        <v>45820</v>
      </c>
      <c r="C689" s="1" t="n">
        <v>46077</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63748-2025</t>
        </is>
      </c>
      <c r="B690" s="1" t="n">
        <v>46017.71640046296</v>
      </c>
      <c r="C690" s="1" t="n">
        <v>46077</v>
      </c>
      <c r="D690" t="inlineStr">
        <is>
          <t>VÄSTMANLANDS LÄN</t>
        </is>
      </c>
      <c r="E690" t="inlineStr">
        <is>
          <t>SALA</t>
        </is>
      </c>
      <c r="G690" t="n">
        <v>1.6</v>
      </c>
      <c r="H690" t="n">
        <v>0</v>
      </c>
      <c r="I690" t="n">
        <v>0</v>
      </c>
      <c r="J690" t="n">
        <v>0</v>
      </c>
      <c r="K690" t="n">
        <v>0</v>
      </c>
      <c r="L690" t="n">
        <v>0</v>
      </c>
      <c r="M690" t="n">
        <v>0</v>
      </c>
      <c r="N690" t="n">
        <v>0</v>
      </c>
      <c r="O690" t="n">
        <v>0</v>
      </c>
      <c r="P690" t="n">
        <v>0</v>
      </c>
      <c r="Q690" t="n">
        <v>0</v>
      </c>
      <c r="R690" s="2" t="inlineStr"/>
    </row>
    <row r="691" ht="15" customHeight="1">
      <c r="A691" t="inlineStr">
        <is>
          <t>A 7593-2026</t>
        </is>
      </c>
      <c r="B691" s="1" t="n">
        <v>46061.88057870371</v>
      </c>
      <c r="C691" s="1" t="n">
        <v>46077</v>
      </c>
      <c r="D691" t="inlineStr">
        <is>
          <t>VÄSTMANLANDS LÄN</t>
        </is>
      </c>
      <c r="E691" t="inlineStr">
        <is>
          <t>SALA</t>
        </is>
      </c>
      <c r="G691" t="n">
        <v>7.5</v>
      </c>
      <c r="H691" t="n">
        <v>0</v>
      </c>
      <c r="I691" t="n">
        <v>0</v>
      </c>
      <c r="J691" t="n">
        <v>0</v>
      </c>
      <c r="K691" t="n">
        <v>0</v>
      </c>
      <c r="L691" t="n">
        <v>0</v>
      </c>
      <c r="M691" t="n">
        <v>0</v>
      </c>
      <c r="N691" t="n">
        <v>0</v>
      </c>
      <c r="O691" t="n">
        <v>0</v>
      </c>
      <c r="P691" t="n">
        <v>0</v>
      </c>
      <c r="Q691" t="n">
        <v>0</v>
      </c>
      <c r="R691" s="2" t="inlineStr"/>
    </row>
    <row r="692" ht="15" customHeight="1">
      <c r="A692" t="inlineStr">
        <is>
          <t>A 7597-2026</t>
        </is>
      </c>
      <c r="B692" s="1" t="n">
        <v>46061.91765046296</v>
      </c>
      <c r="C692" s="1" t="n">
        <v>46077</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7595-2026</t>
        </is>
      </c>
      <c r="B693" s="1" t="n">
        <v>46061.90009259259</v>
      </c>
      <c r="C693" s="1" t="n">
        <v>46077</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29085-2025</t>
        </is>
      </c>
      <c r="B694" s="1" t="n">
        <v>45821</v>
      </c>
      <c r="C694" s="1" t="n">
        <v>46077</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7661-2026</t>
        </is>
      </c>
      <c r="B695" s="1" t="n">
        <v>46062.39614583334</v>
      </c>
      <c r="C695" s="1" t="n">
        <v>46077</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7680-2026</t>
        </is>
      </c>
      <c r="B696" s="1" t="n">
        <v>46062.43087962963</v>
      </c>
      <c r="C696" s="1" t="n">
        <v>46077</v>
      </c>
      <c r="D696" t="inlineStr">
        <is>
          <t>VÄSTMANLANDS LÄN</t>
        </is>
      </c>
      <c r="E696" t="inlineStr">
        <is>
          <t>SALA</t>
        </is>
      </c>
      <c r="G696" t="n">
        <v>2.7</v>
      </c>
      <c r="H696" t="n">
        <v>0</v>
      </c>
      <c r="I696" t="n">
        <v>0</v>
      </c>
      <c r="J696" t="n">
        <v>0</v>
      </c>
      <c r="K696" t="n">
        <v>0</v>
      </c>
      <c r="L696" t="n">
        <v>0</v>
      </c>
      <c r="M696" t="n">
        <v>0</v>
      </c>
      <c r="N696" t="n">
        <v>0</v>
      </c>
      <c r="O696" t="n">
        <v>0</v>
      </c>
      <c r="P696" t="n">
        <v>0</v>
      </c>
      <c r="Q696" t="n">
        <v>0</v>
      </c>
      <c r="R696" s="2" t="inlineStr"/>
    </row>
    <row r="697" ht="15" customHeight="1">
      <c r="A697" t="inlineStr">
        <is>
          <t>A 7850-2026</t>
        </is>
      </c>
      <c r="B697" s="1" t="n">
        <v>46062.66236111111</v>
      </c>
      <c r="C697" s="1" t="n">
        <v>46077</v>
      </c>
      <c r="D697" t="inlineStr">
        <is>
          <t>VÄSTMANLANDS LÄN</t>
        </is>
      </c>
      <c r="E697" t="inlineStr">
        <is>
          <t>SALA</t>
        </is>
      </c>
      <c r="G697" t="n">
        <v>2.3</v>
      </c>
      <c r="H697" t="n">
        <v>0</v>
      </c>
      <c r="I697" t="n">
        <v>0</v>
      </c>
      <c r="J697" t="n">
        <v>0</v>
      </c>
      <c r="K697" t="n">
        <v>0</v>
      </c>
      <c r="L697" t="n">
        <v>0</v>
      </c>
      <c r="M697" t="n">
        <v>0</v>
      </c>
      <c r="N697" t="n">
        <v>0</v>
      </c>
      <c r="O697" t="n">
        <v>0</v>
      </c>
      <c r="P697" t="n">
        <v>0</v>
      </c>
      <c r="Q697" t="n">
        <v>0</v>
      </c>
      <c r="R697" s="2" t="inlineStr"/>
    </row>
    <row r="698" ht="15" customHeight="1">
      <c r="A698" t="inlineStr">
        <is>
          <t>A 7611-2026</t>
        </is>
      </c>
      <c r="B698" s="1" t="n">
        <v>46062.32387731481</v>
      </c>
      <c r="C698" s="1" t="n">
        <v>46077</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60541-2024</t>
        </is>
      </c>
      <c r="B699" s="1" t="n">
        <v>45643</v>
      </c>
      <c r="C699" s="1" t="n">
        <v>46077</v>
      </c>
      <c r="D699" t="inlineStr">
        <is>
          <t>VÄSTMANLANDS LÄN</t>
        </is>
      </c>
      <c r="E699" t="inlineStr">
        <is>
          <t>SALA</t>
        </is>
      </c>
      <c r="G699" t="n">
        <v>10.6</v>
      </c>
      <c r="H699" t="n">
        <v>0</v>
      </c>
      <c r="I699" t="n">
        <v>0</v>
      </c>
      <c r="J699" t="n">
        <v>0</v>
      </c>
      <c r="K699" t="n">
        <v>0</v>
      </c>
      <c r="L699" t="n">
        <v>0</v>
      </c>
      <c r="M699" t="n">
        <v>0</v>
      </c>
      <c r="N699" t="n">
        <v>0</v>
      </c>
      <c r="O699" t="n">
        <v>0</v>
      </c>
      <c r="P699" t="n">
        <v>0</v>
      </c>
      <c r="Q699" t="n">
        <v>0</v>
      </c>
      <c r="R699" s="2" t="inlineStr"/>
    </row>
    <row r="700" ht="15" customHeight="1">
      <c r="A700" t="inlineStr">
        <is>
          <t>A 29826-2025</t>
        </is>
      </c>
      <c r="B700" s="1" t="n">
        <v>45825.85761574074</v>
      </c>
      <c r="C700" s="1" t="n">
        <v>46077</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4683-2026</t>
        </is>
      </c>
      <c r="B701" s="1" t="n">
        <v>46048.43489583334</v>
      </c>
      <c r="C701" s="1" t="n">
        <v>46077</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29691-2025</t>
        </is>
      </c>
      <c r="B702" s="1" t="n">
        <v>45825.53645833334</v>
      </c>
      <c r="C702" s="1" t="n">
        <v>46077</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30874-2025</t>
        </is>
      </c>
      <c r="B703" s="1" t="n">
        <v>45832.34430555555</v>
      </c>
      <c r="C703" s="1" t="n">
        <v>46077</v>
      </c>
      <c r="D703" t="inlineStr">
        <is>
          <t>VÄSTMANLANDS LÄN</t>
        </is>
      </c>
      <c r="E703" t="inlineStr">
        <is>
          <t>SALA</t>
        </is>
      </c>
      <c r="G703" t="n">
        <v>8.4</v>
      </c>
      <c r="H703" t="n">
        <v>0</v>
      </c>
      <c r="I703" t="n">
        <v>0</v>
      </c>
      <c r="J703" t="n">
        <v>0</v>
      </c>
      <c r="K703" t="n">
        <v>0</v>
      </c>
      <c r="L703" t="n">
        <v>0</v>
      </c>
      <c r="M703" t="n">
        <v>0</v>
      </c>
      <c r="N703" t="n">
        <v>0</v>
      </c>
      <c r="O703" t="n">
        <v>0</v>
      </c>
      <c r="P703" t="n">
        <v>0</v>
      </c>
      <c r="Q703" t="n">
        <v>0</v>
      </c>
      <c r="R703" s="2" t="inlineStr"/>
    </row>
    <row r="704" ht="15" customHeight="1">
      <c r="A704" t="inlineStr">
        <is>
          <t>A 30899-2025</t>
        </is>
      </c>
      <c r="B704" s="1" t="n">
        <v>45832.35767361111</v>
      </c>
      <c r="C704" s="1" t="n">
        <v>46077</v>
      </c>
      <c r="D704" t="inlineStr">
        <is>
          <t>VÄSTMANLANDS LÄN</t>
        </is>
      </c>
      <c r="E704" t="inlineStr">
        <is>
          <t>SALA</t>
        </is>
      </c>
      <c r="G704" t="n">
        <v>3.1</v>
      </c>
      <c r="H704" t="n">
        <v>0</v>
      </c>
      <c r="I704" t="n">
        <v>0</v>
      </c>
      <c r="J704" t="n">
        <v>0</v>
      </c>
      <c r="K704" t="n">
        <v>0</v>
      </c>
      <c r="L704" t="n">
        <v>0</v>
      </c>
      <c r="M704" t="n">
        <v>0</v>
      </c>
      <c r="N704" t="n">
        <v>0</v>
      </c>
      <c r="O704" t="n">
        <v>0</v>
      </c>
      <c r="P704" t="n">
        <v>0</v>
      </c>
      <c r="Q704" t="n">
        <v>0</v>
      </c>
      <c r="R704" s="2" t="inlineStr"/>
    </row>
    <row r="705" ht="15" customHeight="1">
      <c r="A705" t="inlineStr">
        <is>
          <t>A 30866-2025</t>
        </is>
      </c>
      <c r="B705" s="1" t="n">
        <v>45832.3246875</v>
      </c>
      <c r="C705" s="1" t="n">
        <v>46077</v>
      </c>
      <c r="D705" t="inlineStr">
        <is>
          <t>VÄSTMANLANDS LÄN</t>
        </is>
      </c>
      <c r="E705" t="inlineStr">
        <is>
          <t>SALA</t>
        </is>
      </c>
      <c r="G705" t="n">
        <v>14.3</v>
      </c>
      <c r="H705" t="n">
        <v>0</v>
      </c>
      <c r="I705" t="n">
        <v>0</v>
      </c>
      <c r="J705" t="n">
        <v>0</v>
      </c>
      <c r="K705" t="n">
        <v>0</v>
      </c>
      <c r="L705" t="n">
        <v>0</v>
      </c>
      <c r="M705" t="n">
        <v>0</v>
      </c>
      <c r="N705" t="n">
        <v>0</v>
      </c>
      <c r="O705" t="n">
        <v>0</v>
      </c>
      <c r="P705" t="n">
        <v>0</v>
      </c>
      <c r="Q705" t="n">
        <v>0</v>
      </c>
      <c r="R705" s="2" t="inlineStr"/>
    </row>
    <row r="706" ht="15" customHeight="1">
      <c r="A706" t="inlineStr">
        <is>
          <t>A 31065-2025</t>
        </is>
      </c>
      <c r="B706" s="1" t="n">
        <v>45832.57571759259</v>
      </c>
      <c r="C706" s="1" t="n">
        <v>46077</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31612-2025</t>
        </is>
      </c>
      <c r="B707" s="1" t="n">
        <v>45833.80056712963</v>
      </c>
      <c r="C707" s="1" t="n">
        <v>46077</v>
      </c>
      <c r="D707" t="inlineStr">
        <is>
          <t>VÄSTMANLANDS LÄN</t>
        </is>
      </c>
      <c r="E707" t="inlineStr">
        <is>
          <t>SALA</t>
        </is>
      </c>
      <c r="G707" t="n">
        <v>6.3</v>
      </c>
      <c r="H707" t="n">
        <v>0</v>
      </c>
      <c r="I707" t="n">
        <v>0</v>
      </c>
      <c r="J707" t="n">
        <v>0</v>
      </c>
      <c r="K707" t="n">
        <v>0</v>
      </c>
      <c r="L707" t="n">
        <v>0</v>
      </c>
      <c r="M707" t="n">
        <v>0</v>
      </c>
      <c r="N707" t="n">
        <v>0</v>
      </c>
      <c r="O707" t="n">
        <v>0</v>
      </c>
      <c r="P707" t="n">
        <v>0</v>
      </c>
      <c r="Q707" t="n">
        <v>0</v>
      </c>
      <c r="R707" s="2" t="inlineStr"/>
    </row>
    <row r="708" ht="15" customHeight="1">
      <c r="A708" t="inlineStr">
        <is>
          <t>A 31748-2025</t>
        </is>
      </c>
      <c r="B708" s="1" t="n">
        <v>45834</v>
      </c>
      <c r="C708" s="1" t="n">
        <v>46077</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31288-2025</t>
        </is>
      </c>
      <c r="B709" s="1" t="n">
        <v>45833</v>
      </c>
      <c r="C709" s="1" t="n">
        <v>46077</v>
      </c>
      <c r="D709" t="inlineStr">
        <is>
          <t>VÄSTMANLANDS LÄN</t>
        </is>
      </c>
      <c r="E709" t="inlineStr">
        <is>
          <t>SALA</t>
        </is>
      </c>
      <c r="G709" t="n">
        <v>3.1</v>
      </c>
      <c r="H709" t="n">
        <v>0</v>
      </c>
      <c r="I709" t="n">
        <v>0</v>
      </c>
      <c r="J709" t="n">
        <v>0</v>
      </c>
      <c r="K709" t="n">
        <v>0</v>
      </c>
      <c r="L709" t="n">
        <v>0</v>
      </c>
      <c r="M709" t="n">
        <v>0</v>
      </c>
      <c r="N709" t="n">
        <v>0</v>
      </c>
      <c r="O709" t="n">
        <v>0</v>
      </c>
      <c r="P709" t="n">
        <v>0</v>
      </c>
      <c r="Q709" t="n">
        <v>0</v>
      </c>
      <c r="R709" s="2" t="inlineStr"/>
    </row>
    <row r="710" ht="15" customHeight="1">
      <c r="A710" t="inlineStr">
        <is>
          <t>A 31771-2025</t>
        </is>
      </c>
      <c r="B710" s="1" t="n">
        <v>45834.50910879629</v>
      </c>
      <c r="C710" s="1" t="n">
        <v>46077</v>
      </c>
      <c r="D710" t="inlineStr">
        <is>
          <t>VÄSTMANLANDS LÄN</t>
        </is>
      </c>
      <c r="E710" t="inlineStr">
        <is>
          <t>SALA</t>
        </is>
      </c>
      <c r="G710" t="n">
        <v>5.1</v>
      </c>
      <c r="H710" t="n">
        <v>0</v>
      </c>
      <c r="I710" t="n">
        <v>0</v>
      </c>
      <c r="J710" t="n">
        <v>0</v>
      </c>
      <c r="K710" t="n">
        <v>0</v>
      </c>
      <c r="L710" t="n">
        <v>0</v>
      </c>
      <c r="M710" t="n">
        <v>0</v>
      </c>
      <c r="N710" t="n">
        <v>0</v>
      </c>
      <c r="O710" t="n">
        <v>0</v>
      </c>
      <c r="P710" t="n">
        <v>0</v>
      </c>
      <c r="Q710" t="n">
        <v>0</v>
      </c>
      <c r="R710" s="2" t="inlineStr"/>
    </row>
    <row r="711" ht="15" customHeight="1">
      <c r="A711" t="inlineStr">
        <is>
          <t>A 31554-2025</t>
        </is>
      </c>
      <c r="B711" s="1" t="n">
        <v>45833</v>
      </c>
      <c r="C711" s="1" t="n">
        <v>46077</v>
      </c>
      <c r="D711" t="inlineStr">
        <is>
          <t>VÄSTMANLANDS LÄN</t>
        </is>
      </c>
      <c r="E711" t="inlineStr">
        <is>
          <t>SALA</t>
        </is>
      </c>
      <c r="G711" t="n">
        <v>1.5</v>
      </c>
      <c r="H711" t="n">
        <v>0</v>
      </c>
      <c r="I711" t="n">
        <v>0</v>
      </c>
      <c r="J711" t="n">
        <v>0</v>
      </c>
      <c r="K711" t="n">
        <v>0</v>
      </c>
      <c r="L711" t="n">
        <v>0</v>
      </c>
      <c r="M711" t="n">
        <v>0</v>
      </c>
      <c r="N711" t="n">
        <v>0</v>
      </c>
      <c r="O711" t="n">
        <v>0</v>
      </c>
      <c r="P711" t="n">
        <v>0</v>
      </c>
      <c r="Q711" t="n">
        <v>0</v>
      </c>
      <c r="R711" s="2" t="inlineStr"/>
    </row>
    <row r="712" ht="15" customHeight="1">
      <c r="A712" t="inlineStr">
        <is>
          <t>A 31762-2025</t>
        </is>
      </c>
      <c r="B712" s="1" t="n">
        <v>45834.49288194445</v>
      </c>
      <c r="C712" s="1" t="n">
        <v>46077</v>
      </c>
      <c r="D712" t="inlineStr">
        <is>
          <t>VÄSTMANLANDS LÄN</t>
        </is>
      </c>
      <c r="E712" t="inlineStr">
        <is>
          <t>SALA</t>
        </is>
      </c>
      <c r="G712" t="n">
        <v>5.9</v>
      </c>
      <c r="H712" t="n">
        <v>0</v>
      </c>
      <c r="I712" t="n">
        <v>0</v>
      </c>
      <c r="J712" t="n">
        <v>0</v>
      </c>
      <c r="K712" t="n">
        <v>0</v>
      </c>
      <c r="L712" t="n">
        <v>0</v>
      </c>
      <c r="M712" t="n">
        <v>0</v>
      </c>
      <c r="N712" t="n">
        <v>0</v>
      </c>
      <c r="O712" t="n">
        <v>0</v>
      </c>
      <c r="P712" t="n">
        <v>0</v>
      </c>
      <c r="Q712" t="n">
        <v>0</v>
      </c>
      <c r="R712" s="2" t="inlineStr"/>
    </row>
    <row r="713" ht="15" customHeight="1">
      <c r="A713" t="inlineStr">
        <is>
          <t>A 31608-2025</t>
        </is>
      </c>
      <c r="B713" s="1" t="n">
        <v>45833</v>
      </c>
      <c r="C713" s="1" t="n">
        <v>46077</v>
      </c>
      <c r="D713" t="inlineStr">
        <is>
          <t>VÄSTMANLANDS LÄN</t>
        </is>
      </c>
      <c r="E713" t="inlineStr">
        <is>
          <t>SALA</t>
        </is>
      </c>
      <c r="G713" t="n">
        <v>6.1</v>
      </c>
      <c r="H713" t="n">
        <v>0</v>
      </c>
      <c r="I713" t="n">
        <v>0</v>
      </c>
      <c r="J713" t="n">
        <v>0</v>
      </c>
      <c r="K713" t="n">
        <v>0</v>
      </c>
      <c r="L713" t="n">
        <v>0</v>
      </c>
      <c r="M713" t="n">
        <v>0</v>
      </c>
      <c r="N713" t="n">
        <v>0</v>
      </c>
      <c r="O713" t="n">
        <v>0</v>
      </c>
      <c r="P713" t="n">
        <v>0</v>
      </c>
      <c r="Q713" t="n">
        <v>0</v>
      </c>
      <c r="R713" s="2" t="inlineStr"/>
    </row>
    <row r="714" ht="15" customHeight="1">
      <c r="A714" t="inlineStr">
        <is>
          <t>A 31610-2025</t>
        </is>
      </c>
      <c r="B714" s="1" t="n">
        <v>45833.78650462963</v>
      </c>
      <c r="C714" s="1" t="n">
        <v>46077</v>
      </c>
      <c r="D714" t="inlineStr">
        <is>
          <t>VÄSTMANLANDS LÄN</t>
        </is>
      </c>
      <c r="E714" t="inlineStr">
        <is>
          <t>SALA</t>
        </is>
      </c>
      <c r="G714" t="n">
        <v>8</v>
      </c>
      <c r="H714" t="n">
        <v>0</v>
      </c>
      <c r="I714" t="n">
        <v>0</v>
      </c>
      <c r="J714" t="n">
        <v>0</v>
      </c>
      <c r="K714" t="n">
        <v>0</v>
      </c>
      <c r="L714" t="n">
        <v>0</v>
      </c>
      <c r="M714" t="n">
        <v>0</v>
      </c>
      <c r="N714" t="n">
        <v>0</v>
      </c>
      <c r="O714" t="n">
        <v>0</v>
      </c>
      <c r="P714" t="n">
        <v>0</v>
      </c>
      <c r="Q714" t="n">
        <v>0</v>
      </c>
      <c r="R714" s="2" t="inlineStr"/>
    </row>
    <row r="715" ht="15" customHeight="1">
      <c r="A715" t="inlineStr">
        <is>
          <t>A 31296-2025</t>
        </is>
      </c>
      <c r="B715" s="1" t="n">
        <v>45833.36765046296</v>
      </c>
      <c r="C715" s="1" t="n">
        <v>46077</v>
      </c>
      <c r="D715" t="inlineStr">
        <is>
          <t>VÄSTMANLANDS LÄN</t>
        </is>
      </c>
      <c r="E715" t="inlineStr">
        <is>
          <t>SALA</t>
        </is>
      </c>
      <c r="G715" t="n">
        <v>3.7</v>
      </c>
      <c r="H715" t="n">
        <v>0</v>
      </c>
      <c r="I715" t="n">
        <v>0</v>
      </c>
      <c r="J715" t="n">
        <v>0</v>
      </c>
      <c r="K715" t="n">
        <v>0</v>
      </c>
      <c r="L715" t="n">
        <v>0</v>
      </c>
      <c r="M715" t="n">
        <v>0</v>
      </c>
      <c r="N715" t="n">
        <v>0</v>
      </c>
      <c r="O715" t="n">
        <v>0</v>
      </c>
      <c r="P715" t="n">
        <v>0</v>
      </c>
      <c r="Q715" t="n">
        <v>0</v>
      </c>
      <c r="R715" s="2" t="inlineStr"/>
    </row>
    <row r="716" ht="15" customHeight="1">
      <c r="A716" t="inlineStr">
        <is>
          <t>A 31573-2025</t>
        </is>
      </c>
      <c r="B716" s="1" t="n">
        <v>45833</v>
      </c>
      <c r="C716" s="1" t="n">
        <v>46077</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32201-2025</t>
        </is>
      </c>
      <c r="B717" s="1" t="n">
        <v>45835</v>
      </c>
      <c r="C717" s="1" t="n">
        <v>46077</v>
      </c>
      <c r="D717" t="inlineStr">
        <is>
          <t>VÄSTMANLANDS LÄN</t>
        </is>
      </c>
      <c r="E717" t="inlineStr">
        <is>
          <t>SALA</t>
        </is>
      </c>
      <c r="F717" t="inlineStr">
        <is>
          <t>Bergvik skog öst AB</t>
        </is>
      </c>
      <c r="G717" t="n">
        <v>1.8</v>
      </c>
      <c r="H717" t="n">
        <v>0</v>
      </c>
      <c r="I717" t="n">
        <v>0</v>
      </c>
      <c r="J717" t="n">
        <v>0</v>
      </c>
      <c r="K717" t="n">
        <v>0</v>
      </c>
      <c r="L717" t="n">
        <v>0</v>
      </c>
      <c r="M717" t="n">
        <v>0</v>
      </c>
      <c r="N717" t="n">
        <v>0</v>
      </c>
      <c r="O717" t="n">
        <v>0</v>
      </c>
      <c r="P717" t="n">
        <v>0</v>
      </c>
      <c r="Q717" t="n">
        <v>0</v>
      </c>
      <c r="R717" s="2" t="inlineStr"/>
    </row>
    <row r="718" ht="15" customHeight="1">
      <c r="A718" t="inlineStr">
        <is>
          <t>A 32205-2025</t>
        </is>
      </c>
      <c r="B718" s="1" t="n">
        <v>45835</v>
      </c>
      <c r="C718" s="1" t="n">
        <v>46077</v>
      </c>
      <c r="D718" t="inlineStr">
        <is>
          <t>VÄSTMANLANDS LÄN</t>
        </is>
      </c>
      <c r="E718" t="inlineStr">
        <is>
          <t>SALA</t>
        </is>
      </c>
      <c r="F718" t="inlineStr">
        <is>
          <t>Bergvik skog öst AB</t>
        </is>
      </c>
      <c r="G718" t="n">
        <v>1.1</v>
      </c>
      <c r="H718" t="n">
        <v>0</v>
      </c>
      <c r="I718" t="n">
        <v>0</v>
      </c>
      <c r="J718" t="n">
        <v>0</v>
      </c>
      <c r="K718" t="n">
        <v>0</v>
      </c>
      <c r="L718" t="n">
        <v>0</v>
      </c>
      <c r="M718" t="n">
        <v>0</v>
      </c>
      <c r="N718" t="n">
        <v>0</v>
      </c>
      <c r="O718" t="n">
        <v>0</v>
      </c>
      <c r="P718" t="n">
        <v>0</v>
      </c>
      <c r="Q718" t="n">
        <v>0</v>
      </c>
      <c r="R718" s="2" t="inlineStr"/>
    </row>
    <row r="719" ht="15" customHeight="1">
      <c r="A719" t="inlineStr">
        <is>
          <t>A 32210-2025</t>
        </is>
      </c>
      <c r="B719" s="1" t="n">
        <v>45835</v>
      </c>
      <c r="C719" s="1" t="n">
        <v>46077</v>
      </c>
      <c r="D719" t="inlineStr">
        <is>
          <t>VÄSTMANLANDS LÄN</t>
        </is>
      </c>
      <c r="E719" t="inlineStr">
        <is>
          <t>SALA</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32286-2025</t>
        </is>
      </c>
      <c r="B720" s="1" t="n">
        <v>45835</v>
      </c>
      <c r="C720" s="1" t="n">
        <v>46077</v>
      </c>
      <c r="D720" t="inlineStr">
        <is>
          <t>VÄSTMANLANDS LÄN</t>
        </is>
      </c>
      <c r="E720" t="inlineStr">
        <is>
          <t>SALA</t>
        </is>
      </c>
      <c r="G720" t="n">
        <v>6.4</v>
      </c>
      <c r="H720" t="n">
        <v>0</v>
      </c>
      <c r="I720" t="n">
        <v>0</v>
      </c>
      <c r="J720" t="n">
        <v>0</v>
      </c>
      <c r="K720" t="n">
        <v>0</v>
      </c>
      <c r="L720" t="n">
        <v>0</v>
      </c>
      <c r="M720" t="n">
        <v>0</v>
      </c>
      <c r="N720" t="n">
        <v>0</v>
      </c>
      <c r="O720" t="n">
        <v>0</v>
      </c>
      <c r="P720" t="n">
        <v>0</v>
      </c>
      <c r="Q720" t="n">
        <v>0</v>
      </c>
      <c r="R720" s="2" t="inlineStr"/>
    </row>
    <row r="721" ht="15" customHeight="1">
      <c r="A721" t="inlineStr">
        <is>
          <t>A 32207-2025</t>
        </is>
      </c>
      <c r="B721" s="1" t="n">
        <v>45835</v>
      </c>
      <c r="C721" s="1" t="n">
        <v>46077</v>
      </c>
      <c r="D721" t="inlineStr">
        <is>
          <t>VÄSTMANLANDS LÄN</t>
        </is>
      </c>
      <c r="E721" t="inlineStr">
        <is>
          <t>SALA</t>
        </is>
      </c>
      <c r="F721" t="inlineStr">
        <is>
          <t>Bergvik skog öst AB</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5219-2026</t>
        </is>
      </c>
      <c r="B722" s="1" t="n">
        <v>46049.76225694444</v>
      </c>
      <c r="C722" s="1" t="n">
        <v>46077</v>
      </c>
      <c r="D722" t="inlineStr">
        <is>
          <t>VÄSTMANLANDS LÄN</t>
        </is>
      </c>
      <c r="E722" t="inlineStr">
        <is>
          <t>SALA</t>
        </is>
      </c>
      <c r="G722" t="n">
        <v>1.9</v>
      </c>
      <c r="H722" t="n">
        <v>0</v>
      </c>
      <c r="I722" t="n">
        <v>0</v>
      </c>
      <c r="J722" t="n">
        <v>0</v>
      </c>
      <c r="K722" t="n">
        <v>0</v>
      </c>
      <c r="L722" t="n">
        <v>0</v>
      </c>
      <c r="M722" t="n">
        <v>0</v>
      </c>
      <c r="N722" t="n">
        <v>0</v>
      </c>
      <c r="O722" t="n">
        <v>0</v>
      </c>
      <c r="P722" t="n">
        <v>0</v>
      </c>
      <c r="Q722" t="n">
        <v>0</v>
      </c>
      <c r="R722" s="2" t="inlineStr"/>
    </row>
    <row r="723" ht="15" customHeight="1">
      <c r="A723" t="inlineStr">
        <is>
          <t>A 32902-2025</t>
        </is>
      </c>
      <c r="B723" s="1" t="n">
        <v>45839</v>
      </c>
      <c r="C723" s="1" t="n">
        <v>46077</v>
      </c>
      <c r="D723" t="inlineStr">
        <is>
          <t>VÄSTMANLANDS LÄN</t>
        </is>
      </c>
      <c r="E723" t="inlineStr">
        <is>
          <t>SALA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910-2026</t>
        </is>
      </c>
      <c r="B724" s="1" t="n">
        <v>46030.4771412037</v>
      </c>
      <c r="C724" s="1" t="n">
        <v>46077</v>
      </c>
      <c r="D724" t="inlineStr">
        <is>
          <t>VÄSTMANLANDS LÄN</t>
        </is>
      </c>
      <c r="E724" t="inlineStr">
        <is>
          <t>SALA</t>
        </is>
      </c>
      <c r="G724" t="n">
        <v>1.4</v>
      </c>
      <c r="H724" t="n">
        <v>0</v>
      </c>
      <c r="I724" t="n">
        <v>0</v>
      </c>
      <c r="J724" t="n">
        <v>0</v>
      </c>
      <c r="K724" t="n">
        <v>0</v>
      </c>
      <c r="L724" t="n">
        <v>0</v>
      </c>
      <c r="M724" t="n">
        <v>0</v>
      </c>
      <c r="N724" t="n">
        <v>0</v>
      </c>
      <c r="O724" t="n">
        <v>0</v>
      </c>
      <c r="P724" t="n">
        <v>0</v>
      </c>
      <c r="Q724" t="n">
        <v>0</v>
      </c>
      <c r="R724" s="2" t="inlineStr"/>
    </row>
    <row r="725" ht="15" customHeight="1">
      <c r="A725" t="inlineStr">
        <is>
          <t>A 914-2026</t>
        </is>
      </c>
      <c r="B725" s="1" t="n">
        <v>46030.47952546296</v>
      </c>
      <c r="C725" s="1" t="n">
        <v>46077</v>
      </c>
      <c r="D725" t="inlineStr">
        <is>
          <t>VÄSTMANLANDS LÄN</t>
        </is>
      </c>
      <c r="E725" t="inlineStr">
        <is>
          <t>SALA</t>
        </is>
      </c>
      <c r="G725" t="n">
        <v>0.9</v>
      </c>
      <c r="H725" t="n">
        <v>0</v>
      </c>
      <c r="I725" t="n">
        <v>0</v>
      </c>
      <c r="J725" t="n">
        <v>0</v>
      </c>
      <c r="K725" t="n">
        <v>0</v>
      </c>
      <c r="L725" t="n">
        <v>0</v>
      </c>
      <c r="M725" t="n">
        <v>0</v>
      </c>
      <c r="N725" t="n">
        <v>0</v>
      </c>
      <c r="O725" t="n">
        <v>0</v>
      </c>
      <c r="P725" t="n">
        <v>0</v>
      </c>
      <c r="Q725" t="n">
        <v>0</v>
      </c>
      <c r="R725" s="2" t="inlineStr"/>
    </row>
    <row r="726" ht="15" customHeight="1">
      <c r="A726" t="inlineStr">
        <is>
          <t>A 948-2026</t>
        </is>
      </c>
      <c r="B726" s="1" t="n">
        <v>46030.53986111111</v>
      </c>
      <c r="C726" s="1" t="n">
        <v>46077</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34069-2025</t>
        </is>
      </c>
      <c r="B727" s="1" t="n">
        <v>45845.43560185185</v>
      </c>
      <c r="C727" s="1" t="n">
        <v>46077</v>
      </c>
      <c r="D727" t="inlineStr">
        <is>
          <t>VÄSTMANLANDS LÄN</t>
        </is>
      </c>
      <c r="E727" t="inlineStr">
        <is>
          <t>SALA</t>
        </is>
      </c>
      <c r="G727" t="n">
        <v>0.5</v>
      </c>
      <c r="H727" t="n">
        <v>0</v>
      </c>
      <c r="I727" t="n">
        <v>0</v>
      </c>
      <c r="J727" t="n">
        <v>0</v>
      </c>
      <c r="K727" t="n">
        <v>0</v>
      </c>
      <c r="L727" t="n">
        <v>0</v>
      </c>
      <c r="M727" t="n">
        <v>0</v>
      </c>
      <c r="N727" t="n">
        <v>0</v>
      </c>
      <c r="O727" t="n">
        <v>0</v>
      </c>
      <c r="P727" t="n">
        <v>0</v>
      </c>
      <c r="Q727" t="n">
        <v>0</v>
      </c>
      <c r="R727" s="2" t="inlineStr"/>
      <c r="U727">
        <f>HYPERLINK("https://klasma.github.io/Logging_1981/knärot/A 34069-2025 karta knärot.png", "A 34069-2025")</f>
        <v/>
      </c>
      <c r="V727">
        <f>HYPERLINK("https://klasma.github.io/Logging_1981/klagomål/A 34069-2025 FSC-klagomål.docx", "A 34069-2025")</f>
        <v/>
      </c>
      <c r="W727">
        <f>HYPERLINK("https://klasma.github.io/Logging_1981/klagomålsmail/A 34069-2025 FSC-klagomål mail.docx", "A 34069-2025")</f>
        <v/>
      </c>
      <c r="X727">
        <f>HYPERLINK("https://klasma.github.io/Logging_1981/tillsyn/A 34069-2025 tillsynsbegäran.docx", "A 34069-2025")</f>
        <v/>
      </c>
      <c r="Y727">
        <f>HYPERLINK("https://klasma.github.io/Logging_1981/tillsynsmail/A 34069-2025 tillsynsbegäran mail.docx", "A 34069-2025")</f>
        <v/>
      </c>
    </row>
    <row r="728" ht="15" customHeight="1">
      <c r="A728" t="inlineStr">
        <is>
          <t>A 10245-2026</t>
        </is>
      </c>
      <c r="B728" s="1" t="n">
        <v>46076.55144675926</v>
      </c>
      <c r="C728" s="1" t="n">
        <v>46077</v>
      </c>
      <c r="D728" t="inlineStr">
        <is>
          <t>VÄSTMANLANDS LÄN</t>
        </is>
      </c>
      <c r="E728" t="inlineStr">
        <is>
          <t>SALA</t>
        </is>
      </c>
      <c r="G728" t="n">
        <v>1.4</v>
      </c>
      <c r="H728" t="n">
        <v>0</v>
      </c>
      <c r="I728" t="n">
        <v>0</v>
      </c>
      <c r="J728" t="n">
        <v>0</v>
      </c>
      <c r="K728" t="n">
        <v>0</v>
      </c>
      <c r="L728" t="n">
        <v>0</v>
      </c>
      <c r="M728" t="n">
        <v>0</v>
      </c>
      <c r="N728" t="n">
        <v>0</v>
      </c>
      <c r="O728" t="n">
        <v>0</v>
      </c>
      <c r="P728" t="n">
        <v>0</v>
      </c>
      <c r="Q728" t="n">
        <v>0</v>
      </c>
      <c r="R728" s="2" t="inlineStr"/>
    </row>
    <row r="729" ht="15" customHeight="1">
      <c r="A729" t="inlineStr">
        <is>
          <t>A 15744-2025</t>
        </is>
      </c>
      <c r="B729" s="1" t="n">
        <v>45748</v>
      </c>
      <c r="C729" s="1" t="n">
        <v>46077</v>
      </c>
      <c r="D729" t="inlineStr">
        <is>
          <t>VÄSTMANLANDS LÄN</t>
        </is>
      </c>
      <c r="E729" t="inlineStr">
        <is>
          <t>SALA</t>
        </is>
      </c>
      <c r="G729" t="n">
        <v>1.6</v>
      </c>
      <c r="H729" t="n">
        <v>0</v>
      </c>
      <c r="I729" t="n">
        <v>0</v>
      </c>
      <c r="J729" t="n">
        <v>0</v>
      </c>
      <c r="K729" t="n">
        <v>0</v>
      </c>
      <c r="L729" t="n">
        <v>0</v>
      </c>
      <c r="M729" t="n">
        <v>0</v>
      </c>
      <c r="N729" t="n">
        <v>0</v>
      </c>
      <c r="O729" t="n">
        <v>0</v>
      </c>
      <c r="P729" t="n">
        <v>0</v>
      </c>
      <c r="Q729" t="n">
        <v>0</v>
      </c>
      <c r="R729" s="2" t="inlineStr"/>
    </row>
    <row r="730" ht="15" customHeight="1">
      <c r="A730" t="inlineStr">
        <is>
          <t>A 10239-2026</t>
        </is>
      </c>
      <c r="B730" s="1" t="n">
        <v>46076.54824074074</v>
      </c>
      <c r="C730" s="1" t="n">
        <v>46077</v>
      </c>
      <c r="D730" t="inlineStr">
        <is>
          <t>VÄSTMANLANDS LÄN</t>
        </is>
      </c>
      <c r="E730" t="inlineStr">
        <is>
          <t>SALA</t>
        </is>
      </c>
      <c r="G730" t="n">
        <v>1.1</v>
      </c>
      <c r="H730" t="n">
        <v>0</v>
      </c>
      <c r="I730" t="n">
        <v>0</v>
      </c>
      <c r="J730" t="n">
        <v>0</v>
      </c>
      <c r="K730" t="n">
        <v>0</v>
      </c>
      <c r="L730" t="n">
        <v>0</v>
      </c>
      <c r="M730" t="n">
        <v>0</v>
      </c>
      <c r="N730" t="n">
        <v>0</v>
      </c>
      <c r="O730" t="n">
        <v>0</v>
      </c>
      <c r="P730" t="n">
        <v>0</v>
      </c>
      <c r="Q730" t="n">
        <v>0</v>
      </c>
      <c r="R730" s="2" t="inlineStr"/>
    </row>
    <row r="731" ht="15" customHeight="1">
      <c r="A731" t="inlineStr">
        <is>
          <t>A 10252-2026</t>
        </is>
      </c>
      <c r="B731" s="1" t="n">
        <v>46076.55700231482</v>
      </c>
      <c r="C731" s="1" t="n">
        <v>46077</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1705-2026</t>
        </is>
      </c>
      <c r="B732" s="1" t="n">
        <v>46034.59930555556</v>
      </c>
      <c r="C732" s="1" t="n">
        <v>46077</v>
      </c>
      <c r="D732" t="inlineStr">
        <is>
          <t>VÄSTMANLANDS LÄN</t>
        </is>
      </c>
      <c r="E732" t="inlineStr">
        <is>
          <t>SALA</t>
        </is>
      </c>
      <c r="G732" t="n">
        <v>0.4</v>
      </c>
      <c r="H732" t="n">
        <v>0</v>
      </c>
      <c r="I732" t="n">
        <v>0</v>
      </c>
      <c r="J732" t="n">
        <v>0</v>
      </c>
      <c r="K732" t="n">
        <v>0</v>
      </c>
      <c r="L732" t="n">
        <v>0</v>
      </c>
      <c r="M732" t="n">
        <v>0</v>
      </c>
      <c r="N732" t="n">
        <v>0</v>
      </c>
      <c r="O732" t="n">
        <v>0</v>
      </c>
      <c r="P732" t="n">
        <v>0</v>
      </c>
      <c r="Q732" t="n">
        <v>0</v>
      </c>
      <c r="R732" s="2" t="inlineStr"/>
    </row>
    <row r="733" ht="15" customHeight="1">
      <c r="A733" t="inlineStr">
        <is>
          <t>A 35715-2025</t>
        </is>
      </c>
      <c r="B733" s="1" t="n">
        <v>45860.42148148148</v>
      </c>
      <c r="C733" s="1" t="n">
        <v>46077</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35651-2025</t>
        </is>
      </c>
      <c r="B734" s="1" t="n">
        <v>45859.52435185185</v>
      </c>
      <c r="C734" s="1" t="n">
        <v>46077</v>
      </c>
      <c r="D734" t="inlineStr">
        <is>
          <t>VÄSTMANLANDS LÄN</t>
        </is>
      </c>
      <c r="E734" t="inlineStr">
        <is>
          <t>SALA</t>
        </is>
      </c>
      <c r="G734" t="n">
        <v>6.3</v>
      </c>
      <c r="H734" t="n">
        <v>0</v>
      </c>
      <c r="I734" t="n">
        <v>0</v>
      </c>
      <c r="J734" t="n">
        <v>0</v>
      </c>
      <c r="K734" t="n">
        <v>0</v>
      </c>
      <c r="L734" t="n">
        <v>0</v>
      </c>
      <c r="M734" t="n">
        <v>0</v>
      </c>
      <c r="N734" t="n">
        <v>0</v>
      </c>
      <c r="O734" t="n">
        <v>0</v>
      </c>
      <c r="P734" t="n">
        <v>0</v>
      </c>
      <c r="Q734" t="n">
        <v>0</v>
      </c>
      <c r="R734" s="2" t="inlineStr"/>
    </row>
    <row r="735" ht="15" customHeight="1">
      <c r="A735" t="inlineStr">
        <is>
          <t>A 35775-2025</t>
        </is>
      </c>
      <c r="B735" s="1" t="n">
        <v>45860</v>
      </c>
      <c r="C735" s="1" t="n">
        <v>46077</v>
      </c>
      <c r="D735" t="inlineStr">
        <is>
          <t>VÄSTMANLANDS LÄN</t>
        </is>
      </c>
      <c r="E735" t="inlineStr">
        <is>
          <t>SALA</t>
        </is>
      </c>
      <c r="G735" t="n">
        <v>2.6</v>
      </c>
      <c r="H735" t="n">
        <v>0</v>
      </c>
      <c r="I735" t="n">
        <v>0</v>
      </c>
      <c r="J735" t="n">
        <v>0</v>
      </c>
      <c r="K735" t="n">
        <v>0</v>
      </c>
      <c r="L735" t="n">
        <v>0</v>
      </c>
      <c r="M735" t="n">
        <v>0</v>
      </c>
      <c r="N735" t="n">
        <v>0</v>
      </c>
      <c r="O735" t="n">
        <v>0</v>
      </c>
      <c r="P735" t="n">
        <v>0</v>
      </c>
      <c r="Q735" t="n">
        <v>0</v>
      </c>
      <c r="R735" s="2" t="inlineStr"/>
    </row>
    <row r="736" ht="15" customHeight="1">
      <c r="A736" t="inlineStr">
        <is>
          <t>A 35774-2025</t>
        </is>
      </c>
      <c r="B736" s="1" t="n">
        <v>45860.68780092592</v>
      </c>
      <c r="C736" s="1" t="n">
        <v>46077</v>
      </c>
      <c r="D736" t="inlineStr">
        <is>
          <t>VÄSTMANLANDS LÄN</t>
        </is>
      </c>
      <c r="E736" t="inlineStr">
        <is>
          <t>SALA</t>
        </is>
      </c>
      <c r="G736" t="n">
        <v>6.5</v>
      </c>
      <c r="H736" t="n">
        <v>0</v>
      </c>
      <c r="I736" t="n">
        <v>0</v>
      </c>
      <c r="J736" t="n">
        <v>0</v>
      </c>
      <c r="K736" t="n">
        <v>0</v>
      </c>
      <c r="L736" t="n">
        <v>0</v>
      </c>
      <c r="M736" t="n">
        <v>0</v>
      </c>
      <c r="N736" t="n">
        <v>0</v>
      </c>
      <c r="O736" t="n">
        <v>0</v>
      </c>
      <c r="P736" t="n">
        <v>0</v>
      </c>
      <c r="Q736" t="n">
        <v>0</v>
      </c>
      <c r="R736" s="2" t="inlineStr"/>
    </row>
    <row r="737" ht="15" customHeight="1">
      <c r="A737" t="inlineStr">
        <is>
          <t>A 35776-2025</t>
        </is>
      </c>
      <c r="B737" s="1" t="n">
        <v>45860.69211805556</v>
      </c>
      <c r="C737" s="1" t="n">
        <v>46077</v>
      </c>
      <c r="D737" t="inlineStr">
        <is>
          <t>VÄSTMANLANDS LÄN</t>
        </is>
      </c>
      <c r="E737" t="inlineStr">
        <is>
          <t>SALA</t>
        </is>
      </c>
      <c r="G737" t="n">
        <v>14.2</v>
      </c>
      <c r="H737" t="n">
        <v>0</v>
      </c>
      <c r="I737" t="n">
        <v>0</v>
      </c>
      <c r="J737" t="n">
        <v>0</v>
      </c>
      <c r="K737" t="n">
        <v>0</v>
      </c>
      <c r="L737" t="n">
        <v>0</v>
      </c>
      <c r="M737" t="n">
        <v>0</v>
      </c>
      <c r="N737" t="n">
        <v>0</v>
      </c>
      <c r="O737" t="n">
        <v>0</v>
      </c>
      <c r="P737" t="n">
        <v>0</v>
      </c>
      <c r="Q737" t="n">
        <v>0</v>
      </c>
      <c r="R737" s="2" t="inlineStr"/>
    </row>
    <row r="738" ht="15" customHeight="1">
      <c r="A738" t="inlineStr">
        <is>
          <t>A 35779-2025</t>
        </is>
      </c>
      <c r="B738" s="1" t="n">
        <v>45860.69495370371</v>
      </c>
      <c r="C738" s="1" t="n">
        <v>46077</v>
      </c>
      <c r="D738" t="inlineStr">
        <is>
          <t>VÄSTMANLANDS LÄN</t>
        </is>
      </c>
      <c r="E738" t="inlineStr">
        <is>
          <t>SALA</t>
        </is>
      </c>
      <c r="G738" t="n">
        <v>2.4</v>
      </c>
      <c r="H738" t="n">
        <v>0</v>
      </c>
      <c r="I738" t="n">
        <v>0</v>
      </c>
      <c r="J738" t="n">
        <v>0</v>
      </c>
      <c r="K738" t="n">
        <v>0</v>
      </c>
      <c r="L738" t="n">
        <v>0</v>
      </c>
      <c r="M738" t="n">
        <v>0</v>
      </c>
      <c r="N738" t="n">
        <v>0</v>
      </c>
      <c r="O738" t="n">
        <v>0</v>
      </c>
      <c r="P738" t="n">
        <v>0</v>
      </c>
      <c r="Q738" t="n">
        <v>0</v>
      </c>
      <c r="R738" s="2" t="inlineStr"/>
    </row>
    <row r="739" ht="15" customHeight="1">
      <c r="A739" t="inlineStr">
        <is>
          <t>A 36049-2025</t>
        </is>
      </c>
      <c r="B739" s="1" t="n">
        <v>45866.37065972222</v>
      </c>
      <c r="C739" s="1" t="n">
        <v>46077</v>
      </c>
      <c r="D739" t="inlineStr">
        <is>
          <t>VÄSTMANLANDS LÄN</t>
        </is>
      </c>
      <c r="E739" t="inlineStr">
        <is>
          <t>SALA</t>
        </is>
      </c>
      <c r="F739" t="inlineStr">
        <is>
          <t>Kommuner</t>
        </is>
      </c>
      <c r="G739" t="n">
        <v>1.9</v>
      </c>
      <c r="H739" t="n">
        <v>0</v>
      </c>
      <c r="I739" t="n">
        <v>0</v>
      </c>
      <c r="J739" t="n">
        <v>0</v>
      </c>
      <c r="K739" t="n">
        <v>0</v>
      </c>
      <c r="L739" t="n">
        <v>0</v>
      </c>
      <c r="M739" t="n">
        <v>0</v>
      </c>
      <c r="N739" t="n">
        <v>0</v>
      </c>
      <c r="O739" t="n">
        <v>0</v>
      </c>
      <c r="P739" t="n">
        <v>0</v>
      </c>
      <c r="Q739" t="n">
        <v>0</v>
      </c>
      <c r="R739" s="2" t="inlineStr"/>
    </row>
    <row r="740" ht="15" customHeight="1">
      <c r="A740" t="inlineStr">
        <is>
          <t>A 36031-2025</t>
        </is>
      </c>
      <c r="B740" s="1" t="n">
        <v>45865.46111111111</v>
      </c>
      <c r="C740" s="1" t="n">
        <v>46077</v>
      </c>
      <c r="D740" t="inlineStr">
        <is>
          <t>VÄSTMANLANDS LÄN</t>
        </is>
      </c>
      <c r="E740" t="inlineStr">
        <is>
          <t>SALA</t>
        </is>
      </c>
      <c r="G740" t="n">
        <v>7.2</v>
      </c>
      <c r="H740" t="n">
        <v>0</v>
      </c>
      <c r="I740" t="n">
        <v>0</v>
      </c>
      <c r="J740" t="n">
        <v>0</v>
      </c>
      <c r="K740" t="n">
        <v>0</v>
      </c>
      <c r="L740" t="n">
        <v>0</v>
      </c>
      <c r="M740" t="n">
        <v>0</v>
      </c>
      <c r="N740" t="n">
        <v>0</v>
      </c>
      <c r="O740" t="n">
        <v>0</v>
      </c>
      <c r="P740" t="n">
        <v>0</v>
      </c>
      <c r="Q740" t="n">
        <v>0</v>
      </c>
      <c r="R740" s="2" t="inlineStr"/>
    </row>
    <row r="741" ht="15" customHeight="1">
      <c r="A741" t="inlineStr">
        <is>
          <t>A 36060-2025</t>
        </is>
      </c>
      <c r="B741" s="1" t="n">
        <v>45866.39469907407</v>
      </c>
      <c r="C741" s="1" t="n">
        <v>46077</v>
      </c>
      <c r="D741" t="inlineStr">
        <is>
          <t>VÄSTMANLANDS LÄN</t>
        </is>
      </c>
      <c r="E741" t="inlineStr">
        <is>
          <t>SALA</t>
        </is>
      </c>
      <c r="F741" t="inlineStr">
        <is>
          <t>Kommuner</t>
        </is>
      </c>
      <c r="G741" t="n">
        <v>4.3</v>
      </c>
      <c r="H741" t="n">
        <v>0</v>
      </c>
      <c r="I741" t="n">
        <v>0</v>
      </c>
      <c r="J741" t="n">
        <v>0</v>
      </c>
      <c r="K741" t="n">
        <v>0</v>
      </c>
      <c r="L741" t="n">
        <v>0</v>
      </c>
      <c r="M741" t="n">
        <v>0</v>
      </c>
      <c r="N741" t="n">
        <v>0</v>
      </c>
      <c r="O741" t="n">
        <v>0</v>
      </c>
      <c r="P741" t="n">
        <v>0</v>
      </c>
      <c r="Q741" t="n">
        <v>0</v>
      </c>
      <c r="R741" s="2" t="inlineStr"/>
    </row>
    <row r="742" ht="15" customHeight="1">
      <c r="A742" t="inlineStr">
        <is>
          <t>A 36032-2025</t>
        </is>
      </c>
      <c r="B742" s="1" t="n">
        <v>45865.48740740741</v>
      </c>
      <c r="C742" s="1" t="n">
        <v>46077</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36043-2025</t>
        </is>
      </c>
      <c r="B743" s="1" t="n">
        <v>45866.35333333333</v>
      </c>
      <c r="C743" s="1" t="n">
        <v>46077</v>
      </c>
      <c r="D743" t="inlineStr">
        <is>
          <t>VÄSTMANLANDS LÄN</t>
        </is>
      </c>
      <c r="E743" t="inlineStr">
        <is>
          <t>SALA</t>
        </is>
      </c>
      <c r="F743" t="inlineStr">
        <is>
          <t>Kommuner</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36045-2025</t>
        </is>
      </c>
      <c r="B744" s="1" t="n">
        <v>45866.36200231482</v>
      </c>
      <c r="C744" s="1" t="n">
        <v>46077</v>
      </c>
      <c r="D744" t="inlineStr">
        <is>
          <t>VÄSTMANLANDS LÄN</t>
        </is>
      </c>
      <c r="E744" t="inlineStr">
        <is>
          <t>SALA</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17985-2025</t>
        </is>
      </c>
      <c r="B745" s="1" t="n">
        <v>45761</v>
      </c>
      <c r="C745" s="1" t="n">
        <v>46077</v>
      </c>
      <c r="D745" t="inlineStr">
        <is>
          <t>VÄSTMANLANDS LÄN</t>
        </is>
      </c>
      <c r="E745" t="inlineStr">
        <is>
          <t>SALA</t>
        </is>
      </c>
      <c r="G745" t="n">
        <v>12.5</v>
      </c>
      <c r="H745" t="n">
        <v>0</v>
      </c>
      <c r="I745" t="n">
        <v>0</v>
      </c>
      <c r="J745" t="n">
        <v>0</v>
      </c>
      <c r="K745" t="n">
        <v>0</v>
      </c>
      <c r="L745" t="n">
        <v>0</v>
      </c>
      <c r="M745" t="n">
        <v>0</v>
      </c>
      <c r="N745" t="n">
        <v>0</v>
      </c>
      <c r="O745" t="n">
        <v>0</v>
      </c>
      <c r="P745" t="n">
        <v>0</v>
      </c>
      <c r="Q745" t="n">
        <v>0</v>
      </c>
      <c r="R745" s="2" t="inlineStr"/>
    </row>
    <row r="746" ht="15" customHeight="1">
      <c r="A746" t="inlineStr">
        <is>
          <t>A 31869-2025</t>
        </is>
      </c>
      <c r="B746" s="1" t="n">
        <v>45834.64555555556</v>
      </c>
      <c r="C746" s="1" t="n">
        <v>46077</v>
      </c>
      <c r="D746" t="inlineStr">
        <is>
          <t>VÄSTMANLANDS LÄN</t>
        </is>
      </c>
      <c r="E746" t="inlineStr">
        <is>
          <t>SALA</t>
        </is>
      </c>
      <c r="G746" t="n">
        <v>17.5</v>
      </c>
      <c r="H746" t="n">
        <v>0</v>
      </c>
      <c r="I746" t="n">
        <v>0</v>
      </c>
      <c r="J746" t="n">
        <v>0</v>
      </c>
      <c r="K746" t="n">
        <v>0</v>
      </c>
      <c r="L746" t="n">
        <v>0</v>
      </c>
      <c r="M746" t="n">
        <v>0</v>
      </c>
      <c r="N746" t="n">
        <v>0</v>
      </c>
      <c r="O746" t="n">
        <v>0</v>
      </c>
      <c r="P746" t="n">
        <v>0</v>
      </c>
      <c r="Q746" t="n">
        <v>0</v>
      </c>
      <c r="R746" s="2" t="inlineStr"/>
    </row>
    <row r="747" ht="15" customHeight="1">
      <c r="A747" t="inlineStr">
        <is>
          <t>A 31863-2025</t>
        </is>
      </c>
      <c r="B747" s="1" t="n">
        <v>45834.63303240741</v>
      </c>
      <c r="C747" s="1" t="n">
        <v>46077</v>
      </c>
      <c r="D747" t="inlineStr">
        <is>
          <t>VÄSTMANLANDS LÄN</t>
        </is>
      </c>
      <c r="E747" t="inlineStr">
        <is>
          <t>SALA</t>
        </is>
      </c>
      <c r="G747" t="n">
        <v>2.5</v>
      </c>
      <c r="H747" t="n">
        <v>0</v>
      </c>
      <c r="I747" t="n">
        <v>0</v>
      </c>
      <c r="J747" t="n">
        <v>0</v>
      </c>
      <c r="K747" t="n">
        <v>0</v>
      </c>
      <c r="L747" t="n">
        <v>0</v>
      </c>
      <c r="M747" t="n">
        <v>0</v>
      </c>
      <c r="N747" t="n">
        <v>0</v>
      </c>
      <c r="O747" t="n">
        <v>0</v>
      </c>
      <c r="P747" t="n">
        <v>0</v>
      </c>
      <c r="Q747" t="n">
        <v>0</v>
      </c>
      <c r="R747" s="2" t="inlineStr"/>
    </row>
    <row r="748" ht="15" customHeight="1">
      <c r="A748" t="inlineStr">
        <is>
          <t>A 17766-2025</t>
        </is>
      </c>
      <c r="B748" s="1" t="n">
        <v>45758</v>
      </c>
      <c r="C748" s="1" t="n">
        <v>46077</v>
      </c>
      <c r="D748" t="inlineStr">
        <is>
          <t>VÄSTMANLANDS LÄN</t>
        </is>
      </c>
      <c r="E748" t="inlineStr">
        <is>
          <t>SALA</t>
        </is>
      </c>
      <c r="G748" t="n">
        <v>16.5</v>
      </c>
      <c r="H748" t="n">
        <v>0</v>
      </c>
      <c r="I748" t="n">
        <v>0</v>
      </c>
      <c r="J748" t="n">
        <v>0</v>
      </c>
      <c r="K748" t="n">
        <v>0</v>
      </c>
      <c r="L748" t="n">
        <v>0</v>
      </c>
      <c r="M748" t="n">
        <v>0</v>
      </c>
      <c r="N748" t="n">
        <v>0</v>
      </c>
      <c r="O748" t="n">
        <v>0</v>
      </c>
      <c r="P748" t="n">
        <v>0</v>
      </c>
      <c r="Q748" t="n">
        <v>0</v>
      </c>
      <c r="R748" s="2" t="inlineStr"/>
    </row>
    <row r="749" ht="15" customHeight="1">
      <c r="A749" t="inlineStr">
        <is>
          <t>A 7664-2023</t>
        </is>
      </c>
      <c r="B749" s="1" t="n">
        <v>44972</v>
      </c>
      <c r="C749" s="1" t="n">
        <v>46077</v>
      </c>
      <c r="D749" t="inlineStr">
        <is>
          <t>VÄSTMANLANDS LÄN</t>
        </is>
      </c>
      <c r="E749" t="inlineStr">
        <is>
          <t>SALA</t>
        </is>
      </c>
      <c r="G749" t="n">
        <v>1.4</v>
      </c>
      <c r="H749" t="n">
        <v>0</v>
      </c>
      <c r="I749" t="n">
        <v>0</v>
      </c>
      <c r="J749" t="n">
        <v>0</v>
      </c>
      <c r="K749" t="n">
        <v>0</v>
      </c>
      <c r="L749" t="n">
        <v>0</v>
      </c>
      <c r="M749" t="n">
        <v>0</v>
      </c>
      <c r="N749" t="n">
        <v>0</v>
      </c>
      <c r="O749" t="n">
        <v>0</v>
      </c>
      <c r="P749" t="n">
        <v>0</v>
      </c>
      <c r="Q749" t="n">
        <v>0</v>
      </c>
      <c r="R749" s="2" t="inlineStr"/>
    </row>
    <row r="750" ht="15" customHeight="1">
      <c r="A750" t="inlineStr">
        <is>
          <t>A 3546-2025</t>
        </is>
      </c>
      <c r="B750" s="1" t="n">
        <v>45680</v>
      </c>
      <c r="C750" s="1" t="n">
        <v>46077</v>
      </c>
      <c r="D750" t="inlineStr">
        <is>
          <t>VÄSTMANLANDS LÄN</t>
        </is>
      </c>
      <c r="E750" t="inlineStr">
        <is>
          <t>SALA</t>
        </is>
      </c>
      <c r="G750" t="n">
        <v>0.4</v>
      </c>
      <c r="H750" t="n">
        <v>0</v>
      </c>
      <c r="I750" t="n">
        <v>0</v>
      </c>
      <c r="J750" t="n">
        <v>0</v>
      </c>
      <c r="K750" t="n">
        <v>0</v>
      </c>
      <c r="L750" t="n">
        <v>0</v>
      </c>
      <c r="M750" t="n">
        <v>0</v>
      </c>
      <c r="N750" t="n">
        <v>0</v>
      </c>
      <c r="O750" t="n">
        <v>0</v>
      </c>
      <c r="P750" t="n">
        <v>0</v>
      </c>
      <c r="Q750" t="n">
        <v>0</v>
      </c>
      <c r="R750" s="2" t="inlineStr"/>
    </row>
    <row r="751" ht="15" customHeight="1">
      <c r="A751" t="inlineStr">
        <is>
          <t>A 37017-2025</t>
        </is>
      </c>
      <c r="B751" s="1" t="n">
        <v>45874</v>
      </c>
      <c r="C751" s="1" t="n">
        <v>46077</v>
      </c>
      <c r="D751" t="inlineStr">
        <is>
          <t>VÄSTMANLANDS LÄN</t>
        </is>
      </c>
      <c r="E751" t="inlineStr">
        <is>
          <t>SALA</t>
        </is>
      </c>
      <c r="G751" t="n">
        <v>11.1</v>
      </c>
      <c r="H751" t="n">
        <v>0</v>
      </c>
      <c r="I751" t="n">
        <v>0</v>
      </c>
      <c r="J751" t="n">
        <v>0</v>
      </c>
      <c r="K751" t="n">
        <v>0</v>
      </c>
      <c r="L751" t="n">
        <v>0</v>
      </c>
      <c r="M751" t="n">
        <v>0</v>
      </c>
      <c r="N751" t="n">
        <v>0</v>
      </c>
      <c r="O751" t="n">
        <v>0</v>
      </c>
      <c r="P751" t="n">
        <v>0</v>
      </c>
      <c r="Q751" t="n">
        <v>0</v>
      </c>
      <c r="R751" s="2" t="inlineStr"/>
    </row>
    <row r="752" ht="15" customHeight="1">
      <c r="A752" t="inlineStr">
        <is>
          <t>A 37103-2025</t>
        </is>
      </c>
      <c r="B752" s="1" t="n">
        <v>45875.47743055555</v>
      </c>
      <c r="C752" s="1" t="n">
        <v>46077</v>
      </c>
      <c r="D752" t="inlineStr">
        <is>
          <t>VÄSTMANLANDS LÄN</t>
        </is>
      </c>
      <c r="E752" t="inlineStr">
        <is>
          <t>SALA</t>
        </is>
      </c>
      <c r="G752" t="n">
        <v>1.9</v>
      </c>
      <c r="H752" t="n">
        <v>0</v>
      </c>
      <c r="I752" t="n">
        <v>0</v>
      </c>
      <c r="J752" t="n">
        <v>0</v>
      </c>
      <c r="K752" t="n">
        <v>0</v>
      </c>
      <c r="L752" t="n">
        <v>0</v>
      </c>
      <c r="M752" t="n">
        <v>0</v>
      </c>
      <c r="N752" t="n">
        <v>0</v>
      </c>
      <c r="O752" t="n">
        <v>0</v>
      </c>
      <c r="P752" t="n">
        <v>0</v>
      </c>
      <c r="Q752" t="n">
        <v>0</v>
      </c>
      <c r="R752" s="2" t="inlineStr"/>
    </row>
    <row r="753" ht="15" customHeight="1">
      <c r="A753" t="inlineStr">
        <is>
          <t>A 37246-2025</t>
        </is>
      </c>
      <c r="B753" s="1" t="n">
        <v>45876.39435185185</v>
      </c>
      <c r="C753" s="1" t="n">
        <v>46077</v>
      </c>
      <c r="D753" t="inlineStr">
        <is>
          <t>VÄSTMANLANDS LÄN</t>
        </is>
      </c>
      <c r="E753" t="inlineStr">
        <is>
          <t>SALA</t>
        </is>
      </c>
      <c r="G753" t="n">
        <v>2.3</v>
      </c>
      <c r="H753" t="n">
        <v>0</v>
      </c>
      <c r="I753" t="n">
        <v>0</v>
      </c>
      <c r="J753" t="n">
        <v>0</v>
      </c>
      <c r="K753" t="n">
        <v>0</v>
      </c>
      <c r="L753" t="n">
        <v>0</v>
      </c>
      <c r="M753" t="n">
        <v>0</v>
      </c>
      <c r="N753" t="n">
        <v>0</v>
      </c>
      <c r="O753" t="n">
        <v>0</v>
      </c>
      <c r="P753" t="n">
        <v>0</v>
      </c>
      <c r="Q753" t="n">
        <v>0</v>
      </c>
      <c r="R753" s="2" t="inlineStr"/>
    </row>
    <row r="754" ht="15" customHeight="1">
      <c r="A754" t="inlineStr">
        <is>
          <t>A 37590-2025</t>
        </is>
      </c>
      <c r="B754" s="1" t="n">
        <v>45880.41138888889</v>
      </c>
      <c r="C754" s="1" t="n">
        <v>46077</v>
      </c>
      <c r="D754" t="inlineStr">
        <is>
          <t>VÄSTMANLANDS LÄN</t>
        </is>
      </c>
      <c r="E754" t="inlineStr">
        <is>
          <t>SALA</t>
        </is>
      </c>
      <c r="G754" t="n">
        <v>2.2</v>
      </c>
      <c r="H754" t="n">
        <v>0</v>
      </c>
      <c r="I754" t="n">
        <v>0</v>
      </c>
      <c r="J754" t="n">
        <v>0</v>
      </c>
      <c r="K754" t="n">
        <v>0</v>
      </c>
      <c r="L754" t="n">
        <v>0</v>
      </c>
      <c r="M754" t="n">
        <v>0</v>
      </c>
      <c r="N754" t="n">
        <v>0</v>
      </c>
      <c r="O754" t="n">
        <v>0</v>
      </c>
      <c r="P754" t="n">
        <v>0</v>
      </c>
      <c r="Q754" t="n">
        <v>0</v>
      </c>
      <c r="R754" s="2" t="inlineStr"/>
    </row>
    <row r="755" ht="15" customHeight="1">
      <c r="A755" t="inlineStr">
        <is>
          <t>A 37593-2025</t>
        </is>
      </c>
      <c r="B755" s="1" t="n">
        <v>45880.41325231481</v>
      </c>
      <c r="C755" s="1" t="n">
        <v>46077</v>
      </c>
      <c r="D755" t="inlineStr">
        <is>
          <t>VÄSTMANLANDS LÄN</t>
        </is>
      </c>
      <c r="E755" t="inlineStr">
        <is>
          <t>SALA</t>
        </is>
      </c>
      <c r="G755" t="n">
        <v>1.4</v>
      </c>
      <c r="H755" t="n">
        <v>0</v>
      </c>
      <c r="I755" t="n">
        <v>0</v>
      </c>
      <c r="J755" t="n">
        <v>0</v>
      </c>
      <c r="K755" t="n">
        <v>0</v>
      </c>
      <c r="L755" t="n">
        <v>0</v>
      </c>
      <c r="M755" t="n">
        <v>0</v>
      </c>
      <c r="N755" t="n">
        <v>0</v>
      </c>
      <c r="O755" t="n">
        <v>0</v>
      </c>
      <c r="P755" t="n">
        <v>0</v>
      </c>
      <c r="Q755" t="n">
        <v>0</v>
      </c>
      <c r="R755" s="2" t="inlineStr"/>
    </row>
    <row r="756" ht="15" customHeight="1">
      <c r="A756" t="inlineStr">
        <is>
          <t>A 43359-2024</t>
        </is>
      </c>
      <c r="B756" s="1" t="n">
        <v>45568.57724537037</v>
      </c>
      <c r="C756" s="1" t="n">
        <v>46077</v>
      </c>
      <c r="D756" t="inlineStr">
        <is>
          <t>VÄSTMANLANDS LÄN</t>
        </is>
      </c>
      <c r="E756" t="inlineStr">
        <is>
          <t>SALA</t>
        </is>
      </c>
      <c r="G756" t="n">
        <v>1.6</v>
      </c>
      <c r="H756" t="n">
        <v>0</v>
      </c>
      <c r="I756" t="n">
        <v>0</v>
      </c>
      <c r="J756" t="n">
        <v>0</v>
      </c>
      <c r="K756" t="n">
        <v>0</v>
      </c>
      <c r="L756" t="n">
        <v>0</v>
      </c>
      <c r="M756" t="n">
        <v>0</v>
      </c>
      <c r="N756" t="n">
        <v>0</v>
      </c>
      <c r="O756" t="n">
        <v>0</v>
      </c>
      <c r="P756" t="n">
        <v>0</v>
      </c>
      <c r="Q756" t="n">
        <v>0</v>
      </c>
      <c r="R756" s="2" t="inlineStr"/>
    </row>
    <row r="757">
      <c r="A757" t="inlineStr">
        <is>
          <t>A 29972-2025</t>
        </is>
      </c>
      <c r="B757" s="1" t="n">
        <v>45826</v>
      </c>
      <c r="C757" s="1" t="n">
        <v>46077</v>
      </c>
      <c r="D757" t="inlineStr">
        <is>
          <t>VÄSTMANLANDS LÄN</t>
        </is>
      </c>
      <c r="E757" t="inlineStr">
        <is>
          <t>SALA</t>
        </is>
      </c>
      <c r="G757" t="n">
        <v>2.7</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2026-02-24T11:10:20Z</dcterms:created>
  <dcterms:modified xmlns:dcterms="http://purl.org/dc/terms/" xmlns:xsi="http://www.w3.org/2001/XMLSchema-instance" xsi:type="dcterms:W3CDTF">2026-02-24T11:10:20Z</dcterms:modified>
</cp:coreProperties>
</file>