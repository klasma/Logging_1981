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45576</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45576</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45576</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45576</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45576</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45576</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45576</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45576</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45576</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45576</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45576</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45576</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45576</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45576</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45576</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45576</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45576</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45576</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45576</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45576</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45576</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45576</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45576</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45576</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45576</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45576</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45576</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45576</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45576</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45576</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45576</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45576</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45576</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45576</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45576</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45576</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45576</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45576</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45576</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45576</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45576</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45576</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45576</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45576</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45576</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45576</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45576</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45576</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45576</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45576</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45576</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45576</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45576</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45576</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45576</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45576</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45576</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45576</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45576</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45576</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45576</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45576</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45576</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45576</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45576</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45576</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45576</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45576</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45576</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45576</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45576</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45576</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43068-2024</t>
        </is>
      </c>
      <c r="B76" s="1" t="n">
        <v>45567</v>
      </c>
      <c r="C76" s="1" t="n">
        <v>45576</v>
      </c>
      <c r="D76" t="inlineStr">
        <is>
          <t>VÄSTMANLANDS LÄN</t>
        </is>
      </c>
      <c r="E76" t="inlineStr">
        <is>
          <t>SALA</t>
        </is>
      </c>
      <c r="G76" t="n">
        <v>1.1</v>
      </c>
      <c r="H76" t="n">
        <v>0</v>
      </c>
      <c r="I76" t="n">
        <v>1</v>
      </c>
      <c r="J76" t="n">
        <v>0</v>
      </c>
      <c r="K76" t="n">
        <v>0</v>
      </c>
      <c r="L76" t="n">
        <v>0</v>
      </c>
      <c r="M76" t="n">
        <v>0</v>
      </c>
      <c r="N76" t="n">
        <v>0</v>
      </c>
      <c r="O76" t="n">
        <v>0</v>
      </c>
      <c r="P76" t="n">
        <v>0</v>
      </c>
      <c r="Q76" t="n">
        <v>1</v>
      </c>
      <c r="R76" s="2" t="inlineStr">
        <is>
          <t>Vedticka</t>
        </is>
      </c>
      <c r="S76">
        <f>HYPERLINK("https://klasma.github.io/Logging_1981/artfynd/A 43068-2024 artfynd.xlsx", "A 43068-2024")</f>
        <v/>
      </c>
      <c r="T76">
        <f>HYPERLINK("https://klasma.github.io/Logging_1981/kartor/A 43068-2024 karta.png", "A 43068-2024")</f>
        <v/>
      </c>
      <c r="V76">
        <f>HYPERLINK("https://klasma.github.io/Logging_1981/klagomål/A 43068-2024 FSC-klagomål.docx", "A 43068-2024")</f>
        <v/>
      </c>
      <c r="W76">
        <f>HYPERLINK("https://klasma.github.io/Logging_1981/klagomålsmail/A 43068-2024 FSC-klagomål mail.docx", "A 43068-2024")</f>
        <v/>
      </c>
      <c r="X76">
        <f>HYPERLINK("https://klasma.github.io/Logging_1981/tillsyn/A 43068-2024 tillsynsbegäran.docx", "A 43068-2024")</f>
        <v/>
      </c>
      <c r="Y76">
        <f>HYPERLINK("https://klasma.github.io/Logging_1981/tillsynsmail/A 43068-2024 tillsynsbegäran mail.docx", "A 43068-2024")</f>
        <v/>
      </c>
    </row>
    <row r="77" ht="15" customHeight="1">
      <c r="A77" t="inlineStr">
        <is>
          <t>A 18255-2019</t>
        </is>
      </c>
      <c r="B77" s="1" t="n">
        <v>43558</v>
      </c>
      <c r="C77" s="1" t="n">
        <v>45576</v>
      </c>
      <c r="D77" t="inlineStr">
        <is>
          <t>VÄSTMANLANDS LÄN</t>
        </is>
      </c>
      <c r="E77" t="inlineStr">
        <is>
          <t>SALA</t>
        </is>
      </c>
      <c r="F77" t="inlineStr">
        <is>
          <t>Kommuner</t>
        </is>
      </c>
      <c r="G77" t="n">
        <v>2.2</v>
      </c>
      <c r="H77" t="n">
        <v>0</v>
      </c>
      <c r="I77" t="n">
        <v>0</v>
      </c>
      <c r="J77" t="n">
        <v>0</v>
      </c>
      <c r="K77" t="n">
        <v>0</v>
      </c>
      <c r="L77" t="n">
        <v>0</v>
      </c>
      <c r="M77" t="n">
        <v>0</v>
      </c>
      <c r="N77" t="n">
        <v>0</v>
      </c>
      <c r="O77" t="n">
        <v>0</v>
      </c>
      <c r="P77" t="n">
        <v>0</v>
      </c>
      <c r="Q77" t="n">
        <v>0</v>
      </c>
      <c r="R77" s="2" t="inlineStr"/>
    </row>
    <row r="78" ht="15" customHeight="1">
      <c r="A78" t="inlineStr">
        <is>
          <t>A 18352-2019</t>
        </is>
      </c>
      <c r="B78" s="1" t="n">
        <v>43559</v>
      </c>
      <c r="C78" s="1" t="n">
        <v>45576</v>
      </c>
      <c r="D78" t="inlineStr">
        <is>
          <t>VÄSTMANLANDS LÄN</t>
        </is>
      </c>
      <c r="E78" t="inlineStr">
        <is>
          <t>SALA</t>
        </is>
      </c>
      <c r="F78" t="inlineStr">
        <is>
          <t>Kommuner</t>
        </is>
      </c>
      <c r="G78" t="n">
        <v>1.7</v>
      </c>
      <c r="H78" t="n">
        <v>0</v>
      </c>
      <c r="I78" t="n">
        <v>0</v>
      </c>
      <c r="J78" t="n">
        <v>0</v>
      </c>
      <c r="K78" t="n">
        <v>0</v>
      </c>
      <c r="L78" t="n">
        <v>0</v>
      </c>
      <c r="M78" t="n">
        <v>0</v>
      </c>
      <c r="N78" t="n">
        <v>0</v>
      </c>
      <c r="O78" t="n">
        <v>0</v>
      </c>
      <c r="P78" t="n">
        <v>0</v>
      </c>
      <c r="Q78" t="n">
        <v>0</v>
      </c>
      <c r="R78" s="2" t="inlineStr"/>
    </row>
    <row r="79" ht="15" customHeight="1">
      <c r="A79" t="inlineStr">
        <is>
          <t>A 18791-2019</t>
        </is>
      </c>
      <c r="B79" s="1" t="n">
        <v>43562</v>
      </c>
      <c r="C79" s="1" t="n">
        <v>45576</v>
      </c>
      <c r="D79" t="inlineStr">
        <is>
          <t>VÄSTMANLANDS LÄN</t>
        </is>
      </c>
      <c r="E79" t="inlineStr">
        <is>
          <t>SALA</t>
        </is>
      </c>
      <c r="G79" t="n">
        <v>3.4</v>
      </c>
      <c r="H79" t="n">
        <v>0</v>
      </c>
      <c r="I79" t="n">
        <v>0</v>
      </c>
      <c r="J79" t="n">
        <v>0</v>
      </c>
      <c r="K79" t="n">
        <v>0</v>
      </c>
      <c r="L79" t="n">
        <v>0</v>
      </c>
      <c r="M79" t="n">
        <v>0</v>
      </c>
      <c r="N79" t="n">
        <v>0</v>
      </c>
      <c r="O79" t="n">
        <v>0</v>
      </c>
      <c r="P79" t="n">
        <v>0</v>
      </c>
      <c r="Q79" t="n">
        <v>0</v>
      </c>
      <c r="R79" s="2" t="inlineStr"/>
    </row>
    <row r="80" ht="15" customHeight="1">
      <c r="A80" t="inlineStr">
        <is>
          <t>A 18961-2019</t>
        </is>
      </c>
      <c r="B80" s="1" t="n">
        <v>43563</v>
      </c>
      <c r="C80" s="1" t="n">
        <v>45576</v>
      </c>
      <c r="D80" t="inlineStr">
        <is>
          <t>VÄSTMANLANDS LÄN</t>
        </is>
      </c>
      <c r="E80" t="inlineStr">
        <is>
          <t>SALA</t>
        </is>
      </c>
      <c r="F80" t="inlineStr">
        <is>
          <t>Kommuner</t>
        </is>
      </c>
      <c r="G80" t="n">
        <v>1.5</v>
      </c>
      <c r="H80" t="n">
        <v>0</v>
      </c>
      <c r="I80" t="n">
        <v>0</v>
      </c>
      <c r="J80" t="n">
        <v>0</v>
      </c>
      <c r="K80" t="n">
        <v>0</v>
      </c>
      <c r="L80" t="n">
        <v>0</v>
      </c>
      <c r="M80" t="n">
        <v>0</v>
      </c>
      <c r="N80" t="n">
        <v>0</v>
      </c>
      <c r="O80" t="n">
        <v>0</v>
      </c>
      <c r="P80" t="n">
        <v>0</v>
      </c>
      <c r="Q80" t="n">
        <v>0</v>
      </c>
      <c r="R80" s="2" t="inlineStr"/>
    </row>
    <row r="81" ht="15" customHeight="1">
      <c r="A81" t="inlineStr">
        <is>
          <t>A 19869-2019</t>
        </is>
      </c>
      <c r="B81" s="1" t="n">
        <v>43567</v>
      </c>
      <c r="C81" s="1" t="n">
        <v>45576</v>
      </c>
      <c r="D81" t="inlineStr">
        <is>
          <t>VÄSTMANLANDS LÄN</t>
        </is>
      </c>
      <c r="E81" t="inlineStr">
        <is>
          <t>SALA</t>
        </is>
      </c>
      <c r="G81" t="n">
        <v>1.6</v>
      </c>
      <c r="H81" t="n">
        <v>0</v>
      </c>
      <c r="I81" t="n">
        <v>0</v>
      </c>
      <c r="J81" t="n">
        <v>0</v>
      </c>
      <c r="K81" t="n">
        <v>0</v>
      </c>
      <c r="L81" t="n">
        <v>0</v>
      </c>
      <c r="M81" t="n">
        <v>0</v>
      </c>
      <c r="N81" t="n">
        <v>0</v>
      </c>
      <c r="O81" t="n">
        <v>0</v>
      </c>
      <c r="P81" t="n">
        <v>0</v>
      </c>
      <c r="Q81" t="n">
        <v>0</v>
      </c>
      <c r="R81" s="2" t="inlineStr"/>
    </row>
    <row r="82" ht="15" customHeight="1">
      <c r="A82" t="inlineStr">
        <is>
          <t>A 21985-2019</t>
        </is>
      </c>
      <c r="B82" s="1" t="n">
        <v>43584</v>
      </c>
      <c r="C82" s="1" t="n">
        <v>45576</v>
      </c>
      <c r="D82" t="inlineStr">
        <is>
          <t>VÄSTMANLANDS LÄN</t>
        </is>
      </c>
      <c r="E82" t="inlineStr">
        <is>
          <t>SALA</t>
        </is>
      </c>
      <c r="G82" t="n">
        <v>1.7</v>
      </c>
      <c r="H82" t="n">
        <v>0</v>
      </c>
      <c r="I82" t="n">
        <v>0</v>
      </c>
      <c r="J82" t="n">
        <v>0</v>
      </c>
      <c r="K82" t="n">
        <v>0</v>
      </c>
      <c r="L82" t="n">
        <v>0</v>
      </c>
      <c r="M82" t="n">
        <v>0</v>
      </c>
      <c r="N82" t="n">
        <v>0</v>
      </c>
      <c r="O82" t="n">
        <v>0</v>
      </c>
      <c r="P82" t="n">
        <v>0</v>
      </c>
      <c r="Q82" t="n">
        <v>0</v>
      </c>
      <c r="R82" s="2" t="inlineStr"/>
    </row>
    <row r="83" ht="15" customHeight="1">
      <c r="A83" t="inlineStr">
        <is>
          <t>A 22249-2019</t>
        </is>
      </c>
      <c r="B83" s="1" t="n">
        <v>43585</v>
      </c>
      <c r="C83" s="1" t="n">
        <v>45576</v>
      </c>
      <c r="D83" t="inlineStr">
        <is>
          <t>VÄSTMANLANDS LÄN</t>
        </is>
      </c>
      <c r="E83" t="inlineStr">
        <is>
          <t>SALA</t>
        </is>
      </c>
      <c r="F83" t="inlineStr">
        <is>
          <t>Kommuner</t>
        </is>
      </c>
      <c r="G83" t="n">
        <v>0.8</v>
      </c>
      <c r="H83" t="n">
        <v>0</v>
      </c>
      <c r="I83" t="n">
        <v>0</v>
      </c>
      <c r="J83" t="n">
        <v>0</v>
      </c>
      <c r="K83" t="n">
        <v>0</v>
      </c>
      <c r="L83" t="n">
        <v>0</v>
      </c>
      <c r="M83" t="n">
        <v>0</v>
      </c>
      <c r="N83" t="n">
        <v>0</v>
      </c>
      <c r="O83" t="n">
        <v>0</v>
      </c>
      <c r="P83" t="n">
        <v>0</v>
      </c>
      <c r="Q83" t="n">
        <v>0</v>
      </c>
      <c r="R83" s="2" t="inlineStr"/>
    </row>
    <row r="84" ht="15" customHeight="1">
      <c r="A84" t="inlineStr">
        <is>
          <t>A 22833-2019</t>
        </is>
      </c>
      <c r="B84" s="1" t="n">
        <v>43591</v>
      </c>
      <c r="C84" s="1" t="n">
        <v>45576</v>
      </c>
      <c r="D84" t="inlineStr">
        <is>
          <t>VÄSTMANLANDS LÄN</t>
        </is>
      </c>
      <c r="E84" t="inlineStr">
        <is>
          <t>SALA</t>
        </is>
      </c>
      <c r="F84" t="inlineStr">
        <is>
          <t>Sveaskog</t>
        </is>
      </c>
      <c r="G84" t="n">
        <v>0.2</v>
      </c>
      <c r="H84" t="n">
        <v>0</v>
      </c>
      <c r="I84" t="n">
        <v>0</v>
      </c>
      <c r="J84" t="n">
        <v>0</v>
      </c>
      <c r="K84" t="n">
        <v>0</v>
      </c>
      <c r="L84" t="n">
        <v>0</v>
      </c>
      <c r="M84" t="n">
        <v>0</v>
      </c>
      <c r="N84" t="n">
        <v>0</v>
      </c>
      <c r="O84" t="n">
        <v>0</v>
      </c>
      <c r="P84" t="n">
        <v>0</v>
      </c>
      <c r="Q84" t="n">
        <v>0</v>
      </c>
      <c r="R84" s="2" t="inlineStr"/>
    </row>
    <row r="85" ht="15" customHeight="1">
      <c r="A85" t="inlineStr">
        <is>
          <t>A 25005-2019</t>
        </is>
      </c>
      <c r="B85" s="1" t="n">
        <v>43602</v>
      </c>
      <c r="C85" s="1" t="n">
        <v>45576</v>
      </c>
      <c r="D85" t="inlineStr">
        <is>
          <t>VÄSTMANLANDS LÄN</t>
        </is>
      </c>
      <c r="E85" t="inlineStr">
        <is>
          <t>SALA</t>
        </is>
      </c>
      <c r="F85" t="inlineStr">
        <is>
          <t>Kommuner</t>
        </is>
      </c>
      <c r="G85" t="n">
        <v>4.3</v>
      </c>
      <c r="H85" t="n">
        <v>0</v>
      </c>
      <c r="I85" t="n">
        <v>0</v>
      </c>
      <c r="J85" t="n">
        <v>0</v>
      </c>
      <c r="K85" t="n">
        <v>0</v>
      </c>
      <c r="L85" t="n">
        <v>0</v>
      </c>
      <c r="M85" t="n">
        <v>0</v>
      </c>
      <c r="N85" t="n">
        <v>0</v>
      </c>
      <c r="O85" t="n">
        <v>0</v>
      </c>
      <c r="P85" t="n">
        <v>0</v>
      </c>
      <c r="Q85" t="n">
        <v>0</v>
      </c>
      <c r="R85" s="2" t="inlineStr"/>
    </row>
    <row r="86" ht="15" customHeight="1">
      <c r="A86" t="inlineStr">
        <is>
          <t>A 25814-2019</t>
        </is>
      </c>
      <c r="B86" s="1" t="n">
        <v>43608</v>
      </c>
      <c r="C86" s="1" t="n">
        <v>45576</v>
      </c>
      <c r="D86" t="inlineStr">
        <is>
          <t>VÄSTMANLANDS LÄN</t>
        </is>
      </c>
      <c r="E86" t="inlineStr">
        <is>
          <t>SALA</t>
        </is>
      </c>
      <c r="G86" t="n">
        <v>2.1</v>
      </c>
      <c r="H86" t="n">
        <v>0</v>
      </c>
      <c r="I86" t="n">
        <v>0</v>
      </c>
      <c r="J86" t="n">
        <v>0</v>
      </c>
      <c r="K86" t="n">
        <v>0</v>
      </c>
      <c r="L86" t="n">
        <v>0</v>
      </c>
      <c r="M86" t="n">
        <v>0</v>
      </c>
      <c r="N86" t="n">
        <v>0</v>
      </c>
      <c r="O86" t="n">
        <v>0</v>
      </c>
      <c r="P86" t="n">
        <v>0</v>
      </c>
      <c r="Q86" t="n">
        <v>0</v>
      </c>
      <c r="R86" s="2" t="inlineStr"/>
    </row>
    <row r="87" ht="15" customHeight="1">
      <c r="A87" t="inlineStr">
        <is>
          <t>A 26861-2019</t>
        </is>
      </c>
      <c r="B87" s="1" t="n">
        <v>43613</v>
      </c>
      <c r="C87" s="1" t="n">
        <v>45576</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27164-2019</t>
        </is>
      </c>
      <c r="B88" s="1" t="n">
        <v>43614</v>
      </c>
      <c r="C88" s="1" t="n">
        <v>45576</v>
      </c>
      <c r="D88" t="inlineStr">
        <is>
          <t>VÄSTMANLANDS LÄN</t>
        </is>
      </c>
      <c r="E88" t="inlineStr">
        <is>
          <t>SALA</t>
        </is>
      </c>
      <c r="G88" t="n">
        <v>1.9</v>
      </c>
      <c r="H88" t="n">
        <v>0</v>
      </c>
      <c r="I88" t="n">
        <v>0</v>
      </c>
      <c r="J88" t="n">
        <v>0</v>
      </c>
      <c r="K88" t="n">
        <v>0</v>
      </c>
      <c r="L88" t="n">
        <v>0</v>
      </c>
      <c r="M88" t="n">
        <v>0</v>
      </c>
      <c r="N88" t="n">
        <v>0</v>
      </c>
      <c r="O88" t="n">
        <v>0</v>
      </c>
      <c r="P88" t="n">
        <v>0</v>
      </c>
      <c r="Q88" t="n">
        <v>0</v>
      </c>
      <c r="R88" s="2" t="inlineStr"/>
    </row>
    <row r="89" ht="15" customHeight="1">
      <c r="A89" t="inlineStr">
        <is>
          <t>A 27040-2019</t>
        </is>
      </c>
      <c r="B89" s="1" t="n">
        <v>43614</v>
      </c>
      <c r="C89" s="1" t="n">
        <v>45576</v>
      </c>
      <c r="D89" t="inlineStr">
        <is>
          <t>VÄSTMANLANDS LÄN</t>
        </is>
      </c>
      <c r="E89" t="inlineStr">
        <is>
          <t>SALA</t>
        </is>
      </c>
      <c r="G89" t="n">
        <v>1.4</v>
      </c>
      <c r="H89" t="n">
        <v>0</v>
      </c>
      <c r="I89" t="n">
        <v>0</v>
      </c>
      <c r="J89" t="n">
        <v>0</v>
      </c>
      <c r="K89" t="n">
        <v>0</v>
      </c>
      <c r="L89" t="n">
        <v>0</v>
      </c>
      <c r="M89" t="n">
        <v>0</v>
      </c>
      <c r="N89" t="n">
        <v>0</v>
      </c>
      <c r="O89" t="n">
        <v>0</v>
      </c>
      <c r="P89" t="n">
        <v>0</v>
      </c>
      <c r="Q89" t="n">
        <v>0</v>
      </c>
      <c r="R89" s="2" t="inlineStr"/>
    </row>
    <row r="90" ht="15" customHeight="1">
      <c r="A90" t="inlineStr">
        <is>
          <t>A 28132-2019</t>
        </is>
      </c>
      <c r="B90" s="1" t="n">
        <v>43621</v>
      </c>
      <c r="C90" s="1" t="n">
        <v>45576</v>
      </c>
      <c r="D90" t="inlineStr">
        <is>
          <t>VÄSTMANLANDS LÄN</t>
        </is>
      </c>
      <c r="E90" t="inlineStr">
        <is>
          <t>SALA</t>
        </is>
      </c>
      <c r="G90" t="n">
        <v>2.4</v>
      </c>
      <c r="H90" t="n">
        <v>0</v>
      </c>
      <c r="I90" t="n">
        <v>0</v>
      </c>
      <c r="J90" t="n">
        <v>0</v>
      </c>
      <c r="K90" t="n">
        <v>0</v>
      </c>
      <c r="L90" t="n">
        <v>0</v>
      </c>
      <c r="M90" t="n">
        <v>0</v>
      </c>
      <c r="N90" t="n">
        <v>0</v>
      </c>
      <c r="O90" t="n">
        <v>0</v>
      </c>
      <c r="P90" t="n">
        <v>0</v>
      </c>
      <c r="Q90" t="n">
        <v>0</v>
      </c>
      <c r="R90" s="2" t="inlineStr"/>
    </row>
    <row r="91" ht="15" customHeight="1">
      <c r="A91" t="inlineStr">
        <is>
          <t>A 28143-2019</t>
        </is>
      </c>
      <c r="B91" s="1" t="n">
        <v>43621</v>
      </c>
      <c r="C91" s="1" t="n">
        <v>45576</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28162-2019</t>
        </is>
      </c>
      <c r="B92" s="1" t="n">
        <v>43621</v>
      </c>
      <c r="C92" s="1" t="n">
        <v>45576</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29023-2019</t>
        </is>
      </c>
      <c r="B93" s="1" t="n">
        <v>43628</v>
      </c>
      <c r="C93" s="1" t="n">
        <v>45576</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29331-2019</t>
        </is>
      </c>
      <c r="B94" s="1" t="n">
        <v>43629</v>
      </c>
      <c r="C94" s="1" t="n">
        <v>45576</v>
      </c>
      <c r="D94" t="inlineStr">
        <is>
          <t>VÄSTMANLANDS LÄN</t>
        </is>
      </c>
      <c r="E94" t="inlineStr">
        <is>
          <t>SALA</t>
        </is>
      </c>
      <c r="G94" t="n">
        <v>5</v>
      </c>
      <c r="H94" t="n">
        <v>0</v>
      </c>
      <c r="I94" t="n">
        <v>0</v>
      </c>
      <c r="J94" t="n">
        <v>0</v>
      </c>
      <c r="K94" t="n">
        <v>0</v>
      </c>
      <c r="L94" t="n">
        <v>0</v>
      </c>
      <c r="M94" t="n">
        <v>0</v>
      </c>
      <c r="N94" t="n">
        <v>0</v>
      </c>
      <c r="O94" t="n">
        <v>0</v>
      </c>
      <c r="P94" t="n">
        <v>0</v>
      </c>
      <c r="Q94" t="n">
        <v>0</v>
      </c>
      <c r="R94" s="2" t="inlineStr"/>
    </row>
    <row r="95" ht="15" customHeight="1">
      <c r="A95" t="inlineStr">
        <is>
          <t>A 31225-2019</t>
        </is>
      </c>
      <c r="B95" s="1" t="n">
        <v>43635</v>
      </c>
      <c r="C95" s="1" t="n">
        <v>45576</v>
      </c>
      <c r="D95" t="inlineStr">
        <is>
          <t>VÄSTMANLANDS LÄN</t>
        </is>
      </c>
      <c r="E95" t="inlineStr">
        <is>
          <t>SALA</t>
        </is>
      </c>
      <c r="G95" t="n">
        <v>1.5</v>
      </c>
      <c r="H95" t="n">
        <v>0</v>
      </c>
      <c r="I95" t="n">
        <v>0</v>
      </c>
      <c r="J95" t="n">
        <v>0</v>
      </c>
      <c r="K95" t="n">
        <v>0</v>
      </c>
      <c r="L95" t="n">
        <v>0</v>
      </c>
      <c r="M95" t="n">
        <v>0</v>
      </c>
      <c r="N95" t="n">
        <v>0</v>
      </c>
      <c r="O95" t="n">
        <v>0</v>
      </c>
      <c r="P95" t="n">
        <v>0</v>
      </c>
      <c r="Q95" t="n">
        <v>0</v>
      </c>
      <c r="R95" s="2" t="inlineStr"/>
    </row>
    <row r="96" ht="15" customHeight="1">
      <c r="A96" t="inlineStr">
        <is>
          <t>A 30974-2019</t>
        </is>
      </c>
      <c r="B96" s="1" t="n">
        <v>43639</v>
      </c>
      <c r="C96" s="1" t="n">
        <v>45576</v>
      </c>
      <c r="D96" t="inlineStr">
        <is>
          <t>VÄSTMANLANDS LÄN</t>
        </is>
      </c>
      <c r="E96" t="inlineStr">
        <is>
          <t>SALA</t>
        </is>
      </c>
      <c r="G96" t="n">
        <v>3.1</v>
      </c>
      <c r="H96" t="n">
        <v>0</v>
      </c>
      <c r="I96" t="n">
        <v>0</v>
      </c>
      <c r="J96" t="n">
        <v>0</v>
      </c>
      <c r="K96" t="n">
        <v>0</v>
      </c>
      <c r="L96" t="n">
        <v>0</v>
      </c>
      <c r="M96" t="n">
        <v>0</v>
      </c>
      <c r="N96" t="n">
        <v>0</v>
      </c>
      <c r="O96" t="n">
        <v>0</v>
      </c>
      <c r="P96" t="n">
        <v>0</v>
      </c>
      <c r="Q96" t="n">
        <v>0</v>
      </c>
      <c r="R96" s="2" t="inlineStr"/>
    </row>
    <row r="97" ht="15" customHeight="1">
      <c r="A97" t="inlineStr">
        <is>
          <t>A 34709-2019</t>
        </is>
      </c>
      <c r="B97" s="1" t="n">
        <v>43648</v>
      </c>
      <c r="C97" s="1" t="n">
        <v>45576</v>
      </c>
      <c r="D97" t="inlineStr">
        <is>
          <t>VÄSTMANLANDS LÄN</t>
        </is>
      </c>
      <c r="E97" t="inlineStr">
        <is>
          <t>SALA</t>
        </is>
      </c>
      <c r="G97" t="n">
        <v>1.7</v>
      </c>
      <c r="H97" t="n">
        <v>0</v>
      </c>
      <c r="I97" t="n">
        <v>0</v>
      </c>
      <c r="J97" t="n">
        <v>0</v>
      </c>
      <c r="K97" t="n">
        <v>0</v>
      </c>
      <c r="L97" t="n">
        <v>0</v>
      </c>
      <c r="M97" t="n">
        <v>0</v>
      </c>
      <c r="N97" t="n">
        <v>0</v>
      </c>
      <c r="O97" t="n">
        <v>0</v>
      </c>
      <c r="P97" t="n">
        <v>0</v>
      </c>
      <c r="Q97" t="n">
        <v>0</v>
      </c>
      <c r="R97" s="2" t="inlineStr"/>
    </row>
    <row r="98" ht="15" customHeight="1">
      <c r="A98" t="inlineStr">
        <is>
          <t>A 35690-2019</t>
        </is>
      </c>
      <c r="B98" s="1" t="n">
        <v>43664</v>
      </c>
      <c r="C98" s="1" t="n">
        <v>45576</v>
      </c>
      <c r="D98" t="inlineStr">
        <is>
          <t>VÄSTMANLANDS LÄN</t>
        </is>
      </c>
      <c r="E98" t="inlineStr">
        <is>
          <t>SALA</t>
        </is>
      </c>
      <c r="G98" t="n">
        <v>3.1</v>
      </c>
      <c r="H98" t="n">
        <v>0</v>
      </c>
      <c r="I98" t="n">
        <v>0</v>
      </c>
      <c r="J98" t="n">
        <v>0</v>
      </c>
      <c r="K98" t="n">
        <v>0</v>
      </c>
      <c r="L98" t="n">
        <v>0</v>
      </c>
      <c r="M98" t="n">
        <v>0</v>
      </c>
      <c r="N98" t="n">
        <v>0</v>
      </c>
      <c r="O98" t="n">
        <v>0</v>
      </c>
      <c r="P98" t="n">
        <v>0</v>
      </c>
      <c r="Q98" t="n">
        <v>0</v>
      </c>
      <c r="R98" s="2" t="inlineStr"/>
    </row>
    <row r="99" ht="15" customHeight="1">
      <c r="A99" t="inlineStr">
        <is>
          <t>A 36142-2019</t>
        </is>
      </c>
      <c r="B99" s="1" t="n">
        <v>43668</v>
      </c>
      <c r="C99" s="1" t="n">
        <v>45576</v>
      </c>
      <c r="D99" t="inlineStr">
        <is>
          <t>VÄSTMANLANDS LÄN</t>
        </is>
      </c>
      <c r="E99" t="inlineStr">
        <is>
          <t>SALA</t>
        </is>
      </c>
      <c r="G99" t="n">
        <v>0.6</v>
      </c>
      <c r="H99" t="n">
        <v>0</v>
      </c>
      <c r="I99" t="n">
        <v>0</v>
      </c>
      <c r="J99" t="n">
        <v>0</v>
      </c>
      <c r="K99" t="n">
        <v>0</v>
      </c>
      <c r="L99" t="n">
        <v>0</v>
      </c>
      <c r="M99" t="n">
        <v>0</v>
      </c>
      <c r="N99" t="n">
        <v>0</v>
      </c>
      <c r="O99" t="n">
        <v>0</v>
      </c>
      <c r="P99" t="n">
        <v>0</v>
      </c>
      <c r="Q99" t="n">
        <v>0</v>
      </c>
      <c r="R99" s="2" t="inlineStr"/>
    </row>
    <row r="100" ht="15" customHeight="1">
      <c r="A100" t="inlineStr">
        <is>
          <t>A 36429-2019</t>
        </is>
      </c>
      <c r="B100" s="1" t="n">
        <v>43670</v>
      </c>
      <c r="C100" s="1" t="n">
        <v>45576</v>
      </c>
      <c r="D100" t="inlineStr">
        <is>
          <t>VÄSTMANLANDS LÄN</t>
        </is>
      </c>
      <c r="E100" t="inlineStr">
        <is>
          <t>SALA</t>
        </is>
      </c>
      <c r="G100" t="n">
        <v>2</v>
      </c>
      <c r="H100" t="n">
        <v>0</v>
      </c>
      <c r="I100" t="n">
        <v>0</v>
      </c>
      <c r="J100" t="n">
        <v>0</v>
      </c>
      <c r="K100" t="n">
        <v>0</v>
      </c>
      <c r="L100" t="n">
        <v>0</v>
      </c>
      <c r="M100" t="n">
        <v>0</v>
      </c>
      <c r="N100" t="n">
        <v>0</v>
      </c>
      <c r="O100" t="n">
        <v>0</v>
      </c>
      <c r="P100" t="n">
        <v>0</v>
      </c>
      <c r="Q100" t="n">
        <v>0</v>
      </c>
      <c r="R100" s="2" t="inlineStr"/>
    </row>
    <row r="101" ht="15" customHeight="1">
      <c r="A101" t="inlineStr">
        <is>
          <t>A 36600-2019</t>
        </is>
      </c>
      <c r="B101" s="1" t="n">
        <v>43671</v>
      </c>
      <c r="C101" s="1" t="n">
        <v>45576</v>
      </c>
      <c r="D101" t="inlineStr">
        <is>
          <t>VÄSTMANLANDS LÄN</t>
        </is>
      </c>
      <c r="E101" t="inlineStr">
        <is>
          <t>SALA</t>
        </is>
      </c>
      <c r="F101" t="inlineStr">
        <is>
          <t>Kyrkan</t>
        </is>
      </c>
      <c r="G101" t="n">
        <v>4.3</v>
      </c>
      <c r="H101" t="n">
        <v>0</v>
      </c>
      <c r="I101" t="n">
        <v>0</v>
      </c>
      <c r="J101" t="n">
        <v>0</v>
      </c>
      <c r="K101" t="n">
        <v>0</v>
      </c>
      <c r="L101" t="n">
        <v>0</v>
      </c>
      <c r="M101" t="n">
        <v>0</v>
      </c>
      <c r="N101" t="n">
        <v>0</v>
      </c>
      <c r="O101" t="n">
        <v>0</v>
      </c>
      <c r="P101" t="n">
        <v>0</v>
      </c>
      <c r="Q101" t="n">
        <v>0</v>
      </c>
      <c r="R101" s="2" t="inlineStr"/>
    </row>
    <row r="102" ht="15" customHeight="1">
      <c r="A102" t="inlineStr">
        <is>
          <t>A 37186-2019</t>
        </is>
      </c>
      <c r="B102" s="1" t="n">
        <v>43677</v>
      </c>
      <c r="C102" s="1" t="n">
        <v>45576</v>
      </c>
      <c r="D102" t="inlineStr">
        <is>
          <t>VÄSTMANLANDS LÄN</t>
        </is>
      </c>
      <c r="E102" t="inlineStr">
        <is>
          <t>SALA</t>
        </is>
      </c>
      <c r="G102" t="n">
        <v>1.8</v>
      </c>
      <c r="H102" t="n">
        <v>0</v>
      </c>
      <c r="I102" t="n">
        <v>0</v>
      </c>
      <c r="J102" t="n">
        <v>0</v>
      </c>
      <c r="K102" t="n">
        <v>0</v>
      </c>
      <c r="L102" t="n">
        <v>0</v>
      </c>
      <c r="M102" t="n">
        <v>0</v>
      </c>
      <c r="N102" t="n">
        <v>0</v>
      </c>
      <c r="O102" t="n">
        <v>0</v>
      </c>
      <c r="P102" t="n">
        <v>0</v>
      </c>
      <c r="Q102" t="n">
        <v>0</v>
      </c>
      <c r="R102" s="2" t="inlineStr"/>
    </row>
    <row r="103" ht="15" customHeight="1">
      <c r="A103" t="inlineStr">
        <is>
          <t>A 37533-2019</t>
        </is>
      </c>
      <c r="B103" s="1" t="n">
        <v>43679</v>
      </c>
      <c r="C103" s="1" t="n">
        <v>45576</v>
      </c>
      <c r="D103" t="inlineStr">
        <is>
          <t>VÄSTMANLANDS LÄN</t>
        </is>
      </c>
      <c r="E103" t="inlineStr">
        <is>
          <t>SALA</t>
        </is>
      </c>
      <c r="G103" t="n">
        <v>7.9</v>
      </c>
      <c r="H103" t="n">
        <v>0</v>
      </c>
      <c r="I103" t="n">
        <v>0</v>
      </c>
      <c r="J103" t="n">
        <v>0</v>
      </c>
      <c r="K103" t="n">
        <v>0</v>
      </c>
      <c r="L103" t="n">
        <v>0</v>
      </c>
      <c r="M103" t="n">
        <v>0</v>
      </c>
      <c r="N103" t="n">
        <v>0</v>
      </c>
      <c r="O103" t="n">
        <v>0</v>
      </c>
      <c r="P103" t="n">
        <v>0</v>
      </c>
      <c r="Q103" t="n">
        <v>0</v>
      </c>
      <c r="R103" s="2" t="inlineStr"/>
    </row>
    <row r="104" ht="15" customHeight="1">
      <c r="A104" t="inlineStr">
        <is>
          <t>A 38645-2019</t>
        </is>
      </c>
      <c r="B104" s="1" t="n">
        <v>43686</v>
      </c>
      <c r="C104" s="1" t="n">
        <v>45576</v>
      </c>
      <c r="D104" t="inlineStr">
        <is>
          <t>VÄSTMANLANDS LÄN</t>
        </is>
      </c>
      <c r="E104" t="inlineStr">
        <is>
          <t>SALA</t>
        </is>
      </c>
      <c r="G104" t="n">
        <v>1.5</v>
      </c>
      <c r="H104" t="n">
        <v>0</v>
      </c>
      <c r="I104" t="n">
        <v>0</v>
      </c>
      <c r="J104" t="n">
        <v>0</v>
      </c>
      <c r="K104" t="n">
        <v>0</v>
      </c>
      <c r="L104" t="n">
        <v>0</v>
      </c>
      <c r="M104" t="n">
        <v>0</v>
      </c>
      <c r="N104" t="n">
        <v>0</v>
      </c>
      <c r="O104" t="n">
        <v>0</v>
      </c>
      <c r="P104" t="n">
        <v>0</v>
      </c>
      <c r="Q104" t="n">
        <v>0</v>
      </c>
      <c r="R104" s="2" t="inlineStr"/>
    </row>
    <row r="105" ht="15" customHeight="1">
      <c r="A105" t="inlineStr">
        <is>
          <t>A 39483-2019</t>
        </is>
      </c>
      <c r="B105" s="1" t="n">
        <v>43691</v>
      </c>
      <c r="C105" s="1" t="n">
        <v>45576</v>
      </c>
      <c r="D105" t="inlineStr">
        <is>
          <t>VÄSTMANLANDS LÄN</t>
        </is>
      </c>
      <c r="E105" t="inlineStr">
        <is>
          <t>SALA</t>
        </is>
      </c>
      <c r="G105" t="n">
        <v>4.6</v>
      </c>
      <c r="H105" t="n">
        <v>0</v>
      </c>
      <c r="I105" t="n">
        <v>0</v>
      </c>
      <c r="J105" t="n">
        <v>0</v>
      </c>
      <c r="K105" t="n">
        <v>0</v>
      </c>
      <c r="L105" t="n">
        <v>0</v>
      </c>
      <c r="M105" t="n">
        <v>0</v>
      </c>
      <c r="N105" t="n">
        <v>0</v>
      </c>
      <c r="O105" t="n">
        <v>0</v>
      </c>
      <c r="P105" t="n">
        <v>0</v>
      </c>
      <c r="Q105" t="n">
        <v>0</v>
      </c>
      <c r="R105" s="2" t="inlineStr"/>
    </row>
    <row r="106" ht="15" customHeight="1">
      <c r="A106" t="inlineStr">
        <is>
          <t>A 41259-2019</t>
        </is>
      </c>
      <c r="B106" s="1" t="n">
        <v>43698</v>
      </c>
      <c r="C106" s="1" t="n">
        <v>45576</v>
      </c>
      <c r="D106" t="inlineStr">
        <is>
          <t>VÄSTMANLANDS LÄN</t>
        </is>
      </c>
      <c r="E106" t="inlineStr">
        <is>
          <t>SALA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45302-2019</t>
        </is>
      </c>
      <c r="B107" s="1" t="n">
        <v>43707</v>
      </c>
      <c r="C107" s="1" t="n">
        <v>45576</v>
      </c>
      <c r="D107" t="inlineStr">
        <is>
          <t>VÄSTMANLANDS LÄN</t>
        </is>
      </c>
      <c r="E107" t="inlineStr">
        <is>
          <t>SALA</t>
        </is>
      </c>
      <c r="G107" t="n">
        <v>2.1</v>
      </c>
      <c r="H107" t="n">
        <v>0</v>
      </c>
      <c r="I107" t="n">
        <v>0</v>
      </c>
      <c r="J107" t="n">
        <v>0</v>
      </c>
      <c r="K107" t="n">
        <v>0</v>
      </c>
      <c r="L107" t="n">
        <v>0</v>
      </c>
      <c r="M107" t="n">
        <v>0</v>
      </c>
      <c r="N107" t="n">
        <v>0</v>
      </c>
      <c r="O107" t="n">
        <v>0</v>
      </c>
      <c r="P107" t="n">
        <v>0</v>
      </c>
      <c r="Q107" t="n">
        <v>0</v>
      </c>
      <c r="R107" s="2" t="inlineStr"/>
    </row>
    <row r="108" ht="15" customHeight="1">
      <c r="A108" t="inlineStr">
        <is>
          <t>A 46936-2019</t>
        </is>
      </c>
      <c r="B108" s="1" t="n">
        <v>43719</v>
      </c>
      <c r="C108" s="1" t="n">
        <v>45576</v>
      </c>
      <c r="D108" t="inlineStr">
        <is>
          <t>VÄSTMANLANDS LÄN</t>
        </is>
      </c>
      <c r="E108" t="inlineStr">
        <is>
          <t>SALA</t>
        </is>
      </c>
      <c r="G108" t="n">
        <v>4.6</v>
      </c>
      <c r="H108" t="n">
        <v>0</v>
      </c>
      <c r="I108" t="n">
        <v>0</v>
      </c>
      <c r="J108" t="n">
        <v>0</v>
      </c>
      <c r="K108" t="n">
        <v>0</v>
      </c>
      <c r="L108" t="n">
        <v>0</v>
      </c>
      <c r="M108" t="n">
        <v>0</v>
      </c>
      <c r="N108" t="n">
        <v>0</v>
      </c>
      <c r="O108" t="n">
        <v>0</v>
      </c>
      <c r="P108" t="n">
        <v>0</v>
      </c>
      <c r="Q108" t="n">
        <v>0</v>
      </c>
      <c r="R108" s="2" t="inlineStr"/>
    </row>
    <row r="109" ht="15" customHeight="1">
      <c r="A109" t="inlineStr">
        <is>
          <t>A 48617-2019</t>
        </is>
      </c>
      <c r="B109" s="1" t="n">
        <v>43727</v>
      </c>
      <c r="C109" s="1" t="n">
        <v>45576</v>
      </c>
      <c r="D109" t="inlineStr">
        <is>
          <t>VÄSTMANLANDS LÄN</t>
        </is>
      </c>
      <c r="E109" t="inlineStr">
        <is>
          <t>SALA</t>
        </is>
      </c>
      <c r="G109" t="n">
        <v>0.9</v>
      </c>
      <c r="H109" t="n">
        <v>0</v>
      </c>
      <c r="I109" t="n">
        <v>0</v>
      </c>
      <c r="J109" t="n">
        <v>0</v>
      </c>
      <c r="K109" t="n">
        <v>0</v>
      </c>
      <c r="L109" t="n">
        <v>0</v>
      </c>
      <c r="M109" t="n">
        <v>0</v>
      </c>
      <c r="N109" t="n">
        <v>0</v>
      </c>
      <c r="O109" t="n">
        <v>0</v>
      </c>
      <c r="P109" t="n">
        <v>0</v>
      </c>
      <c r="Q109" t="n">
        <v>0</v>
      </c>
      <c r="R109" s="2" t="inlineStr"/>
    </row>
    <row r="110" ht="15" customHeight="1">
      <c r="A110" t="inlineStr">
        <is>
          <t>A 48681-2019</t>
        </is>
      </c>
      <c r="B110" s="1" t="n">
        <v>43728</v>
      </c>
      <c r="C110" s="1" t="n">
        <v>45576</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52756-2019</t>
        </is>
      </c>
      <c r="B111" s="1" t="n">
        <v>43739</v>
      </c>
      <c r="C111" s="1" t="n">
        <v>45576</v>
      </c>
      <c r="D111" t="inlineStr">
        <is>
          <t>VÄSTMANLANDS LÄN</t>
        </is>
      </c>
      <c r="E111" t="inlineStr">
        <is>
          <t>SALA</t>
        </is>
      </c>
      <c r="G111" t="n">
        <v>4.2</v>
      </c>
      <c r="H111" t="n">
        <v>0</v>
      </c>
      <c r="I111" t="n">
        <v>0</v>
      </c>
      <c r="J111" t="n">
        <v>0</v>
      </c>
      <c r="K111" t="n">
        <v>0</v>
      </c>
      <c r="L111" t="n">
        <v>0</v>
      </c>
      <c r="M111" t="n">
        <v>0</v>
      </c>
      <c r="N111" t="n">
        <v>0</v>
      </c>
      <c r="O111" t="n">
        <v>0</v>
      </c>
      <c r="P111" t="n">
        <v>0</v>
      </c>
      <c r="Q111" t="n">
        <v>0</v>
      </c>
      <c r="R111" s="2" t="inlineStr"/>
    </row>
    <row r="112" ht="15" customHeight="1">
      <c r="A112" t="inlineStr">
        <is>
          <t>A 51854-2019</t>
        </is>
      </c>
      <c r="B112" s="1" t="n">
        <v>43741</v>
      </c>
      <c r="C112" s="1" t="n">
        <v>45576</v>
      </c>
      <c r="D112" t="inlineStr">
        <is>
          <t>VÄSTMANLANDS LÄN</t>
        </is>
      </c>
      <c r="E112" t="inlineStr">
        <is>
          <t>SALA</t>
        </is>
      </c>
      <c r="G112" t="n">
        <v>2</v>
      </c>
      <c r="H112" t="n">
        <v>0</v>
      </c>
      <c r="I112" t="n">
        <v>0</v>
      </c>
      <c r="J112" t="n">
        <v>0</v>
      </c>
      <c r="K112" t="n">
        <v>0</v>
      </c>
      <c r="L112" t="n">
        <v>0</v>
      </c>
      <c r="M112" t="n">
        <v>0</v>
      </c>
      <c r="N112" t="n">
        <v>0</v>
      </c>
      <c r="O112" t="n">
        <v>0</v>
      </c>
      <c r="P112" t="n">
        <v>0</v>
      </c>
      <c r="Q112" t="n">
        <v>0</v>
      </c>
      <c r="R112" s="2" t="inlineStr"/>
    </row>
    <row r="113" ht="15" customHeight="1">
      <c r="A113" t="inlineStr">
        <is>
          <t>A 54393-2019</t>
        </is>
      </c>
      <c r="B113" s="1" t="n">
        <v>43746</v>
      </c>
      <c r="C113" s="1" t="n">
        <v>45576</v>
      </c>
      <c r="D113" t="inlineStr">
        <is>
          <t>VÄSTMANLANDS LÄN</t>
        </is>
      </c>
      <c r="E113" t="inlineStr">
        <is>
          <t>SALA</t>
        </is>
      </c>
      <c r="G113" t="n">
        <v>3.2</v>
      </c>
      <c r="H113" t="n">
        <v>0</v>
      </c>
      <c r="I113" t="n">
        <v>0</v>
      </c>
      <c r="J113" t="n">
        <v>0</v>
      </c>
      <c r="K113" t="n">
        <v>0</v>
      </c>
      <c r="L113" t="n">
        <v>0</v>
      </c>
      <c r="M113" t="n">
        <v>0</v>
      </c>
      <c r="N113" t="n">
        <v>0</v>
      </c>
      <c r="O113" t="n">
        <v>0</v>
      </c>
      <c r="P113" t="n">
        <v>0</v>
      </c>
      <c r="Q113" t="n">
        <v>0</v>
      </c>
      <c r="R113" s="2" t="inlineStr"/>
    </row>
    <row r="114" ht="15" customHeight="1">
      <c r="A114" t="inlineStr">
        <is>
          <t>A 54069-2019</t>
        </is>
      </c>
      <c r="B114" s="1" t="n">
        <v>43752</v>
      </c>
      <c r="C114" s="1" t="n">
        <v>45576</v>
      </c>
      <c r="D114" t="inlineStr">
        <is>
          <t>VÄSTMANLANDS LÄN</t>
        </is>
      </c>
      <c r="E114" t="inlineStr">
        <is>
          <t>SALA</t>
        </is>
      </c>
      <c r="G114" t="n">
        <v>3.5</v>
      </c>
      <c r="H114" t="n">
        <v>0</v>
      </c>
      <c r="I114" t="n">
        <v>0</v>
      </c>
      <c r="J114" t="n">
        <v>0</v>
      </c>
      <c r="K114" t="n">
        <v>0</v>
      </c>
      <c r="L114" t="n">
        <v>0</v>
      </c>
      <c r="M114" t="n">
        <v>0</v>
      </c>
      <c r="N114" t="n">
        <v>0</v>
      </c>
      <c r="O114" t="n">
        <v>0</v>
      </c>
      <c r="P114" t="n">
        <v>0</v>
      </c>
      <c r="Q114" t="n">
        <v>0</v>
      </c>
      <c r="R114" s="2" t="inlineStr"/>
    </row>
    <row r="115" ht="15" customHeight="1">
      <c r="A115" t="inlineStr">
        <is>
          <t>A 57743-2019</t>
        </is>
      </c>
      <c r="B115" s="1" t="n">
        <v>43768</v>
      </c>
      <c r="C115" s="1" t="n">
        <v>45576</v>
      </c>
      <c r="D115" t="inlineStr">
        <is>
          <t>VÄSTMANLANDS LÄN</t>
        </is>
      </c>
      <c r="E115" t="inlineStr">
        <is>
          <t>SALA</t>
        </is>
      </c>
      <c r="G115" t="n">
        <v>3.8</v>
      </c>
      <c r="H115" t="n">
        <v>0</v>
      </c>
      <c r="I115" t="n">
        <v>0</v>
      </c>
      <c r="J115" t="n">
        <v>0</v>
      </c>
      <c r="K115" t="n">
        <v>0</v>
      </c>
      <c r="L115" t="n">
        <v>0</v>
      </c>
      <c r="M115" t="n">
        <v>0</v>
      </c>
      <c r="N115" t="n">
        <v>0</v>
      </c>
      <c r="O115" t="n">
        <v>0</v>
      </c>
      <c r="P115" t="n">
        <v>0</v>
      </c>
      <c r="Q115" t="n">
        <v>0</v>
      </c>
      <c r="R115" s="2" t="inlineStr"/>
    </row>
    <row r="116" ht="15" customHeight="1">
      <c r="A116" t="inlineStr">
        <is>
          <t>A 58003-2019</t>
        </is>
      </c>
      <c r="B116" s="1" t="n">
        <v>43769</v>
      </c>
      <c r="C116" s="1" t="n">
        <v>45576</v>
      </c>
      <c r="D116" t="inlineStr">
        <is>
          <t>VÄSTMANLANDS LÄN</t>
        </is>
      </c>
      <c r="E116" t="inlineStr">
        <is>
          <t>SALA</t>
        </is>
      </c>
      <c r="G116" t="n">
        <v>1.3</v>
      </c>
      <c r="H116" t="n">
        <v>0</v>
      </c>
      <c r="I116" t="n">
        <v>0</v>
      </c>
      <c r="J116" t="n">
        <v>0</v>
      </c>
      <c r="K116" t="n">
        <v>0</v>
      </c>
      <c r="L116" t="n">
        <v>0</v>
      </c>
      <c r="M116" t="n">
        <v>0</v>
      </c>
      <c r="N116" t="n">
        <v>0</v>
      </c>
      <c r="O116" t="n">
        <v>0</v>
      </c>
      <c r="P116" t="n">
        <v>0</v>
      </c>
      <c r="Q116" t="n">
        <v>0</v>
      </c>
      <c r="R116" s="2" t="inlineStr"/>
    </row>
    <row r="117" ht="15" customHeight="1">
      <c r="A117" t="inlineStr">
        <is>
          <t>A 58027-2019</t>
        </is>
      </c>
      <c r="B117" s="1" t="n">
        <v>43769</v>
      </c>
      <c r="C117" s="1" t="n">
        <v>45576</v>
      </c>
      <c r="D117" t="inlineStr">
        <is>
          <t>VÄSTMANLANDS LÄN</t>
        </is>
      </c>
      <c r="E117" t="inlineStr">
        <is>
          <t>SALA</t>
        </is>
      </c>
      <c r="G117" t="n">
        <v>2.4</v>
      </c>
      <c r="H117" t="n">
        <v>0</v>
      </c>
      <c r="I117" t="n">
        <v>0</v>
      </c>
      <c r="J117" t="n">
        <v>0</v>
      </c>
      <c r="K117" t="n">
        <v>0</v>
      </c>
      <c r="L117" t="n">
        <v>0</v>
      </c>
      <c r="M117" t="n">
        <v>0</v>
      </c>
      <c r="N117" t="n">
        <v>0</v>
      </c>
      <c r="O117" t="n">
        <v>0</v>
      </c>
      <c r="P117" t="n">
        <v>0</v>
      </c>
      <c r="Q117" t="n">
        <v>0</v>
      </c>
      <c r="R117" s="2" t="inlineStr"/>
    </row>
    <row r="118" ht="15" customHeight="1">
      <c r="A118" t="inlineStr">
        <is>
          <t>A 58681-2019</t>
        </is>
      </c>
      <c r="B118" s="1" t="n">
        <v>43773</v>
      </c>
      <c r="C118" s="1" t="n">
        <v>45576</v>
      </c>
      <c r="D118" t="inlineStr">
        <is>
          <t>VÄSTMANLANDS LÄN</t>
        </is>
      </c>
      <c r="E118" t="inlineStr">
        <is>
          <t>SALA</t>
        </is>
      </c>
      <c r="G118" t="n">
        <v>3</v>
      </c>
      <c r="H118" t="n">
        <v>0</v>
      </c>
      <c r="I118" t="n">
        <v>0</v>
      </c>
      <c r="J118" t="n">
        <v>0</v>
      </c>
      <c r="K118" t="n">
        <v>0</v>
      </c>
      <c r="L118" t="n">
        <v>0</v>
      </c>
      <c r="M118" t="n">
        <v>0</v>
      </c>
      <c r="N118" t="n">
        <v>0</v>
      </c>
      <c r="O118" t="n">
        <v>0</v>
      </c>
      <c r="P118" t="n">
        <v>0</v>
      </c>
      <c r="Q118" t="n">
        <v>0</v>
      </c>
      <c r="R118" s="2" t="inlineStr"/>
    </row>
    <row r="119" ht="15" customHeight="1">
      <c r="A119" t="inlineStr">
        <is>
          <t>A 58917-2019</t>
        </is>
      </c>
      <c r="B119" s="1" t="n">
        <v>43774</v>
      </c>
      <c r="C119" s="1" t="n">
        <v>45576</v>
      </c>
      <c r="D119" t="inlineStr">
        <is>
          <t>VÄSTMANLANDS LÄN</t>
        </is>
      </c>
      <c r="E119" t="inlineStr">
        <is>
          <t>SALA</t>
        </is>
      </c>
      <c r="G119" t="n">
        <v>1.3</v>
      </c>
      <c r="H119" t="n">
        <v>0</v>
      </c>
      <c r="I119" t="n">
        <v>0</v>
      </c>
      <c r="J119" t="n">
        <v>0</v>
      </c>
      <c r="K119" t="n">
        <v>0</v>
      </c>
      <c r="L119" t="n">
        <v>0</v>
      </c>
      <c r="M119" t="n">
        <v>0</v>
      </c>
      <c r="N119" t="n">
        <v>0</v>
      </c>
      <c r="O119" t="n">
        <v>0</v>
      </c>
      <c r="P119" t="n">
        <v>0</v>
      </c>
      <c r="Q119" t="n">
        <v>0</v>
      </c>
      <c r="R119" s="2" t="inlineStr"/>
    </row>
    <row r="120" ht="15" customHeight="1">
      <c r="A120" t="inlineStr">
        <is>
          <t>A 59147-2019</t>
        </is>
      </c>
      <c r="B120" s="1" t="n">
        <v>43775</v>
      </c>
      <c r="C120" s="1" t="n">
        <v>45576</v>
      </c>
      <c r="D120" t="inlineStr">
        <is>
          <t>VÄSTMANLANDS LÄN</t>
        </is>
      </c>
      <c r="E120" t="inlineStr">
        <is>
          <t>SALA</t>
        </is>
      </c>
      <c r="F120" t="inlineStr">
        <is>
          <t>Övriga Aktiebolag</t>
        </is>
      </c>
      <c r="G120" t="n">
        <v>69.8</v>
      </c>
      <c r="H120" t="n">
        <v>0</v>
      </c>
      <c r="I120" t="n">
        <v>0</v>
      </c>
      <c r="J120" t="n">
        <v>0</v>
      </c>
      <c r="K120" t="n">
        <v>0</v>
      </c>
      <c r="L120" t="n">
        <v>0</v>
      </c>
      <c r="M120" t="n">
        <v>0</v>
      </c>
      <c r="N120" t="n">
        <v>0</v>
      </c>
      <c r="O120" t="n">
        <v>0</v>
      </c>
      <c r="P120" t="n">
        <v>0</v>
      </c>
      <c r="Q120" t="n">
        <v>0</v>
      </c>
      <c r="R120" s="2" t="inlineStr"/>
    </row>
    <row r="121" ht="15" customHeight="1">
      <c r="A121" t="inlineStr">
        <is>
          <t>A 60007-2019</t>
        </is>
      </c>
      <c r="B121" s="1" t="n">
        <v>43777</v>
      </c>
      <c r="C121" s="1" t="n">
        <v>45576</v>
      </c>
      <c r="D121" t="inlineStr">
        <is>
          <t>VÄSTMANLANDS LÄN</t>
        </is>
      </c>
      <c r="E121" t="inlineStr">
        <is>
          <t>SALA</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60012-2019</t>
        </is>
      </c>
      <c r="B122" s="1" t="n">
        <v>43777</v>
      </c>
      <c r="C122" s="1" t="n">
        <v>45576</v>
      </c>
      <c r="D122" t="inlineStr">
        <is>
          <t>VÄSTMANLANDS LÄN</t>
        </is>
      </c>
      <c r="E122" t="inlineStr">
        <is>
          <t>SALA</t>
        </is>
      </c>
      <c r="F122" t="inlineStr">
        <is>
          <t>Kyrkan</t>
        </is>
      </c>
      <c r="G122" t="n">
        <v>1.5</v>
      </c>
      <c r="H122" t="n">
        <v>0</v>
      </c>
      <c r="I122" t="n">
        <v>0</v>
      </c>
      <c r="J122" t="n">
        <v>0</v>
      </c>
      <c r="K122" t="n">
        <v>0</v>
      </c>
      <c r="L122" t="n">
        <v>0</v>
      </c>
      <c r="M122" t="n">
        <v>0</v>
      </c>
      <c r="N122" t="n">
        <v>0</v>
      </c>
      <c r="O122" t="n">
        <v>0</v>
      </c>
      <c r="P122" t="n">
        <v>0</v>
      </c>
      <c r="Q122" t="n">
        <v>0</v>
      </c>
      <c r="R122" s="2" t="inlineStr"/>
    </row>
    <row r="123" ht="15" customHeight="1">
      <c r="A123" t="inlineStr">
        <is>
          <t>A 61270-2019</t>
        </is>
      </c>
      <c r="B123" s="1" t="n">
        <v>43783</v>
      </c>
      <c r="C123" s="1" t="n">
        <v>45576</v>
      </c>
      <c r="D123" t="inlineStr">
        <is>
          <t>VÄSTMANLANDS LÄN</t>
        </is>
      </c>
      <c r="E123" t="inlineStr">
        <is>
          <t>SALA</t>
        </is>
      </c>
      <c r="G123" t="n">
        <v>3.3</v>
      </c>
      <c r="H123" t="n">
        <v>0</v>
      </c>
      <c r="I123" t="n">
        <v>0</v>
      </c>
      <c r="J123" t="n">
        <v>0</v>
      </c>
      <c r="K123" t="n">
        <v>0</v>
      </c>
      <c r="L123" t="n">
        <v>0</v>
      </c>
      <c r="M123" t="n">
        <v>0</v>
      </c>
      <c r="N123" t="n">
        <v>0</v>
      </c>
      <c r="O123" t="n">
        <v>0</v>
      </c>
      <c r="P123" t="n">
        <v>0</v>
      </c>
      <c r="Q123" t="n">
        <v>0</v>
      </c>
      <c r="R123" s="2" t="inlineStr"/>
    </row>
    <row r="124" ht="15" customHeight="1">
      <c r="A124" t="inlineStr">
        <is>
          <t>A 61394-2019</t>
        </is>
      </c>
      <c r="B124" s="1" t="n">
        <v>43783</v>
      </c>
      <c r="C124" s="1" t="n">
        <v>45576</v>
      </c>
      <c r="D124" t="inlineStr">
        <is>
          <t>VÄSTMANLANDS LÄN</t>
        </is>
      </c>
      <c r="E124" t="inlineStr">
        <is>
          <t>SALA</t>
        </is>
      </c>
      <c r="G124" t="n">
        <v>7.8</v>
      </c>
      <c r="H124" t="n">
        <v>0</v>
      </c>
      <c r="I124" t="n">
        <v>0</v>
      </c>
      <c r="J124" t="n">
        <v>0</v>
      </c>
      <c r="K124" t="n">
        <v>0</v>
      </c>
      <c r="L124" t="n">
        <v>0</v>
      </c>
      <c r="M124" t="n">
        <v>0</v>
      </c>
      <c r="N124" t="n">
        <v>0</v>
      </c>
      <c r="O124" t="n">
        <v>0</v>
      </c>
      <c r="P124" t="n">
        <v>0</v>
      </c>
      <c r="Q124" t="n">
        <v>0</v>
      </c>
      <c r="R124" s="2" t="inlineStr"/>
    </row>
    <row r="125" ht="15" customHeight="1">
      <c r="A125" t="inlineStr">
        <is>
          <t>A 61758-2019</t>
        </is>
      </c>
      <c r="B125" s="1" t="n">
        <v>43784</v>
      </c>
      <c r="C125" s="1" t="n">
        <v>45576</v>
      </c>
      <c r="D125" t="inlineStr">
        <is>
          <t>VÄSTMANLANDS LÄN</t>
        </is>
      </c>
      <c r="E125" t="inlineStr">
        <is>
          <t>SALA</t>
        </is>
      </c>
      <c r="G125" t="n">
        <v>1.3</v>
      </c>
      <c r="H125" t="n">
        <v>0</v>
      </c>
      <c r="I125" t="n">
        <v>0</v>
      </c>
      <c r="J125" t="n">
        <v>0</v>
      </c>
      <c r="K125" t="n">
        <v>0</v>
      </c>
      <c r="L125" t="n">
        <v>0</v>
      </c>
      <c r="M125" t="n">
        <v>0</v>
      </c>
      <c r="N125" t="n">
        <v>0</v>
      </c>
      <c r="O125" t="n">
        <v>0</v>
      </c>
      <c r="P125" t="n">
        <v>0</v>
      </c>
      <c r="Q125" t="n">
        <v>0</v>
      </c>
      <c r="R125" s="2" t="inlineStr"/>
    </row>
    <row r="126" ht="15" customHeight="1">
      <c r="A126" t="inlineStr">
        <is>
          <t>A 62390-2019</t>
        </is>
      </c>
      <c r="B126" s="1" t="n">
        <v>43788</v>
      </c>
      <c r="C126" s="1" t="n">
        <v>45576</v>
      </c>
      <c r="D126" t="inlineStr">
        <is>
          <t>VÄSTMANLANDS LÄN</t>
        </is>
      </c>
      <c r="E126" t="inlineStr">
        <is>
          <t>SALA</t>
        </is>
      </c>
      <c r="G126" t="n">
        <v>0.9</v>
      </c>
      <c r="H126" t="n">
        <v>0</v>
      </c>
      <c r="I126" t="n">
        <v>0</v>
      </c>
      <c r="J126" t="n">
        <v>0</v>
      </c>
      <c r="K126" t="n">
        <v>0</v>
      </c>
      <c r="L126" t="n">
        <v>0</v>
      </c>
      <c r="M126" t="n">
        <v>0</v>
      </c>
      <c r="N126" t="n">
        <v>0</v>
      </c>
      <c r="O126" t="n">
        <v>0</v>
      </c>
      <c r="P126" t="n">
        <v>0</v>
      </c>
      <c r="Q126" t="n">
        <v>0</v>
      </c>
      <c r="R126" s="2" t="inlineStr"/>
    </row>
    <row r="127" ht="15" customHeight="1">
      <c r="A127" t="inlineStr">
        <is>
          <t>A 64164-2019</t>
        </is>
      </c>
      <c r="B127" s="1" t="n">
        <v>43791</v>
      </c>
      <c r="C127" s="1" t="n">
        <v>45576</v>
      </c>
      <c r="D127" t="inlineStr">
        <is>
          <t>VÄSTMANLANDS LÄN</t>
        </is>
      </c>
      <c r="E127" t="inlineStr">
        <is>
          <t>SALA</t>
        </is>
      </c>
      <c r="G127" t="n">
        <v>1.1</v>
      </c>
      <c r="H127" t="n">
        <v>0</v>
      </c>
      <c r="I127" t="n">
        <v>0</v>
      </c>
      <c r="J127" t="n">
        <v>0</v>
      </c>
      <c r="K127" t="n">
        <v>0</v>
      </c>
      <c r="L127" t="n">
        <v>0</v>
      </c>
      <c r="M127" t="n">
        <v>0</v>
      </c>
      <c r="N127" t="n">
        <v>0</v>
      </c>
      <c r="O127" t="n">
        <v>0</v>
      </c>
      <c r="P127" t="n">
        <v>0</v>
      </c>
      <c r="Q127" t="n">
        <v>0</v>
      </c>
      <c r="R127" s="2" t="inlineStr"/>
    </row>
    <row r="128" ht="15" customHeight="1">
      <c r="A128" t="inlineStr">
        <is>
          <t>A 63369-2019</t>
        </is>
      </c>
      <c r="B128" s="1" t="n">
        <v>43794</v>
      </c>
      <c r="C128" s="1" t="n">
        <v>45576</v>
      </c>
      <c r="D128" t="inlineStr">
        <is>
          <t>VÄSTMANLANDS LÄN</t>
        </is>
      </c>
      <c r="E128" t="inlineStr">
        <is>
          <t>SALA</t>
        </is>
      </c>
      <c r="G128" t="n">
        <v>0.4</v>
      </c>
      <c r="H128" t="n">
        <v>0</v>
      </c>
      <c r="I128" t="n">
        <v>0</v>
      </c>
      <c r="J128" t="n">
        <v>0</v>
      </c>
      <c r="K128" t="n">
        <v>0</v>
      </c>
      <c r="L128" t="n">
        <v>0</v>
      </c>
      <c r="M128" t="n">
        <v>0</v>
      </c>
      <c r="N128" t="n">
        <v>0</v>
      </c>
      <c r="O128" t="n">
        <v>0</v>
      </c>
      <c r="P128" t="n">
        <v>0</v>
      </c>
      <c r="Q128" t="n">
        <v>0</v>
      </c>
      <c r="R128" s="2" t="inlineStr"/>
    </row>
    <row r="129" ht="15" customHeight="1">
      <c r="A129" t="inlineStr">
        <is>
          <t>A 63498-2019</t>
        </is>
      </c>
      <c r="B129" s="1" t="n">
        <v>43794</v>
      </c>
      <c r="C129" s="1" t="n">
        <v>45576</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64090-2019</t>
        </is>
      </c>
      <c r="B130" s="1" t="n">
        <v>43796</v>
      </c>
      <c r="C130" s="1" t="n">
        <v>45576</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64092-2019</t>
        </is>
      </c>
      <c r="B131" s="1" t="n">
        <v>43796</v>
      </c>
      <c r="C131" s="1" t="n">
        <v>45576</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65021-2019</t>
        </is>
      </c>
      <c r="B132" s="1" t="n">
        <v>43801</v>
      </c>
      <c r="C132" s="1" t="n">
        <v>45576</v>
      </c>
      <c r="D132" t="inlineStr">
        <is>
          <t>VÄSTMANLANDS LÄN</t>
        </is>
      </c>
      <c r="E132" t="inlineStr">
        <is>
          <t>SALA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66089-2019</t>
        </is>
      </c>
      <c r="B133" s="1" t="n">
        <v>43807</v>
      </c>
      <c r="C133" s="1" t="n">
        <v>45576</v>
      </c>
      <c r="D133" t="inlineStr">
        <is>
          <t>VÄSTMANLANDS LÄN</t>
        </is>
      </c>
      <c r="E133" t="inlineStr">
        <is>
          <t>SALA</t>
        </is>
      </c>
      <c r="G133" t="n">
        <v>17.1</v>
      </c>
      <c r="H133" t="n">
        <v>0</v>
      </c>
      <c r="I133" t="n">
        <v>0</v>
      </c>
      <c r="J133" t="n">
        <v>0</v>
      </c>
      <c r="K133" t="n">
        <v>0</v>
      </c>
      <c r="L133" t="n">
        <v>0</v>
      </c>
      <c r="M133" t="n">
        <v>0</v>
      </c>
      <c r="N133" t="n">
        <v>0</v>
      </c>
      <c r="O133" t="n">
        <v>0</v>
      </c>
      <c r="P133" t="n">
        <v>0</v>
      </c>
      <c r="Q133" t="n">
        <v>0</v>
      </c>
      <c r="R133" s="2" t="inlineStr"/>
    </row>
    <row r="134" ht="15" customHeight="1">
      <c r="A134" t="inlineStr">
        <is>
          <t>A 66216-2019</t>
        </is>
      </c>
      <c r="B134" s="1" t="n">
        <v>43808</v>
      </c>
      <c r="C134" s="1" t="n">
        <v>45576</v>
      </c>
      <c r="D134" t="inlineStr">
        <is>
          <t>VÄSTMANLANDS LÄN</t>
        </is>
      </c>
      <c r="E134" t="inlineStr">
        <is>
          <t>SALA</t>
        </is>
      </c>
      <c r="F134" t="inlineStr">
        <is>
          <t>Kommuner</t>
        </is>
      </c>
      <c r="G134" t="n">
        <v>3.7</v>
      </c>
      <c r="H134" t="n">
        <v>0</v>
      </c>
      <c r="I134" t="n">
        <v>0</v>
      </c>
      <c r="J134" t="n">
        <v>0</v>
      </c>
      <c r="K134" t="n">
        <v>0</v>
      </c>
      <c r="L134" t="n">
        <v>0</v>
      </c>
      <c r="M134" t="n">
        <v>0</v>
      </c>
      <c r="N134" t="n">
        <v>0</v>
      </c>
      <c r="O134" t="n">
        <v>0</v>
      </c>
      <c r="P134" t="n">
        <v>0</v>
      </c>
      <c r="Q134" t="n">
        <v>0</v>
      </c>
      <c r="R134" s="2" t="inlineStr"/>
    </row>
    <row r="135" ht="15" customHeight="1">
      <c r="A135" t="inlineStr">
        <is>
          <t>A 67360-2019</t>
        </is>
      </c>
      <c r="B135" s="1" t="n">
        <v>43812</v>
      </c>
      <c r="C135" s="1" t="n">
        <v>45576</v>
      </c>
      <c r="D135" t="inlineStr">
        <is>
          <t>VÄSTMANLANDS LÄN</t>
        </is>
      </c>
      <c r="E135" t="inlineStr">
        <is>
          <t>SALA</t>
        </is>
      </c>
      <c r="G135" t="n">
        <v>4.9</v>
      </c>
      <c r="H135" t="n">
        <v>0</v>
      </c>
      <c r="I135" t="n">
        <v>0</v>
      </c>
      <c r="J135" t="n">
        <v>0</v>
      </c>
      <c r="K135" t="n">
        <v>0</v>
      </c>
      <c r="L135" t="n">
        <v>0</v>
      </c>
      <c r="M135" t="n">
        <v>0</v>
      </c>
      <c r="N135" t="n">
        <v>0</v>
      </c>
      <c r="O135" t="n">
        <v>0</v>
      </c>
      <c r="P135" t="n">
        <v>0</v>
      </c>
      <c r="Q135" t="n">
        <v>0</v>
      </c>
      <c r="R135" s="2" t="inlineStr"/>
    </row>
    <row r="136" ht="15" customHeight="1">
      <c r="A136" t="inlineStr">
        <is>
          <t>A 68398-2019</t>
        </is>
      </c>
      <c r="B136" s="1" t="n">
        <v>43818</v>
      </c>
      <c r="C136" s="1" t="n">
        <v>45576</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68394-2019</t>
        </is>
      </c>
      <c r="B137" s="1" t="n">
        <v>43818</v>
      </c>
      <c r="C137" s="1" t="n">
        <v>45576</v>
      </c>
      <c r="D137" t="inlineStr">
        <is>
          <t>VÄSTMANLANDS LÄN</t>
        </is>
      </c>
      <c r="E137" t="inlineStr">
        <is>
          <t>SALA</t>
        </is>
      </c>
      <c r="G137" t="n">
        <v>1.6</v>
      </c>
      <c r="H137" t="n">
        <v>0</v>
      </c>
      <c r="I137" t="n">
        <v>0</v>
      </c>
      <c r="J137" t="n">
        <v>0</v>
      </c>
      <c r="K137" t="n">
        <v>0</v>
      </c>
      <c r="L137" t="n">
        <v>0</v>
      </c>
      <c r="M137" t="n">
        <v>0</v>
      </c>
      <c r="N137" t="n">
        <v>0</v>
      </c>
      <c r="O137" t="n">
        <v>0</v>
      </c>
      <c r="P137" t="n">
        <v>0</v>
      </c>
      <c r="Q137" t="n">
        <v>0</v>
      </c>
      <c r="R137" s="2" t="inlineStr"/>
    </row>
    <row r="138" ht="15" customHeight="1">
      <c r="A138" t="inlineStr">
        <is>
          <t>A 1465-2020</t>
        </is>
      </c>
      <c r="B138" s="1" t="n">
        <v>43822</v>
      </c>
      <c r="C138" s="1" t="n">
        <v>45576</v>
      </c>
      <c r="D138" t="inlineStr">
        <is>
          <t>VÄSTMANLANDS LÄN</t>
        </is>
      </c>
      <c r="E138" t="inlineStr">
        <is>
          <t>SALA</t>
        </is>
      </c>
      <c r="G138" t="n">
        <v>4.1</v>
      </c>
      <c r="H138" t="n">
        <v>0</v>
      </c>
      <c r="I138" t="n">
        <v>0</v>
      </c>
      <c r="J138" t="n">
        <v>0</v>
      </c>
      <c r="K138" t="n">
        <v>0</v>
      </c>
      <c r="L138" t="n">
        <v>0</v>
      </c>
      <c r="M138" t="n">
        <v>0</v>
      </c>
      <c r="N138" t="n">
        <v>0</v>
      </c>
      <c r="O138" t="n">
        <v>0</v>
      </c>
      <c r="P138" t="n">
        <v>0</v>
      </c>
      <c r="Q138" t="n">
        <v>0</v>
      </c>
      <c r="R138" s="2" t="inlineStr"/>
    </row>
    <row r="139" ht="15" customHeight="1">
      <c r="A139" t="inlineStr">
        <is>
          <t>A 63-2020</t>
        </is>
      </c>
      <c r="B139" s="1" t="n">
        <v>43832</v>
      </c>
      <c r="C139" s="1" t="n">
        <v>45576</v>
      </c>
      <c r="D139" t="inlineStr">
        <is>
          <t>VÄSTMANLANDS LÄN</t>
        </is>
      </c>
      <c r="E139" t="inlineStr">
        <is>
          <t>SALA</t>
        </is>
      </c>
      <c r="G139" t="n">
        <v>4.6</v>
      </c>
      <c r="H139" t="n">
        <v>0</v>
      </c>
      <c r="I139" t="n">
        <v>0</v>
      </c>
      <c r="J139" t="n">
        <v>0</v>
      </c>
      <c r="K139" t="n">
        <v>0</v>
      </c>
      <c r="L139" t="n">
        <v>0</v>
      </c>
      <c r="M139" t="n">
        <v>0</v>
      </c>
      <c r="N139" t="n">
        <v>0</v>
      </c>
      <c r="O139" t="n">
        <v>0</v>
      </c>
      <c r="P139" t="n">
        <v>0</v>
      </c>
      <c r="Q139" t="n">
        <v>0</v>
      </c>
      <c r="R139" s="2" t="inlineStr"/>
    </row>
    <row r="140" ht="15" customHeight="1">
      <c r="A140" t="inlineStr">
        <is>
          <t>A 151-2020</t>
        </is>
      </c>
      <c r="B140" s="1" t="n">
        <v>43833</v>
      </c>
      <c r="C140" s="1" t="n">
        <v>45576</v>
      </c>
      <c r="D140" t="inlineStr">
        <is>
          <t>VÄSTMANLANDS LÄN</t>
        </is>
      </c>
      <c r="E140" t="inlineStr">
        <is>
          <t>SALA</t>
        </is>
      </c>
      <c r="F140" t="inlineStr">
        <is>
          <t>Kyrkan</t>
        </is>
      </c>
      <c r="G140" t="n">
        <v>6.5</v>
      </c>
      <c r="H140" t="n">
        <v>0</v>
      </c>
      <c r="I140" t="n">
        <v>0</v>
      </c>
      <c r="J140" t="n">
        <v>0</v>
      </c>
      <c r="K140" t="n">
        <v>0</v>
      </c>
      <c r="L140" t="n">
        <v>0</v>
      </c>
      <c r="M140" t="n">
        <v>0</v>
      </c>
      <c r="N140" t="n">
        <v>0</v>
      </c>
      <c r="O140" t="n">
        <v>0</v>
      </c>
      <c r="P140" t="n">
        <v>0</v>
      </c>
      <c r="Q140" t="n">
        <v>0</v>
      </c>
      <c r="R140" s="2" t="inlineStr"/>
    </row>
    <row r="141" ht="15" customHeight="1">
      <c r="A141" t="inlineStr">
        <is>
          <t>A 161-2020</t>
        </is>
      </c>
      <c r="B141" s="1" t="n">
        <v>43833</v>
      </c>
      <c r="C141" s="1" t="n">
        <v>45576</v>
      </c>
      <c r="D141" t="inlineStr">
        <is>
          <t>VÄSTMANLANDS LÄN</t>
        </is>
      </c>
      <c r="E141" t="inlineStr">
        <is>
          <t>SALA</t>
        </is>
      </c>
      <c r="F141" t="inlineStr">
        <is>
          <t>Kyrkan</t>
        </is>
      </c>
      <c r="G141" t="n">
        <v>1.6</v>
      </c>
      <c r="H141" t="n">
        <v>0</v>
      </c>
      <c r="I141" t="n">
        <v>0</v>
      </c>
      <c r="J141" t="n">
        <v>0</v>
      </c>
      <c r="K141" t="n">
        <v>0</v>
      </c>
      <c r="L141" t="n">
        <v>0</v>
      </c>
      <c r="M141" t="n">
        <v>0</v>
      </c>
      <c r="N141" t="n">
        <v>0</v>
      </c>
      <c r="O141" t="n">
        <v>0</v>
      </c>
      <c r="P141" t="n">
        <v>0</v>
      </c>
      <c r="Q141" t="n">
        <v>0</v>
      </c>
      <c r="R141" s="2" t="inlineStr"/>
    </row>
    <row r="142" ht="15" customHeight="1">
      <c r="A142" t="inlineStr">
        <is>
          <t>A 297-2020</t>
        </is>
      </c>
      <c r="B142" s="1" t="n">
        <v>43837</v>
      </c>
      <c r="C142" s="1" t="n">
        <v>45576</v>
      </c>
      <c r="D142" t="inlineStr">
        <is>
          <t>VÄSTMANLANDS LÄN</t>
        </is>
      </c>
      <c r="E142" t="inlineStr">
        <is>
          <t>SALA</t>
        </is>
      </c>
      <c r="F142" t="inlineStr">
        <is>
          <t>Kyrkan</t>
        </is>
      </c>
      <c r="G142" t="n">
        <v>0.3</v>
      </c>
      <c r="H142" t="n">
        <v>0</v>
      </c>
      <c r="I142" t="n">
        <v>0</v>
      </c>
      <c r="J142" t="n">
        <v>0</v>
      </c>
      <c r="K142" t="n">
        <v>0</v>
      </c>
      <c r="L142" t="n">
        <v>0</v>
      </c>
      <c r="M142" t="n">
        <v>0</v>
      </c>
      <c r="N142" t="n">
        <v>0</v>
      </c>
      <c r="O142" t="n">
        <v>0</v>
      </c>
      <c r="P142" t="n">
        <v>0</v>
      </c>
      <c r="Q142" t="n">
        <v>0</v>
      </c>
      <c r="R142" s="2" t="inlineStr"/>
    </row>
    <row r="143" ht="15" customHeight="1">
      <c r="A143" t="inlineStr">
        <is>
          <t>A 496-2020</t>
        </is>
      </c>
      <c r="B143" s="1" t="n">
        <v>43837</v>
      </c>
      <c r="C143" s="1" t="n">
        <v>45576</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1005-2020</t>
        </is>
      </c>
      <c r="B144" s="1" t="n">
        <v>43839</v>
      </c>
      <c r="C144" s="1" t="n">
        <v>45576</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1272-2020</t>
        </is>
      </c>
      <c r="B145" s="1" t="n">
        <v>43841</v>
      </c>
      <c r="C145" s="1" t="n">
        <v>45576</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1346-2020</t>
        </is>
      </c>
      <c r="B146" s="1" t="n">
        <v>43843</v>
      </c>
      <c r="C146" s="1" t="n">
        <v>45576</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3935-2020</t>
        </is>
      </c>
      <c r="B147" s="1" t="n">
        <v>43846</v>
      </c>
      <c r="C147" s="1" t="n">
        <v>45576</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2588-2020</t>
        </is>
      </c>
      <c r="B148" s="1" t="n">
        <v>43847</v>
      </c>
      <c r="C148" s="1" t="n">
        <v>45576</v>
      </c>
      <c r="D148" t="inlineStr">
        <is>
          <t>VÄSTMANLANDS LÄN</t>
        </is>
      </c>
      <c r="E148" t="inlineStr">
        <is>
          <t>SALA</t>
        </is>
      </c>
      <c r="G148" t="n">
        <v>1.8</v>
      </c>
      <c r="H148" t="n">
        <v>0</v>
      </c>
      <c r="I148" t="n">
        <v>0</v>
      </c>
      <c r="J148" t="n">
        <v>0</v>
      </c>
      <c r="K148" t="n">
        <v>0</v>
      </c>
      <c r="L148" t="n">
        <v>0</v>
      </c>
      <c r="M148" t="n">
        <v>0</v>
      </c>
      <c r="N148" t="n">
        <v>0</v>
      </c>
      <c r="O148" t="n">
        <v>0</v>
      </c>
      <c r="P148" t="n">
        <v>0</v>
      </c>
      <c r="Q148" t="n">
        <v>0</v>
      </c>
      <c r="R148" s="2" t="inlineStr"/>
    </row>
    <row r="149" ht="15" customHeight="1">
      <c r="A149" t="inlineStr">
        <is>
          <t>A 4630-2020</t>
        </is>
      </c>
      <c r="B149" s="1" t="n">
        <v>43851</v>
      </c>
      <c r="C149" s="1" t="n">
        <v>45576</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3590-2020</t>
        </is>
      </c>
      <c r="B150" s="1" t="n">
        <v>43853</v>
      </c>
      <c r="C150" s="1" t="n">
        <v>45576</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4866-2020</t>
        </is>
      </c>
      <c r="B151" s="1" t="n">
        <v>43859</v>
      </c>
      <c r="C151" s="1" t="n">
        <v>45576</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5201-2020</t>
        </is>
      </c>
      <c r="B152" s="1" t="n">
        <v>43860</v>
      </c>
      <c r="C152" s="1" t="n">
        <v>45576</v>
      </c>
      <c r="D152" t="inlineStr">
        <is>
          <t>VÄSTMANLANDS LÄN</t>
        </is>
      </c>
      <c r="E152" t="inlineStr">
        <is>
          <t>SALA</t>
        </is>
      </c>
      <c r="F152" t="inlineStr">
        <is>
          <t>Kyrkan</t>
        </is>
      </c>
      <c r="G152" t="n">
        <v>5</v>
      </c>
      <c r="H152" t="n">
        <v>0</v>
      </c>
      <c r="I152" t="n">
        <v>0</v>
      </c>
      <c r="J152" t="n">
        <v>0</v>
      </c>
      <c r="K152" t="n">
        <v>0</v>
      </c>
      <c r="L152" t="n">
        <v>0</v>
      </c>
      <c r="M152" t="n">
        <v>0</v>
      </c>
      <c r="N152" t="n">
        <v>0</v>
      </c>
      <c r="O152" t="n">
        <v>0</v>
      </c>
      <c r="P152" t="n">
        <v>0</v>
      </c>
      <c r="Q152" t="n">
        <v>0</v>
      </c>
      <c r="R152" s="2" t="inlineStr"/>
    </row>
    <row r="153" ht="15" customHeight="1">
      <c r="A153" t="inlineStr">
        <is>
          <t>A 5163-2020</t>
        </is>
      </c>
      <c r="B153" s="1" t="n">
        <v>43860</v>
      </c>
      <c r="C153" s="1" t="n">
        <v>45576</v>
      </c>
      <c r="D153" t="inlineStr">
        <is>
          <t>VÄSTMANLANDS LÄN</t>
        </is>
      </c>
      <c r="E153" t="inlineStr">
        <is>
          <t>SALA</t>
        </is>
      </c>
      <c r="G153" t="n">
        <v>1.9</v>
      </c>
      <c r="H153" t="n">
        <v>0</v>
      </c>
      <c r="I153" t="n">
        <v>0</v>
      </c>
      <c r="J153" t="n">
        <v>0</v>
      </c>
      <c r="K153" t="n">
        <v>0</v>
      </c>
      <c r="L153" t="n">
        <v>0</v>
      </c>
      <c r="M153" t="n">
        <v>0</v>
      </c>
      <c r="N153" t="n">
        <v>0</v>
      </c>
      <c r="O153" t="n">
        <v>0</v>
      </c>
      <c r="P153" t="n">
        <v>0</v>
      </c>
      <c r="Q153" t="n">
        <v>0</v>
      </c>
      <c r="R153" s="2" t="inlineStr"/>
    </row>
    <row r="154" ht="15" customHeight="1">
      <c r="A154" t="inlineStr">
        <is>
          <t>A 5191-2020</t>
        </is>
      </c>
      <c r="B154" s="1" t="n">
        <v>43860</v>
      </c>
      <c r="C154" s="1" t="n">
        <v>45576</v>
      </c>
      <c r="D154" t="inlineStr">
        <is>
          <t>VÄSTMANLANDS LÄN</t>
        </is>
      </c>
      <c r="E154" t="inlineStr">
        <is>
          <t>SALA</t>
        </is>
      </c>
      <c r="F154" t="inlineStr">
        <is>
          <t>Kyrkan</t>
        </is>
      </c>
      <c r="G154" t="n">
        <v>10.9</v>
      </c>
      <c r="H154" t="n">
        <v>0</v>
      </c>
      <c r="I154" t="n">
        <v>0</v>
      </c>
      <c r="J154" t="n">
        <v>0</v>
      </c>
      <c r="K154" t="n">
        <v>0</v>
      </c>
      <c r="L154" t="n">
        <v>0</v>
      </c>
      <c r="M154" t="n">
        <v>0</v>
      </c>
      <c r="N154" t="n">
        <v>0</v>
      </c>
      <c r="O154" t="n">
        <v>0</v>
      </c>
      <c r="P154" t="n">
        <v>0</v>
      </c>
      <c r="Q154" t="n">
        <v>0</v>
      </c>
      <c r="R154" s="2" t="inlineStr"/>
    </row>
    <row r="155" ht="15" customHeight="1">
      <c r="A155" t="inlineStr">
        <is>
          <t>A 5320-2020</t>
        </is>
      </c>
      <c r="B155" s="1" t="n">
        <v>43860</v>
      </c>
      <c r="C155" s="1" t="n">
        <v>45576</v>
      </c>
      <c r="D155" t="inlineStr">
        <is>
          <t>VÄSTMANLANDS LÄN</t>
        </is>
      </c>
      <c r="E155" t="inlineStr">
        <is>
          <t>SALA</t>
        </is>
      </c>
      <c r="G155" t="n">
        <v>3.1</v>
      </c>
      <c r="H155" t="n">
        <v>0</v>
      </c>
      <c r="I155" t="n">
        <v>0</v>
      </c>
      <c r="J155" t="n">
        <v>0</v>
      </c>
      <c r="K155" t="n">
        <v>0</v>
      </c>
      <c r="L155" t="n">
        <v>0</v>
      </c>
      <c r="M155" t="n">
        <v>0</v>
      </c>
      <c r="N155" t="n">
        <v>0</v>
      </c>
      <c r="O155" t="n">
        <v>0</v>
      </c>
      <c r="P155" t="n">
        <v>0</v>
      </c>
      <c r="Q155" t="n">
        <v>0</v>
      </c>
      <c r="R155" s="2" t="inlineStr"/>
    </row>
    <row r="156" ht="15" customHeight="1">
      <c r="A156" t="inlineStr">
        <is>
          <t>A 5587-2020</t>
        </is>
      </c>
      <c r="B156" s="1" t="n">
        <v>43861</v>
      </c>
      <c r="C156" s="1" t="n">
        <v>45576</v>
      </c>
      <c r="D156" t="inlineStr">
        <is>
          <t>VÄSTMANLANDS LÄN</t>
        </is>
      </c>
      <c r="E156" t="inlineStr">
        <is>
          <t>SALA</t>
        </is>
      </c>
      <c r="G156" t="n">
        <v>9.6</v>
      </c>
      <c r="H156" t="n">
        <v>0</v>
      </c>
      <c r="I156" t="n">
        <v>0</v>
      </c>
      <c r="J156" t="n">
        <v>0</v>
      </c>
      <c r="K156" t="n">
        <v>0</v>
      </c>
      <c r="L156" t="n">
        <v>0</v>
      </c>
      <c r="M156" t="n">
        <v>0</v>
      </c>
      <c r="N156" t="n">
        <v>0</v>
      </c>
      <c r="O156" t="n">
        <v>0</v>
      </c>
      <c r="P156" t="n">
        <v>0</v>
      </c>
      <c r="Q156" t="n">
        <v>0</v>
      </c>
      <c r="R156" s="2" t="inlineStr"/>
    </row>
    <row r="157" ht="15" customHeight="1">
      <c r="A157" t="inlineStr">
        <is>
          <t>A 5750-2020</t>
        </is>
      </c>
      <c r="B157" s="1" t="n">
        <v>43864</v>
      </c>
      <c r="C157" s="1" t="n">
        <v>45576</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6185-2020</t>
        </is>
      </c>
      <c r="B158" s="1" t="n">
        <v>43865</v>
      </c>
      <c r="C158" s="1" t="n">
        <v>45576</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7190-2020</t>
        </is>
      </c>
      <c r="B159" s="1" t="n">
        <v>43868</v>
      </c>
      <c r="C159" s="1" t="n">
        <v>45576</v>
      </c>
      <c r="D159" t="inlineStr">
        <is>
          <t>VÄSTMANLANDS LÄN</t>
        </is>
      </c>
      <c r="E159" t="inlineStr">
        <is>
          <t>SALA</t>
        </is>
      </c>
      <c r="G159" t="n">
        <v>4.5</v>
      </c>
      <c r="H159" t="n">
        <v>0</v>
      </c>
      <c r="I159" t="n">
        <v>0</v>
      </c>
      <c r="J159" t="n">
        <v>0</v>
      </c>
      <c r="K159" t="n">
        <v>0</v>
      </c>
      <c r="L159" t="n">
        <v>0</v>
      </c>
      <c r="M159" t="n">
        <v>0</v>
      </c>
      <c r="N159" t="n">
        <v>0</v>
      </c>
      <c r="O159" t="n">
        <v>0</v>
      </c>
      <c r="P159" t="n">
        <v>0</v>
      </c>
      <c r="Q159" t="n">
        <v>0</v>
      </c>
      <c r="R159" s="2" t="inlineStr"/>
    </row>
    <row r="160" ht="15" customHeight="1">
      <c r="A160" t="inlineStr">
        <is>
          <t>A 10010-2020</t>
        </is>
      </c>
      <c r="B160" s="1" t="n">
        <v>43882</v>
      </c>
      <c r="C160" s="1" t="n">
        <v>45576</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10276-2020</t>
        </is>
      </c>
      <c r="B161" s="1" t="n">
        <v>43885</v>
      </c>
      <c r="C161" s="1" t="n">
        <v>45576</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10811-2020</t>
        </is>
      </c>
      <c r="B162" s="1" t="n">
        <v>43888</v>
      </c>
      <c r="C162" s="1" t="n">
        <v>45576</v>
      </c>
      <c r="D162" t="inlineStr">
        <is>
          <t>VÄSTMANLANDS LÄN</t>
        </is>
      </c>
      <c r="E162" t="inlineStr">
        <is>
          <t>SALA</t>
        </is>
      </c>
      <c r="G162" t="n">
        <v>3.9</v>
      </c>
      <c r="H162" t="n">
        <v>0</v>
      </c>
      <c r="I162" t="n">
        <v>0</v>
      </c>
      <c r="J162" t="n">
        <v>0</v>
      </c>
      <c r="K162" t="n">
        <v>0</v>
      </c>
      <c r="L162" t="n">
        <v>0</v>
      </c>
      <c r="M162" t="n">
        <v>0</v>
      </c>
      <c r="N162" t="n">
        <v>0</v>
      </c>
      <c r="O162" t="n">
        <v>0</v>
      </c>
      <c r="P162" t="n">
        <v>0</v>
      </c>
      <c r="Q162" t="n">
        <v>0</v>
      </c>
      <c r="R162" s="2" t="inlineStr"/>
    </row>
    <row r="163" ht="15" customHeight="1">
      <c r="A163" t="inlineStr">
        <is>
          <t>A 14110-2020</t>
        </is>
      </c>
      <c r="B163" s="1" t="n">
        <v>43900</v>
      </c>
      <c r="C163" s="1" t="n">
        <v>45576</v>
      </c>
      <c r="D163" t="inlineStr">
        <is>
          <t>VÄSTMANLANDS LÄN</t>
        </is>
      </c>
      <c r="E163" t="inlineStr">
        <is>
          <t>SALA</t>
        </is>
      </c>
      <c r="G163" t="n">
        <v>2.5</v>
      </c>
      <c r="H163" t="n">
        <v>0</v>
      </c>
      <c r="I163" t="n">
        <v>0</v>
      </c>
      <c r="J163" t="n">
        <v>0</v>
      </c>
      <c r="K163" t="n">
        <v>0</v>
      </c>
      <c r="L163" t="n">
        <v>0</v>
      </c>
      <c r="M163" t="n">
        <v>0</v>
      </c>
      <c r="N163" t="n">
        <v>0</v>
      </c>
      <c r="O163" t="n">
        <v>0</v>
      </c>
      <c r="P163" t="n">
        <v>0</v>
      </c>
      <c r="Q163" t="n">
        <v>0</v>
      </c>
      <c r="R163" s="2" t="inlineStr"/>
    </row>
    <row r="164" ht="15" customHeight="1">
      <c r="A164" t="inlineStr">
        <is>
          <t>A 13643-2020</t>
        </is>
      </c>
      <c r="B164" s="1" t="n">
        <v>43903</v>
      </c>
      <c r="C164" s="1" t="n">
        <v>45576</v>
      </c>
      <c r="D164" t="inlineStr">
        <is>
          <t>VÄSTMANLANDS LÄN</t>
        </is>
      </c>
      <c r="E164" t="inlineStr">
        <is>
          <t>SALA</t>
        </is>
      </c>
      <c r="G164" t="n">
        <v>2.3</v>
      </c>
      <c r="H164" t="n">
        <v>0</v>
      </c>
      <c r="I164" t="n">
        <v>0</v>
      </c>
      <c r="J164" t="n">
        <v>0</v>
      </c>
      <c r="K164" t="n">
        <v>0</v>
      </c>
      <c r="L164" t="n">
        <v>0</v>
      </c>
      <c r="M164" t="n">
        <v>0</v>
      </c>
      <c r="N164" t="n">
        <v>0</v>
      </c>
      <c r="O164" t="n">
        <v>0</v>
      </c>
      <c r="P164" t="n">
        <v>0</v>
      </c>
      <c r="Q164" t="n">
        <v>0</v>
      </c>
      <c r="R164" s="2" t="inlineStr"/>
    </row>
    <row r="165" ht="15" customHeight="1">
      <c r="A165" t="inlineStr">
        <is>
          <t>A 13936-2020</t>
        </is>
      </c>
      <c r="B165" s="1" t="n">
        <v>43903</v>
      </c>
      <c r="C165" s="1" t="n">
        <v>45576</v>
      </c>
      <c r="D165" t="inlineStr">
        <is>
          <t>VÄSTMANLANDS LÄN</t>
        </is>
      </c>
      <c r="E165" t="inlineStr">
        <is>
          <t>SALA</t>
        </is>
      </c>
      <c r="G165" t="n">
        <v>1.7</v>
      </c>
      <c r="H165" t="n">
        <v>0</v>
      </c>
      <c r="I165" t="n">
        <v>0</v>
      </c>
      <c r="J165" t="n">
        <v>0</v>
      </c>
      <c r="K165" t="n">
        <v>0</v>
      </c>
      <c r="L165" t="n">
        <v>0</v>
      </c>
      <c r="M165" t="n">
        <v>0</v>
      </c>
      <c r="N165" t="n">
        <v>0</v>
      </c>
      <c r="O165" t="n">
        <v>0</v>
      </c>
      <c r="P165" t="n">
        <v>0</v>
      </c>
      <c r="Q165" t="n">
        <v>0</v>
      </c>
      <c r="R165" s="2" t="inlineStr"/>
    </row>
    <row r="166" ht="15" customHeight="1">
      <c r="A166" t="inlineStr">
        <is>
          <t>A 14049-2020</t>
        </is>
      </c>
      <c r="B166" s="1" t="n">
        <v>43906</v>
      </c>
      <c r="C166" s="1" t="n">
        <v>45576</v>
      </c>
      <c r="D166" t="inlineStr">
        <is>
          <t>VÄSTMANLANDS LÄN</t>
        </is>
      </c>
      <c r="E166" t="inlineStr">
        <is>
          <t>SALA</t>
        </is>
      </c>
      <c r="G166" t="n">
        <v>4.4</v>
      </c>
      <c r="H166" t="n">
        <v>0</v>
      </c>
      <c r="I166" t="n">
        <v>0</v>
      </c>
      <c r="J166" t="n">
        <v>0</v>
      </c>
      <c r="K166" t="n">
        <v>0</v>
      </c>
      <c r="L166" t="n">
        <v>0</v>
      </c>
      <c r="M166" t="n">
        <v>0</v>
      </c>
      <c r="N166" t="n">
        <v>0</v>
      </c>
      <c r="O166" t="n">
        <v>0</v>
      </c>
      <c r="P166" t="n">
        <v>0</v>
      </c>
      <c r="Q166" t="n">
        <v>0</v>
      </c>
      <c r="R166" s="2" t="inlineStr"/>
    </row>
    <row r="167" ht="15" customHeight="1">
      <c r="A167" t="inlineStr">
        <is>
          <t>A 14542-2020</t>
        </is>
      </c>
      <c r="B167" s="1" t="n">
        <v>43908</v>
      </c>
      <c r="C167" s="1" t="n">
        <v>45576</v>
      </c>
      <c r="D167" t="inlineStr">
        <is>
          <t>VÄSTMANLANDS LÄN</t>
        </is>
      </c>
      <c r="E167" t="inlineStr">
        <is>
          <t>SALA</t>
        </is>
      </c>
      <c r="G167" t="n">
        <v>4.1</v>
      </c>
      <c r="H167" t="n">
        <v>0</v>
      </c>
      <c r="I167" t="n">
        <v>0</v>
      </c>
      <c r="J167" t="n">
        <v>0</v>
      </c>
      <c r="K167" t="n">
        <v>0</v>
      </c>
      <c r="L167" t="n">
        <v>0</v>
      </c>
      <c r="M167" t="n">
        <v>0</v>
      </c>
      <c r="N167" t="n">
        <v>0</v>
      </c>
      <c r="O167" t="n">
        <v>0</v>
      </c>
      <c r="P167" t="n">
        <v>0</v>
      </c>
      <c r="Q167" t="n">
        <v>0</v>
      </c>
      <c r="R167" s="2" t="inlineStr"/>
    </row>
    <row r="168" ht="15" customHeight="1">
      <c r="A168" t="inlineStr">
        <is>
          <t>A 16480-2020</t>
        </is>
      </c>
      <c r="B168" s="1" t="n">
        <v>43914</v>
      </c>
      <c r="C168" s="1" t="n">
        <v>45576</v>
      </c>
      <c r="D168" t="inlineStr">
        <is>
          <t>VÄSTMANLANDS LÄN</t>
        </is>
      </c>
      <c r="E168" t="inlineStr">
        <is>
          <t>SALA</t>
        </is>
      </c>
      <c r="G168" t="n">
        <v>1.4</v>
      </c>
      <c r="H168" t="n">
        <v>0</v>
      </c>
      <c r="I168" t="n">
        <v>0</v>
      </c>
      <c r="J168" t="n">
        <v>0</v>
      </c>
      <c r="K168" t="n">
        <v>0</v>
      </c>
      <c r="L168" t="n">
        <v>0</v>
      </c>
      <c r="M168" t="n">
        <v>0</v>
      </c>
      <c r="N168" t="n">
        <v>0</v>
      </c>
      <c r="O168" t="n">
        <v>0</v>
      </c>
      <c r="P168" t="n">
        <v>0</v>
      </c>
      <c r="Q168" t="n">
        <v>0</v>
      </c>
      <c r="R168" s="2" t="inlineStr"/>
    </row>
    <row r="169" ht="15" customHeight="1">
      <c r="A169" t="inlineStr">
        <is>
          <t>A 15850-2020</t>
        </is>
      </c>
      <c r="B169" s="1" t="n">
        <v>43915</v>
      </c>
      <c r="C169" s="1" t="n">
        <v>45576</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15748-2020</t>
        </is>
      </c>
      <c r="B170" s="1" t="n">
        <v>43915</v>
      </c>
      <c r="C170" s="1" t="n">
        <v>45576</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16093-2020</t>
        </is>
      </c>
      <c r="B171" s="1" t="n">
        <v>43916</v>
      </c>
      <c r="C171" s="1" t="n">
        <v>45576</v>
      </c>
      <c r="D171" t="inlineStr">
        <is>
          <t>VÄSTMANLANDS LÄN</t>
        </is>
      </c>
      <c r="E171" t="inlineStr">
        <is>
          <t>SALA</t>
        </is>
      </c>
      <c r="G171" t="n">
        <v>1.6</v>
      </c>
      <c r="H171" t="n">
        <v>0</v>
      </c>
      <c r="I171" t="n">
        <v>0</v>
      </c>
      <c r="J171" t="n">
        <v>0</v>
      </c>
      <c r="K171" t="n">
        <v>0</v>
      </c>
      <c r="L171" t="n">
        <v>0</v>
      </c>
      <c r="M171" t="n">
        <v>0</v>
      </c>
      <c r="N171" t="n">
        <v>0</v>
      </c>
      <c r="O171" t="n">
        <v>0</v>
      </c>
      <c r="P171" t="n">
        <v>0</v>
      </c>
      <c r="Q171" t="n">
        <v>0</v>
      </c>
      <c r="R171" s="2" t="inlineStr"/>
    </row>
    <row r="172" ht="15" customHeight="1">
      <c r="A172" t="inlineStr">
        <is>
          <t>A 17139-2020</t>
        </is>
      </c>
      <c r="B172" s="1" t="n">
        <v>43922</v>
      </c>
      <c r="C172" s="1" t="n">
        <v>45576</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17205-2020</t>
        </is>
      </c>
      <c r="B173" s="1" t="n">
        <v>43922</v>
      </c>
      <c r="C173" s="1" t="n">
        <v>45576</v>
      </c>
      <c r="D173" t="inlineStr">
        <is>
          <t>VÄSTMANLANDS LÄN</t>
        </is>
      </c>
      <c r="E173" t="inlineStr">
        <is>
          <t>SALA</t>
        </is>
      </c>
      <c r="G173" t="n">
        <v>3.2</v>
      </c>
      <c r="H173" t="n">
        <v>0</v>
      </c>
      <c r="I173" t="n">
        <v>0</v>
      </c>
      <c r="J173" t="n">
        <v>0</v>
      </c>
      <c r="K173" t="n">
        <v>0</v>
      </c>
      <c r="L173" t="n">
        <v>0</v>
      </c>
      <c r="M173" t="n">
        <v>0</v>
      </c>
      <c r="N173" t="n">
        <v>0</v>
      </c>
      <c r="O173" t="n">
        <v>0</v>
      </c>
      <c r="P173" t="n">
        <v>0</v>
      </c>
      <c r="Q173" t="n">
        <v>0</v>
      </c>
      <c r="R173" s="2" t="inlineStr"/>
    </row>
    <row r="174" ht="15" customHeight="1">
      <c r="A174" t="inlineStr">
        <is>
          <t>A 17355-2020</t>
        </is>
      </c>
      <c r="B174" s="1" t="n">
        <v>43923</v>
      </c>
      <c r="C174" s="1" t="n">
        <v>45576</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17492-2020</t>
        </is>
      </c>
      <c r="B175" s="1" t="n">
        <v>43923</v>
      </c>
      <c r="C175" s="1" t="n">
        <v>45576</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17919-2020</t>
        </is>
      </c>
      <c r="B176" s="1" t="n">
        <v>43924</v>
      </c>
      <c r="C176" s="1" t="n">
        <v>45576</v>
      </c>
      <c r="D176" t="inlineStr">
        <is>
          <t>VÄSTMANLANDS LÄN</t>
        </is>
      </c>
      <c r="E176" t="inlineStr">
        <is>
          <t>SALA</t>
        </is>
      </c>
      <c r="G176" t="n">
        <v>2.6</v>
      </c>
      <c r="H176" t="n">
        <v>0</v>
      </c>
      <c r="I176" t="n">
        <v>0</v>
      </c>
      <c r="J176" t="n">
        <v>0</v>
      </c>
      <c r="K176" t="n">
        <v>0</v>
      </c>
      <c r="L176" t="n">
        <v>0</v>
      </c>
      <c r="M176" t="n">
        <v>0</v>
      </c>
      <c r="N176" t="n">
        <v>0</v>
      </c>
      <c r="O176" t="n">
        <v>0</v>
      </c>
      <c r="P176" t="n">
        <v>0</v>
      </c>
      <c r="Q176" t="n">
        <v>0</v>
      </c>
      <c r="R176" s="2" t="inlineStr"/>
    </row>
    <row r="177" ht="15" customHeight="1">
      <c r="A177" t="inlineStr">
        <is>
          <t>A 18772-2020</t>
        </is>
      </c>
      <c r="B177" s="1" t="n">
        <v>43930</v>
      </c>
      <c r="C177" s="1" t="n">
        <v>45576</v>
      </c>
      <c r="D177" t="inlineStr">
        <is>
          <t>VÄSTMANLANDS LÄN</t>
        </is>
      </c>
      <c r="E177" t="inlineStr">
        <is>
          <t>SALA</t>
        </is>
      </c>
      <c r="G177" t="n">
        <v>3.5</v>
      </c>
      <c r="H177" t="n">
        <v>0</v>
      </c>
      <c r="I177" t="n">
        <v>0</v>
      </c>
      <c r="J177" t="n">
        <v>0</v>
      </c>
      <c r="K177" t="n">
        <v>0</v>
      </c>
      <c r="L177" t="n">
        <v>0</v>
      </c>
      <c r="M177" t="n">
        <v>0</v>
      </c>
      <c r="N177" t="n">
        <v>0</v>
      </c>
      <c r="O177" t="n">
        <v>0</v>
      </c>
      <c r="P177" t="n">
        <v>0</v>
      </c>
      <c r="Q177" t="n">
        <v>0</v>
      </c>
      <c r="R177" s="2" t="inlineStr"/>
    </row>
    <row r="178" ht="15" customHeight="1">
      <c r="A178" t="inlineStr">
        <is>
          <t>A 19071-2020</t>
        </is>
      </c>
      <c r="B178" s="1" t="n">
        <v>43936</v>
      </c>
      <c r="C178" s="1" t="n">
        <v>45576</v>
      </c>
      <c r="D178" t="inlineStr">
        <is>
          <t>VÄSTMANLANDS LÄN</t>
        </is>
      </c>
      <c r="E178" t="inlineStr">
        <is>
          <t>SALA</t>
        </is>
      </c>
      <c r="G178" t="n">
        <v>1</v>
      </c>
      <c r="H178" t="n">
        <v>0</v>
      </c>
      <c r="I178" t="n">
        <v>0</v>
      </c>
      <c r="J178" t="n">
        <v>0</v>
      </c>
      <c r="K178" t="n">
        <v>0</v>
      </c>
      <c r="L178" t="n">
        <v>0</v>
      </c>
      <c r="M178" t="n">
        <v>0</v>
      </c>
      <c r="N178" t="n">
        <v>0</v>
      </c>
      <c r="O178" t="n">
        <v>0</v>
      </c>
      <c r="P178" t="n">
        <v>0</v>
      </c>
      <c r="Q178" t="n">
        <v>0</v>
      </c>
      <c r="R178" s="2" t="inlineStr"/>
    </row>
    <row r="179" ht="15" customHeight="1">
      <c r="A179" t="inlineStr">
        <is>
          <t>A 19480-2020</t>
        </is>
      </c>
      <c r="B179" s="1" t="n">
        <v>43936</v>
      </c>
      <c r="C179" s="1" t="n">
        <v>45576</v>
      </c>
      <c r="D179" t="inlineStr">
        <is>
          <t>VÄSTMANLANDS LÄN</t>
        </is>
      </c>
      <c r="E179" t="inlineStr">
        <is>
          <t>SALA</t>
        </is>
      </c>
      <c r="G179" t="n">
        <v>4.8</v>
      </c>
      <c r="H179" t="n">
        <v>0</v>
      </c>
      <c r="I179" t="n">
        <v>0</v>
      </c>
      <c r="J179" t="n">
        <v>0</v>
      </c>
      <c r="K179" t="n">
        <v>0</v>
      </c>
      <c r="L179" t="n">
        <v>0</v>
      </c>
      <c r="M179" t="n">
        <v>0</v>
      </c>
      <c r="N179" t="n">
        <v>0</v>
      </c>
      <c r="O179" t="n">
        <v>0</v>
      </c>
      <c r="P179" t="n">
        <v>0</v>
      </c>
      <c r="Q179" t="n">
        <v>0</v>
      </c>
      <c r="R179" s="2" t="inlineStr"/>
    </row>
    <row r="180" ht="15" customHeight="1">
      <c r="A180" t="inlineStr">
        <is>
          <t>A 22305-2020</t>
        </is>
      </c>
      <c r="B180" s="1" t="n">
        <v>43957</v>
      </c>
      <c r="C180" s="1" t="n">
        <v>45576</v>
      </c>
      <c r="D180" t="inlineStr">
        <is>
          <t>VÄSTMANLANDS LÄN</t>
        </is>
      </c>
      <c r="E180" t="inlineStr">
        <is>
          <t>SALA</t>
        </is>
      </c>
      <c r="G180" t="n">
        <v>2.9</v>
      </c>
      <c r="H180" t="n">
        <v>0</v>
      </c>
      <c r="I180" t="n">
        <v>0</v>
      </c>
      <c r="J180" t="n">
        <v>0</v>
      </c>
      <c r="K180" t="n">
        <v>0</v>
      </c>
      <c r="L180" t="n">
        <v>0</v>
      </c>
      <c r="M180" t="n">
        <v>0</v>
      </c>
      <c r="N180" t="n">
        <v>0</v>
      </c>
      <c r="O180" t="n">
        <v>0</v>
      </c>
      <c r="P180" t="n">
        <v>0</v>
      </c>
      <c r="Q180" t="n">
        <v>0</v>
      </c>
      <c r="R180" s="2" t="inlineStr"/>
    </row>
    <row r="181" ht="15" customHeight="1">
      <c r="A181" t="inlineStr">
        <is>
          <t>A 22058-2020</t>
        </is>
      </c>
      <c r="B181" s="1" t="n">
        <v>43959</v>
      </c>
      <c r="C181" s="1" t="n">
        <v>45576</v>
      </c>
      <c r="D181" t="inlineStr">
        <is>
          <t>VÄSTMANLANDS LÄN</t>
        </is>
      </c>
      <c r="E181" t="inlineStr">
        <is>
          <t>SALA</t>
        </is>
      </c>
      <c r="G181" t="n">
        <v>3.1</v>
      </c>
      <c r="H181" t="n">
        <v>0</v>
      </c>
      <c r="I181" t="n">
        <v>0</v>
      </c>
      <c r="J181" t="n">
        <v>0</v>
      </c>
      <c r="K181" t="n">
        <v>0</v>
      </c>
      <c r="L181" t="n">
        <v>0</v>
      </c>
      <c r="M181" t="n">
        <v>0</v>
      </c>
      <c r="N181" t="n">
        <v>0</v>
      </c>
      <c r="O181" t="n">
        <v>0</v>
      </c>
      <c r="P181" t="n">
        <v>0</v>
      </c>
      <c r="Q181" t="n">
        <v>0</v>
      </c>
      <c r="R181" s="2" t="inlineStr"/>
    </row>
    <row r="182" ht="15" customHeight="1">
      <c r="A182" t="inlineStr">
        <is>
          <t>A 24235-2020</t>
        </is>
      </c>
      <c r="B182" s="1" t="n">
        <v>43976</v>
      </c>
      <c r="C182" s="1" t="n">
        <v>45576</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24763-2020</t>
        </is>
      </c>
      <c r="B183" s="1" t="n">
        <v>43978</v>
      </c>
      <c r="C183" s="1" t="n">
        <v>45576</v>
      </c>
      <c r="D183" t="inlineStr">
        <is>
          <t>VÄSTMANLANDS LÄN</t>
        </is>
      </c>
      <c r="E183" t="inlineStr">
        <is>
          <t>SALA</t>
        </is>
      </c>
      <c r="G183" t="n">
        <v>3.6</v>
      </c>
      <c r="H183" t="n">
        <v>0</v>
      </c>
      <c r="I183" t="n">
        <v>0</v>
      </c>
      <c r="J183" t="n">
        <v>0</v>
      </c>
      <c r="K183" t="n">
        <v>0</v>
      </c>
      <c r="L183" t="n">
        <v>0</v>
      </c>
      <c r="M183" t="n">
        <v>0</v>
      </c>
      <c r="N183" t="n">
        <v>0</v>
      </c>
      <c r="O183" t="n">
        <v>0</v>
      </c>
      <c r="P183" t="n">
        <v>0</v>
      </c>
      <c r="Q183" t="n">
        <v>0</v>
      </c>
      <c r="R183" s="2" t="inlineStr"/>
    </row>
    <row r="184" ht="15" customHeight="1">
      <c r="A184" t="inlineStr">
        <is>
          <t>A 26098-2020</t>
        </is>
      </c>
      <c r="B184" s="1" t="n">
        <v>43985</v>
      </c>
      <c r="C184" s="1" t="n">
        <v>45576</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26425-2020</t>
        </is>
      </c>
      <c r="B185" s="1" t="n">
        <v>43987</v>
      </c>
      <c r="C185" s="1" t="n">
        <v>45576</v>
      </c>
      <c r="D185" t="inlineStr">
        <is>
          <t>VÄSTMANLANDS LÄN</t>
        </is>
      </c>
      <c r="E185" t="inlineStr">
        <is>
          <t>SALA</t>
        </is>
      </c>
      <c r="G185" t="n">
        <v>6.3</v>
      </c>
      <c r="H185" t="n">
        <v>0</v>
      </c>
      <c r="I185" t="n">
        <v>0</v>
      </c>
      <c r="J185" t="n">
        <v>0</v>
      </c>
      <c r="K185" t="n">
        <v>0</v>
      </c>
      <c r="L185" t="n">
        <v>0</v>
      </c>
      <c r="M185" t="n">
        <v>0</v>
      </c>
      <c r="N185" t="n">
        <v>0</v>
      </c>
      <c r="O185" t="n">
        <v>0</v>
      </c>
      <c r="P185" t="n">
        <v>0</v>
      </c>
      <c r="Q185" t="n">
        <v>0</v>
      </c>
      <c r="R185" s="2" t="inlineStr"/>
    </row>
    <row r="186" ht="15" customHeight="1">
      <c r="A186" t="inlineStr">
        <is>
          <t>A 26937-2020</t>
        </is>
      </c>
      <c r="B186" s="1" t="n">
        <v>43990</v>
      </c>
      <c r="C186" s="1" t="n">
        <v>45576</v>
      </c>
      <c r="D186" t="inlineStr">
        <is>
          <t>VÄSTMANLANDS LÄN</t>
        </is>
      </c>
      <c r="E186" t="inlineStr">
        <is>
          <t>SALA</t>
        </is>
      </c>
      <c r="F186" t="inlineStr">
        <is>
          <t>Bergvik skog öst AB</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27730-2020</t>
        </is>
      </c>
      <c r="B187" s="1" t="n">
        <v>43994</v>
      </c>
      <c r="C187" s="1" t="n">
        <v>45576</v>
      </c>
      <c r="D187" t="inlineStr">
        <is>
          <t>VÄSTMANLANDS LÄN</t>
        </is>
      </c>
      <c r="E187" t="inlineStr">
        <is>
          <t>SALA</t>
        </is>
      </c>
      <c r="G187" t="n">
        <v>2.1</v>
      </c>
      <c r="H187" t="n">
        <v>0</v>
      </c>
      <c r="I187" t="n">
        <v>0</v>
      </c>
      <c r="J187" t="n">
        <v>0</v>
      </c>
      <c r="K187" t="n">
        <v>0</v>
      </c>
      <c r="L187" t="n">
        <v>0</v>
      </c>
      <c r="M187" t="n">
        <v>0</v>
      </c>
      <c r="N187" t="n">
        <v>0</v>
      </c>
      <c r="O187" t="n">
        <v>0</v>
      </c>
      <c r="P187" t="n">
        <v>0</v>
      </c>
      <c r="Q187" t="n">
        <v>0</v>
      </c>
      <c r="R187" s="2" t="inlineStr"/>
    </row>
    <row r="188" ht="15" customHeight="1">
      <c r="A188" t="inlineStr">
        <is>
          <t>A 29845-2020</t>
        </is>
      </c>
      <c r="B188" s="1" t="n">
        <v>44005</v>
      </c>
      <c r="C188" s="1" t="n">
        <v>45576</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29821-2020</t>
        </is>
      </c>
      <c r="B189" s="1" t="n">
        <v>44005</v>
      </c>
      <c r="C189" s="1" t="n">
        <v>45576</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29925-2020</t>
        </is>
      </c>
      <c r="B190" s="1" t="n">
        <v>44006</v>
      </c>
      <c r="C190" s="1" t="n">
        <v>45576</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30327-2020</t>
        </is>
      </c>
      <c r="B191" s="1" t="n">
        <v>44007</v>
      </c>
      <c r="C191" s="1" t="n">
        <v>45576</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32371-2020</t>
        </is>
      </c>
      <c r="B192" s="1" t="n">
        <v>44018</v>
      </c>
      <c r="C192" s="1" t="n">
        <v>45576</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32367-2020</t>
        </is>
      </c>
      <c r="B193" s="1" t="n">
        <v>44018</v>
      </c>
      <c r="C193" s="1" t="n">
        <v>45576</v>
      </c>
      <c r="D193" t="inlineStr">
        <is>
          <t>VÄSTMANLANDS LÄN</t>
        </is>
      </c>
      <c r="E193" t="inlineStr">
        <is>
          <t>SALA</t>
        </is>
      </c>
      <c r="G193" t="n">
        <v>1.5</v>
      </c>
      <c r="H193" t="n">
        <v>0</v>
      </c>
      <c r="I193" t="n">
        <v>0</v>
      </c>
      <c r="J193" t="n">
        <v>0</v>
      </c>
      <c r="K193" t="n">
        <v>0</v>
      </c>
      <c r="L193" t="n">
        <v>0</v>
      </c>
      <c r="M193" t="n">
        <v>0</v>
      </c>
      <c r="N193" t="n">
        <v>0</v>
      </c>
      <c r="O193" t="n">
        <v>0</v>
      </c>
      <c r="P193" t="n">
        <v>0</v>
      </c>
      <c r="Q193" t="n">
        <v>0</v>
      </c>
      <c r="R193" s="2" t="inlineStr"/>
    </row>
    <row r="194" ht="15" customHeight="1">
      <c r="A194" t="inlineStr">
        <is>
          <t>A 32368-2020</t>
        </is>
      </c>
      <c r="B194" s="1" t="n">
        <v>44018</v>
      </c>
      <c r="C194" s="1" t="n">
        <v>45576</v>
      </c>
      <c r="D194" t="inlineStr">
        <is>
          <t>VÄSTMANLANDS LÄN</t>
        </is>
      </c>
      <c r="E194" t="inlineStr">
        <is>
          <t>SALA</t>
        </is>
      </c>
      <c r="G194" t="n">
        <v>3.4</v>
      </c>
      <c r="H194" t="n">
        <v>0</v>
      </c>
      <c r="I194" t="n">
        <v>0</v>
      </c>
      <c r="J194" t="n">
        <v>0</v>
      </c>
      <c r="K194" t="n">
        <v>0</v>
      </c>
      <c r="L194" t="n">
        <v>0</v>
      </c>
      <c r="M194" t="n">
        <v>0</v>
      </c>
      <c r="N194" t="n">
        <v>0</v>
      </c>
      <c r="O194" t="n">
        <v>0</v>
      </c>
      <c r="P194" t="n">
        <v>0</v>
      </c>
      <c r="Q194" t="n">
        <v>0</v>
      </c>
      <c r="R194" s="2" t="inlineStr"/>
    </row>
    <row r="195" ht="15" customHeight="1">
      <c r="A195" t="inlineStr">
        <is>
          <t>A 32377-2020</t>
        </is>
      </c>
      <c r="B195" s="1" t="n">
        <v>44018</v>
      </c>
      <c r="C195" s="1" t="n">
        <v>45576</v>
      </c>
      <c r="D195" t="inlineStr">
        <is>
          <t>VÄSTMANLANDS LÄN</t>
        </is>
      </c>
      <c r="E195" t="inlineStr">
        <is>
          <t>SALA</t>
        </is>
      </c>
      <c r="G195" t="n">
        <v>1.3</v>
      </c>
      <c r="H195" t="n">
        <v>0</v>
      </c>
      <c r="I195" t="n">
        <v>0</v>
      </c>
      <c r="J195" t="n">
        <v>0</v>
      </c>
      <c r="K195" t="n">
        <v>0</v>
      </c>
      <c r="L195" t="n">
        <v>0</v>
      </c>
      <c r="M195" t="n">
        <v>0</v>
      </c>
      <c r="N195" t="n">
        <v>0</v>
      </c>
      <c r="O195" t="n">
        <v>0</v>
      </c>
      <c r="P195" t="n">
        <v>0</v>
      </c>
      <c r="Q195" t="n">
        <v>0</v>
      </c>
      <c r="R195" s="2" t="inlineStr"/>
    </row>
    <row r="196" ht="15" customHeight="1">
      <c r="A196" t="inlineStr">
        <is>
          <t>A 33181-2020</t>
        </is>
      </c>
      <c r="B196" s="1" t="n">
        <v>44021</v>
      </c>
      <c r="C196" s="1" t="n">
        <v>45576</v>
      </c>
      <c r="D196" t="inlineStr">
        <is>
          <t>VÄSTMANLANDS LÄN</t>
        </is>
      </c>
      <c r="E196" t="inlineStr">
        <is>
          <t>SALA</t>
        </is>
      </c>
      <c r="G196" t="n">
        <v>2.8</v>
      </c>
      <c r="H196" t="n">
        <v>0</v>
      </c>
      <c r="I196" t="n">
        <v>0</v>
      </c>
      <c r="J196" t="n">
        <v>0</v>
      </c>
      <c r="K196" t="n">
        <v>0</v>
      </c>
      <c r="L196" t="n">
        <v>0</v>
      </c>
      <c r="M196" t="n">
        <v>0</v>
      </c>
      <c r="N196" t="n">
        <v>0</v>
      </c>
      <c r="O196" t="n">
        <v>0</v>
      </c>
      <c r="P196" t="n">
        <v>0</v>
      </c>
      <c r="Q196" t="n">
        <v>0</v>
      </c>
      <c r="R196" s="2" t="inlineStr"/>
    </row>
    <row r="197" ht="15" customHeight="1">
      <c r="A197" t="inlineStr">
        <is>
          <t>A 34430-2020</t>
        </is>
      </c>
      <c r="B197" s="1" t="n">
        <v>44032</v>
      </c>
      <c r="C197" s="1" t="n">
        <v>45576</v>
      </c>
      <c r="D197" t="inlineStr">
        <is>
          <t>VÄSTMANLANDS LÄN</t>
        </is>
      </c>
      <c r="E197" t="inlineStr">
        <is>
          <t>SALA</t>
        </is>
      </c>
      <c r="G197" t="n">
        <v>4.7</v>
      </c>
      <c r="H197" t="n">
        <v>0</v>
      </c>
      <c r="I197" t="n">
        <v>0</v>
      </c>
      <c r="J197" t="n">
        <v>0</v>
      </c>
      <c r="K197" t="n">
        <v>0</v>
      </c>
      <c r="L197" t="n">
        <v>0</v>
      </c>
      <c r="M197" t="n">
        <v>0</v>
      </c>
      <c r="N197" t="n">
        <v>0</v>
      </c>
      <c r="O197" t="n">
        <v>0</v>
      </c>
      <c r="P197" t="n">
        <v>0</v>
      </c>
      <c r="Q197" t="n">
        <v>0</v>
      </c>
      <c r="R197" s="2" t="inlineStr"/>
    </row>
    <row r="198" ht="15" customHeight="1">
      <c r="A198" t="inlineStr">
        <is>
          <t>A 34429-2020</t>
        </is>
      </c>
      <c r="B198" s="1" t="n">
        <v>44032</v>
      </c>
      <c r="C198" s="1" t="n">
        <v>45576</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37008-2020</t>
        </is>
      </c>
      <c r="B199" s="1" t="n">
        <v>44054</v>
      </c>
      <c r="C199" s="1" t="n">
        <v>45576</v>
      </c>
      <c r="D199" t="inlineStr">
        <is>
          <t>VÄSTMANLANDS LÄN</t>
        </is>
      </c>
      <c r="E199" t="inlineStr">
        <is>
          <t>SALA</t>
        </is>
      </c>
      <c r="F199" t="inlineStr">
        <is>
          <t>Kommuner</t>
        </is>
      </c>
      <c r="G199" t="n">
        <v>5.5</v>
      </c>
      <c r="H199" t="n">
        <v>0</v>
      </c>
      <c r="I199" t="n">
        <v>0</v>
      </c>
      <c r="J199" t="n">
        <v>0</v>
      </c>
      <c r="K199" t="n">
        <v>0</v>
      </c>
      <c r="L199" t="n">
        <v>0</v>
      </c>
      <c r="M199" t="n">
        <v>0</v>
      </c>
      <c r="N199" t="n">
        <v>0</v>
      </c>
      <c r="O199" t="n">
        <v>0</v>
      </c>
      <c r="P199" t="n">
        <v>0</v>
      </c>
      <c r="Q199" t="n">
        <v>0</v>
      </c>
      <c r="R199" s="2" t="inlineStr"/>
    </row>
    <row r="200" ht="15" customHeight="1">
      <c r="A200" t="inlineStr">
        <is>
          <t>A 37098-2020</t>
        </is>
      </c>
      <c r="B200" s="1" t="n">
        <v>44054</v>
      </c>
      <c r="C200" s="1" t="n">
        <v>45576</v>
      </c>
      <c r="D200" t="inlineStr">
        <is>
          <t>VÄSTMANLANDS LÄN</t>
        </is>
      </c>
      <c r="E200" t="inlineStr">
        <is>
          <t>SALA</t>
        </is>
      </c>
      <c r="F200" t="inlineStr">
        <is>
          <t>Kommuner</t>
        </is>
      </c>
      <c r="G200" t="n">
        <v>3.8</v>
      </c>
      <c r="H200" t="n">
        <v>0</v>
      </c>
      <c r="I200" t="n">
        <v>0</v>
      </c>
      <c r="J200" t="n">
        <v>0</v>
      </c>
      <c r="K200" t="n">
        <v>0</v>
      </c>
      <c r="L200" t="n">
        <v>0</v>
      </c>
      <c r="M200" t="n">
        <v>0</v>
      </c>
      <c r="N200" t="n">
        <v>0</v>
      </c>
      <c r="O200" t="n">
        <v>0</v>
      </c>
      <c r="P200" t="n">
        <v>0</v>
      </c>
      <c r="Q200" t="n">
        <v>0</v>
      </c>
      <c r="R200" s="2" t="inlineStr"/>
    </row>
    <row r="201" ht="15" customHeight="1">
      <c r="A201" t="inlineStr">
        <is>
          <t>A 37150-2020</t>
        </is>
      </c>
      <c r="B201" s="1" t="n">
        <v>44054</v>
      </c>
      <c r="C201" s="1" t="n">
        <v>45576</v>
      </c>
      <c r="D201" t="inlineStr">
        <is>
          <t>VÄSTMANLANDS LÄN</t>
        </is>
      </c>
      <c r="E201" t="inlineStr">
        <is>
          <t>SALA</t>
        </is>
      </c>
      <c r="F201" t="inlineStr">
        <is>
          <t>Kommuner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38579-2020</t>
        </is>
      </c>
      <c r="B202" s="1" t="n">
        <v>44061</v>
      </c>
      <c r="C202" s="1" t="n">
        <v>45576</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38713-2020</t>
        </is>
      </c>
      <c r="B203" s="1" t="n">
        <v>44061</v>
      </c>
      <c r="C203" s="1" t="n">
        <v>45576</v>
      </c>
      <c r="D203" t="inlineStr">
        <is>
          <t>VÄSTMANLANDS LÄN</t>
        </is>
      </c>
      <c r="E203" t="inlineStr">
        <is>
          <t>SALA</t>
        </is>
      </c>
      <c r="G203" t="n">
        <v>1.4</v>
      </c>
      <c r="H203" t="n">
        <v>0</v>
      </c>
      <c r="I203" t="n">
        <v>0</v>
      </c>
      <c r="J203" t="n">
        <v>0</v>
      </c>
      <c r="K203" t="n">
        <v>0</v>
      </c>
      <c r="L203" t="n">
        <v>0</v>
      </c>
      <c r="M203" t="n">
        <v>0</v>
      </c>
      <c r="N203" t="n">
        <v>0</v>
      </c>
      <c r="O203" t="n">
        <v>0</v>
      </c>
      <c r="P203" t="n">
        <v>0</v>
      </c>
      <c r="Q203" t="n">
        <v>0</v>
      </c>
      <c r="R203" s="2" t="inlineStr"/>
    </row>
    <row r="204" ht="15" customHeight="1">
      <c r="A204" t="inlineStr">
        <is>
          <t>A 39519-2020</t>
        </is>
      </c>
      <c r="B204" s="1" t="n">
        <v>44064</v>
      </c>
      <c r="C204" s="1" t="n">
        <v>45576</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39818-2020</t>
        </is>
      </c>
      <c r="B205" s="1" t="n">
        <v>44067</v>
      </c>
      <c r="C205" s="1" t="n">
        <v>45576</v>
      </c>
      <c r="D205" t="inlineStr">
        <is>
          <t>VÄSTMANLANDS LÄN</t>
        </is>
      </c>
      <c r="E205" t="inlineStr">
        <is>
          <t>SALA</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41493-2020</t>
        </is>
      </c>
      <c r="B206" s="1" t="n">
        <v>44074</v>
      </c>
      <c r="C206" s="1" t="n">
        <v>45576</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41485-2020</t>
        </is>
      </c>
      <c r="B207" s="1" t="n">
        <v>44074</v>
      </c>
      <c r="C207" s="1" t="n">
        <v>45576</v>
      </c>
      <c r="D207" t="inlineStr">
        <is>
          <t>VÄSTMANLANDS LÄN</t>
        </is>
      </c>
      <c r="E207" t="inlineStr">
        <is>
          <t>SALA</t>
        </is>
      </c>
      <c r="G207" t="n">
        <v>4.7</v>
      </c>
      <c r="H207" t="n">
        <v>0</v>
      </c>
      <c r="I207" t="n">
        <v>0</v>
      </c>
      <c r="J207" t="n">
        <v>0</v>
      </c>
      <c r="K207" t="n">
        <v>0</v>
      </c>
      <c r="L207" t="n">
        <v>0</v>
      </c>
      <c r="M207" t="n">
        <v>0</v>
      </c>
      <c r="N207" t="n">
        <v>0</v>
      </c>
      <c r="O207" t="n">
        <v>0</v>
      </c>
      <c r="P207" t="n">
        <v>0</v>
      </c>
      <c r="Q207" t="n">
        <v>0</v>
      </c>
      <c r="R207" s="2" t="inlineStr"/>
    </row>
    <row r="208" ht="15" customHeight="1">
      <c r="A208" t="inlineStr">
        <is>
          <t>A 42344-2020</t>
        </is>
      </c>
      <c r="B208" s="1" t="n">
        <v>44076</v>
      </c>
      <c r="C208" s="1" t="n">
        <v>45576</v>
      </c>
      <c r="D208" t="inlineStr">
        <is>
          <t>VÄSTMANLANDS LÄN</t>
        </is>
      </c>
      <c r="E208" t="inlineStr">
        <is>
          <t>SALA</t>
        </is>
      </c>
      <c r="G208" t="n">
        <v>5.1</v>
      </c>
      <c r="H208" t="n">
        <v>0</v>
      </c>
      <c r="I208" t="n">
        <v>0</v>
      </c>
      <c r="J208" t="n">
        <v>0</v>
      </c>
      <c r="K208" t="n">
        <v>0</v>
      </c>
      <c r="L208" t="n">
        <v>0</v>
      </c>
      <c r="M208" t="n">
        <v>0</v>
      </c>
      <c r="N208" t="n">
        <v>0</v>
      </c>
      <c r="O208" t="n">
        <v>0</v>
      </c>
      <c r="P208" t="n">
        <v>0</v>
      </c>
      <c r="Q208" t="n">
        <v>0</v>
      </c>
      <c r="R208" s="2" t="inlineStr"/>
    </row>
    <row r="209" ht="15" customHeight="1">
      <c r="A209" t="inlineStr">
        <is>
          <t>A 42345-2020</t>
        </is>
      </c>
      <c r="B209" s="1" t="n">
        <v>44076</v>
      </c>
      <c r="C209" s="1" t="n">
        <v>45576</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42346-2020</t>
        </is>
      </c>
      <c r="B210" s="1" t="n">
        <v>44076</v>
      </c>
      <c r="C210" s="1" t="n">
        <v>45576</v>
      </c>
      <c r="D210" t="inlineStr">
        <is>
          <t>VÄSTMANLANDS LÄN</t>
        </is>
      </c>
      <c r="E210" t="inlineStr">
        <is>
          <t>SALA</t>
        </is>
      </c>
      <c r="G210" t="n">
        <v>1.7</v>
      </c>
      <c r="H210" t="n">
        <v>0</v>
      </c>
      <c r="I210" t="n">
        <v>0</v>
      </c>
      <c r="J210" t="n">
        <v>0</v>
      </c>
      <c r="K210" t="n">
        <v>0</v>
      </c>
      <c r="L210" t="n">
        <v>0</v>
      </c>
      <c r="M210" t="n">
        <v>0</v>
      </c>
      <c r="N210" t="n">
        <v>0</v>
      </c>
      <c r="O210" t="n">
        <v>0</v>
      </c>
      <c r="P210" t="n">
        <v>0</v>
      </c>
      <c r="Q210" t="n">
        <v>0</v>
      </c>
      <c r="R210" s="2" t="inlineStr"/>
    </row>
    <row r="211" ht="15" customHeight="1">
      <c r="A211" t="inlineStr">
        <is>
          <t>A 43349-2020</t>
        </is>
      </c>
      <c r="B211" s="1" t="n">
        <v>44081</v>
      </c>
      <c r="C211" s="1" t="n">
        <v>45576</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44652-2020</t>
        </is>
      </c>
      <c r="B212" s="1" t="n">
        <v>44085</v>
      </c>
      <c r="C212" s="1" t="n">
        <v>45576</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44950-2020</t>
        </is>
      </c>
      <c r="B213" s="1" t="n">
        <v>44088</v>
      </c>
      <c r="C213" s="1" t="n">
        <v>45576</v>
      </c>
      <c r="D213" t="inlineStr">
        <is>
          <t>VÄSTMANLANDS LÄN</t>
        </is>
      </c>
      <c r="E213" t="inlineStr">
        <is>
          <t>SALA</t>
        </is>
      </c>
      <c r="G213" t="n">
        <v>9</v>
      </c>
      <c r="H213" t="n">
        <v>0</v>
      </c>
      <c r="I213" t="n">
        <v>0</v>
      </c>
      <c r="J213" t="n">
        <v>0</v>
      </c>
      <c r="K213" t="n">
        <v>0</v>
      </c>
      <c r="L213" t="n">
        <v>0</v>
      </c>
      <c r="M213" t="n">
        <v>0</v>
      </c>
      <c r="N213" t="n">
        <v>0</v>
      </c>
      <c r="O213" t="n">
        <v>0</v>
      </c>
      <c r="P213" t="n">
        <v>0</v>
      </c>
      <c r="Q213" t="n">
        <v>0</v>
      </c>
      <c r="R213" s="2" t="inlineStr"/>
    </row>
    <row r="214" ht="15" customHeight="1">
      <c r="A214" t="inlineStr">
        <is>
          <t>A 46965-2020</t>
        </is>
      </c>
      <c r="B214" s="1" t="n">
        <v>44096</v>
      </c>
      <c r="C214" s="1" t="n">
        <v>45576</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47054-2020</t>
        </is>
      </c>
      <c r="B215" s="1" t="n">
        <v>44096</v>
      </c>
      <c r="C215" s="1" t="n">
        <v>45576</v>
      </c>
      <c r="D215" t="inlineStr">
        <is>
          <t>VÄSTMANLANDS LÄN</t>
        </is>
      </c>
      <c r="E215" t="inlineStr">
        <is>
          <t>SALA</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47208-2020</t>
        </is>
      </c>
      <c r="B216" s="1" t="n">
        <v>44097</v>
      </c>
      <c r="C216" s="1" t="n">
        <v>45576</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50559-2020</t>
        </is>
      </c>
      <c r="B217" s="1" t="n">
        <v>44110</v>
      </c>
      <c r="C217" s="1" t="n">
        <v>45576</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50801-2020</t>
        </is>
      </c>
      <c r="B218" s="1" t="n">
        <v>44111</v>
      </c>
      <c r="C218" s="1" t="n">
        <v>45576</v>
      </c>
      <c r="D218" t="inlineStr">
        <is>
          <t>VÄSTMANLANDS LÄN</t>
        </is>
      </c>
      <c r="E218" t="inlineStr">
        <is>
          <t>SALA</t>
        </is>
      </c>
      <c r="G218" t="n">
        <v>1.1</v>
      </c>
      <c r="H218" t="n">
        <v>0</v>
      </c>
      <c r="I218" t="n">
        <v>0</v>
      </c>
      <c r="J218" t="n">
        <v>0</v>
      </c>
      <c r="K218" t="n">
        <v>0</v>
      </c>
      <c r="L218" t="n">
        <v>0</v>
      </c>
      <c r="M218" t="n">
        <v>0</v>
      </c>
      <c r="N218" t="n">
        <v>0</v>
      </c>
      <c r="O218" t="n">
        <v>0</v>
      </c>
      <c r="P218" t="n">
        <v>0</v>
      </c>
      <c r="Q218" t="n">
        <v>0</v>
      </c>
      <c r="R218" s="2" t="inlineStr"/>
    </row>
    <row r="219" ht="15" customHeight="1">
      <c r="A219" t="inlineStr">
        <is>
          <t>A 50818-2020</t>
        </is>
      </c>
      <c r="B219" s="1" t="n">
        <v>44111</v>
      </c>
      <c r="C219" s="1" t="n">
        <v>45576</v>
      </c>
      <c r="D219" t="inlineStr">
        <is>
          <t>VÄSTMANLANDS LÄN</t>
        </is>
      </c>
      <c r="E219" t="inlineStr">
        <is>
          <t>SALA</t>
        </is>
      </c>
      <c r="G219" t="n">
        <v>0.4</v>
      </c>
      <c r="H219" t="n">
        <v>0</v>
      </c>
      <c r="I219" t="n">
        <v>0</v>
      </c>
      <c r="J219" t="n">
        <v>0</v>
      </c>
      <c r="K219" t="n">
        <v>0</v>
      </c>
      <c r="L219" t="n">
        <v>0</v>
      </c>
      <c r="M219" t="n">
        <v>0</v>
      </c>
      <c r="N219" t="n">
        <v>0</v>
      </c>
      <c r="O219" t="n">
        <v>0</v>
      </c>
      <c r="P219" t="n">
        <v>0</v>
      </c>
      <c r="Q219" t="n">
        <v>0</v>
      </c>
      <c r="R219" s="2" t="inlineStr"/>
    </row>
    <row r="220" ht="15" customHeight="1">
      <c r="A220" t="inlineStr">
        <is>
          <t>A 54322-2020</t>
        </is>
      </c>
      <c r="B220" s="1" t="n">
        <v>44126</v>
      </c>
      <c r="C220" s="1" t="n">
        <v>45576</v>
      </c>
      <c r="D220" t="inlineStr">
        <is>
          <t>VÄSTMANLANDS LÄN</t>
        </is>
      </c>
      <c r="E220" t="inlineStr">
        <is>
          <t>SALA</t>
        </is>
      </c>
      <c r="G220" t="n">
        <v>2</v>
      </c>
      <c r="H220" t="n">
        <v>0</v>
      </c>
      <c r="I220" t="n">
        <v>0</v>
      </c>
      <c r="J220" t="n">
        <v>0</v>
      </c>
      <c r="K220" t="n">
        <v>0</v>
      </c>
      <c r="L220" t="n">
        <v>0</v>
      </c>
      <c r="M220" t="n">
        <v>0</v>
      </c>
      <c r="N220" t="n">
        <v>0</v>
      </c>
      <c r="O220" t="n">
        <v>0</v>
      </c>
      <c r="P220" t="n">
        <v>0</v>
      </c>
      <c r="Q220" t="n">
        <v>0</v>
      </c>
      <c r="R220" s="2" t="inlineStr"/>
    </row>
    <row r="221" ht="15" customHeight="1">
      <c r="A221" t="inlineStr">
        <is>
          <t>A 54923-2020</t>
        </is>
      </c>
      <c r="B221" s="1" t="n">
        <v>44127</v>
      </c>
      <c r="C221" s="1" t="n">
        <v>45576</v>
      </c>
      <c r="D221" t="inlineStr">
        <is>
          <t>VÄSTMANLANDS LÄN</t>
        </is>
      </c>
      <c r="E221" t="inlineStr">
        <is>
          <t>SALA</t>
        </is>
      </c>
      <c r="G221" t="n">
        <v>4.9</v>
      </c>
      <c r="H221" t="n">
        <v>0</v>
      </c>
      <c r="I221" t="n">
        <v>0</v>
      </c>
      <c r="J221" t="n">
        <v>0</v>
      </c>
      <c r="K221" t="n">
        <v>0</v>
      </c>
      <c r="L221" t="n">
        <v>0</v>
      </c>
      <c r="M221" t="n">
        <v>0</v>
      </c>
      <c r="N221" t="n">
        <v>0</v>
      </c>
      <c r="O221" t="n">
        <v>0</v>
      </c>
      <c r="P221" t="n">
        <v>0</v>
      </c>
      <c r="Q221" t="n">
        <v>0</v>
      </c>
      <c r="R221" s="2" t="inlineStr"/>
    </row>
    <row r="222" ht="15" customHeight="1">
      <c r="A222" t="inlineStr">
        <is>
          <t>A 54931-2020</t>
        </is>
      </c>
      <c r="B222" s="1" t="n">
        <v>44127</v>
      </c>
      <c r="C222" s="1" t="n">
        <v>45576</v>
      </c>
      <c r="D222" t="inlineStr">
        <is>
          <t>VÄSTMANLANDS LÄN</t>
        </is>
      </c>
      <c r="E222" t="inlineStr">
        <is>
          <t>SALA</t>
        </is>
      </c>
      <c r="G222" t="n">
        <v>7</v>
      </c>
      <c r="H222" t="n">
        <v>0</v>
      </c>
      <c r="I222" t="n">
        <v>0</v>
      </c>
      <c r="J222" t="n">
        <v>0</v>
      </c>
      <c r="K222" t="n">
        <v>0</v>
      </c>
      <c r="L222" t="n">
        <v>0</v>
      </c>
      <c r="M222" t="n">
        <v>0</v>
      </c>
      <c r="N222" t="n">
        <v>0</v>
      </c>
      <c r="O222" t="n">
        <v>0</v>
      </c>
      <c r="P222" t="n">
        <v>0</v>
      </c>
      <c r="Q222" t="n">
        <v>0</v>
      </c>
      <c r="R222" s="2" t="inlineStr"/>
    </row>
    <row r="223" ht="15" customHeight="1">
      <c r="A223" t="inlineStr">
        <is>
          <t>A 55439-2020</t>
        </is>
      </c>
      <c r="B223" s="1" t="n">
        <v>44130</v>
      </c>
      <c r="C223" s="1" t="n">
        <v>45576</v>
      </c>
      <c r="D223" t="inlineStr">
        <is>
          <t>VÄSTMANLANDS LÄN</t>
        </is>
      </c>
      <c r="E223" t="inlineStr">
        <is>
          <t>SALA</t>
        </is>
      </c>
      <c r="G223" t="n">
        <v>4.3</v>
      </c>
      <c r="H223" t="n">
        <v>0</v>
      </c>
      <c r="I223" t="n">
        <v>0</v>
      </c>
      <c r="J223" t="n">
        <v>0</v>
      </c>
      <c r="K223" t="n">
        <v>0</v>
      </c>
      <c r="L223" t="n">
        <v>0</v>
      </c>
      <c r="M223" t="n">
        <v>0</v>
      </c>
      <c r="N223" t="n">
        <v>0</v>
      </c>
      <c r="O223" t="n">
        <v>0</v>
      </c>
      <c r="P223" t="n">
        <v>0</v>
      </c>
      <c r="Q223" t="n">
        <v>0</v>
      </c>
      <c r="R223" s="2" t="inlineStr"/>
    </row>
    <row r="224" ht="15" customHeight="1">
      <c r="A224" t="inlineStr">
        <is>
          <t>A 55881-2020</t>
        </is>
      </c>
      <c r="B224" s="1" t="n">
        <v>44132</v>
      </c>
      <c r="C224" s="1" t="n">
        <v>45576</v>
      </c>
      <c r="D224" t="inlineStr">
        <is>
          <t>VÄSTMANLANDS LÄN</t>
        </is>
      </c>
      <c r="E224" t="inlineStr">
        <is>
          <t>SALA</t>
        </is>
      </c>
      <c r="G224" t="n">
        <v>3</v>
      </c>
      <c r="H224" t="n">
        <v>0</v>
      </c>
      <c r="I224" t="n">
        <v>0</v>
      </c>
      <c r="J224" t="n">
        <v>0</v>
      </c>
      <c r="K224" t="n">
        <v>0</v>
      </c>
      <c r="L224" t="n">
        <v>0</v>
      </c>
      <c r="M224" t="n">
        <v>0</v>
      </c>
      <c r="N224" t="n">
        <v>0</v>
      </c>
      <c r="O224" t="n">
        <v>0</v>
      </c>
      <c r="P224" t="n">
        <v>0</v>
      </c>
      <c r="Q224" t="n">
        <v>0</v>
      </c>
      <c r="R224" s="2" t="inlineStr"/>
    </row>
    <row r="225" ht="15" customHeight="1">
      <c r="A225" t="inlineStr">
        <is>
          <t>A 56134-2020</t>
        </is>
      </c>
      <c r="B225" s="1" t="n">
        <v>44132</v>
      </c>
      <c r="C225" s="1" t="n">
        <v>45576</v>
      </c>
      <c r="D225" t="inlineStr">
        <is>
          <t>VÄSTMANLANDS LÄN</t>
        </is>
      </c>
      <c r="E225" t="inlineStr">
        <is>
          <t>SALA</t>
        </is>
      </c>
      <c r="G225" t="n">
        <v>4.7</v>
      </c>
      <c r="H225" t="n">
        <v>0</v>
      </c>
      <c r="I225" t="n">
        <v>0</v>
      </c>
      <c r="J225" t="n">
        <v>0</v>
      </c>
      <c r="K225" t="n">
        <v>0</v>
      </c>
      <c r="L225" t="n">
        <v>0</v>
      </c>
      <c r="M225" t="n">
        <v>0</v>
      </c>
      <c r="N225" t="n">
        <v>0</v>
      </c>
      <c r="O225" t="n">
        <v>0</v>
      </c>
      <c r="P225" t="n">
        <v>0</v>
      </c>
      <c r="Q225" t="n">
        <v>0</v>
      </c>
      <c r="R225" s="2" t="inlineStr"/>
    </row>
    <row r="226" ht="15" customHeight="1">
      <c r="A226" t="inlineStr">
        <is>
          <t>A 56098-2020</t>
        </is>
      </c>
      <c r="B226" s="1" t="n">
        <v>44132</v>
      </c>
      <c r="C226" s="1" t="n">
        <v>45576</v>
      </c>
      <c r="D226" t="inlineStr">
        <is>
          <t>VÄSTMANLANDS LÄN</t>
        </is>
      </c>
      <c r="E226" t="inlineStr">
        <is>
          <t>SALA</t>
        </is>
      </c>
      <c r="G226" t="n">
        <v>1.9</v>
      </c>
      <c r="H226" t="n">
        <v>0</v>
      </c>
      <c r="I226" t="n">
        <v>0</v>
      </c>
      <c r="J226" t="n">
        <v>0</v>
      </c>
      <c r="K226" t="n">
        <v>0</v>
      </c>
      <c r="L226" t="n">
        <v>0</v>
      </c>
      <c r="M226" t="n">
        <v>0</v>
      </c>
      <c r="N226" t="n">
        <v>0</v>
      </c>
      <c r="O226" t="n">
        <v>0</v>
      </c>
      <c r="P226" t="n">
        <v>0</v>
      </c>
      <c r="Q226" t="n">
        <v>0</v>
      </c>
      <c r="R226" s="2" t="inlineStr"/>
    </row>
    <row r="227" ht="15" customHeight="1">
      <c r="A227" t="inlineStr">
        <is>
          <t>A 57800-2020</t>
        </is>
      </c>
      <c r="B227" s="1" t="n">
        <v>44141</v>
      </c>
      <c r="C227" s="1" t="n">
        <v>45576</v>
      </c>
      <c r="D227" t="inlineStr">
        <is>
          <t>VÄSTMANLANDS LÄN</t>
        </is>
      </c>
      <c r="E227" t="inlineStr">
        <is>
          <t>SALA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58314-2020</t>
        </is>
      </c>
      <c r="B228" s="1" t="n">
        <v>44145</v>
      </c>
      <c r="C228" s="1" t="n">
        <v>45576</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58781-2020</t>
        </is>
      </c>
      <c r="B229" s="1" t="n">
        <v>44146</v>
      </c>
      <c r="C229" s="1" t="n">
        <v>45576</v>
      </c>
      <c r="D229" t="inlineStr">
        <is>
          <t>VÄSTMANLANDS LÄN</t>
        </is>
      </c>
      <c r="E229" t="inlineStr">
        <is>
          <t>SALA</t>
        </is>
      </c>
      <c r="G229" t="n">
        <v>1.2</v>
      </c>
      <c r="H229" t="n">
        <v>0</v>
      </c>
      <c r="I229" t="n">
        <v>0</v>
      </c>
      <c r="J229" t="n">
        <v>0</v>
      </c>
      <c r="K229" t="n">
        <v>0</v>
      </c>
      <c r="L229" t="n">
        <v>0</v>
      </c>
      <c r="M229" t="n">
        <v>0</v>
      </c>
      <c r="N229" t="n">
        <v>0</v>
      </c>
      <c r="O229" t="n">
        <v>0</v>
      </c>
      <c r="P229" t="n">
        <v>0</v>
      </c>
      <c r="Q229" t="n">
        <v>0</v>
      </c>
      <c r="R229" s="2" t="inlineStr"/>
    </row>
    <row r="230" ht="15" customHeight="1">
      <c r="A230" t="inlineStr">
        <is>
          <t>A 58912-2020</t>
        </is>
      </c>
      <c r="B230" s="1" t="n">
        <v>44146</v>
      </c>
      <c r="C230" s="1" t="n">
        <v>45576</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61415-2020</t>
        </is>
      </c>
      <c r="B231" s="1" t="n">
        <v>44156</v>
      </c>
      <c r="C231" s="1" t="n">
        <v>45576</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62275-2020</t>
        </is>
      </c>
      <c r="B232" s="1" t="n">
        <v>44158</v>
      </c>
      <c r="C232" s="1" t="n">
        <v>45576</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62680-2020</t>
        </is>
      </c>
      <c r="B233" s="1" t="n">
        <v>44161</v>
      </c>
      <c r="C233" s="1" t="n">
        <v>45576</v>
      </c>
      <c r="D233" t="inlineStr">
        <is>
          <t>VÄSTMANLANDS LÄN</t>
        </is>
      </c>
      <c r="E233" t="inlineStr">
        <is>
          <t>SALA</t>
        </is>
      </c>
      <c r="G233" t="n">
        <v>1.4</v>
      </c>
      <c r="H233" t="n">
        <v>0</v>
      </c>
      <c r="I233" t="n">
        <v>0</v>
      </c>
      <c r="J233" t="n">
        <v>0</v>
      </c>
      <c r="K233" t="n">
        <v>0</v>
      </c>
      <c r="L233" t="n">
        <v>0</v>
      </c>
      <c r="M233" t="n">
        <v>0</v>
      </c>
      <c r="N233" t="n">
        <v>0</v>
      </c>
      <c r="O233" t="n">
        <v>0</v>
      </c>
      <c r="P233" t="n">
        <v>0</v>
      </c>
      <c r="Q233" t="n">
        <v>0</v>
      </c>
      <c r="R233" s="2" t="inlineStr"/>
    </row>
    <row r="234" ht="15" customHeight="1">
      <c r="A234" t="inlineStr">
        <is>
          <t>A 64940-2020</t>
        </is>
      </c>
      <c r="B234" s="1" t="n">
        <v>44172</v>
      </c>
      <c r="C234" s="1" t="n">
        <v>45576</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66821-2020</t>
        </is>
      </c>
      <c r="B235" s="1" t="n">
        <v>44179</v>
      </c>
      <c r="C235" s="1" t="n">
        <v>45576</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68113-2020</t>
        </is>
      </c>
      <c r="B236" s="1" t="n">
        <v>44182</v>
      </c>
      <c r="C236" s="1" t="n">
        <v>45576</v>
      </c>
      <c r="D236" t="inlineStr">
        <is>
          <t>VÄSTMANLANDS LÄN</t>
        </is>
      </c>
      <c r="E236" t="inlineStr">
        <is>
          <t>SALA</t>
        </is>
      </c>
      <c r="G236" t="n">
        <v>3.6</v>
      </c>
      <c r="H236" t="n">
        <v>0</v>
      </c>
      <c r="I236" t="n">
        <v>0</v>
      </c>
      <c r="J236" t="n">
        <v>0</v>
      </c>
      <c r="K236" t="n">
        <v>0</v>
      </c>
      <c r="L236" t="n">
        <v>0</v>
      </c>
      <c r="M236" t="n">
        <v>0</v>
      </c>
      <c r="N236" t="n">
        <v>0</v>
      </c>
      <c r="O236" t="n">
        <v>0</v>
      </c>
      <c r="P236" t="n">
        <v>0</v>
      </c>
      <c r="Q236" t="n">
        <v>0</v>
      </c>
      <c r="R236" s="2" t="inlineStr"/>
    </row>
    <row r="237" ht="15" customHeight="1">
      <c r="A237" t="inlineStr">
        <is>
          <t>A 69194-2020</t>
        </is>
      </c>
      <c r="B237" s="1" t="n">
        <v>44191</v>
      </c>
      <c r="C237" s="1" t="n">
        <v>45576</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69192-2020</t>
        </is>
      </c>
      <c r="B238" s="1" t="n">
        <v>44191</v>
      </c>
      <c r="C238" s="1" t="n">
        <v>45576</v>
      </c>
      <c r="D238" t="inlineStr">
        <is>
          <t>VÄSTMANLANDS LÄN</t>
        </is>
      </c>
      <c r="E238" t="inlineStr">
        <is>
          <t>SALA</t>
        </is>
      </c>
      <c r="G238" t="n">
        <v>0.8</v>
      </c>
      <c r="H238" t="n">
        <v>0</v>
      </c>
      <c r="I238" t="n">
        <v>0</v>
      </c>
      <c r="J238" t="n">
        <v>0</v>
      </c>
      <c r="K238" t="n">
        <v>0</v>
      </c>
      <c r="L238" t="n">
        <v>0</v>
      </c>
      <c r="M238" t="n">
        <v>0</v>
      </c>
      <c r="N238" t="n">
        <v>0</v>
      </c>
      <c r="O238" t="n">
        <v>0</v>
      </c>
      <c r="P238" t="n">
        <v>0</v>
      </c>
      <c r="Q238" t="n">
        <v>0</v>
      </c>
      <c r="R238" s="2" t="inlineStr"/>
    </row>
    <row r="239" ht="15" customHeight="1">
      <c r="A239" t="inlineStr">
        <is>
          <t>A 69195-2020</t>
        </is>
      </c>
      <c r="B239" s="1" t="n">
        <v>44191</v>
      </c>
      <c r="C239" s="1" t="n">
        <v>45576</v>
      </c>
      <c r="D239" t="inlineStr">
        <is>
          <t>VÄSTMANLANDS LÄN</t>
        </is>
      </c>
      <c r="E239" t="inlineStr">
        <is>
          <t>SALA</t>
        </is>
      </c>
      <c r="G239" t="n">
        <v>1</v>
      </c>
      <c r="H239" t="n">
        <v>0</v>
      </c>
      <c r="I239" t="n">
        <v>0</v>
      </c>
      <c r="J239" t="n">
        <v>0</v>
      </c>
      <c r="K239" t="n">
        <v>0</v>
      </c>
      <c r="L239" t="n">
        <v>0</v>
      </c>
      <c r="M239" t="n">
        <v>0</v>
      </c>
      <c r="N239" t="n">
        <v>0</v>
      </c>
      <c r="O239" t="n">
        <v>0</v>
      </c>
      <c r="P239" t="n">
        <v>0</v>
      </c>
      <c r="Q239" t="n">
        <v>0</v>
      </c>
      <c r="R239" s="2" t="inlineStr"/>
    </row>
    <row r="240" ht="15" customHeight="1">
      <c r="A240" t="inlineStr">
        <is>
          <t>A 69319-2020</t>
        </is>
      </c>
      <c r="B240" s="1" t="n">
        <v>44193</v>
      </c>
      <c r="C240" s="1" t="n">
        <v>45576</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69318-2020</t>
        </is>
      </c>
      <c r="B241" s="1" t="n">
        <v>44193</v>
      </c>
      <c r="C241" s="1" t="n">
        <v>45576</v>
      </c>
      <c r="D241" t="inlineStr">
        <is>
          <t>VÄSTMANLANDS LÄN</t>
        </is>
      </c>
      <c r="E241" t="inlineStr">
        <is>
          <t>SALA</t>
        </is>
      </c>
      <c r="G241" t="n">
        <v>2.2</v>
      </c>
      <c r="H241" t="n">
        <v>0</v>
      </c>
      <c r="I241" t="n">
        <v>0</v>
      </c>
      <c r="J241" t="n">
        <v>0</v>
      </c>
      <c r="K241" t="n">
        <v>0</v>
      </c>
      <c r="L241" t="n">
        <v>0</v>
      </c>
      <c r="M241" t="n">
        <v>0</v>
      </c>
      <c r="N241" t="n">
        <v>0</v>
      </c>
      <c r="O241" t="n">
        <v>0</v>
      </c>
      <c r="P241" t="n">
        <v>0</v>
      </c>
      <c r="Q241" t="n">
        <v>0</v>
      </c>
      <c r="R241" s="2" t="inlineStr"/>
    </row>
    <row r="242" ht="15" customHeight="1">
      <c r="A242" t="inlineStr">
        <is>
          <t>A 69362-2020</t>
        </is>
      </c>
      <c r="B242" s="1" t="n">
        <v>44193</v>
      </c>
      <c r="C242" s="1" t="n">
        <v>45576</v>
      </c>
      <c r="D242" t="inlineStr">
        <is>
          <t>VÄSTMANLANDS LÄN</t>
        </is>
      </c>
      <c r="E242" t="inlineStr">
        <is>
          <t>SALA</t>
        </is>
      </c>
      <c r="G242" t="n">
        <v>13.7</v>
      </c>
      <c r="H242" t="n">
        <v>0</v>
      </c>
      <c r="I242" t="n">
        <v>0</v>
      </c>
      <c r="J242" t="n">
        <v>0</v>
      </c>
      <c r="K242" t="n">
        <v>0</v>
      </c>
      <c r="L242" t="n">
        <v>0</v>
      </c>
      <c r="M242" t="n">
        <v>0</v>
      </c>
      <c r="N242" t="n">
        <v>0</v>
      </c>
      <c r="O242" t="n">
        <v>0</v>
      </c>
      <c r="P242" t="n">
        <v>0</v>
      </c>
      <c r="Q242" t="n">
        <v>0</v>
      </c>
      <c r="R242" s="2" t="inlineStr"/>
    </row>
    <row r="243" ht="15" customHeight="1">
      <c r="A243" t="inlineStr">
        <is>
          <t>A 1599-2021</t>
        </is>
      </c>
      <c r="B243" s="1" t="n">
        <v>44209</v>
      </c>
      <c r="C243" s="1" t="n">
        <v>45576</v>
      </c>
      <c r="D243" t="inlineStr">
        <is>
          <t>VÄSTMANLANDS LÄN</t>
        </is>
      </c>
      <c r="E243" t="inlineStr">
        <is>
          <t>SALA</t>
        </is>
      </c>
      <c r="G243" t="n">
        <v>9.6</v>
      </c>
      <c r="H243" t="n">
        <v>0</v>
      </c>
      <c r="I243" t="n">
        <v>0</v>
      </c>
      <c r="J243" t="n">
        <v>0</v>
      </c>
      <c r="K243" t="n">
        <v>0</v>
      </c>
      <c r="L243" t="n">
        <v>0</v>
      </c>
      <c r="M243" t="n">
        <v>0</v>
      </c>
      <c r="N243" t="n">
        <v>0</v>
      </c>
      <c r="O243" t="n">
        <v>0</v>
      </c>
      <c r="P243" t="n">
        <v>0</v>
      </c>
      <c r="Q243" t="n">
        <v>0</v>
      </c>
      <c r="R243" s="2" t="inlineStr"/>
      <c r="U243">
        <f>HYPERLINK("https://klasma.github.io/Logging_1981/knärot/A 1599-2021 karta knärot.png", "A 1599-2021")</f>
        <v/>
      </c>
      <c r="V243">
        <f>HYPERLINK("https://klasma.github.io/Logging_1981/klagomål/A 1599-2021 FSC-klagomål.docx", "A 1599-2021")</f>
        <v/>
      </c>
      <c r="W243">
        <f>HYPERLINK("https://klasma.github.io/Logging_1981/klagomålsmail/A 1599-2021 FSC-klagomål mail.docx", "A 1599-2021")</f>
        <v/>
      </c>
      <c r="X243">
        <f>HYPERLINK("https://klasma.github.io/Logging_1981/tillsyn/A 1599-2021 tillsynsbegäran.docx", "A 1599-2021")</f>
        <v/>
      </c>
      <c r="Y243">
        <f>HYPERLINK("https://klasma.github.io/Logging_1981/tillsynsmail/A 1599-2021 tillsynsbegäran mail.docx", "A 1599-2021")</f>
        <v/>
      </c>
    </row>
    <row r="244" ht="15" customHeight="1">
      <c r="A244" t="inlineStr">
        <is>
          <t>A 2443-2021</t>
        </is>
      </c>
      <c r="B244" s="1" t="n">
        <v>44214</v>
      </c>
      <c r="C244" s="1" t="n">
        <v>45576</v>
      </c>
      <c r="D244" t="inlineStr">
        <is>
          <t>VÄSTMANLANDS LÄN</t>
        </is>
      </c>
      <c r="E244" t="inlineStr">
        <is>
          <t>SALA</t>
        </is>
      </c>
      <c r="F244" t="inlineStr">
        <is>
          <t>Kyrkan</t>
        </is>
      </c>
      <c r="G244" t="n">
        <v>1</v>
      </c>
      <c r="H244" t="n">
        <v>0</v>
      </c>
      <c r="I244" t="n">
        <v>0</v>
      </c>
      <c r="J244" t="n">
        <v>0</v>
      </c>
      <c r="K244" t="n">
        <v>0</v>
      </c>
      <c r="L244" t="n">
        <v>0</v>
      </c>
      <c r="M244" t="n">
        <v>0</v>
      </c>
      <c r="N244" t="n">
        <v>0</v>
      </c>
      <c r="O244" t="n">
        <v>0</v>
      </c>
      <c r="P244" t="n">
        <v>0</v>
      </c>
      <c r="Q244" t="n">
        <v>0</v>
      </c>
      <c r="R244" s="2" t="inlineStr"/>
    </row>
    <row r="245" ht="15" customHeight="1">
      <c r="A245" t="inlineStr">
        <is>
          <t>A 4736-2021</t>
        </is>
      </c>
      <c r="B245" s="1" t="n">
        <v>44225</v>
      </c>
      <c r="C245" s="1" t="n">
        <v>45576</v>
      </c>
      <c r="D245" t="inlineStr">
        <is>
          <t>VÄSTMANLANDS LÄN</t>
        </is>
      </c>
      <c r="E245" t="inlineStr">
        <is>
          <t>SALA</t>
        </is>
      </c>
      <c r="G245" t="n">
        <v>4.2</v>
      </c>
      <c r="H245" t="n">
        <v>0</v>
      </c>
      <c r="I245" t="n">
        <v>0</v>
      </c>
      <c r="J245" t="n">
        <v>0</v>
      </c>
      <c r="K245" t="n">
        <v>0</v>
      </c>
      <c r="L245" t="n">
        <v>0</v>
      </c>
      <c r="M245" t="n">
        <v>0</v>
      </c>
      <c r="N245" t="n">
        <v>0</v>
      </c>
      <c r="O245" t="n">
        <v>0</v>
      </c>
      <c r="P245" t="n">
        <v>0</v>
      </c>
      <c r="Q245" t="n">
        <v>0</v>
      </c>
      <c r="R245" s="2" t="inlineStr"/>
    </row>
    <row r="246" ht="15" customHeight="1">
      <c r="A246" t="inlineStr">
        <is>
          <t>A 6088-2021</t>
        </is>
      </c>
      <c r="B246" s="1" t="n">
        <v>44232</v>
      </c>
      <c r="C246" s="1" t="n">
        <v>45576</v>
      </c>
      <c r="D246" t="inlineStr">
        <is>
          <t>VÄSTMANLANDS LÄN</t>
        </is>
      </c>
      <c r="E246" t="inlineStr">
        <is>
          <t>SALA</t>
        </is>
      </c>
      <c r="G246" t="n">
        <v>0.2</v>
      </c>
      <c r="H246" t="n">
        <v>0</v>
      </c>
      <c r="I246" t="n">
        <v>0</v>
      </c>
      <c r="J246" t="n">
        <v>0</v>
      </c>
      <c r="K246" t="n">
        <v>0</v>
      </c>
      <c r="L246" t="n">
        <v>0</v>
      </c>
      <c r="M246" t="n">
        <v>0</v>
      </c>
      <c r="N246" t="n">
        <v>0</v>
      </c>
      <c r="O246" t="n">
        <v>0</v>
      </c>
      <c r="P246" t="n">
        <v>0</v>
      </c>
      <c r="Q246" t="n">
        <v>0</v>
      </c>
      <c r="R246" s="2" t="inlineStr"/>
    </row>
    <row r="247" ht="15" customHeight="1">
      <c r="A247" t="inlineStr">
        <is>
          <t>A 6308-2021</t>
        </is>
      </c>
      <c r="B247" s="1" t="n">
        <v>44235</v>
      </c>
      <c r="C247" s="1" t="n">
        <v>45576</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7681-2021</t>
        </is>
      </c>
      <c r="B248" s="1" t="n">
        <v>44242</v>
      </c>
      <c r="C248" s="1" t="n">
        <v>45576</v>
      </c>
      <c r="D248" t="inlineStr">
        <is>
          <t>VÄSTMANLANDS LÄN</t>
        </is>
      </c>
      <c r="E248" t="inlineStr">
        <is>
          <t>SALA</t>
        </is>
      </c>
      <c r="F248" t="inlineStr">
        <is>
          <t>Sveaskog</t>
        </is>
      </c>
      <c r="G248" t="n">
        <v>16.1</v>
      </c>
      <c r="H248" t="n">
        <v>0</v>
      </c>
      <c r="I248" t="n">
        <v>0</v>
      </c>
      <c r="J248" t="n">
        <v>0</v>
      </c>
      <c r="K248" t="n">
        <v>0</v>
      </c>
      <c r="L248" t="n">
        <v>0</v>
      </c>
      <c r="M248" t="n">
        <v>0</v>
      </c>
      <c r="N248" t="n">
        <v>0</v>
      </c>
      <c r="O248" t="n">
        <v>0</v>
      </c>
      <c r="P248" t="n">
        <v>0</v>
      </c>
      <c r="Q248" t="n">
        <v>0</v>
      </c>
      <c r="R248" s="2" t="inlineStr"/>
    </row>
    <row r="249" ht="15" customHeight="1">
      <c r="A249" t="inlineStr">
        <is>
          <t>A 7968-2021</t>
        </is>
      </c>
      <c r="B249" s="1" t="n">
        <v>44243</v>
      </c>
      <c r="C249" s="1" t="n">
        <v>45576</v>
      </c>
      <c r="D249" t="inlineStr">
        <is>
          <t>VÄSTMANLANDS LÄN</t>
        </is>
      </c>
      <c r="E249" t="inlineStr">
        <is>
          <t>SALA</t>
        </is>
      </c>
      <c r="G249" t="n">
        <v>3.1</v>
      </c>
      <c r="H249" t="n">
        <v>0</v>
      </c>
      <c r="I249" t="n">
        <v>0</v>
      </c>
      <c r="J249" t="n">
        <v>0</v>
      </c>
      <c r="K249" t="n">
        <v>0</v>
      </c>
      <c r="L249" t="n">
        <v>0</v>
      </c>
      <c r="M249" t="n">
        <v>0</v>
      </c>
      <c r="N249" t="n">
        <v>0</v>
      </c>
      <c r="O249" t="n">
        <v>0</v>
      </c>
      <c r="P249" t="n">
        <v>0</v>
      </c>
      <c r="Q249" t="n">
        <v>0</v>
      </c>
      <c r="R249" s="2" t="inlineStr"/>
    </row>
    <row r="250" ht="15" customHeight="1">
      <c r="A250" t="inlineStr">
        <is>
          <t>A 7955-2021</t>
        </is>
      </c>
      <c r="B250" s="1" t="n">
        <v>44243</v>
      </c>
      <c r="C250" s="1" t="n">
        <v>45576</v>
      </c>
      <c r="D250" t="inlineStr">
        <is>
          <t>VÄSTMANLANDS LÄN</t>
        </is>
      </c>
      <c r="E250" t="inlineStr">
        <is>
          <t>SALA</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8513-2021</t>
        </is>
      </c>
      <c r="B251" s="1" t="n">
        <v>44244</v>
      </c>
      <c r="C251" s="1" t="n">
        <v>45576</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10154-2021</t>
        </is>
      </c>
      <c r="B252" s="1" t="n">
        <v>44256</v>
      </c>
      <c r="C252" s="1" t="n">
        <v>45576</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10812-2021</t>
        </is>
      </c>
      <c r="B253" s="1" t="n">
        <v>44259</v>
      </c>
      <c r="C253" s="1" t="n">
        <v>45576</v>
      </c>
      <c r="D253" t="inlineStr">
        <is>
          <t>VÄSTMANLANDS LÄN</t>
        </is>
      </c>
      <c r="E253" t="inlineStr">
        <is>
          <t>SALA</t>
        </is>
      </c>
      <c r="G253" t="n">
        <v>0.7</v>
      </c>
      <c r="H253" t="n">
        <v>0</v>
      </c>
      <c r="I253" t="n">
        <v>0</v>
      </c>
      <c r="J253" t="n">
        <v>0</v>
      </c>
      <c r="K253" t="n">
        <v>0</v>
      </c>
      <c r="L253" t="n">
        <v>0</v>
      </c>
      <c r="M253" t="n">
        <v>0</v>
      </c>
      <c r="N253" t="n">
        <v>0</v>
      </c>
      <c r="O253" t="n">
        <v>0</v>
      </c>
      <c r="P253" t="n">
        <v>0</v>
      </c>
      <c r="Q253" t="n">
        <v>0</v>
      </c>
      <c r="R253" s="2" t="inlineStr"/>
    </row>
    <row r="254" ht="15" customHeight="1">
      <c r="A254" t="inlineStr">
        <is>
          <t>A 11017-2021</t>
        </is>
      </c>
      <c r="B254" s="1" t="n">
        <v>44260</v>
      </c>
      <c r="C254" s="1" t="n">
        <v>45576</v>
      </c>
      <c r="D254" t="inlineStr">
        <is>
          <t>VÄSTMANLANDS LÄN</t>
        </is>
      </c>
      <c r="E254" t="inlineStr">
        <is>
          <t>SALA</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11007-2021</t>
        </is>
      </c>
      <c r="B255" s="1" t="n">
        <v>44260</v>
      </c>
      <c r="C255" s="1" t="n">
        <v>45576</v>
      </c>
      <c r="D255" t="inlineStr">
        <is>
          <t>VÄSTMANLANDS LÄN</t>
        </is>
      </c>
      <c r="E255" t="inlineStr">
        <is>
          <t>SALA</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11560-2021</t>
        </is>
      </c>
      <c r="B256" s="1" t="n">
        <v>44264</v>
      </c>
      <c r="C256" s="1" t="n">
        <v>45576</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13112-2021</t>
        </is>
      </c>
      <c r="B257" s="1" t="n">
        <v>44272</v>
      </c>
      <c r="C257" s="1" t="n">
        <v>45576</v>
      </c>
      <c r="D257" t="inlineStr">
        <is>
          <t>VÄSTMANLANDS LÄN</t>
        </is>
      </c>
      <c r="E257" t="inlineStr">
        <is>
          <t>SALA</t>
        </is>
      </c>
      <c r="G257" t="n">
        <v>3.7</v>
      </c>
      <c r="H257" t="n">
        <v>0</v>
      </c>
      <c r="I257" t="n">
        <v>0</v>
      </c>
      <c r="J257" t="n">
        <v>0</v>
      </c>
      <c r="K257" t="n">
        <v>0</v>
      </c>
      <c r="L257" t="n">
        <v>0</v>
      </c>
      <c r="M257" t="n">
        <v>0</v>
      </c>
      <c r="N257" t="n">
        <v>0</v>
      </c>
      <c r="O257" t="n">
        <v>0</v>
      </c>
      <c r="P257" t="n">
        <v>0</v>
      </c>
      <c r="Q257" t="n">
        <v>0</v>
      </c>
      <c r="R257" s="2" t="inlineStr"/>
    </row>
    <row r="258" ht="15" customHeight="1">
      <c r="A258" t="inlineStr">
        <is>
          <t>A 13993-2021</t>
        </is>
      </c>
      <c r="B258" s="1" t="n">
        <v>44277</v>
      </c>
      <c r="C258" s="1" t="n">
        <v>45576</v>
      </c>
      <c r="D258" t="inlineStr">
        <is>
          <t>VÄSTMANLANDS LÄN</t>
        </is>
      </c>
      <c r="E258" t="inlineStr">
        <is>
          <t>SALA</t>
        </is>
      </c>
      <c r="G258" t="n">
        <v>27.6</v>
      </c>
      <c r="H258" t="n">
        <v>0</v>
      </c>
      <c r="I258" t="n">
        <v>0</v>
      </c>
      <c r="J258" t="n">
        <v>0</v>
      </c>
      <c r="K258" t="n">
        <v>0</v>
      </c>
      <c r="L258" t="n">
        <v>0</v>
      </c>
      <c r="M258" t="n">
        <v>0</v>
      </c>
      <c r="N258" t="n">
        <v>0</v>
      </c>
      <c r="O258" t="n">
        <v>0</v>
      </c>
      <c r="P258" t="n">
        <v>0</v>
      </c>
      <c r="Q258" t="n">
        <v>0</v>
      </c>
      <c r="R258" s="2" t="inlineStr"/>
    </row>
    <row r="259" ht="15" customHeight="1">
      <c r="A259" t="inlineStr">
        <is>
          <t>A 14010-2021</t>
        </is>
      </c>
      <c r="B259" s="1" t="n">
        <v>44277</v>
      </c>
      <c r="C259" s="1" t="n">
        <v>45576</v>
      </c>
      <c r="D259" t="inlineStr">
        <is>
          <t>VÄSTMANLANDS LÄN</t>
        </is>
      </c>
      <c r="E259" t="inlineStr">
        <is>
          <t>SALA</t>
        </is>
      </c>
      <c r="G259" t="n">
        <v>3.5</v>
      </c>
      <c r="H259" t="n">
        <v>0</v>
      </c>
      <c r="I259" t="n">
        <v>0</v>
      </c>
      <c r="J259" t="n">
        <v>0</v>
      </c>
      <c r="K259" t="n">
        <v>0</v>
      </c>
      <c r="L259" t="n">
        <v>0</v>
      </c>
      <c r="M259" t="n">
        <v>0</v>
      </c>
      <c r="N259" t="n">
        <v>0</v>
      </c>
      <c r="O259" t="n">
        <v>0</v>
      </c>
      <c r="P259" t="n">
        <v>0</v>
      </c>
      <c r="Q259" t="n">
        <v>0</v>
      </c>
      <c r="R259" s="2" t="inlineStr"/>
    </row>
    <row r="260" ht="15" customHeight="1">
      <c r="A260" t="inlineStr">
        <is>
          <t>A 15354-2021</t>
        </is>
      </c>
      <c r="B260" s="1" t="n">
        <v>44284</v>
      </c>
      <c r="C260" s="1" t="n">
        <v>45576</v>
      </c>
      <c r="D260" t="inlineStr">
        <is>
          <t>VÄSTMANLANDS LÄN</t>
        </is>
      </c>
      <c r="E260" t="inlineStr">
        <is>
          <t>SALA</t>
        </is>
      </c>
      <c r="F260" t="inlineStr">
        <is>
          <t>Kyrkan</t>
        </is>
      </c>
      <c r="G260" t="n">
        <v>8.5</v>
      </c>
      <c r="H260" t="n">
        <v>0</v>
      </c>
      <c r="I260" t="n">
        <v>0</v>
      </c>
      <c r="J260" t="n">
        <v>0</v>
      </c>
      <c r="K260" t="n">
        <v>0</v>
      </c>
      <c r="L260" t="n">
        <v>0</v>
      </c>
      <c r="M260" t="n">
        <v>0</v>
      </c>
      <c r="N260" t="n">
        <v>0</v>
      </c>
      <c r="O260" t="n">
        <v>0</v>
      </c>
      <c r="P260" t="n">
        <v>0</v>
      </c>
      <c r="Q260" t="n">
        <v>0</v>
      </c>
      <c r="R260" s="2" t="inlineStr"/>
    </row>
    <row r="261" ht="15" customHeight="1">
      <c r="A261" t="inlineStr">
        <is>
          <t>A 15483-2021</t>
        </is>
      </c>
      <c r="B261" s="1" t="n">
        <v>44285</v>
      </c>
      <c r="C261" s="1" t="n">
        <v>45576</v>
      </c>
      <c r="D261" t="inlineStr">
        <is>
          <t>VÄSTMANLANDS LÄN</t>
        </is>
      </c>
      <c r="E261" t="inlineStr">
        <is>
          <t>SALA</t>
        </is>
      </c>
      <c r="G261" t="n">
        <v>1.6</v>
      </c>
      <c r="H261" t="n">
        <v>0</v>
      </c>
      <c r="I261" t="n">
        <v>0</v>
      </c>
      <c r="J261" t="n">
        <v>0</v>
      </c>
      <c r="K261" t="n">
        <v>0</v>
      </c>
      <c r="L261" t="n">
        <v>0</v>
      </c>
      <c r="M261" t="n">
        <v>0</v>
      </c>
      <c r="N261" t="n">
        <v>0</v>
      </c>
      <c r="O261" t="n">
        <v>0</v>
      </c>
      <c r="P261" t="n">
        <v>0</v>
      </c>
      <c r="Q261" t="n">
        <v>0</v>
      </c>
      <c r="R261" s="2" t="inlineStr"/>
    </row>
    <row r="262" ht="15" customHeight="1">
      <c r="A262" t="inlineStr">
        <is>
          <t>A 15584-2021</t>
        </is>
      </c>
      <c r="B262" s="1" t="n">
        <v>44285</v>
      </c>
      <c r="C262" s="1" t="n">
        <v>45576</v>
      </c>
      <c r="D262" t="inlineStr">
        <is>
          <t>VÄSTMANLANDS LÄN</t>
        </is>
      </c>
      <c r="E262" t="inlineStr">
        <is>
          <t>SALA</t>
        </is>
      </c>
      <c r="G262" t="n">
        <v>3.4</v>
      </c>
      <c r="H262" t="n">
        <v>0</v>
      </c>
      <c r="I262" t="n">
        <v>0</v>
      </c>
      <c r="J262" t="n">
        <v>0</v>
      </c>
      <c r="K262" t="n">
        <v>0</v>
      </c>
      <c r="L262" t="n">
        <v>0</v>
      </c>
      <c r="M262" t="n">
        <v>0</v>
      </c>
      <c r="N262" t="n">
        <v>0</v>
      </c>
      <c r="O262" t="n">
        <v>0</v>
      </c>
      <c r="P262" t="n">
        <v>0</v>
      </c>
      <c r="Q262" t="n">
        <v>0</v>
      </c>
      <c r="R262" s="2" t="inlineStr"/>
    </row>
    <row r="263" ht="15" customHeight="1">
      <c r="A263" t="inlineStr">
        <is>
          <t>A 16651-2021</t>
        </is>
      </c>
      <c r="B263" s="1" t="n">
        <v>44294</v>
      </c>
      <c r="C263" s="1" t="n">
        <v>45576</v>
      </c>
      <c r="D263" t="inlineStr">
        <is>
          <t>VÄSTMANLANDS LÄN</t>
        </is>
      </c>
      <c r="E263" t="inlineStr">
        <is>
          <t>SALA</t>
        </is>
      </c>
      <c r="G263" t="n">
        <v>7.7</v>
      </c>
      <c r="H263" t="n">
        <v>0</v>
      </c>
      <c r="I263" t="n">
        <v>0</v>
      </c>
      <c r="J263" t="n">
        <v>0</v>
      </c>
      <c r="K263" t="n">
        <v>0</v>
      </c>
      <c r="L263" t="n">
        <v>0</v>
      </c>
      <c r="M263" t="n">
        <v>0</v>
      </c>
      <c r="N263" t="n">
        <v>0</v>
      </c>
      <c r="O263" t="n">
        <v>0</v>
      </c>
      <c r="P263" t="n">
        <v>0</v>
      </c>
      <c r="Q263" t="n">
        <v>0</v>
      </c>
      <c r="R263" s="2" t="inlineStr"/>
    </row>
    <row r="264" ht="15" customHeight="1">
      <c r="A264" t="inlineStr">
        <is>
          <t>A 18046-2021</t>
        </is>
      </c>
      <c r="B264" s="1" t="n">
        <v>44301</v>
      </c>
      <c r="C264" s="1" t="n">
        <v>45576</v>
      </c>
      <c r="D264" t="inlineStr">
        <is>
          <t>VÄSTMANLANDS LÄN</t>
        </is>
      </c>
      <c r="E264" t="inlineStr">
        <is>
          <t>SALA</t>
        </is>
      </c>
      <c r="G264" t="n">
        <v>3.5</v>
      </c>
      <c r="H264" t="n">
        <v>0</v>
      </c>
      <c r="I264" t="n">
        <v>0</v>
      </c>
      <c r="J264" t="n">
        <v>0</v>
      </c>
      <c r="K264" t="n">
        <v>0</v>
      </c>
      <c r="L264" t="n">
        <v>0</v>
      </c>
      <c r="M264" t="n">
        <v>0</v>
      </c>
      <c r="N264" t="n">
        <v>0</v>
      </c>
      <c r="O264" t="n">
        <v>0</v>
      </c>
      <c r="P264" t="n">
        <v>0</v>
      </c>
      <c r="Q264" t="n">
        <v>0</v>
      </c>
      <c r="R264" s="2" t="inlineStr"/>
    </row>
    <row r="265" ht="15" customHeight="1">
      <c r="A265" t="inlineStr">
        <is>
          <t>A 18189-2021</t>
        </is>
      </c>
      <c r="B265" s="1" t="n">
        <v>44302</v>
      </c>
      <c r="C265" s="1" t="n">
        <v>45576</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18259-2021</t>
        </is>
      </c>
      <c r="B266" s="1" t="n">
        <v>44305</v>
      </c>
      <c r="C266" s="1" t="n">
        <v>45576</v>
      </c>
      <c r="D266" t="inlineStr">
        <is>
          <t>VÄSTMANLANDS LÄN</t>
        </is>
      </c>
      <c r="E266" t="inlineStr">
        <is>
          <t>SALA</t>
        </is>
      </c>
      <c r="G266" t="n">
        <v>0</v>
      </c>
      <c r="H266" t="n">
        <v>0</v>
      </c>
      <c r="I266" t="n">
        <v>0</v>
      </c>
      <c r="J266" t="n">
        <v>0</v>
      </c>
      <c r="K266" t="n">
        <v>0</v>
      </c>
      <c r="L266" t="n">
        <v>0</v>
      </c>
      <c r="M266" t="n">
        <v>0</v>
      </c>
      <c r="N266" t="n">
        <v>0</v>
      </c>
      <c r="O266" t="n">
        <v>0</v>
      </c>
      <c r="P266" t="n">
        <v>0</v>
      </c>
      <c r="Q266" t="n">
        <v>0</v>
      </c>
      <c r="R266" s="2" t="inlineStr"/>
    </row>
    <row r="267" ht="15" customHeight="1">
      <c r="A267" t="inlineStr">
        <is>
          <t>A 18378-2021</t>
        </is>
      </c>
      <c r="B267" s="1" t="n">
        <v>44305</v>
      </c>
      <c r="C267" s="1" t="n">
        <v>45576</v>
      </c>
      <c r="D267" t="inlineStr">
        <is>
          <t>VÄSTMANLANDS LÄN</t>
        </is>
      </c>
      <c r="E267" t="inlineStr">
        <is>
          <t>SALA</t>
        </is>
      </c>
      <c r="F267" t="inlineStr">
        <is>
          <t>Kommuner</t>
        </is>
      </c>
      <c r="G267" t="n">
        <v>0.9</v>
      </c>
      <c r="H267" t="n">
        <v>0</v>
      </c>
      <c r="I267" t="n">
        <v>0</v>
      </c>
      <c r="J267" t="n">
        <v>0</v>
      </c>
      <c r="K267" t="n">
        <v>0</v>
      </c>
      <c r="L267" t="n">
        <v>0</v>
      </c>
      <c r="M267" t="n">
        <v>0</v>
      </c>
      <c r="N267" t="n">
        <v>0</v>
      </c>
      <c r="O267" t="n">
        <v>0</v>
      </c>
      <c r="P267" t="n">
        <v>0</v>
      </c>
      <c r="Q267" t="n">
        <v>0</v>
      </c>
      <c r="R267" s="2" t="inlineStr"/>
    </row>
    <row r="268" ht="15" customHeight="1">
      <c r="A268" t="inlineStr">
        <is>
          <t>A 18385-2021</t>
        </is>
      </c>
      <c r="B268" s="1" t="n">
        <v>44305</v>
      </c>
      <c r="C268" s="1" t="n">
        <v>45576</v>
      </c>
      <c r="D268" t="inlineStr">
        <is>
          <t>VÄSTMANLANDS LÄN</t>
        </is>
      </c>
      <c r="E268" t="inlineStr">
        <is>
          <t>SALA</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18951-2021</t>
        </is>
      </c>
      <c r="B269" s="1" t="n">
        <v>44308</v>
      </c>
      <c r="C269" s="1" t="n">
        <v>45576</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21458-2021</t>
        </is>
      </c>
      <c r="B270" s="1" t="n">
        <v>44321</v>
      </c>
      <c r="C270" s="1" t="n">
        <v>45576</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21478-2021</t>
        </is>
      </c>
      <c r="B271" s="1" t="n">
        <v>44321</v>
      </c>
      <c r="C271" s="1" t="n">
        <v>45576</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22019-2021</t>
        </is>
      </c>
      <c r="B272" s="1" t="n">
        <v>44323</v>
      </c>
      <c r="C272" s="1" t="n">
        <v>45576</v>
      </c>
      <c r="D272" t="inlineStr">
        <is>
          <t>VÄSTMANLANDS LÄN</t>
        </is>
      </c>
      <c r="E272" t="inlineStr">
        <is>
          <t>SALA</t>
        </is>
      </c>
      <c r="G272" t="n">
        <v>1.9</v>
      </c>
      <c r="H272" t="n">
        <v>0</v>
      </c>
      <c r="I272" t="n">
        <v>0</v>
      </c>
      <c r="J272" t="n">
        <v>0</v>
      </c>
      <c r="K272" t="n">
        <v>0</v>
      </c>
      <c r="L272" t="n">
        <v>0</v>
      </c>
      <c r="M272" t="n">
        <v>0</v>
      </c>
      <c r="N272" t="n">
        <v>0</v>
      </c>
      <c r="O272" t="n">
        <v>0</v>
      </c>
      <c r="P272" t="n">
        <v>0</v>
      </c>
      <c r="Q272" t="n">
        <v>0</v>
      </c>
      <c r="R272" s="2" t="inlineStr"/>
    </row>
    <row r="273" ht="15" customHeight="1">
      <c r="A273" t="inlineStr">
        <is>
          <t>A 22026-2021</t>
        </is>
      </c>
      <c r="B273" s="1" t="n">
        <v>44323</v>
      </c>
      <c r="C273" s="1" t="n">
        <v>45576</v>
      </c>
      <c r="D273" t="inlineStr">
        <is>
          <t>VÄSTMANLANDS LÄN</t>
        </is>
      </c>
      <c r="E273" t="inlineStr">
        <is>
          <t>SALA</t>
        </is>
      </c>
      <c r="G273" t="n">
        <v>2.9</v>
      </c>
      <c r="H273" t="n">
        <v>0</v>
      </c>
      <c r="I273" t="n">
        <v>0</v>
      </c>
      <c r="J273" t="n">
        <v>0</v>
      </c>
      <c r="K273" t="n">
        <v>0</v>
      </c>
      <c r="L273" t="n">
        <v>0</v>
      </c>
      <c r="M273" t="n">
        <v>0</v>
      </c>
      <c r="N273" t="n">
        <v>0</v>
      </c>
      <c r="O273" t="n">
        <v>0</v>
      </c>
      <c r="P273" t="n">
        <v>0</v>
      </c>
      <c r="Q273" t="n">
        <v>0</v>
      </c>
      <c r="R273" s="2" t="inlineStr"/>
    </row>
    <row r="274" ht="15" customHeight="1">
      <c r="A274" t="inlineStr">
        <is>
          <t>A 22017-2021</t>
        </is>
      </c>
      <c r="B274" s="1" t="n">
        <v>44323</v>
      </c>
      <c r="C274" s="1" t="n">
        <v>45576</v>
      </c>
      <c r="D274" t="inlineStr">
        <is>
          <t>VÄSTMANLANDS LÄN</t>
        </is>
      </c>
      <c r="E274" t="inlineStr">
        <is>
          <t>SALA</t>
        </is>
      </c>
      <c r="G274" t="n">
        <v>0.5</v>
      </c>
      <c r="H274" t="n">
        <v>0</v>
      </c>
      <c r="I274" t="n">
        <v>0</v>
      </c>
      <c r="J274" t="n">
        <v>0</v>
      </c>
      <c r="K274" t="n">
        <v>0</v>
      </c>
      <c r="L274" t="n">
        <v>0</v>
      </c>
      <c r="M274" t="n">
        <v>0</v>
      </c>
      <c r="N274" t="n">
        <v>0</v>
      </c>
      <c r="O274" t="n">
        <v>0</v>
      </c>
      <c r="P274" t="n">
        <v>0</v>
      </c>
      <c r="Q274" t="n">
        <v>0</v>
      </c>
      <c r="R274" s="2" t="inlineStr"/>
    </row>
    <row r="275" ht="15" customHeight="1">
      <c r="A275" t="inlineStr">
        <is>
          <t>A 22362-2021</t>
        </is>
      </c>
      <c r="B275" s="1" t="n">
        <v>44326</v>
      </c>
      <c r="C275" s="1" t="n">
        <v>45576</v>
      </c>
      <c r="D275" t="inlineStr">
        <is>
          <t>VÄSTMANLANDS LÄN</t>
        </is>
      </c>
      <c r="E275" t="inlineStr">
        <is>
          <t>SALA</t>
        </is>
      </c>
      <c r="G275" t="n">
        <v>1.7</v>
      </c>
      <c r="H275" t="n">
        <v>0</v>
      </c>
      <c r="I275" t="n">
        <v>0</v>
      </c>
      <c r="J275" t="n">
        <v>0</v>
      </c>
      <c r="K275" t="n">
        <v>0</v>
      </c>
      <c r="L275" t="n">
        <v>0</v>
      </c>
      <c r="M275" t="n">
        <v>0</v>
      </c>
      <c r="N275" t="n">
        <v>0</v>
      </c>
      <c r="O275" t="n">
        <v>0</v>
      </c>
      <c r="P275" t="n">
        <v>0</v>
      </c>
      <c r="Q275" t="n">
        <v>0</v>
      </c>
      <c r="R275" s="2" t="inlineStr"/>
    </row>
    <row r="276" ht="15" customHeight="1">
      <c r="A276" t="inlineStr">
        <is>
          <t>A 23696-2021</t>
        </is>
      </c>
      <c r="B276" s="1" t="n">
        <v>44334</v>
      </c>
      <c r="C276" s="1" t="n">
        <v>45576</v>
      </c>
      <c r="D276" t="inlineStr">
        <is>
          <t>VÄSTMANLANDS LÄN</t>
        </is>
      </c>
      <c r="E276" t="inlineStr">
        <is>
          <t>SALA</t>
        </is>
      </c>
      <c r="G276" t="n">
        <v>2.4</v>
      </c>
      <c r="H276" t="n">
        <v>0</v>
      </c>
      <c r="I276" t="n">
        <v>0</v>
      </c>
      <c r="J276" t="n">
        <v>0</v>
      </c>
      <c r="K276" t="n">
        <v>0</v>
      </c>
      <c r="L276" t="n">
        <v>0</v>
      </c>
      <c r="M276" t="n">
        <v>0</v>
      </c>
      <c r="N276" t="n">
        <v>0</v>
      </c>
      <c r="O276" t="n">
        <v>0</v>
      </c>
      <c r="P276" t="n">
        <v>0</v>
      </c>
      <c r="Q276" t="n">
        <v>0</v>
      </c>
      <c r="R276" s="2" t="inlineStr"/>
    </row>
    <row r="277" ht="15" customHeight="1">
      <c r="A277" t="inlineStr">
        <is>
          <t>A 23693-2021</t>
        </is>
      </c>
      <c r="B277" s="1" t="n">
        <v>44334</v>
      </c>
      <c r="C277" s="1" t="n">
        <v>45576</v>
      </c>
      <c r="D277" t="inlineStr">
        <is>
          <t>VÄSTMANLANDS LÄN</t>
        </is>
      </c>
      <c r="E277" t="inlineStr">
        <is>
          <t>SALA</t>
        </is>
      </c>
      <c r="G277" t="n">
        <v>8.4</v>
      </c>
      <c r="H277" t="n">
        <v>0</v>
      </c>
      <c r="I277" t="n">
        <v>0</v>
      </c>
      <c r="J277" t="n">
        <v>0</v>
      </c>
      <c r="K277" t="n">
        <v>0</v>
      </c>
      <c r="L277" t="n">
        <v>0</v>
      </c>
      <c r="M277" t="n">
        <v>0</v>
      </c>
      <c r="N277" t="n">
        <v>0</v>
      </c>
      <c r="O277" t="n">
        <v>0</v>
      </c>
      <c r="P277" t="n">
        <v>0</v>
      </c>
      <c r="Q277" t="n">
        <v>0</v>
      </c>
      <c r="R277" s="2" t="inlineStr"/>
    </row>
    <row r="278" ht="15" customHeight="1">
      <c r="A278" t="inlineStr">
        <is>
          <t>A 24740-2021</t>
        </is>
      </c>
      <c r="B278" s="1" t="n">
        <v>44340</v>
      </c>
      <c r="C278" s="1" t="n">
        <v>45576</v>
      </c>
      <c r="D278" t="inlineStr">
        <is>
          <t>VÄSTMANLANDS LÄN</t>
        </is>
      </c>
      <c r="E278" t="inlineStr">
        <is>
          <t>SALA</t>
        </is>
      </c>
      <c r="G278" t="n">
        <v>2.1</v>
      </c>
      <c r="H278" t="n">
        <v>0</v>
      </c>
      <c r="I278" t="n">
        <v>0</v>
      </c>
      <c r="J278" t="n">
        <v>0</v>
      </c>
      <c r="K278" t="n">
        <v>0</v>
      </c>
      <c r="L278" t="n">
        <v>0</v>
      </c>
      <c r="M278" t="n">
        <v>0</v>
      </c>
      <c r="N278" t="n">
        <v>0</v>
      </c>
      <c r="O278" t="n">
        <v>0</v>
      </c>
      <c r="P278" t="n">
        <v>0</v>
      </c>
      <c r="Q278" t="n">
        <v>0</v>
      </c>
      <c r="R278" s="2" t="inlineStr"/>
    </row>
    <row r="279" ht="15" customHeight="1">
      <c r="A279" t="inlineStr">
        <is>
          <t>A 24823-2021</t>
        </is>
      </c>
      <c r="B279" s="1" t="n">
        <v>44340</v>
      </c>
      <c r="C279" s="1" t="n">
        <v>45576</v>
      </c>
      <c r="D279" t="inlineStr">
        <is>
          <t>VÄSTMANLANDS LÄN</t>
        </is>
      </c>
      <c r="E279" t="inlineStr">
        <is>
          <t>SALA</t>
        </is>
      </c>
      <c r="G279" t="n">
        <v>4.9</v>
      </c>
      <c r="H279" t="n">
        <v>0</v>
      </c>
      <c r="I279" t="n">
        <v>0</v>
      </c>
      <c r="J279" t="n">
        <v>0</v>
      </c>
      <c r="K279" t="n">
        <v>0</v>
      </c>
      <c r="L279" t="n">
        <v>0</v>
      </c>
      <c r="M279" t="n">
        <v>0</v>
      </c>
      <c r="N279" t="n">
        <v>0</v>
      </c>
      <c r="O279" t="n">
        <v>0</v>
      </c>
      <c r="P279" t="n">
        <v>0</v>
      </c>
      <c r="Q279" t="n">
        <v>0</v>
      </c>
      <c r="R279" s="2" t="inlineStr"/>
    </row>
    <row r="280" ht="15" customHeight="1">
      <c r="A280" t="inlineStr">
        <is>
          <t>A 24755-2021</t>
        </is>
      </c>
      <c r="B280" s="1" t="n">
        <v>44340</v>
      </c>
      <c r="C280" s="1" t="n">
        <v>45576</v>
      </c>
      <c r="D280" t="inlineStr">
        <is>
          <t>VÄSTMANLANDS LÄN</t>
        </is>
      </c>
      <c r="E280" t="inlineStr">
        <is>
          <t>SALA</t>
        </is>
      </c>
      <c r="G280" t="n">
        <v>1.2</v>
      </c>
      <c r="H280" t="n">
        <v>0</v>
      </c>
      <c r="I280" t="n">
        <v>0</v>
      </c>
      <c r="J280" t="n">
        <v>0</v>
      </c>
      <c r="K280" t="n">
        <v>0</v>
      </c>
      <c r="L280" t="n">
        <v>0</v>
      </c>
      <c r="M280" t="n">
        <v>0</v>
      </c>
      <c r="N280" t="n">
        <v>0</v>
      </c>
      <c r="O280" t="n">
        <v>0</v>
      </c>
      <c r="P280" t="n">
        <v>0</v>
      </c>
      <c r="Q280" t="n">
        <v>0</v>
      </c>
      <c r="R280" s="2" t="inlineStr"/>
    </row>
    <row r="281" ht="15" customHeight="1">
      <c r="A281" t="inlineStr">
        <is>
          <t>A 26579-2021</t>
        </is>
      </c>
      <c r="B281" s="1" t="n">
        <v>44348</v>
      </c>
      <c r="C281" s="1" t="n">
        <v>45576</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26570-2021</t>
        </is>
      </c>
      <c r="B282" s="1" t="n">
        <v>44348</v>
      </c>
      <c r="C282" s="1" t="n">
        <v>45576</v>
      </c>
      <c r="D282" t="inlineStr">
        <is>
          <t>VÄSTMANLANDS LÄN</t>
        </is>
      </c>
      <c r="E282" t="inlineStr">
        <is>
          <t>SALA</t>
        </is>
      </c>
      <c r="G282" t="n">
        <v>2.5</v>
      </c>
      <c r="H282" t="n">
        <v>0</v>
      </c>
      <c r="I282" t="n">
        <v>0</v>
      </c>
      <c r="J282" t="n">
        <v>0</v>
      </c>
      <c r="K282" t="n">
        <v>0</v>
      </c>
      <c r="L282" t="n">
        <v>0</v>
      </c>
      <c r="M282" t="n">
        <v>0</v>
      </c>
      <c r="N282" t="n">
        <v>0</v>
      </c>
      <c r="O282" t="n">
        <v>0</v>
      </c>
      <c r="P282" t="n">
        <v>0</v>
      </c>
      <c r="Q282" t="n">
        <v>0</v>
      </c>
      <c r="R282" s="2" t="inlineStr"/>
    </row>
    <row r="283" ht="15" customHeight="1">
      <c r="A283" t="inlineStr">
        <is>
          <t>A 26575-2021</t>
        </is>
      </c>
      <c r="B283" s="1" t="n">
        <v>44348</v>
      </c>
      <c r="C283" s="1" t="n">
        <v>45576</v>
      </c>
      <c r="D283" t="inlineStr">
        <is>
          <t>VÄSTMANLANDS LÄN</t>
        </is>
      </c>
      <c r="E283" t="inlineStr">
        <is>
          <t>SALA</t>
        </is>
      </c>
      <c r="G283" t="n">
        <v>2.7</v>
      </c>
      <c r="H283" t="n">
        <v>0</v>
      </c>
      <c r="I283" t="n">
        <v>0</v>
      </c>
      <c r="J283" t="n">
        <v>0</v>
      </c>
      <c r="K283" t="n">
        <v>0</v>
      </c>
      <c r="L283" t="n">
        <v>0</v>
      </c>
      <c r="M283" t="n">
        <v>0</v>
      </c>
      <c r="N283" t="n">
        <v>0</v>
      </c>
      <c r="O283" t="n">
        <v>0</v>
      </c>
      <c r="P283" t="n">
        <v>0</v>
      </c>
      <c r="Q283" t="n">
        <v>0</v>
      </c>
      <c r="R283" s="2" t="inlineStr"/>
    </row>
    <row r="284" ht="15" customHeight="1">
      <c r="A284" t="inlineStr">
        <is>
          <t>A 28425-2021</t>
        </is>
      </c>
      <c r="B284" s="1" t="n">
        <v>44356</v>
      </c>
      <c r="C284" s="1" t="n">
        <v>45576</v>
      </c>
      <c r="D284" t="inlineStr">
        <is>
          <t>VÄSTMANLANDS LÄN</t>
        </is>
      </c>
      <c r="E284" t="inlineStr">
        <is>
          <t>SALA</t>
        </is>
      </c>
      <c r="G284" t="n">
        <v>3.7</v>
      </c>
      <c r="H284" t="n">
        <v>0</v>
      </c>
      <c r="I284" t="n">
        <v>0</v>
      </c>
      <c r="J284" t="n">
        <v>0</v>
      </c>
      <c r="K284" t="n">
        <v>0</v>
      </c>
      <c r="L284" t="n">
        <v>0</v>
      </c>
      <c r="M284" t="n">
        <v>0</v>
      </c>
      <c r="N284" t="n">
        <v>0</v>
      </c>
      <c r="O284" t="n">
        <v>0</v>
      </c>
      <c r="P284" t="n">
        <v>0</v>
      </c>
      <c r="Q284" t="n">
        <v>0</v>
      </c>
      <c r="R284" s="2" t="inlineStr"/>
    </row>
    <row r="285" ht="15" customHeight="1">
      <c r="A285" t="inlineStr">
        <is>
          <t>A 30170-2021</t>
        </is>
      </c>
      <c r="B285" s="1" t="n">
        <v>44363</v>
      </c>
      <c r="C285" s="1" t="n">
        <v>45576</v>
      </c>
      <c r="D285" t="inlineStr">
        <is>
          <t>VÄSTMANLANDS LÄN</t>
        </is>
      </c>
      <c r="E285" t="inlineStr">
        <is>
          <t>SALA</t>
        </is>
      </c>
      <c r="G285" t="n">
        <v>7.2</v>
      </c>
      <c r="H285" t="n">
        <v>0</v>
      </c>
      <c r="I285" t="n">
        <v>0</v>
      </c>
      <c r="J285" t="n">
        <v>0</v>
      </c>
      <c r="K285" t="n">
        <v>0</v>
      </c>
      <c r="L285" t="n">
        <v>0</v>
      </c>
      <c r="M285" t="n">
        <v>0</v>
      </c>
      <c r="N285" t="n">
        <v>0</v>
      </c>
      <c r="O285" t="n">
        <v>0</v>
      </c>
      <c r="P285" t="n">
        <v>0</v>
      </c>
      <c r="Q285" t="n">
        <v>0</v>
      </c>
      <c r="R285" s="2" t="inlineStr"/>
    </row>
    <row r="286" ht="15" customHeight="1">
      <c r="A286" t="inlineStr">
        <is>
          <t>A 30859-2021</t>
        </is>
      </c>
      <c r="B286" s="1" t="n">
        <v>44365</v>
      </c>
      <c r="C286" s="1" t="n">
        <v>45576</v>
      </c>
      <c r="D286" t="inlineStr">
        <is>
          <t>VÄSTMANLANDS LÄN</t>
        </is>
      </c>
      <c r="E286" t="inlineStr">
        <is>
          <t>SALA</t>
        </is>
      </c>
      <c r="G286" t="n">
        <v>3.1</v>
      </c>
      <c r="H286" t="n">
        <v>0</v>
      </c>
      <c r="I286" t="n">
        <v>0</v>
      </c>
      <c r="J286" t="n">
        <v>0</v>
      </c>
      <c r="K286" t="n">
        <v>0</v>
      </c>
      <c r="L286" t="n">
        <v>0</v>
      </c>
      <c r="M286" t="n">
        <v>0</v>
      </c>
      <c r="N286" t="n">
        <v>0</v>
      </c>
      <c r="O286" t="n">
        <v>0</v>
      </c>
      <c r="P286" t="n">
        <v>0</v>
      </c>
      <c r="Q286" t="n">
        <v>0</v>
      </c>
      <c r="R286" s="2" t="inlineStr"/>
    </row>
    <row r="287" ht="15" customHeight="1">
      <c r="A287" t="inlineStr">
        <is>
          <t>A 30904-2021</t>
        </is>
      </c>
      <c r="B287" s="1" t="n">
        <v>44365</v>
      </c>
      <c r="C287" s="1" t="n">
        <v>45576</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30915-2021</t>
        </is>
      </c>
      <c r="B288" s="1" t="n">
        <v>44365</v>
      </c>
      <c r="C288" s="1" t="n">
        <v>45576</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30925-2021</t>
        </is>
      </c>
      <c r="B289" s="1" t="n">
        <v>44365</v>
      </c>
      <c r="C289" s="1" t="n">
        <v>45576</v>
      </c>
      <c r="D289" t="inlineStr">
        <is>
          <t>VÄSTMANLANDS LÄN</t>
        </is>
      </c>
      <c r="E289" t="inlineStr">
        <is>
          <t>SALA</t>
        </is>
      </c>
      <c r="G289" t="n">
        <v>0.9</v>
      </c>
      <c r="H289" t="n">
        <v>0</v>
      </c>
      <c r="I289" t="n">
        <v>0</v>
      </c>
      <c r="J289" t="n">
        <v>0</v>
      </c>
      <c r="K289" t="n">
        <v>0</v>
      </c>
      <c r="L289" t="n">
        <v>0</v>
      </c>
      <c r="M289" t="n">
        <v>0</v>
      </c>
      <c r="N289" t="n">
        <v>0</v>
      </c>
      <c r="O289" t="n">
        <v>0</v>
      </c>
      <c r="P289" t="n">
        <v>0</v>
      </c>
      <c r="Q289" t="n">
        <v>0</v>
      </c>
      <c r="R289" s="2" t="inlineStr"/>
    </row>
    <row r="290" ht="15" customHeight="1">
      <c r="A290" t="inlineStr">
        <is>
          <t>A 30918-2021</t>
        </is>
      </c>
      <c r="B290" s="1" t="n">
        <v>44365</v>
      </c>
      <c r="C290" s="1" t="n">
        <v>45576</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31072-2021</t>
        </is>
      </c>
      <c r="B291" s="1" t="n">
        <v>44368</v>
      </c>
      <c r="C291" s="1" t="n">
        <v>45576</v>
      </c>
      <c r="D291" t="inlineStr">
        <is>
          <t>VÄSTMANLANDS LÄN</t>
        </is>
      </c>
      <c r="E291" t="inlineStr">
        <is>
          <t>SALA</t>
        </is>
      </c>
      <c r="G291" t="n">
        <v>1.1</v>
      </c>
      <c r="H291" t="n">
        <v>0</v>
      </c>
      <c r="I291" t="n">
        <v>0</v>
      </c>
      <c r="J291" t="n">
        <v>0</v>
      </c>
      <c r="K291" t="n">
        <v>0</v>
      </c>
      <c r="L291" t="n">
        <v>0</v>
      </c>
      <c r="M291" t="n">
        <v>0</v>
      </c>
      <c r="N291" t="n">
        <v>0</v>
      </c>
      <c r="O291" t="n">
        <v>0</v>
      </c>
      <c r="P291" t="n">
        <v>0</v>
      </c>
      <c r="Q291" t="n">
        <v>0</v>
      </c>
      <c r="R291" s="2" t="inlineStr"/>
    </row>
    <row r="292" ht="15" customHeight="1">
      <c r="A292" t="inlineStr">
        <is>
          <t>A 31082-2021</t>
        </is>
      </c>
      <c r="B292" s="1" t="n">
        <v>44368</v>
      </c>
      <c r="C292" s="1" t="n">
        <v>45576</v>
      </c>
      <c r="D292" t="inlineStr">
        <is>
          <t>VÄSTMANLANDS LÄN</t>
        </is>
      </c>
      <c r="E292" t="inlineStr">
        <is>
          <t>SALA</t>
        </is>
      </c>
      <c r="G292" t="n">
        <v>2</v>
      </c>
      <c r="H292" t="n">
        <v>0</v>
      </c>
      <c r="I292" t="n">
        <v>0</v>
      </c>
      <c r="J292" t="n">
        <v>0</v>
      </c>
      <c r="K292" t="n">
        <v>0</v>
      </c>
      <c r="L292" t="n">
        <v>0</v>
      </c>
      <c r="M292" t="n">
        <v>0</v>
      </c>
      <c r="N292" t="n">
        <v>0</v>
      </c>
      <c r="O292" t="n">
        <v>0</v>
      </c>
      <c r="P292" t="n">
        <v>0</v>
      </c>
      <c r="Q292" t="n">
        <v>0</v>
      </c>
      <c r="R292" s="2" t="inlineStr"/>
    </row>
    <row r="293" ht="15" customHeight="1">
      <c r="A293" t="inlineStr">
        <is>
          <t>A 31452-2021</t>
        </is>
      </c>
      <c r="B293" s="1" t="n">
        <v>44369</v>
      </c>
      <c r="C293" s="1" t="n">
        <v>45576</v>
      </c>
      <c r="D293" t="inlineStr">
        <is>
          <t>VÄSTMANLANDS LÄN</t>
        </is>
      </c>
      <c r="E293" t="inlineStr">
        <is>
          <t>SALA</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31470-2021</t>
        </is>
      </c>
      <c r="B294" s="1" t="n">
        <v>44369</v>
      </c>
      <c r="C294" s="1" t="n">
        <v>45576</v>
      </c>
      <c r="D294" t="inlineStr">
        <is>
          <t>VÄSTMANLANDS LÄN</t>
        </is>
      </c>
      <c r="E294" t="inlineStr">
        <is>
          <t>SALA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31904-2021</t>
        </is>
      </c>
      <c r="B295" s="1" t="n">
        <v>44370</v>
      </c>
      <c r="C295" s="1" t="n">
        <v>45576</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32610-2021</t>
        </is>
      </c>
      <c r="B296" s="1" t="n">
        <v>44375</v>
      </c>
      <c r="C296" s="1" t="n">
        <v>45576</v>
      </c>
      <c r="D296" t="inlineStr">
        <is>
          <t>VÄSTMANLANDS LÄN</t>
        </is>
      </c>
      <c r="E296" t="inlineStr">
        <is>
          <t>SALA</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33762-2021</t>
        </is>
      </c>
      <c r="B297" s="1" t="n">
        <v>44378</v>
      </c>
      <c r="C297" s="1" t="n">
        <v>45576</v>
      </c>
      <c r="D297" t="inlineStr">
        <is>
          <t>VÄSTMANLANDS LÄN</t>
        </is>
      </c>
      <c r="E297" t="inlineStr">
        <is>
          <t>SALA</t>
        </is>
      </c>
      <c r="G297" t="n">
        <v>3.4</v>
      </c>
      <c r="H297" t="n">
        <v>0</v>
      </c>
      <c r="I297" t="n">
        <v>0</v>
      </c>
      <c r="J297" t="n">
        <v>0</v>
      </c>
      <c r="K297" t="n">
        <v>0</v>
      </c>
      <c r="L297" t="n">
        <v>0</v>
      </c>
      <c r="M297" t="n">
        <v>0</v>
      </c>
      <c r="N297" t="n">
        <v>0</v>
      </c>
      <c r="O297" t="n">
        <v>0</v>
      </c>
      <c r="P297" t="n">
        <v>0</v>
      </c>
      <c r="Q297" t="n">
        <v>0</v>
      </c>
      <c r="R297" s="2" t="inlineStr"/>
    </row>
    <row r="298" ht="15" customHeight="1">
      <c r="A298" t="inlineStr">
        <is>
          <t>A 34814-2021</t>
        </is>
      </c>
      <c r="B298" s="1" t="n">
        <v>44383</v>
      </c>
      <c r="C298" s="1" t="n">
        <v>45576</v>
      </c>
      <c r="D298" t="inlineStr">
        <is>
          <t>VÄSTMANLANDS LÄN</t>
        </is>
      </c>
      <c r="E298" t="inlineStr">
        <is>
          <t>SALA</t>
        </is>
      </c>
      <c r="F298" t="inlineStr">
        <is>
          <t>Sveaskog</t>
        </is>
      </c>
      <c r="G298" t="n">
        <v>0.5</v>
      </c>
      <c r="H298" t="n">
        <v>0</v>
      </c>
      <c r="I298" t="n">
        <v>0</v>
      </c>
      <c r="J298" t="n">
        <v>0</v>
      </c>
      <c r="K298" t="n">
        <v>0</v>
      </c>
      <c r="L298" t="n">
        <v>0</v>
      </c>
      <c r="M298" t="n">
        <v>0</v>
      </c>
      <c r="N298" t="n">
        <v>0</v>
      </c>
      <c r="O298" t="n">
        <v>0</v>
      </c>
      <c r="P298" t="n">
        <v>0</v>
      </c>
      <c r="Q298" t="n">
        <v>0</v>
      </c>
      <c r="R298" s="2" t="inlineStr"/>
    </row>
    <row r="299" ht="15" customHeight="1">
      <c r="A299" t="inlineStr">
        <is>
          <t>A 35207-2021</t>
        </is>
      </c>
      <c r="B299" s="1" t="n">
        <v>44384</v>
      </c>
      <c r="C299" s="1" t="n">
        <v>45576</v>
      </c>
      <c r="D299" t="inlineStr">
        <is>
          <t>VÄSTMANLANDS LÄN</t>
        </is>
      </c>
      <c r="E299" t="inlineStr">
        <is>
          <t>SALA</t>
        </is>
      </c>
      <c r="G299" t="n">
        <v>2.2</v>
      </c>
      <c r="H299" t="n">
        <v>0</v>
      </c>
      <c r="I299" t="n">
        <v>0</v>
      </c>
      <c r="J299" t="n">
        <v>0</v>
      </c>
      <c r="K299" t="n">
        <v>0</v>
      </c>
      <c r="L299" t="n">
        <v>0</v>
      </c>
      <c r="M299" t="n">
        <v>0</v>
      </c>
      <c r="N299" t="n">
        <v>0</v>
      </c>
      <c r="O299" t="n">
        <v>0</v>
      </c>
      <c r="P299" t="n">
        <v>0</v>
      </c>
      <c r="Q299" t="n">
        <v>0</v>
      </c>
      <c r="R299" s="2" t="inlineStr"/>
    </row>
    <row r="300" ht="15" customHeight="1">
      <c r="A300" t="inlineStr">
        <is>
          <t>A 35211-2021</t>
        </is>
      </c>
      <c r="B300" s="1" t="n">
        <v>44384</v>
      </c>
      <c r="C300" s="1" t="n">
        <v>45576</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35451-2021</t>
        </is>
      </c>
      <c r="B301" s="1" t="n">
        <v>44384</v>
      </c>
      <c r="C301" s="1" t="n">
        <v>45576</v>
      </c>
      <c r="D301" t="inlineStr">
        <is>
          <t>VÄSTMANLANDS LÄN</t>
        </is>
      </c>
      <c r="E301" t="inlineStr">
        <is>
          <t>SALA</t>
        </is>
      </c>
      <c r="G301" t="n">
        <v>2.5</v>
      </c>
      <c r="H301" t="n">
        <v>0</v>
      </c>
      <c r="I301" t="n">
        <v>0</v>
      </c>
      <c r="J301" t="n">
        <v>0</v>
      </c>
      <c r="K301" t="n">
        <v>0</v>
      </c>
      <c r="L301" t="n">
        <v>0</v>
      </c>
      <c r="M301" t="n">
        <v>0</v>
      </c>
      <c r="N301" t="n">
        <v>0</v>
      </c>
      <c r="O301" t="n">
        <v>0</v>
      </c>
      <c r="P301" t="n">
        <v>0</v>
      </c>
      <c r="Q301" t="n">
        <v>0</v>
      </c>
      <c r="R301" s="2" t="inlineStr"/>
    </row>
    <row r="302" ht="15" customHeight="1">
      <c r="A302" t="inlineStr">
        <is>
          <t>A 35487-2021</t>
        </is>
      </c>
      <c r="B302" s="1" t="n">
        <v>44384</v>
      </c>
      <c r="C302" s="1" t="n">
        <v>45576</v>
      </c>
      <c r="D302" t="inlineStr">
        <is>
          <t>VÄSTMANLANDS LÄN</t>
        </is>
      </c>
      <c r="E302" t="inlineStr">
        <is>
          <t>SALA</t>
        </is>
      </c>
      <c r="G302" t="n">
        <v>1.8</v>
      </c>
      <c r="H302" t="n">
        <v>0</v>
      </c>
      <c r="I302" t="n">
        <v>0</v>
      </c>
      <c r="J302" t="n">
        <v>0</v>
      </c>
      <c r="K302" t="n">
        <v>0</v>
      </c>
      <c r="L302" t="n">
        <v>0</v>
      </c>
      <c r="M302" t="n">
        <v>0</v>
      </c>
      <c r="N302" t="n">
        <v>0</v>
      </c>
      <c r="O302" t="n">
        <v>0</v>
      </c>
      <c r="P302" t="n">
        <v>0</v>
      </c>
      <c r="Q302" t="n">
        <v>0</v>
      </c>
      <c r="R302" s="2" t="inlineStr"/>
    </row>
    <row r="303" ht="15" customHeight="1">
      <c r="A303" t="inlineStr">
        <is>
          <t>A 35482-2021</t>
        </is>
      </c>
      <c r="B303" s="1" t="n">
        <v>44384</v>
      </c>
      <c r="C303" s="1" t="n">
        <v>45576</v>
      </c>
      <c r="D303" t="inlineStr">
        <is>
          <t>VÄSTMANLANDS LÄN</t>
        </is>
      </c>
      <c r="E303" t="inlineStr">
        <is>
          <t>SALA</t>
        </is>
      </c>
      <c r="G303" t="n">
        <v>1.5</v>
      </c>
      <c r="H303" t="n">
        <v>0</v>
      </c>
      <c r="I303" t="n">
        <v>0</v>
      </c>
      <c r="J303" t="n">
        <v>0</v>
      </c>
      <c r="K303" t="n">
        <v>0</v>
      </c>
      <c r="L303" t="n">
        <v>0</v>
      </c>
      <c r="M303" t="n">
        <v>0</v>
      </c>
      <c r="N303" t="n">
        <v>0</v>
      </c>
      <c r="O303" t="n">
        <v>0</v>
      </c>
      <c r="P303" t="n">
        <v>0</v>
      </c>
      <c r="Q303" t="n">
        <v>0</v>
      </c>
      <c r="R303" s="2" t="inlineStr"/>
    </row>
    <row r="304" ht="15" customHeight="1">
      <c r="A304" t="inlineStr">
        <is>
          <t>A 35921-2021</t>
        </is>
      </c>
      <c r="B304" s="1" t="n">
        <v>44388</v>
      </c>
      <c r="C304" s="1" t="n">
        <v>45576</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37703-2021</t>
        </is>
      </c>
      <c r="B305" s="1" t="n">
        <v>44400</v>
      </c>
      <c r="C305" s="1" t="n">
        <v>45576</v>
      </c>
      <c r="D305" t="inlineStr">
        <is>
          <t>VÄSTMANLANDS LÄN</t>
        </is>
      </c>
      <c r="E305" t="inlineStr">
        <is>
          <t>SALA</t>
        </is>
      </c>
      <c r="G305" t="n">
        <v>2.7</v>
      </c>
      <c r="H305" t="n">
        <v>0</v>
      </c>
      <c r="I305" t="n">
        <v>0</v>
      </c>
      <c r="J305" t="n">
        <v>0</v>
      </c>
      <c r="K305" t="n">
        <v>0</v>
      </c>
      <c r="L305" t="n">
        <v>0</v>
      </c>
      <c r="M305" t="n">
        <v>0</v>
      </c>
      <c r="N305" t="n">
        <v>0</v>
      </c>
      <c r="O305" t="n">
        <v>0</v>
      </c>
      <c r="P305" t="n">
        <v>0</v>
      </c>
      <c r="Q305" t="n">
        <v>0</v>
      </c>
      <c r="R305" s="2" t="inlineStr"/>
    </row>
    <row r="306" ht="15" customHeight="1">
      <c r="A306" t="inlineStr">
        <is>
          <t>A 37856-2021</t>
        </is>
      </c>
      <c r="B306" s="1" t="n">
        <v>44403</v>
      </c>
      <c r="C306" s="1" t="n">
        <v>45576</v>
      </c>
      <c r="D306" t="inlineStr">
        <is>
          <t>VÄSTMANLANDS LÄN</t>
        </is>
      </c>
      <c r="E306" t="inlineStr">
        <is>
          <t>SALA</t>
        </is>
      </c>
      <c r="G306" t="n">
        <v>3.1</v>
      </c>
      <c r="H306" t="n">
        <v>0</v>
      </c>
      <c r="I306" t="n">
        <v>0</v>
      </c>
      <c r="J306" t="n">
        <v>0</v>
      </c>
      <c r="K306" t="n">
        <v>0</v>
      </c>
      <c r="L306" t="n">
        <v>0</v>
      </c>
      <c r="M306" t="n">
        <v>0</v>
      </c>
      <c r="N306" t="n">
        <v>0</v>
      </c>
      <c r="O306" t="n">
        <v>0</v>
      </c>
      <c r="P306" t="n">
        <v>0</v>
      </c>
      <c r="Q306" t="n">
        <v>0</v>
      </c>
      <c r="R306" s="2" t="inlineStr"/>
    </row>
    <row r="307" ht="15" customHeight="1">
      <c r="A307" t="inlineStr">
        <is>
          <t>A 37872-2021</t>
        </is>
      </c>
      <c r="B307" s="1" t="n">
        <v>44403</v>
      </c>
      <c r="C307" s="1" t="n">
        <v>45576</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37881-2021</t>
        </is>
      </c>
      <c r="B308" s="1" t="n">
        <v>44403</v>
      </c>
      <c r="C308" s="1" t="n">
        <v>45576</v>
      </c>
      <c r="D308" t="inlineStr">
        <is>
          <t>VÄSTMANLANDS LÄN</t>
        </is>
      </c>
      <c r="E308" t="inlineStr">
        <is>
          <t>SALA</t>
        </is>
      </c>
      <c r="G308" t="n">
        <v>4.6</v>
      </c>
      <c r="H308" t="n">
        <v>0</v>
      </c>
      <c r="I308" t="n">
        <v>0</v>
      </c>
      <c r="J308" t="n">
        <v>0</v>
      </c>
      <c r="K308" t="n">
        <v>0</v>
      </c>
      <c r="L308" t="n">
        <v>0</v>
      </c>
      <c r="M308" t="n">
        <v>0</v>
      </c>
      <c r="N308" t="n">
        <v>0</v>
      </c>
      <c r="O308" t="n">
        <v>0</v>
      </c>
      <c r="P308" t="n">
        <v>0</v>
      </c>
      <c r="Q308" t="n">
        <v>0</v>
      </c>
      <c r="R308" s="2" t="inlineStr"/>
    </row>
    <row r="309" ht="15" customHeight="1">
      <c r="A309" t="inlineStr">
        <is>
          <t>A 38195-2021</t>
        </is>
      </c>
      <c r="B309" s="1" t="n">
        <v>44405</v>
      </c>
      <c r="C309" s="1" t="n">
        <v>45576</v>
      </c>
      <c r="D309" t="inlineStr">
        <is>
          <t>VÄSTMANLANDS LÄN</t>
        </is>
      </c>
      <c r="E309" t="inlineStr">
        <is>
          <t>SALA</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38634-2021</t>
        </is>
      </c>
      <c r="B310" s="1" t="n">
        <v>44410</v>
      </c>
      <c r="C310" s="1" t="n">
        <v>45576</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39439-2021</t>
        </is>
      </c>
      <c r="B311" s="1" t="n">
        <v>44414</v>
      </c>
      <c r="C311" s="1" t="n">
        <v>45576</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39807-2021</t>
        </is>
      </c>
      <c r="B312" s="1" t="n">
        <v>44417</v>
      </c>
      <c r="C312" s="1" t="n">
        <v>45576</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40157-2021</t>
        </is>
      </c>
      <c r="B313" s="1" t="n">
        <v>44418</v>
      </c>
      <c r="C313" s="1" t="n">
        <v>45576</v>
      </c>
      <c r="D313" t="inlineStr">
        <is>
          <t>VÄSTMANLANDS LÄN</t>
        </is>
      </c>
      <c r="E313" t="inlineStr">
        <is>
          <t>SALA</t>
        </is>
      </c>
      <c r="G313" t="n">
        <v>1.7</v>
      </c>
      <c r="H313" t="n">
        <v>0</v>
      </c>
      <c r="I313" t="n">
        <v>0</v>
      </c>
      <c r="J313" t="n">
        <v>0</v>
      </c>
      <c r="K313" t="n">
        <v>0</v>
      </c>
      <c r="L313" t="n">
        <v>0</v>
      </c>
      <c r="M313" t="n">
        <v>0</v>
      </c>
      <c r="N313" t="n">
        <v>0</v>
      </c>
      <c r="O313" t="n">
        <v>0</v>
      </c>
      <c r="P313" t="n">
        <v>0</v>
      </c>
      <c r="Q313" t="n">
        <v>0</v>
      </c>
      <c r="R313" s="2" t="inlineStr"/>
    </row>
    <row r="314" ht="15" customHeight="1">
      <c r="A314" t="inlineStr">
        <is>
          <t>A 40153-2021</t>
        </is>
      </c>
      <c r="B314" s="1" t="n">
        <v>44418</v>
      </c>
      <c r="C314" s="1" t="n">
        <v>45576</v>
      </c>
      <c r="D314" t="inlineStr">
        <is>
          <t>VÄSTMANLANDS LÄN</t>
        </is>
      </c>
      <c r="E314" t="inlineStr">
        <is>
          <t>SALA</t>
        </is>
      </c>
      <c r="G314" t="n">
        <v>2.8</v>
      </c>
      <c r="H314" t="n">
        <v>0</v>
      </c>
      <c r="I314" t="n">
        <v>0</v>
      </c>
      <c r="J314" t="n">
        <v>0</v>
      </c>
      <c r="K314" t="n">
        <v>0</v>
      </c>
      <c r="L314" t="n">
        <v>0</v>
      </c>
      <c r="M314" t="n">
        <v>0</v>
      </c>
      <c r="N314" t="n">
        <v>0</v>
      </c>
      <c r="O314" t="n">
        <v>0</v>
      </c>
      <c r="P314" t="n">
        <v>0</v>
      </c>
      <c r="Q314" t="n">
        <v>0</v>
      </c>
      <c r="R314" s="2" t="inlineStr"/>
    </row>
    <row r="315" ht="15" customHeight="1">
      <c r="A315" t="inlineStr">
        <is>
          <t>A 40398-2021</t>
        </is>
      </c>
      <c r="B315" s="1" t="n">
        <v>44419</v>
      </c>
      <c r="C315" s="1" t="n">
        <v>45576</v>
      </c>
      <c r="D315" t="inlineStr">
        <is>
          <t>VÄSTMANLANDS LÄN</t>
        </is>
      </c>
      <c r="E315" t="inlineStr">
        <is>
          <t>SALA</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40659-2021</t>
        </is>
      </c>
      <c r="B316" s="1" t="n">
        <v>44420</v>
      </c>
      <c r="C316" s="1" t="n">
        <v>45576</v>
      </c>
      <c r="D316" t="inlineStr">
        <is>
          <t>VÄSTMANLANDS LÄN</t>
        </is>
      </c>
      <c r="E316" t="inlineStr">
        <is>
          <t>SALA</t>
        </is>
      </c>
      <c r="G316" t="n">
        <v>1.3</v>
      </c>
      <c r="H316" t="n">
        <v>0</v>
      </c>
      <c r="I316" t="n">
        <v>0</v>
      </c>
      <c r="J316" t="n">
        <v>0</v>
      </c>
      <c r="K316" t="n">
        <v>0</v>
      </c>
      <c r="L316" t="n">
        <v>0</v>
      </c>
      <c r="M316" t="n">
        <v>0</v>
      </c>
      <c r="N316" t="n">
        <v>0</v>
      </c>
      <c r="O316" t="n">
        <v>0</v>
      </c>
      <c r="P316" t="n">
        <v>0</v>
      </c>
      <c r="Q316" t="n">
        <v>0</v>
      </c>
      <c r="R316" s="2" t="inlineStr"/>
    </row>
    <row r="317" ht="15" customHeight="1">
      <c r="A317" t="inlineStr">
        <is>
          <t>A 40871-2021</t>
        </is>
      </c>
      <c r="B317" s="1" t="n">
        <v>44421</v>
      </c>
      <c r="C317" s="1" t="n">
        <v>45576</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41292-2021</t>
        </is>
      </c>
      <c r="B318" s="1" t="n">
        <v>44424</v>
      </c>
      <c r="C318" s="1" t="n">
        <v>45576</v>
      </c>
      <c r="D318" t="inlineStr">
        <is>
          <t>VÄSTMANLANDS LÄN</t>
        </is>
      </c>
      <c r="E318" t="inlineStr">
        <is>
          <t>SALA</t>
        </is>
      </c>
      <c r="G318" t="n">
        <v>0.3</v>
      </c>
      <c r="H318" t="n">
        <v>0</v>
      </c>
      <c r="I318" t="n">
        <v>0</v>
      </c>
      <c r="J318" t="n">
        <v>0</v>
      </c>
      <c r="K318" t="n">
        <v>0</v>
      </c>
      <c r="L318" t="n">
        <v>0</v>
      </c>
      <c r="M318" t="n">
        <v>0</v>
      </c>
      <c r="N318" t="n">
        <v>0</v>
      </c>
      <c r="O318" t="n">
        <v>0</v>
      </c>
      <c r="P318" t="n">
        <v>0</v>
      </c>
      <c r="Q318" t="n">
        <v>0</v>
      </c>
      <c r="R318" s="2" t="inlineStr"/>
    </row>
    <row r="319" ht="15" customHeight="1">
      <c r="A319" t="inlineStr">
        <is>
          <t>A 41583-2021</t>
        </is>
      </c>
      <c r="B319" s="1" t="n">
        <v>44425</v>
      </c>
      <c r="C319" s="1" t="n">
        <v>45576</v>
      </c>
      <c r="D319" t="inlineStr">
        <is>
          <t>VÄSTMANLANDS LÄN</t>
        </is>
      </c>
      <c r="E319" t="inlineStr">
        <is>
          <t>SALA</t>
        </is>
      </c>
      <c r="G319" t="n">
        <v>5</v>
      </c>
      <c r="H319" t="n">
        <v>0</v>
      </c>
      <c r="I319" t="n">
        <v>0</v>
      </c>
      <c r="J319" t="n">
        <v>0</v>
      </c>
      <c r="K319" t="n">
        <v>0</v>
      </c>
      <c r="L319" t="n">
        <v>0</v>
      </c>
      <c r="M319" t="n">
        <v>0</v>
      </c>
      <c r="N319" t="n">
        <v>0</v>
      </c>
      <c r="O319" t="n">
        <v>0</v>
      </c>
      <c r="P319" t="n">
        <v>0</v>
      </c>
      <c r="Q319" t="n">
        <v>0</v>
      </c>
      <c r="R319" s="2" t="inlineStr"/>
    </row>
    <row r="320" ht="15" customHeight="1">
      <c r="A320" t="inlineStr">
        <is>
          <t>A 43292-2021</t>
        </is>
      </c>
      <c r="B320" s="1" t="n">
        <v>44432</v>
      </c>
      <c r="C320" s="1" t="n">
        <v>45576</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43509-2021</t>
        </is>
      </c>
      <c r="B321" s="1" t="n">
        <v>44433</v>
      </c>
      <c r="C321" s="1" t="n">
        <v>45576</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46279-2021</t>
        </is>
      </c>
      <c r="B322" s="1" t="n">
        <v>44442</v>
      </c>
      <c r="C322" s="1" t="n">
        <v>45576</v>
      </c>
      <c r="D322" t="inlineStr">
        <is>
          <t>VÄSTMANLANDS LÄN</t>
        </is>
      </c>
      <c r="E322" t="inlineStr">
        <is>
          <t>SALA</t>
        </is>
      </c>
      <c r="G322" t="n">
        <v>1.4</v>
      </c>
      <c r="H322" t="n">
        <v>0</v>
      </c>
      <c r="I322" t="n">
        <v>0</v>
      </c>
      <c r="J322" t="n">
        <v>0</v>
      </c>
      <c r="K322" t="n">
        <v>0</v>
      </c>
      <c r="L322" t="n">
        <v>0</v>
      </c>
      <c r="M322" t="n">
        <v>0</v>
      </c>
      <c r="N322" t="n">
        <v>0</v>
      </c>
      <c r="O322" t="n">
        <v>0</v>
      </c>
      <c r="P322" t="n">
        <v>0</v>
      </c>
      <c r="Q322" t="n">
        <v>0</v>
      </c>
      <c r="R322" s="2" t="inlineStr"/>
    </row>
    <row r="323" ht="15" customHeight="1">
      <c r="A323" t="inlineStr">
        <is>
          <t>A 47701-2021</t>
        </is>
      </c>
      <c r="B323" s="1" t="n">
        <v>44448</v>
      </c>
      <c r="C323" s="1" t="n">
        <v>45576</v>
      </c>
      <c r="D323" t="inlineStr">
        <is>
          <t>VÄSTMANLANDS LÄN</t>
        </is>
      </c>
      <c r="E323" t="inlineStr">
        <is>
          <t>SALA</t>
        </is>
      </c>
      <c r="G323" t="n">
        <v>2.3</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45576</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48400-2021</t>
        </is>
      </c>
      <c r="B325" s="1" t="n">
        <v>44449</v>
      </c>
      <c r="C325" s="1" t="n">
        <v>45576</v>
      </c>
      <c r="D325" t="inlineStr">
        <is>
          <t>VÄSTMANLANDS LÄN</t>
        </is>
      </c>
      <c r="E325" t="inlineStr">
        <is>
          <t>SALA</t>
        </is>
      </c>
      <c r="G325" t="n">
        <v>3</v>
      </c>
      <c r="H325" t="n">
        <v>0</v>
      </c>
      <c r="I325" t="n">
        <v>0</v>
      </c>
      <c r="J325" t="n">
        <v>0</v>
      </c>
      <c r="K325" t="n">
        <v>0</v>
      </c>
      <c r="L325" t="n">
        <v>0</v>
      </c>
      <c r="M325" t="n">
        <v>0</v>
      </c>
      <c r="N325" t="n">
        <v>0</v>
      </c>
      <c r="O325" t="n">
        <v>0</v>
      </c>
      <c r="P325" t="n">
        <v>0</v>
      </c>
      <c r="Q325" t="n">
        <v>0</v>
      </c>
      <c r="R325" s="2" t="inlineStr"/>
    </row>
    <row r="326" ht="15" customHeight="1">
      <c r="A326" t="inlineStr">
        <is>
          <t>A 50962-2021</t>
        </is>
      </c>
      <c r="B326" s="1" t="n">
        <v>44460</v>
      </c>
      <c r="C326" s="1" t="n">
        <v>45576</v>
      </c>
      <c r="D326" t="inlineStr">
        <is>
          <t>VÄSTMANLANDS LÄN</t>
        </is>
      </c>
      <c r="E326" t="inlineStr">
        <is>
          <t>SALA</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54030-2021</t>
        </is>
      </c>
      <c r="B327" s="1" t="n">
        <v>44470</v>
      </c>
      <c r="C327" s="1" t="n">
        <v>45576</v>
      </c>
      <c r="D327" t="inlineStr">
        <is>
          <t>VÄSTMANLANDS LÄN</t>
        </is>
      </c>
      <c r="E327" t="inlineStr">
        <is>
          <t>SALA</t>
        </is>
      </c>
      <c r="G327" t="n">
        <v>4.1</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45576</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57049-2021</t>
        </is>
      </c>
      <c r="B329" s="1" t="n">
        <v>44482</v>
      </c>
      <c r="C329" s="1" t="n">
        <v>45576</v>
      </c>
      <c r="D329" t="inlineStr">
        <is>
          <t>VÄSTMANLANDS LÄN</t>
        </is>
      </c>
      <c r="E329" t="inlineStr">
        <is>
          <t>SALA</t>
        </is>
      </c>
      <c r="G329" t="n">
        <v>1.2</v>
      </c>
      <c r="H329" t="n">
        <v>0</v>
      </c>
      <c r="I329" t="n">
        <v>0</v>
      </c>
      <c r="J329" t="n">
        <v>0</v>
      </c>
      <c r="K329" t="n">
        <v>0</v>
      </c>
      <c r="L329" t="n">
        <v>0</v>
      </c>
      <c r="M329" t="n">
        <v>0</v>
      </c>
      <c r="N329" t="n">
        <v>0</v>
      </c>
      <c r="O329" t="n">
        <v>0</v>
      </c>
      <c r="P329" t="n">
        <v>0</v>
      </c>
      <c r="Q329" t="n">
        <v>0</v>
      </c>
      <c r="R329" s="2" t="inlineStr"/>
    </row>
    <row r="330" ht="15" customHeight="1">
      <c r="A330" t="inlineStr">
        <is>
          <t>A 57056-2021</t>
        </is>
      </c>
      <c r="B330" s="1" t="n">
        <v>44482</v>
      </c>
      <c r="C330" s="1" t="n">
        <v>45576</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57000-2021</t>
        </is>
      </c>
      <c r="B331" s="1" t="n">
        <v>44482</v>
      </c>
      <c r="C331" s="1" t="n">
        <v>45576</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57131-2021</t>
        </is>
      </c>
      <c r="B332" s="1" t="n">
        <v>44482</v>
      </c>
      <c r="C332" s="1" t="n">
        <v>45576</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57517-2021</t>
        </is>
      </c>
      <c r="B333" s="1" t="n">
        <v>44483</v>
      </c>
      <c r="C333" s="1" t="n">
        <v>45576</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57596-2021</t>
        </is>
      </c>
      <c r="B334" s="1" t="n">
        <v>44483</v>
      </c>
      <c r="C334" s="1" t="n">
        <v>45576</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58107-2021</t>
        </is>
      </c>
      <c r="B335" s="1" t="n">
        <v>44487</v>
      </c>
      <c r="C335" s="1" t="n">
        <v>45576</v>
      </c>
      <c r="D335" t="inlineStr">
        <is>
          <t>VÄSTMANLANDS LÄN</t>
        </is>
      </c>
      <c r="E335" t="inlineStr">
        <is>
          <t>SALA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58106-2021</t>
        </is>
      </c>
      <c r="B336" s="1" t="n">
        <v>44487</v>
      </c>
      <c r="C336" s="1" t="n">
        <v>45576</v>
      </c>
      <c r="D336" t="inlineStr">
        <is>
          <t>VÄSTMANLANDS LÄN</t>
        </is>
      </c>
      <c r="E336" t="inlineStr">
        <is>
          <t>SALA</t>
        </is>
      </c>
      <c r="F336" t="inlineStr">
        <is>
          <t>Sveaskog</t>
        </is>
      </c>
      <c r="G336" t="n">
        <v>4.5</v>
      </c>
      <c r="H336" t="n">
        <v>0</v>
      </c>
      <c r="I336" t="n">
        <v>0</v>
      </c>
      <c r="J336" t="n">
        <v>0</v>
      </c>
      <c r="K336" t="n">
        <v>0</v>
      </c>
      <c r="L336" t="n">
        <v>0</v>
      </c>
      <c r="M336" t="n">
        <v>0</v>
      </c>
      <c r="N336" t="n">
        <v>0</v>
      </c>
      <c r="O336" t="n">
        <v>0</v>
      </c>
      <c r="P336" t="n">
        <v>0</v>
      </c>
      <c r="Q336" t="n">
        <v>0</v>
      </c>
      <c r="R336" s="2" t="inlineStr"/>
    </row>
    <row r="337" ht="15" customHeight="1">
      <c r="A337" t="inlineStr">
        <is>
          <t>A 58522-2021</t>
        </is>
      </c>
      <c r="B337" s="1" t="n">
        <v>44488</v>
      </c>
      <c r="C337" s="1" t="n">
        <v>45576</v>
      </c>
      <c r="D337" t="inlineStr">
        <is>
          <t>VÄSTMANLANDS LÄN</t>
        </is>
      </c>
      <c r="E337" t="inlineStr">
        <is>
          <t>SALA</t>
        </is>
      </c>
      <c r="G337" t="n">
        <v>0.3</v>
      </c>
      <c r="H337" t="n">
        <v>0</v>
      </c>
      <c r="I337" t="n">
        <v>0</v>
      </c>
      <c r="J337" t="n">
        <v>0</v>
      </c>
      <c r="K337" t="n">
        <v>0</v>
      </c>
      <c r="L337" t="n">
        <v>0</v>
      </c>
      <c r="M337" t="n">
        <v>0</v>
      </c>
      <c r="N337" t="n">
        <v>0</v>
      </c>
      <c r="O337" t="n">
        <v>0</v>
      </c>
      <c r="P337" t="n">
        <v>0</v>
      </c>
      <c r="Q337" t="n">
        <v>0</v>
      </c>
      <c r="R337" s="2" t="inlineStr"/>
    </row>
    <row r="338" ht="15" customHeight="1">
      <c r="A338" t="inlineStr">
        <is>
          <t>A 58701-2021</t>
        </is>
      </c>
      <c r="B338" s="1" t="n">
        <v>44489</v>
      </c>
      <c r="C338" s="1" t="n">
        <v>45576</v>
      </c>
      <c r="D338" t="inlineStr">
        <is>
          <t>VÄSTMANLANDS LÄN</t>
        </is>
      </c>
      <c r="E338" t="inlineStr">
        <is>
          <t>SALA</t>
        </is>
      </c>
      <c r="G338" t="n">
        <v>0.7</v>
      </c>
      <c r="H338" t="n">
        <v>0</v>
      </c>
      <c r="I338" t="n">
        <v>0</v>
      </c>
      <c r="J338" t="n">
        <v>0</v>
      </c>
      <c r="K338" t="n">
        <v>0</v>
      </c>
      <c r="L338" t="n">
        <v>0</v>
      </c>
      <c r="M338" t="n">
        <v>0</v>
      </c>
      <c r="N338" t="n">
        <v>0</v>
      </c>
      <c r="O338" t="n">
        <v>0</v>
      </c>
      <c r="P338" t="n">
        <v>0</v>
      </c>
      <c r="Q338" t="n">
        <v>0</v>
      </c>
      <c r="R338" s="2" t="inlineStr"/>
    </row>
    <row r="339" ht="15" customHeight="1">
      <c r="A339" t="inlineStr">
        <is>
          <t>A 60031-2021</t>
        </is>
      </c>
      <c r="B339" s="1" t="n">
        <v>44495</v>
      </c>
      <c r="C339" s="1" t="n">
        <v>45576</v>
      </c>
      <c r="D339" t="inlineStr">
        <is>
          <t>VÄSTMANLANDS LÄN</t>
        </is>
      </c>
      <c r="E339" t="inlineStr">
        <is>
          <t>SALA</t>
        </is>
      </c>
      <c r="G339" t="n">
        <v>4.3</v>
      </c>
      <c r="H339" t="n">
        <v>0</v>
      </c>
      <c r="I339" t="n">
        <v>0</v>
      </c>
      <c r="J339" t="n">
        <v>0</v>
      </c>
      <c r="K339" t="n">
        <v>0</v>
      </c>
      <c r="L339" t="n">
        <v>0</v>
      </c>
      <c r="M339" t="n">
        <v>0</v>
      </c>
      <c r="N339" t="n">
        <v>0</v>
      </c>
      <c r="O339" t="n">
        <v>0</v>
      </c>
      <c r="P339" t="n">
        <v>0</v>
      </c>
      <c r="Q339" t="n">
        <v>0</v>
      </c>
      <c r="R339" s="2" t="inlineStr"/>
    </row>
    <row r="340" ht="15" customHeight="1">
      <c r="A340" t="inlineStr">
        <is>
          <t>A 60951-2021</t>
        </is>
      </c>
      <c r="B340" s="1" t="n">
        <v>44497</v>
      </c>
      <c r="C340" s="1" t="n">
        <v>45576</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61892-2021</t>
        </is>
      </c>
      <c r="B341" s="1" t="n">
        <v>44502</v>
      </c>
      <c r="C341" s="1" t="n">
        <v>45576</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61874-2021</t>
        </is>
      </c>
      <c r="B342" s="1" t="n">
        <v>44502</v>
      </c>
      <c r="C342" s="1" t="n">
        <v>45576</v>
      </c>
      <c r="D342" t="inlineStr">
        <is>
          <t>VÄSTMANLANDS LÄN</t>
        </is>
      </c>
      <c r="E342" t="inlineStr">
        <is>
          <t>SALA</t>
        </is>
      </c>
      <c r="F342" t="inlineStr">
        <is>
          <t>Kyrkan</t>
        </is>
      </c>
      <c r="G342" t="n">
        <v>1.3</v>
      </c>
      <c r="H342" t="n">
        <v>0</v>
      </c>
      <c r="I342" t="n">
        <v>0</v>
      </c>
      <c r="J342" t="n">
        <v>0</v>
      </c>
      <c r="K342" t="n">
        <v>0</v>
      </c>
      <c r="L342" t="n">
        <v>0</v>
      </c>
      <c r="M342" t="n">
        <v>0</v>
      </c>
      <c r="N342" t="n">
        <v>0</v>
      </c>
      <c r="O342" t="n">
        <v>0</v>
      </c>
      <c r="P342" t="n">
        <v>0</v>
      </c>
      <c r="Q342" t="n">
        <v>0</v>
      </c>
      <c r="R342" s="2" t="inlineStr"/>
    </row>
    <row r="343" ht="15" customHeight="1">
      <c r="A343" t="inlineStr">
        <is>
          <t>A 61897-2021</t>
        </is>
      </c>
      <c r="B343" s="1" t="n">
        <v>44502</v>
      </c>
      <c r="C343" s="1" t="n">
        <v>45576</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62842-2021</t>
        </is>
      </c>
      <c r="B344" s="1" t="n">
        <v>44504</v>
      </c>
      <c r="C344" s="1" t="n">
        <v>45576</v>
      </c>
      <c r="D344" t="inlineStr">
        <is>
          <t>VÄSTMANLANDS LÄN</t>
        </is>
      </c>
      <c r="E344" t="inlineStr">
        <is>
          <t>SALA</t>
        </is>
      </c>
      <c r="G344" t="n">
        <v>5.3</v>
      </c>
      <c r="H344" t="n">
        <v>0</v>
      </c>
      <c r="I344" t="n">
        <v>0</v>
      </c>
      <c r="J344" t="n">
        <v>0</v>
      </c>
      <c r="K344" t="n">
        <v>0</v>
      </c>
      <c r="L344" t="n">
        <v>0</v>
      </c>
      <c r="M344" t="n">
        <v>0</v>
      </c>
      <c r="N344" t="n">
        <v>0</v>
      </c>
      <c r="O344" t="n">
        <v>0</v>
      </c>
      <c r="P344" t="n">
        <v>0</v>
      </c>
      <c r="Q344" t="n">
        <v>0</v>
      </c>
      <c r="R344" s="2" t="inlineStr"/>
    </row>
    <row r="345" ht="15" customHeight="1">
      <c r="A345" t="inlineStr">
        <is>
          <t>A 62793-2021</t>
        </is>
      </c>
      <c r="B345" s="1" t="n">
        <v>44504</v>
      </c>
      <c r="C345" s="1" t="n">
        <v>45576</v>
      </c>
      <c r="D345" t="inlineStr">
        <is>
          <t>VÄSTMANLANDS LÄN</t>
        </is>
      </c>
      <c r="E345" t="inlineStr">
        <is>
          <t>SALA</t>
        </is>
      </c>
      <c r="G345" t="n">
        <v>5.7</v>
      </c>
      <c r="H345" t="n">
        <v>0</v>
      </c>
      <c r="I345" t="n">
        <v>0</v>
      </c>
      <c r="J345" t="n">
        <v>0</v>
      </c>
      <c r="K345" t="n">
        <v>0</v>
      </c>
      <c r="L345" t="n">
        <v>0</v>
      </c>
      <c r="M345" t="n">
        <v>0</v>
      </c>
      <c r="N345" t="n">
        <v>0</v>
      </c>
      <c r="O345" t="n">
        <v>0</v>
      </c>
      <c r="P345" t="n">
        <v>0</v>
      </c>
      <c r="Q345" t="n">
        <v>0</v>
      </c>
      <c r="R345" s="2" t="inlineStr"/>
    </row>
    <row r="346" ht="15" customHeight="1">
      <c r="A346" t="inlineStr">
        <is>
          <t>A 62833-2021</t>
        </is>
      </c>
      <c r="B346" s="1" t="n">
        <v>44504</v>
      </c>
      <c r="C346" s="1" t="n">
        <v>45576</v>
      </c>
      <c r="D346" t="inlineStr">
        <is>
          <t>VÄSTMANLANDS LÄN</t>
        </is>
      </c>
      <c r="E346" t="inlineStr">
        <is>
          <t>SALA</t>
        </is>
      </c>
      <c r="G346" t="n">
        <v>5</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45576</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62967-2021</t>
        </is>
      </c>
      <c r="B348" s="1" t="n">
        <v>44505</v>
      </c>
      <c r="C348" s="1" t="n">
        <v>45576</v>
      </c>
      <c r="D348" t="inlineStr">
        <is>
          <t>VÄSTMANLANDS LÄN</t>
        </is>
      </c>
      <c r="E348" t="inlineStr">
        <is>
          <t>SALA</t>
        </is>
      </c>
      <c r="G348" t="n">
        <v>6.1</v>
      </c>
      <c r="H348" t="n">
        <v>0</v>
      </c>
      <c r="I348" t="n">
        <v>0</v>
      </c>
      <c r="J348" t="n">
        <v>0</v>
      </c>
      <c r="K348" t="n">
        <v>0</v>
      </c>
      <c r="L348" t="n">
        <v>0</v>
      </c>
      <c r="M348" t="n">
        <v>0</v>
      </c>
      <c r="N348" t="n">
        <v>0</v>
      </c>
      <c r="O348" t="n">
        <v>0</v>
      </c>
      <c r="P348" t="n">
        <v>0</v>
      </c>
      <c r="Q348" t="n">
        <v>0</v>
      </c>
      <c r="R348" s="2" t="inlineStr"/>
    </row>
    <row r="349" ht="15" customHeight="1">
      <c r="A349" t="inlineStr">
        <is>
          <t>A 63290-2021</t>
        </is>
      </c>
      <c r="B349" s="1" t="n">
        <v>44505</v>
      </c>
      <c r="C349" s="1" t="n">
        <v>45576</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64931-2021</t>
        </is>
      </c>
      <c r="B350" s="1" t="n">
        <v>44512</v>
      </c>
      <c r="C350" s="1" t="n">
        <v>45576</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64932-2021</t>
        </is>
      </c>
      <c r="B351" s="1" t="n">
        <v>44512</v>
      </c>
      <c r="C351" s="1" t="n">
        <v>45576</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65213-2021</t>
        </is>
      </c>
      <c r="B352" s="1" t="n">
        <v>44515</v>
      </c>
      <c r="C352" s="1" t="n">
        <v>45576</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65321-2021</t>
        </is>
      </c>
      <c r="B353" s="1" t="n">
        <v>44515</v>
      </c>
      <c r="C353" s="1" t="n">
        <v>45576</v>
      </c>
      <c r="D353" t="inlineStr">
        <is>
          <t>VÄSTMANLANDS LÄN</t>
        </is>
      </c>
      <c r="E353" t="inlineStr">
        <is>
          <t>SALA</t>
        </is>
      </c>
      <c r="G353" t="n">
        <v>1.3</v>
      </c>
      <c r="H353" t="n">
        <v>0</v>
      </c>
      <c r="I353" t="n">
        <v>0</v>
      </c>
      <c r="J353" t="n">
        <v>0</v>
      </c>
      <c r="K353" t="n">
        <v>0</v>
      </c>
      <c r="L353" t="n">
        <v>0</v>
      </c>
      <c r="M353" t="n">
        <v>0</v>
      </c>
      <c r="N353" t="n">
        <v>0</v>
      </c>
      <c r="O353" t="n">
        <v>0</v>
      </c>
      <c r="P353" t="n">
        <v>0</v>
      </c>
      <c r="Q353" t="n">
        <v>0</v>
      </c>
      <c r="R353" s="2" t="inlineStr"/>
    </row>
    <row r="354" ht="15" customHeight="1">
      <c r="A354" t="inlineStr">
        <is>
          <t>A 65338-2021</t>
        </is>
      </c>
      <c r="B354" s="1" t="n">
        <v>44515</v>
      </c>
      <c r="C354" s="1" t="n">
        <v>45576</v>
      </c>
      <c r="D354" t="inlineStr">
        <is>
          <t>VÄSTMANLANDS LÄN</t>
        </is>
      </c>
      <c r="E354" t="inlineStr">
        <is>
          <t>SALA</t>
        </is>
      </c>
      <c r="G354" t="n">
        <v>0.4</v>
      </c>
      <c r="H354" t="n">
        <v>0</v>
      </c>
      <c r="I354" t="n">
        <v>0</v>
      </c>
      <c r="J354" t="n">
        <v>0</v>
      </c>
      <c r="K354" t="n">
        <v>0</v>
      </c>
      <c r="L354" t="n">
        <v>0</v>
      </c>
      <c r="M354" t="n">
        <v>0</v>
      </c>
      <c r="N354" t="n">
        <v>0</v>
      </c>
      <c r="O354" t="n">
        <v>0</v>
      </c>
      <c r="P354" t="n">
        <v>0</v>
      </c>
      <c r="Q354" t="n">
        <v>0</v>
      </c>
      <c r="R354" s="2" t="inlineStr"/>
    </row>
    <row r="355" ht="15" customHeight="1">
      <c r="A355" t="inlineStr">
        <is>
          <t>A 65353-2021</t>
        </is>
      </c>
      <c r="B355" s="1" t="n">
        <v>44515</v>
      </c>
      <c r="C355" s="1" t="n">
        <v>45576</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65490-2021</t>
        </is>
      </c>
      <c r="B356" s="1" t="n">
        <v>44515</v>
      </c>
      <c r="C356" s="1" t="n">
        <v>45576</v>
      </c>
      <c r="D356" t="inlineStr">
        <is>
          <t>VÄSTMANLANDS LÄN</t>
        </is>
      </c>
      <c r="E356" t="inlineStr">
        <is>
          <t>SALA</t>
        </is>
      </c>
      <c r="G356" t="n">
        <v>2.1</v>
      </c>
      <c r="H356" t="n">
        <v>0</v>
      </c>
      <c r="I356" t="n">
        <v>0</v>
      </c>
      <c r="J356" t="n">
        <v>0</v>
      </c>
      <c r="K356" t="n">
        <v>0</v>
      </c>
      <c r="L356" t="n">
        <v>0</v>
      </c>
      <c r="M356" t="n">
        <v>0</v>
      </c>
      <c r="N356" t="n">
        <v>0</v>
      </c>
      <c r="O356" t="n">
        <v>0</v>
      </c>
      <c r="P356" t="n">
        <v>0</v>
      </c>
      <c r="Q356" t="n">
        <v>0</v>
      </c>
      <c r="R356" s="2" t="inlineStr"/>
    </row>
    <row r="357" ht="15" customHeight="1">
      <c r="A357" t="inlineStr">
        <is>
          <t>A 65856-2021</t>
        </is>
      </c>
      <c r="B357" s="1" t="n">
        <v>44517</v>
      </c>
      <c r="C357" s="1" t="n">
        <v>45576</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65818-2021</t>
        </is>
      </c>
      <c r="B358" s="1" t="n">
        <v>44517</v>
      </c>
      <c r="C358" s="1" t="n">
        <v>45576</v>
      </c>
      <c r="D358" t="inlineStr">
        <is>
          <t>VÄSTMANLANDS LÄN</t>
        </is>
      </c>
      <c r="E358" t="inlineStr">
        <is>
          <t>SALA</t>
        </is>
      </c>
      <c r="G358" t="n">
        <v>0.6</v>
      </c>
      <c r="H358" t="n">
        <v>0</v>
      </c>
      <c r="I358" t="n">
        <v>0</v>
      </c>
      <c r="J358" t="n">
        <v>0</v>
      </c>
      <c r="K358" t="n">
        <v>0</v>
      </c>
      <c r="L358" t="n">
        <v>0</v>
      </c>
      <c r="M358" t="n">
        <v>0</v>
      </c>
      <c r="N358" t="n">
        <v>0</v>
      </c>
      <c r="O358" t="n">
        <v>0</v>
      </c>
      <c r="P358" t="n">
        <v>0</v>
      </c>
      <c r="Q358" t="n">
        <v>0</v>
      </c>
      <c r="R358" s="2" t="inlineStr"/>
    </row>
    <row r="359" ht="15" customHeight="1">
      <c r="A359" t="inlineStr">
        <is>
          <t>A 65835-2021</t>
        </is>
      </c>
      <c r="B359" s="1" t="n">
        <v>44517</v>
      </c>
      <c r="C359" s="1" t="n">
        <v>45576</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65860-2021</t>
        </is>
      </c>
      <c r="B360" s="1" t="n">
        <v>44517</v>
      </c>
      <c r="C360" s="1" t="n">
        <v>45576</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66307-2021</t>
        </is>
      </c>
      <c r="B361" s="1" t="n">
        <v>44518</v>
      </c>
      <c r="C361" s="1" t="n">
        <v>45576</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66508-2021</t>
        </is>
      </c>
      <c r="B362" s="1" t="n">
        <v>44519</v>
      </c>
      <c r="C362" s="1" t="n">
        <v>45576</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66563-2021</t>
        </is>
      </c>
      <c r="B363" s="1" t="n">
        <v>44519</v>
      </c>
      <c r="C363" s="1" t="n">
        <v>45576</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66561-2021</t>
        </is>
      </c>
      <c r="B364" s="1" t="n">
        <v>44519</v>
      </c>
      <c r="C364" s="1" t="n">
        <v>45576</v>
      </c>
      <c r="D364" t="inlineStr">
        <is>
          <t>VÄSTMANLANDS LÄN</t>
        </is>
      </c>
      <c r="E364" t="inlineStr">
        <is>
          <t>SALA</t>
        </is>
      </c>
      <c r="G364" t="n">
        <v>0.3</v>
      </c>
      <c r="H364" t="n">
        <v>0</v>
      </c>
      <c r="I364" t="n">
        <v>0</v>
      </c>
      <c r="J364" t="n">
        <v>0</v>
      </c>
      <c r="K364" t="n">
        <v>0</v>
      </c>
      <c r="L364" t="n">
        <v>0</v>
      </c>
      <c r="M364" t="n">
        <v>0</v>
      </c>
      <c r="N364" t="n">
        <v>0</v>
      </c>
      <c r="O364" t="n">
        <v>0</v>
      </c>
      <c r="P364" t="n">
        <v>0</v>
      </c>
      <c r="Q364" t="n">
        <v>0</v>
      </c>
      <c r="R364" s="2" t="inlineStr"/>
    </row>
    <row r="365" ht="15" customHeight="1">
      <c r="A365" t="inlineStr">
        <is>
          <t>A 66908-2021</t>
        </is>
      </c>
      <c r="B365" s="1" t="n">
        <v>44522</v>
      </c>
      <c r="C365" s="1" t="n">
        <v>45576</v>
      </c>
      <c r="D365" t="inlineStr">
        <is>
          <t>VÄSTMANLANDS LÄN</t>
        </is>
      </c>
      <c r="E365" t="inlineStr">
        <is>
          <t>SALA</t>
        </is>
      </c>
      <c r="G365" t="n">
        <v>2.6</v>
      </c>
      <c r="H365" t="n">
        <v>0</v>
      </c>
      <c r="I365" t="n">
        <v>0</v>
      </c>
      <c r="J365" t="n">
        <v>0</v>
      </c>
      <c r="K365" t="n">
        <v>0</v>
      </c>
      <c r="L365" t="n">
        <v>0</v>
      </c>
      <c r="M365" t="n">
        <v>0</v>
      </c>
      <c r="N365" t="n">
        <v>0</v>
      </c>
      <c r="O365" t="n">
        <v>0</v>
      </c>
      <c r="P365" t="n">
        <v>0</v>
      </c>
      <c r="Q365" t="n">
        <v>0</v>
      </c>
      <c r="R365" s="2" t="inlineStr"/>
    </row>
    <row r="366" ht="15" customHeight="1">
      <c r="A366" t="inlineStr">
        <is>
          <t>A 66830-2021</t>
        </is>
      </c>
      <c r="B366" s="1" t="n">
        <v>44522</v>
      </c>
      <c r="C366" s="1" t="n">
        <v>45576</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67037-2021</t>
        </is>
      </c>
      <c r="B367" s="1" t="n">
        <v>44522</v>
      </c>
      <c r="C367" s="1" t="n">
        <v>45576</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c r="U367">
        <f>HYPERLINK("https://klasma.github.io/Logging_1981/knärot/A 67037-2021 karta knärot.png", "A 67037-2021")</f>
        <v/>
      </c>
      <c r="V367">
        <f>HYPERLINK("https://klasma.github.io/Logging_1981/klagomål/A 67037-2021 FSC-klagomål.docx", "A 67037-2021")</f>
        <v/>
      </c>
      <c r="W367">
        <f>HYPERLINK("https://klasma.github.io/Logging_1981/klagomålsmail/A 67037-2021 FSC-klagomål mail.docx", "A 67037-2021")</f>
        <v/>
      </c>
      <c r="X367">
        <f>HYPERLINK("https://klasma.github.io/Logging_1981/tillsyn/A 67037-2021 tillsynsbegäran.docx", "A 67037-2021")</f>
        <v/>
      </c>
      <c r="Y367">
        <f>HYPERLINK("https://klasma.github.io/Logging_1981/tillsynsmail/A 67037-2021 tillsynsbegäran mail.docx", "A 67037-2021")</f>
        <v/>
      </c>
    </row>
    <row r="368" ht="15" customHeight="1">
      <c r="A368" t="inlineStr">
        <is>
          <t>A 67965-2021</t>
        </is>
      </c>
      <c r="B368" s="1" t="n">
        <v>44525</v>
      </c>
      <c r="C368" s="1" t="n">
        <v>45576</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67958-2021</t>
        </is>
      </c>
      <c r="B369" s="1" t="n">
        <v>44525</v>
      </c>
      <c r="C369" s="1" t="n">
        <v>45576</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67962-2021</t>
        </is>
      </c>
      <c r="B370" s="1" t="n">
        <v>44525</v>
      </c>
      <c r="C370" s="1" t="n">
        <v>45576</v>
      </c>
      <c r="D370" t="inlineStr">
        <is>
          <t>VÄSTMANLANDS LÄN</t>
        </is>
      </c>
      <c r="E370" t="inlineStr">
        <is>
          <t>SALA</t>
        </is>
      </c>
      <c r="G370" t="n">
        <v>1.4</v>
      </c>
      <c r="H370" t="n">
        <v>0</v>
      </c>
      <c r="I370" t="n">
        <v>0</v>
      </c>
      <c r="J370" t="n">
        <v>0</v>
      </c>
      <c r="K370" t="n">
        <v>0</v>
      </c>
      <c r="L370" t="n">
        <v>0</v>
      </c>
      <c r="M370" t="n">
        <v>0</v>
      </c>
      <c r="N370" t="n">
        <v>0</v>
      </c>
      <c r="O370" t="n">
        <v>0</v>
      </c>
      <c r="P370" t="n">
        <v>0</v>
      </c>
      <c r="Q370" t="n">
        <v>0</v>
      </c>
      <c r="R370" s="2" t="inlineStr"/>
    </row>
    <row r="371" ht="15" customHeight="1">
      <c r="A371" t="inlineStr">
        <is>
          <t>A 68355-2021</t>
        </is>
      </c>
      <c r="B371" s="1" t="n">
        <v>44528</v>
      </c>
      <c r="C371" s="1" t="n">
        <v>45576</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68484-2021</t>
        </is>
      </c>
      <c r="B372" s="1" t="n">
        <v>44529</v>
      </c>
      <c r="C372" s="1" t="n">
        <v>45576</v>
      </c>
      <c r="D372" t="inlineStr">
        <is>
          <t>VÄSTMANLANDS LÄN</t>
        </is>
      </c>
      <c r="E372" t="inlineStr">
        <is>
          <t>SALA</t>
        </is>
      </c>
      <c r="G372" t="n">
        <v>1.7</v>
      </c>
      <c r="H372" t="n">
        <v>0</v>
      </c>
      <c r="I372" t="n">
        <v>0</v>
      </c>
      <c r="J372" t="n">
        <v>0</v>
      </c>
      <c r="K372" t="n">
        <v>0</v>
      </c>
      <c r="L372" t="n">
        <v>0</v>
      </c>
      <c r="M372" t="n">
        <v>0</v>
      </c>
      <c r="N372" t="n">
        <v>0</v>
      </c>
      <c r="O372" t="n">
        <v>0</v>
      </c>
      <c r="P372" t="n">
        <v>0</v>
      </c>
      <c r="Q372" t="n">
        <v>0</v>
      </c>
      <c r="R372" s="2" t="inlineStr"/>
    </row>
    <row r="373" ht="15" customHeight="1">
      <c r="A373" t="inlineStr">
        <is>
          <t>A 68980-2021</t>
        </is>
      </c>
      <c r="B373" s="1" t="n">
        <v>44529</v>
      </c>
      <c r="C373" s="1" t="n">
        <v>45576</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68864-2021</t>
        </is>
      </c>
      <c r="B374" s="1" t="n">
        <v>44530</v>
      </c>
      <c r="C374" s="1" t="n">
        <v>45576</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69232-2021</t>
        </is>
      </c>
      <c r="B375" s="1" t="n">
        <v>44531</v>
      </c>
      <c r="C375" s="1" t="n">
        <v>45576</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69236-2021</t>
        </is>
      </c>
      <c r="B376" s="1" t="n">
        <v>44531</v>
      </c>
      <c r="C376" s="1" t="n">
        <v>45576</v>
      </c>
      <c r="D376" t="inlineStr">
        <is>
          <t>VÄSTMANLANDS LÄN</t>
        </is>
      </c>
      <c r="E376" t="inlineStr">
        <is>
          <t>SALA</t>
        </is>
      </c>
      <c r="G376" t="n">
        <v>2.8</v>
      </c>
      <c r="H376" t="n">
        <v>0</v>
      </c>
      <c r="I376" t="n">
        <v>0</v>
      </c>
      <c r="J376" t="n">
        <v>0</v>
      </c>
      <c r="K376" t="n">
        <v>0</v>
      </c>
      <c r="L376" t="n">
        <v>0</v>
      </c>
      <c r="M376" t="n">
        <v>0</v>
      </c>
      <c r="N376" t="n">
        <v>0</v>
      </c>
      <c r="O376" t="n">
        <v>0</v>
      </c>
      <c r="P376" t="n">
        <v>0</v>
      </c>
      <c r="Q376" t="n">
        <v>0</v>
      </c>
      <c r="R376" s="2" t="inlineStr"/>
    </row>
    <row r="377" ht="15" customHeight="1">
      <c r="A377" t="inlineStr">
        <is>
          <t>A 70218-2021</t>
        </is>
      </c>
      <c r="B377" s="1" t="n">
        <v>44535</v>
      </c>
      <c r="C377" s="1" t="n">
        <v>45576</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70319-2021</t>
        </is>
      </c>
      <c r="B378" s="1" t="n">
        <v>44536</v>
      </c>
      <c r="C378" s="1" t="n">
        <v>45576</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70655-2021</t>
        </is>
      </c>
      <c r="B379" s="1" t="n">
        <v>44537</v>
      </c>
      <c r="C379" s="1" t="n">
        <v>45576</v>
      </c>
      <c r="D379" t="inlineStr">
        <is>
          <t>VÄSTMANLANDS LÄN</t>
        </is>
      </c>
      <c r="E379" t="inlineStr">
        <is>
          <t>SALA</t>
        </is>
      </c>
      <c r="G379" t="n">
        <v>4.8</v>
      </c>
      <c r="H379" t="n">
        <v>0</v>
      </c>
      <c r="I379" t="n">
        <v>0</v>
      </c>
      <c r="J379" t="n">
        <v>0</v>
      </c>
      <c r="K379" t="n">
        <v>0</v>
      </c>
      <c r="L379" t="n">
        <v>0</v>
      </c>
      <c r="M379" t="n">
        <v>0</v>
      </c>
      <c r="N379" t="n">
        <v>0</v>
      </c>
      <c r="O379" t="n">
        <v>0</v>
      </c>
      <c r="P379" t="n">
        <v>0</v>
      </c>
      <c r="Q379" t="n">
        <v>0</v>
      </c>
      <c r="R379" s="2" t="inlineStr"/>
    </row>
    <row r="380" ht="15" customHeight="1">
      <c r="A380" t="inlineStr">
        <is>
          <t>A 70958-2021</t>
        </is>
      </c>
      <c r="B380" s="1" t="n">
        <v>44538</v>
      </c>
      <c r="C380" s="1" t="n">
        <v>45576</v>
      </c>
      <c r="D380" t="inlineStr">
        <is>
          <t>VÄSTMANLANDS LÄN</t>
        </is>
      </c>
      <c r="E380" t="inlineStr">
        <is>
          <t>SALA</t>
        </is>
      </c>
      <c r="G380" t="n">
        <v>6.5</v>
      </c>
      <c r="H380" t="n">
        <v>0</v>
      </c>
      <c r="I380" t="n">
        <v>0</v>
      </c>
      <c r="J380" t="n">
        <v>0</v>
      </c>
      <c r="K380" t="n">
        <v>0</v>
      </c>
      <c r="L380" t="n">
        <v>0</v>
      </c>
      <c r="M380" t="n">
        <v>0</v>
      </c>
      <c r="N380" t="n">
        <v>0</v>
      </c>
      <c r="O380" t="n">
        <v>0</v>
      </c>
      <c r="P380" t="n">
        <v>0</v>
      </c>
      <c r="Q380" t="n">
        <v>0</v>
      </c>
      <c r="R380" s="2" t="inlineStr"/>
    </row>
    <row r="381" ht="15" customHeight="1">
      <c r="A381" t="inlineStr">
        <is>
          <t>A 71471-2021</t>
        </is>
      </c>
      <c r="B381" s="1" t="n">
        <v>44540</v>
      </c>
      <c r="C381" s="1" t="n">
        <v>45576</v>
      </c>
      <c r="D381" t="inlineStr">
        <is>
          <t>VÄSTMANLANDS LÄN</t>
        </is>
      </c>
      <c r="E381" t="inlineStr">
        <is>
          <t>SALA</t>
        </is>
      </c>
      <c r="G381" t="n">
        <v>13</v>
      </c>
      <c r="H381" t="n">
        <v>0</v>
      </c>
      <c r="I381" t="n">
        <v>0</v>
      </c>
      <c r="J381" t="n">
        <v>0</v>
      </c>
      <c r="K381" t="n">
        <v>0</v>
      </c>
      <c r="L381" t="n">
        <v>0</v>
      </c>
      <c r="M381" t="n">
        <v>0</v>
      </c>
      <c r="N381" t="n">
        <v>0</v>
      </c>
      <c r="O381" t="n">
        <v>0</v>
      </c>
      <c r="P381" t="n">
        <v>0</v>
      </c>
      <c r="Q381" t="n">
        <v>0</v>
      </c>
      <c r="R381" s="2" t="inlineStr"/>
    </row>
    <row r="382" ht="15" customHeight="1">
      <c r="A382" t="inlineStr">
        <is>
          <t>A 71853-2021</t>
        </is>
      </c>
      <c r="B382" s="1" t="n">
        <v>44543</v>
      </c>
      <c r="C382" s="1" t="n">
        <v>45576</v>
      </c>
      <c r="D382" t="inlineStr">
        <is>
          <t>VÄSTMANLANDS LÄN</t>
        </is>
      </c>
      <c r="E382" t="inlineStr">
        <is>
          <t>SALA</t>
        </is>
      </c>
      <c r="G382" t="n">
        <v>6.5</v>
      </c>
      <c r="H382" t="n">
        <v>0</v>
      </c>
      <c r="I382" t="n">
        <v>0</v>
      </c>
      <c r="J382" t="n">
        <v>0</v>
      </c>
      <c r="K382" t="n">
        <v>0</v>
      </c>
      <c r="L382" t="n">
        <v>0</v>
      </c>
      <c r="M382" t="n">
        <v>0</v>
      </c>
      <c r="N382" t="n">
        <v>0</v>
      </c>
      <c r="O382" t="n">
        <v>0</v>
      </c>
      <c r="P382" t="n">
        <v>0</v>
      </c>
      <c r="Q382" t="n">
        <v>0</v>
      </c>
      <c r="R382" s="2" t="inlineStr"/>
    </row>
    <row r="383" ht="15" customHeight="1">
      <c r="A383" t="inlineStr">
        <is>
          <t>A 72071-2021</t>
        </is>
      </c>
      <c r="B383" s="1" t="n">
        <v>44544</v>
      </c>
      <c r="C383" s="1" t="n">
        <v>45576</v>
      </c>
      <c r="D383" t="inlineStr">
        <is>
          <t>VÄSTMANLANDS LÄN</t>
        </is>
      </c>
      <c r="E383" t="inlineStr">
        <is>
          <t>SALA</t>
        </is>
      </c>
      <c r="G383" t="n">
        <v>3.5</v>
      </c>
      <c r="H383" t="n">
        <v>0</v>
      </c>
      <c r="I383" t="n">
        <v>0</v>
      </c>
      <c r="J383" t="n">
        <v>0</v>
      </c>
      <c r="K383" t="n">
        <v>0</v>
      </c>
      <c r="L383" t="n">
        <v>0</v>
      </c>
      <c r="M383" t="n">
        <v>0</v>
      </c>
      <c r="N383" t="n">
        <v>0</v>
      </c>
      <c r="O383" t="n">
        <v>0</v>
      </c>
      <c r="P383" t="n">
        <v>0</v>
      </c>
      <c r="Q383" t="n">
        <v>0</v>
      </c>
      <c r="R383" s="2" t="inlineStr"/>
    </row>
    <row r="384" ht="15" customHeight="1">
      <c r="A384" t="inlineStr">
        <is>
          <t>A 72405-2021</t>
        </is>
      </c>
      <c r="B384" s="1" t="n">
        <v>44545</v>
      </c>
      <c r="C384" s="1" t="n">
        <v>45576</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72389-2021</t>
        </is>
      </c>
      <c r="B385" s="1" t="n">
        <v>44545</v>
      </c>
      <c r="C385" s="1" t="n">
        <v>45576</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72810-2021</t>
        </is>
      </c>
      <c r="B386" s="1" t="n">
        <v>44546</v>
      </c>
      <c r="C386" s="1" t="n">
        <v>45576</v>
      </c>
      <c r="D386" t="inlineStr">
        <is>
          <t>VÄSTMANLANDS LÄN</t>
        </is>
      </c>
      <c r="E386" t="inlineStr">
        <is>
          <t>SALA</t>
        </is>
      </c>
      <c r="G386" t="n">
        <v>3.3</v>
      </c>
      <c r="H386" t="n">
        <v>0</v>
      </c>
      <c r="I386" t="n">
        <v>0</v>
      </c>
      <c r="J386" t="n">
        <v>0</v>
      </c>
      <c r="K386" t="n">
        <v>0</v>
      </c>
      <c r="L386" t="n">
        <v>0</v>
      </c>
      <c r="M386" t="n">
        <v>0</v>
      </c>
      <c r="N386" t="n">
        <v>0</v>
      </c>
      <c r="O386" t="n">
        <v>0</v>
      </c>
      <c r="P386" t="n">
        <v>0</v>
      </c>
      <c r="Q386" t="n">
        <v>0</v>
      </c>
      <c r="R386" s="2" t="inlineStr"/>
    </row>
    <row r="387" ht="15" customHeight="1">
      <c r="A387" t="inlineStr">
        <is>
          <t>A 72805-2021</t>
        </is>
      </c>
      <c r="B387" s="1" t="n">
        <v>44546</v>
      </c>
      <c r="C387" s="1" t="n">
        <v>45576</v>
      </c>
      <c r="D387" t="inlineStr">
        <is>
          <t>VÄSTMANLANDS LÄN</t>
        </is>
      </c>
      <c r="E387" t="inlineStr">
        <is>
          <t>SALA</t>
        </is>
      </c>
      <c r="G387" t="n">
        <v>7.8</v>
      </c>
      <c r="H387" t="n">
        <v>0</v>
      </c>
      <c r="I387" t="n">
        <v>0</v>
      </c>
      <c r="J387" t="n">
        <v>0</v>
      </c>
      <c r="K387" t="n">
        <v>0</v>
      </c>
      <c r="L387" t="n">
        <v>0</v>
      </c>
      <c r="M387" t="n">
        <v>0</v>
      </c>
      <c r="N387" t="n">
        <v>0</v>
      </c>
      <c r="O387" t="n">
        <v>0</v>
      </c>
      <c r="P387" t="n">
        <v>0</v>
      </c>
      <c r="Q387" t="n">
        <v>0</v>
      </c>
      <c r="R387" s="2" t="inlineStr"/>
    </row>
    <row r="388" ht="15" customHeight="1">
      <c r="A388" t="inlineStr">
        <is>
          <t>A 72808-2021</t>
        </is>
      </c>
      <c r="B388" s="1" t="n">
        <v>44546</v>
      </c>
      <c r="C388" s="1" t="n">
        <v>45576</v>
      </c>
      <c r="D388" t="inlineStr">
        <is>
          <t>VÄSTMANLANDS LÄN</t>
        </is>
      </c>
      <c r="E388" t="inlineStr">
        <is>
          <t>SALA</t>
        </is>
      </c>
      <c r="G388" t="n">
        <v>0.7</v>
      </c>
      <c r="H388" t="n">
        <v>0</v>
      </c>
      <c r="I388" t="n">
        <v>0</v>
      </c>
      <c r="J388" t="n">
        <v>0</v>
      </c>
      <c r="K388" t="n">
        <v>0</v>
      </c>
      <c r="L388" t="n">
        <v>0</v>
      </c>
      <c r="M388" t="n">
        <v>0</v>
      </c>
      <c r="N388" t="n">
        <v>0</v>
      </c>
      <c r="O388" t="n">
        <v>0</v>
      </c>
      <c r="P388" t="n">
        <v>0</v>
      </c>
      <c r="Q388" t="n">
        <v>0</v>
      </c>
      <c r="R388" s="2" t="inlineStr"/>
    </row>
    <row r="389" ht="15" customHeight="1">
      <c r="A389" t="inlineStr">
        <is>
          <t>A 72776-2021</t>
        </is>
      </c>
      <c r="B389" s="1" t="n">
        <v>44547</v>
      </c>
      <c r="C389" s="1" t="n">
        <v>45576</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73029-2021</t>
        </is>
      </c>
      <c r="B390" s="1" t="n">
        <v>44550</v>
      </c>
      <c r="C390" s="1" t="n">
        <v>45576</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73124-2021</t>
        </is>
      </c>
      <c r="B391" s="1" t="n">
        <v>44550</v>
      </c>
      <c r="C391" s="1" t="n">
        <v>45576</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73219-2021</t>
        </is>
      </c>
      <c r="B392" s="1" t="n">
        <v>44550</v>
      </c>
      <c r="C392" s="1" t="n">
        <v>45576</v>
      </c>
      <c r="D392" t="inlineStr">
        <is>
          <t>VÄSTMANLANDS LÄN</t>
        </is>
      </c>
      <c r="E392" t="inlineStr">
        <is>
          <t>SALA</t>
        </is>
      </c>
      <c r="G392" t="n">
        <v>7.1</v>
      </c>
      <c r="H392" t="n">
        <v>0</v>
      </c>
      <c r="I392" t="n">
        <v>0</v>
      </c>
      <c r="J392" t="n">
        <v>0</v>
      </c>
      <c r="K392" t="n">
        <v>0</v>
      </c>
      <c r="L392" t="n">
        <v>0</v>
      </c>
      <c r="M392" t="n">
        <v>0</v>
      </c>
      <c r="N392" t="n">
        <v>0</v>
      </c>
      <c r="O392" t="n">
        <v>0</v>
      </c>
      <c r="P392" t="n">
        <v>0</v>
      </c>
      <c r="Q392" t="n">
        <v>0</v>
      </c>
      <c r="R392" s="2" t="inlineStr"/>
    </row>
    <row r="393" ht="15" customHeight="1">
      <c r="A393" t="inlineStr">
        <is>
          <t>A 73423-2021</t>
        </is>
      </c>
      <c r="B393" s="1" t="n">
        <v>44551</v>
      </c>
      <c r="C393" s="1" t="n">
        <v>45576</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73519-2021</t>
        </is>
      </c>
      <c r="B394" s="1" t="n">
        <v>44551</v>
      </c>
      <c r="C394" s="1" t="n">
        <v>45576</v>
      </c>
      <c r="D394" t="inlineStr">
        <is>
          <t>VÄSTMANLANDS LÄN</t>
        </is>
      </c>
      <c r="E394" t="inlineStr">
        <is>
          <t>SALA</t>
        </is>
      </c>
      <c r="G394" t="n">
        <v>0.3</v>
      </c>
      <c r="H394" t="n">
        <v>0</v>
      </c>
      <c r="I394" t="n">
        <v>0</v>
      </c>
      <c r="J394" t="n">
        <v>0</v>
      </c>
      <c r="K394" t="n">
        <v>0</v>
      </c>
      <c r="L394" t="n">
        <v>0</v>
      </c>
      <c r="M394" t="n">
        <v>0</v>
      </c>
      <c r="N394" t="n">
        <v>0</v>
      </c>
      <c r="O394" t="n">
        <v>0</v>
      </c>
      <c r="P394" t="n">
        <v>0</v>
      </c>
      <c r="Q394" t="n">
        <v>0</v>
      </c>
      <c r="R394" s="2" t="inlineStr"/>
    </row>
    <row r="395" ht="15" customHeight="1">
      <c r="A395" t="inlineStr">
        <is>
          <t>A 73683-2021</t>
        </is>
      </c>
      <c r="B395" s="1" t="n">
        <v>44552</v>
      </c>
      <c r="C395" s="1" t="n">
        <v>45576</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v>
      </c>
      <c r="C396" s="1" t="n">
        <v>45576</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73673-2021</t>
        </is>
      </c>
      <c r="B397" s="1" t="n">
        <v>44552</v>
      </c>
      <c r="C397" s="1" t="n">
        <v>45576</v>
      </c>
      <c r="D397" t="inlineStr">
        <is>
          <t>VÄSTMANLANDS LÄN</t>
        </is>
      </c>
      <c r="E397" t="inlineStr">
        <is>
          <t>SALA</t>
        </is>
      </c>
      <c r="G397" t="n">
        <v>11.4</v>
      </c>
      <c r="H397" t="n">
        <v>0</v>
      </c>
      <c r="I397" t="n">
        <v>0</v>
      </c>
      <c r="J397" t="n">
        <v>0</v>
      </c>
      <c r="K397" t="n">
        <v>0</v>
      </c>
      <c r="L397" t="n">
        <v>0</v>
      </c>
      <c r="M397" t="n">
        <v>0</v>
      </c>
      <c r="N397" t="n">
        <v>0</v>
      </c>
      <c r="O397" t="n">
        <v>0</v>
      </c>
      <c r="P397" t="n">
        <v>0</v>
      </c>
      <c r="Q397" t="n">
        <v>0</v>
      </c>
      <c r="R397" s="2" t="inlineStr"/>
    </row>
    <row r="398" ht="15" customHeight="1">
      <c r="A398" t="inlineStr">
        <is>
          <t>A 73606-2021</t>
        </is>
      </c>
      <c r="B398" s="1" t="n">
        <v>44552</v>
      </c>
      <c r="C398" s="1" t="n">
        <v>45576</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73668-2021</t>
        </is>
      </c>
      <c r="B399" s="1" t="n">
        <v>44552</v>
      </c>
      <c r="C399" s="1" t="n">
        <v>45576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73687-2021</t>
        </is>
      </c>
      <c r="B400" s="1" t="n">
        <v>44552</v>
      </c>
      <c r="C400" s="1" t="n">
        <v>45576</v>
      </c>
      <c r="D400" t="inlineStr">
        <is>
          <t>VÄSTMANLANDS LÄN</t>
        </is>
      </c>
      <c r="E400" t="inlineStr">
        <is>
          <t>SALA</t>
        </is>
      </c>
      <c r="G400" t="n">
        <v>5.6</v>
      </c>
      <c r="H400" t="n">
        <v>0</v>
      </c>
      <c r="I400" t="n">
        <v>0</v>
      </c>
      <c r="J400" t="n">
        <v>0</v>
      </c>
      <c r="K400" t="n">
        <v>0</v>
      </c>
      <c r="L400" t="n">
        <v>0</v>
      </c>
      <c r="M400" t="n">
        <v>0</v>
      </c>
      <c r="N400" t="n">
        <v>0</v>
      </c>
      <c r="O400" t="n">
        <v>0</v>
      </c>
      <c r="P400" t="n">
        <v>0</v>
      </c>
      <c r="Q400" t="n">
        <v>0</v>
      </c>
      <c r="R400" s="2" t="inlineStr"/>
    </row>
    <row r="401" ht="15" customHeight="1">
      <c r="A401" t="inlineStr">
        <is>
          <t>A 73788-2021</t>
        </is>
      </c>
      <c r="B401" s="1" t="n">
        <v>44552</v>
      </c>
      <c r="C401" s="1" t="n">
        <v>45576</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73835-2021</t>
        </is>
      </c>
      <c r="B402" s="1" t="n">
        <v>44552</v>
      </c>
      <c r="C402" s="1" t="n">
        <v>45576</v>
      </c>
      <c r="D402" t="inlineStr">
        <is>
          <t>VÄSTMANLANDS LÄN</t>
        </is>
      </c>
      <c r="E402" t="inlineStr">
        <is>
          <t>SALA</t>
        </is>
      </c>
      <c r="G402" t="n">
        <v>2</v>
      </c>
      <c r="H402" t="n">
        <v>0</v>
      </c>
      <c r="I402" t="n">
        <v>0</v>
      </c>
      <c r="J402" t="n">
        <v>0</v>
      </c>
      <c r="K402" t="n">
        <v>0</v>
      </c>
      <c r="L402" t="n">
        <v>0</v>
      </c>
      <c r="M402" t="n">
        <v>0</v>
      </c>
      <c r="N402" t="n">
        <v>0</v>
      </c>
      <c r="O402" t="n">
        <v>0</v>
      </c>
      <c r="P402" t="n">
        <v>0</v>
      </c>
      <c r="Q402" t="n">
        <v>0</v>
      </c>
      <c r="R402" s="2" t="inlineStr"/>
    </row>
    <row r="403" ht="15" customHeight="1">
      <c r="A403" t="inlineStr">
        <is>
          <t>A 74123-2021</t>
        </is>
      </c>
      <c r="B403" s="1" t="n">
        <v>44557</v>
      </c>
      <c r="C403" s="1" t="n">
        <v>45576</v>
      </c>
      <c r="D403" t="inlineStr">
        <is>
          <t>VÄSTMANLANDS LÄN</t>
        </is>
      </c>
      <c r="E403" t="inlineStr">
        <is>
          <t>SALA</t>
        </is>
      </c>
      <c r="F403" t="inlineStr">
        <is>
          <t>Kommuner</t>
        </is>
      </c>
      <c r="G403" t="n">
        <v>11.9</v>
      </c>
      <c r="H403" t="n">
        <v>0</v>
      </c>
      <c r="I403" t="n">
        <v>0</v>
      </c>
      <c r="J403" t="n">
        <v>0</v>
      </c>
      <c r="K403" t="n">
        <v>0</v>
      </c>
      <c r="L403" t="n">
        <v>0</v>
      </c>
      <c r="M403" t="n">
        <v>0</v>
      </c>
      <c r="N403" t="n">
        <v>0</v>
      </c>
      <c r="O403" t="n">
        <v>0</v>
      </c>
      <c r="P403" t="n">
        <v>0</v>
      </c>
      <c r="Q403" t="n">
        <v>0</v>
      </c>
      <c r="R403" s="2" t="inlineStr"/>
    </row>
    <row r="404" ht="15" customHeight="1">
      <c r="A404" t="inlineStr">
        <is>
          <t>A 74277-2021</t>
        </is>
      </c>
      <c r="B404" s="1" t="n">
        <v>44558</v>
      </c>
      <c r="C404" s="1" t="n">
        <v>45576</v>
      </c>
      <c r="D404" t="inlineStr">
        <is>
          <t>VÄSTMANLANDS LÄN</t>
        </is>
      </c>
      <c r="E404" t="inlineStr">
        <is>
          <t>SALA</t>
        </is>
      </c>
      <c r="F404" t="inlineStr">
        <is>
          <t>Kommuner</t>
        </is>
      </c>
      <c r="G404" t="n">
        <v>24.4</v>
      </c>
      <c r="H404" t="n">
        <v>0</v>
      </c>
      <c r="I404" t="n">
        <v>0</v>
      </c>
      <c r="J404" t="n">
        <v>0</v>
      </c>
      <c r="K404" t="n">
        <v>0</v>
      </c>
      <c r="L404" t="n">
        <v>0</v>
      </c>
      <c r="M404" t="n">
        <v>0</v>
      </c>
      <c r="N404" t="n">
        <v>0</v>
      </c>
      <c r="O404" t="n">
        <v>0</v>
      </c>
      <c r="P404" t="n">
        <v>0</v>
      </c>
      <c r="Q404" t="n">
        <v>0</v>
      </c>
      <c r="R404" s="2" t="inlineStr"/>
    </row>
    <row r="405" ht="15" customHeight="1">
      <c r="A405" t="inlineStr">
        <is>
          <t>A 617-2022</t>
        </is>
      </c>
      <c r="B405" s="1" t="n">
        <v>44567</v>
      </c>
      <c r="C405" s="1" t="n">
        <v>45576</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939-2022</t>
        </is>
      </c>
      <c r="B406" s="1" t="n">
        <v>44571</v>
      </c>
      <c r="C406" s="1" t="n">
        <v>45576</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1043-2022</t>
        </is>
      </c>
      <c r="B407" s="1" t="n">
        <v>44571</v>
      </c>
      <c r="C407" s="1" t="n">
        <v>45576</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1162-2022</t>
        </is>
      </c>
      <c r="B408" s="1" t="n">
        <v>44572</v>
      </c>
      <c r="C408" s="1" t="n">
        <v>45576</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1985-2022</t>
        </is>
      </c>
      <c r="B409" s="1" t="n">
        <v>44575</v>
      </c>
      <c r="C409" s="1" t="n">
        <v>45576</v>
      </c>
      <c r="D409" t="inlineStr">
        <is>
          <t>VÄSTMANLANDS LÄN</t>
        </is>
      </c>
      <c r="E409" t="inlineStr">
        <is>
          <t>SALA</t>
        </is>
      </c>
      <c r="G409" t="n">
        <v>1.4</v>
      </c>
      <c r="H409" t="n">
        <v>0</v>
      </c>
      <c r="I409" t="n">
        <v>0</v>
      </c>
      <c r="J409" t="n">
        <v>0</v>
      </c>
      <c r="K409" t="n">
        <v>0</v>
      </c>
      <c r="L409" t="n">
        <v>0</v>
      </c>
      <c r="M409" t="n">
        <v>0</v>
      </c>
      <c r="N409" t="n">
        <v>0</v>
      </c>
      <c r="O409" t="n">
        <v>0</v>
      </c>
      <c r="P409" t="n">
        <v>0</v>
      </c>
      <c r="Q409" t="n">
        <v>0</v>
      </c>
      <c r="R409" s="2" t="inlineStr"/>
    </row>
    <row r="410" ht="15" customHeight="1">
      <c r="A410" t="inlineStr">
        <is>
          <t>A 1993-2022</t>
        </is>
      </c>
      <c r="B410" s="1" t="n">
        <v>44575</v>
      </c>
      <c r="C410" s="1" t="n">
        <v>45576</v>
      </c>
      <c r="D410" t="inlineStr">
        <is>
          <t>VÄSTMANLANDS LÄN</t>
        </is>
      </c>
      <c r="E410" t="inlineStr">
        <is>
          <t>SALA</t>
        </is>
      </c>
      <c r="G410" t="n">
        <v>1.6</v>
      </c>
      <c r="H410" t="n">
        <v>0</v>
      </c>
      <c r="I410" t="n">
        <v>0</v>
      </c>
      <c r="J410" t="n">
        <v>0</v>
      </c>
      <c r="K410" t="n">
        <v>0</v>
      </c>
      <c r="L410" t="n">
        <v>0</v>
      </c>
      <c r="M410" t="n">
        <v>0</v>
      </c>
      <c r="N410" t="n">
        <v>0</v>
      </c>
      <c r="O410" t="n">
        <v>0</v>
      </c>
      <c r="P410" t="n">
        <v>0</v>
      </c>
      <c r="Q410" t="n">
        <v>0</v>
      </c>
      <c r="R410" s="2" t="inlineStr"/>
    </row>
    <row r="411" ht="15" customHeight="1">
      <c r="A411" t="inlineStr">
        <is>
          <t>A 2529-2022</t>
        </is>
      </c>
      <c r="B411" s="1" t="n">
        <v>44579</v>
      </c>
      <c r="C411" s="1" t="n">
        <v>45576</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3050-2022</t>
        </is>
      </c>
      <c r="B412" s="1" t="n">
        <v>44582</v>
      </c>
      <c r="C412" s="1" t="n">
        <v>45576</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3201-2022</t>
        </is>
      </c>
      <c r="B413" s="1" t="n">
        <v>44582</v>
      </c>
      <c r="C413" s="1" t="n">
        <v>45576</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3204-2022</t>
        </is>
      </c>
      <c r="B414" s="1" t="n">
        <v>44582</v>
      </c>
      <c r="C414" s="1" t="n">
        <v>45576</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3647-2022</t>
        </is>
      </c>
      <c r="B415" s="1" t="n">
        <v>44586</v>
      </c>
      <c r="C415" s="1" t="n">
        <v>45576</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3888-2022</t>
        </is>
      </c>
      <c r="B416" s="1" t="n">
        <v>44587</v>
      </c>
      <c r="C416" s="1" t="n">
        <v>45576</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3920-2022</t>
        </is>
      </c>
      <c r="B417" s="1" t="n">
        <v>44587</v>
      </c>
      <c r="C417" s="1" t="n">
        <v>45576</v>
      </c>
      <c r="D417" t="inlineStr">
        <is>
          <t>VÄSTMANLANDS LÄN</t>
        </is>
      </c>
      <c r="E417" t="inlineStr">
        <is>
          <t>SALA</t>
        </is>
      </c>
      <c r="G417" t="n">
        <v>1.8</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v>
      </c>
      <c r="C418" s="1" t="n">
        <v>45576</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4281-2022</t>
        </is>
      </c>
      <c r="B419" s="1" t="n">
        <v>44588</v>
      </c>
      <c r="C419" s="1" t="n">
        <v>45576</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4663-2022</t>
        </is>
      </c>
      <c r="B420" s="1" t="n">
        <v>44592</v>
      </c>
      <c r="C420" s="1" t="n">
        <v>45576</v>
      </c>
      <c r="D420" t="inlineStr">
        <is>
          <t>VÄSTMANLANDS LÄN</t>
        </is>
      </c>
      <c r="E420" t="inlineStr">
        <is>
          <t>SALA</t>
        </is>
      </c>
      <c r="G420" t="n">
        <v>2.5</v>
      </c>
      <c r="H420" t="n">
        <v>0</v>
      </c>
      <c r="I420" t="n">
        <v>0</v>
      </c>
      <c r="J420" t="n">
        <v>0</v>
      </c>
      <c r="K420" t="n">
        <v>0</v>
      </c>
      <c r="L420" t="n">
        <v>0</v>
      </c>
      <c r="M420" t="n">
        <v>0</v>
      </c>
      <c r="N420" t="n">
        <v>0</v>
      </c>
      <c r="O420" t="n">
        <v>0</v>
      </c>
      <c r="P420" t="n">
        <v>0</v>
      </c>
      <c r="Q420" t="n">
        <v>0</v>
      </c>
      <c r="R420" s="2" t="inlineStr"/>
    </row>
    <row r="421" ht="15" customHeight="1">
      <c r="A421" t="inlineStr">
        <is>
          <t>A 4779-2022</t>
        </is>
      </c>
      <c r="B421" s="1" t="n">
        <v>44592</v>
      </c>
      <c r="C421" s="1" t="n">
        <v>45576</v>
      </c>
      <c r="D421" t="inlineStr">
        <is>
          <t>VÄSTMANLANDS LÄN</t>
        </is>
      </c>
      <c r="E421" t="inlineStr">
        <is>
          <t>SALA</t>
        </is>
      </c>
      <c r="G421" t="n">
        <v>4.3</v>
      </c>
      <c r="H421" t="n">
        <v>0</v>
      </c>
      <c r="I421" t="n">
        <v>0</v>
      </c>
      <c r="J421" t="n">
        <v>0</v>
      </c>
      <c r="K421" t="n">
        <v>0</v>
      </c>
      <c r="L421" t="n">
        <v>0</v>
      </c>
      <c r="M421" t="n">
        <v>0</v>
      </c>
      <c r="N421" t="n">
        <v>0</v>
      </c>
      <c r="O421" t="n">
        <v>0</v>
      </c>
      <c r="P421" t="n">
        <v>0</v>
      </c>
      <c r="Q421" t="n">
        <v>0</v>
      </c>
      <c r="R421" s="2" t="inlineStr"/>
    </row>
    <row r="422" ht="15" customHeight="1">
      <c r="A422" t="inlineStr">
        <is>
          <t>A 5335-2022</t>
        </is>
      </c>
      <c r="B422" s="1" t="n">
        <v>44594</v>
      </c>
      <c r="C422" s="1" t="n">
        <v>45576</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5737-2022</t>
        </is>
      </c>
      <c r="B423" s="1" t="n">
        <v>44596</v>
      </c>
      <c r="C423" s="1" t="n">
        <v>45576</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5728-2022</t>
        </is>
      </c>
      <c r="B424" s="1" t="n">
        <v>44596</v>
      </c>
      <c r="C424" s="1" t="n">
        <v>45576</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6097-2022</t>
        </is>
      </c>
      <c r="B425" s="1" t="n">
        <v>44599</v>
      </c>
      <c r="C425" s="1" t="n">
        <v>45576</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6705-2022</t>
        </is>
      </c>
      <c r="B426" s="1" t="n">
        <v>44602</v>
      </c>
      <c r="C426" s="1" t="n">
        <v>45576</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6665-2022</t>
        </is>
      </c>
      <c r="B427" s="1" t="n">
        <v>44602</v>
      </c>
      <c r="C427" s="1" t="n">
        <v>45576</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6667-2022</t>
        </is>
      </c>
      <c r="B428" s="1" t="n">
        <v>44602</v>
      </c>
      <c r="C428" s="1" t="n">
        <v>45576</v>
      </c>
      <c r="D428" t="inlineStr">
        <is>
          <t>VÄSTMANLANDS LÄN</t>
        </is>
      </c>
      <c r="E428" t="inlineStr">
        <is>
          <t>SALA</t>
        </is>
      </c>
      <c r="G428" t="n">
        <v>0.4</v>
      </c>
      <c r="H428" t="n">
        <v>0</v>
      </c>
      <c r="I428" t="n">
        <v>0</v>
      </c>
      <c r="J428" t="n">
        <v>0</v>
      </c>
      <c r="K428" t="n">
        <v>0</v>
      </c>
      <c r="L428" t="n">
        <v>0</v>
      </c>
      <c r="M428" t="n">
        <v>0</v>
      </c>
      <c r="N428" t="n">
        <v>0</v>
      </c>
      <c r="O428" t="n">
        <v>0</v>
      </c>
      <c r="P428" t="n">
        <v>0</v>
      </c>
      <c r="Q428" t="n">
        <v>0</v>
      </c>
      <c r="R428" s="2" t="inlineStr"/>
    </row>
    <row r="429" ht="15" customHeight="1">
      <c r="A429" t="inlineStr">
        <is>
          <t>A 6710-2022</t>
        </is>
      </c>
      <c r="B429" s="1" t="n">
        <v>44602</v>
      </c>
      <c r="C429" s="1" t="n">
        <v>45576</v>
      </c>
      <c r="D429" t="inlineStr">
        <is>
          <t>VÄSTMANLANDS LÄN</t>
        </is>
      </c>
      <c r="E429" t="inlineStr">
        <is>
          <t>SALA</t>
        </is>
      </c>
      <c r="G429" t="n">
        <v>6.4</v>
      </c>
      <c r="H429" t="n">
        <v>0</v>
      </c>
      <c r="I429" t="n">
        <v>0</v>
      </c>
      <c r="J429" t="n">
        <v>0</v>
      </c>
      <c r="K429" t="n">
        <v>0</v>
      </c>
      <c r="L429" t="n">
        <v>0</v>
      </c>
      <c r="M429" t="n">
        <v>0</v>
      </c>
      <c r="N429" t="n">
        <v>0</v>
      </c>
      <c r="O429" t="n">
        <v>0</v>
      </c>
      <c r="P429" t="n">
        <v>0</v>
      </c>
      <c r="Q429" t="n">
        <v>0</v>
      </c>
      <c r="R429" s="2" t="inlineStr"/>
    </row>
    <row r="430" ht="15" customHeight="1">
      <c r="A430" t="inlineStr">
        <is>
          <t>A 6957-2022</t>
        </is>
      </c>
      <c r="B430" s="1" t="n">
        <v>44603</v>
      </c>
      <c r="C430" s="1" t="n">
        <v>45576</v>
      </c>
      <c r="D430" t="inlineStr">
        <is>
          <t>VÄSTMANLANDS LÄN</t>
        </is>
      </c>
      <c r="E430" t="inlineStr">
        <is>
          <t>SALA</t>
        </is>
      </c>
      <c r="G430" t="n">
        <v>4.5</v>
      </c>
      <c r="H430" t="n">
        <v>0</v>
      </c>
      <c r="I430" t="n">
        <v>0</v>
      </c>
      <c r="J430" t="n">
        <v>0</v>
      </c>
      <c r="K430" t="n">
        <v>0</v>
      </c>
      <c r="L430" t="n">
        <v>0</v>
      </c>
      <c r="M430" t="n">
        <v>0</v>
      </c>
      <c r="N430" t="n">
        <v>0</v>
      </c>
      <c r="O430" t="n">
        <v>0</v>
      </c>
      <c r="P430" t="n">
        <v>0</v>
      </c>
      <c r="Q430" t="n">
        <v>0</v>
      </c>
      <c r="R430" s="2" t="inlineStr"/>
    </row>
    <row r="431" ht="15" customHeight="1">
      <c r="A431" t="inlineStr">
        <is>
          <t>A 7169-2022</t>
        </is>
      </c>
      <c r="B431" s="1" t="n">
        <v>44604</v>
      </c>
      <c r="C431" s="1" t="n">
        <v>45576</v>
      </c>
      <c r="D431" t="inlineStr">
        <is>
          <t>VÄSTMANLANDS LÄN</t>
        </is>
      </c>
      <c r="E431" t="inlineStr">
        <is>
          <t>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8130-2022</t>
        </is>
      </c>
      <c r="B432" s="1" t="n">
        <v>44609</v>
      </c>
      <c r="C432" s="1" t="n">
        <v>45576</v>
      </c>
      <c r="D432" t="inlineStr">
        <is>
          <t>VÄSTMANLANDS LÄN</t>
        </is>
      </c>
      <c r="E432" t="inlineStr">
        <is>
          <t>SALA</t>
        </is>
      </c>
      <c r="G432" t="n">
        <v>3.5</v>
      </c>
      <c r="H432" t="n">
        <v>0</v>
      </c>
      <c r="I432" t="n">
        <v>0</v>
      </c>
      <c r="J432" t="n">
        <v>0</v>
      </c>
      <c r="K432" t="n">
        <v>0</v>
      </c>
      <c r="L432" t="n">
        <v>0</v>
      </c>
      <c r="M432" t="n">
        <v>0</v>
      </c>
      <c r="N432" t="n">
        <v>0</v>
      </c>
      <c r="O432" t="n">
        <v>0</v>
      </c>
      <c r="P432" t="n">
        <v>0</v>
      </c>
      <c r="Q432" t="n">
        <v>0</v>
      </c>
      <c r="R432" s="2" t="inlineStr"/>
    </row>
    <row r="433" ht="15" customHeight="1">
      <c r="A433" t="inlineStr">
        <is>
          <t>A 9048-2022</t>
        </is>
      </c>
      <c r="B433" s="1" t="n">
        <v>44615</v>
      </c>
      <c r="C433" s="1" t="n">
        <v>45576</v>
      </c>
      <c r="D433" t="inlineStr">
        <is>
          <t>VÄSTMANLANDS LÄN</t>
        </is>
      </c>
      <c r="E433" t="inlineStr">
        <is>
          <t>SALA</t>
        </is>
      </c>
      <c r="G433" t="n">
        <v>5.2</v>
      </c>
      <c r="H433" t="n">
        <v>0</v>
      </c>
      <c r="I433" t="n">
        <v>0</v>
      </c>
      <c r="J433" t="n">
        <v>0</v>
      </c>
      <c r="K433" t="n">
        <v>0</v>
      </c>
      <c r="L433" t="n">
        <v>0</v>
      </c>
      <c r="M433" t="n">
        <v>0</v>
      </c>
      <c r="N433" t="n">
        <v>0</v>
      </c>
      <c r="O433" t="n">
        <v>0</v>
      </c>
      <c r="P433" t="n">
        <v>0</v>
      </c>
      <c r="Q433" t="n">
        <v>0</v>
      </c>
      <c r="R433" s="2" t="inlineStr"/>
    </row>
    <row r="434" ht="15" customHeight="1">
      <c r="A434" t="inlineStr">
        <is>
          <t>A 9050-2022</t>
        </is>
      </c>
      <c r="B434" s="1" t="n">
        <v>44615</v>
      </c>
      <c r="C434" s="1" t="n">
        <v>45576</v>
      </c>
      <c r="D434" t="inlineStr">
        <is>
          <t>VÄSTMANLANDS LÄN</t>
        </is>
      </c>
      <c r="E434" t="inlineStr">
        <is>
          <t>SALA</t>
        </is>
      </c>
      <c r="G434" t="n">
        <v>3.1</v>
      </c>
      <c r="H434" t="n">
        <v>0</v>
      </c>
      <c r="I434" t="n">
        <v>0</v>
      </c>
      <c r="J434" t="n">
        <v>0</v>
      </c>
      <c r="K434" t="n">
        <v>0</v>
      </c>
      <c r="L434" t="n">
        <v>0</v>
      </c>
      <c r="M434" t="n">
        <v>0</v>
      </c>
      <c r="N434" t="n">
        <v>0</v>
      </c>
      <c r="O434" t="n">
        <v>0</v>
      </c>
      <c r="P434" t="n">
        <v>0</v>
      </c>
      <c r="Q434" t="n">
        <v>0</v>
      </c>
      <c r="R434" s="2" t="inlineStr"/>
    </row>
    <row r="435" ht="15" customHeight="1">
      <c r="A435" t="inlineStr">
        <is>
          <t>A 9075-2022</t>
        </is>
      </c>
      <c r="B435" s="1" t="n">
        <v>44615</v>
      </c>
      <c r="C435" s="1" t="n">
        <v>45576</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9335-2022</t>
        </is>
      </c>
      <c r="B436" s="1" t="n">
        <v>44616</v>
      </c>
      <c r="C436" s="1" t="n">
        <v>45576</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9856-2022</t>
        </is>
      </c>
      <c r="B437" s="1" t="n">
        <v>44620</v>
      </c>
      <c r="C437" s="1" t="n">
        <v>45576</v>
      </c>
      <c r="D437" t="inlineStr">
        <is>
          <t>VÄSTMANLANDS LÄN</t>
        </is>
      </c>
      <c r="E437" t="inlineStr">
        <is>
          <t>SALA</t>
        </is>
      </c>
      <c r="G437" t="n">
        <v>2.4</v>
      </c>
      <c r="H437" t="n">
        <v>0</v>
      </c>
      <c r="I437" t="n">
        <v>0</v>
      </c>
      <c r="J437" t="n">
        <v>0</v>
      </c>
      <c r="K437" t="n">
        <v>0</v>
      </c>
      <c r="L437" t="n">
        <v>0</v>
      </c>
      <c r="M437" t="n">
        <v>0</v>
      </c>
      <c r="N437" t="n">
        <v>0</v>
      </c>
      <c r="O437" t="n">
        <v>0</v>
      </c>
      <c r="P437" t="n">
        <v>0</v>
      </c>
      <c r="Q437" t="n">
        <v>0</v>
      </c>
      <c r="R437" s="2" t="inlineStr"/>
    </row>
    <row r="438" ht="15" customHeight="1">
      <c r="A438" t="inlineStr">
        <is>
          <t>A 10083-2022</t>
        </is>
      </c>
      <c r="B438" s="1" t="n">
        <v>44621</v>
      </c>
      <c r="C438" s="1" t="n">
        <v>45576</v>
      </c>
      <c r="D438" t="inlineStr">
        <is>
          <t>VÄSTMANLANDS LÄN</t>
        </is>
      </c>
      <c r="E438" t="inlineStr">
        <is>
          <t>SALA</t>
        </is>
      </c>
      <c r="G438" t="n">
        <v>7.8</v>
      </c>
      <c r="H438" t="n">
        <v>0</v>
      </c>
      <c r="I438" t="n">
        <v>0</v>
      </c>
      <c r="J438" t="n">
        <v>0</v>
      </c>
      <c r="K438" t="n">
        <v>0</v>
      </c>
      <c r="L438" t="n">
        <v>0</v>
      </c>
      <c r="M438" t="n">
        <v>0</v>
      </c>
      <c r="N438" t="n">
        <v>0</v>
      </c>
      <c r="O438" t="n">
        <v>0</v>
      </c>
      <c r="P438" t="n">
        <v>0</v>
      </c>
      <c r="Q438" t="n">
        <v>0</v>
      </c>
      <c r="R438" s="2" t="inlineStr"/>
    </row>
    <row r="439" ht="15" customHeight="1">
      <c r="A439" t="inlineStr">
        <is>
          <t>A 10168-2022</t>
        </is>
      </c>
      <c r="B439" s="1" t="n">
        <v>44622</v>
      </c>
      <c r="C439" s="1" t="n">
        <v>45576</v>
      </c>
      <c r="D439" t="inlineStr">
        <is>
          <t>VÄSTMANLANDS LÄN</t>
        </is>
      </c>
      <c r="E439" t="inlineStr">
        <is>
          <t>SALA</t>
        </is>
      </c>
      <c r="G439" t="n">
        <v>2.1</v>
      </c>
      <c r="H439" t="n">
        <v>0</v>
      </c>
      <c r="I439" t="n">
        <v>0</v>
      </c>
      <c r="J439" t="n">
        <v>0</v>
      </c>
      <c r="K439" t="n">
        <v>0</v>
      </c>
      <c r="L439" t="n">
        <v>0</v>
      </c>
      <c r="M439" t="n">
        <v>0</v>
      </c>
      <c r="N439" t="n">
        <v>0</v>
      </c>
      <c r="O439" t="n">
        <v>0</v>
      </c>
      <c r="P439" t="n">
        <v>0</v>
      </c>
      <c r="Q439" t="n">
        <v>0</v>
      </c>
      <c r="R439" s="2" t="inlineStr"/>
    </row>
    <row r="440" ht="15" customHeight="1">
      <c r="A440" t="inlineStr">
        <is>
          <t>A 10434-2022</t>
        </is>
      </c>
      <c r="B440" s="1" t="n">
        <v>44623</v>
      </c>
      <c r="C440" s="1" t="n">
        <v>45576</v>
      </c>
      <c r="D440" t="inlineStr">
        <is>
          <t>VÄSTMANLANDS LÄN</t>
        </is>
      </c>
      <c r="E440" t="inlineStr">
        <is>
          <t>SALA</t>
        </is>
      </c>
      <c r="G440" t="n">
        <v>5.5</v>
      </c>
      <c r="H440" t="n">
        <v>0</v>
      </c>
      <c r="I440" t="n">
        <v>0</v>
      </c>
      <c r="J440" t="n">
        <v>0</v>
      </c>
      <c r="K440" t="n">
        <v>0</v>
      </c>
      <c r="L440" t="n">
        <v>0</v>
      </c>
      <c r="M440" t="n">
        <v>0</v>
      </c>
      <c r="N440" t="n">
        <v>0</v>
      </c>
      <c r="O440" t="n">
        <v>0</v>
      </c>
      <c r="P440" t="n">
        <v>0</v>
      </c>
      <c r="Q440" t="n">
        <v>0</v>
      </c>
      <c r="R440" s="2" t="inlineStr"/>
    </row>
    <row r="441" ht="15" customHeight="1">
      <c r="A441" t="inlineStr">
        <is>
          <t>A 10585-2022</t>
        </is>
      </c>
      <c r="B441" s="1" t="n">
        <v>44624</v>
      </c>
      <c r="C441" s="1" t="n">
        <v>45576</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10579-2022</t>
        </is>
      </c>
      <c r="B442" s="1" t="n">
        <v>44624</v>
      </c>
      <c r="C442" s="1" t="n">
        <v>45576</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11370-2022</t>
        </is>
      </c>
      <c r="B443" s="1" t="n">
        <v>44630</v>
      </c>
      <c r="C443" s="1" t="n">
        <v>45576</v>
      </c>
      <c r="D443" t="inlineStr">
        <is>
          <t>VÄSTMANLANDS LÄN</t>
        </is>
      </c>
      <c r="E443" t="inlineStr">
        <is>
          <t>SALA</t>
        </is>
      </c>
      <c r="G443" t="n">
        <v>4.3</v>
      </c>
      <c r="H443" t="n">
        <v>0</v>
      </c>
      <c r="I443" t="n">
        <v>0</v>
      </c>
      <c r="J443" t="n">
        <v>0</v>
      </c>
      <c r="K443" t="n">
        <v>0</v>
      </c>
      <c r="L443" t="n">
        <v>0</v>
      </c>
      <c r="M443" t="n">
        <v>0</v>
      </c>
      <c r="N443" t="n">
        <v>0</v>
      </c>
      <c r="O443" t="n">
        <v>0</v>
      </c>
      <c r="P443" t="n">
        <v>0</v>
      </c>
      <c r="Q443" t="n">
        <v>0</v>
      </c>
      <c r="R443" s="2" t="inlineStr"/>
    </row>
    <row r="444" ht="15" customHeight="1">
      <c r="A444" t="inlineStr">
        <is>
          <t>A 12245-2022</t>
        </is>
      </c>
      <c r="B444" s="1" t="n">
        <v>44637</v>
      </c>
      <c r="C444" s="1" t="n">
        <v>45576</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13608-2022</t>
        </is>
      </c>
      <c r="B445" s="1" t="n">
        <v>44648</v>
      </c>
      <c r="C445" s="1" t="n">
        <v>45576</v>
      </c>
      <c r="D445" t="inlineStr">
        <is>
          <t>VÄSTMANLANDS LÄN</t>
        </is>
      </c>
      <c r="E445" t="inlineStr">
        <is>
          <t>SALA</t>
        </is>
      </c>
      <c r="G445" t="n">
        <v>5.9</v>
      </c>
      <c r="H445" t="n">
        <v>0</v>
      </c>
      <c r="I445" t="n">
        <v>0</v>
      </c>
      <c r="J445" t="n">
        <v>0</v>
      </c>
      <c r="K445" t="n">
        <v>0</v>
      </c>
      <c r="L445" t="n">
        <v>0</v>
      </c>
      <c r="M445" t="n">
        <v>0</v>
      </c>
      <c r="N445" t="n">
        <v>0</v>
      </c>
      <c r="O445" t="n">
        <v>0</v>
      </c>
      <c r="P445" t="n">
        <v>0</v>
      </c>
      <c r="Q445" t="n">
        <v>0</v>
      </c>
      <c r="R445" s="2" t="inlineStr"/>
    </row>
    <row r="446" ht="15" customHeight="1">
      <c r="A446" t="inlineStr">
        <is>
          <t>A 13962-2022</t>
        </is>
      </c>
      <c r="B446" s="1" t="n">
        <v>44650</v>
      </c>
      <c r="C446" s="1" t="n">
        <v>45576</v>
      </c>
      <c r="D446" t="inlineStr">
        <is>
          <t>VÄSTMANLANDS LÄN</t>
        </is>
      </c>
      <c r="E446" t="inlineStr">
        <is>
          <t>SALA</t>
        </is>
      </c>
      <c r="G446" t="n">
        <v>2.3</v>
      </c>
      <c r="H446" t="n">
        <v>0</v>
      </c>
      <c r="I446" t="n">
        <v>0</v>
      </c>
      <c r="J446" t="n">
        <v>0</v>
      </c>
      <c r="K446" t="n">
        <v>0</v>
      </c>
      <c r="L446" t="n">
        <v>0</v>
      </c>
      <c r="M446" t="n">
        <v>0</v>
      </c>
      <c r="N446" t="n">
        <v>0</v>
      </c>
      <c r="O446" t="n">
        <v>0</v>
      </c>
      <c r="P446" t="n">
        <v>0</v>
      </c>
      <c r="Q446" t="n">
        <v>0</v>
      </c>
      <c r="R446" s="2" t="inlineStr"/>
    </row>
    <row r="447" ht="15" customHeight="1">
      <c r="A447" t="inlineStr">
        <is>
          <t>A 15850-2022</t>
        </is>
      </c>
      <c r="B447" s="1" t="n">
        <v>44664</v>
      </c>
      <c r="C447" s="1" t="n">
        <v>45576</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16255-2022</t>
        </is>
      </c>
      <c r="B448" s="1" t="n">
        <v>44670</v>
      </c>
      <c r="C448" s="1" t="n">
        <v>45576</v>
      </c>
      <c r="D448" t="inlineStr">
        <is>
          <t>VÄSTMANLANDS LÄN</t>
        </is>
      </c>
      <c r="E448" t="inlineStr">
        <is>
          <t>SALA</t>
        </is>
      </c>
      <c r="G448" t="n">
        <v>2.3</v>
      </c>
      <c r="H448" t="n">
        <v>0</v>
      </c>
      <c r="I448" t="n">
        <v>0</v>
      </c>
      <c r="J448" t="n">
        <v>0</v>
      </c>
      <c r="K448" t="n">
        <v>0</v>
      </c>
      <c r="L448" t="n">
        <v>0</v>
      </c>
      <c r="M448" t="n">
        <v>0</v>
      </c>
      <c r="N448" t="n">
        <v>0</v>
      </c>
      <c r="O448" t="n">
        <v>0</v>
      </c>
      <c r="P448" t="n">
        <v>0</v>
      </c>
      <c r="Q448" t="n">
        <v>0</v>
      </c>
      <c r="R448" s="2" t="inlineStr"/>
    </row>
    <row r="449" ht="15" customHeight="1">
      <c r="A449" t="inlineStr">
        <is>
          <t>A 16404-2022</t>
        </is>
      </c>
      <c r="B449" s="1" t="n">
        <v>44671</v>
      </c>
      <c r="C449" s="1" t="n">
        <v>45576</v>
      </c>
      <c r="D449" t="inlineStr">
        <is>
          <t>VÄSTMANLANDS LÄN</t>
        </is>
      </c>
      <c r="E449" t="inlineStr">
        <is>
          <t>SALA</t>
        </is>
      </c>
      <c r="G449" t="n">
        <v>0.8</v>
      </c>
      <c r="H449" t="n">
        <v>0</v>
      </c>
      <c r="I449" t="n">
        <v>0</v>
      </c>
      <c r="J449" t="n">
        <v>0</v>
      </c>
      <c r="K449" t="n">
        <v>0</v>
      </c>
      <c r="L449" t="n">
        <v>0</v>
      </c>
      <c r="M449" t="n">
        <v>0</v>
      </c>
      <c r="N449" t="n">
        <v>0</v>
      </c>
      <c r="O449" t="n">
        <v>0</v>
      </c>
      <c r="P449" t="n">
        <v>0</v>
      </c>
      <c r="Q449" t="n">
        <v>0</v>
      </c>
      <c r="R449" s="2" t="inlineStr"/>
    </row>
    <row r="450" ht="15" customHeight="1">
      <c r="A450" t="inlineStr">
        <is>
          <t>A 16768-2022</t>
        </is>
      </c>
      <c r="B450" s="1" t="n">
        <v>44673</v>
      </c>
      <c r="C450" s="1" t="n">
        <v>45576</v>
      </c>
      <c r="D450" t="inlineStr">
        <is>
          <t>VÄSTMANLANDS LÄN</t>
        </is>
      </c>
      <c r="E450" t="inlineStr">
        <is>
          <t>SALA</t>
        </is>
      </c>
      <c r="G450" t="n">
        <v>4.7</v>
      </c>
      <c r="H450" t="n">
        <v>0</v>
      </c>
      <c r="I450" t="n">
        <v>0</v>
      </c>
      <c r="J450" t="n">
        <v>0</v>
      </c>
      <c r="K450" t="n">
        <v>0</v>
      </c>
      <c r="L450" t="n">
        <v>0</v>
      </c>
      <c r="M450" t="n">
        <v>0</v>
      </c>
      <c r="N450" t="n">
        <v>0</v>
      </c>
      <c r="O450" t="n">
        <v>0</v>
      </c>
      <c r="P450" t="n">
        <v>0</v>
      </c>
      <c r="Q450" t="n">
        <v>0</v>
      </c>
      <c r="R450" s="2" t="inlineStr"/>
    </row>
    <row r="451" ht="15" customHeight="1">
      <c r="A451" t="inlineStr">
        <is>
          <t>A 16905-2022</t>
        </is>
      </c>
      <c r="B451" s="1" t="n">
        <v>44676</v>
      </c>
      <c r="C451" s="1" t="n">
        <v>45576</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17897-2022</t>
        </is>
      </c>
      <c r="B452" s="1" t="n">
        <v>44683</v>
      </c>
      <c r="C452" s="1" t="n">
        <v>45576</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19058-2022</t>
        </is>
      </c>
      <c r="B453" s="1" t="n">
        <v>44691</v>
      </c>
      <c r="C453" s="1" t="n">
        <v>45576</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19065-2022</t>
        </is>
      </c>
      <c r="B454" s="1" t="n">
        <v>44691</v>
      </c>
      <c r="C454" s="1" t="n">
        <v>45576</v>
      </c>
      <c r="D454" t="inlineStr">
        <is>
          <t>VÄSTMANLANDS LÄN</t>
        </is>
      </c>
      <c r="E454" t="inlineStr">
        <is>
          <t>SALA</t>
        </is>
      </c>
      <c r="G454" t="n">
        <v>3.4</v>
      </c>
      <c r="H454" t="n">
        <v>0</v>
      </c>
      <c r="I454" t="n">
        <v>0</v>
      </c>
      <c r="J454" t="n">
        <v>0</v>
      </c>
      <c r="K454" t="n">
        <v>0</v>
      </c>
      <c r="L454" t="n">
        <v>0</v>
      </c>
      <c r="M454" t="n">
        <v>0</v>
      </c>
      <c r="N454" t="n">
        <v>0</v>
      </c>
      <c r="O454" t="n">
        <v>0</v>
      </c>
      <c r="P454" t="n">
        <v>0</v>
      </c>
      <c r="Q454" t="n">
        <v>0</v>
      </c>
      <c r="R454" s="2" t="inlineStr"/>
    </row>
    <row r="455" ht="15" customHeight="1">
      <c r="A455" t="inlineStr">
        <is>
          <t>A 19751-2022</t>
        </is>
      </c>
      <c r="B455" s="1" t="n">
        <v>44694</v>
      </c>
      <c r="C455" s="1" t="n">
        <v>45576</v>
      </c>
      <c r="D455" t="inlineStr">
        <is>
          <t>VÄSTMANLANDS LÄN</t>
        </is>
      </c>
      <c r="E455" t="inlineStr">
        <is>
          <t>SALA</t>
        </is>
      </c>
      <c r="G455" t="n">
        <v>2.7</v>
      </c>
      <c r="H455" t="n">
        <v>0</v>
      </c>
      <c r="I455" t="n">
        <v>0</v>
      </c>
      <c r="J455" t="n">
        <v>0</v>
      </c>
      <c r="K455" t="n">
        <v>0</v>
      </c>
      <c r="L455" t="n">
        <v>0</v>
      </c>
      <c r="M455" t="n">
        <v>0</v>
      </c>
      <c r="N455" t="n">
        <v>0</v>
      </c>
      <c r="O455" t="n">
        <v>0</v>
      </c>
      <c r="P455" t="n">
        <v>0</v>
      </c>
      <c r="Q455" t="n">
        <v>0</v>
      </c>
      <c r="R455" s="2" t="inlineStr"/>
    </row>
    <row r="456" ht="15" customHeight="1">
      <c r="A456" t="inlineStr">
        <is>
          <t>A 19760-2022</t>
        </is>
      </c>
      <c r="B456" s="1" t="n">
        <v>44694</v>
      </c>
      <c r="C456" s="1" t="n">
        <v>45576</v>
      </c>
      <c r="D456" t="inlineStr">
        <is>
          <t>VÄSTMANLANDS LÄN</t>
        </is>
      </c>
      <c r="E456" t="inlineStr">
        <is>
          <t>SALA</t>
        </is>
      </c>
      <c r="G456" t="n">
        <v>0.9</v>
      </c>
      <c r="H456" t="n">
        <v>0</v>
      </c>
      <c r="I456" t="n">
        <v>0</v>
      </c>
      <c r="J456" t="n">
        <v>0</v>
      </c>
      <c r="K456" t="n">
        <v>0</v>
      </c>
      <c r="L456" t="n">
        <v>0</v>
      </c>
      <c r="M456" t="n">
        <v>0</v>
      </c>
      <c r="N456" t="n">
        <v>0</v>
      </c>
      <c r="O456" t="n">
        <v>0</v>
      </c>
      <c r="P456" t="n">
        <v>0</v>
      </c>
      <c r="Q456" t="n">
        <v>0</v>
      </c>
      <c r="R456" s="2" t="inlineStr"/>
    </row>
    <row r="457" ht="15" customHeight="1">
      <c r="A457" t="inlineStr">
        <is>
          <t>A 20344-2022</t>
        </is>
      </c>
      <c r="B457" s="1" t="n">
        <v>44699</v>
      </c>
      <c r="C457" s="1" t="n">
        <v>45576</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20352-2022</t>
        </is>
      </c>
      <c r="B458" s="1" t="n">
        <v>44699</v>
      </c>
      <c r="C458" s="1" t="n">
        <v>45576</v>
      </c>
      <c r="D458" t="inlineStr">
        <is>
          <t>VÄSTMANLANDS LÄN</t>
        </is>
      </c>
      <c r="E458" t="inlineStr">
        <is>
          <t>SALA</t>
        </is>
      </c>
      <c r="G458" t="n">
        <v>1.3</v>
      </c>
      <c r="H458" t="n">
        <v>0</v>
      </c>
      <c r="I458" t="n">
        <v>0</v>
      </c>
      <c r="J458" t="n">
        <v>0</v>
      </c>
      <c r="K458" t="n">
        <v>0</v>
      </c>
      <c r="L458" t="n">
        <v>0</v>
      </c>
      <c r="M458" t="n">
        <v>0</v>
      </c>
      <c r="N458" t="n">
        <v>0</v>
      </c>
      <c r="O458" t="n">
        <v>0</v>
      </c>
      <c r="P458" t="n">
        <v>0</v>
      </c>
      <c r="Q458" t="n">
        <v>0</v>
      </c>
      <c r="R458" s="2" t="inlineStr"/>
    </row>
    <row r="459" ht="15" customHeight="1">
      <c r="A459" t="inlineStr">
        <is>
          <t>A 20875-2022</t>
        </is>
      </c>
      <c r="B459" s="1" t="n">
        <v>44701</v>
      </c>
      <c r="C459" s="1" t="n">
        <v>45576</v>
      </c>
      <c r="D459" t="inlineStr">
        <is>
          <t>VÄSTMANLANDS LÄN</t>
        </is>
      </c>
      <c r="E459" t="inlineStr">
        <is>
          <t>SALA</t>
        </is>
      </c>
      <c r="G459" t="n">
        <v>2.6</v>
      </c>
      <c r="H459" t="n">
        <v>0</v>
      </c>
      <c r="I459" t="n">
        <v>0</v>
      </c>
      <c r="J459" t="n">
        <v>0</v>
      </c>
      <c r="K459" t="n">
        <v>0</v>
      </c>
      <c r="L459" t="n">
        <v>0</v>
      </c>
      <c r="M459" t="n">
        <v>0</v>
      </c>
      <c r="N459" t="n">
        <v>0</v>
      </c>
      <c r="O459" t="n">
        <v>0</v>
      </c>
      <c r="P459" t="n">
        <v>0</v>
      </c>
      <c r="Q459" t="n">
        <v>0</v>
      </c>
      <c r="R459" s="2" t="inlineStr"/>
    </row>
    <row r="460" ht="15" customHeight="1">
      <c r="A460" t="inlineStr">
        <is>
          <t>A 21055-2022</t>
        </is>
      </c>
      <c r="B460" s="1" t="n">
        <v>44704</v>
      </c>
      <c r="C460" s="1" t="n">
        <v>45576</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21053-2022</t>
        </is>
      </c>
      <c r="B461" s="1" t="n">
        <v>44704</v>
      </c>
      <c r="C461" s="1" t="n">
        <v>45576</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21159-2022</t>
        </is>
      </c>
      <c r="B462" s="1" t="n">
        <v>44704</v>
      </c>
      <c r="C462" s="1" t="n">
        <v>45576</v>
      </c>
      <c r="D462" t="inlineStr">
        <is>
          <t>VÄSTMANLANDS LÄN</t>
        </is>
      </c>
      <c r="E462" t="inlineStr">
        <is>
          <t>SALA</t>
        </is>
      </c>
      <c r="G462" t="n">
        <v>1.4</v>
      </c>
      <c r="H462" t="n">
        <v>0</v>
      </c>
      <c r="I462" t="n">
        <v>0</v>
      </c>
      <c r="J462" t="n">
        <v>0</v>
      </c>
      <c r="K462" t="n">
        <v>0</v>
      </c>
      <c r="L462" t="n">
        <v>0</v>
      </c>
      <c r="M462" t="n">
        <v>0</v>
      </c>
      <c r="N462" t="n">
        <v>0</v>
      </c>
      <c r="O462" t="n">
        <v>0</v>
      </c>
      <c r="P462" t="n">
        <v>0</v>
      </c>
      <c r="Q462" t="n">
        <v>0</v>
      </c>
      <c r="R462" s="2" t="inlineStr"/>
    </row>
    <row r="463" ht="15" customHeight="1">
      <c r="A463" t="inlineStr">
        <is>
          <t>A 21777-2022</t>
        </is>
      </c>
      <c r="B463" s="1" t="n">
        <v>44708</v>
      </c>
      <c r="C463" s="1" t="n">
        <v>45576</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22397-2022</t>
        </is>
      </c>
      <c r="B464" s="1" t="n">
        <v>44713</v>
      </c>
      <c r="C464" s="1" t="n">
        <v>45576</v>
      </c>
      <c r="D464" t="inlineStr">
        <is>
          <t>VÄSTMANLANDS LÄN</t>
        </is>
      </c>
      <c r="E464" t="inlineStr">
        <is>
          <t>SALA</t>
        </is>
      </c>
      <c r="G464" t="n">
        <v>2.1</v>
      </c>
      <c r="H464" t="n">
        <v>0</v>
      </c>
      <c r="I464" t="n">
        <v>0</v>
      </c>
      <c r="J464" t="n">
        <v>0</v>
      </c>
      <c r="K464" t="n">
        <v>0</v>
      </c>
      <c r="L464" t="n">
        <v>0</v>
      </c>
      <c r="M464" t="n">
        <v>0</v>
      </c>
      <c r="N464" t="n">
        <v>0</v>
      </c>
      <c r="O464" t="n">
        <v>0</v>
      </c>
      <c r="P464" t="n">
        <v>0</v>
      </c>
      <c r="Q464" t="n">
        <v>0</v>
      </c>
      <c r="R464" s="2" t="inlineStr"/>
    </row>
    <row r="465" ht="15" customHeight="1">
      <c r="A465" t="inlineStr">
        <is>
          <t>A 22575-2022</t>
        </is>
      </c>
      <c r="B465" s="1" t="n">
        <v>44713</v>
      </c>
      <c r="C465" s="1" t="n">
        <v>45576</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22562-2022</t>
        </is>
      </c>
      <c r="B466" s="1" t="n">
        <v>44713</v>
      </c>
      <c r="C466" s="1" t="n">
        <v>45576</v>
      </c>
      <c r="D466" t="inlineStr">
        <is>
          <t>VÄSTMANLANDS LÄN</t>
        </is>
      </c>
      <c r="E466" t="inlineStr">
        <is>
          <t>SALA</t>
        </is>
      </c>
      <c r="G466" t="n">
        <v>0.8</v>
      </c>
      <c r="H466" t="n">
        <v>0</v>
      </c>
      <c r="I466" t="n">
        <v>0</v>
      </c>
      <c r="J466" t="n">
        <v>0</v>
      </c>
      <c r="K466" t="n">
        <v>0</v>
      </c>
      <c r="L466" t="n">
        <v>0</v>
      </c>
      <c r="M466" t="n">
        <v>0</v>
      </c>
      <c r="N466" t="n">
        <v>0</v>
      </c>
      <c r="O466" t="n">
        <v>0</v>
      </c>
      <c r="P466" t="n">
        <v>0</v>
      </c>
      <c r="Q466" t="n">
        <v>0</v>
      </c>
      <c r="R466" s="2" t="inlineStr"/>
    </row>
    <row r="467" ht="15" customHeight="1">
      <c r="A467" t="inlineStr">
        <is>
          <t>A 22811-2022</t>
        </is>
      </c>
      <c r="B467" s="1" t="n">
        <v>44715</v>
      </c>
      <c r="C467" s="1" t="n">
        <v>45576</v>
      </c>
      <c r="D467" t="inlineStr">
        <is>
          <t>VÄSTMANLANDS LÄN</t>
        </is>
      </c>
      <c r="E467" t="inlineStr">
        <is>
          <t>SALA</t>
        </is>
      </c>
      <c r="G467" t="n">
        <v>5</v>
      </c>
      <c r="H467" t="n">
        <v>0</v>
      </c>
      <c r="I467" t="n">
        <v>0</v>
      </c>
      <c r="J467" t="n">
        <v>0</v>
      </c>
      <c r="K467" t="n">
        <v>0</v>
      </c>
      <c r="L467" t="n">
        <v>0</v>
      </c>
      <c r="M467" t="n">
        <v>0</v>
      </c>
      <c r="N467" t="n">
        <v>0</v>
      </c>
      <c r="O467" t="n">
        <v>0</v>
      </c>
      <c r="P467" t="n">
        <v>0</v>
      </c>
      <c r="Q467" t="n">
        <v>0</v>
      </c>
      <c r="R467" s="2" t="inlineStr"/>
    </row>
    <row r="468" ht="15" customHeight="1">
      <c r="A468" t="inlineStr">
        <is>
          <t>A 23119-2022</t>
        </is>
      </c>
      <c r="B468" s="1" t="n">
        <v>44719</v>
      </c>
      <c r="C468" s="1" t="n">
        <v>45576</v>
      </c>
      <c r="D468" t="inlineStr">
        <is>
          <t>VÄSTMANLANDS LÄN</t>
        </is>
      </c>
      <c r="E468" t="inlineStr">
        <is>
          <t>SALA</t>
        </is>
      </c>
      <c r="G468" t="n">
        <v>7</v>
      </c>
      <c r="H468" t="n">
        <v>0</v>
      </c>
      <c r="I468" t="n">
        <v>0</v>
      </c>
      <c r="J468" t="n">
        <v>0</v>
      </c>
      <c r="K468" t="n">
        <v>0</v>
      </c>
      <c r="L468" t="n">
        <v>0</v>
      </c>
      <c r="M468" t="n">
        <v>0</v>
      </c>
      <c r="N468" t="n">
        <v>0</v>
      </c>
      <c r="O468" t="n">
        <v>0</v>
      </c>
      <c r="P468" t="n">
        <v>0</v>
      </c>
      <c r="Q468" t="n">
        <v>0</v>
      </c>
      <c r="R468" s="2" t="inlineStr"/>
    </row>
    <row r="469" ht="15" customHeight="1">
      <c r="A469" t="inlineStr">
        <is>
          <t>A 23181-2022</t>
        </is>
      </c>
      <c r="B469" s="1" t="n">
        <v>44719</v>
      </c>
      <c r="C469" s="1" t="n">
        <v>45576</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23180-2022</t>
        </is>
      </c>
      <c r="B470" s="1" t="n">
        <v>44719</v>
      </c>
      <c r="C470" s="1" t="n">
        <v>45576</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23182-2022</t>
        </is>
      </c>
      <c r="B471" s="1" t="n">
        <v>44719</v>
      </c>
      <c r="C471" s="1" t="n">
        <v>45576</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23757-2022</t>
        </is>
      </c>
      <c r="B472" s="1" t="n">
        <v>44722</v>
      </c>
      <c r="C472" s="1" t="n">
        <v>45576</v>
      </c>
      <c r="D472" t="inlineStr">
        <is>
          <t>VÄSTMANLANDS LÄN</t>
        </is>
      </c>
      <c r="E472" t="inlineStr">
        <is>
          <t>SALA</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23847-2022</t>
        </is>
      </c>
      <c r="B473" s="1" t="n">
        <v>44722</v>
      </c>
      <c r="C473" s="1" t="n">
        <v>45576</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24818-2022</t>
        </is>
      </c>
      <c r="B474" s="1" t="n">
        <v>44727</v>
      </c>
      <c r="C474" s="1" t="n">
        <v>45576</v>
      </c>
      <c r="D474" t="inlineStr">
        <is>
          <t>VÄSTMANLANDS LÄN</t>
        </is>
      </c>
      <c r="E474" t="inlineStr">
        <is>
          <t>SALA</t>
        </is>
      </c>
      <c r="G474" t="n">
        <v>1.7</v>
      </c>
      <c r="H474" t="n">
        <v>0</v>
      </c>
      <c r="I474" t="n">
        <v>0</v>
      </c>
      <c r="J474" t="n">
        <v>0</v>
      </c>
      <c r="K474" t="n">
        <v>0</v>
      </c>
      <c r="L474" t="n">
        <v>0</v>
      </c>
      <c r="M474" t="n">
        <v>0</v>
      </c>
      <c r="N474" t="n">
        <v>0</v>
      </c>
      <c r="O474" t="n">
        <v>0</v>
      </c>
      <c r="P474" t="n">
        <v>0</v>
      </c>
      <c r="Q474" t="n">
        <v>0</v>
      </c>
      <c r="R474" s="2" t="inlineStr"/>
    </row>
    <row r="475" ht="15" customHeight="1">
      <c r="A475" t="inlineStr">
        <is>
          <t>A 24835-2022</t>
        </is>
      </c>
      <c r="B475" s="1" t="n">
        <v>44727</v>
      </c>
      <c r="C475" s="1" t="n">
        <v>45576</v>
      </c>
      <c r="D475" t="inlineStr">
        <is>
          <t>VÄSTMANLANDS LÄN</t>
        </is>
      </c>
      <c r="E475" t="inlineStr">
        <is>
          <t>SALA</t>
        </is>
      </c>
      <c r="G475" t="n">
        <v>5.8</v>
      </c>
      <c r="H475" t="n">
        <v>0</v>
      </c>
      <c r="I475" t="n">
        <v>0</v>
      </c>
      <c r="J475" t="n">
        <v>0</v>
      </c>
      <c r="K475" t="n">
        <v>0</v>
      </c>
      <c r="L475" t="n">
        <v>0</v>
      </c>
      <c r="M475" t="n">
        <v>0</v>
      </c>
      <c r="N475" t="n">
        <v>0</v>
      </c>
      <c r="O475" t="n">
        <v>0</v>
      </c>
      <c r="P475" t="n">
        <v>0</v>
      </c>
      <c r="Q475" t="n">
        <v>0</v>
      </c>
      <c r="R475" s="2" t="inlineStr"/>
    </row>
    <row r="476" ht="15" customHeight="1">
      <c r="A476" t="inlineStr">
        <is>
          <t>A 24882-2022</t>
        </is>
      </c>
      <c r="B476" s="1" t="n">
        <v>44728</v>
      </c>
      <c r="C476" s="1" t="n">
        <v>45576</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25603-2022</t>
        </is>
      </c>
      <c r="B477" s="1" t="n">
        <v>44732</v>
      </c>
      <c r="C477" s="1" t="n">
        <v>45576</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25748-2022</t>
        </is>
      </c>
      <c r="B478" s="1" t="n">
        <v>44732</v>
      </c>
      <c r="C478" s="1" t="n">
        <v>45576</v>
      </c>
      <c r="D478" t="inlineStr">
        <is>
          <t>VÄSTMANLANDS LÄN</t>
        </is>
      </c>
      <c r="E478" t="inlineStr">
        <is>
          <t>SALA</t>
        </is>
      </c>
      <c r="G478" t="n">
        <v>7.7</v>
      </c>
      <c r="H478" t="n">
        <v>0</v>
      </c>
      <c r="I478" t="n">
        <v>0</v>
      </c>
      <c r="J478" t="n">
        <v>0</v>
      </c>
      <c r="K478" t="n">
        <v>0</v>
      </c>
      <c r="L478" t="n">
        <v>0</v>
      </c>
      <c r="M478" t="n">
        <v>0</v>
      </c>
      <c r="N478" t="n">
        <v>0</v>
      </c>
      <c r="O478" t="n">
        <v>0</v>
      </c>
      <c r="P478" t="n">
        <v>0</v>
      </c>
      <c r="Q478" t="n">
        <v>0</v>
      </c>
      <c r="R478" s="2" t="inlineStr"/>
    </row>
    <row r="479" ht="15" customHeight="1">
      <c r="A479" t="inlineStr">
        <is>
          <t>A 27229-2022</t>
        </is>
      </c>
      <c r="B479" s="1" t="n">
        <v>44741</v>
      </c>
      <c r="C479" s="1" t="n">
        <v>45576</v>
      </c>
      <c r="D479" t="inlineStr">
        <is>
          <t>VÄSTMANLANDS LÄN</t>
        </is>
      </c>
      <c r="E479" t="inlineStr">
        <is>
          <t>SALA</t>
        </is>
      </c>
      <c r="F479" t="inlineStr">
        <is>
          <t>Kommuner</t>
        </is>
      </c>
      <c r="G479" t="n">
        <v>1.4</v>
      </c>
      <c r="H479" t="n">
        <v>0</v>
      </c>
      <c r="I479" t="n">
        <v>0</v>
      </c>
      <c r="J479" t="n">
        <v>0</v>
      </c>
      <c r="K479" t="n">
        <v>0</v>
      </c>
      <c r="L479" t="n">
        <v>0</v>
      </c>
      <c r="M479" t="n">
        <v>0</v>
      </c>
      <c r="N479" t="n">
        <v>0</v>
      </c>
      <c r="O479" t="n">
        <v>0</v>
      </c>
      <c r="P479" t="n">
        <v>0</v>
      </c>
      <c r="Q479" t="n">
        <v>0</v>
      </c>
      <c r="R479" s="2" t="inlineStr"/>
    </row>
    <row r="480" ht="15" customHeight="1">
      <c r="A480" t="inlineStr">
        <is>
          <t>A 27240-2022</t>
        </is>
      </c>
      <c r="B480" s="1" t="n">
        <v>44741</v>
      </c>
      <c r="C480" s="1" t="n">
        <v>45576</v>
      </c>
      <c r="D480" t="inlineStr">
        <is>
          <t>VÄSTMANLANDS LÄN</t>
        </is>
      </c>
      <c r="E480" t="inlineStr">
        <is>
          <t>SALA</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27446-2022</t>
        </is>
      </c>
      <c r="B481" s="1" t="n">
        <v>44742</v>
      </c>
      <c r="C481" s="1" t="n">
        <v>45576</v>
      </c>
      <c r="D481" t="inlineStr">
        <is>
          <t>VÄSTMANLANDS LÄN</t>
        </is>
      </c>
      <c r="E481" t="inlineStr">
        <is>
          <t>SALA</t>
        </is>
      </c>
      <c r="G481" t="n">
        <v>6.7</v>
      </c>
      <c r="H481" t="n">
        <v>0</v>
      </c>
      <c r="I481" t="n">
        <v>0</v>
      </c>
      <c r="J481" t="n">
        <v>0</v>
      </c>
      <c r="K481" t="n">
        <v>0</v>
      </c>
      <c r="L481" t="n">
        <v>0</v>
      </c>
      <c r="M481" t="n">
        <v>0</v>
      </c>
      <c r="N481" t="n">
        <v>0</v>
      </c>
      <c r="O481" t="n">
        <v>0</v>
      </c>
      <c r="P481" t="n">
        <v>0</v>
      </c>
      <c r="Q481" t="n">
        <v>0</v>
      </c>
      <c r="R481" s="2" t="inlineStr"/>
    </row>
    <row r="482" ht="15" customHeight="1">
      <c r="A482" t="inlineStr">
        <is>
          <t>A 27528-2022</t>
        </is>
      </c>
      <c r="B482" s="1" t="n">
        <v>44742</v>
      </c>
      <c r="C482" s="1" t="n">
        <v>45576</v>
      </c>
      <c r="D482" t="inlineStr">
        <is>
          <t>VÄSTMANLANDS LÄN</t>
        </is>
      </c>
      <c r="E482" t="inlineStr">
        <is>
          <t>SALA</t>
        </is>
      </c>
      <c r="G482" t="n">
        <v>3.2</v>
      </c>
      <c r="H482" t="n">
        <v>0</v>
      </c>
      <c r="I482" t="n">
        <v>0</v>
      </c>
      <c r="J482" t="n">
        <v>0</v>
      </c>
      <c r="K482" t="n">
        <v>0</v>
      </c>
      <c r="L482" t="n">
        <v>0</v>
      </c>
      <c r="M482" t="n">
        <v>0</v>
      </c>
      <c r="N482" t="n">
        <v>0</v>
      </c>
      <c r="O482" t="n">
        <v>0</v>
      </c>
      <c r="P482" t="n">
        <v>0</v>
      </c>
      <c r="Q482" t="n">
        <v>0</v>
      </c>
      <c r="R482" s="2" t="inlineStr"/>
    </row>
    <row r="483" ht="15" customHeight="1">
      <c r="A483" t="inlineStr">
        <is>
          <t>A 27486-2022</t>
        </is>
      </c>
      <c r="B483" s="1" t="n">
        <v>44742</v>
      </c>
      <c r="C483" s="1" t="n">
        <v>45576</v>
      </c>
      <c r="D483" t="inlineStr">
        <is>
          <t>VÄSTMANLANDS LÄN</t>
        </is>
      </c>
      <c r="E483" t="inlineStr">
        <is>
          <t>SALA</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28069-2022</t>
        </is>
      </c>
      <c r="B484" s="1" t="n">
        <v>44746</v>
      </c>
      <c r="C484" s="1" t="n">
        <v>45576</v>
      </c>
      <c r="D484" t="inlineStr">
        <is>
          <t>VÄSTMANLANDS LÄN</t>
        </is>
      </c>
      <c r="E484" t="inlineStr">
        <is>
          <t>SALA</t>
        </is>
      </c>
      <c r="G484" t="n">
        <v>2.8</v>
      </c>
      <c r="H484" t="n">
        <v>0</v>
      </c>
      <c r="I484" t="n">
        <v>0</v>
      </c>
      <c r="J484" t="n">
        <v>0</v>
      </c>
      <c r="K484" t="n">
        <v>0</v>
      </c>
      <c r="L484" t="n">
        <v>0</v>
      </c>
      <c r="M484" t="n">
        <v>0</v>
      </c>
      <c r="N484" t="n">
        <v>0</v>
      </c>
      <c r="O484" t="n">
        <v>0</v>
      </c>
      <c r="P484" t="n">
        <v>0</v>
      </c>
      <c r="Q484" t="n">
        <v>0</v>
      </c>
      <c r="R484" s="2" t="inlineStr"/>
    </row>
    <row r="485" ht="15" customHeight="1">
      <c r="A485" t="inlineStr">
        <is>
          <t>A 28215-2022</t>
        </is>
      </c>
      <c r="B485" s="1" t="n">
        <v>44746</v>
      </c>
      <c r="C485" s="1" t="n">
        <v>45576</v>
      </c>
      <c r="D485" t="inlineStr">
        <is>
          <t>VÄSTMANLANDS LÄN</t>
        </is>
      </c>
      <c r="E485" t="inlineStr">
        <is>
          <t>SALA</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28402-2022</t>
        </is>
      </c>
      <c r="B486" s="1" t="n">
        <v>44747</v>
      </c>
      <c r="C486" s="1" t="n">
        <v>45576</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28863-2022</t>
        </is>
      </c>
      <c r="B487" s="1" t="n">
        <v>44749</v>
      </c>
      <c r="C487" s="1" t="n">
        <v>45576</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28875-2022</t>
        </is>
      </c>
      <c r="B488" s="1" t="n">
        <v>44749</v>
      </c>
      <c r="C488" s="1" t="n">
        <v>45576</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28999-2022</t>
        </is>
      </c>
      <c r="B489" s="1" t="n">
        <v>44749</v>
      </c>
      <c r="C489" s="1" t="n">
        <v>45576</v>
      </c>
      <c r="D489" t="inlineStr">
        <is>
          <t>VÄSTMANLANDS LÄN</t>
        </is>
      </c>
      <c r="E489" t="inlineStr">
        <is>
          <t>SALA</t>
        </is>
      </c>
      <c r="G489" t="n">
        <v>5.7</v>
      </c>
      <c r="H489" t="n">
        <v>0</v>
      </c>
      <c r="I489" t="n">
        <v>0</v>
      </c>
      <c r="J489" t="n">
        <v>0</v>
      </c>
      <c r="K489" t="n">
        <v>0</v>
      </c>
      <c r="L489" t="n">
        <v>0</v>
      </c>
      <c r="M489" t="n">
        <v>0</v>
      </c>
      <c r="N489" t="n">
        <v>0</v>
      </c>
      <c r="O489" t="n">
        <v>0</v>
      </c>
      <c r="P489" t="n">
        <v>0</v>
      </c>
      <c r="Q489" t="n">
        <v>0</v>
      </c>
      <c r="R489" s="2" t="inlineStr"/>
    </row>
    <row r="490" ht="15" customHeight="1">
      <c r="A490" t="inlineStr">
        <is>
          <t>A 28827-2022</t>
        </is>
      </c>
      <c r="B490" s="1" t="n">
        <v>44749</v>
      </c>
      <c r="C490" s="1" t="n">
        <v>45576</v>
      </c>
      <c r="D490" t="inlineStr">
        <is>
          <t>VÄSTMANLANDS LÄN</t>
        </is>
      </c>
      <c r="E490" t="inlineStr">
        <is>
          <t>SALA</t>
        </is>
      </c>
      <c r="F490" t="inlineStr">
        <is>
          <t>Kommuner</t>
        </is>
      </c>
      <c r="G490" t="n">
        <v>11.9</v>
      </c>
      <c r="H490" t="n">
        <v>0</v>
      </c>
      <c r="I490" t="n">
        <v>0</v>
      </c>
      <c r="J490" t="n">
        <v>0</v>
      </c>
      <c r="K490" t="n">
        <v>0</v>
      </c>
      <c r="L490" t="n">
        <v>0</v>
      </c>
      <c r="M490" t="n">
        <v>0</v>
      </c>
      <c r="N490" t="n">
        <v>0</v>
      </c>
      <c r="O490" t="n">
        <v>0</v>
      </c>
      <c r="P490" t="n">
        <v>0</v>
      </c>
      <c r="Q490" t="n">
        <v>0</v>
      </c>
      <c r="R490" s="2" t="inlineStr"/>
    </row>
    <row r="491" ht="15" customHeight="1">
      <c r="A491" t="inlineStr">
        <is>
          <t>A 28873-2022</t>
        </is>
      </c>
      <c r="B491" s="1" t="n">
        <v>44749</v>
      </c>
      <c r="C491" s="1" t="n">
        <v>45576</v>
      </c>
      <c r="D491" t="inlineStr">
        <is>
          <t>VÄSTMANLANDS LÄN</t>
        </is>
      </c>
      <c r="E491" t="inlineStr">
        <is>
          <t>SALA</t>
        </is>
      </c>
      <c r="G491" t="n">
        <v>2.7</v>
      </c>
      <c r="H491" t="n">
        <v>0</v>
      </c>
      <c r="I491" t="n">
        <v>0</v>
      </c>
      <c r="J491" t="n">
        <v>0</v>
      </c>
      <c r="K491" t="n">
        <v>0</v>
      </c>
      <c r="L491" t="n">
        <v>0</v>
      </c>
      <c r="M491" t="n">
        <v>0</v>
      </c>
      <c r="N491" t="n">
        <v>0</v>
      </c>
      <c r="O491" t="n">
        <v>0</v>
      </c>
      <c r="P491" t="n">
        <v>0</v>
      </c>
      <c r="Q491" t="n">
        <v>0</v>
      </c>
      <c r="R491" s="2" t="inlineStr"/>
    </row>
    <row r="492" ht="15" customHeight="1">
      <c r="A492" t="inlineStr">
        <is>
          <t>A 29002-2022</t>
        </is>
      </c>
      <c r="B492" s="1" t="n">
        <v>44749</v>
      </c>
      <c r="C492" s="1" t="n">
        <v>45576</v>
      </c>
      <c r="D492" t="inlineStr">
        <is>
          <t>VÄSTMANLANDS LÄN</t>
        </is>
      </c>
      <c r="E492" t="inlineStr">
        <is>
          <t>SALA</t>
        </is>
      </c>
      <c r="G492" t="n">
        <v>5.4</v>
      </c>
      <c r="H492" t="n">
        <v>0</v>
      </c>
      <c r="I492" t="n">
        <v>0</v>
      </c>
      <c r="J492" t="n">
        <v>0</v>
      </c>
      <c r="K492" t="n">
        <v>0</v>
      </c>
      <c r="L492" t="n">
        <v>0</v>
      </c>
      <c r="M492" t="n">
        <v>0</v>
      </c>
      <c r="N492" t="n">
        <v>0</v>
      </c>
      <c r="O492" t="n">
        <v>0</v>
      </c>
      <c r="P492" t="n">
        <v>0</v>
      </c>
      <c r="Q492" t="n">
        <v>0</v>
      </c>
      <c r="R492" s="2" t="inlineStr"/>
    </row>
    <row r="493" ht="15" customHeight="1">
      <c r="A493" t="inlineStr">
        <is>
          <t>A 28868-2022</t>
        </is>
      </c>
      <c r="B493" s="1" t="n">
        <v>44749</v>
      </c>
      <c r="C493" s="1" t="n">
        <v>45576</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28874-2022</t>
        </is>
      </c>
      <c r="B494" s="1" t="n">
        <v>44749</v>
      </c>
      <c r="C494" s="1" t="n">
        <v>45576</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28879-2022</t>
        </is>
      </c>
      <c r="B495" s="1" t="n">
        <v>44749</v>
      </c>
      <c r="C495" s="1" t="n">
        <v>45576</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29235-2022</t>
        </is>
      </c>
      <c r="B496" s="1" t="n">
        <v>44750</v>
      </c>
      <c r="C496" s="1" t="n">
        <v>45576</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29228-2022</t>
        </is>
      </c>
      <c r="B497" s="1" t="n">
        <v>44750</v>
      </c>
      <c r="C497" s="1" t="n">
        <v>45576</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29233-2022</t>
        </is>
      </c>
      <c r="B498" s="1" t="n">
        <v>44750</v>
      </c>
      <c r="C498" s="1" t="n">
        <v>45576</v>
      </c>
      <c r="D498" t="inlineStr">
        <is>
          <t>VÄSTMANLANDS LÄN</t>
        </is>
      </c>
      <c r="E498" t="inlineStr">
        <is>
          <t>SALA</t>
        </is>
      </c>
      <c r="G498" t="n">
        <v>2.4</v>
      </c>
      <c r="H498" t="n">
        <v>0</v>
      </c>
      <c r="I498" t="n">
        <v>0</v>
      </c>
      <c r="J498" t="n">
        <v>0</v>
      </c>
      <c r="K498" t="n">
        <v>0</v>
      </c>
      <c r="L498" t="n">
        <v>0</v>
      </c>
      <c r="M498" t="n">
        <v>0</v>
      </c>
      <c r="N498" t="n">
        <v>0</v>
      </c>
      <c r="O498" t="n">
        <v>0</v>
      </c>
      <c r="P498" t="n">
        <v>0</v>
      </c>
      <c r="Q498" t="n">
        <v>0</v>
      </c>
      <c r="R498" s="2" t="inlineStr"/>
    </row>
    <row r="499" ht="15" customHeight="1">
      <c r="A499" t="inlineStr">
        <is>
          <t>A 29248-2022</t>
        </is>
      </c>
      <c r="B499" s="1" t="n">
        <v>44750</v>
      </c>
      <c r="C499" s="1" t="n">
        <v>45576</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29230-2022</t>
        </is>
      </c>
      <c r="B500" s="1" t="n">
        <v>44750</v>
      </c>
      <c r="C500" s="1" t="n">
        <v>45576</v>
      </c>
      <c r="D500" t="inlineStr">
        <is>
          <t>VÄSTMANLANDS LÄN</t>
        </is>
      </c>
      <c r="E500" t="inlineStr">
        <is>
          <t>SALA</t>
        </is>
      </c>
      <c r="G500" t="n">
        <v>1.1</v>
      </c>
      <c r="H500" t="n">
        <v>0</v>
      </c>
      <c r="I500" t="n">
        <v>0</v>
      </c>
      <c r="J500" t="n">
        <v>0</v>
      </c>
      <c r="K500" t="n">
        <v>0</v>
      </c>
      <c r="L500" t="n">
        <v>0</v>
      </c>
      <c r="M500" t="n">
        <v>0</v>
      </c>
      <c r="N500" t="n">
        <v>0</v>
      </c>
      <c r="O500" t="n">
        <v>0</v>
      </c>
      <c r="P500" t="n">
        <v>0</v>
      </c>
      <c r="Q500" t="n">
        <v>0</v>
      </c>
      <c r="R500" s="2" t="inlineStr"/>
    </row>
    <row r="501" ht="15" customHeight="1">
      <c r="A501" t="inlineStr">
        <is>
          <t>A 29133-2022</t>
        </is>
      </c>
      <c r="B501" s="1" t="n">
        <v>44750</v>
      </c>
      <c r="C501" s="1" t="n">
        <v>45576</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29213-2022</t>
        </is>
      </c>
      <c r="B502" s="1" t="n">
        <v>44750</v>
      </c>
      <c r="C502" s="1" t="n">
        <v>45576</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29963-2022</t>
        </is>
      </c>
      <c r="B503" s="1" t="n">
        <v>44756</v>
      </c>
      <c r="C503" s="1" t="n">
        <v>45576</v>
      </c>
      <c r="D503" t="inlineStr">
        <is>
          <t>VÄSTMANLANDS LÄN</t>
        </is>
      </c>
      <c r="E503" t="inlineStr">
        <is>
          <t>SALA</t>
        </is>
      </c>
      <c r="G503" t="n">
        <v>2.3</v>
      </c>
      <c r="H503" t="n">
        <v>0</v>
      </c>
      <c r="I503" t="n">
        <v>0</v>
      </c>
      <c r="J503" t="n">
        <v>0</v>
      </c>
      <c r="K503" t="n">
        <v>0</v>
      </c>
      <c r="L503" t="n">
        <v>0</v>
      </c>
      <c r="M503" t="n">
        <v>0</v>
      </c>
      <c r="N503" t="n">
        <v>0</v>
      </c>
      <c r="O503" t="n">
        <v>0</v>
      </c>
      <c r="P503" t="n">
        <v>0</v>
      </c>
      <c r="Q503" t="n">
        <v>0</v>
      </c>
      <c r="R503" s="2" t="inlineStr"/>
    </row>
    <row r="504" ht="15" customHeight="1">
      <c r="A504" t="inlineStr">
        <is>
          <t>A 29965-2022</t>
        </is>
      </c>
      <c r="B504" s="1" t="n">
        <v>44756</v>
      </c>
      <c r="C504" s="1" t="n">
        <v>45576</v>
      </c>
      <c r="D504" t="inlineStr">
        <is>
          <t>VÄSTMANLANDS LÄN</t>
        </is>
      </c>
      <c r="E504" t="inlineStr">
        <is>
          <t>SALA</t>
        </is>
      </c>
      <c r="G504" t="n">
        <v>1.5</v>
      </c>
      <c r="H504" t="n">
        <v>0</v>
      </c>
      <c r="I504" t="n">
        <v>0</v>
      </c>
      <c r="J504" t="n">
        <v>0</v>
      </c>
      <c r="K504" t="n">
        <v>0</v>
      </c>
      <c r="L504" t="n">
        <v>0</v>
      </c>
      <c r="M504" t="n">
        <v>0</v>
      </c>
      <c r="N504" t="n">
        <v>0</v>
      </c>
      <c r="O504" t="n">
        <v>0</v>
      </c>
      <c r="P504" t="n">
        <v>0</v>
      </c>
      <c r="Q504" t="n">
        <v>0</v>
      </c>
      <c r="R504" s="2" t="inlineStr"/>
    </row>
    <row r="505" ht="15" customHeight="1">
      <c r="A505" t="inlineStr">
        <is>
          <t>A 29982-2022</t>
        </is>
      </c>
      <c r="B505" s="1" t="n">
        <v>44756</v>
      </c>
      <c r="C505" s="1" t="n">
        <v>45576</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30360-2022</t>
        </is>
      </c>
      <c r="B506" s="1" t="n">
        <v>44760</v>
      </c>
      <c r="C506" s="1" t="n">
        <v>45576</v>
      </c>
      <c r="D506" t="inlineStr">
        <is>
          <t>VÄSTMANLANDS LÄN</t>
        </is>
      </c>
      <c r="E506" t="inlineStr">
        <is>
          <t>SALA</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30442-2022</t>
        </is>
      </c>
      <c r="B507" s="1" t="n">
        <v>44761</v>
      </c>
      <c r="C507" s="1" t="n">
        <v>45576</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30971-2022</t>
        </is>
      </c>
      <c r="B508" s="1" t="n">
        <v>44768</v>
      </c>
      <c r="C508" s="1" t="n">
        <v>45576</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31000-2022</t>
        </is>
      </c>
      <c r="B509" s="1" t="n">
        <v>44768</v>
      </c>
      <c r="C509" s="1" t="n">
        <v>45576</v>
      </c>
      <c r="D509" t="inlineStr">
        <is>
          <t>VÄSTMANLANDS LÄN</t>
        </is>
      </c>
      <c r="E509" t="inlineStr">
        <is>
          <t>SALA</t>
        </is>
      </c>
      <c r="G509" t="n">
        <v>5.7</v>
      </c>
      <c r="H509" t="n">
        <v>0</v>
      </c>
      <c r="I509" t="n">
        <v>0</v>
      </c>
      <c r="J509" t="n">
        <v>0</v>
      </c>
      <c r="K509" t="n">
        <v>0</v>
      </c>
      <c r="L509" t="n">
        <v>0</v>
      </c>
      <c r="M509" t="n">
        <v>0</v>
      </c>
      <c r="N509" t="n">
        <v>0</v>
      </c>
      <c r="O509" t="n">
        <v>0</v>
      </c>
      <c r="P509" t="n">
        <v>0</v>
      </c>
      <c r="Q509" t="n">
        <v>0</v>
      </c>
      <c r="R509" s="2" t="inlineStr"/>
    </row>
    <row r="510" ht="15" customHeight="1">
      <c r="A510" t="inlineStr">
        <is>
          <t>A 31373-2022</t>
        </is>
      </c>
      <c r="B510" s="1" t="n">
        <v>44774</v>
      </c>
      <c r="C510" s="1" t="n">
        <v>45576</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31380-2022</t>
        </is>
      </c>
      <c r="B511" s="1" t="n">
        <v>44774</v>
      </c>
      <c r="C511" s="1" t="n">
        <v>45576</v>
      </c>
      <c r="D511" t="inlineStr">
        <is>
          <t>VÄSTMANLANDS LÄN</t>
        </is>
      </c>
      <c r="E511" t="inlineStr">
        <is>
          <t>SALA</t>
        </is>
      </c>
      <c r="G511" t="n">
        <v>4.7</v>
      </c>
      <c r="H511" t="n">
        <v>0</v>
      </c>
      <c r="I511" t="n">
        <v>0</v>
      </c>
      <c r="J511" t="n">
        <v>0</v>
      </c>
      <c r="K511" t="n">
        <v>0</v>
      </c>
      <c r="L511" t="n">
        <v>0</v>
      </c>
      <c r="M511" t="n">
        <v>0</v>
      </c>
      <c r="N511" t="n">
        <v>0</v>
      </c>
      <c r="O511" t="n">
        <v>0</v>
      </c>
      <c r="P511" t="n">
        <v>0</v>
      </c>
      <c r="Q511" t="n">
        <v>0</v>
      </c>
      <c r="R511" s="2" t="inlineStr"/>
    </row>
    <row r="512" ht="15" customHeight="1">
      <c r="A512" t="inlineStr">
        <is>
          <t>A 31387-2022</t>
        </is>
      </c>
      <c r="B512" s="1" t="n">
        <v>44774</v>
      </c>
      <c r="C512" s="1" t="n">
        <v>45576</v>
      </c>
      <c r="D512" t="inlineStr">
        <is>
          <t>VÄSTMANLANDS LÄN</t>
        </is>
      </c>
      <c r="E512" t="inlineStr">
        <is>
          <t>SALA</t>
        </is>
      </c>
      <c r="G512" t="n">
        <v>5.8</v>
      </c>
      <c r="H512" t="n">
        <v>0</v>
      </c>
      <c r="I512" t="n">
        <v>0</v>
      </c>
      <c r="J512" t="n">
        <v>0</v>
      </c>
      <c r="K512" t="n">
        <v>0</v>
      </c>
      <c r="L512" t="n">
        <v>0</v>
      </c>
      <c r="M512" t="n">
        <v>0</v>
      </c>
      <c r="N512" t="n">
        <v>0</v>
      </c>
      <c r="O512" t="n">
        <v>0</v>
      </c>
      <c r="P512" t="n">
        <v>0</v>
      </c>
      <c r="Q512" t="n">
        <v>0</v>
      </c>
      <c r="R512" s="2" t="inlineStr"/>
    </row>
    <row r="513" ht="15" customHeight="1">
      <c r="A513" t="inlineStr">
        <is>
          <t>A 31394-2022</t>
        </is>
      </c>
      <c r="B513" s="1" t="n">
        <v>44774</v>
      </c>
      <c r="C513" s="1" t="n">
        <v>45576</v>
      </c>
      <c r="D513" t="inlineStr">
        <is>
          <t>VÄSTMANLANDS LÄN</t>
        </is>
      </c>
      <c r="E513" t="inlineStr">
        <is>
          <t>SALA</t>
        </is>
      </c>
      <c r="G513" t="n">
        <v>1.9</v>
      </c>
      <c r="H513" t="n">
        <v>0</v>
      </c>
      <c r="I513" t="n">
        <v>0</v>
      </c>
      <c r="J513" t="n">
        <v>0</v>
      </c>
      <c r="K513" t="n">
        <v>0</v>
      </c>
      <c r="L513" t="n">
        <v>0</v>
      </c>
      <c r="M513" t="n">
        <v>0</v>
      </c>
      <c r="N513" t="n">
        <v>0</v>
      </c>
      <c r="O513" t="n">
        <v>0</v>
      </c>
      <c r="P513" t="n">
        <v>0</v>
      </c>
      <c r="Q513" t="n">
        <v>0</v>
      </c>
      <c r="R513" s="2" t="inlineStr"/>
    </row>
    <row r="514" ht="15" customHeight="1">
      <c r="A514" t="inlineStr">
        <is>
          <t>A 33309-2022</t>
        </is>
      </c>
      <c r="B514" s="1" t="n">
        <v>44788</v>
      </c>
      <c r="C514" s="1" t="n">
        <v>45576</v>
      </c>
      <c r="D514" t="inlineStr">
        <is>
          <t>VÄSTMANLANDS LÄN</t>
        </is>
      </c>
      <c r="E514" t="inlineStr">
        <is>
          <t>SALA</t>
        </is>
      </c>
      <c r="G514" t="n">
        <v>2.6</v>
      </c>
      <c r="H514" t="n">
        <v>0</v>
      </c>
      <c r="I514" t="n">
        <v>0</v>
      </c>
      <c r="J514" t="n">
        <v>0</v>
      </c>
      <c r="K514" t="n">
        <v>0</v>
      </c>
      <c r="L514" t="n">
        <v>0</v>
      </c>
      <c r="M514" t="n">
        <v>0</v>
      </c>
      <c r="N514" t="n">
        <v>0</v>
      </c>
      <c r="O514" t="n">
        <v>0</v>
      </c>
      <c r="P514" t="n">
        <v>0</v>
      </c>
      <c r="Q514" t="n">
        <v>0</v>
      </c>
      <c r="R514" s="2" t="inlineStr"/>
    </row>
    <row r="515" ht="15" customHeight="1">
      <c r="A515" t="inlineStr">
        <is>
          <t>A 34110-2022</t>
        </is>
      </c>
      <c r="B515" s="1" t="n">
        <v>44791</v>
      </c>
      <c r="C515" s="1" t="n">
        <v>45576</v>
      </c>
      <c r="D515" t="inlineStr">
        <is>
          <t>VÄSTMANLANDS LÄN</t>
        </is>
      </c>
      <c r="E515" t="inlineStr">
        <is>
          <t>SALA</t>
        </is>
      </c>
      <c r="G515" t="n">
        <v>0.2</v>
      </c>
      <c r="H515" t="n">
        <v>0</v>
      </c>
      <c r="I515" t="n">
        <v>0</v>
      </c>
      <c r="J515" t="n">
        <v>0</v>
      </c>
      <c r="K515" t="n">
        <v>0</v>
      </c>
      <c r="L515" t="n">
        <v>0</v>
      </c>
      <c r="M515" t="n">
        <v>0</v>
      </c>
      <c r="N515" t="n">
        <v>0</v>
      </c>
      <c r="O515" t="n">
        <v>0</v>
      </c>
      <c r="P515" t="n">
        <v>0</v>
      </c>
      <c r="Q515" t="n">
        <v>0</v>
      </c>
      <c r="R515" s="2" t="inlineStr"/>
    </row>
    <row r="516" ht="15" customHeight="1">
      <c r="A516" t="inlineStr">
        <is>
          <t>A 34468-2022</t>
        </is>
      </c>
      <c r="B516" s="1" t="n">
        <v>44792</v>
      </c>
      <c r="C516" s="1" t="n">
        <v>45576</v>
      </c>
      <c r="D516" t="inlineStr">
        <is>
          <t>VÄSTMANLANDS LÄN</t>
        </is>
      </c>
      <c r="E516" t="inlineStr">
        <is>
          <t>SALA</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34737-2022</t>
        </is>
      </c>
      <c r="B517" s="1" t="n">
        <v>44795</v>
      </c>
      <c r="C517" s="1" t="n">
        <v>45576</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35410-2022</t>
        </is>
      </c>
      <c r="B518" s="1" t="n">
        <v>44798</v>
      </c>
      <c r="C518" s="1" t="n">
        <v>45576</v>
      </c>
      <c r="D518" t="inlineStr">
        <is>
          <t>VÄSTMANLANDS LÄN</t>
        </is>
      </c>
      <c r="E518" t="inlineStr">
        <is>
          <t>SALA</t>
        </is>
      </c>
      <c r="G518" t="n">
        <v>1.6</v>
      </c>
      <c r="H518" t="n">
        <v>0</v>
      </c>
      <c r="I518" t="n">
        <v>0</v>
      </c>
      <c r="J518" t="n">
        <v>0</v>
      </c>
      <c r="K518" t="n">
        <v>0</v>
      </c>
      <c r="L518" t="n">
        <v>0</v>
      </c>
      <c r="M518" t="n">
        <v>0</v>
      </c>
      <c r="N518" t="n">
        <v>0</v>
      </c>
      <c r="O518" t="n">
        <v>0</v>
      </c>
      <c r="P518" t="n">
        <v>0</v>
      </c>
      <c r="Q518" t="n">
        <v>0</v>
      </c>
      <c r="R518" s="2" t="inlineStr"/>
    </row>
    <row r="519" ht="15" customHeight="1">
      <c r="A519" t="inlineStr">
        <is>
          <t>A 35637-2022</t>
        </is>
      </c>
      <c r="B519" s="1" t="n">
        <v>44799</v>
      </c>
      <c r="C519" s="1" t="n">
        <v>45576</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38081-2022</t>
        </is>
      </c>
      <c r="B520" s="1" t="n">
        <v>44811</v>
      </c>
      <c r="C520" s="1" t="n">
        <v>45576</v>
      </c>
      <c r="D520" t="inlineStr">
        <is>
          <t>VÄSTMANLANDS LÄN</t>
        </is>
      </c>
      <c r="E520" t="inlineStr">
        <is>
          <t>SALA</t>
        </is>
      </c>
      <c r="G520" t="n">
        <v>3.4</v>
      </c>
      <c r="H520" t="n">
        <v>0</v>
      </c>
      <c r="I520" t="n">
        <v>0</v>
      </c>
      <c r="J520" t="n">
        <v>0</v>
      </c>
      <c r="K520" t="n">
        <v>0</v>
      </c>
      <c r="L520" t="n">
        <v>0</v>
      </c>
      <c r="M520" t="n">
        <v>0</v>
      </c>
      <c r="N520" t="n">
        <v>0</v>
      </c>
      <c r="O520" t="n">
        <v>0</v>
      </c>
      <c r="P520" t="n">
        <v>0</v>
      </c>
      <c r="Q520" t="n">
        <v>0</v>
      </c>
      <c r="R520" s="2" t="inlineStr"/>
    </row>
    <row r="521" ht="15" customHeight="1">
      <c r="A521" t="inlineStr">
        <is>
          <t>A 38161-2022</t>
        </is>
      </c>
      <c r="B521" s="1" t="n">
        <v>44812</v>
      </c>
      <c r="C521" s="1" t="n">
        <v>45576</v>
      </c>
      <c r="D521" t="inlineStr">
        <is>
          <t>VÄSTMANLANDS LÄN</t>
        </is>
      </c>
      <c r="E521" t="inlineStr">
        <is>
          <t>SALA</t>
        </is>
      </c>
      <c r="G521" t="n">
        <v>3.6</v>
      </c>
      <c r="H521" t="n">
        <v>0</v>
      </c>
      <c r="I521" t="n">
        <v>0</v>
      </c>
      <c r="J521" t="n">
        <v>0</v>
      </c>
      <c r="K521" t="n">
        <v>0</v>
      </c>
      <c r="L521" t="n">
        <v>0</v>
      </c>
      <c r="M521" t="n">
        <v>0</v>
      </c>
      <c r="N521" t="n">
        <v>0</v>
      </c>
      <c r="O521" t="n">
        <v>0</v>
      </c>
      <c r="P521" t="n">
        <v>0</v>
      </c>
      <c r="Q521" t="n">
        <v>0</v>
      </c>
      <c r="R521" s="2" t="inlineStr"/>
    </row>
    <row r="522" ht="15" customHeight="1">
      <c r="A522" t="inlineStr">
        <is>
          <t>A 39451-2022</t>
        </is>
      </c>
      <c r="B522" s="1" t="n">
        <v>44818</v>
      </c>
      <c r="C522" s="1" t="n">
        <v>45576</v>
      </c>
      <c r="D522" t="inlineStr">
        <is>
          <t>VÄSTMANLANDS LÄN</t>
        </is>
      </c>
      <c r="E522" t="inlineStr">
        <is>
          <t>SALA</t>
        </is>
      </c>
      <c r="G522" t="n">
        <v>9.4</v>
      </c>
      <c r="H522" t="n">
        <v>0</v>
      </c>
      <c r="I522" t="n">
        <v>0</v>
      </c>
      <c r="J522" t="n">
        <v>0</v>
      </c>
      <c r="K522" t="n">
        <v>0</v>
      </c>
      <c r="L522" t="n">
        <v>0</v>
      </c>
      <c r="M522" t="n">
        <v>0</v>
      </c>
      <c r="N522" t="n">
        <v>0</v>
      </c>
      <c r="O522" t="n">
        <v>0</v>
      </c>
      <c r="P522" t="n">
        <v>0</v>
      </c>
      <c r="Q522" t="n">
        <v>0</v>
      </c>
      <c r="R522" s="2" t="inlineStr"/>
    </row>
    <row r="523" ht="15" customHeight="1">
      <c r="A523" t="inlineStr">
        <is>
          <t>A 39600-2022</t>
        </is>
      </c>
      <c r="B523" s="1" t="n">
        <v>44818</v>
      </c>
      <c r="C523" s="1" t="n">
        <v>45576</v>
      </c>
      <c r="D523" t="inlineStr">
        <is>
          <t>VÄSTMANLANDS LÄN</t>
        </is>
      </c>
      <c r="E523" t="inlineStr">
        <is>
          <t>SALA</t>
        </is>
      </c>
      <c r="G523" t="n">
        <v>0.9</v>
      </c>
      <c r="H523" t="n">
        <v>0</v>
      </c>
      <c r="I523" t="n">
        <v>0</v>
      </c>
      <c r="J523" t="n">
        <v>0</v>
      </c>
      <c r="K523" t="n">
        <v>0</v>
      </c>
      <c r="L523" t="n">
        <v>0</v>
      </c>
      <c r="M523" t="n">
        <v>0</v>
      </c>
      <c r="N523" t="n">
        <v>0</v>
      </c>
      <c r="O523" t="n">
        <v>0</v>
      </c>
      <c r="P523" t="n">
        <v>0</v>
      </c>
      <c r="Q523" t="n">
        <v>0</v>
      </c>
      <c r="R523" s="2" t="inlineStr"/>
    </row>
    <row r="524" ht="15" customHeight="1">
      <c r="A524" t="inlineStr">
        <is>
          <t>A 39597-2022</t>
        </is>
      </c>
      <c r="B524" s="1" t="n">
        <v>44818</v>
      </c>
      <c r="C524" s="1" t="n">
        <v>45576</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40094-2022</t>
        </is>
      </c>
      <c r="B525" s="1" t="n">
        <v>44819</v>
      </c>
      <c r="C525" s="1" t="n">
        <v>45576</v>
      </c>
      <c r="D525" t="inlineStr">
        <is>
          <t>VÄSTMANLANDS LÄN</t>
        </is>
      </c>
      <c r="E525" t="inlineStr">
        <is>
          <t>SALA</t>
        </is>
      </c>
      <c r="G525" t="n">
        <v>1.7</v>
      </c>
      <c r="H525" t="n">
        <v>0</v>
      </c>
      <c r="I525" t="n">
        <v>0</v>
      </c>
      <c r="J525" t="n">
        <v>0</v>
      </c>
      <c r="K525" t="n">
        <v>0</v>
      </c>
      <c r="L525" t="n">
        <v>0</v>
      </c>
      <c r="M525" t="n">
        <v>0</v>
      </c>
      <c r="N525" t="n">
        <v>0</v>
      </c>
      <c r="O525" t="n">
        <v>0</v>
      </c>
      <c r="P525" t="n">
        <v>0</v>
      </c>
      <c r="Q525" t="n">
        <v>0</v>
      </c>
      <c r="R525" s="2" t="inlineStr"/>
    </row>
    <row r="526" ht="15" customHeight="1">
      <c r="A526" t="inlineStr">
        <is>
          <t>A 40113-2022</t>
        </is>
      </c>
      <c r="B526" s="1" t="n">
        <v>44819</v>
      </c>
      <c r="C526" s="1" t="n">
        <v>45576</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40405-2022</t>
        </is>
      </c>
      <c r="B527" s="1" t="n">
        <v>44823</v>
      </c>
      <c r="C527" s="1" t="n">
        <v>45576</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40597-2022</t>
        </is>
      </c>
      <c r="B528" s="1" t="n">
        <v>44823</v>
      </c>
      <c r="C528" s="1" t="n">
        <v>45576</v>
      </c>
      <c r="D528" t="inlineStr">
        <is>
          <t>VÄSTMANLANDS LÄN</t>
        </is>
      </c>
      <c r="E528" t="inlineStr">
        <is>
          <t>SALA</t>
        </is>
      </c>
      <c r="G528" t="n">
        <v>3.5</v>
      </c>
      <c r="H528" t="n">
        <v>0</v>
      </c>
      <c r="I528" t="n">
        <v>0</v>
      </c>
      <c r="J528" t="n">
        <v>0</v>
      </c>
      <c r="K528" t="n">
        <v>0</v>
      </c>
      <c r="L528" t="n">
        <v>0</v>
      </c>
      <c r="M528" t="n">
        <v>0</v>
      </c>
      <c r="N528" t="n">
        <v>0</v>
      </c>
      <c r="O528" t="n">
        <v>0</v>
      </c>
      <c r="P528" t="n">
        <v>0</v>
      </c>
      <c r="Q528" t="n">
        <v>0</v>
      </c>
      <c r="R528" s="2" t="inlineStr"/>
    </row>
    <row r="529" ht="15" customHeight="1">
      <c r="A529" t="inlineStr">
        <is>
          <t>A 41567-2022</t>
        </is>
      </c>
      <c r="B529" s="1" t="n">
        <v>44827</v>
      </c>
      <c r="C529" s="1" t="n">
        <v>45576</v>
      </c>
      <c r="D529" t="inlineStr">
        <is>
          <t>VÄSTMANLANDS LÄN</t>
        </is>
      </c>
      <c r="E529" t="inlineStr">
        <is>
          <t>SALA</t>
        </is>
      </c>
      <c r="F529" t="inlineStr">
        <is>
          <t>Bergvik skog öst AB</t>
        </is>
      </c>
      <c r="G529" t="n">
        <v>3.9</v>
      </c>
      <c r="H529" t="n">
        <v>0</v>
      </c>
      <c r="I529" t="n">
        <v>0</v>
      </c>
      <c r="J529" t="n">
        <v>0</v>
      </c>
      <c r="K529" t="n">
        <v>0</v>
      </c>
      <c r="L529" t="n">
        <v>0</v>
      </c>
      <c r="M529" t="n">
        <v>0</v>
      </c>
      <c r="N529" t="n">
        <v>0</v>
      </c>
      <c r="O529" t="n">
        <v>0</v>
      </c>
      <c r="P529" t="n">
        <v>0</v>
      </c>
      <c r="Q529" t="n">
        <v>0</v>
      </c>
      <c r="R529" s="2" t="inlineStr"/>
    </row>
    <row r="530" ht="15" customHeight="1">
      <c r="A530" t="inlineStr">
        <is>
          <t>A 41876-2022</t>
        </is>
      </c>
      <c r="B530" s="1" t="n">
        <v>44830</v>
      </c>
      <c r="C530" s="1" t="n">
        <v>45576</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42416-2022</t>
        </is>
      </c>
      <c r="B531" s="1" t="n">
        <v>44831</v>
      </c>
      <c r="C531" s="1" t="n">
        <v>45576</v>
      </c>
      <c r="D531" t="inlineStr">
        <is>
          <t>VÄSTMANLANDS LÄN</t>
        </is>
      </c>
      <c r="E531" t="inlineStr">
        <is>
          <t>SALA</t>
        </is>
      </c>
      <c r="G531" t="n">
        <v>2.2</v>
      </c>
      <c r="H531" t="n">
        <v>0</v>
      </c>
      <c r="I531" t="n">
        <v>0</v>
      </c>
      <c r="J531" t="n">
        <v>0</v>
      </c>
      <c r="K531" t="n">
        <v>0</v>
      </c>
      <c r="L531" t="n">
        <v>0</v>
      </c>
      <c r="M531" t="n">
        <v>0</v>
      </c>
      <c r="N531" t="n">
        <v>0</v>
      </c>
      <c r="O531" t="n">
        <v>0</v>
      </c>
      <c r="P531" t="n">
        <v>0</v>
      </c>
      <c r="Q531" t="n">
        <v>0</v>
      </c>
      <c r="R531" s="2" t="inlineStr"/>
    </row>
    <row r="532" ht="15" customHeight="1">
      <c r="A532" t="inlineStr">
        <is>
          <t>A 42447-2022</t>
        </is>
      </c>
      <c r="B532" s="1" t="n">
        <v>44831</v>
      </c>
      <c r="C532" s="1" t="n">
        <v>45576</v>
      </c>
      <c r="D532" t="inlineStr">
        <is>
          <t>VÄSTMANLANDS LÄN</t>
        </is>
      </c>
      <c r="E532" t="inlineStr">
        <is>
          <t>SALA</t>
        </is>
      </c>
      <c r="G532" t="n">
        <v>1.1</v>
      </c>
      <c r="H532" t="n">
        <v>0</v>
      </c>
      <c r="I532" t="n">
        <v>0</v>
      </c>
      <c r="J532" t="n">
        <v>0</v>
      </c>
      <c r="K532" t="n">
        <v>0</v>
      </c>
      <c r="L532" t="n">
        <v>0</v>
      </c>
      <c r="M532" t="n">
        <v>0</v>
      </c>
      <c r="N532" t="n">
        <v>0</v>
      </c>
      <c r="O532" t="n">
        <v>0</v>
      </c>
      <c r="P532" t="n">
        <v>0</v>
      </c>
      <c r="Q532" t="n">
        <v>0</v>
      </c>
      <c r="R532" s="2" t="inlineStr"/>
    </row>
    <row r="533" ht="15" customHeight="1">
      <c r="A533" t="inlineStr">
        <is>
          <t>A 42414-2022</t>
        </is>
      </c>
      <c r="B533" s="1" t="n">
        <v>44831</v>
      </c>
      <c r="C533" s="1" t="n">
        <v>45576</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43103-2022</t>
        </is>
      </c>
      <c r="B534" s="1" t="n">
        <v>44833</v>
      </c>
      <c r="C534" s="1" t="n">
        <v>45576</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43101-2022</t>
        </is>
      </c>
      <c r="B535" s="1" t="n">
        <v>44833</v>
      </c>
      <c r="C535" s="1" t="n">
        <v>45576</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44217-2022</t>
        </is>
      </c>
      <c r="B536" s="1" t="n">
        <v>44839</v>
      </c>
      <c r="C536" s="1" t="n">
        <v>45576</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44318-2022</t>
        </is>
      </c>
      <c r="B537" s="1" t="n">
        <v>44839</v>
      </c>
      <c r="C537" s="1" t="n">
        <v>45576</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44224-2022</t>
        </is>
      </c>
      <c r="B538" s="1" t="n">
        <v>44839</v>
      </c>
      <c r="C538" s="1" t="n">
        <v>45576</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44892-2022</t>
        </is>
      </c>
      <c r="B539" s="1" t="n">
        <v>44841</v>
      </c>
      <c r="C539" s="1" t="n">
        <v>45576</v>
      </c>
      <c r="D539" t="inlineStr">
        <is>
          <t>VÄSTMANLANDS LÄN</t>
        </is>
      </c>
      <c r="E539" t="inlineStr">
        <is>
          <t>SALA</t>
        </is>
      </c>
      <c r="G539" t="n">
        <v>1.7</v>
      </c>
      <c r="H539" t="n">
        <v>0</v>
      </c>
      <c r="I539" t="n">
        <v>0</v>
      </c>
      <c r="J539" t="n">
        <v>0</v>
      </c>
      <c r="K539" t="n">
        <v>0</v>
      </c>
      <c r="L539" t="n">
        <v>0</v>
      </c>
      <c r="M539" t="n">
        <v>0</v>
      </c>
      <c r="N539" t="n">
        <v>0</v>
      </c>
      <c r="O539" t="n">
        <v>0</v>
      </c>
      <c r="P539" t="n">
        <v>0</v>
      </c>
      <c r="Q539" t="n">
        <v>0</v>
      </c>
      <c r="R539" s="2" t="inlineStr"/>
    </row>
    <row r="540" ht="15" customHeight="1">
      <c r="A540" t="inlineStr">
        <is>
          <t>A 45015-2022</t>
        </is>
      </c>
      <c r="B540" s="1" t="n">
        <v>44841</v>
      </c>
      <c r="C540" s="1" t="n">
        <v>45576</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44935-2022</t>
        </is>
      </c>
      <c r="B541" s="1" t="n">
        <v>44841</v>
      </c>
      <c r="C541" s="1" t="n">
        <v>45576</v>
      </c>
      <c r="D541" t="inlineStr">
        <is>
          <t>VÄSTMANLANDS LÄN</t>
        </is>
      </c>
      <c r="E541" t="inlineStr">
        <is>
          <t>SALA</t>
        </is>
      </c>
      <c r="G541" t="n">
        <v>1.5</v>
      </c>
      <c r="H541" t="n">
        <v>0</v>
      </c>
      <c r="I541" t="n">
        <v>0</v>
      </c>
      <c r="J541" t="n">
        <v>0</v>
      </c>
      <c r="K541" t="n">
        <v>0</v>
      </c>
      <c r="L541" t="n">
        <v>0</v>
      </c>
      <c r="M541" t="n">
        <v>0</v>
      </c>
      <c r="N541" t="n">
        <v>0</v>
      </c>
      <c r="O541" t="n">
        <v>0</v>
      </c>
      <c r="P541" t="n">
        <v>0</v>
      </c>
      <c r="Q541" t="n">
        <v>0</v>
      </c>
      <c r="R541" s="2" t="inlineStr"/>
    </row>
    <row r="542" ht="15" customHeight="1">
      <c r="A542" t="inlineStr">
        <is>
          <t>A 45309-2022</t>
        </is>
      </c>
      <c r="B542" s="1" t="n">
        <v>44844</v>
      </c>
      <c r="C542" s="1" t="n">
        <v>45576</v>
      </c>
      <c r="D542" t="inlineStr">
        <is>
          <t>VÄSTMANLANDS LÄN</t>
        </is>
      </c>
      <c r="E542" t="inlineStr">
        <is>
          <t>SALA</t>
        </is>
      </c>
      <c r="G542" t="n">
        <v>10.9</v>
      </c>
      <c r="H542" t="n">
        <v>0</v>
      </c>
      <c r="I542" t="n">
        <v>0</v>
      </c>
      <c r="J542" t="n">
        <v>0</v>
      </c>
      <c r="K542" t="n">
        <v>0</v>
      </c>
      <c r="L542" t="n">
        <v>0</v>
      </c>
      <c r="M542" t="n">
        <v>0</v>
      </c>
      <c r="N542" t="n">
        <v>0</v>
      </c>
      <c r="O542" t="n">
        <v>0</v>
      </c>
      <c r="P542" t="n">
        <v>0</v>
      </c>
      <c r="Q542" t="n">
        <v>0</v>
      </c>
      <c r="R542" s="2" t="inlineStr"/>
    </row>
    <row r="543" ht="15" customHeight="1">
      <c r="A543" t="inlineStr">
        <is>
          <t>A 45517-2022</t>
        </is>
      </c>
      <c r="B543" s="1" t="n">
        <v>44845</v>
      </c>
      <c r="C543" s="1" t="n">
        <v>45576</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45615-2022</t>
        </is>
      </c>
      <c r="B544" s="1" t="n">
        <v>44845</v>
      </c>
      <c r="C544" s="1" t="n">
        <v>45576</v>
      </c>
      <c r="D544" t="inlineStr">
        <is>
          <t>VÄSTMANLANDS LÄN</t>
        </is>
      </c>
      <c r="E544" t="inlineStr">
        <is>
          <t>SALA</t>
        </is>
      </c>
      <c r="F544" t="inlineStr">
        <is>
          <t>Bergvik skog öst AB</t>
        </is>
      </c>
      <c r="G544" t="n">
        <v>10</v>
      </c>
      <c r="H544" t="n">
        <v>0</v>
      </c>
      <c r="I544" t="n">
        <v>0</v>
      </c>
      <c r="J544" t="n">
        <v>0</v>
      </c>
      <c r="K544" t="n">
        <v>0</v>
      </c>
      <c r="L544" t="n">
        <v>0</v>
      </c>
      <c r="M544" t="n">
        <v>0</v>
      </c>
      <c r="N544" t="n">
        <v>0</v>
      </c>
      <c r="O544" t="n">
        <v>0</v>
      </c>
      <c r="P544" t="n">
        <v>0</v>
      </c>
      <c r="Q544" t="n">
        <v>0</v>
      </c>
      <c r="R544" s="2" t="inlineStr"/>
    </row>
    <row r="545" ht="15" customHeight="1">
      <c r="A545" t="inlineStr">
        <is>
          <t>A 46264-2022</t>
        </is>
      </c>
      <c r="B545" s="1" t="n">
        <v>44847</v>
      </c>
      <c r="C545" s="1" t="n">
        <v>45576</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46460-2022</t>
        </is>
      </c>
      <c r="B546" s="1" t="n">
        <v>44848</v>
      </c>
      <c r="C546" s="1" t="n">
        <v>45576</v>
      </c>
      <c r="D546" t="inlineStr">
        <is>
          <t>VÄSTMANLANDS LÄN</t>
        </is>
      </c>
      <c r="E546" t="inlineStr">
        <is>
          <t>SALA</t>
        </is>
      </c>
      <c r="G546" t="n">
        <v>1.3</v>
      </c>
      <c r="H546" t="n">
        <v>0</v>
      </c>
      <c r="I546" t="n">
        <v>0</v>
      </c>
      <c r="J546" t="n">
        <v>0</v>
      </c>
      <c r="K546" t="n">
        <v>0</v>
      </c>
      <c r="L546" t="n">
        <v>0</v>
      </c>
      <c r="M546" t="n">
        <v>0</v>
      </c>
      <c r="N546" t="n">
        <v>0</v>
      </c>
      <c r="O546" t="n">
        <v>0</v>
      </c>
      <c r="P546" t="n">
        <v>0</v>
      </c>
      <c r="Q546" t="n">
        <v>0</v>
      </c>
      <c r="R546" s="2" t="inlineStr"/>
    </row>
    <row r="547" ht="15" customHeight="1">
      <c r="A547" t="inlineStr">
        <is>
          <t>A 47086-2022</t>
        </is>
      </c>
      <c r="B547" s="1" t="n">
        <v>44852</v>
      </c>
      <c r="C547" s="1" t="n">
        <v>45576</v>
      </c>
      <c r="D547" t="inlineStr">
        <is>
          <t>VÄSTMANLANDS LÄN</t>
        </is>
      </c>
      <c r="E547" t="inlineStr">
        <is>
          <t>SALA</t>
        </is>
      </c>
      <c r="G547" t="n">
        <v>12.5</v>
      </c>
      <c r="H547" t="n">
        <v>0</v>
      </c>
      <c r="I547" t="n">
        <v>0</v>
      </c>
      <c r="J547" t="n">
        <v>0</v>
      </c>
      <c r="K547" t="n">
        <v>0</v>
      </c>
      <c r="L547" t="n">
        <v>0</v>
      </c>
      <c r="M547" t="n">
        <v>0</v>
      </c>
      <c r="N547" t="n">
        <v>0</v>
      </c>
      <c r="O547" t="n">
        <v>0</v>
      </c>
      <c r="P547" t="n">
        <v>0</v>
      </c>
      <c r="Q547" t="n">
        <v>0</v>
      </c>
      <c r="R547" s="2" t="inlineStr"/>
    </row>
    <row r="548" ht="15" customHeight="1">
      <c r="A548" t="inlineStr">
        <is>
          <t>A 47713-2022</t>
        </is>
      </c>
      <c r="B548" s="1" t="n">
        <v>44854</v>
      </c>
      <c r="C548" s="1" t="n">
        <v>45576</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47715-2022</t>
        </is>
      </c>
      <c r="B549" s="1" t="n">
        <v>44854</v>
      </c>
      <c r="C549" s="1" t="n">
        <v>45576</v>
      </c>
      <c r="D549" t="inlineStr">
        <is>
          <t>VÄSTMANLANDS LÄN</t>
        </is>
      </c>
      <c r="E549" t="inlineStr">
        <is>
          <t>SALA</t>
        </is>
      </c>
      <c r="G549" t="n">
        <v>2</v>
      </c>
      <c r="H549" t="n">
        <v>0</v>
      </c>
      <c r="I549" t="n">
        <v>0</v>
      </c>
      <c r="J549" t="n">
        <v>0</v>
      </c>
      <c r="K549" t="n">
        <v>0</v>
      </c>
      <c r="L549" t="n">
        <v>0</v>
      </c>
      <c r="M549" t="n">
        <v>0</v>
      </c>
      <c r="N549" t="n">
        <v>0</v>
      </c>
      <c r="O549" t="n">
        <v>0</v>
      </c>
      <c r="P549" t="n">
        <v>0</v>
      </c>
      <c r="Q549" t="n">
        <v>0</v>
      </c>
      <c r="R549" s="2" t="inlineStr"/>
    </row>
    <row r="550" ht="15" customHeight="1">
      <c r="A550" t="inlineStr">
        <is>
          <t>A 47909-2022</t>
        </is>
      </c>
      <c r="B550" s="1" t="n">
        <v>44855</v>
      </c>
      <c r="C550" s="1" t="n">
        <v>45576</v>
      </c>
      <c r="D550" t="inlineStr">
        <is>
          <t>VÄSTMANLANDS LÄN</t>
        </is>
      </c>
      <c r="E550" t="inlineStr">
        <is>
          <t>SALA</t>
        </is>
      </c>
      <c r="F550" t="inlineStr">
        <is>
          <t>Bergvik skog öst AB</t>
        </is>
      </c>
      <c r="G550" t="n">
        <v>2</v>
      </c>
      <c r="H550" t="n">
        <v>0</v>
      </c>
      <c r="I550" t="n">
        <v>0</v>
      </c>
      <c r="J550" t="n">
        <v>0</v>
      </c>
      <c r="K550" t="n">
        <v>0</v>
      </c>
      <c r="L550" t="n">
        <v>0</v>
      </c>
      <c r="M550" t="n">
        <v>0</v>
      </c>
      <c r="N550" t="n">
        <v>0</v>
      </c>
      <c r="O550" t="n">
        <v>0</v>
      </c>
      <c r="P550" t="n">
        <v>0</v>
      </c>
      <c r="Q550" t="n">
        <v>0</v>
      </c>
      <c r="R550" s="2" t="inlineStr"/>
    </row>
    <row r="551" ht="15" customHeight="1">
      <c r="A551" t="inlineStr">
        <is>
          <t>A 48219-2022</t>
        </is>
      </c>
      <c r="B551" s="1" t="n">
        <v>44858</v>
      </c>
      <c r="C551" s="1" t="n">
        <v>45576</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49086-2022</t>
        </is>
      </c>
      <c r="B552" s="1" t="n">
        <v>44860</v>
      </c>
      <c r="C552" s="1" t="n">
        <v>45576</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49254-2022</t>
        </is>
      </c>
      <c r="B553" s="1" t="n">
        <v>44861</v>
      </c>
      <c r="C553" s="1" t="n">
        <v>45576</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50461-2022</t>
        </is>
      </c>
      <c r="B554" s="1" t="n">
        <v>44861</v>
      </c>
      <c r="C554" s="1" t="n">
        <v>45576</v>
      </c>
      <c r="D554" t="inlineStr">
        <is>
          <t>VÄSTMANLANDS LÄN</t>
        </is>
      </c>
      <c r="E554" t="inlineStr">
        <is>
          <t>SALA</t>
        </is>
      </c>
      <c r="G554" t="n">
        <v>2.2</v>
      </c>
      <c r="H554" t="n">
        <v>0</v>
      </c>
      <c r="I554" t="n">
        <v>0</v>
      </c>
      <c r="J554" t="n">
        <v>0</v>
      </c>
      <c r="K554" t="n">
        <v>0</v>
      </c>
      <c r="L554" t="n">
        <v>0</v>
      </c>
      <c r="M554" t="n">
        <v>0</v>
      </c>
      <c r="N554" t="n">
        <v>0</v>
      </c>
      <c r="O554" t="n">
        <v>0</v>
      </c>
      <c r="P554" t="n">
        <v>0</v>
      </c>
      <c r="Q554" t="n">
        <v>0</v>
      </c>
      <c r="R554" s="2" t="inlineStr"/>
    </row>
    <row r="555" ht="15" customHeight="1">
      <c r="A555" t="inlineStr">
        <is>
          <t>A 50479-2022</t>
        </is>
      </c>
      <c r="B555" s="1" t="n">
        <v>44861</v>
      </c>
      <c r="C555" s="1" t="n">
        <v>45576</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51279-2022</t>
        </is>
      </c>
      <c r="B556" s="1" t="n">
        <v>44866</v>
      </c>
      <c r="C556" s="1" t="n">
        <v>45576</v>
      </c>
      <c r="D556" t="inlineStr">
        <is>
          <t>VÄSTMANLANDS LÄN</t>
        </is>
      </c>
      <c r="E556" t="inlineStr">
        <is>
          <t>SALA</t>
        </is>
      </c>
      <c r="G556" t="n">
        <v>3.9</v>
      </c>
      <c r="H556" t="n">
        <v>0</v>
      </c>
      <c r="I556" t="n">
        <v>0</v>
      </c>
      <c r="J556" t="n">
        <v>0</v>
      </c>
      <c r="K556" t="n">
        <v>0</v>
      </c>
      <c r="L556" t="n">
        <v>0</v>
      </c>
      <c r="M556" t="n">
        <v>0</v>
      </c>
      <c r="N556" t="n">
        <v>0</v>
      </c>
      <c r="O556" t="n">
        <v>0</v>
      </c>
      <c r="P556" t="n">
        <v>0</v>
      </c>
      <c r="Q556" t="n">
        <v>0</v>
      </c>
      <c r="R556" s="2" t="inlineStr"/>
    </row>
    <row r="557" ht="15" customHeight="1">
      <c r="A557" t="inlineStr">
        <is>
          <t>A 51377-2022</t>
        </is>
      </c>
      <c r="B557" s="1" t="n">
        <v>44866</v>
      </c>
      <c r="C557" s="1" t="n">
        <v>45576</v>
      </c>
      <c r="D557" t="inlineStr">
        <is>
          <t>VÄSTMANLANDS LÄN</t>
        </is>
      </c>
      <c r="E557" t="inlineStr">
        <is>
          <t>SALA</t>
        </is>
      </c>
      <c r="G557" t="n">
        <v>6.3</v>
      </c>
      <c r="H557" t="n">
        <v>0</v>
      </c>
      <c r="I557" t="n">
        <v>0</v>
      </c>
      <c r="J557" t="n">
        <v>0</v>
      </c>
      <c r="K557" t="n">
        <v>0</v>
      </c>
      <c r="L557" t="n">
        <v>0</v>
      </c>
      <c r="M557" t="n">
        <v>0</v>
      </c>
      <c r="N557" t="n">
        <v>0</v>
      </c>
      <c r="O557" t="n">
        <v>0</v>
      </c>
      <c r="P557" t="n">
        <v>0</v>
      </c>
      <c r="Q557" t="n">
        <v>0</v>
      </c>
      <c r="R557" s="2" t="inlineStr"/>
    </row>
    <row r="558" ht="15" customHeight="1">
      <c r="A558" t="inlineStr">
        <is>
          <t>A 50795-2022</t>
        </is>
      </c>
      <c r="B558" s="1" t="n">
        <v>44867</v>
      </c>
      <c r="C558" s="1" t="n">
        <v>45576</v>
      </c>
      <c r="D558" t="inlineStr">
        <is>
          <t>VÄSTMANLANDS LÄN</t>
        </is>
      </c>
      <c r="E558" t="inlineStr">
        <is>
          <t>SALA</t>
        </is>
      </c>
      <c r="G558" t="n">
        <v>2.6</v>
      </c>
      <c r="H558" t="n">
        <v>0</v>
      </c>
      <c r="I558" t="n">
        <v>0</v>
      </c>
      <c r="J558" t="n">
        <v>0</v>
      </c>
      <c r="K558" t="n">
        <v>0</v>
      </c>
      <c r="L558" t="n">
        <v>0</v>
      </c>
      <c r="M558" t="n">
        <v>0</v>
      </c>
      <c r="N558" t="n">
        <v>0</v>
      </c>
      <c r="O558" t="n">
        <v>0</v>
      </c>
      <c r="P558" t="n">
        <v>0</v>
      </c>
      <c r="Q558" t="n">
        <v>0</v>
      </c>
      <c r="R558" s="2" t="inlineStr"/>
    </row>
    <row r="559" ht="15" customHeight="1">
      <c r="A559" t="inlineStr">
        <is>
          <t>A 51600-2022</t>
        </is>
      </c>
      <c r="B559" s="1" t="n">
        <v>44871</v>
      </c>
      <c r="C559" s="1" t="n">
        <v>45576</v>
      </c>
      <c r="D559" t="inlineStr">
        <is>
          <t>VÄSTMANLANDS LÄN</t>
        </is>
      </c>
      <c r="E559" t="inlineStr">
        <is>
          <t>SALA</t>
        </is>
      </c>
      <c r="F559" t="inlineStr">
        <is>
          <t>Bergvik skog öst AB</t>
        </is>
      </c>
      <c r="G559" t="n">
        <v>2.7</v>
      </c>
      <c r="H559" t="n">
        <v>0</v>
      </c>
      <c r="I559" t="n">
        <v>0</v>
      </c>
      <c r="J559" t="n">
        <v>0</v>
      </c>
      <c r="K559" t="n">
        <v>0</v>
      </c>
      <c r="L559" t="n">
        <v>0</v>
      </c>
      <c r="M559" t="n">
        <v>0</v>
      </c>
      <c r="N559" t="n">
        <v>0</v>
      </c>
      <c r="O559" t="n">
        <v>0</v>
      </c>
      <c r="P559" t="n">
        <v>0</v>
      </c>
      <c r="Q559" t="n">
        <v>0</v>
      </c>
      <c r="R559" s="2" t="inlineStr"/>
    </row>
    <row r="560" ht="15" customHeight="1">
      <c r="A560" t="inlineStr">
        <is>
          <t>A 51596-2022</t>
        </is>
      </c>
      <c r="B560" s="1" t="n">
        <v>44871</v>
      </c>
      <c r="C560" s="1" t="n">
        <v>45576</v>
      </c>
      <c r="D560" t="inlineStr">
        <is>
          <t>VÄSTMANLANDS LÄN</t>
        </is>
      </c>
      <c r="E560" t="inlineStr">
        <is>
          <t>SALA</t>
        </is>
      </c>
      <c r="F560" t="inlineStr">
        <is>
          <t>Bergvik skog öst AB</t>
        </is>
      </c>
      <c r="G560" t="n">
        <v>1.2</v>
      </c>
      <c r="H560" t="n">
        <v>0</v>
      </c>
      <c r="I560" t="n">
        <v>0</v>
      </c>
      <c r="J560" t="n">
        <v>0</v>
      </c>
      <c r="K560" t="n">
        <v>0</v>
      </c>
      <c r="L560" t="n">
        <v>0</v>
      </c>
      <c r="M560" t="n">
        <v>0</v>
      </c>
      <c r="N560" t="n">
        <v>0</v>
      </c>
      <c r="O560" t="n">
        <v>0</v>
      </c>
      <c r="P560" t="n">
        <v>0</v>
      </c>
      <c r="Q560" t="n">
        <v>0</v>
      </c>
      <c r="R560" s="2" t="inlineStr"/>
    </row>
    <row r="561" ht="15" customHeight="1">
      <c r="A561" t="inlineStr">
        <is>
          <t>A 52504-2022</t>
        </is>
      </c>
      <c r="B561" s="1" t="n">
        <v>44874</v>
      </c>
      <c r="C561" s="1" t="n">
        <v>45576</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52498-2022</t>
        </is>
      </c>
      <c r="B562" s="1" t="n">
        <v>44874</v>
      </c>
      <c r="C562" s="1" t="n">
        <v>45576</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52630-2022</t>
        </is>
      </c>
      <c r="B563" s="1" t="n">
        <v>44874</v>
      </c>
      <c r="C563" s="1" t="n">
        <v>45576</v>
      </c>
      <c r="D563" t="inlineStr">
        <is>
          <t>VÄSTMANLANDS LÄN</t>
        </is>
      </c>
      <c r="E563" t="inlineStr">
        <is>
          <t>SALA</t>
        </is>
      </c>
      <c r="F563" t="inlineStr">
        <is>
          <t>Sveaskog</t>
        </is>
      </c>
      <c r="G563" t="n">
        <v>1.8</v>
      </c>
      <c r="H563" t="n">
        <v>0</v>
      </c>
      <c r="I563" t="n">
        <v>0</v>
      </c>
      <c r="J563" t="n">
        <v>0</v>
      </c>
      <c r="K563" t="n">
        <v>0</v>
      </c>
      <c r="L563" t="n">
        <v>0</v>
      </c>
      <c r="M563" t="n">
        <v>0</v>
      </c>
      <c r="N563" t="n">
        <v>0</v>
      </c>
      <c r="O563" t="n">
        <v>0</v>
      </c>
      <c r="P563" t="n">
        <v>0</v>
      </c>
      <c r="Q563" t="n">
        <v>0</v>
      </c>
      <c r="R563" s="2" t="inlineStr"/>
    </row>
    <row r="564" ht="15" customHeight="1">
      <c r="A564" t="inlineStr">
        <is>
          <t>A 53425-2022</t>
        </is>
      </c>
      <c r="B564" s="1" t="n">
        <v>44879</v>
      </c>
      <c r="C564" s="1" t="n">
        <v>45576</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53432-2022</t>
        </is>
      </c>
      <c r="B565" s="1" t="n">
        <v>44879</v>
      </c>
      <c r="C565" s="1" t="n">
        <v>45576</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53628-2022</t>
        </is>
      </c>
      <c r="B566" s="1" t="n">
        <v>44879</v>
      </c>
      <c r="C566" s="1" t="n">
        <v>45576</v>
      </c>
      <c r="D566" t="inlineStr">
        <is>
          <t>VÄSTMANLANDS LÄN</t>
        </is>
      </c>
      <c r="E566" t="inlineStr">
        <is>
          <t>SALA</t>
        </is>
      </c>
      <c r="G566" t="n">
        <v>2.7</v>
      </c>
      <c r="H566" t="n">
        <v>0</v>
      </c>
      <c r="I566" t="n">
        <v>0</v>
      </c>
      <c r="J566" t="n">
        <v>0</v>
      </c>
      <c r="K566" t="n">
        <v>0</v>
      </c>
      <c r="L566" t="n">
        <v>0</v>
      </c>
      <c r="M566" t="n">
        <v>0</v>
      </c>
      <c r="N566" t="n">
        <v>0</v>
      </c>
      <c r="O566" t="n">
        <v>0</v>
      </c>
      <c r="P566" t="n">
        <v>0</v>
      </c>
      <c r="Q566" t="n">
        <v>0</v>
      </c>
      <c r="R566" s="2" t="inlineStr"/>
    </row>
    <row r="567" ht="15" customHeight="1">
      <c r="A567" t="inlineStr">
        <is>
          <t>A 53630-2022</t>
        </is>
      </c>
      <c r="B567" s="1" t="n">
        <v>44879</v>
      </c>
      <c r="C567" s="1" t="n">
        <v>45576</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53864-2022</t>
        </is>
      </c>
      <c r="B568" s="1" t="n">
        <v>44880</v>
      </c>
      <c r="C568" s="1" t="n">
        <v>45576</v>
      </c>
      <c r="D568" t="inlineStr">
        <is>
          <t>VÄSTMANLANDS LÄN</t>
        </is>
      </c>
      <c r="E568" t="inlineStr">
        <is>
          <t>SALA</t>
        </is>
      </c>
      <c r="G568" t="n">
        <v>5.9</v>
      </c>
      <c r="H568" t="n">
        <v>0</v>
      </c>
      <c r="I568" t="n">
        <v>0</v>
      </c>
      <c r="J568" t="n">
        <v>0</v>
      </c>
      <c r="K568" t="n">
        <v>0</v>
      </c>
      <c r="L568" t="n">
        <v>0</v>
      </c>
      <c r="M568" t="n">
        <v>0</v>
      </c>
      <c r="N568" t="n">
        <v>0</v>
      </c>
      <c r="O568" t="n">
        <v>0</v>
      </c>
      <c r="P568" t="n">
        <v>0</v>
      </c>
      <c r="Q568" t="n">
        <v>0</v>
      </c>
      <c r="R568" s="2" t="inlineStr"/>
    </row>
    <row r="569" ht="15" customHeight="1">
      <c r="A569" t="inlineStr">
        <is>
          <t>A 53735-2022</t>
        </is>
      </c>
      <c r="B569" s="1" t="n">
        <v>44880</v>
      </c>
      <c r="C569" s="1" t="n">
        <v>45576</v>
      </c>
      <c r="D569" t="inlineStr">
        <is>
          <t>VÄSTMANLANDS LÄN</t>
        </is>
      </c>
      <c r="E569" t="inlineStr">
        <is>
          <t>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53838-2022</t>
        </is>
      </c>
      <c r="B570" s="1" t="n">
        <v>44880</v>
      </c>
      <c r="C570" s="1" t="n">
        <v>45576</v>
      </c>
      <c r="D570" t="inlineStr">
        <is>
          <t>VÄSTMANLANDS LÄN</t>
        </is>
      </c>
      <c r="E570" t="inlineStr">
        <is>
          <t>SALA</t>
        </is>
      </c>
      <c r="G570" t="n">
        <v>3.9</v>
      </c>
      <c r="H570" t="n">
        <v>0</v>
      </c>
      <c r="I570" t="n">
        <v>0</v>
      </c>
      <c r="J570" t="n">
        <v>0</v>
      </c>
      <c r="K570" t="n">
        <v>0</v>
      </c>
      <c r="L570" t="n">
        <v>0</v>
      </c>
      <c r="M570" t="n">
        <v>0</v>
      </c>
      <c r="N570" t="n">
        <v>0</v>
      </c>
      <c r="O570" t="n">
        <v>0</v>
      </c>
      <c r="P570" t="n">
        <v>0</v>
      </c>
      <c r="Q570" t="n">
        <v>0</v>
      </c>
      <c r="R570" s="2" t="inlineStr"/>
    </row>
    <row r="571" ht="15" customHeight="1">
      <c r="A571" t="inlineStr">
        <is>
          <t>A 53997-2022</t>
        </is>
      </c>
      <c r="B571" s="1" t="n">
        <v>44881</v>
      </c>
      <c r="C571" s="1" t="n">
        <v>45576</v>
      </c>
      <c r="D571" t="inlineStr">
        <is>
          <t>VÄSTMANLANDS LÄN</t>
        </is>
      </c>
      <c r="E571" t="inlineStr">
        <is>
          <t>SALA</t>
        </is>
      </c>
      <c r="G571" t="n">
        <v>1.4</v>
      </c>
      <c r="H571" t="n">
        <v>0</v>
      </c>
      <c r="I571" t="n">
        <v>0</v>
      </c>
      <c r="J571" t="n">
        <v>0</v>
      </c>
      <c r="K571" t="n">
        <v>0</v>
      </c>
      <c r="L571" t="n">
        <v>0</v>
      </c>
      <c r="M571" t="n">
        <v>0</v>
      </c>
      <c r="N571" t="n">
        <v>0</v>
      </c>
      <c r="O571" t="n">
        <v>0</v>
      </c>
      <c r="P571" t="n">
        <v>0</v>
      </c>
      <c r="Q571" t="n">
        <v>0</v>
      </c>
      <c r="R571" s="2" t="inlineStr"/>
    </row>
    <row r="572" ht="15" customHeight="1">
      <c r="A572" t="inlineStr">
        <is>
          <t>A 55733-2022</t>
        </is>
      </c>
      <c r="B572" s="1" t="n">
        <v>44888</v>
      </c>
      <c r="C572" s="1" t="n">
        <v>45576</v>
      </c>
      <c r="D572" t="inlineStr">
        <is>
          <t>VÄSTMANLANDS LÄN</t>
        </is>
      </c>
      <c r="E572" t="inlineStr">
        <is>
          <t>SALA</t>
        </is>
      </c>
      <c r="G572" t="n">
        <v>0.4</v>
      </c>
      <c r="H572" t="n">
        <v>0</v>
      </c>
      <c r="I572" t="n">
        <v>0</v>
      </c>
      <c r="J572" t="n">
        <v>0</v>
      </c>
      <c r="K572" t="n">
        <v>0</v>
      </c>
      <c r="L572" t="n">
        <v>0</v>
      </c>
      <c r="M572" t="n">
        <v>0</v>
      </c>
      <c r="N572" t="n">
        <v>0</v>
      </c>
      <c r="O572" t="n">
        <v>0</v>
      </c>
      <c r="P572" t="n">
        <v>0</v>
      </c>
      <c r="Q572" t="n">
        <v>0</v>
      </c>
      <c r="R572" s="2" t="inlineStr"/>
    </row>
    <row r="573" ht="15" customHeight="1">
      <c r="A573" t="inlineStr">
        <is>
          <t>A 56089-2022</t>
        </is>
      </c>
      <c r="B573" s="1" t="n">
        <v>44889</v>
      </c>
      <c r="C573" s="1" t="n">
        <v>45576</v>
      </c>
      <c r="D573" t="inlineStr">
        <is>
          <t>VÄSTMANLANDS LÄN</t>
        </is>
      </c>
      <c r="E573" t="inlineStr">
        <is>
          <t>SALA</t>
        </is>
      </c>
      <c r="F573" t="inlineStr">
        <is>
          <t>Sveaskog</t>
        </is>
      </c>
      <c r="G573" t="n">
        <v>4.3</v>
      </c>
      <c r="H573" t="n">
        <v>0</v>
      </c>
      <c r="I573" t="n">
        <v>0</v>
      </c>
      <c r="J573" t="n">
        <v>0</v>
      </c>
      <c r="K573" t="n">
        <v>0</v>
      </c>
      <c r="L573" t="n">
        <v>0</v>
      </c>
      <c r="M573" t="n">
        <v>0</v>
      </c>
      <c r="N573" t="n">
        <v>0</v>
      </c>
      <c r="O573" t="n">
        <v>0</v>
      </c>
      <c r="P573" t="n">
        <v>0</v>
      </c>
      <c r="Q573" t="n">
        <v>0</v>
      </c>
      <c r="R573" s="2" t="inlineStr"/>
    </row>
    <row r="574" ht="15" customHeight="1">
      <c r="A574" t="inlineStr">
        <is>
          <t>A 56088-2022</t>
        </is>
      </c>
      <c r="B574" s="1" t="n">
        <v>44889</v>
      </c>
      <c r="C574" s="1" t="n">
        <v>45576</v>
      </c>
      <c r="D574" t="inlineStr">
        <is>
          <t>VÄSTMANLANDS LÄN</t>
        </is>
      </c>
      <c r="E574" t="inlineStr">
        <is>
          <t>SALA</t>
        </is>
      </c>
      <c r="F574" t="inlineStr">
        <is>
          <t>Sveaskog</t>
        </is>
      </c>
      <c r="G574" t="n">
        <v>4.5</v>
      </c>
      <c r="H574" t="n">
        <v>0</v>
      </c>
      <c r="I574" t="n">
        <v>0</v>
      </c>
      <c r="J574" t="n">
        <v>0</v>
      </c>
      <c r="K574" t="n">
        <v>0</v>
      </c>
      <c r="L574" t="n">
        <v>0</v>
      </c>
      <c r="M574" t="n">
        <v>0</v>
      </c>
      <c r="N574" t="n">
        <v>0</v>
      </c>
      <c r="O574" t="n">
        <v>0</v>
      </c>
      <c r="P574" t="n">
        <v>0</v>
      </c>
      <c r="Q574" t="n">
        <v>0</v>
      </c>
      <c r="R574" s="2" t="inlineStr"/>
    </row>
    <row r="575" ht="15" customHeight="1">
      <c r="A575" t="inlineStr">
        <is>
          <t>A 56234-2022</t>
        </is>
      </c>
      <c r="B575" s="1" t="n">
        <v>44890</v>
      </c>
      <c r="C575" s="1" t="n">
        <v>45576</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56242-2022</t>
        </is>
      </c>
      <c r="B576" s="1" t="n">
        <v>44890</v>
      </c>
      <c r="C576" s="1" t="n">
        <v>45576</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56535-2022</t>
        </is>
      </c>
      <c r="B577" s="1" t="n">
        <v>44893</v>
      </c>
      <c r="C577" s="1" t="n">
        <v>45576</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56706-2022</t>
        </is>
      </c>
      <c r="B578" s="1" t="n">
        <v>44893</v>
      </c>
      <c r="C578" s="1" t="n">
        <v>45576</v>
      </c>
      <c r="D578" t="inlineStr">
        <is>
          <t>VÄSTMANLANDS LÄN</t>
        </is>
      </c>
      <c r="E578" t="inlineStr">
        <is>
          <t>SALA</t>
        </is>
      </c>
      <c r="G578" t="n">
        <v>4.5</v>
      </c>
      <c r="H578" t="n">
        <v>0</v>
      </c>
      <c r="I578" t="n">
        <v>0</v>
      </c>
      <c r="J578" t="n">
        <v>0</v>
      </c>
      <c r="K578" t="n">
        <v>0</v>
      </c>
      <c r="L578" t="n">
        <v>0</v>
      </c>
      <c r="M578" t="n">
        <v>0</v>
      </c>
      <c r="N578" t="n">
        <v>0</v>
      </c>
      <c r="O578" t="n">
        <v>0</v>
      </c>
      <c r="P578" t="n">
        <v>0</v>
      </c>
      <c r="Q578" t="n">
        <v>0</v>
      </c>
      <c r="R578" s="2" t="inlineStr"/>
    </row>
    <row r="579" ht="15" customHeight="1">
      <c r="A579" t="inlineStr">
        <is>
          <t>A 56547-2022</t>
        </is>
      </c>
      <c r="B579" s="1" t="n">
        <v>44893</v>
      </c>
      <c r="C579" s="1" t="n">
        <v>45576</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56707-2022</t>
        </is>
      </c>
      <c r="B580" s="1" t="n">
        <v>44893</v>
      </c>
      <c r="C580" s="1" t="n">
        <v>45576</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56977-2022</t>
        </is>
      </c>
      <c r="B581" s="1" t="n">
        <v>44894</v>
      </c>
      <c r="C581" s="1" t="n">
        <v>45576</v>
      </c>
      <c r="D581" t="inlineStr">
        <is>
          <t>VÄSTMANLANDS LÄN</t>
        </is>
      </c>
      <c r="E581" t="inlineStr">
        <is>
          <t>SALA</t>
        </is>
      </c>
      <c r="G581" t="n">
        <v>13</v>
      </c>
      <c r="H581" t="n">
        <v>0</v>
      </c>
      <c r="I581" t="n">
        <v>0</v>
      </c>
      <c r="J581" t="n">
        <v>0</v>
      </c>
      <c r="K581" t="n">
        <v>0</v>
      </c>
      <c r="L581" t="n">
        <v>0</v>
      </c>
      <c r="M581" t="n">
        <v>0</v>
      </c>
      <c r="N581" t="n">
        <v>0</v>
      </c>
      <c r="O581" t="n">
        <v>0</v>
      </c>
      <c r="P581" t="n">
        <v>0</v>
      </c>
      <c r="Q581" t="n">
        <v>0</v>
      </c>
      <c r="R581" s="2" t="inlineStr"/>
    </row>
    <row r="582" ht="15" customHeight="1">
      <c r="A582" t="inlineStr">
        <is>
          <t>A 57371-2022</t>
        </is>
      </c>
      <c r="B582" s="1" t="n">
        <v>44896</v>
      </c>
      <c r="C582" s="1" t="n">
        <v>45576</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58076-2022</t>
        </is>
      </c>
      <c r="B583" s="1" t="n">
        <v>44900</v>
      </c>
      <c r="C583" s="1" t="n">
        <v>45576</v>
      </c>
      <c r="D583" t="inlineStr">
        <is>
          <t>VÄSTMANLANDS LÄN</t>
        </is>
      </c>
      <c r="E583" t="inlineStr">
        <is>
          <t>SALA</t>
        </is>
      </c>
      <c r="G583" t="n">
        <v>6.4</v>
      </c>
      <c r="H583" t="n">
        <v>0</v>
      </c>
      <c r="I583" t="n">
        <v>0</v>
      </c>
      <c r="J583" t="n">
        <v>0</v>
      </c>
      <c r="K583" t="n">
        <v>0</v>
      </c>
      <c r="L583" t="n">
        <v>0</v>
      </c>
      <c r="M583" t="n">
        <v>0</v>
      </c>
      <c r="N583" t="n">
        <v>0</v>
      </c>
      <c r="O583" t="n">
        <v>0</v>
      </c>
      <c r="P583" t="n">
        <v>0</v>
      </c>
      <c r="Q583" t="n">
        <v>0</v>
      </c>
      <c r="R583" s="2" t="inlineStr"/>
    </row>
    <row r="584" ht="15" customHeight="1">
      <c r="A584" t="inlineStr">
        <is>
          <t>A 58496-2022</t>
        </is>
      </c>
      <c r="B584" s="1" t="n">
        <v>44902</v>
      </c>
      <c r="C584" s="1" t="n">
        <v>45576</v>
      </c>
      <c r="D584" t="inlineStr">
        <is>
          <t>VÄSTMANLANDS LÄN</t>
        </is>
      </c>
      <c r="E584" t="inlineStr">
        <is>
          <t>SALA</t>
        </is>
      </c>
      <c r="G584" t="n">
        <v>5.9</v>
      </c>
      <c r="H584" t="n">
        <v>0</v>
      </c>
      <c r="I584" t="n">
        <v>0</v>
      </c>
      <c r="J584" t="n">
        <v>0</v>
      </c>
      <c r="K584" t="n">
        <v>0</v>
      </c>
      <c r="L584" t="n">
        <v>0</v>
      </c>
      <c r="M584" t="n">
        <v>0</v>
      </c>
      <c r="N584" t="n">
        <v>0</v>
      </c>
      <c r="O584" t="n">
        <v>0</v>
      </c>
      <c r="P584" t="n">
        <v>0</v>
      </c>
      <c r="Q584" t="n">
        <v>0</v>
      </c>
      <c r="R584" s="2" t="inlineStr"/>
    </row>
    <row r="585" ht="15" customHeight="1">
      <c r="A585" t="inlineStr">
        <is>
          <t>A 58502-2022</t>
        </is>
      </c>
      <c r="B585" s="1" t="n">
        <v>44902</v>
      </c>
      <c r="C585" s="1" t="n">
        <v>45576</v>
      </c>
      <c r="D585" t="inlineStr">
        <is>
          <t>VÄSTMANLANDS LÄN</t>
        </is>
      </c>
      <c r="E585" t="inlineStr">
        <is>
          <t>SALA</t>
        </is>
      </c>
      <c r="G585" t="n">
        <v>4.6</v>
      </c>
      <c r="H585" t="n">
        <v>0</v>
      </c>
      <c r="I585" t="n">
        <v>0</v>
      </c>
      <c r="J585" t="n">
        <v>0</v>
      </c>
      <c r="K585" t="n">
        <v>0</v>
      </c>
      <c r="L585" t="n">
        <v>0</v>
      </c>
      <c r="M585" t="n">
        <v>0</v>
      </c>
      <c r="N585" t="n">
        <v>0</v>
      </c>
      <c r="O585" t="n">
        <v>0</v>
      </c>
      <c r="P585" t="n">
        <v>0</v>
      </c>
      <c r="Q585" t="n">
        <v>0</v>
      </c>
      <c r="R585" s="2" t="inlineStr"/>
    </row>
    <row r="586" ht="15" customHeight="1">
      <c r="A586" t="inlineStr">
        <is>
          <t>A 59019-2022</t>
        </is>
      </c>
      <c r="B586" s="1" t="n">
        <v>44903</v>
      </c>
      <c r="C586" s="1" t="n">
        <v>45576</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59175-2022</t>
        </is>
      </c>
      <c r="B587" s="1" t="n">
        <v>44904</v>
      </c>
      <c r="C587" s="1" t="n">
        <v>45576</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59483-2022</t>
        </is>
      </c>
      <c r="B588" s="1" t="n">
        <v>44907</v>
      </c>
      <c r="C588" s="1" t="n">
        <v>45576</v>
      </c>
      <c r="D588" t="inlineStr">
        <is>
          <t>VÄSTMANLANDS LÄN</t>
        </is>
      </c>
      <c r="E588" t="inlineStr">
        <is>
          <t>SALA</t>
        </is>
      </c>
      <c r="G588" t="n">
        <v>5.2</v>
      </c>
      <c r="H588" t="n">
        <v>0</v>
      </c>
      <c r="I588" t="n">
        <v>0</v>
      </c>
      <c r="J588" t="n">
        <v>0</v>
      </c>
      <c r="K588" t="n">
        <v>0</v>
      </c>
      <c r="L588" t="n">
        <v>0</v>
      </c>
      <c r="M588" t="n">
        <v>0</v>
      </c>
      <c r="N588" t="n">
        <v>0</v>
      </c>
      <c r="O588" t="n">
        <v>0</v>
      </c>
      <c r="P588" t="n">
        <v>0</v>
      </c>
      <c r="Q588" t="n">
        <v>0</v>
      </c>
      <c r="R588" s="2" t="inlineStr"/>
    </row>
    <row r="589" ht="15" customHeight="1">
      <c r="A589" t="inlineStr">
        <is>
          <t>A 60156-2022</t>
        </is>
      </c>
      <c r="B589" s="1" t="n">
        <v>44909</v>
      </c>
      <c r="C589" s="1" t="n">
        <v>45576</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60379-2022</t>
        </is>
      </c>
      <c r="B590" s="1" t="n">
        <v>44910</v>
      </c>
      <c r="C590" s="1" t="n">
        <v>45576</v>
      </c>
      <c r="D590" t="inlineStr">
        <is>
          <t>VÄSTMANLANDS LÄN</t>
        </is>
      </c>
      <c r="E590" t="inlineStr">
        <is>
          <t>SALA</t>
        </is>
      </c>
      <c r="F590" t="inlineStr">
        <is>
          <t>Kyrkan</t>
        </is>
      </c>
      <c r="G590" t="n">
        <v>2.5</v>
      </c>
      <c r="H590" t="n">
        <v>0</v>
      </c>
      <c r="I590" t="n">
        <v>0</v>
      </c>
      <c r="J590" t="n">
        <v>0</v>
      </c>
      <c r="K590" t="n">
        <v>0</v>
      </c>
      <c r="L590" t="n">
        <v>0</v>
      </c>
      <c r="M590" t="n">
        <v>0</v>
      </c>
      <c r="N590" t="n">
        <v>0</v>
      </c>
      <c r="O590" t="n">
        <v>0</v>
      </c>
      <c r="P590" t="n">
        <v>0</v>
      </c>
      <c r="Q590" t="n">
        <v>0</v>
      </c>
      <c r="R590" s="2" t="inlineStr"/>
    </row>
    <row r="591" ht="15" customHeight="1">
      <c r="A591" t="inlineStr">
        <is>
          <t>A 60703-2022</t>
        </is>
      </c>
      <c r="B591" s="1" t="n">
        <v>44912</v>
      </c>
      <c r="C591" s="1" t="n">
        <v>45576</v>
      </c>
      <c r="D591" t="inlineStr">
        <is>
          <t>VÄSTMANLANDS LÄN</t>
        </is>
      </c>
      <c r="E591" t="inlineStr">
        <is>
          <t>SALA</t>
        </is>
      </c>
      <c r="G591" t="n">
        <v>4.6</v>
      </c>
      <c r="H591" t="n">
        <v>0</v>
      </c>
      <c r="I591" t="n">
        <v>0</v>
      </c>
      <c r="J591" t="n">
        <v>0</v>
      </c>
      <c r="K591" t="n">
        <v>0</v>
      </c>
      <c r="L591" t="n">
        <v>0</v>
      </c>
      <c r="M591" t="n">
        <v>0</v>
      </c>
      <c r="N591" t="n">
        <v>0</v>
      </c>
      <c r="O591" t="n">
        <v>0</v>
      </c>
      <c r="P591" t="n">
        <v>0</v>
      </c>
      <c r="Q591" t="n">
        <v>0</v>
      </c>
      <c r="R591" s="2" t="inlineStr"/>
    </row>
    <row r="592" ht="15" customHeight="1">
      <c r="A592" t="inlineStr">
        <is>
          <t>A 60974-2022</t>
        </is>
      </c>
      <c r="B592" s="1" t="n">
        <v>44914</v>
      </c>
      <c r="C592" s="1" t="n">
        <v>45576</v>
      </c>
      <c r="D592" t="inlineStr">
        <is>
          <t>VÄSTMANLANDS LÄN</t>
        </is>
      </c>
      <c r="E592" t="inlineStr">
        <is>
          <t>SALA</t>
        </is>
      </c>
      <c r="G592" t="n">
        <v>1.1</v>
      </c>
      <c r="H592" t="n">
        <v>0</v>
      </c>
      <c r="I592" t="n">
        <v>0</v>
      </c>
      <c r="J592" t="n">
        <v>0</v>
      </c>
      <c r="K592" t="n">
        <v>0</v>
      </c>
      <c r="L592" t="n">
        <v>0</v>
      </c>
      <c r="M592" t="n">
        <v>0</v>
      </c>
      <c r="N592" t="n">
        <v>0</v>
      </c>
      <c r="O592" t="n">
        <v>0</v>
      </c>
      <c r="P592" t="n">
        <v>0</v>
      </c>
      <c r="Q592" t="n">
        <v>0</v>
      </c>
      <c r="R592" s="2" t="inlineStr"/>
    </row>
    <row r="593" ht="15" customHeight="1">
      <c r="A593" t="inlineStr">
        <is>
          <t>A 62635-2022</t>
        </is>
      </c>
      <c r="B593" s="1" t="n">
        <v>44917</v>
      </c>
      <c r="C593" s="1" t="n">
        <v>45576</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62654-2022</t>
        </is>
      </c>
      <c r="B594" s="1" t="n">
        <v>44917</v>
      </c>
      <c r="C594" s="1" t="n">
        <v>45576</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62651-2022</t>
        </is>
      </c>
      <c r="B595" s="1" t="n">
        <v>44917</v>
      </c>
      <c r="C595" s="1" t="n">
        <v>45576</v>
      </c>
      <c r="D595" t="inlineStr">
        <is>
          <t>VÄSTMANLANDS LÄN</t>
        </is>
      </c>
      <c r="E595" t="inlineStr">
        <is>
          <t>SALA</t>
        </is>
      </c>
      <c r="G595" t="n">
        <v>0.4</v>
      </c>
      <c r="H595" t="n">
        <v>0</v>
      </c>
      <c r="I595" t="n">
        <v>0</v>
      </c>
      <c r="J595" t="n">
        <v>0</v>
      </c>
      <c r="K595" t="n">
        <v>0</v>
      </c>
      <c r="L595" t="n">
        <v>0</v>
      </c>
      <c r="M595" t="n">
        <v>0</v>
      </c>
      <c r="N595" t="n">
        <v>0</v>
      </c>
      <c r="O595" t="n">
        <v>0</v>
      </c>
      <c r="P595" t="n">
        <v>0</v>
      </c>
      <c r="Q595" t="n">
        <v>0</v>
      </c>
      <c r="R595" s="2" t="inlineStr"/>
    </row>
    <row r="596" ht="15" customHeight="1">
      <c r="A596" t="inlineStr">
        <is>
          <t>A 62648-2022</t>
        </is>
      </c>
      <c r="B596" s="1" t="n">
        <v>44917</v>
      </c>
      <c r="C596" s="1" t="n">
        <v>45576</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61985-2022</t>
        </is>
      </c>
      <c r="B597" s="1" t="n">
        <v>44918</v>
      </c>
      <c r="C597" s="1" t="n">
        <v>45576</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62292-2022</t>
        </is>
      </c>
      <c r="B598" s="1" t="n">
        <v>44923</v>
      </c>
      <c r="C598" s="1" t="n">
        <v>45576</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62300-2022</t>
        </is>
      </c>
      <c r="B599" s="1" t="n">
        <v>44923</v>
      </c>
      <c r="C599" s="1" t="n">
        <v>45576</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1196-2023</t>
        </is>
      </c>
      <c r="B600" s="1" t="n">
        <v>44935</v>
      </c>
      <c r="C600" s="1" t="n">
        <v>45576</v>
      </c>
      <c r="D600" t="inlineStr">
        <is>
          <t>VÄSTMANLANDS LÄN</t>
        </is>
      </c>
      <c r="E600" t="inlineStr">
        <is>
          <t>SALA</t>
        </is>
      </c>
      <c r="G600" t="n">
        <v>4.1</v>
      </c>
      <c r="H600" t="n">
        <v>0</v>
      </c>
      <c r="I600" t="n">
        <v>0</v>
      </c>
      <c r="J600" t="n">
        <v>0</v>
      </c>
      <c r="K600" t="n">
        <v>0</v>
      </c>
      <c r="L600" t="n">
        <v>0</v>
      </c>
      <c r="M600" t="n">
        <v>0</v>
      </c>
      <c r="N600" t="n">
        <v>0</v>
      </c>
      <c r="O600" t="n">
        <v>0</v>
      </c>
      <c r="P600" t="n">
        <v>0</v>
      </c>
      <c r="Q600" t="n">
        <v>0</v>
      </c>
      <c r="R600" s="2" t="inlineStr"/>
    </row>
    <row r="601" ht="15" customHeight="1">
      <c r="A601" t="inlineStr">
        <is>
          <t>A 1638-2023</t>
        </is>
      </c>
      <c r="B601" s="1" t="n">
        <v>44937</v>
      </c>
      <c r="C601" s="1" t="n">
        <v>45576</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1793-2023</t>
        </is>
      </c>
      <c r="B602" s="1" t="n">
        <v>44937</v>
      </c>
      <c r="C602" s="1" t="n">
        <v>45576</v>
      </c>
      <c r="D602" t="inlineStr">
        <is>
          <t>VÄSTMANLANDS LÄN</t>
        </is>
      </c>
      <c r="E602" t="inlineStr">
        <is>
          <t>SALA</t>
        </is>
      </c>
      <c r="G602" t="n">
        <v>2.6</v>
      </c>
      <c r="H602" t="n">
        <v>0</v>
      </c>
      <c r="I602" t="n">
        <v>0</v>
      </c>
      <c r="J602" t="n">
        <v>0</v>
      </c>
      <c r="K602" t="n">
        <v>0</v>
      </c>
      <c r="L602" t="n">
        <v>0</v>
      </c>
      <c r="M602" t="n">
        <v>0</v>
      </c>
      <c r="N602" t="n">
        <v>0</v>
      </c>
      <c r="O602" t="n">
        <v>0</v>
      </c>
      <c r="P602" t="n">
        <v>0</v>
      </c>
      <c r="Q602" t="n">
        <v>0</v>
      </c>
      <c r="R602" s="2" t="inlineStr"/>
    </row>
    <row r="603" ht="15" customHeight="1">
      <c r="A603" t="inlineStr">
        <is>
          <t>A 1934-2023</t>
        </is>
      </c>
      <c r="B603" s="1" t="n">
        <v>44939</v>
      </c>
      <c r="C603" s="1" t="n">
        <v>45576</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1967-2023</t>
        </is>
      </c>
      <c r="B604" s="1" t="n">
        <v>44939</v>
      </c>
      <c r="C604" s="1" t="n">
        <v>45576</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2521-2023</t>
        </is>
      </c>
      <c r="B605" s="1" t="n">
        <v>44943</v>
      </c>
      <c r="C605" s="1" t="n">
        <v>45576</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2900-2023</t>
        </is>
      </c>
      <c r="B606" s="1" t="n">
        <v>44943</v>
      </c>
      <c r="C606" s="1" t="n">
        <v>45576</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3733-2023</t>
        </is>
      </c>
      <c r="B607" s="1" t="n">
        <v>44951</v>
      </c>
      <c r="C607" s="1" t="n">
        <v>45576</v>
      </c>
      <c r="D607" t="inlineStr">
        <is>
          <t>VÄSTMANLANDS LÄN</t>
        </is>
      </c>
      <c r="E607" t="inlineStr">
        <is>
          <t>SALA</t>
        </is>
      </c>
      <c r="G607" t="n">
        <v>3.1</v>
      </c>
      <c r="H607" t="n">
        <v>0</v>
      </c>
      <c r="I607" t="n">
        <v>0</v>
      </c>
      <c r="J607" t="n">
        <v>0</v>
      </c>
      <c r="K607" t="n">
        <v>0</v>
      </c>
      <c r="L607" t="n">
        <v>0</v>
      </c>
      <c r="M607" t="n">
        <v>0</v>
      </c>
      <c r="N607" t="n">
        <v>0</v>
      </c>
      <c r="O607" t="n">
        <v>0</v>
      </c>
      <c r="P607" t="n">
        <v>0</v>
      </c>
      <c r="Q607" t="n">
        <v>0</v>
      </c>
      <c r="R607" s="2" t="inlineStr"/>
    </row>
    <row r="608" ht="15" customHeight="1">
      <c r="A608" t="inlineStr">
        <is>
          <t>A 3810-2023</t>
        </is>
      </c>
      <c r="B608" s="1" t="n">
        <v>44951</v>
      </c>
      <c r="C608" s="1" t="n">
        <v>45576</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3866-2023</t>
        </is>
      </c>
      <c r="B609" s="1" t="n">
        <v>44951</v>
      </c>
      <c r="C609" s="1" t="n">
        <v>45576</v>
      </c>
      <c r="D609" t="inlineStr">
        <is>
          <t>VÄSTMANLANDS LÄN</t>
        </is>
      </c>
      <c r="E609" t="inlineStr">
        <is>
          <t>SALA</t>
        </is>
      </c>
      <c r="G609" t="n">
        <v>1.7</v>
      </c>
      <c r="H609" t="n">
        <v>0</v>
      </c>
      <c r="I609" t="n">
        <v>0</v>
      </c>
      <c r="J609" t="n">
        <v>0</v>
      </c>
      <c r="K609" t="n">
        <v>0</v>
      </c>
      <c r="L609" t="n">
        <v>0</v>
      </c>
      <c r="M609" t="n">
        <v>0</v>
      </c>
      <c r="N609" t="n">
        <v>0</v>
      </c>
      <c r="O609" t="n">
        <v>0</v>
      </c>
      <c r="P609" t="n">
        <v>0</v>
      </c>
      <c r="Q609" t="n">
        <v>0</v>
      </c>
      <c r="R609" s="2" t="inlineStr"/>
    </row>
    <row r="610" ht="15" customHeight="1">
      <c r="A610" t="inlineStr">
        <is>
          <t>A 4853-2023</t>
        </is>
      </c>
      <c r="B610" s="1" t="n">
        <v>44957</v>
      </c>
      <c r="C610" s="1" t="n">
        <v>45576</v>
      </c>
      <c r="D610" t="inlineStr">
        <is>
          <t>VÄSTMANLANDS LÄN</t>
        </is>
      </c>
      <c r="E610" t="inlineStr">
        <is>
          <t>SALA</t>
        </is>
      </c>
      <c r="G610" t="n">
        <v>2.7</v>
      </c>
      <c r="H610" t="n">
        <v>0</v>
      </c>
      <c r="I610" t="n">
        <v>0</v>
      </c>
      <c r="J610" t="n">
        <v>0</v>
      </c>
      <c r="K610" t="n">
        <v>0</v>
      </c>
      <c r="L610" t="n">
        <v>0</v>
      </c>
      <c r="M610" t="n">
        <v>0</v>
      </c>
      <c r="N610" t="n">
        <v>0</v>
      </c>
      <c r="O610" t="n">
        <v>0</v>
      </c>
      <c r="P610" t="n">
        <v>0</v>
      </c>
      <c r="Q610" t="n">
        <v>0</v>
      </c>
      <c r="R610" s="2" t="inlineStr"/>
    </row>
    <row r="611" ht="15" customHeight="1">
      <c r="A611" t="inlineStr">
        <is>
          <t>A 4637-2023</t>
        </is>
      </c>
      <c r="B611" s="1" t="n">
        <v>44957</v>
      </c>
      <c r="C611" s="1" t="n">
        <v>45576</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4791-2023</t>
        </is>
      </c>
      <c r="B612" s="1" t="n">
        <v>44957</v>
      </c>
      <c r="C612" s="1" t="n">
        <v>45576</v>
      </c>
      <c r="D612" t="inlineStr">
        <is>
          <t>VÄSTMANLANDS LÄN</t>
        </is>
      </c>
      <c r="E612" t="inlineStr">
        <is>
          <t>SALA</t>
        </is>
      </c>
      <c r="G612" t="n">
        <v>2.8</v>
      </c>
      <c r="H612" t="n">
        <v>0</v>
      </c>
      <c r="I612" t="n">
        <v>0</v>
      </c>
      <c r="J612" t="n">
        <v>0</v>
      </c>
      <c r="K612" t="n">
        <v>0</v>
      </c>
      <c r="L612" t="n">
        <v>0</v>
      </c>
      <c r="M612" t="n">
        <v>0</v>
      </c>
      <c r="N612" t="n">
        <v>0</v>
      </c>
      <c r="O612" t="n">
        <v>0</v>
      </c>
      <c r="P612" t="n">
        <v>0</v>
      </c>
      <c r="Q612" t="n">
        <v>0</v>
      </c>
      <c r="R612" s="2" t="inlineStr"/>
    </row>
    <row r="613" ht="15" customHeight="1">
      <c r="A613" t="inlineStr">
        <is>
          <t>A 4797-2023</t>
        </is>
      </c>
      <c r="B613" s="1" t="n">
        <v>44957</v>
      </c>
      <c r="C613" s="1" t="n">
        <v>45576</v>
      </c>
      <c r="D613" t="inlineStr">
        <is>
          <t>VÄSTMANLANDS LÄN</t>
        </is>
      </c>
      <c r="E613" t="inlineStr">
        <is>
          <t>SALA</t>
        </is>
      </c>
      <c r="G613" t="n">
        <v>5.7</v>
      </c>
      <c r="H613" t="n">
        <v>0</v>
      </c>
      <c r="I613" t="n">
        <v>0</v>
      </c>
      <c r="J613" t="n">
        <v>0</v>
      </c>
      <c r="K613" t="n">
        <v>0</v>
      </c>
      <c r="L613" t="n">
        <v>0</v>
      </c>
      <c r="M613" t="n">
        <v>0</v>
      </c>
      <c r="N613" t="n">
        <v>0</v>
      </c>
      <c r="O613" t="n">
        <v>0</v>
      </c>
      <c r="P613" t="n">
        <v>0</v>
      </c>
      <c r="Q613" t="n">
        <v>0</v>
      </c>
      <c r="R613" s="2" t="inlineStr"/>
    </row>
    <row r="614" ht="15" customHeight="1">
      <c r="A614" t="inlineStr">
        <is>
          <t>A 4852-2023</t>
        </is>
      </c>
      <c r="B614" s="1" t="n">
        <v>44957</v>
      </c>
      <c r="C614" s="1" t="n">
        <v>45576</v>
      </c>
      <c r="D614" t="inlineStr">
        <is>
          <t>VÄSTMANLANDS LÄN</t>
        </is>
      </c>
      <c r="E614" t="inlineStr">
        <is>
          <t>SALA</t>
        </is>
      </c>
      <c r="G614" t="n">
        <v>2</v>
      </c>
      <c r="H614" t="n">
        <v>0</v>
      </c>
      <c r="I614" t="n">
        <v>0</v>
      </c>
      <c r="J614" t="n">
        <v>0</v>
      </c>
      <c r="K614" t="n">
        <v>0</v>
      </c>
      <c r="L614" t="n">
        <v>0</v>
      </c>
      <c r="M614" t="n">
        <v>0</v>
      </c>
      <c r="N614" t="n">
        <v>0</v>
      </c>
      <c r="O614" t="n">
        <v>0</v>
      </c>
      <c r="P614" t="n">
        <v>0</v>
      </c>
      <c r="Q614" t="n">
        <v>0</v>
      </c>
      <c r="R614" s="2" t="inlineStr"/>
    </row>
    <row r="615" ht="15" customHeight="1">
      <c r="A615" t="inlineStr">
        <is>
          <t>A 5782-2023</t>
        </is>
      </c>
      <c r="B615" s="1" t="n">
        <v>44963</v>
      </c>
      <c r="C615" s="1" t="n">
        <v>45576</v>
      </c>
      <c r="D615" t="inlineStr">
        <is>
          <t>VÄSTMANLANDS LÄN</t>
        </is>
      </c>
      <c r="E615" t="inlineStr">
        <is>
          <t>SALA</t>
        </is>
      </c>
      <c r="G615" t="n">
        <v>4.2</v>
      </c>
      <c r="H615" t="n">
        <v>0</v>
      </c>
      <c r="I615" t="n">
        <v>0</v>
      </c>
      <c r="J615" t="n">
        <v>0</v>
      </c>
      <c r="K615" t="n">
        <v>0</v>
      </c>
      <c r="L615" t="n">
        <v>0</v>
      </c>
      <c r="M615" t="n">
        <v>0</v>
      </c>
      <c r="N615" t="n">
        <v>0</v>
      </c>
      <c r="O615" t="n">
        <v>0</v>
      </c>
      <c r="P615" t="n">
        <v>0</v>
      </c>
      <c r="Q615" t="n">
        <v>0</v>
      </c>
      <c r="R615" s="2" t="inlineStr"/>
    </row>
    <row r="616" ht="15" customHeight="1">
      <c r="A616" t="inlineStr">
        <is>
          <t>A 6111-2023</t>
        </is>
      </c>
      <c r="B616" s="1" t="n">
        <v>44964</v>
      </c>
      <c r="C616" s="1" t="n">
        <v>45576</v>
      </c>
      <c r="D616" t="inlineStr">
        <is>
          <t>VÄSTMANLANDS LÄN</t>
        </is>
      </c>
      <c r="E616" t="inlineStr">
        <is>
          <t>SALA</t>
        </is>
      </c>
      <c r="G616" t="n">
        <v>3.7</v>
      </c>
      <c r="H616" t="n">
        <v>0</v>
      </c>
      <c r="I616" t="n">
        <v>0</v>
      </c>
      <c r="J616" t="n">
        <v>0</v>
      </c>
      <c r="K616" t="n">
        <v>0</v>
      </c>
      <c r="L616" t="n">
        <v>0</v>
      </c>
      <c r="M616" t="n">
        <v>0</v>
      </c>
      <c r="N616" t="n">
        <v>0</v>
      </c>
      <c r="O616" t="n">
        <v>0</v>
      </c>
      <c r="P616" t="n">
        <v>0</v>
      </c>
      <c r="Q616" t="n">
        <v>0</v>
      </c>
      <c r="R616" s="2" t="inlineStr"/>
    </row>
    <row r="617" ht="15" customHeight="1">
      <c r="A617" t="inlineStr">
        <is>
          <t>A 6135-2023</t>
        </is>
      </c>
      <c r="B617" s="1" t="n">
        <v>44964</v>
      </c>
      <c r="C617" s="1" t="n">
        <v>45576</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6167-2023</t>
        </is>
      </c>
      <c r="B618" s="1" t="n">
        <v>44964</v>
      </c>
      <c r="C618" s="1" t="n">
        <v>45576</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6130-2023</t>
        </is>
      </c>
      <c r="B619" s="1" t="n">
        <v>44964</v>
      </c>
      <c r="C619" s="1" t="n">
        <v>45576</v>
      </c>
      <c r="D619" t="inlineStr">
        <is>
          <t>VÄSTMANLANDS LÄN</t>
        </is>
      </c>
      <c r="E619" t="inlineStr">
        <is>
          <t>SALA</t>
        </is>
      </c>
      <c r="G619" t="n">
        <v>8</v>
      </c>
      <c r="H619" t="n">
        <v>0</v>
      </c>
      <c r="I619" t="n">
        <v>0</v>
      </c>
      <c r="J619" t="n">
        <v>0</v>
      </c>
      <c r="K619" t="n">
        <v>0</v>
      </c>
      <c r="L619" t="n">
        <v>0</v>
      </c>
      <c r="M619" t="n">
        <v>0</v>
      </c>
      <c r="N619" t="n">
        <v>0</v>
      </c>
      <c r="O619" t="n">
        <v>0</v>
      </c>
      <c r="P619" t="n">
        <v>0</v>
      </c>
      <c r="Q619" t="n">
        <v>0</v>
      </c>
      <c r="R619" s="2" t="inlineStr"/>
    </row>
    <row r="620" ht="15" customHeight="1">
      <c r="A620" t="inlineStr">
        <is>
          <t>A 6116-2023</t>
        </is>
      </c>
      <c r="B620" s="1" t="n">
        <v>44964</v>
      </c>
      <c r="C620" s="1" t="n">
        <v>45576</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6139-2023</t>
        </is>
      </c>
      <c r="B621" s="1" t="n">
        <v>44964</v>
      </c>
      <c r="C621" s="1" t="n">
        <v>45576</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6869-2023</t>
        </is>
      </c>
      <c r="B622" s="1" t="n">
        <v>44964</v>
      </c>
      <c r="C622" s="1" t="n">
        <v>45576</v>
      </c>
      <c r="D622" t="inlineStr">
        <is>
          <t>VÄSTMANLANDS LÄN</t>
        </is>
      </c>
      <c r="E622" t="inlineStr">
        <is>
          <t>SALA</t>
        </is>
      </c>
      <c r="G622" t="n">
        <v>11.6</v>
      </c>
      <c r="H622" t="n">
        <v>0</v>
      </c>
      <c r="I622" t="n">
        <v>0</v>
      </c>
      <c r="J622" t="n">
        <v>0</v>
      </c>
      <c r="K622" t="n">
        <v>0</v>
      </c>
      <c r="L622" t="n">
        <v>0</v>
      </c>
      <c r="M622" t="n">
        <v>0</v>
      </c>
      <c r="N622" t="n">
        <v>0</v>
      </c>
      <c r="O622" t="n">
        <v>0</v>
      </c>
      <c r="P622" t="n">
        <v>0</v>
      </c>
      <c r="Q622" t="n">
        <v>0</v>
      </c>
      <c r="R622" s="2" t="inlineStr"/>
    </row>
    <row r="623" ht="15" customHeight="1">
      <c r="A623" t="inlineStr">
        <is>
          <t>A 6351-2023</t>
        </is>
      </c>
      <c r="B623" s="1" t="n">
        <v>44965</v>
      </c>
      <c r="C623" s="1" t="n">
        <v>45576</v>
      </c>
      <c r="D623" t="inlineStr">
        <is>
          <t>VÄSTMANLANDS LÄN</t>
        </is>
      </c>
      <c r="E623" t="inlineStr">
        <is>
          <t>SALA</t>
        </is>
      </c>
      <c r="F623" t="inlineStr">
        <is>
          <t>Kommuner</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6851-2023</t>
        </is>
      </c>
      <c r="B624" s="1" t="n">
        <v>44967</v>
      </c>
      <c r="C624" s="1" t="n">
        <v>45576</v>
      </c>
      <c r="D624" t="inlineStr">
        <is>
          <t>VÄSTMANLANDS LÄN</t>
        </is>
      </c>
      <c r="E624" t="inlineStr">
        <is>
          <t>SALA</t>
        </is>
      </c>
      <c r="G624" t="n">
        <v>2.7</v>
      </c>
      <c r="H624" t="n">
        <v>0</v>
      </c>
      <c r="I624" t="n">
        <v>0</v>
      </c>
      <c r="J624" t="n">
        <v>0</v>
      </c>
      <c r="K624" t="n">
        <v>0</v>
      </c>
      <c r="L624" t="n">
        <v>0</v>
      </c>
      <c r="M624" t="n">
        <v>0</v>
      </c>
      <c r="N624" t="n">
        <v>0</v>
      </c>
      <c r="O624" t="n">
        <v>0</v>
      </c>
      <c r="P624" t="n">
        <v>0</v>
      </c>
      <c r="Q624" t="n">
        <v>0</v>
      </c>
      <c r="R624" s="2" t="inlineStr"/>
    </row>
    <row r="625" ht="15" customHeight="1">
      <c r="A625" t="inlineStr">
        <is>
          <t>A 7176-2023</t>
        </is>
      </c>
      <c r="B625" s="1" t="n">
        <v>44970</v>
      </c>
      <c r="C625" s="1" t="n">
        <v>45576</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7193-2023</t>
        </is>
      </c>
      <c r="B626" s="1" t="n">
        <v>44970</v>
      </c>
      <c r="C626" s="1" t="n">
        <v>45576</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7954-2023</t>
        </is>
      </c>
      <c r="B627" s="1" t="n">
        <v>44970</v>
      </c>
      <c r="C627" s="1" t="n">
        <v>45576</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7377-2023</t>
        </is>
      </c>
      <c r="B628" s="1" t="n">
        <v>44971</v>
      </c>
      <c r="C628" s="1" t="n">
        <v>45576</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7351-2023</t>
        </is>
      </c>
      <c r="B629" s="1" t="n">
        <v>44971</v>
      </c>
      <c r="C629" s="1" t="n">
        <v>45576</v>
      </c>
      <c r="D629" t="inlineStr">
        <is>
          <t>VÄSTMANLANDS LÄN</t>
        </is>
      </c>
      <c r="E629" t="inlineStr">
        <is>
          <t>SALA</t>
        </is>
      </c>
      <c r="G629" t="n">
        <v>2.3</v>
      </c>
      <c r="H629" t="n">
        <v>0</v>
      </c>
      <c r="I629" t="n">
        <v>0</v>
      </c>
      <c r="J629" t="n">
        <v>0</v>
      </c>
      <c r="K629" t="n">
        <v>0</v>
      </c>
      <c r="L629" t="n">
        <v>0</v>
      </c>
      <c r="M629" t="n">
        <v>0</v>
      </c>
      <c r="N629" t="n">
        <v>0</v>
      </c>
      <c r="O629" t="n">
        <v>0</v>
      </c>
      <c r="P629" t="n">
        <v>0</v>
      </c>
      <c r="Q629" t="n">
        <v>0</v>
      </c>
      <c r="R629" s="2" t="inlineStr"/>
    </row>
    <row r="630" ht="15" customHeight="1">
      <c r="A630" t="inlineStr">
        <is>
          <t>A 7502-2023</t>
        </is>
      </c>
      <c r="B630" s="1" t="n">
        <v>44971</v>
      </c>
      <c r="C630" s="1" t="n">
        <v>45576</v>
      </c>
      <c r="D630" t="inlineStr">
        <is>
          <t>VÄSTMANLANDS LÄN</t>
        </is>
      </c>
      <c r="E630" t="inlineStr">
        <is>
          <t>SALA</t>
        </is>
      </c>
      <c r="G630" t="n">
        <v>1.8</v>
      </c>
      <c r="H630" t="n">
        <v>0</v>
      </c>
      <c r="I630" t="n">
        <v>0</v>
      </c>
      <c r="J630" t="n">
        <v>0</v>
      </c>
      <c r="K630" t="n">
        <v>0</v>
      </c>
      <c r="L630" t="n">
        <v>0</v>
      </c>
      <c r="M630" t="n">
        <v>0</v>
      </c>
      <c r="N630" t="n">
        <v>0</v>
      </c>
      <c r="O630" t="n">
        <v>0</v>
      </c>
      <c r="P630" t="n">
        <v>0</v>
      </c>
      <c r="Q630" t="n">
        <v>0</v>
      </c>
      <c r="R630" s="2" t="inlineStr"/>
    </row>
    <row r="631" ht="15" customHeight="1">
      <c r="A631" t="inlineStr">
        <is>
          <t>A 7664-2023</t>
        </is>
      </c>
      <c r="B631" s="1" t="n">
        <v>44972</v>
      </c>
      <c r="C631" s="1" t="n">
        <v>45576</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7635-2023</t>
        </is>
      </c>
      <c r="B632" s="1" t="n">
        <v>44972</v>
      </c>
      <c r="C632" s="1" t="n">
        <v>45576</v>
      </c>
      <c r="D632" t="inlineStr">
        <is>
          <t>VÄSTMANLANDS LÄN</t>
        </is>
      </c>
      <c r="E632" t="inlineStr">
        <is>
          <t>SALA</t>
        </is>
      </c>
      <c r="G632" t="n">
        <v>1.3</v>
      </c>
      <c r="H632" t="n">
        <v>0</v>
      </c>
      <c r="I632" t="n">
        <v>0</v>
      </c>
      <c r="J632" t="n">
        <v>0</v>
      </c>
      <c r="K632" t="n">
        <v>0</v>
      </c>
      <c r="L632" t="n">
        <v>0</v>
      </c>
      <c r="M632" t="n">
        <v>0</v>
      </c>
      <c r="N632" t="n">
        <v>0</v>
      </c>
      <c r="O632" t="n">
        <v>0</v>
      </c>
      <c r="P632" t="n">
        <v>0</v>
      </c>
      <c r="Q632" t="n">
        <v>0</v>
      </c>
      <c r="R632" s="2" t="inlineStr"/>
    </row>
    <row r="633" ht="15" customHeight="1">
      <c r="A633" t="inlineStr">
        <is>
          <t>A 7772-2023</t>
        </is>
      </c>
      <c r="B633" s="1" t="n">
        <v>44973</v>
      </c>
      <c r="C633" s="1" t="n">
        <v>45576</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7813-2023</t>
        </is>
      </c>
      <c r="B634" s="1" t="n">
        <v>44973</v>
      </c>
      <c r="C634" s="1" t="n">
        <v>45576</v>
      </c>
      <c r="D634" t="inlineStr">
        <is>
          <t>VÄSTMANLANDS LÄN</t>
        </is>
      </c>
      <c r="E634" t="inlineStr">
        <is>
          <t>SALA</t>
        </is>
      </c>
      <c r="F634" t="inlineStr">
        <is>
          <t>Bergvik skog öst AB</t>
        </is>
      </c>
      <c r="G634" t="n">
        <v>1.8</v>
      </c>
      <c r="H634" t="n">
        <v>0</v>
      </c>
      <c r="I634" t="n">
        <v>0</v>
      </c>
      <c r="J634" t="n">
        <v>0</v>
      </c>
      <c r="K634" t="n">
        <v>0</v>
      </c>
      <c r="L634" t="n">
        <v>0</v>
      </c>
      <c r="M634" t="n">
        <v>0</v>
      </c>
      <c r="N634" t="n">
        <v>0</v>
      </c>
      <c r="O634" t="n">
        <v>0</v>
      </c>
      <c r="P634" t="n">
        <v>0</v>
      </c>
      <c r="Q634" t="n">
        <v>0</v>
      </c>
      <c r="R634" s="2" t="inlineStr"/>
    </row>
    <row r="635" ht="15" customHeight="1">
      <c r="A635" t="inlineStr">
        <is>
          <t>A 8047-2023</t>
        </is>
      </c>
      <c r="B635" s="1" t="n">
        <v>44974</v>
      </c>
      <c r="C635" s="1" t="n">
        <v>45576</v>
      </c>
      <c r="D635" t="inlineStr">
        <is>
          <t>VÄSTMANLANDS LÄN</t>
        </is>
      </c>
      <c r="E635" t="inlineStr">
        <is>
          <t>SALA</t>
        </is>
      </c>
      <c r="G635" t="n">
        <v>17.4</v>
      </c>
      <c r="H635" t="n">
        <v>0</v>
      </c>
      <c r="I635" t="n">
        <v>0</v>
      </c>
      <c r="J635" t="n">
        <v>0</v>
      </c>
      <c r="K635" t="n">
        <v>0</v>
      </c>
      <c r="L635" t="n">
        <v>0</v>
      </c>
      <c r="M635" t="n">
        <v>0</v>
      </c>
      <c r="N635" t="n">
        <v>0</v>
      </c>
      <c r="O635" t="n">
        <v>0</v>
      </c>
      <c r="P635" t="n">
        <v>0</v>
      </c>
      <c r="Q635" t="n">
        <v>0</v>
      </c>
      <c r="R635" s="2" t="inlineStr"/>
    </row>
    <row r="636" ht="15" customHeight="1">
      <c r="A636" t="inlineStr">
        <is>
          <t>A 8766-2023</t>
        </is>
      </c>
      <c r="B636" s="1" t="n">
        <v>44978</v>
      </c>
      <c r="C636" s="1" t="n">
        <v>45576</v>
      </c>
      <c r="D636" t="inlineStr">
        <is>
          <t>VÄSTMANLANDS LÄN</t>
        </is>
      </c>
      <c r="E636" t="inlineStr">
        <is>
          <t>SALA</t>
        </is>
      </c>
      <c r="G636" t="n">
        <v>1.2</v>
      </c>
      <c r="H636" t="n">
        <v>0</v>
      </c>
      <c r="I636" t="n">
        <v>0</v>
      </c>
      <c r="J636" t="n">
        <v>0</v>
      </c>
      <c r="K636" t="n">
        <v>0</v>
      </c>
      <c r="L636" t="n">
        <v>0</v>
      </c>
      <c r="M636" t="n">
        <v>0</v>
      </c>
      <c r="N636" t="n">
        <v>0</v>
      </c>
      <c r="O636" t="n">
        <v>0</v>
      </c>
      <c r="P636" t="n">
        <v>0</v>
      </c>
      <c r="Q636" t="n">
        <v>0</v>
      </c>
      <c r="R636" s="2" t="inlineStr"/>
    </row>
    <row r="637" ht="15" customHeight="1">
      <c r="A637" t="inlineStr">
        <is>
          <t>A 9051-2023</t>
        </is>
      </c>
      <c r="B637" s="1" t="n">
        <v>44979</v>
      </c>
      <c r="C637" s="1" t="n">
        <v>45576</v>
      </c>
      <c r="D637" t="inlineStr">
        <is>
          <t>VÄSTMANLANDS LÄN</t>
        </is>
      </c>
      <c r="E637" t="inlineStr">
        <is>
          <t>SALA</t>
        </is>
      </c>
      <c r="G637" t="n">
        <v>4.1</v>
      </c>
      <c r="H637" t="n">
        <v>0</v>
      </c>
      <c r="I637" t="n">
        <v>0</v>
      </c>
      <c r="J637" t="n">
        <v>0</v>
      </c>
      <c r="K637" t="n">
        <v>0</v>
      </c>
      <c r="L637" t="n">
        <v>0</v>
      </c>
      <c r="M637" t="n">
        <v>0</v>
      </c>
      <c r="N637" t="n">
        <v>0</v>
      </c>
      <c r="O637" t="n">
        <v>0</v>
      </c>
      <c r="P637" t="n">
        <v>0</v>
      </c>
      <c r="Q637" t="n">
        <v>0</v>
      </c>
      <c r="R637" s="2" t="inlineStr"/>
    </row>
    <row r="638" ht="15" customHeight="1">
      <c r="A638" t="inlineStr">
        <is>
          <t>A 11190-2023</t>
        </is>
      </c>
      <c r="B638" s="1" t="n">
        <v>44992</v>
      </c>
      <c r="C638" s="1" t="n">
        <v>45576</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11166-2023</t>
        </is>
      </c>
      <c r="B639" s="1" t="n">
        <v>44992</v>
      </c>
      <c r="C639" s="1" t="n">
        <v>45576</v>
      </c>
      <c r="D639" t="inlineStr">
        <is>
          <t>VÄSTMANLANDS LÄN</t>
        </is>
      </c>
      <c r="E639" t="inlineStr">
        <is>
          <t>SALA</t>
        </is>
      </c>
      <c r="G639" t="n">
        <v>3.9</v>
      </c>
      <c r="H639" t="n">
        <v>0</v>
      </c>
      <c r="I639" t="n">
        <v>0</v>
      </c>
      <c r="J639" t="n">
        <v>0</v>
      </c>
      <c r="K639" t="n">
        <v>0</v>
      </c>
      <c r="L639" t="n">
        <v>0</v>
      </c>
      <c r="M639" t="n">
        <v>0</v>
      </c>
      <c r="N639" t="n">
        <v>0</v>
      </c>
      <c r="O639" t="n">
        <v>0</v>
      </c>
      <c r="P639" t="n">
        <v>0</v>
      </c>
      <c r="Q639" t="n">
        <v>0</v>
      </c>
      <c r="R639" s="2" t="inlineStr"/>
    </row>
    <row r="640" ht="15" customHeight="1">
      <c r="A640" t="inlineStr">
        <is>
          <t>A 11183-2023</t>
        </is>
      </c>
      <c r="B640" s="1" t="n">
        <v>44992</v>
      </c>
      <c r="C640" s="1" t="n">
        <v>45576</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11631-2023</t>
        </is>
      </c>
      <c r="B641" s="1" t="n">
        <v>44994</v>
      </c>
      <c r="C641" s="1" t="n">
        <v>45576</v>
      </c>
      <c r="D641" t="inlineStr">
        <is>
          <t>VÄSTMANLANDS LÄN</t>
        </is>
      </c>
      <c r="E641" t="inlineStr">
        <is>
          <t>SALA</t>
        </is>
      </c>
      <c r="F641" t="inlineStr">
        <is>
          <t>Kommuner</t>
        </is>
      </c>
      <c r="G641" t="n">
        <v>1.9</v>
      </c>
      <c r="H641" t="n">
        <v>0</v>
      </c>
      <c r="I641" t="n">
        <v>0</v>
      </c>
      <c r="J641" t="n">
        <v>0</v>
      </c>
      <c r="K641" t="n">
        <v>0</v>
      </c>
      <c r="L641" t="n">
        <v>0</v>
      </c>
      <c r="M641" t="n">
        <v>0</v>
      </c>
      <c r="N641" t="n">
        <v>0</v>
      </c>
      <c r="O641" t="n">
        <v>0</v>
      </c>
      <c r="P641" t="n">
        <v>0</v>
      </c>
      <c r="Q641" t="n">
        <v>0</v>
      </c>
      <c r="R641" s="2" t="inlineStr"/>
    </row>
    <row r="642" ht="15" customHeight="1">
      <c r="A642" t="inlineStr">
        <is>
          <t>A 12231-2023</t>
        </is>
      </c>
      <c r="B642" s="1" t="n">
        <v>44995</v>
      </c>
      <c r="C642" s="1" t="n">
        <v>45576</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12246-2023</t>
        </is>
      </c>
      <c r="B643" s="1" t="n">
        <v>44995</v>
      </c>
      <c r="C643" s="1" t="n">
        <v>45576</v>
      </c>
      <c r="D643" t="inlineStr">
        <is>
          <t>VÄSTMANLANDS LÄN</t>
        </is>
      </c>
      <c r="E643" t="inlineStr">
        <is>
          <t>SALA</t>
        </is>
      </c>
      <c r="G643" t="n">
        <v>2.4</v>
      </c>
      <c r="H643" t="n">
        <v>0</v>
      </c>
      <c r="I643" t="n">
        <v>0</v>
      </c>
      <c r="J643" t="n">
        <v>0</v>
      </c>
      <c r="K643" t="n">
        <v>0</v>
      </c>
      <c r="L643" t="n">
        <v>0</v>
      </c>
      <c r="M643" t="n">
        <v>0</v>
      </c>
      <c r="N643" t="n">
        <v>0</v>
      </c>
      <c r="O643" t="n">
        <v>0</v>
      </c>
      <c r="P643" t="n">
        <v>0</v>
      </c>
      <c r="Q643" t="n">
        <v>0</v>
      </c>
      <c r="R643" s="2" t="inlineStr"/>
    </row>
    <row r="644" ht="15" customHeight="1">
      <c r="A644" t="inlineStr">
        <is>
          <t>A 12272-2023</t>
        </is>
      </c>
      <c r="B644" s="1" t="n">
        <v>44995</v>
      </c>
      <c r="C644" s="1" t="n">
        <v>45576</v>
      </c>
      <c r="D644" t="inlineStr">
        <is>
          <t>VÄSTMANLANDS LÄN</t>
        </is>
      </c>
      <c r="E644" t="inlineStr">
        <is>
          <t>SALA</t>
        </is>
      </c>
      <c r="G644" t="n">
        <v>5.2</v>
      </c>
      <c r="H644" t="n">
        <v>0</v>
      </c>
      <c r="I644" t="n">
        <v>0</v>
      </c>
      <c r="J644" t="n">
        <v>0</v>
      </c>
      <c r="K644" t="n">
        <v>0</v>
      </c>
      <c r="L644" t="n">
        <v>0</v>
      </c>
      <c r="M644" t="n">
        <v>0</v>
      </c>
      <c r="N644" t="n">
        <v>0</v>
      </c>
      <c r="O644" t="n">
        <v>0</v>
      </c>
      <c r="P644" t="n">
        <v>0</v>
      </c>
      <c r="Q644" t="n">
        <v>0</v>
      </c>
      <c r="R644" s="2" t="inlineStr"/>
    </row>
    <row r="645" ht="15" customHeight="1">
      <c r="A645" t="inlineStr">
        <is>
          <t>A 12242-2023</t>
        </is>
      </c>
      <c r="B645" s="1" t="n">
        <v>44995</v>
      </c>
      <c r="C645" s="1" t="n">
        <v>45576</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12252-2023</t>
        </is>
      </c>
      <c r="B646" s="1" t="n">
        <v>44995</v>
      </c>
      <c r="C646" s="1" t="n">
        <v>45576</v>
      </c>
      <c r="D646" t="inlineStr">
        <is>
          <t>VÄSTMANLANDS LÄN</t>
        </is>
      </c>
      <c r="E646" t="inlineStr">
        <is>
          <t>SALA</t>
        </is>
      </c>
      <c r="G646" t="n">
        <v>2.6</v>
      </c>
      <c r="H646" t="n">
        <v>0</v>
      </c>
      <c r="I646" t="n">
        <v>0</v>
      </c>
      <c r="J646" t="n">
        <v>0</v>
      </c>
      <c r="K646" t="n">
        <v>0</v>
      </c>
      <c r="L646" t="n">
        <v>0</v>
      </c>
      <c r="M646" t="n">
        <v>0</v>
      </c>
      <c r="N646" t="n">
        <v>0</v>
      </c>
      <c r="O646" t="n">
        <v>0</v>
      </c>
      <c r="P646" t="n">
        <v>0</v>
      </c>
      <c r="Q646" t="n">
        <v>0</v>
      </c>
      <c r="R646" s="2" t="inlineStr"/>
    </row>
    <row r="647" ht="15" customHeight="1">
      <c r="A647" t="inlineStr">
        <is>
          <t>A 12225-2023</t>
        </is>
      </c>
      <c r="B647" s="1" t="n">
        <v>44995</v>
      </c>
      <c r="C647" s="1" t="n">
        <v>45576</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12509-2023</t>
        </is>
      </c>
      <c r="B648" s="1" t="n">
        <v>45000</v>
      </c>
      <c r="C648" s="1" t="n">
        <v>45576</v>
      </c>
      <c r="D648" t="inlineStr">
        <is>
          <t>VÄSTMANLANDS LÄN</t>
        </is>
      </c>
      <c r="E648" t="inlineStr">
        <is>
          <t>SALA</t>
        </is>
      </c>
      <c r="G648" t="n">
        <v>13.9</v>
      </c>
      <c r="H648" t="n">
        <v>0</v>
      </c>
      <c r="I648" t="n">
        <v>0</v>
      </c>
      <c r="J648" t="n">
        <v>0</v>
      </c>
      <c r="K648" t="n">
        <v>0</v>
      </c>
      <c r="L648" t="n">
        <v>0</v>
      </c>
      <c r="M648" t="n">
        <v>0</v>
      </c>
      <c r="N648" t="n">
        <v>0</v>
      </c>
      <c r="O648" t="n">
        <v>0</v>
      </c>
      <c r="P648" t="n">
        <v>0</v>
      </c>
      <c r="Q648" t="n">
        <v>0</v>
      </c>
      <c r="R648" s="2" t="inlineStr"/>
    </row>
    <row r="649" ht="15" customHeight="1">
      <c r="A649" t="inlineStr">
        <is>
          <t>A 12510-2023</t>
        </is>
      </c>
      <c r="B649" s="1" t="n">
        <v>45000</v>
      </c>
      <c r="C649" s="1" t="n">
        <v>45576</v>
      </c>
      <c r="D649" t="inlineStr">
        <is>
          <t>VÄSTMANLANDS LÄN</t>
        </is>
      </c>
      <c r="E649" t="inlineStr">
        <is>
          <t>SALA</t>
        </is>
      </c>
      <c r="G649" t="n">
        <v>3.1</v>
      </c>
      <c r="H649" t="n">
        <v>0</v>
      </c>
      <c r="I649" t="n">
        <v>0</v>
      </c>
      <c r="J649" t="n">
        <v>0</v>
      </c>
      <c r="K649" t="n">
        <v>0</v>
      </c>
      <c r="L649" t="n">
        <v>0</v>
      </c>
      <c r="M649" t="n">
        <v>0</v>
      </c>
      <c r="N649" t="n">
        <v>0</v>
      </c>
      <c r="O649" t="n">
        <v>0</v>
      </c>
      <c r="P649" t="n">
        <v>0</v>
      </c>
      <c r="Q649" t="n">
        <v>0</v>
      </c>
      <c r="R649" s="2" t="inlineStr"/>
    </row>
    <row r="650" ht="15" customHeight="1">
      <c r="A650" t="inlineStr">
        <is>
          <t>A 13146-2023</t>
        </is>
      </c>
      <c r="B650" s="1" t="n">
        <v>45002</v>
      </c>
      <c r="C650" s="1" t="n">
        <v>45576</v>
      </c>
      <c r="D650" t="inlineStr">
        <is>
          <t>VÄSTMANLANDS LÄN</t>
        </is>
      </c>
      <c r="E650" t="inlineStr">
        <is>
          <t>SALA</t>
        </is>
      </c>
      <c r="G650" t="n">
        <v>2.5</v>
      </c>
      <c r="H650" t="n">
        <v>0</v>
      </c>
      <c r="I650" t="n">
        <v>0</v>
      </c>
      <c r="J650" t="n">
        <v>0</v>
      </c>
      <c r="K650" t="n">
        <v>0</v>
      </c>
      <c r="L650" t="n">
        <v>0</v>
      </c>
      <c r="M650" t="n">
        <v>0</v>
      </c>
      <c r="N650" t="n">
        <v>0</v>
      </c>
      <c r="O650" t="n">
        <v>0</v>
      </c>
      <c r="P650" t="n">
        <v>0</v>
      </c>
      <c r="Q650" t="n">
        <v>0</v>
      </c>
      <c r="R650" s="2" t="inlineStr"/>
    </row>
    <row r="651" ht="15" customHeight="1">
      <c r="A651" t="inlineStr">
        <is>
          <t>A 13022-2023</t>
        </is>
      </c>
      <c r="B651" s="1" t="n">
        <v>45002</v>
      </c>
      <c r="C651" s="1" t="n">
        <v>45576</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13151-2023</t>
        </is>
      </c>
      <c r="B652" s="1" t="n">
        <v>45002</v>
      </c>
      <c r="C652" s="1" t="n">
        <v>45576</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13128-2023</t>
        </is>
      </c>
      <c r="B653" s="1" t="n">
        <v>45002</v>
      </c>
      <c r="C653" s="1" t="n">
        <v>45576</v>
      </c>
      <c r="D653" t="inlineStr">
        <is>
          <t>VÄSTMANLANDS LÄN</t>
        </is>
      </c>
      <c r="E653" t="inlineStr">
        <is>
          <t>SALA</t>
        </is>
      </c>
      <c r="G653" t="n">
        <v>7.9</v>
      </c>
      <c r="H653" t="n">
        <v>0</v>
      </c>
      <c r="I653" t="n">
        <v>0</v>
      </c>
      <c r="J653" t="n">
        <v>0</v>
      </c>
      <c r="K653" t="n">
        <v>0</v>
      </c>
      <c r="L653" t="n">
        <v>0</v>
      </c>
      <c r="M653" t="n">
        <v>0</v>
      </c>
      <c r="N653" t="n">
        <v>0</v>
      </c>
      <c r="O653" t="n">
        <v>0</v>
      </c>
      <c r="P653" t="n">
        <v>0</v>
      </c>
      <c r="Q653" t="n">
        <v>0</v>
      </c>
      <c r="R653" s="2" t="inlineStr"/>
    </row>
    <row r="654" ht="15" customHeight="1">
      <c r="A654" t="inlineStr">
        <is>
          <t>A 13153-2023</t>
        </is>
      </c>
      <c r="B654" s="1" t="n">
        <v>45002</v>
      </c>
      <c r="C654" s="1" t="n">
        <v>45576</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13059-2023</t>
        </is>
      </c>
      <c r="B655" s="1" t="n">
        <v>45002</v>
      </c>
      <c r="C655" s="1" t="n">
        <v>45576</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13857-2023</t>
        </is>
      </c>
      <c r="B656" s="1" t="n">
        <v>45007</v>
      </c>
      <c r="C656" s="1" t="n">
        <v>45576</v>
      </c>
      <c r="D656" t="inlineStr">
        <is>
          <t>VÄSTMANLANDS LÄN</t>
        </is>
      </c>
      <c r="E656" t="inlineStr">
        <is>
          <t>SALA</t>
        </is>
      </c>
      <c r="G656" t="n">
        <v>5.7</v>
      </c>
      <c r="H656" t="n">
        <v>0</v>
      </c>
      <c r="I656" t="n">
        <v>0</v>
      </c>
      <c r="J656" t="n">
        <v>0</v>
      </c>
      <c r="K656" t="n">
        <v>0</v>
      </c>
      <c r="L656" t="n">
        <v>0</v>
      </c>
      <c r="M656" t="n">
        <v>0</v>
      </c>
      <c r="N656" t="n">
        <v>0</v>
      </c>
      <c r="O656" t="n">
        <v>0</v>
      </c>
      <c r="P656" t="n">
        <v>0</v>
      </c>
      <c r="Q656" t="n">
        <v>0</v>
      </c>
      <c r="R656" s="2" t="inlineStr"/>
    </row>
    <row r="657" ht="15" customHeight="1">
      <c r="A657" t="inlineStr">
        <is>
          <t>A 13833-2023</t>
        </is>
      </c>
      <c r="B657" s="1" t="n">
        <v>45007</v>
      </c>
      <c r="C657" s="1" t="n">
        <v>45576</v>
      </c>
      <c r="D657" t="inlineStr">
        <is>
          <t>VÄSTMANLANDS LÄN</t>
        </is>
      </c>
      <c r="E657" t="inlineStr">
        <is>
          <t>SALA</t>
        </is>
      </c>
      <c r="G657" t="n">
        <v>4.3</v>
      </c>
      <c r="H657" t="n">
        <v>0</v>
      </c>
      <c r="I657" t="n">
        <v>0</v>
      </c>
      <c r="J657" t="n">
        <v>0</v>
      </c>
      <c r="K657" t="n">
        <v>0</v>
      </c>
      <c r="L657" t="n">
        <v>0</v>
      </c>
      <c r="M657" t="n">
        <v>0</v>
      </c>
      <c r="N657" t="n">
        <v>0</v>
      </c>
      <c r="O657" t="n">
        <v>0</v>
      </c>
      <c r="P657" t="n">
        <v>0</v>
      </c>
      <c r="Q657" t="n">
        <v>0</v>
      </c>
      <c r="R657" s="2" t="inlineStr"/>
    </row>
    <row r="658" ht="15" customHeight="1">
      <c r="A658" t="inlineStr">
        <is>
          <t>A 13855-2023</t>
        </is>
      </c>
      <c r="B658" s="1" t="n">
        <v>45007</v>
      </c>
      <c r="C658" s="1" t="n">
        <v>45576</v>
      </c>
      <c r="D658" t="inlineStr">
        <is>
          <t>VÄSTMANLANDS LÄN</t>
        </is>
      </c>
      <c r="E658" t="inlineStr">
        <is>
          <t>SALA</t>
        </is>
      </c>
      <c r="G658" t="n">
        <v>2.9</v>
      </c>
      <c r="H658" t="n">
        <v>0</v>
      </c>
      <c r="I658" t="n">
        <v>0</v>
      </c>
      <c r="J658" t="n">
        <v>0</v>
      </c>
      <c r="K658" t="n">
        <v>0</v>
      </c>
      <c r="L658" t="n">
        <v>0</v>
      </c>
      <c r="M658" t="n">
        <v>0</v>
      </c>
      <c r="N658" t="n">
        <v>0</v>
      </c>
      <c r="O658" t="n">
        <v>0</v>
      </c>
      <c r="P658" t="n">
        <v>0</v>
      </c>
      <c r="Q658" t="n">
        <v>0</v>
      </c>
      <c r="R658" s="2" t="inlineStr"/>
    </row>
    <row r="659" ht="15" customHeight="1">
      <c r="A659" t="inlineStr">
        <is>
          <t>A 13990-2023</t>
        </is>
      </c>
      <c r="B659" s="1" t="n">
        <v>45007</v>
      </c>
      <c r="C659" s="1" t="n">
        <v>45576</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13987-2023</t>
        </is>
      </c>
      <c r="B660" s="1" t="n">
        <v>45007</v>
      </c>
      <c r="C660" s="1" t="n">
        <v>45576</v>
      </c>
      <c r="D660" t="inlineStr">
        <is>
          <t>VÄSTMANLANDS LÄN</t>
        </is>
      </c>
      <c r="E660" t="inlineStr">
        <is>
          <t>SALA</t>
        </is>
      </c>
      <c r="G660" t="n">
        <v>3.2</v>
      </c>
      <c r="H660" t="n">
        <v>0</v>
      </c>
      <c r="I660" t="n">
        <v>0</v>
      </c>
      <c r="J660" t="n">
        <v>0</v>
      </c>
      <c r="K660" t="n">
        <v>0</v>
      </c>
      <c r="L660" t="n">
        <v>0</v>
      </c>
      <c r="M660" t="n">
        <v>0</v>
      </c>
      <c r="N660" t="n">
        <v>0</v>
      </c>
      <c r="O660" t="n">
        <v>0</v>
      </c>
      <c r="P660" t="n">
        <v>0</v>
      </c>
      <c r="Q660" t="n">
        <v>0</v>
      </c>
      <c r="R660" s="2" t="inlineStr"/>
    </row>
    <row r="661" ht="15" customHeight="1">
      <c r="A661" t="inlineStr">
        <is>
          <t>A 13935-2023</t>
        </is>
      </c>
      <c r="B661" s="1" t="n">
        <v>45008</v>
      </c>
      <c r="C661" s="1" t="n">
        <v>45576</v>
      </c>
      <c r="D661" t="inlineStr">
        <is>
          <t>VÄSTMANLANDS LÄN</t>
        </is>
      </c>
      <c r="E661" t="inlineStr">
        <is>
          <t>SALA</t>
        </is>
      </c>
      <c r="G661" t="n">
        <v>0.7</v>
      </c>
      <c r="H661" t="n">
        <v>0</v>
      </c>
      <c r="I661" t="n">
        <v>0</v>
      </c>
      <c r="J661" t="n">
        <v>0</v>
      </c>
      <c r="K661" t="n">
        <v>0</v>
      </c>
      <c r="L661" t="n">
        <v>0</v>
      </c>
      <c r="M661" t="n">
        <v>0</v>
      </c>
      <c r="N661" t="n">
        <v>0</v>
      </c>
      <c r="O661" t="n">
        <v>0</v>
      </c>
      <c r="P661" t="n">
        <v>0</v>
      </c>
      <c r="Q661" t="n">
        <v>0</v>
      </c>
      <c r="R661" s="2" t="inlineStr"/>
    </row>
    <row r="662" ht="15" customHeight="1">
      <c r="A662" t="inlineStr">
        <is>
          <t>A 14578-2023</t>
        </is>
      </c>
      <c r="B662" s="1" t="n">
        <v>45013</v>
      </c>
      <c r="C662" s="1" t="n">
        <v>45576</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14823-2023</t>
        </is>
      </c>
      <c r="B663" s="1" t="n">
        <v>45014</v>
      </c>
      <c r="C663" s="1" t="n">
        <v>45576</v>
      </c>
      <c r="D663" t="inlineStr">
        <is>
          <t>VÄSTMANLANDS LÄN</t>
        </is>
      </c>
      <c r="E663" t="inlineStr">
        <is>
          <t>SALA</t>
        </is>
      </c>
      <c r="F663" t="inlineStr">
        <is>
          <t>Kyrkan</t>
        </is>
      </c>
      <c r="G663" t="n">
        <v>3.1</v>
      </c>
      <c r="H663" t="n">
        <v>0</v>
      </c>
      <c r="I663" t="n">
        <v>0</v>
      </c>
      <c r="J663" t="n">
        <v>0</v>
      </c>
      <c r="K663" t="n">
        <v>0</v>
      </c>
      <c r="L663" t="n">
        <v>0</v>
      </c>
      <c r="M663" t="n">
        <v>0</v>
      </c>
      <c r="N663" t="n">
        <v>0</v>
      </c>
      <c r="O663" t="n">
        <v>0</v>
      </c>
      <c r="P663" t="n">
        <v>0</v>
      </c>
      <c r="Q663" t="n">
        <v>0</v>
      </c>
      <c r="R663" s="2" t="inlineStr"/>
    </row>
    <row r="664" ht="15" customHeight="1">
      <c r="A664" t="inlineStr">
        <is>
          <t>A 14790-2023</t>
        </is>
      </c>
      <c r="B664" s="1" t="n">
        <v>45014</v>
      </c>
      <c r="C664" s="1" t="n">
        <v>45576</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15589-2023</t>
        </is>
      </c>
      <c r="B665" s="1" t="n">
        <v>45020</v>
      </c>
      <c r="C665" s="1" t="n">
        <v>45576</v>
      </c>
      <c r="D665" t="inlineStr">
        <is>
          <t>VÄSTMANLANDS LÄN</t>
        </is>
      </c>
      <c r="E665" t="inlineStr">
        <is>
          <t>SALA</t>
        </is>
      </c>
      <c r="G665" t="n">
        <v>7.5</v>
      </c>
      <c r="H665" t="n">
        <v>0</v>
      </c>
      <c r="I665" t="n">
        <v>0</v>
      </c>
      <c r="J665" t="n">
        <v>0</v>
      </c>
      <c r="K665" t="n">
        <v>0</v>
      </c>
      <c r="L665" t="n">
        <v>0</v>
      </c>
      <c r="M665" t="n">
        <v>0</v>
      </c>
      <c r="N665" t="n">
        <v>0</v>
      </c>
      <c r="O665" t="n">
        <v>0</v>
      </c>
      <c r="P665" t="n">
        <v>0</v>
      </c>
      <c r="Q665" t="n">
        <v>0</v>
      </c>
      <c r="R665" s="2" t="inlineStr"/>
    </row>
    <row r="666" ht="15" customHeight="1">
      <c r="A666" t="inlineStr">
        <is>
          <t>A 15584-2023</t>
        </is>
      </c>
      <c r="B666" s="1" t="n">
        <v>45020</v>
      </c>
      <c r="C666" s="1" t="n">
        <v>45576</v>
      </c>
      <c r="D666" t="inlineStr">
        <is>
          <t>VÄSTMANLANDS LÄN</t>
        </is>
      </c>
      <c r="E666" t="inlineStr">
        <is>
          <t>SALA</t>
        </is>
      </c>
      <c r="G666" t="n">
        <v>4.2</v>
      </c>
      <c r="H666" t="n">
        <v>0</v>
      </c>
      <c r="I666" t="n">
        <v>0</v>
      </c>
      <c r="J666" t="n">
        <v>0</v>
      </c>
      <c r="K666" t="n">
        <v>0</v>
      </c>
      <c r="L666" t="n">
        <v>0</v>
      </c>
      <c r="M666" t="n">
        <v>0</v>
      </c>
      <c r="N666" t="n">
        <v>0</v>
      </c>
      <c r="O666" t="n">
        <v>0</v>
      </c>
      <c r="P666" t="n">
        <v>0</v>
      </c>
      <c r="Q666" t="n">
        <v>0</v>
      </c>
      <c r="R666" s="2" t="inlineStr"/>
    </row>
    <row r="667" ht="15" customHeight="1">
      <c r="A667" t="inlineStr">
        <is>
          <t>A 16003-2023</t>
        </is>
      </c>
      <c r="B667" s="1" t="n">
        <v>45024</v>
      </c>
      <c r="C667" s="1" t="n">
        <v>45576</v>
      </c>
      <c r="D667" t="inlineStr">
        <is>
          <t>VÄSTMANLANDS LÄN</t>
        </is>
      </c>
      <c r="E667" t="inlineStr">
        <is>
          <t>SALA</t>
        </is>
      </c>
      <c r="G667" t="n">
        <v>6.6</v>
      </c>
      <c r="H667" t="n">
        <v>0</v>
      </c>
      <c r="I667" t="n">
        <v>0</v>
      </c>
      <c r="J667" t="n">
        <v>0</v>
      </c>
      <c r="K667" t="n">
        <v>0</v>
      </c>
      <c r="L667" t="n">
        <v>0</v>
      </c>
      <c r="M667" t="n">
        <v>0</v>
      </c>
      <c r="N667" t="n">
        <v>0</v>
      </c>
      <c r="O667" t="n">
        <v>0</v>
      </c>
      <c r="P667" t="n">
        <v>0</v>
      </c>
      <c r="Q667" t="n">
        <v>0</v>
      </c>
      <c r="R667" s="2" t="inlineStr"/>
    </row>
    <row r="668" ht="15" customHeight="1">
      <c r="A668" t="inlineStr">
        <is>
          <t>A 16002-2023</t>
        </is>
      </c>
      <c r="B668" s="1" t="n">
        <v>45024</v>
      </c>
      <c r="C668" s="1" t="n">
        <v>45576</v>
      </c>
      <c r="D668" t="inlineStr">
        <is>
          <t>VÄSTMANLANDS LÄN</t>
        </is>
      </c>
      <c r="E668" t="inlineStr">
        <is>
          <t>SALA</t>
        </is>
      </c>
      <c r="G668" t="n">
        <v>1</v>
      </c>
      <c r="H668" t="n">
        <v>0</v>
      </c>
      <c r="I668" t="n">
        <v>0</v>
      </c>
      <c r="J668" t="n">
        <v>0</v>
      </c>
      <c r="K668" t="n">
        <v>0</v>
      </c>
      <c r="L668" t="n">
        <v>0</v>
      </c>
      <c r="M668" t="n">
        <v>0</v>
      </c>
      <c r="N668" t="n">
        <v>0</v>
      </c>
      <c r="O668" t="n">
        <v>0</v>
      </c>
      <c r="P668" t="n">
        <v>0</v>
      </c>
      <c r="Q668" t="n">
        <v>0</v>
      </c>
      <c r="R668" s="2" t="inlineStr"/>
    </row>
    <row r="669" ht="15" customHeight="1">
      <c r="A669" t="inlineStr">
        <is>
          <t>A 16041-2023</t>
        </is>
      </c>
      <c r="B669" s="1" t="n">
        <v>45027</v>
      </c>
      <c r="C669" s="1" t="n">
        <v>45576</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16142-2023</t>
        </is>
      </c>
      <c r="B670" s="1" t="n">
        <v>45027</v>
      </c>
      <c r="C670" s="1" t="n">
        <v>45576</v>
      </c>
      <c r="D670" t="inlineStr">
        <is>
          <t>VÄSTMANLANDS LÄN</t>
        </is>
      </c>
      <c r="E670" t="inlineStr">
        <is>
          <t>SALA</t>
        </is>
      </c>
      <c r="G670" t="n">
        <v>6.3</v>
      </c>
      <c r="H670" t="n">
        <v>0</v>
      </c>
      <c r="I670" t="n">
        <v>0</v>
      </c>
      <c r="J670" t="n">
        <v>0</v>
      </c>
      <c r="K670" t="n">
        <v>0</v>
      </c>
      <c r="L670" t="n">
        <v>0</v>
      </c>
      <c r="M670" t="n">
        <v>0</v>
      </c>
      <c r="N670" t="n">
        <v>0</v>
      </c>
      <c r="O670" t="n">
        <v>0</v>
      </c>
      <c r="P670" t="n">
        <v>0</v>
      </c>
      <c r="Q670" t="n">
        <v>0</v>
      </c>
      <c r="R670" s="2" t="inlineStr"/>
    </row>
    <row r="671" ht="15" customHeight="1">
      <c r="A671" t="inlineStr">
        <is>
          <t>A 16083-2023</t>
        </is>
      </c>
      <c r="B671" s="1" t="n">
        <v>45027</v>
      </c>
      <c r="C671" s="1" t="n">
        <v>45576</v>
      </c>
      <c r="D671" t="inlineStr">
        <is>
          <t>VÄSTMANLANDS LÄN</t>
        </is>
      </c>
      <c r="E671" t="inlineStr">
        <is>
          <t>SALA</t>
        </is>
      </c>
      <c r="G671" t="n">
        <v>4.4</v>
      </c>
      <c r="H671" t="n">
        <v>0</v>
      </c>
      <c r="I671" t="n">
        <v>0</v>
      </c>
      <c r="J671" t="n">
        <v>0</v>
      </c>
      <c r="K671" t="n">
        <v>0</v>
      </c>
      <c r="L671" t="n">
        <v>0</v>
      </c>
      <c r="M671" t="n">
        <v>0</v>
      </c>
      <c r="N671" t="n">
        <v>0</v>
      </c>
      <c r="O671" t="n">
        <v>0</v>
      </c>
      <c r="P671" t="n">
        <v>0</v>
      </c>
      <c r="Q671" t="n">
        <v>0</v>
      </c>
      <c r="R671" s="2" t="inlineStr"/>
    </row>
    <row r="672" ht="15" customHeight="1">
      <c r="A672" t="inlineStr">
        <is>
          <t>A 16638-2023</t>
        </is>
      </c>
      <c r="B672" s="1" t="n">
        <v>45027</v>
      </c>
      <c r="C672" s="1" t="n">
        <v>45576</v>
      </c>
      <c r="D672" t="inlineStr">
        <is>
          <t>VÄSTMANLANDS LÄN</t>
        </is>
      </c>
      <c r="E672" t="inlineStr">
        <is>
          <t>SALA</t>
        </is>
      </c>
      <c r="G672" t="n">
        <v>14.8</v>
      </c>
      <c r="H672" t="n">
        <v>0</v>
      </c>
      <c r="I672" t="n">
        <v>0</v>
      </c>
      <c r="J672" t="n">
        <v>0</v>
      </c>
      <c r="K672" t="n">
        <v>0</v>
      </c>
      <c r="L672" t="n">
        <v>0</v>
      </c>
      <c r="M672" t="n">
        <v>0</v>
      </c>
      <c r="N672" t="n">
        <v>0</v>
      </c>
      <c r="O672" t="n">
        <v>0</v>
      </c>
      <c r="P672" t="n">
        <v>0</v>
      </c>
      <c r="Q672" t="n">
        <v>0</v>
      </c>
      <c r="R672" s="2" t="inlineStr"/>
    </row>
    <row r="673" ht="15" customHeight="1">
      <c r="A673" t="inlineStr">
        <is>
          <t>A 16693-2023</t>
        </is>
      </c>
      <c r="B673" s="1" t="n">
        <v>45028</v>
      </c>
      <c r="C673" s="1" t="n">
        <v>45576</v>
      </c>
      <c r="D673" t="inlineStr">
        <is>
          <t>VÄSTMANLANDS LÄN</t>
        </is>
      </c>
      <c r="E673" t="inlineStr">
        <is>
          <t>SALA</t>
        </is>
      </c>
      <c r="G673" t="n">
        <v>1.5</v>
      </c>
      <c r="H673" t="n">
        <v>0</v>
      </c>
      <c r="I673" t="n">
        <v>0</v>
      </c>
      <c r="J673" t="n">
        <v>0</v>
      </c>
      <c r="K673" t="n">
        <v>0</v>
      </c>
      <c r="L673" t="n">
        <v>0</v>
      </c>
      <c r="M673" t="n">
        <v>0</v>
      </c>
      <c r="N673" t="n">
        <v>0</v>
      </c>
      <c r="O673" t="n">
        <v>0</v>
      </c>
      <c r="P673" t="n">
        <v>0</v>
      </c>
      <c r="Q673" t="n">
        <v>0</v>
      </c>
      <c r="R673" s="2" t="inlineStr"/>
    </row>
    <row r="674" ht="15" customHeight="1">
      <c r="A674" t="inlineStr">
        <is>
          <t>A 16546-2023</t>
        </is>
      </c>
      <c r="B674" s="1" t="n">
        <v>45029</v>
      </c>
      <c r="C674" s="1" t="n">
        <v>45576</v>
      </c>
      <c r="D674" t="inlineStr">
        <is>
          <t>VÄSTMANLANDS LÄN</t>
        </is>
      </c>
      <c r="E674" t="inlineStr">
        <is>
          <t>SALA</t>
        </is>
      </c>
      <c r="F674" t="inlineStr">
        <is>
          <t>Sveaskog</t>
        </is>
      </c>
      <c r="G674" t="n">
        <v>0.5</v>
      </c>
      <c r="H674" t="n">
        <v>0</v>
      </c>
      <c r="I674" t="n">
        <v>0</v>
      </c>
      <c r="J674" t="n">
        <v>0</v>
      </c>
      <c r="K674" t="n">
        <v>0</v>
      </c>
      <c r="L674" t="n">
        <v>0</v>
      </c>
      <c r="M674" t="n">
        <v>0</v>
      </c>
      <c r="N674" t="n">
        <v>0</v>
      </c>
      <c r="O674" t="n">
        <v>0</v>
      </c>
      <c r="P674" t="n">
        <v>0</v>
      </c>
      <c r="Q674" t="n">
        <v>0</v>
      </c>
      <c r="R674" s="2" t="inlineStr"/>
    </row>
    <row r="675" ht="15" customHeight="1">
      <c r="A675" t="inlineStr">
        <is>
          <t>A 16543-2023</t>
        </is>
      </c>
      <c r="B675" s="1" t="n">
        <v>45029</v>
      </c>
      <c r="C675" s="1" t="n">
        <v>45576</v>
      </c>
      <c r="D675" t="inlineStr">
        <is>
          <t>VÄSTMANLANDS LÄN</t>
        </is>
      </c>
      <c r="E675" t="inlineStr">
        <is>
          <t>SALA</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16544-2023</t>
        </is>
      </c>
      <c r="B676" s="1" t="n">
        <v>45029</v>
      </c>
      <c r="C676" s="1" t="n">
        <v>45576</v>
      </c>
      <c r="D676" t="inlineStr">
        <is>
          <t>VÄSTMANLANDS LÄN</t>
        </is>
      </c>
      <c r="E676" t="inlineStr">
        <is>
          <t>SALA</t>
        </is>
      </c>
      <c r="F676" t="inlineStr">
        <is>
          <t>Sveaskog</t>
        </is>
      </c>
      <c r="G676" t="n">
        <v>1</v>
      </c>
      <c r="H676" t="n">
        <v>0</v>
      </c>
      <c r="I676" t="n">
        <v>0</v>
      </c>
      <c r="J676" t="n">
        <v>0</v>
      </c>
      <c r="K676" t="n">
        <v>0</v>
      </c>
      <c r="L676" t="n">
        <v>0</v>
      </c>
      <c r="M676" t="n">
        <v>0</v>
      </c>
      <c r="N676" t="n">
        <v>0</v>
      </c>
      <c r="O676" t="n">
        <v>0</v>
      </c>
      <c r="P676" t="n">
        <v>0</v>
      </c>
      <c r="Q676" t="n">
        <v>0</v>
      </c>
      <c r="R676" s="2" t="inlineStr"/>
    </row>
    <row r="677" ht="15" customHeight="1">
      <c r="A677" t="inlineStr">
        <is>
          <t>A 16547-2023</t>
        </is>
      </c>
      <c r="B677" s="1" t="n">
        <v>45029</v>
      </c>
      <c r="C677" s="1" t="n">
        <v>45576</v>
      </c>
      <c r="D677" t="inlineStr">
        <is>
          <t>VÄSTMANLANDS LÄN</t>
        </is>
      </c>
      <c r="E677" t="inlineStr">
        <is>
          <t>SALA</t>
        </is>
      </c>
      <c r="F677" t="inlineStr">
        <is>
          <t>Sveaskog</t>
        </is>
      </c>
      <c r="G677" t="n">
        <v>11.2</v>
      </c>
      <c r="H677" t="n">
        <v>0</v>
      </c>
      <c r="I677" t="n">
        <v>0</v>
      </c>
      <c r="J677" t="n">
        <v>0</v>
      </c>
      <c r="K677" t="n">
        <v>0</v>
      </c>
      <c r="L677" t="n">
        <v>0</v>
      </c>
      <c r="M677" t="n">
        <v>0</v>
      </c>
      <c r="N677" t="n">
        <v>0</v>
      </c>
      <c r="O677" t="n">
        <v>0</v>
      </c>
      <c r="P677" t="n">
        <v>0</v>
      </c>
      <c r="Q677" t="n">
        <v>0</v>
      </c>
      <c r="R677" s="2" t="inlineStr"/>
    </row>
    <row r="678" ht="15" customHeight="1">
      <c r="A678" t="inlineStr">
        <is>
          <t>A 16545-2023</t>
        </is>
      </c>
      <c r="B678" s="1" t="n">
        <v>45029</v>
      </c>
      <c r="C678" s="1" t="n">
        <v>45576</v>
      </c>
      <c r="D678" t="inlineStr">
        <is>
          <t>VÄSTMANLANDS LÄN</t>
        </is>
      </c>
      <c r="E678" t="inlineStr">
        <is>
          <t>SALA</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16984-2023</t>
        </is>
      </c>
      <c r="B679" s="1" t="n">
        <v>45033</v>
      </c>
      <c r="C679" s="1" t="n">
        <v>45576</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17079-2023</t>
        </is>
      </c>
      <c r="B680" s="1" t="n">
        <v>45034</v>
      </c>
      <c r="C680" s="1" t="n">
        <v>45576</v>
      </c>
      <c r="D680" t="inlineStr">
        <is>
          <t>VÄSTMANLANDS LÄN</t>
        </is>
      </c>
      <c r="E680" t="inlineStr">
        <is>
          <t>SALA</t>
        </is>
      </c>
      <c r="G680" t="n">
        <v>1.1</v>
      </c>
      <c r="H680" t="n">
        <v>0</v>
      </c>
      <c r="I680" t="n">
        <v>0</v>
      </c>
      <c r="J680" t="n">
        <v>0</v>
      </c>
      <c r="K680" t="n">
        <v>0</v>
      </c>
      <c r="L680" t="n">
        <v>0</v>
      </c>
      <c r="M680" t="n">
        <v>0</v>
      </c>
      <c r="N680" t="n">
        <v>0</v>
      </c>
      <c r="O680" t="n">
        <v>0</v>
      </c>
      <c r="P680" t="n">
        <v>0</v>
      </c>
      <c r="Q680" t="n">
        <v>0</v>
      </c>
      <c r="R680" s="2" t="inlineStr"/>
    </row>
    <row r="681" ht="15" customHeight="1">
      <c r="A681" t="inlineStr">
        <is>
          <t>A 17117-2023</t>
        </is>
      </c>
      <c r="B681" s="1" t="n">
        <v>45034</v>
      </c>
      <c r="C681" s="1" t="n">
        <v>45576</v>
      </c>
      <c r="D681" t="inlineStr">
        <is>
          <t>VÄSTMANLANDS LÄN</t>
        </is>
      </c>
      <c r="E681" t="inlineStr">
        <is>
          <t>SALA</t>
        </is>
      </c>
      <c r="G681" t="n">
        <v>0.4</v>
      </c>
      <c r="H681" t="n">
        <v>0</v>
      </c>
      <c r="I681" t="n">
        <v>0</v>
      </c>
      <c r="J681" t="n">
        <v>0</v>
      </c>
      <c r="K681" t="n">
        <v>0</v>
      </c>
      <c r="L681" t="n">
        <v>0</v>
      </c>
      <c r="M681" t="n">
        <v>0</v>
      </c>
      <c r="N681" t="n">
        <v>0</v>
      </c>
      <c r="O681" t="n">
        <v>0</v>
      </c>
      <c r="P681" t="n">
        <v>0</v>
      </c>
      <c r="Q681" t="n">
        <v>0</v>
      </c>
      <c r="R681" s="2" t="inlineStr"/>
    </row>
    <row r="682" ht="15" customHeight="1">
      <c r="A682" t="inlineStr">
        <is>
          <t>A 17109-2023</t>
        </is>
      </c>
      <c r="B682" s="1" t="n">
        <v>45034</v>
      </c>
      <c r="C682" s="1" t="n">
        <v>45576</v>
      </c>
      <c r="D682" t="inlineStr">
        <is>
          <t>VÄSTMANLANDS LÄN</t>
        </is>
      </c>
      <c r="E682" t="inlineStr">
        <is>
          <t>SALA</t>
        </is>
      </c>
      <c r="G682" t="n">
        <v>5.8</v>
      </c>
      <c r="H682" t="n">
        <v>0</v>
      </c>
      <c r="I682" t="n">
        <v>0</v>
      </c>
      <c r="J682" t="n">
        <v>0</v>
      </c>
      <c r="K682" t="n">
        <v>0</v>
      </c>
      <c r="L682" t="n">
        <v>0</v>
      </c>
      <c r="M682" t="n">
        <v>0</v>
      </c>
      <c r="N682" t="n">
        <v>0</v>
      </c>
      <c r="O682" t="n">
        <v>0</v>
      </c>
      <c r="P682" t="n">
        <v>0</v>
      </c>
      <c r="Q682" t="n">
        <v>0</v>
      </c>
      <c r="R682" s="2" t="inlineStr"/>
    </row>
    <row r="683" ht="15" customHeight="1">
      <c r="A683" t="inlineStr">
        <is>
          <t>A 17120-2023</t>
        </is>
      </c>
      <c r="B683" s="1" t="n">
        <v>45034</v>
      </c>
      <c r="C683" s="1" t="n">
        <v>45576</v>
      </c>
      <c r="D683" t="inlineStr">
        <is>
          <t>VÄSTMANLANDS LÄN</t>
        </is>
      </c>
      <c r="E683" t="inlineStr">
        <is>
          <t>SALA</t>
        </is>
      </c>
      <c r="G683" t="n">
        <v>0.1</v>
      </c>
      <c r="H683" t="n">
        <v>0</v>
      </c>
      <c r="I683" t="n">
        <v>0</v>
      </c>
      <c r="J683" t="n">
        <v>0</v>
      </c>
      <c r="K683" t="n">
        <v>0</v>
      </c>
      <c r="L683" t="n">
        <v>0</v>
      </c>
      <c r="M683" t="n">
        <v>0</v>
      </c>
      <c r="N683" t="n">
        <v>0</v>
      </c>
      <c r="O683" t="n">
        <v>0</v>
      </c>
      <c r="P683" t="n">
        <v>0</v>
      </c>
      <c r="Q683" t="n">
        <v>0</v>
      </c>
      <c r="R683" s="2" t="inlineStr"/>
    </row>
    <row r="684" ht="15" customHeight="1">
      <c r="A684" t="inlineStr">
        <is>
          <t>A 18100-2023</t>
        </is>
      </c>
      <c r="B684" s="1" t="n">
        <v>45040</v>
      </c>
      <c r="C684" s="1" t="n">
        <v>45576</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18431-2023</t>
        </is>
      </c>
      <c r="B685" s="1" t="n">
        <v>45042</v>
      </c>
      <c r="C685" s="1" t="n">
        <v>45576</v>
      </c>
      <c r="D685" t="inlineStr">
        <is>
          <t>VÄSTMANLANDS LÄN</t>
        </is>
      </c>
      <c r="E685" t="inlineStr">
        <is>
          <t>SALA</t>
        </is>
      </c>
      <c r="G685" t="n">
        <v>1.9</v>
      </c>
      <c r="H685" t="n">
        <v>0</v>
      </c>
      <c r="I685" t="n">
        <v>0</v>
      </c>
      <c r="J685" t="n">
        <v>0</v>
      </c>
      <c r="K685" t="n">
        <v>0</v>
      </c>
      <c r="L685" t="n">
        <v>0</v>
      </c>
      <c r="M685" t="n">
        <v>0</v>
      </c>
      <c r="N685" t="n">
        <v>0</v>
      </c>
      <c r="O685" t="n">
        <v>0</v>
      </c>
      <c r="P685" t="n">
        <v>0</v>
      </c>
      <c r="Q685" t="n">
        <v>0</v>
      </c>
      <c r="R685" s="2" t="inlineStr"/>
    </row>
    <row r="686" ht="15" customHeight="1">
      <c r="A686" t="inlineStr">
        <is>
          <t>A 18877-2023</t>
        </is>
      </c>
      <c r="B686" s="1" t="n">
        <v>45044</v>
      </c>
      <c r="C686" s="1" t="n">
        <v>45576</v>
      </c>
      <c r="D686" t="inlineStr">
        <is>
          <t>VÄSTMANLANDS LÄN</t>
        </is>
      </c>
      <c r="E686" t="inlineStr">
        <is>
          <t>SALA</t>
        </is>
      </c>
      <c r="F686" t="inlineStr">
        <is>
          <t>Kommuner</t>
        </is>
      </c>
      <c r="G686" t="n">
        <v>4.4</v>
      </c>
      <c r="H686" t="n">
        <v>0</v>
      </c>
      <c r="I686" t="n">
        <v>0</v>
      </c>
      <c r="J686" t="n">
        <v>0</v>
      </c>
      <c r="K686" t="n">
        <v>0</v>
      </c>
      <c r="L686" t="n">
        <v>0</v>
      </c>
      <c r="M686" t="n">
        <v>0</v>
      </c>
      <c r="N686" t="n">
        <v>0</v>
      </c>
      <c r="O686" t="n">
        <v>0</v>
      </c>
      <c r="P686" t="n">
        <v>0</v>
      </c>
      <c r="Q686" t="n">
        <v>0</v>
      </c>
      <c r="R686" s="2" t="inlineStr"/>
    </row>
    <row r="687" ht="15" customHeight="1">
      <c r="A687" t="inlineStr">
        <is>
          <t>A 19916-2023</t>
        </is>
      </c>
      <c r="B687" s="1" t="n">
        <v>45054</v>
      </c>
      <c r="C687" s="1" t="n">
        <v>45576</v>
      </c>
      <c r="D687" t="inlineStr">
        <is>
          <t>VÄSTMANLANDS LÄN</t>
        </is>
      </c>
      <c r="E687" t="inlineStr">
        <is>
          <t>SALA</t>
        </is>
      </c>
      <c r="G687" t="n">
        <v>9.9</v>
      </c>
      <c r="H687" t="n">
        <v>0</v>
      </c>
      <c r="I687" t="n">
        <v>0</v>
      </c>
      <c r="J687" t="n">
        <v>0</v>
      </c>
      <c r="K687" t="n">
        <v>0</v>
      </c>
      <c r="L687" t="n">
        <v>0</v>
      </c>
      <c r="M687" t="n">
        <v>0</v>
      </c>
      <c r="N687" t="n">
        <v>0</v>
      </c>
      <c r="O687" t="n">
        <v>0</v>
      </c>
      <c r="P687" t="n">
        <v>0</v>
      </c>
      <c r="Q687" t="n">
        <v>0</v>
      </c>
      <c r="R687" s="2" t="inlineStr"/>
    </row>
    <row r="688" ht="15" customHeight="1">
      <c r="A688" t="inlineStr">
        <is>
          <t>A 20568-2023</t>
        </is>
      </c>
      <c r="B688" s="1" t="n">
        <v>45055</v>
      </c>
      <c r="C688" s="1" t="n">
        <v>45576</v>
      </c>
      <c r="D688" t="inlineStr">
        <is>
          <t>VÄSTMANLANDS LÄN</t>
        </is>
      </c>
      <c r="E688" t="inlineStr">
        <is>
          <t>SALA</t>
        </is>
      </c>
      <c r="G688" t="n">
        <v>2.2</v>
      </c>
      <c r="H688" t="n">
        <v>0</v>
      </c>
      <c r="I688" t="n">
        <v>0</v>
      </c>
      <c r="J688" t="n">
        <v>0</v>
      </c>
      <c r="K688" t="n">
        <v>0</v>
      </c>
      <c r="L688" t="n">
        <v>0</v>
      </c>
      <c r="M688" t="n">
        <v>0</v>
      </c>
      <c r="N688" t="n">
        <v>0</v>
      </c>
      <c r="O688" t="n">
        <v>0</v>
      </c>
      <c r="P688" t="n">
        <v>0</v>
      </c>
      <c r="Q688" t="n">
        <v>0</v>
      </c>
      <c r="R688" s="2" t="inlineStr"/>
    </row>
    <row r="689" ht="15" customHeight="1">
      <c r="A689" t="inlineStr">
        <is>
          <t>A 20567-2023</t>
        </is>
      </c>
      <c r="B689" s="1" t="n">
        <v>45055</v>
      </c>
      <c r="C689" s="1" t="n">
        <v>45576</v>
      </c>
      <c r="D689" t="inlineStr">
        <is>
          <t>VÄSTMANLANDS LÄN</t>
        </is>
      </c>
      <c r="E689" t="inlineStr">
        <is>
          <t>SALA</t>
        </is>
      </c>
      <c r="G689" t="n">
        <v>1.4</v>
      </c>
      <c r="H689" t="n">
        <v>0</v>
      </c>
      <c r="I689" t="n">
        <v>0</v>
      </c>
      <c r="J689" t="n">
        <v>0</v>
      </c>
      <c r="K689" t="n">
        <v>0</v>
      </c>
      <c r="L689" t="n">
        <v>0</v>
      </c>
      <c r="M689" t="n">
        <v>0</v>
      </c>
      <c r="N689" t="n">
        <v>0</v>
      </c>
      <c r="O689" t="n">
        <v>0</v>
      </c>
      <c r="P689" t="n">
        <v>0</v>
      </c>
      <c r="Q689" t="n">
        <v>0</v>
      </c>
      <c r="R689" s="2" t="inlineStr"/>
    </row>
    <row r="690" ht="15" customHeight="1">
      <c r="A690" t="inlineStr">
        <is>
          <t>A 20405-2023</t>
        </is>
      </c>
      <c r="B690" s="1" t="n">
        <v>45056</v>
      </c>
      <c r="C690" s="1" t="n">
        <v>45576</v>
      </c>
      <c r="D690" t="inlineStr">
        <is>
          <t>VÄSTMANLANDS LÄN</t>
        </is>
      </c>
      <c r="E690" t="inlineStr">
        <is>
          <t>SALA</t>
        </is>
      </c>
      <c r="G690" t="n">
        <v>2</v>
      </c>
      <c r="H690" t="n">
        <v>0</v>
      </c>
      <c r="I690" t="n">
        <v>0</v>
      </c>
      <c r="J690" t="n">
        <v>0</v>
      </c>
      <c r="K690" t="n">
        <v>0</v>
      </c>
      <c r="L690" t="n">
        <v>0</v>
      </c>
      <c r="M690" t="n">
        <v>0</v>
      </c>
      <c r="N690" t="n">
        <v>0</v>
      </c>
      <c r="O690" t="n">
        <v>0</v>
      </c>
      <c r="P690" t="n">
        <v>0</v>
      </c>
      <c r="Q690" t="n">
        <v>0</v>
      </c>
      <c r="R690" s="2" t="inlineStr"/>
    </row>
    <row r="691" ht="15" customHeight="1">
      <c r="A691" t="inlineStr">
        <is>
          <t>A 20587-2023</t>
        </is>
      </c>
      <c r="B691" s="1" t="n">
        <v>45057</v>
      </c>
      <c r="C691" s="1" t="n">
        <v>45576</v>
      </c>
      <c r="D691" t="inlineStr">
        <is>
          <t>VÄSTMANLANDS LÄN</t>
        </is>
      </c>
      <c r="E691" t="inlineStr">
        <is>
          <t>SALA</t>
        </is>
      </c>
      <c r="G691" t="n">
        <v>1</v>
      </c>
      <c r="H691" t="n">
        <v>0</v>
      </c>
      <c r="I691" t="n">
        <v>0</v>
      </c>
      <c r="J691" t="n">
        <v>0</v>
      </c>
      <c r="K691" t="n">
        <v>0</v>
      </c>
      <c r="L691" t="n">
        <v>0</v>
      </c>
      <c r="M691" t="n">
        <v>0</v>
      </c>
      <c r="N691" t="n">
        <v>0</v>
      </c>
      <c r="O691" t="n">
        <v>0</v>
      </c>
      <c r="P691" t="n">
        <v>0</v>
      </c>
      <c r="Q691" t="n">
        <v>0</v>
      </c>
      <c r="R691" s="2" t="inlineStr"/>
    </row>
    <row r="692" ht="15" customHeight="1">
      <c r="A692" t="inlineStr">
        <is>
          <t>A 21455-2023</t>
        </is>
      </c>
      <c r="B692" s="1" t="n">
        <v>45058</v>
      </c>
      <c r="C692" s="1" t="n">
        <v>45576</v>
      </c>
      <c r="D692" t="inlineStr">
        <is>
          <t>VÄSTMANLANDS LÄN</t>
        </is>
      </c>
      <c r="E692" t="inlineStr">
        <is>
          <t>SALA</t>
        </is>
      </c>
      <c r="G692" t="n">
        <v>6.4</v>
      </c>
      <c r="H692" t="n">
        <v>0</v>
      </c>
      <c r="I692" t="n">
        <v>0</v>
      </c>
      <c r="J692" t="n">
        <v>0</v>
      </c>
      <c r="K692" t="n">
        <v>0</v>
      </c>
      <c r="L692" t="n">
        <v>0</v>
      </c>
      <c r="M692" t="n">
        <v>0</v>
      </c>
      <c r="N692" t="n">
        <v>0</v>
      </c>
      <c r="O692" t="n">
        <v>0</v>
      </c>
      <c r="P692" t="n">
        <v>0</v>
      </c>
      <c r="Q692" t="n">
        <v>0</v>
      </c>
      <c r="R692" s="2" t="inlineStr"/>
    </row>
    <row r="693" ht="15" customHeight="1">
      <c r="A693" t="inlineStr">
        <is>
          <t>A 22097-2023</t>
        </is>
      </c>
      <c r="B693" s="1" t="n">
        <v>45065</v>
      </c>
      <c r="C693" s="1" t="n">
        <v>45576</v>
      </c>
      <c r="D693" t="inlineStr">
        <is>
          <t>VÄSTMANLANDS LÄN</t>
        </is>
      </c>
      <c r="E693" t="inlineStr">
        <is>
          <t>SALA</t>
        </is>
      </c>
      <c r="G693" t="n">
        <v>3.6</v>
      </c>
      <c r="H693" t="n">
        <v>0</v>
      </c>
      <c r="I693" t="n">
        <v>0</v>
      </c>
      <c r="J693" t="n">
        <v>0</v>
      </c>
      <c r="K693" t="n">
        <v>0</v>
      </c>
      <c r="L693" t="n">
        <v>0</v>
      </c>
      <c r="M693" t="n">
        <v>0</v>
      </c>
      <c r="N693" t="n">
        <v>0</v>
      </c>
      <c r="O693" t="n">
        <v>0</v>
      </c>
      <c r="P693" t="n">
        <v>0</v>
      </c>
      <c r="Q693" t="n">
        <v>0</v>
      </c>
      <c r="R693" s="2" t="inlineStr"/>
    </row>
    <row r="694" ht="15" customHeight="1">
      <c r="A694" t="inlineStr">
        <is>
          <t>A 22076-2023</t>
        </is>
      </c>
      <c r="B694" s="1" t="n">
        <v>45069</v>
      </c>
      <c r="C694" s="1" t="n">
        <v>45576</v>
      </c>
      <c r="D694" t="inlineStr">
        <is>
          <t>VÄSTMANLANDS LÄN</t>
        </is>
      </c>
      <c r="E694" t="inlineStr">
        <is>
          <t>SALA</t>
        </is>
      </c>
      <c r="G694" t="n">
        <v>5.3</v>
      </c>
      <c r="H694" t="n">
        <v>0</v>
      </c>
      <c r="I694" t="n">
        <v>0</v>
      </c>
      <c r="J694" t="n">
        <v>0</v>
      </c>
      <c r="K694" t="n">
        <v>0</v>
      </c>
      <c r="L694" t="n">
        <v>0</v>
      </c>
      <c r="M694" t="n">
        <v>0</v>
      </c>
      <c r="N694" t="n">
        <v>0</v>
      </c>
      <c r="O694" t="n">
        <v>0</v>
      </c>
      <c r="P694" t="n">
        <v>0</v>
      </c>
      <c r="Q694" t="n">
        <v>0</v>
      </c>
      <c r="R694" s="2" t="inlineStr"/>
    </row>
    <row r="695" ht="15" customHeight="1">
      <c r="A695" t="inlineStr">
        <is>
          <t>A 22146-2023</t>
        </is>
      </c>
      <c r="B695" s="1" t="n">
        <v>45069</v>
      </c>
      <c r="C695" s="1" t="n">
        <v>45576</v>
      </c>
      <c r="D695" t="inlineStr">
        <is>
          <t>VÄSTMANLANDS LÄN</t>
        </is>
      </c>
      <c r="E695" t="inlineStr">
        <is>
          <t>SALA</t>
        </is>
      </c>
      <c r="F695" t="inlineStr">
        <is>
          <t>Kommuner</t>
        </is>
      </c>
      <c r="G695" t="n">
        <v>9.9</v>
      </c>
      <c r="H695" t="n">
        <v>0</v>
      </c>
      <c r="I695" t="n">
        <v>0</v>
      </c>
      <c r="J695" t="n">
        <v>0</v>
      </c>
      <c r="K695" t="n">
        <v>0</v>
      </c>
      <c r="L695" t="n">
        <v>0</v>
      </c>
      <c r="M695" t="n">
        <v>0</v>
      </c>
      <c r="N695" t="n">
        <v>0</v>
      </c>
      <c r="O695" t="n">
        <v>0</v>
      </c>
      <c r="P695" t="n">
        <v>0</v>
      </c>
      <c r="Q695" t="n">
        <v>0</v>
      </c>
      <c r="R695" s="2" t="inlineStr"/>
    </row>
    <row r="696" ht="15" customHeight="1">
      <c r="A696" t="inlineStr">
        <is>
          <t>A 22091-2023</t>
        </is>
      </c>
      <c r="B696" s="1" t="n">
        <v>45069</v>
      </c>
      <c r="C696" s="1" t="n">
        <v>45576</v>
      </c>
      <c r="D696" t="inlineStr">
        <is>
          <t>VÄSTMANLANDS LÄN</t>
        </is>
      </c>
      <c r="E696" t="inlineStr">
        <is>
          <t>SALA</t>
        </is>
      </c>
      <c r="G696" t="n">
        <v>2.2</v>
      </c>
      <c r="H696" t="n">
        <v>0</v>
      </c>
      <c r="I696" t="n">
        <v>0</v>
      </c>
      <c r="J696" t="n">
        <v>0</v>
      </c>
      <c r="K696" t="n">
        <v>0</v>
      </c>
      <c r="L696" t="n">
        <v>0</v>
      </c>
      <c r="M696" t="n">
        <v>0</v>
      </c>
      <c r="N696" t="n">
        <v>0</v>
      </c>
      <c r="O696" t="n">
        <v>0</v>
      </c>
      <c r="P696" t="n">
        <v>0</v>
      </c>
      <c r="Q696" t="n">
        <v>0</v>
      </c>
      <c r="R696" s="2" t="inlineStr"/>
    </row>
    <row r="697" ht="15" customHeight="1">
      <c r="A697" t="inlineStr">
        <is>
          <t>A 22082-2023</t>
        </is>
      </c>
      <c r="B697" s="1" t="n">
        <v>45069</v>
      </c>
      <c r="C697" s="1" t="n">
        <v>45576</v>
      </c>
      <c r="D697" t="inlineStr">
        <is>
          <t>VÄSTMANLANDS LÄN</t>
        </is>
      </c>
      <c r="E697" t="inlineStr">
        <is>
          <t>SALA</t>
        </is>
      </c>
      <c r="G697" t="n">
        <v>1.7</v>
      </c>
      <c r="H697" t="n">
        <v>0</v>
      </c>
      <c r="I697" t="n">
        <v>0</v>
      </c>
      <c r="J697" t="n">
        <v>0</v>
      </c>
      <c r="K697" t="n">
        <v>0</v>
      </c>
      <c r="L697" t="n">
        <v>0</v>
      </c>
      <c r="M697" t="n">
        <v>0</v>
      </c>
      <c r="N697" t="n">
        <v>0</v>
      </c>
      <c r="O697" t="n">
        <v>0</v>
      </c>
      <c r="P697" t="n">
        <v>0</v>
      </c>
      <c r="Q697" t="n">
        <v>0</v>
      </c>
      <c r="R697" s="2" t="inlineStr"/>
    </row>
    <row r="698" ht="15" customHeight="1">
      <c r="A698" t="inlineStr">
        <is>
          <t>A 22523-2023</t>
        </is>
      </c>
      <c r="B698" s="1" t="n">
        <v>45069</v>
      </c>
      <c r="C698" s="1" t="n">
        <v>45576</v>
      </c>
      <c r="D698" t="inlineStr">
        <is>
          <t>VÄSTMANLANDS LÄN</t>
        </is>
      </c>
      <c r="E698" t="inlineStr">
        <is>
          <t>SALA</t>
        </is>
      </c>
      <c r="G698" t="n">
        <v>2.4</v>
      </c>
      <c r="H698" t="n">
        <v>0</v>
      </c>
      <c r="I698" t="n">
        <v>0</v>
      </c>
      <c r="J698" t="n">
        <v>0</v>
      </c>
      <c r="K698" t="n">
        <v>0</v>
      </c>
      <c r="L698" t="n">
        <v>0</v>
      </c>
      <c r="M698" t="n">
        <v>0</v>
      </c>
      <c r="N698" t="n">
        <v>0</v>
      </c>
      <c r="O698" t="n">
        <v>0</v>
      </c>
      <c r="P698" t="n">
        <v>0</v>
      </c>
      <c r="Q698" t="n">
        <v>0</v>
      </c>
      <c r="R698" s="2" t="inlineStr"/>
    </row>
    <row r="699" ht="15" customHeight="1">
      <c r="A699" t="inlineStr">
        <is>
          <t>A 22921-2023</t>
        </is>
      </c>
      <c r="B699" s="1" t="n">
        <v>45070</v>
      </c>
      <c r="C699" s="1" t="n">
        <v>45576</v>
      </c>
      <c r="D699" t="inlineStr">
        <is>
          <t>VÄSTMANLANDS LÄN</t>
        </is>
      </c>
      <c r="E699" t="inlineStr">
        <is>
          <t>SALA</t>
        </is>
      </c>
      <c r="G699" t="n">
        <v>1.3</v>
      </c>
      <c r="H699" t="n">
        <v>0</v>
      </c>
      <c r="I699" t="n">
        <v>0</v>
      </c>
      <c r="J699" t="n">
        <v>0</v>
      </c>
      <c r="K699" t="n">
        <v>0</v>
      </c>
      <c r="L699" t="n">
        <v>0</v>
      </c>
      <c r="M699" t="n">
        <v>0</v>
      </c>
      <c r="N699" t="n">
        <v>0</v>
      </c>
      <c r="O699" t="n">
        <v>0</v>
      </c>
      <c r="P699" t="n">
        <v>0</v>
      </c>
      <c r="Q699" t="n">
        <v>0</v>
      </c>
      <c r="R699" s="2" t="inlineStr"/>
    </row>
    <row r="700" ht="15" customHeight="1">
      <c r="A700" t="inlineStr">
        <is>
          <t>A 22963-2023</t>
        </is>
      </c>
      <c r="B700" s="1" t="n">
        <v>45072</v>
      </c>
      <c r="C700" s="1" t="n">
        <v>45576</v>
      </c>
      <c r="D700" t="inlineStr">
        <is>
          <t>VÄSTMANLANDS LÄN</t>
        </is>
      </c>
      <c r="E700" t="inlineStr">
        <is>
          <t>SALA</t>
        </is>
      </c>
      <c r="G700" t="n">
        <v>1.2</v>
      </c>
      <c r="H700" t="n">
        <v>0</v>
      </c>
      <c r="I700" t="n">
        <v>0</v>
      </c>
      <c r="J700" t="n">
        <v>0</v>
      </c>
      <c r="K700" t="n">
        <v>0</v>
      </c>
      <c r="L700" t="n">
        <v>0</v>
      </c>
      <c r="M700" t="n">
        <v>0</v>
      </c>
      <c r="N700" t="n">
        <v>0</v>
      </c>
      <c r="O700" t="n">
        <v>0</v>
      </c>
      <c r="P700" t="n">
        <v>0</v>
      </c>
      <c r="Q700" t="n">
        <v>0</v>
      </c>
      <c r="R700" s="2" t="inlineStr"/>
    </row>
    <row r="701" ht="15" customHeight="1">
      <c r="A701" t="inlineStr">
        <is>
          <t>A 22961-2023</t>
        </is>
      </c>
      <c r="B701" s="1" t="n">
        <v>45072</v>
      </c>
      <c r="C701" s="1" t="n">
        <v>45576</v>
      </c>
      <c r="D701" t="inlineStr">
        <is>
          <t>VÄSTMANLANDS LÄN</t>
        </is>
      </c>
      <c r="E701" t="inlineStr">
        <is>
          <t>SALA</t>
        </is>
      </c>
      <c r="G701" t="n">
        <v>2.7</v>
      </c>
      <c r="H701" t="n">
        <v>0</v>
      </c>
      <c r="I701" t="n">
        <v>0</v>
      </c>
      <c r="J701" t="n">
        <v>0</v>
      </c>
      <c r="K701" t="n">
        <v>0</v>
      </c>
      <c r="L701" t="n">
        <v>0</v>
      </c>
      <c r="M701" t="n">
        <v>0</v>
      </c>
      <c r="N701" t="n">
        <v>0</v>
      </c>
      <c r="O701" t="n">
        <v>0</v>
      </c>
      <c r="P701" t="n">
        <v>0</v>
      </c>
      <c r="Q701" t="n">
        <v>0</v>
      </c>
      <c r="R701" s="2" t="inlineStr"/>
    </row>
    <row r="702" ht="15" customHeight="1">
      <c r="A702" t="inlineStr">
        <is>
          <t>A 23145-2023</t>
        </is>
      </c>
      <c r="B702" s="1" t="n">
        <v>45075</v>
      </c>
      <c r="C702" s="1" t="n">
        <v>45576</v>
      </c>
      <c r="D702" t="inlineStr">
        <is>
          <t>VÄSTMANLANDS LÄN</t>
        </is>
      </c>
      <c r="E702" t="inlineStr">
        <is>
          <t>SALA</t>
        </is>
      </c>
      <c r="G702" t="n">
        <v>5.3</v>
      </c>
      <c r="H702" t="n">
        <v>0</v>
      </c>
      <c r="I702" t="n">
        <v>0</v>
      </c>
      <c r="J702" t="n">
        <v>0</v>
      </c>
      <c r="K702" t="n">
        <v>0</v>
      </c>
      <c r="L702" t="n">
        <v>0</v>
      </c>
      <c r="M702" t="n">
        <v>0</v>
      </c>
      <c r="N702" t="n">
        <v>0</v>
      </c>
      <c r="O702" t="n">
        <v>0</v>
      </c>
      <c r="P702" t="n">
        <v>0</v>
      </c>
      <c r="Q702" t="n">
        <v>0</v>
      </c>
      <c r="R702" s="2" t="inlineStr"/>
    </row>
    <row r="703" ht="15" customHeight="1">
      <c r="A703" t="inlineStr">
        <is>
          <t>A 23146-2023</t>
        </is>
      </c>
      <c r="B703" s="1" t="n">
        <v>45075</v>
      </c>
      <c r="C703" s="1" t="n">
        <v>45576</v>
      </c>
      <c r="D703" t="inlineStr">
        <is>
          <t>VÄSTMANLANDS LÄN</t>
        </is>
      </c>
      <c r="E703" t="inlineStr">
        <is>
          <t>SALA</t>
        </is>
      </c>
      <c r="G703" t="n">
        <v>1.7</v>
      </c>
      <c r="H703" t="n">
        <v>0</v>
      </c>
      <c r="I703" t="n">
        <v>0</v>
      </c>
      <c r="J703" t="n">
        <v>0</v>
      </c>
      <c r="K703" t="n">
        <v>0</v>
      </c>
      <c r="L703" t="n">
        <v>0</v>
      </c>
      <c r="M703" t="n">
        <v>0</v>
      </c>
      <c r="N703" t="n">
        <v>0</v>
      </c>
      <c r="O703" t="n">
        <v>0</v>
      </c>
      <c r="P703" t="n">
        <v>0</v>
      </c>
      <c r="Q703" t="n">
        <v>0</v>
      </c>
      <c r="R703" s="2" t="inlineStr"/>
    </row>
    <row r="704" ht="15" customHeight="1">
      <c r="A704" t="inlineStr">
        <is>
          <t>A 23224-2023</t>
        </is>
      </c>
      <c r="B704" s="1" t="n">
        <v>45075</v>
      </c>
      <c r="C704" s="1" t="n">
        <v>45576</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23222-2023</t>
        </is>
      </c>
      <c r="B705" s="1" t="n">
        <v>45075</v>
      </c>
      <c r="C705" s="1" t="n">
        <v>45576</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23232-2023</t>
        </is>
      </c>
      <c r="B706" s="1" t="n">
        <v>45075</v>
      </c>
      <c r="C706" s="1" t="n">
        <v>45576</v>
      </c>
      <c r="D706" t="inlineStr">
        <is>
          <t>VÄSTMANLANDS LÄN</t>
        </is>
      </c>
      <c r="E706" t="inlineStr">
        <is>
          <t>SALA</t>
        </is>
      </c>
      <c r="G706" t="n">
        <v>1.6</v>
      </c>
      <c r="H706" t="n">
        <v>0</v>
      </c>
      <c r="I706" t="n">
        <v>0</v>
      </c>
      <c r="J706" t="n">
        <v>0</v>
      </c>
      <c r="K706" t="n">
        <v>0</v>
      </c>
      <c r="L706" t="n">
        <v>0</v>
      </c>
      <c r="M706" t="n">
        <v>0</v>
      </c>
      <c r="N706" t="n">
        <v>0</v>
      </c>
      <c r="O706" t="n">
        <v>0</v>
      </c>
      <c r="P706" t="n">
        <v>0</v>
      </c>
      <c r="Q706" t="n">
        <v>0</v>
      </c>
      <c r="R706" s="2" t="inlineStr"/>
    </row>
    <row r="707" ht="15" customHeight="1">
      <c r="A707" t="inlineStr">
        <is>
          <t>A 23374-2023</t>
        </is>
      </c>
      <c r="B707" s="1" t="n">
        <v>45076</v>
      </c>
      <c r="C707" s="1" t="n">
        <v>45576</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23372-2023</t>
        </is>
      </c>
      <c r="B708" s="1" t="n">
        <v>45076</v>
      </c>
      <c r="C708" s="1" t="n">
        <v>45576</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23659-2023</t>
        </is>
      </c>
      <c r="B709" s="1" t="n">
        <v>45077</v>
      </c>
      <c r="C709" s="1" t="n">
        <v>45576</v>
      </c>
      <c r="D709" t="inlineStr">
        <is>
          <t>VÄSTMANLANDS LÄN</t>
        </is>
      </c>
      <c r="E709" t="inlineStr">
        <is>
          <t>SALA</t>
        </is>
      </c>
      <c r="G709" t="n">
        <v>2.5</v>
      </c>
      <c r="H709" t="n">
        <v>0</v>
      </c>
      <c r="I709" t="n">
        <v>0</v>
      </c>
      <c r="J709" t="n">
        <v>0</v>
      </c>
      <c r="K709" t="n">
        <v>0</v>
      </c>
      <c r="L709" t="n">
        <v>0</v>
      </c>
      <c r="M709" t="n">
        <v>0</v>
      </c>
      <c r="N709" t="n">
        <v>0</v>
      </c>
      <c r="O709" t="n">
        <v>0</v>
      </c>
      <c r="P709" t="n">
        <v>0</v>
      </c>
      <c r="Q709" t="n">
        <v>0</v>
      </c>
      <c r="R709" s="2" t="inlineStr"/>
    </row>
    <row r="710" ht="15" customHeight="1">
      <c r="A710" t="inlineStr">
        <is>
          <t>A 24248-2023</t>
        </is>
      </c>
      <c r="B710" s="1" t="n">
        <v>45079</v>
      </c>
      <c r="C710" s="1" t="n">
        <v>45576</v>
      </c>
      <c r="D710" t="inlineStr">
        <is>
          <t>VÄSTMANLANDS LÄN</t>
        </is>
      </c>
      <c r="E710" t="inlineStr">
        <is>
          <t>SALA</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24495-2023</t>
        </is>
      </c>
      <c r="B711" s="1" t="n">
        <v>45082</v>
      </c>
      <c r="C711" s="1" t="n">
        <v>45576</v>
      </c>
      <c r="D711" t="inlineStr">
        <is>
          <t>VÄSTMANLANDS LÄN</t>
        </is>
      </c>
      <c r="E711" t="inlineStr">
        <is>
          <t>SALA</t>
        </is>
      </c>
      <c r="G711" t="n">
        <v>5.2</v>
      </c>
      <c r="H711" t="n">
        <v>0</v>
      </c>
      <c r="I711" t="n">
        <v>0</v>
      </c>
      <c r="J711" t="n">
        <v>0</v>
      </c>
      <c r="K711" t="n">
        <v>0</v>
      </c>
      <c r="L711" t="n">
        <v>0</v>
      </c>
      <c r="M711" t="n">
        <v>0</v>
      </c>
      <c r="N711" t="n">
        <v>0</v>
      </c>
      <c r="O711" t="n">
        <v>0</v>
      </c>
      <c r="P711" t="n">
        <v>0</v>
      </c>
      <c r="Q711" t="n">
        <v>0</v>
      </c>
      <c r="R711" s="2" t="inlineStr"/>
    </row>
    <row r="712" ht="15" customHeight="1">
      <c r="A712" t="inlineStr">
        <is>
          <t>A 24585-2023</t>
        </is>
      </c>
      <c r="B712" s="1" t="n">
        <v>45083</v>
      </c>
      <c r="C712" s="1" t="n">
        <v>45576</v>
      </c>
      <c r="D712" t="inlineStr">
        <is>
          <t>VÄSTMANLANDS LÄN</t>
        </is>
      </c>
      <c r="E712" t="inlineStr">
        <is>
          <t>SALA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24584-2023</t>
        </is>
      </c>
      <c r="B713" s="1" t="n">
        <v>45083</v>
      </c>
      <c r="C713" s="1" t="n">
        <v>45576</v>
      </c>
      <c r="D713" t="inlineStr">
        <is>
          <t>VÄSTMANLANDS LÄN</t>
        </is>
      </c>
      <c r="E713" t="inlineStr">
        <is>
          <t>SALA</t>
        </is>
      </c>
      <c r="F713" t="inlineStr">
        <is>
          <t>Sveaskog</t>
        </is>
      </c>
      <c r="G713" t="n">
        <v>7.2</v>
      </c>
      <c r="H713" t="n">
        <v>0</v>
      </c>
      <c r="I713" t="n">
        <v>0</v>
      </c>
      <c r="J713" t="n">
        <v>0</v>
      </c>
      <c r="K713" t="n">
        <v>0</v>
      </c>
      <c r="L713" t="n">
        <v>0</v>
      </c>
      <c r="M713" t="n">
        <v>0</v>
      </c>
      <c r="N713" t="n">
        <v>0</v>
      </c>
      <c r="O713" t="n">
        <v>0</v>
      </c>
      <c r="P713" t="n">
        <v>0</v>
      </c>
      <c r="Q713" t="n">
        <v>0</v>
      </c>
      <c r="R713" s="2" t="inlineStr"/>
    </row>
    <row r="714" ht="15" customHeight="1">
      <c r="A714" t="inlineStr">
        <is>
          <t>A 24586-2023</t>
        </is>
      </c>
      <c r="B714" s="1" t="n">
        <v>45083</v>
      </c>
      <c r="C714" s="1" t="n">
        <v>45576</v>
      </c>
      <c r="D714" t="inlineStr">
        <is>
          <t>VÄSTMANLANDS LÄN</t>
        </is>
      </c>
      <c r="E714" t="inlineStr">
        <is>
          <t>SALA</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24773-2023</t>
        </is>
      </c>
      <c r="B715" s="1" t="n">
        <v>45084</v>
      </c>
      <c r="C715" s="1" t="n">
        <v>45576</v>
      </c>
      <c r="D715" t="inlineStr">
        <is>
          <t>VÄSTMANLANDS LÄN</t>
        </is>
      </c>
      <c r="E715" t="inlineStr">
        <is>
          <t>SALA</t>
        </is>
      </c>
      <c r="G715" t="n">
        <v>5</v>
      </c>
      <c r="H715" t="n">
        <v>0</v>
      </c>
      <c r="I715" t="n">
        <v>0</v>
      </c>
      <c r="J715" t="n">
        <v>0</v>
      </c>
      <c r="K715" t="n">
        <v>0</v>
      </c>
      <c r="L715" t="n">
        <v>0</v>
      </c>
      <c r="M715" t="n">
        <v>0</v>
      </c>
      <c r="N715" t="n">
        <v>0</v>
      </c>
      <c r="O715" t="n">
        <v>0</v>
      </c>
      <c r="P715" t="n">
        <v>0</v>
      </c>
      <c r="Q715" t="n">
        <v>0</v>
      </c>
      <c r="R715" s="2" t="inlineStr"/>
    </row>
    <row r="716" ht="15" customHeight="1">
      <c r="A716" t="inlineStr">
        <is>
          <t>A 24777-2023</t>
        </is>
      </c>
      <c r="B716" s="1" t="n">
        <v>45084</v>
      </c>
      <c r="C716" s="1" t="n">
        <v>45576</v>
      </c>
      <c r="D716" t="inlineStr">
        <is>
          <t>VÄSTMANLANDS LÄN</t>
        </is>
      </c>
      <c r="E716" t="inlineStr">
        <is>
          <t>SALA</t>
        </is>
      </c>
      <c r="G716" t="n">
        <v>1.1</v>
      </c>
      <c r="H716" t="n">
        <v>0</v>
      </c>
      <c r="I716" t="n">
        <v>0</v>
      </c>
      <c r="J716" t="n">
        <v>0</v>
      </c>
      <c r="K716" t="n">
        <v>0</v>
      </c>
      <c r="L716" t="n">
        <v>0</v>
      </c>
      <c r="M716" t="n">
        <v>0</v>
      </c>
      <c r="N716" t="n">
        <v>0</v>
      </c>
      <c r="O716" t="n">
        <v>0</v>
      </c>
      <c r="P716" t="n">
        <v>0</v>
      </c>
      <c r="Q716" t="n">
        <v>0</v>
      </c>
      <c r="R716" s="2" t="inlineStr"/>
    </row>
    <row r="717" ht="15" customHeight="1">
      <c r="A717" t="inlineStr">
        <is>
          <t>A 24944-2023</t>
        </is>
      </c>
      <c r="B717" s="1" t="n">
        <v>45085</v>
      </c>
      <c r="C717" s="1" t="n">
        <v>45576</v>
      </c>
      <c r="D717" t="inlineStr">
        <is>
          <t>VÄSTMANLANDS LÄN</t>
        </is>
      </c>
      <c r="E717" t="inlineStr">
        <is>
          <t>SALA</t>
        </is>
      </c>
      <c r="G717" t="n">
        <v>3.8</v>
      </c>
      <c r="H717" t="n">
        <v>0</v>
      </c>
      <c r="I717" t="n">
        <v>0</v>
      </c>
      <c r="J717" t="n">
        <v>0</v>
      </c>
      <c r="K717" t="n">
        <v>0</v>
      </c>
      <c r="L717" t="n">
        <v>0</v>
      </c>
      <c r="M717" t="n">
        <v>0</v>
      </c>
      <c r="N717" t="n">
        <v>0</v>
      </c>
      <c r="O717" t="n">
        <v>0</v>
      </c>
      <c r="P717" t="n">
        <v>0</v>
      </c>
      <c r="Q717" t="n">
        <v>0</v>
      </c>
      <c r="R717" s="2" t="inlineStr"/>
    </row>
    <row r="718" ht="15" customHeight="1">
      <c r="A718" t="inlineStr">
        <is>
          <t>A 25260-2023</t>
        </is>
      </c>
      <c r="B718" s="1" t="n">
        <v>45086</v>
      </c>
      <c r="C718" s="1" t="n">
        <v>45576</v>
      </c>
      <c r="D718" t="inlineStr">
        <is>
          <t>VÄSTMANLANDS LÄN</t>
        </is>
      </c>
      <c r="E718" t="inlineStr">
        <is>
          <t>SALA</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25233-2023</t>
        </is>
      </c>
      <c r="B719" s="1" t="n">
        <v>45086</v>
      </c>
      <c r="C719" s="1" t="n">
        <v>45576</v>
      </c>
      <c r="D719" t="inlineStr">
        <is>
          <t>VÄSTMANLANDS LÄN</t>
        </is>
      </c>
      <c r="E719" t="inlineStr">
        <is>
          <t>SALA</t>
        </is>
      </c>
      <c r="F719" t="inlineStr">
        <is>
          <t>Kommuner</t>
        </is>
      </c>
      <c r="G719" t="n">
        <v>4.7</v>
      </c>
      <c r="H719" t="n">
        <v>0</v>
      </c>
      <c r="I719" t="n">
        <v>0</v>
      </c>
      <c r="J719" t="n">
        <v>0</v>
      </c>
      <c r="K719" t="n">
        <v>0</v>
      </c>
      <c r="L719" t="n">
        <v>0</v>
      </c>
      <c r="M719" t="n">
        <v>0</v>
      </c>
      <c r="N719" t="n">
        <v>0</v>
      </c>
      <c r="O719" t="n">
        <v>0</v>
      </c>
      <c r="P719" t="n">
        <v>0</v>
      </c>
      <c r="Q719" t="n">
        <v>0</v>
      </c>
      <c r="R719" s="2" t="inlineStr"/>
    </row>
    <row r="720" ht="15" customHeight="1">
      <c r="A720" t="inlineStr">
        <is>
          <t>A 26229-2023</t>
        </is>
      </c>
      <c r="B720" s="1" t="n">
        <v>45086</v>
      </c>
      <c r="C720" s="1" t="n">
        <v>45576</v>
      </c>
      <c r="D720" t="inlineStr">
        <is>
          <t>VÄSTMANLANDS LÄN</t>
        </is>
      </c>
      <c r="E720" t="inlineStr">
        <is>
          <t>SALA</t>
        </is>
      </c>
      <c r="G720" t="n">
        <v>6.6</v>
      </c>
      <c r="H720" t="n">
        <v>0</v>
      </c>
      <c r="I720" t="n">
        <v>0</v>
      </c>
      <c r="J720" t="n">
        <v>0</v>
      </c>
      <c r="K720" t="n">
        <v>0</v>
      </c>
      <c r="L720" t="n">
        <v>0</v>
      </c>
      <c r="M720" t="n">
        <v>0</v>
      </c>
      <c r="N720" t="n">
        <v>0</v>
      </c>
      <c r="O720" t="n">
        <v>0</v>
      </c>
      <c r="P720" t="n">
        <v>0</v>
      </c>
      <c r="Q720" t="n">
        <v>0</v>
      </c>
      <c r="R720" s="2" t="inlineStr"/>
    </row>
    <row r="721" ht="15" customHeight="1">
      <c r="A721" t="inlineStr">
        <is>
          <t>A 25566-2023</t>
        </is>
      </c>
      <c r="B721" s="1" t="n">
        <v>45089</v>
      </c>
      <c r="C721" s="1" t="n">
        <v>45576</v>
      </c>
      <c r="D721" t="inlineStr">
        <is>
          <t>VÄSTMANLANDS LÄN</t>
        </is>
      </c>
      <c r="E721" t="inlineStr">
        <is>
          <t>SALA</t>
        </is>
      </c>
      <c r="G721" t="n">
        <v>2.1</v>
      </c>
      <c r="H721" t="n">
        <v>0</v>
      </c>
      <c r="I721" t="n">
        <v>0</v>
      </c>
      <c r="J721" t="n">
        <v>0</v>
      </c>
      <c r="K721" t="n">
        <v>0</v>
      </c>
      <c r="L721" t="n">
        <v>0</v>
      </c>
      <c r="M721" t="n">
        <v>0</v>
      </c>
      <c r="N721" t="n">
        <v>0</v>
      </c>
      <c r="O721" t="n">
        <v>0</v>
      </c>
      <c r="P721" t="n">
        <v>0</v>
      </c>
      <c r="Q721" t="n">
        <v>0</v>
      </c>
      <c r="R721" s="2" t="inlineStr"/>
    </row>
    <row r="722" ht="15" customHeight="1">
      <c r="A722" t="inlineStr">
        <is>
          <t>A 25571-2023</t>
        </is>
      </c>
      <c r="B722" s="1" t="n">
        <v>45089</v>
      </c>
      <c r="C722" s="1" t="n">
        <v>45576</v>
      </c>
      <c r="D722" t="inlineStr">
        <is>
          <t>VÄSTMANLANDS LÄN</t>
        </is>
      </c>
      <c r="E722" t="inlineStr">
        <is>
          <t>SALA</t>
        </is>
      </c>
      <c r="G722" t="n">
        <v>1.7</v>
      </c>
      <c r="H722" t="n">
        <v>0</v>
      </c>
      <c r="I722" t="n">
        <v>0</v>
      </c>
      <c r="J722" t="n">
        <v>0</v>
      </c>
      <c r="K722" t="n">
        <v>0</v>
      </c>
      <c r="L722" t="n">
        <v>0</v>
      </c>
      <c r="M722" t="n">
        <v>0</v>
      </c>
      <c r="N722" t="n">
        <v>0</v>
      </c>
      <c r="O722" t="n">
        <v>0</v>
      </c>
      <c r="P722" t="n">
        <v>0</v>
      </c>
      <c r="Q722" t="n">
        <v>0</v>
      </c>
      <c r="R722" s="2" t="inlineStr"/>
    </row>
    <row r="723" ht="15" customHeight="1">
      <c r="A723" t="inlineStr">
        <is>
          <t>A 25576-2023</t>
        </is>
      </c>
      <c r="B723" s="1" t="n">
        <v>45089</v>
      </c>
      <c r="C723" s="1" t="n">
        <v>45576</v>
      </c>
      <c r="D723" t="inlineStr">
        <is>
          <t>VÄSTMANLANDS LÄN</t>
        </is>
      </c>
      <c r="E723" t="inlineStr">
        <is>
          <t>SALA</t>
        </is>
      </c>
      <c r="G723" t="n">
        <v>1</v>
      </c>
      <c r="H723" t="n">
        <v>0</v>
      </c>
      <c r="I723" t="n">
        <v>0</v>
      </c>
      <c r="J723" t="n">
        <v>0</v>
      </c>
      <c r="K723" t="n">
        <v>0</v>
      </c>
      <c r="L723" t="n">
        <v>0</v>
      </c>
      <c r="M723" t="n">
        <v>0</v>
      </c>
      <c r="N723" t="n">
        <v>0</v>
      </c>
      <c r="O723" t="n">
        <v>0</v>
      </c>
      <c r="P723" t="n">
        <v>0</v>
      </c>
      <c r="Q723" t="n">
        <v>0</v>
      </c>
      <c r="R723" s="2" t="inlineStr"/>
    </row>
    <row r="724" ht="15" customHeight="1">
      <c r="A724" t="inlineStr">
        <is>
          <t>A 25580-2023</t>
        </is>
      </c>
      <c r="B724" s="1" t="n">
        <v>45089</v>
      </c>
      <c r="C724" s="1" t="n">
        <v>45576</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25894-2023</t>
        </is>
      </c>
      <c r="B725" s="1" t="n">
        <v>45090</v>
      </c>
      <c r="C725" s="1" t="n">
        <v>45576</v>
      </c>
      <c r="D725" t="inlineStr">
        <is>
          <t>VÄSTMANLANDS LÄN</t>
        </is>
      </c>
      <c r="E725" t="inlineStr">
        <is>
          <t>SALA</t>
        </is>
      </c>
      <c r="G725" t="n">
        <v>3.2</v>
      </c>
      <c r="H725" t="n">
        <v>0</v>
      </c>
      <c r="I725" t="n">
        <v>0</v>
      </c>
      <c r="J725" t="n">
        <v>0</v>
      </c>
      <c r="K725" t="n">
        <v>0</v>
      </c>
      <c r="L725" t="n">
        <v>0</v>
      </c>
      <c r="M725" t="n">
        <v>0</v>
      </c>
      <c r="N725" t="n">
        <v>0</v>
      </c>
      <c r="O725" t="n">
        <v>0</v>
      </c>
      <c r="P725" t="n">
        <v>0</v>
      </c>
      <c r="Q725" t="n">
        <v>0</v>
      </c>
      <c r="R725" s="2" t="inlineStr"/>
    </row>
    <row r="726" ht="15" customHeight="1">
      <c r="A726" t="inlineStr">
        <is>
          <t>A 26607-2023</t>
        </is>
      </c>
      <c r="B726" s="1" t="n">
        <v>45090</v>
      </c>
      <c r="C726" s="1" t="n">
        <v>45576</v>
      </c>
      <c r="D726" t="inlineStr">
        <is>
          <t>VÄSTMANLANDS LÄN</t>
        </is>
      </c>
      <c r="E726" t="inlineStr">
        <is>
          <t>SALA</t>
        </is>
      </c>
      <c r="G726" t="n">
        <v>4.8</v>
      </c>
      <c r="H726" t="n">
        <v>0</v>
      </c>
      <c r="I726" t="n">
        <v>0</v>
      </c>
      <c r="J726" t="n">
        <v>0</v>
      </c>
      <c r="K726" t="n">
        <v>0</v>
      </c>
      <c r="L726" t="n">
        <v>0</v>
      </c>
      <c r="M726" t="n">
        <v>0</v>
      </c>
      <c r="N726" t="n">
        <v>0</v>
      </c>
      <c r="O726" t="n">
        <v>0</v>
      </c>
      <c r="P726" t="n">
        <v>0</v>
      </c>
      <c r="Q726" t="n">
        <v>0</v>
      </c>
      <c r="R726" s="2" t="inlineStr"/>
    </row>
    <row r="727" ht="15" customHeight="1">
      <c r="A727" t="inlineStr">
        <is>
          <t>A 26505-2023</t>
        </is>
      </c>
      <c r="B727" s="1" t="n">
        <v>45092</v>
      </c>
      <c r="C727" s="1" t="n">
        <v>45576</v>
      </c>
      <c r="D727" t="inlineStr">
        <is>
          <t>VÄSTMANLANDS LÄN</t>
        </is>
      </c>
      <c r="E727" t="inlineStr">
        <is>
          <t>SALA</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26509-2023</t>
        </is>
      </c>
      <c r="B728" s="1" t="n">
        <v>45092</v>
      </c>
      <c r="C728" s="1" t="n">
        <v>45576</v>
      </c>
      <c r="D728" t="inlineStr">
        <is>
          <t>VÄSTMANLANDS LÄN</t>
        </is>
      </c>
      <c r="E728" t="inlineStr">
        <is>
          <t>SALA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26508-2023</t>
        </is>
      </c>
      <c r="B729" s="1" t="n">
        <v>45092</v>
      </c>
      <c r="C729" s="1" t="n">
        <v>45576</v>
      </c>
      <c r="D729" t="inlineStr">
        <is>
          <t>VÄSTMANLANDS LÄN</t>
        </is>
      </c>
      <c r="E729" t="inlineStr">
        <is>
          <t>SALA</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26416-2023</t>
        </is>
      </c>
      <c r="B730" s="1" t="n">
        <v>45092</v>
      </c>
      <c r="C730" s="1" t="n">
        <v>45576</v>
      </c>
      <c r="D730" t="inlineStr">
        <is>
          <t>VÄSTMANLANDS LÄN</t>
        </is>
      </c>
      <c r="E730" t="inlineStr">
        <is>
          <t>SALA</t>
        </is>
      </c>
      <c r="G730" t="n">
        <v>2.9</v>
      </c>
      <c r="H730" t="n">
        <v>0</v>
      </c>
      <c r="I730" t="n">
        <v>0</v>
      </c>
      <c r="J730" t="n">
        <v>0</v>
      </c>
      <c r="K730" t="n">
        <v>0</v>
      </c>
      <c r="L730" t="n">
        <v>0</v>
      </c>
      <c r="M730" t="n">
        <v>0</v>
      </c>
      <c r="N730" t="n">
        <v>0</v>
      </c>
      <c r="O730" t="n">
        <v>0</v>
      </c>
      <c r="P730" t="n">
        <v>0</v>
      </c>
      <c r="Q730" t="n">
        <v>0</v>
      </c>
      <c r="R730" s="2" t="inlineStr"/>
    </row>
    <row r="731" ht="15" customHeight="1">
      <c r="A731" t="inlineStr">
        <is>
          <t>A 26507-2023</t>
        </is>
      </c>
      <c r="B731" s="1" t="n">
        <v>45092</v>
      </c>
      <c r="C731" s="1" t="n">
        <v>45576</v>
      </c>
      <c r="D731" t="inlineStr">
        <is>
          <t>VÄSTMANLANDS LÄN</t>
        </is>
      </c>
      <c r="E731" t="inlineStr">
        <is>
          <t>SALA</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26692-2023</t>
        </is>
      </c>
      <c r="B732" s="1" t="n">
        <v>45093</v>
      </c>
      <c r="C732" s="1" t="n">
        <v>45576</v>
      </c>
      <c r="D732" t="inlineStr">
        <is>
          <t>VÄSTMANLANDS LÄN</t>
        </is>
      </c>
      <c r="E732" t="inlineStr">
        <is>
          <t>SALA</t>
        </is>
      </c>
      <c r="G732" t="n">
        <v>1.8</v>
      </c>
      <c r="H732" t="n">
        <v>0</v>
      </c>
      <c r="I732" t="n">
        <v>0</v>
      </c>
      <c r="J732" t="n">
        <v>0</v>
      </c>
      <c r="K732" t="n">
        <v>0</v>
      </c>
      <c r="L732" t="n">
        <v>0</v>
      </c>
      <c r="M732" t="n">
        <v>0</v>
      </c>
      <c r="N732" t="n">
        <v>0</v>
      </c>
      <c r="O732" t="n">
        <v>0</v>
      </c>
      <c r="P732" t="n">
        <v>0</v>
      </c>
      <c r="Q732" t="n">
        <v>0</v>
      </c>
      <c r="R732" s="2" t="inlineStr"/>
    </row>
    <row r="733" ht="15" customHeight="1">
      <c r="A733" t="inlineStr">
        <is>
          <t>A 26761-2023</t>
        </is>
      </c>
      <c r="B733" s="1" t="n">
        <v>45093</v>
      </c>
      <c r="C733" s="1" t="n">
        <v>45576</v>
      </c>
      <c r="D733" t="inlineStr">
        <is>
          <t>VÄSTMANLANDS LÄN</t>
        </is>
      </c>
      <c r="E733" t="inlineStr">
        <is>
          <t>SALA</t>
        </is>
      </c>
      <c r="G733" t="n">
        <v>4.3</v>
      </c>
      <c r="H733" t="n">
        <v>0</v>
      </c>
      <c r="I733" t="n">
        <v>0</v>
      </c>
      <c r="J733" t="n">
        <v>0</v>
      </c>
      <c r="K733" t="n">
        <v>0</v>
      </c>
      <c r="L733" t="n">
        <v>0</v>
      </c>
      <c r="M733" t="n">
        <v>0</v>
      </c>
      <c r="N733" t="n">
        <v>0</v>
      </c>
      <c r="O733" t="n">
        <v>0</v>
      </c>
      <c r="P733" t="n">
        <v>0</v>
      </c>
      <c r="Q733" t="n">
        <v>0</v>
      </c>
      <c r="R733" s="2" t="inlineStr"/>
    </row>
    <row r="734" ht="15" customHeight="1">
      <c r="A734" t="inlineStr">
        <is>
          <t>A 27023-2023</t>
        </is>
      </c>
      <c r="B734" s="1" t="n">
        <v>45094</v>
      </c>
      <c r="C734" s="1" t="n">
        <v>45576</v>
      </c>
      <c r="D734" t="inlineStr">
        <is>
          <t>VÄSTMANLANDS LÄN</t>
        </is>
      </c>
      <c r="E734" t="inlineStr">
        <is>
          <t>SALA</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27038-2023</t>
        </is>
      </c>
      <c r="B735" s="1" t="n">
        <v>45095</v>
      </c>
      <c r="C735" s="1" t="n">
        <v>45576</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27228-2023</t>
        </is>
      </c>
      <c r="B736" s="1" t="n">
        <v>45096</v>
      </c>
      <c r="C736" s="1" t="n">
        <v>45576</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27255-2023</t>
        </is>
      </c>
      <c r="B737" s="1" t="n">
        <v>45096</v>
      </c>
      <c r="C737" s="1" t="n">
        <v>45576</v>
      </c>
      <c r="D737" t="inlineStr">
        <is>
          <t>VÄSTMANLANDS LÄN</t>
        </is>
      </c>
      <c r="E737" t="inlineStr">
        <is>
          <t>SALA</t>
        </is>
      </c>
      <c r="F737" t="inlineStr">
        <is>
          <t>Sveaskog</t>
        </is>
      </c>
      <c r="G737" t="n">
        <v>2.3</v>
      </c>
      <c r="H737" t="n">
        <v>0</v>
      </c>
      <c r="I737" t="n">
        <v>0</v>
      </c>
      <c r="J737" t="n">
        <v>0</v>
      </c>
      <c r="K737" t="n">
        <v>0</v>
      </c>
      <c r="L737" t="n">
        <v>0</v>
      </c>
      <c r="M737" t="n">
        <v>0</v>
      </c>
      <c r="N737" t="n">
        <v>0</v>
      </c>
      <c r="O737" t="n">
        <v>0</v>
      </c>
      <c r="P737" t="n">
        <v>0</v>
      </c>
      <c r="Q737" t="n">
        <v>0</v>
      </c>
      <c r="R737" s="2" t="inlineStr"/>
    </row>
    <row r="738" ht="15" customHeight="1">
      <c r="A738" t="inlineStr">
        <is>
          <t>A 27424-2023</t>
        </is>
      </c>
      <c r="B738" s="1" t="n">
        <v>45097</v>
      </c>
      <c r="C738" s="1" t="n">
        <v>45576</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27638-2023</t>
        </is>
      </c>
      <c r="B739" s="1" t="n">
        <v>45097</v>
      </c>
      <c r="C739" s="1" t="n">
        <v>45576</v>
      </c>
      <c r="D739" t="inlineStr">
        <is>
          <t>VÄSTMANLANDS LÄN</t>
        </is>
      </c>
      <c r="E739" t="inlineStr">
        <is>
          <t>SALA</t>
        </is>
      </c>
      <c r="G739" t="n">
        <v>8.4</v>
      </c>
      <c r="H739" t="n">
        <v>0</v>
      </c>
      <c r="I739" t="n">
        <v>0</v>
      </c>
      <c r="J739" t="n">
        <v>0</v>
      </c>
      <c r="K739" t="n">
        <v>0</v>
      </c>
      <c r="L739" t="n">
        <v>0</v>
      </c>
      <c r="M739" t="n">
        <v>0</v>
      </c>
      <c r="N739" t="n">
        <v>0</v>
      </c>
      <c r="O739" t="n">
        <v>0</v>
      </c>
      <c r="P739" t="n">
        <v>0</v>
      </c>
      <c r="Q739" t="n">
        <v>0</v>
      </c>
      <c r="R739" s="2" t="inlineStr"/>
    </row>
    <row r="740" ht="15" customHeight="1">
      <c r="A740" t="inlineStr">
        <is>
          <t>A 27657-2023</t>
        </is>
      </c>
      <c r="B740" s="1" t="n">
        <v>45097</v>
      </c>
      <c r="C740" s="1" t="n">
        <v>45576</v>
      </c>
      <c r="D740" t="inlineStr">
        <is>
          <t>VÄSTMANLANDS LÄN</t>
        </is>
      </c>
      <c r="E740" t="inlineStr">
        <is>
          <t>SALA</t>
        </is>
      </c>
      <c r="G740" t="n">
        <v>0.1</v>
      </c>
      <c r="H740" t="n">
        <v>0</v>
      </c>
      <c r="I740" t="n">
        <v>0</v>
      </c>
      <c r="J740" t="n">
        <v>0</v>
      </c>
      <c r="K740" t="n">
        <v>0</v>
      </c>
      <c r="L740" t="n">
        <v>0</v>
      </c>
      <c r="M740" t="n">
        <v>0</v>
      </c>
      <c r="N740" t="n">
        <v>0</v>
      </c>
      <c r="O740" t="n">
        <v>0</v>
      </c>
      <c r="P740" t="n">
        <v>0</v>
      </c>
      <c r="Q740" t="n">
        <v>0</v>
      </c>
      <c r="R740" s="2" t="inlineStr"/>
    </row>
    <row r="741" ht="15" customHeight="1">
      <c r="A741" t="inlineStr">
        <is>
          <t>A 27744-2023</t>
        </is>
      </c>
      <c r="B741" s="1" t="n">
        <v>45098</v>
      </c>
      <c r="C741" s="1" t="n">
        <v>45576</v>
      </c>
      <c r="D741" t="inlineStr">
        <is>
          <t>VÄSTMANLANDS LÄN</t>
        </is>
      </c>
      <c r="E741" t="inlineStr">
        <is>
          <t>SALA</t>
        </is>
      </c>
      <c r="G741" t="n">
        <v>5.7</v>
      </c>
      <c r="H741" t="n">
        <v>0</v>
      </c>
      <c r="I741" t="n">
        <v>0</v>
      </c>
      <c r="J741" t="n">
        <v>0</v>
      </c>
      <c r="K741" t="n">
        <v>0</v>
      </c>
      <c r="L741" t="n">
        <v>0</v>
      </c>
      <c r="M741" t="n">
        <v>0</v>
      </c>
      <c r="N741" t="n">
        <v>0</v>
      </c>
      <c r="O741" t="n">
        <v>0</v>
      </c>
      <c r="P741" t="n">
        <v>0</v>
      </c>
      <c r="Q741" t="n">
        <v>0</v>
      </c>
      <c r="R741" s="2" t="inlineStr"/>
    </row>
    <row r="742" ht="15" customHeight="1">
      <c r="A742" t="inlineStr">
        <is>
          <t>A 27834-2023</t>
        </is>
      </c>
      <c r="B742" s="1" t="n">
        <v>45098</v>
      </c>
      <c r="C742" s="1" t="n">
        <v>45576</v>
      </c>
      <c r="D742" t="inlineStr">
        <is>
          <t>VÄSTMANLANDS LÄN</t>
        </is>
      </c>
      <c r="E742" t="inlineStr">
        <is>
          <t>SALA</t>
        </is>
      </c>
      <c r="G742" t="n">
        <v>5</v>
      </c>
      <c r="H742" t="n">
        <v>0</v>
      </c>
      <c r="I742" t="n">
        <v>0</v>
      </c>
      <c r="J742" t="n">
        <v>0</v>
      </c>
      <c r="K742" t="n">
        <v>0</v>
      </c>
      <c r="L742" t="n">
        <v>0</v>
      </c>
      <c r="M742" t="n">
        <v>0</v>
      </c>
      <c r="N742" t="n">
        <v>0</v>
      </c>
      <c r="O742" t="n">
        <v>0</v>
      </c>
      <c r="P742" t="n">
        <v>0</v>
      </c>
      <c r="Q742" t="n">
        <v>0</v>
      </c>
      <c r="R742" s="2" t="inlineStr"/>
    </row>
    <row r="743" ht="15" customHeight="1">
      <c r="A743" t="inlineStr">
        <is>
          <t>A 27824-2023</t>
        </is>
      </c>
      <c r="B743" s="1" t="n">
        <v>45098</v>
      </c>
      <c r="C743" s="1" t="n">
        <v>45576</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27749-2023</t>
        </is>
      </c>
      <c r="B744" s="1" t="n">
        <v>45098</v>
      </c>
      <c r="C744" s="1" t="n">
        <v>45576</v>
      </c>
      <c r="D744" t="inlineStr">
        <is>
          <t>VÄSTMANLANDS LÄN</t>
        </is>
      </c>
      <c r="E744" t="inlineStr">
        <is>
          <t>SALA</t>
        </is>
      </c>
      <c r="G744" t="n">
        <v>2.1</v>
      </c>
      <c r="H744" t="n">
        <v>0</v>
      </c>
      <c r="I744" t="n">
        <v>0</v>
      </c>
      <c r="J744" t="n">
        <v>0</v>
      </c>
      <c r="K744" t="n">
        <v>0</v>
      </c>
      <c r="L744" t="n">
        <v>0</v>
      </c>
      <c r="M744" t="n">
        <v>0</v>
      </c>
      <c r="N744" t="n">
        <v>0</v>
      </c>
      <c r="O744" t="n">
        <v>0</v>
      </c>
      <c r="P744" t="n">
        <v>0</v>
      </c>
      <c r="Q744" t="n">
        <v>0</v>
      </c>
      <c r="R744" s="2" t="inlineStr"/>
    </row>
    <row r="745" ht="15" customHeight="1">
      <c r="A745" t="inlineStr">
        <is>
          <t>A 29542-2023</t>
        </is>
      </c>
      <c r="B745" s="1" t="n">
        <v>45098</v>
      </c>
      <c r="C745" s="1" t="n">
        <v>45576</v>
      </c>
      <c r="D745" t="inlineStr">
        <is>
          <t>VÄSTMANLANDS LÄN</t>
        </is>
      </c>
      <c r="E745" t="inlineStr">
        <is>
          <t>SALA</t>
        </is>
      </c>
      <c r="G745" t="n">
        <v>4.8</v>
      </c>
      <c r="H745" t="n">
        <v>0</v>
      </c>
      <c r="I745" t="n">
        <v>0</v>
      </c>
      <c r="J745" t="n">
        <v>0</v>
      </c>
      <c r="K745" t="n">
        <v>0</v>
      </c>
      <c r="L745" t="n">
        <v>0</v>
      </c>
      <c r="M745" t="n">
        <v>0</v>
      </c>
      <c r="N745" t="n">
        <v>0</v>
      </c>
      <c r="O745" t="n">
        <v>0</v>
      </c>
      <c r="P745" t="n">
        <v>0</v>
      </c>
      <c r="Q745" t="n">
        <v>0</v>
      </c>
      <c r="R745" s="2" t="inlineStr"/>
    </row>
    <row r="746" ht="15" customHeight="1">
      <c r="A746" t="inlineStr">
        <is>
          <t>A 28328-2023</t>
        </is>
      </c>
      <c r="B746" s="1" t="n">
        <v>45099</v>
      </c>
      <c r="C746" s="1" t="n">
        <v>45576</v>
      </c>
      <c r="D746" t="inlineStr">
        <is>
          <t>VÄSTMANLANDS LÄN</t>
        </is>
      </c>
      <c r="E746" t="inlineStr">
        <is>
          <t>SALA</t>
        </is>
      </c>
      <c r="G746" t="n">
        <v>1.8</v>
      </c>
      <c r="H746" t="n">
        <v>0</v>
      </c>
      <c r="I746" t="n">
        <v>0</v>
      </c>
      <c r="J746" t="n">
        <v>0</v>
      </c>
      <c r="K746" t="n">
        <v>0</v>
      </c>
      <c r="L746" t="n">
        <v>0</v>
      </c>
      <c r="M746" t="n">
        <v>0</v>
      </c>
      <c r="N746" t="n">
        <v>0</v>
      </c>
      <c r="O746" t="n">
        <v>0</v>
      </c>
      <c r="P746" t="n">
        <v>0</v>
      </c>
      <c r="Q746" t="n">
        <v>0</v>
      </c>
      <c r="R746" s="2" t="inlineStr"/>
    </row>
    <row r="747" ht="15" customHeight="1">
      <c r="A747" t="inlineStr">
        <is>
          <t>A 28696-2023</t>
        </is>
      </c>
      <c r="B747" s="1" t="n">
        <v>45103</v>
      </c>
      <c r="C747" s="1" t="n">
        <v>45576</v>
      </c>
      <c r="D747" t="inlineStr">
        <is>
          <t>VÄSTMANLANDS LÄN</t>
        </is>
      </c>
      <c r="E747" t="inlineStr">
        <is>
          <t>SALA</t>
        </is>
      </c>
      <c r="F747" t="inlineStr">
        <is>
          <t>Kommuner</t>
        </is>
      </c>
      <c r="G747" t="n">
        <v>5.9</v>
      </c>
      <c r="H747" t="n">
        <v>0</v>
      </c>
      <c r="I747" t="n">
        <v>0</v>
      </c>
      <c r="J747" t="n">
        <v>0</v>
      </c>
      <c r="K747" t="n">
        <v>0</v>
      </c>
      <c r="L747" t="n">
        <v>0</v>
      </c>
      <c r="M747" t="n">
        <v>0</v>
      </c>
      <c r="N747" t="n">
        <v>0</v>
      </c>
      <c r="O747" t="n">
        <v>0</v>
      </c>
      <c r="P747" t="n">
        <v>0</v>
      </c>
      <c r="Q747" t="n">
        <v>0</v>
      </c>
      <c r="R747" s="2" t="inlineStr"/>
    </row>
    <row r="748" ht="15" customHeight="1">
      <c r="A748" t="inlineStr">
        <is>
          <t>A 29241-2023</t>
        </is>
      </c>
      <c r="B748" s="1" t="n">
        <v>45105</v>
      </c>
      <c r="C748" s="1" t="n">
        <v>45576</v>
      </c>
      <c r="D748" t="inlineStr">
        <is>
          <t>VÄSTMANLANDS LÄN</t>
        </is>
      </c>
      <c r="E748" t="inlineStr">
        <is>
          <t>SALA</t>
        </is>
      </c>
      <c r="F748" t="inlineStr">
        <is>
          <t>Kommuner</t>
        </is>
      </c>
      <c r="G748" t="n">
        <v>4.8</v>
      </c>
      <c r="H748" t="n">
        <v>0</v>
      </c>
      <c r="I748" t="n">
        <v>0</v>
      </c>
      <c r="J748" t="n">
        <v>0</v>
      </c>
      <c r="K748" t="n">
        <v>0</v>
      </c>
      <c r="L748" t="n">
        <v>0</v>
      </c>
      <c r="M748" t="n">
        <v>0</v>
      </c>
      <c r="N748" t="n">
        <v>0</v>
      </c>
      <c r="O748" t="n">
        <v>0</v>
      </c>
      <c r="P748" t="n">
        <v>0</v>
      </c>
      <c r="Q748" t="n">
        <v>0</v>
      </c>
      <c r="R748" s="2" t="inlineStr"/>
    </row>
    <row r="749" ht="15" customHeight="1">
      <c r="A749" t="inlineStr">
        <is>
          <t>A 31945-2023</t>
        </is>
      </c>
      <c r="B749" s="1" t="n">
        <v>45107</v>
      </c>
      <c r="C749" s="1" t="n">
        <v>45576</v>
      </c>
      <c r="D749" t="inlineStr">
        <is>
          <t>VÄSTMANLANDS LÄN</t>
        </is>
      </c>
      <c r="E749" t="inlineStr">
        <is>
          <t>SALA</t>
        </is>
      </c>
      <c r="G749" t="n">
        <v>2.1</v>
      </c>
      <c r="H749" t="n">
        <v>0</v>
      </c>
      <c r="I749" t="n">
        <v>0</v>
      </c>
      <c r="J749" t="n">
        <v>0</v>
      </c>
      <c r="K749" t="n">
        <v>0</v>
      </c>
      <c r="L749" t="n">
        <v>0</v>
      </c>
      <c r="M749" t="n">
        <v>0</v>
      </c>
      <c r="N749" t="n">
        <v>0</v>
      </c>
      <c r="O749" t="n">
        <v>0</v>
      </c>
      <c r="P749" t="n">
        <v>0</v>
      </c>
      <c r="Q749" t="n">
        <v>0</v>
      </c>
      <c r="R749" s="2" t="inlineStr"/>
    </row>
    <row r="750" ht="15" customHeight="1">
      <c r="A750" t="inlineStr">
        <is>
          <t>A 31950-2023</t>
        </is>
      </c>
      <c r="B750" s="1" t="n">
        <v>45107</v>
      </c>
      <c r="C750" s="1" t="n">
        <v>45576</v>
      </c>
      <c r="D750" t="inlineStr">
        <is>
          <t>VÄSTMANLANDS LÄN</t>
        </is>
      </c>
      <c r="E750" t="inlineStr">
        <is>
          <t>SALA</t>
        </is>
      </c>
      <c r="G750" t="n">
        <v>2</v>
      </c>
      <c r="H750" t="n">
        <v>0</v>
      </c>
      <c r="I750" t="n">
        <v>0</v>
      </c>
      <c r="J750" t="n">
        <v>0</v>
      </c>
      <c r="K750" t="n">
        <v>0</v>
      </c>
      <c r="L750" t="n">
        <v>0</v>
      </c>
      <c r="M750" t="n">
        <v>0</v>
      </c>
      <c r="N750" t="n">
        <v>0</v>
      </c>
      <c r="O750" t="n">
        <v>0</v>
      </c>
      <c r="P750" t="n">
        <v>0</v>
      </c>
      <c r="Q750" t="n">
        <v>0</v>
      </c>
      <c r="R750" s="2" t="inlineStr"/>
    </row>
    <row r="751" ht="15" customHeight="1">
      <c r="A751" t="inlineStr">
        <is>
          <t>A 31953-2023</t>
        </is>
      </c>
      <c r="B751" s="1" t="n">
        <v>45107</v>
      </c>
      <c r="C751" s="1" t="n">
        <v>45576</v>
      </c>
      <c r="D751" t="inlineStr">
        <is>
          <t>VÄSTMANLANDS LÄN</t>
        </is>
      </c>
      <c r="E751" t="inlineStr">
        <is>
          <t>SALA</t>
        </is>
      </c>
      <c r="G751" t="n">
        <v>1.5</v>
      </c>
      <c r="H751" t="n">
        <v>0</v>
      </c>
      <c r="I751" t="n">
        <v>0</v>
      </c>
      <c r="J751" t="n">
        <v>0</v>
      </c>
      <c r="K751" t="n">
        <v>0</v>
      </c>
      <c r="L751" t="n">
        <v>0</v>
      </c>
      <c r="M751" t="n">
        <v>0</v>
      </c>
      <c r="N751" t="n">
        <v>0</v>
      </c>
      <c r="O751" t="n">
        <v>0</v>
      </c>
      <c r="P751" t="n">
        <v>0</v>
      </c>
      <c r="Q751" t="n">
        <v>0</v>
      </c>
      <c r="R751" s="2" t="inlineStr"/>
    </row>
    <row r="752" ht="15" customHeight="1">
      <c r="A752" t="inlineStr">
        <is>
          <t>A 31298-2023</t>
        </is>
      </c>
      <c r="B752" s="1" t="n">
        <v>45114</v>
      </c>
      <c r="C752" s="1" t="n">
        <v>45576</v>
      </c>
      <c r="D752" t="inlineStr">
        <is>
          <t>VÄSTMANLANDS LÄN</t>
        </is>
      </c>
      <c r="E752" t="inlineStr">
        <is>
          <t>SALA</t>
        </is>
      </c>
      <c r="G752" t="n">
        <v>3</v>
      </c>
      <c r="H752" t="n">
        <v>0</v>
      </c>
      <c r="I752" t="n">
        <v>0</v>
      </c>
      <c r="J752" t="n">
        <v>0</v>
      </c>
      <c r="K752" t="n">
        <v>0</v>
      </c>
      <c r="L752" t="n">
        <v>0</v>
      </c>
      <c r="M752" t="n">
        <v>0</v>
      </c>
      <c r="N752" t="n">
        <v>0</v>
      </c>
      <c r="O752" t="n">
        <v>0</v>
      </c>
      <c r="P752" t="n">
        <v>0</v>
      </c>
      <c r="Q752" t="n">
        <v>0</v>
      </c>
      <c r="R752" s="2" t="inlineStr"/>
    </row>
    <row r="753" ht="15" customHeight="1">
      <c r="A753" t="inlineStr">
        <is>
          <t>A 31315-2023</t>
        </is>
      </c>
      <c r="B753" s="1" t="n">
        <v>45114</v>
      </c>
      <c r="C753" s="1" t="n">
        <v>45576</v>
      </c>
      <c r="D753" t="inlineStr">
        <is>
          <t>VÄSTMANLANDS LÄN</t>
        </is>
      </c>
      <c r="E753" t="inlineStr">
        <is>
          <t>SALA</t>
        </is>
      </c>
      <c r="G753" t="n">
        <v>1.7</v>
      </c>
      <c r="H753" t="n">
        <v>0</v>
      </c>
      <c r="I753" t="n">
        <v>0</v>
      </c>
      <c r="J753" t="n">
        <v>0</v>
      </c>
      <c r="K753" t="n">
        <v>0</v>
      </c>
      <c r="L753" t="n">
        <v>0</v>
      </c>
      <c r="M753" t="n">
        <v>0</v>
      </c>
      <c r="N753" t="n">
        <v>0</v>
      </c>
      <c r="O753" t="n">
        <v>0</v>
      </c>
      <c r="P753" t="n">
        <v>0</v>
      </c>
      <c r="Q753" t="n">
        <v>0</v>
      </c>
      <c r="R753" s="2" t="inlineStr"/>
    </row>
    <row r="754" ht="15" customHeight="1">
      <c r="A754" t="inlineStr">
        <is>
          <t>A 31646-2023</t>
        </is>
      </c>
      <c r="B754" s="1" t="n">
        <v>45117</v>
      </c>
      <c r="C754" s="1" t="n">
        <v>45576</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31859-2023</t>
        </is>
      </c>
      <c r="B755" s="1" t="n">
        <v>45118</v>
      </c>
      <c r="C755" s="1" t="n">
        <v>45576</v>
      </c>
      <c r="D755" t="inlineStr">
        <is>
          <t>VÄSTMANLANDS LÄN</t>
        </is>
      </c>
      <c r="E755" t="inlineStr">
        <is>
          <t>SALA</t>
        </is>
      </c>
      <c r="G755" t="n">
        <v>0.5</v>
      </c>
      <c r="H755" t="n">
        <v>0</v>
      </c>
      <c r="I755" t="n">
        <v>0</v>
      </c>
      <c r="J755" t="n">
        <v>0</v>
      </c>
      <c r="K755" t="n">
        <v>0</v>
      </c>
      <c r="L755" t="n">
        <v>0</v>
      </c>
      <c r="M755" t="n">
        <v>0</v>
      </c>
      <c r="N755" t="n">
        <v>0</v>
      </c>
      <c r="O755" t="n">
        <v>0</v>
      </c>
      <c r="P755" t="n">
        <v>0</v>
      </c>
      <c r="Q755" t="n">
        <v>0</v>
      </c>
      <c r="R755" s="2" t="inlineStr"/>
      <c r="U755">
        <f>HYPERLINK("https://klasma.github.io/Logging_1981/knärot/A 31859-2023 karta knärot.png", "A 31859-2023")</f>
        <v/>
      </c>
      <c r="V755">
        <f>HYPERLINK("https://klasma.github.io/Logging_1981/klagomål/A 31859-2023 FSC-klagomål.docx", "A 31859-2023")</f>
        <v/>
      </c>
      <c r="W755">
        <f>HYPERLINK("https://klasma.github.io/Logging_1981/klagomålsmail/A 31859-2023 FSC-klagomål mail.docx", "A 31859-2023")</f>
        <v/>
      </c>
      <c r="X755">
        <f>HYPERLINK("https://klasma.github.io/Logging_1981/tillsyn/A 31859-2023 tillsynsbegäran.docx", "A 31859-2023")</f>
        <v/>
      </c>
      <c r="Y755">
        <f>HYPERLINK("https://klasma.github.io/Logging_1981/tillsynsmail/A 31859-2023 tillsynsbegäran mail.docx", "A 31859-2023")</f>
        <v/>
      </c>
    </row>
    <row r="756" ht="15" customHeight="1">
      <c r="A756" t="inlineStr">
        <is>
          <t>A 32945-2023</t>
        </is>
      </c>
      <c r="B756" s="1" t="n">
        <v>45125</v>
      </c>
      <c r="C756" s="1" t="n">
        <v>45576</v>
      </c>
      <c r="D756" t="inlineStr">
        <is>
          <t>VÄSTMANLANDS LÄN</t>
        </is>
      </c>
      <c r="E756" t="inlineStr">
        <is>
          <t>SALA</t>
        </is>
      </c>
      <c r="G756" t="n">
        <v>1.5</v>
      </c>
      <c r="H756" t="n">
        <v>0</v>
      </c>
      <c r="I756" t="n">
        <v>0</v>
      </c>
      <c r="J756" t="n">
        <v>0</v>
      </c>
      <c r="K756" t="n">
        <v>0</v>
      </c>
      <c r="L756" t="n">
        <v>0</v>
      </c>
      <c r="M756" t="n">
        <v>0</v>
      </c>
      <c r="N756" t="n">
        <v>0</v>
      </c>
      <c r="O756" t="n">
        <v>0</v>
      </c>
      <c r="P756" t="n">
        <v>0</v>
      </c>
      <c r="Q756" t="n">
        <v>0</v>
      </c>
      <c r="R756" s="2" t="inlineStr"/>
    </row>
    <row r="757" ht="15" customHeight="1">
      <c r="A757" t="inlineStr">
        <is>
          <t>A 33152-2023</t>
        </is>
      </c>
      <c r="B757" s="1" t="n">
        <v>45126</v>
      </c>
      <c r="C757" s="1" t="n">
        <v>45576</v>
      </c>
      <c r="D757" t="inlineStr">
        <is>
          <t>VÄSTMANLANDS LÄN</t>
        </is>
      </c>
      <c r="E757" t="inlineStr">
        <is>
          <t>SALA</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33151-2023</t>
        </is>
      </c>
      <c r="B758" s="1" t="n">
        <v>45126</v>
      </c>
      <c r="C758" s="1" t="n">
        <v>45576</v>
      </c>
      <c r="D758" t="inlineStr">
        <is>
          <t>VÄSTMANLANDS LÄN</t>
        </is>
      </c>
      <c r="E758" t="inlineStr">
        <is>
          <t>SALA</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33180-2023</t>
        </is>
      </c>
      <c r="B759" s="1" t="n">
        <v>45127</v>
      </c>
      <c r="C759" s="1" t="n">
        <v>45576</v>
      </c>
      <c r="D759" t="inlineStr">
        <is>
          <t>VÄSTMANLANDS LÄN</t>
        </is>
      </c>
      <c r="E759" t="inlineStr">
        <is>
          <t>SALA</t>
        </is>
      </c>
      <c r="G759" t="n">
        <v>2.5</v>
      </c>
      <c r="H759" t="n">
        <v>0</v>
      </c>
      <c r="I759" t="n">
        <v>0</v>
      </c>
      <c r="J759" t="n">
        <v>0</v>
      </c>
      <c r="K759" t="n">
        <v>0</v>
      </c>
      <c r="L759" t="n">
        <v>0</v>
      </c>
      <c r="M759" t="n">
        <v>0</v>
      </c>
      <c r="N759" t="n">
        <v>0</v>
      </c>
      <c r="O759" t="n">
        <v>0</v>
      </c>
      <c r="P759" t="n">
        <v>0</v>
      </c>
      <c r="Q759" t="n">
        <v>0</v>
      </c>
      <c r="R759" s="2" t="inlineStr"/>
    </row>
    <row r="760" ht="15" customHeight="1">
      <c r="A760" t="inlineStr">
        <is>
          <t>A 33273-2023</t>
        </is>
      </c>
      <c r="B760" s="1" t="n">
        <v>45127</v>
      </c>
      <c r="C760" s="1" t="n">
        <v>45576</v>
      </c>
      <c r="D760" t="inlineStr">
        <is>
          <t>VÄSTMANLANDS LÄN</t>
        </is>
      </c>
      <c r="E760" t="inlineStr">
        <is>
          <t>SALA</t>
        </is>
      </c>
      <c r="G760" t="n">
        <v>2.6</v>
      </c>
      <c r="H760" t="n">
        <v>0</v>
      </c>
      <c r="I760" t="n">
        <v>0</v>
      </c>
      <c r="J760" t="n">
        <v>0</v>
      </c>
      <c r="K760" t="n">
        <v>0</v>
      </c>
      <c r="L760" t="n">
        <v>0</v>
      </c>
      <c r="M760" t="n">
        <v>0</v>
      </c>
      <c r="N760" t="n">
        <v>0</v>
      </c>
      <c r="O760" t="n">
        <v>0</v>
      </c>
      <c r="P760" t="n">
        <v>0</v>
      </c>
      <c r="Q760" t="n">
        <v>0</v>
      </c>
      <c r="R760" s="2" t="inlineStr"/>
    </row>
    <row r="761" ht="15" customHeight="1">
      <c r="A761" t="inlineStr">
        <is>
          <t>A 33527-2023</t>
        </is>
      </c>
      <c r="B761" s="1" t="n">
        <v>45131</v>
      </c>
      <c r="C761" s="1" t="n">
        <v>45576</v>
      </c>
      <c r="D761" t="inlineStr">
        <is>
          <t>VÄSTMANLANDS LÄN</t>
        </is>
      </c>
      <c r="E761" t="inlineStr">
        <is>
          <t>SALA</t>
        </is>
      </c>
      <c r="G761" t="n">
        <v>1</v>
      </c>
      <c r="H761" t="n">
        <v>0</v>
      </c>
      <c r="I761" t="n">
        <v>0</v>
      </c>
      <c r="J761" t="n">
        <v>0</v>
      </c>
      <c r="K761" t="n">
        <v>0</v>
      </c>
      <c r="L761" t="n">
        <v>0</v>
      </c>
      <c r="M761" t="n">
        <v>0</v>
      </c>
      <c r="N761" t="n">
        <v>0</v>
      </c>
      <c r="O761" t="n">
        <v>0</v>
      </c>
      <c r="P761" t="n">
        <v>0</v>
      </c>
      <c r="Q761" t="n">
        <v>0</v>
      </c>
      <c r="R761" s="2" t="inlineStr"/>
    </row>
    <row r="762" ht="15" customHeight="1">
      <c r="A762" t="inlineStr">
        <is>
          <t>A 34361-2023</t>
        </is>
      </c>
      <c r="B762" s="1" t="n">
        <v>45131</v>
      </c>
      <c r="C762" s="1" t="n">
        <v>45576</v>
      </c>
      <c r="D762" t="inlineStr">
        <is>
          <t>VÄSTMANLANDS LÄN</t>
        </is>
      </c>
      <c r="E762" t="inlineStr">
        <is>
          <t>SALA</t>
        </is>
      </c>
      <c r="G762" t="n">
        <v>2.7</v>
      </c>
      <c r="H762" t="n">
        <v>0</v>
      </c>
      <c r="I762" t="n">
        <v>0</v>
      </c>
      <c r="J762" t="n">
        <v>0</v>
      </c>
      <c r="K762" t="n">
        <v>0</v>
      </c>
      <c r="L762" t="n">
        <v>0</v>
      </c>
      <c r="M762" t="n">
        <v>0</v>
      </c>
      <c r="N762" t="n">
        <v>0</v>
      </c>
      <c r="O762" t="n">
        <v>0</v>
      </c>
      <c r="P762" t="n">
        <v>0</v>
      </c>
      <c r="Q762" t="n">
        <v>0</v>
      </c>
      <c r="R762" s="2" t="inlineStr"/>
    </row>
    <row r="763" ht="15" customHeight="1">
      <c r="A763" t="inlineStr">
        <is>
          <t>A 33732-2023</t>
        </is>
      </c>
      <c r="B763" s="1" t="n">
        <v>45133</v>
      </c>
      <c r="C763" s="1" t="n">
        <v>45576</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33743-2023</t>
        </is>
      </c>
      <c r="B764" s="1" t="n">
        <v>45133</v>
      </c>
      <c r="C764" s="1" t="n">
        <v>45576</v>
      </c>
      <c r="D764" t="inlineStr">
        <is>
          <t>VÄSTMANLANDS LÄN</t>
        </is>
      </c>
      <c r="E764" t="inlineStr">
        <is>
          <t>SALA</t>
        </is>
      </c>
      <c r="G764" t="n">
        <v>4.6</v>
      </c>
      <c r="H764" t="n">
        <v>0</v>
      </c>
      <c r="I764" t="n">
        <v>0</v>
      </c>
      <c r="J764" t="n">
        <v>0</v>
      </c>
      <c r="K764" t="n">
        <v>0</v>
      </c>
      <c r="L764" t="n">
        <v>0</v>
      </c>
      <c r="M764" t="n">
        <v>0</v>
      </c>
      <c r="N764" t="n">
        <v>0</v>
      </c>
      <c r="O764" t="n">
        <v>0</v>
      </c>
      <c r="P764" t="n">
        <v>0</v>
      </c>
      <c r="Q764" t="n">
        <v>0</v>
      </c>
      <c r="R764" s="2" t="inlineStr"/>
    </row>
    <row r="765" ht="15" customHeight="1">
      <c r="A765" t="inlineStr">
        <is>
          <t>A 34494-2023</t>
        </is>
      </c>
      <c r="B765" s="1" t="n">
        <v>45133</v>
      </c>
      <c r="C765" s="1" t="n">
        <v>45576</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34215-2023</t>
        </is>
      </c>
      <c r="B766" s="1" t="n">
        <v>45138</v>
      </c>
      <c r="C766" s="1" t="n">
        <v>45576</v>
      </c>
      <c r="D766" t="inlineStr">
        <is>
          <t>VÄSTMANLANDS LÄN</t>
        </is>
      </c>
      <c r="E766" t="inlineStr">
        <is>
          <t>SALA</t>
        </is>
      </c>
      <c r="G766" t="n">
        <v>0.9</v>
      </c>
      <c r="H766" t="n">
        <v>0</v>
      </c>
      <c r="I766" t="n">
        <v>0</v>
      </c>
      <c r="J766" t="n">
        <v>0</v>
      </c>
      <c r="K766" t="n">
        <v>0</v>
      </c>
      <c r="L766" t="n">
        <v>0</v>
      </c>
      <c r="M766" t="n">
        <v>0</v>
      </c>
      <c r="N766" t="n">
        <v>0</v>
      </c>
      <c r="O766" t="n">
        <v>0</v>
      </c>
      <c r="P766" t="n">
        <v>0</v>
      </c>
      <c r="Q766" t="n">
        <v>0</v>
      </c>
      <c r="R766" s="2" t="inlineStr"/>
    </row>
    <row r="767" ht="15" customHeight="1">
      <c r="A767" t="inlineStr">
        <is>
          <t>A 34867-2023</t>
        </is>
      </c>
      <c r="B767" s="1" t="n">
        <v>45142</v>
      </c>
      <c r="C767" s="1" t="n">
        <v>45576</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35434-2023</t>
        </is>
      </c>
      <c r="B768" s="1" t="n">
        <v>45146</v>
      </c>
      <c r="C768" s="1" t="n">
        <v>45576</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36393-2023</t>
        </is>
      </c>
      <c r="B769" s="1" t="n">
        <v>45152</v>
      </c>
      <c r="C769" s="1" t="n">
        <v>45576</v>
      </c>
      <c r="D769" t="inlineStr">
        <is>
          <t>VÄSTMANLANDS LÄN</t>
        </is>
      </c>
      <c r="E769" t="inlineStr">
        <is>
          <t>SALA</t>
        </is>
      </c>
      <c r="G769" t="n">
        <v>0.9</v>
      </c>
      <c r="H769" t="n">
        <v>0</v>
      </c>
      <c r="I769" t="n">
        <v>0</v>
      </c>
      <c r="J769" t="n">
        <v>0</v>
      </c>
      <c r="K769" t="n">
        <v>0</v>
      </c>
      <c r="L769" t="n">
        <v>0</v>
      </c>
      <c r="M769" t="n">
        <v>0</v>
      </c>
      <c r="N769" t="n">
        <v>0</v>
      </c>
      <c r="O769" t="n">
        <v>0</v>
      </c>
      <c r="P769" t="n">
        <v>0</v>
      </c>
      <c r="Q769" t="n">
        <v>0</v>
      </c>
      <c r="R769" s="2" t="inlineStr"/>
    </row>
    <row r="770" ht="15" customHeight="1">
      <c r="A770" t="inlineStr">
        <is>
          <t>A 36858-2023</t>
        </is>
      </c>
      <c r="B770" s="1" t="n">
        <v>45154</v>
      </c>
      <c r="C770" s="1" t="n">
        <v>45576</v>
      </c>
      <c r="D770" t="inlineStr">
        <is>
          <t>VÄSTMANLANDS LÄN</t>
        </is>
      </c>
      <c r="E770" t="inlineStr">
        <is>
          <t>SALA</t>
        </is>
      </c>
      <c r="G770" t="n">
        <v>2.1</v>
      </c>
      <c r="H770" t="n">
        <v>0</v>
      </c>
      <c r="I770" t="n">
        <v>0</v>
      </c>
      <c r="J770" t="n">
        <v>0</v>
      </c>
      <c r="K770" t="n">
        <v>0</v>
      </c>
      <c r="L770" t="n">
        <v>0</v>
      </c>
      <c r="M770" t="n">
        <v>0</v>
      </c>
      <c r="N770" t="n">
        <v>0</v>
      </c>
      <c r="O770" t="n">
        <v>0</v>
      </c>
      <c r="P770" t="n">
        <v>0</v>
      </c>
      <c r="Q770" t="n">
        <v>0</v>
      </c>
      <c r="R770" s="2" t="inlineStr"/>
    </row>
    <row r="771" ht="15" customHeight="1">
      <c r="A771" t="inlineStr">
        <is>
          <t>A 38773-2023</t>
        </is>
      </c>
      <c r="B771" s="1" t="n">
        <v>45161</v>
      </c>
      <c r="C771" s="1" t="n">
        <v>45576</v>
      </c>
      <c r="D771" t="inlineStr">
        <is>
          <t>VÄSTMANLANDS LÄN</t>
        </is>
      </c>
      <c r="E771" t="inlineStr">
        <is>
          <t>SALA</t>
        </is>
      </c>
      <c r="G771" t="n">
        <v>12.5</v>
      </c>
      <c r="H771" t="n">
        <v>0</v>
      </c>
      <c r="I771" t="n">
        <v>0</v>
      </c>
      <c r="J771" t="n">
        <v>0</v>
      </c>
      <c r="K771" t="n">
        <v>0</v>
      </c>
      <c r="L771" t="n">
        <v>0</v>
      </c>
      <c r="M771" t="n">
        <v>0</v>
      </c>
      <c r="N771" t="n">
        <v>0</v>
      </c>
      <c r="O771" t="n">
        <v>0</v>
      </c>
      <c r="P771" t="n">
        <v>0</v>
      </c>
      <c r="Q771" t="n">
        <v>0</v>
      </c>
      <c r="R771" s="2" t="inlineStr"/>
    </row>
    <row r="772" ht="15" customHeight="1">
      <c r="A772" t="inlineStr">
        <is>
          <t>A 38561-2023</t>
        </is>
      </c>
      <c r="B772" s="1" t="n">
        <v>45162</v>
      </c>
      <c r="C772" s="1" t="n">
        <v>45576</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39011-2023</t>
        </is>
      </c>
      <c r="B773" s="1" t="n">
        <v>45162</v>
      </c>
      <c r="C773" s="1" t="n">
        <v>45576</v>
      </c>
      <c r="D773" t="inlineStr">
        <is>
          <t>VÄSTMANLANDS LÄN</t>
        </is>
      </c>
      <c r="E773" t="inlineStr">
        <is>
          <t>SALA</t>
        </is>
      </c>
      <c r="G773" t="n">
        <v>1.6</v>
      </c>
      <c r="H773" t="n">
        <v>0</v>
      </c>
      <c r="I773" t="n">
        <v>0</v>
      </c>
      <c r="J773" t="n">
        <v>0</v>
      </c>
      <c r="K773" t="n">
        <v>0</v>
      </c>
      <c r="L773" t="n">
        <v>0</v>
      </c>
      <c r="M773" t="n">
        <v>0</v>
      </c>
      <c r="N773" t="n">
        <v>0</v>
      </c>
      <c r="O773" t="n">
        <v>0</v>
      </c>
      <c r="P773" t="n">
        <v>0</v>
      </c>
      <c r="Q773" t="n">
        <v>0</v>
      </c>
      <c r="R773" s="2" t="inlineStr"/>
    </row>
    <row r="774" ht="15" customHeight="1">
      <c r="A774" t="inlineStr">
        <is>
          <t>A 39604-2023</t>
        </is>
      </c>
      <c r="B774" s="1" t="n">
        <v>45163</v>
      </c>
      <c r="C774" s="1" t="n">
        <v>45576</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39714-2023</t>
        </is>
      </c>
      <c r="B775" s="1" t="n">
        <v>45167</v>
      </c>
      <c r="C775" s="1" t="n">
        <v>45576</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39708-2023</t>
        </is>
      </c>
      <c r="B776" s="1" t="n">
        <v>45167</v>
      </c>
      <c r="C776" s="1" t="n">
        <v>45576</v>
      </c>
      <c r="D776" t="inlineStr">
        <is>
          <t>VÄSTMANLANDS LÄN</t>
        </is>
      </c>
      <c r="E776" t="inlineStr">
        <is>
          <t>SALA</t>
        </is>
      </c>
      <c r="G776" t="n">
        <v>5.3</v>
      </c>
      <c r="H776" t="n">
        <v>0</v>
      </c>
      <c r="I776" t="n">
        <v>0</v>
      </c>
      <c r="J776" t="n">
        <v>0</v>
      </c>
      <c r="K776" t="n">
        <v>0</v>
      </c>
      <c r="L776" t="n">
        <v>0</v>
      </c>
      <c r="M776" t="n">
        <v>0</v>
      </c>
      <c r="N776" t="n">
        <v>0</v>
      </c>
      <c r="O776" t="n">
        <v>0</v>
      </c>
      <c r="P776" t="n">
        <v>0</v>
      </c>
      <c r="Q776" t="n">
        <v>0</v>
      </c>
      <c r="R776" s="2" t="inlineStr"/>
    </row>
    <row r="777" ht="15" customHeight="1">
      <c r="A777" t="inlineStr">
        <is>
          <t>A 39713-2023</t>
        </is>
      </c>
      <c r="B777" s="1" t="n">
        <v>45167</v>
      </c>
      <c r="C777" s="1" t="n">
        <v>45576</v>
      </c>
      <c r="D777" t="inlineStr">
        <is>
          <t>VÄSTMANLANDS LÄN</t>
        </is>
      </c>
      <c r="E777" t="inlineStr">
        <is>
          <t>SALA</t>
        </is>
      </c>
      <c r="G777" t="n">
        <v>3.1</v>
      </c>
      <c r="H777" t="n">
        <v>0</v>
      </c>
      <c r="I777" t="n">
        <v>0</v>
      </c>
      <c r="J777" t="n">
        <v>0</v>
      </c>
      <c r="K777" t="n">
        <v>0</v>
      </c>
      <c r="L777" t="n">
        <v>0</v>
      </c>
      <c r="M777" t="n">
        <v>0</v>
      </c>
      <c r="N777" t="n">
        <v>0</v>
      </c>
      <c r="O777" t="n">
        <v>0</v>
      </c>
      <c r="P777" t="n">
        <v>0</v>
      </c>
      <c r="Q777" t="n">
        <v>0</v>
      </c>
      <c r="R777" s="2" t="inlineStr"/>
    </row>
    <row r="778" ht="15" customHeight="1">
      <c r="A778" t="inlineStr">
        <is>
          <t>A 40214-2023</t>
        </is>
      </c>
      <c r="B778" s="1" t="n">
        <v>45169</v>
      </c>
      <c r="C778" s="1" t="n">
        <v>45576</v>
      </c>
      <c r="D778" t="inlineStr">
        <is>
          <t>VÄSTMANLANDS LÄN</t>
        </is>
      </c>
      <c r="E778" t="inlineStr">
        <is>
          <t>SALA</t>
        </is>
      </c>
      <c r="G778" t="n">
        <v>5.5</v>
      </c>
      <c r="H778" t="n">
        <v>0</v>
      </c>
      <c r="I778" t="n">
        <v>0</v>
      </c>
      <c r="J778" t="n">
        <v>0</v>
      </c>
      <c r="K778" t="n">
        <v>0</v>
      </c>
      <c r="L778" t="n">
        <v>0</v>
      </c>
      <c r="M778" t="n">
        <v>0</v>
      </c>
      <c r="N778" t="n">
        <v>0</v>
      </c>
      <c r="O778" t="n">
        <v>0</v>
      </c>
      <c r="P778" t="n">
        <v>0</v>
      </c>
      <c r="Q778" t="n">
        <v>0</v>
      </c>
      <c r="R778" s="2" t="inlineStr"/>
    </row>
    <row r="779" ht="15" customHeight="1">
      <c r="A779" t="inlineStr">
        <is>
          <t>A 41613-2023</t>
        </is>
      </c>
      <c r="B779" s="1" t="n">
        <v>45173</v>
      </c>
      <c r="C779" s="1" t="n">
        <v>45576</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41619-2023</t>
        </is>
      </c>
      <c r="B780" s="1" t="n">
        <v>45173</v>
      </c>
      <c r="C780" s="1" t="n">
        <v>45576</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42312-2023</t>
        </is>
      </c>
      <c r="B781" s="1" t="n">
        <v>45175</v>
      </c>
      <c r="C781" s="1" t="n">
        <v>45576</v>
      </c>
      <c r="D781" t="inlineStr">
        <is>
          <t>VÄSTMANLANDS LÄN</t>
        </is>
      </c>
      <c r="E781" t="inlineStr">
        <is>
          <t>SALA</t>
        </is>
      </c>
      <c r="G781" t="n">
        <v>2.2</v>
      </c>
      <c r="H781" t="n">
        <v>0</v>
      </c>
      <c r="I781" t="n">
        <v>0</v>
      </c>
      <c r="J781" t="n">
        <v>0</v>
      </c>
      <c r="K781" t="n">
        <v>0</v>
      </c>
      <c r="L781" t="n">
        <v>0</v>
      </c>
      <c r="M781" t="n">
        <v>0</v>
      </c>
      <c r="N781" t="n">
        <v>0</v>
      </c>
      <c r="O781" t="n">
        <v>0</v>
      </c>
      <c r="P781" t="n">
        <v>0</v>
      </c>
      <c r="Q781" t="n">
        <v>0</v>
      </c>
      <c r="R781" s="2" t="inlineStr"/>
    </row>
    <row r="782" ht="15" customHeight="1">
      <c r="A782" t="inlineStr">
        <is>
          <t>A 42938-2023</t>
        </is>
      </c>
      <c r="B782" s="1" t="n">
        <v>45179</v>
      </c>
      <c r="C782" s="1" t="n">
        <v>45576</v>
      </c>
      <c r="D782" t="inlineStr">
        <is>
          <t>VÄSTMANLANDS LÄN</t>
        </is>
      </c>
      <c r="E782" t="inlineStr">
        <is>
          <t>SALA</t>
        </is>
      </c>
      <c r="G782" t="n">
        <v>10.9</v>
      </c>
      <c r="H782" t="n">
        <v>0</v>
      </c>
      <c r="I782" t="n">
        <v>0</v>
      </c>
      <c r="J782" t="n">
        <v>0</v>
      </c>
      <c r="K782" t="n">
        <v>0</v>
      </c>
      <c r="L782" t="n">
        <v>0</v>
      </c>
      <c r="M782" t="n">
        <v>0</v>
      </c>
      <c r="N782" t="n">
        <v>0</v>
      </c>
      <c r="O782" t="n">
        <v>0</v>
      </c>
      <c r="P782" t="n">
        <v>0</v>
      </c>
      <c r="Q782" t="n">
        <v>0</v>
      </c>
      <c r="R782" s="2" t="inlineStr"/>
    </row>
    <row r="783" ht="15" customHeight="1">
      <c r="A783" t="inlineStr">
        <is>
          <t>A 42984-2023</t>
        </is>
      </c>
      <c r="B783" s="1" t="n">
        <v>45179</v>
      </c>
      <c r="C783" s="1" t="n">
        <v>45576</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42991-2023</t>
        </is>
      </c>
      <c r="B784" s="1" t="n">
        <v>45179</v>
      </c>
      <c r="C784" s="1" t="n">
        <v>45576</v>
      </c>
      <c r="D784" t="inlineStr">
        <is>
          <t>VÄSTMANLANDS LÄN</t>
        </is>
      </c>
      <c r="E784" t="inlineStr">
        <is>
          <t>SALA</t>
        </is>
      </c>
      <c r="G784" t="n">
        <v>3.6</v>
      </c>
      <c r="H784" t="n">
        <v>0</v>
      </c>
      <c r="I784" t="n">
        <v>0</v>
      </c>
      <c r="J784" t="n">
        <v>0</v>
      </c>
      <c r="K784" t="n">
        <v>0</v>
      </c>
      <c r="L784" t="n">
        <v>0</v>
      </c>
      <c r="M784" t="n">
        <v>0</v>
      </c>
      <c r="N784" t="n">
        <v>0</v>
      </c>
      <c r="O784" t="n">
        <v>0</v>
      </c>
      <c r="P784" t="n">
        <v>0</v>
      </c>
      <c r="Q784" t="n">
        <v>0</v>
      </c>
      <c r="R784" s="2" t="inlineStr"/>
    </row>
    <row r="785" ht="15" customHeight="1">
      <c r="A785" t="inlineStr">
        <is>
          <t>A 44247-2023</t>
        </is>
      </c>
      <c r="B785" s="1" t="n">
        <v>45182</v>
      </c>
      <c r="C785" s="1" t="n">
        <v>45576</v>
      </c>
      <c r="D785" t="inlineStr">
        <is>
          <t>VÄSTMANLANDS LÄN</t>
        </is>
      </c>
      <c r="E785" t="inlineStr">
        <is>
          <t>SALA</t>
        </is>
      </c>
      <c r="G785" t="n">
        <v>1.7</v>
      </c>
      <c r="H785" t="n">
        <v>0</v>
      </c>
      <c r="I785" t="n">
        <v>0</v>
      </c>
      <c r="J785" t="n">
        <v>0</v>
      </c>
      <c r="K785" t="n">
        <v>0</v>
      </c>
      <c r="L785" t="n">
        <v>0</v>
      </c>
      <c r="M785" t="n">
        <v>0</v>
      </c>
      <c r="N785" t="n">
        <v>0</v>
      </c>
      <c r="O785" t="n">
        <v>0</v>
      </c>
      <c r="P785" t="n">
        <v>0</v>
      </c>
      <c r="Q785" t="n">
        <v>0</v>
      </c>
      <c r="R785" s="2" t="inlineStr"/>
    </row>
    <row r="786" ht="15" customHeight="1">
      <c r="A786" t="inlineStr">
        <is>
          <t>A 43188-2023</t>
        </is>
      </c>
      <c r="B786" s="1" t="n">
        <v>45183</v>
      </c>
      <c r="C786" s="1" t="n">
        <v>45576</v>
      </c>
      <c r="D786" t="inlineStr">
        <is>
          <t>VÄSTMANLANDS LÄN</t>
        </is>
      </c>
      <c r="E786" t="inlineStr">
        <is>
          <t>SALA</t>
        </is>
      </c>
      <c r="G786" t="n">
        <v>1.2</v>
      </c>
      <c r="H786" t="n">
        <v>0</v>
      </c>
      <c r="I786" t="n">
        <v>0</v>
      </c>
      <c r="J786" t="n">
        <v>0</v>
      </c>
      <c r="K786" t="n">
        <v>0</v>
      </c>
      <c r="L786" t="n">
        <v>0</v>
      </c>
      <c r="M786" t="n">
        <v>0</v>
      </c>
      <c r="N786" t="n">
        <v>0</v>
      </c>
      <c r="O786" t="n">
        <v>0</v>
      </c>
      <c r="P786" t="n">
        <v>0</v>
      </c>
      <c r="Q786" t="n">
        <v>0</v>
      </c>
      <c r="R786" s="2" t="inlineStr"/>
    </row>
    <row r="787" ht="15" customHeight="1">
      <c r="A787" t="inlineStr">
        <is>
          <t>A 43184-2023</t>
        </is>
      </c>
      <c r="B787" s="1" t="n">
        <v>45183</v>
      </c>
      <c r="C787" s="1" t="n">
        <v>45576</v>
      </c>
      <c r="D787" t="inlineStr">
        <is>
          <t>VÄSTMANLANDS LÄN</t>
        </is>
      </c>
      <c r="E787" t="inlineStr">
        <is>
          <t>SALA</t>
        </is>
      </c>
      <c r="G787" t="n">
        <v>1.6</v>
      </c>
      <c r="H787" t="n">
        <v>0</v>
      </c>
      <c r="I787" t="n">
        <v>0</v>
      </c>
      <c r="J787" t="n">
        <v>0</v>
      </c>
      <c r="K787" t="n">
        <v>0</v>
      </c>
      <c r="L787" t="n">
        <v>0</v>
      </c>
      <c r="M787" t="n">
        <v>0</v>
      </c>
      <c r="N787" t="n">
        <v>0</v>
      </c>
      <c r="O787" t="n">
        <v>0</v>
      </c>
      <c r="P787" t="n">
        <v>0</v>
      </c>
      <c r="Q787" t="n">
        <v>0</v>
      </c>
      <c r="R787" s="2" t="inlineStr"/>
    </row>
    <row r="788" ht="15" customHeight="1">
      <c r="A788" t="inlineStr">
        <is>
          <t>A 43205-2023</t>
        </is>
      </c>
      <c r="B788" s="1" t="n">
        <v>45183</v>
      </c>
      <c r="C788" s="1" t="n">
        <v>45576</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43176-2023</t>
        </is>
      </c>
      <c r="B789" s="1" t="n">
        <v>45183</v>
      </c>
      <c r="C789" s="1" t="n">
        <v>45576</v>
      </c>
      <c r="D789" t="inlineStr">
        <is>
          <t>VÄSTMANLANDS LÄN</t>
        </is>
      </c>
      <c r="E789" t="inlineStr">
        <is>
          <t>SALA</t>
        </is>
      </c>
      <c r="G789" t="n">
        <v>1.2</v>
      </c>
      <c r="H789" t="n">
        <v>0</v>
      </c>
      <c r="I789" t="n">
        <v>0</v>
      </c>
      <c r="J789" t="n">
        <v>0</v>
      </c>
      <c r="K789" t="n">
        <v>0</v>
      </c>
      <c r="L789" t="n">
        <v>0</v>
      </c>
      <c r="M789" t="n">
        <v>0</v>
      </c>
      <c r="N789" t="n">
        <v>0</v>
      </c>
      <c r="O789" t="n">
        <v>0</v>
      </c>
      <c r="P789" t="n">
        <v>0</v>
      </c>
      <c r="Q789" t="n">
        <v>0</v>
      </c>
      <c r="R789" s="2" t="inlineStr"/>
    </row>
    <row r="790" ht="15" customHeight="1">
      <c r="A790" t="inlineStr">
        <is>
          <t>A 43187-2023</t>
        </is>
      </c>
      <c r="B790" s="1" t="n">
        <v>45183</v>
      </c>
      <c r="C790" s="1" t="n">
        <v>45576</v>
      </c>
      <c r="D790" t="inlineStr">
        <is>
          <t>VÄSTMANLANDS LÄN</t>
        </is>
      </c>
      <c r="E790" t="inlineStr">
        <is>
          <t>SALA</t>
        </is>
      </c>
      <c r="G790" t="n">
        <v>1.6</v>
      </c>
      <c r="H790" t="n">
        <v>0</v>
      </c>
      <c r="I790" t="n">
        <v>0</v>
      </c>
      <c r="J790" t="n">
        <v>0</v>
      </c>
      <c r="K790" t="n">
        <v>0</v>
      </c>
      <c r="L790" t="n">
        <v>0</v>
      </c>
      <c r="M790" t="n">
        <v>0</v>
      </c>
      <c r="N790" t="n">
        <v>0</v>
      </c>
      <c r="O790" t="n">
        <v>0</v>
      </c>
      <c r="P790" t="n">
        <v>0</v>
      </c>
      <c r="Q790" t="n">
        <v>0</v>
      </c>
      <c r="R790" s="2" t="inlineStr"/>
    </row>
    <row r="791" ht="15" customHeight="1">
      <c r="A791" t="inlineStr">
        <is>
          <t>A 43363-2023</t>
        </is>
      </c>
      <c r="B791" s="1" t="n">
        <v>45183</v>
      </c>
      <c r="C791" s="1" t="n">
        <v>45576</v>
      </c>
      <c r="D791" t="inlineStr">
        <is>
          <t>VÄSTMANLANDS LÄN</t>
        </is>
      </c>
      <c r="E791" t="inlineStr">
        <is>
          <t>SALA</t>
        </is>
      </c>
      <c r="G791" t="n">
        <v>1.1</v>
      </c>
      <c r="H791" t="n">
        <v>0</v>
      </c>
      <c r="I791" t="n">
        <v>0</v>
      </c>
      <c r="J791" t="n">
        <v>0</v>
      </c>
      <c r="K791" t="n">
        <v>0</v>
      </c>
      <c r="L791" t="n">
        <v>0</v>
      </c>
      <c r="M791" t="n">
        <v>0</v>
      </c>
      <c r="N791" t="n">
        <v>0</v>
      </c>
      <c r="O791" t="n">
        <v>0</v>
      </c>
      <c r="P791" t="n">
        <v>0</v>
      </c>
      <c r="Q791" t="n">
        <v>0</v>
      </c>
      <c r="R791" s="2" t="inlineStr"/>
    </row>
    <row r="792" ht="15" customHeight="1">
      <c r="A792" t="inlineStr">
        <is>
          <t>A 43362-2023</t>
        </is>
      </c>
      <c r="B792" s="1" t="n">
        <v>45183</v>
      </c>
      <c r="C792" s="1" t="n">
        <v>45576</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44713-2023</t>
        </is>
      </c>
      <c r="B793" s="1" t="n">
        <v>45184</v>
      </c>
      <c r="C793" s="1" t="n">
        <v>45576</v>
      </c>
      <c r="D793" t="inlineStr">
        <is>
          <t>VÄSTMANLANDS LÄN</t>
        </is>
      </c>
      <c r="E793" t="inlineStr">
        <is>
          <t>SALA</t>
        </is>
      </c>
      <c r="F793" t="inlineStr">
        <is>
          <t>Kyrkan</t>
        </is>
      </c>
      <c r="G793" t="n">
        <v>7.6</v>
      </c>
      <c r="H793" t="n">
        <v>0</v>
      </c>
      <c r="I793" t="n">
        <v>0</v>
      </c>
      <c r="J793" t="n">
        <v>0</v>
      </c>
      <c r="K793" t="n">
        <v>0</v>
      </c>
      <c r="L793" t="n">
        <v>0</v>
      </c>
      <c r="M793" t="n">
        <v>0</v>
      </c>
      <c r="N793" t="n">
        <v>0</v>
      </c>
      <c r="O793" t="n">
        <v>0</v>
      </c>
      <c r="P793" t="n">
        <v>0</v>
      </c>
      <c r="Q793" t="n">
        <v>0</v>
      </c>
      <c r="R793" s="2" t="inlineStr"/>
    </row>
    <row r="794" ht="15" customHeight="1">
      <c r="A794" t="inlineStr">
        <is>
          <t>A 44720-2023</t>
        </is>
      </c>
      <c r="B794" s="1" t="n">
        <v>45184</v>
      </c>
      <c r="C794" s="1" t="n">
        <v>45576</v>
      </c>
      <c r="D794" t="inlineStr">
        <is>
          <t>VÄSTMANLANDS LÄN</t>
        </is>
      </c>
      <c r="E794" t="inlineStr">
        <is>
          <t>SALA</t>
        </is>
      </c>
      <c r="F794" t="inlineStr">
        <is>
          <t>Kyrkan</t>
        </is>
      </c>
      <c r="G794" t="n">
        <v>2.3</v>
      </c>
      <c r="H794" t="n">
        <v>0</v>
      </c>
      <c r="I794" t="n">
        <v>0</v>
      </c>
      <c r="J794" t="n">
        <v>0</v>
      </c>
      <c r="K794" t="n">
        <v>0</v>
      </c>
      <c r="L794" t="n">
        <v>0</v>
      </c>
      <c r="M794" t="n">
        <v>0</v>
      </c>
      <c r="N794" t="n">
        <v>0</v>
      </c>
      <c r="O794" t="n">
        <v>0</v>
      </c>
      <c r="P794" t="n">
        <v>0</v>
      </c>
      <c r="Q794" t="n">
        <v>0</v>
      </c>
      <c r="R794" s="2" t="inlineStr"/>
    </row>
    <row r="795" ht="15" customHeight="1">
      <c r="A795" t="inlineStr">
        <is>
          <t>A 44297-2023</t>
        </is>
      </c>
      <c r="B795" s="1" t="n">
        <v>45188</v>
      </c>
      <c r="C795" s="1" t="n">
        <v>45576</v>
      </c>
      <c r="D795" t="inlineStr">
        <is>
          <t>VÄSTMANLANDS LÄN</t>
        </is>
      </c>
      <c r="E795" t="inlineStr">
        <is>
          <t>SALA</t>
        </is>
      </c>
      <c r="G795" t="n">
        <v>2.7</v>
      </c>
      <c r="H795" t="n">
        <v>0</v>
      </c>
      <c r="I795" t="n">
        <v>0</v>
      </c>
      <c r="J795" t="n">
        <v>0</v>
      </c>
      <c r="K795" t="n">
        <v>0</v>
      </c>
      <c r="L795" t="n">
        <v>0</v>
      </c>
      <c r="M795" t="n">
        <v>0</v>
      </c>
      <c r="N795" t="n">
        <v>0</v>
      </c>
      <c r="O795" t="n">
        <v>0</v>
      </c>
      <c r="P795" t="n">
        <v>0</v>
      </c>
      <c r="Q795" t="n">
        <v>0</v>
      </c>
      <c r="R795" s="2" t="inlineStr"/>
    </row>
    <row r="796" ht="15" customHeight="1">
      <c r="A796" t="inlineStr">
        <is>
          <t>A 44846-2023</t>
        </is>
      </c>
      <c r="B796" s="1" t="n">
        <v>45190</v>
      </c>
      <c r="C796" s="1" t="n">
        <v>45576</v>
      </c>
      <c r="D796" t="inlineStr">
        <is>
          <t>VÄSTMANLANDS LÄN</t>
        </is>
      </c>
      <c r="E796" t="inlineStr">
        <is>
          <t>SALA</t>
        </is>
      </c>
      <c r="G796" t="n">
        <v>0.6</v>
      </c>
      <c r="H796" t="n">
        <v>0</v>
      </c>
      <c r="I796" t="n">
        <v>0</v>
      </c>
      <c r="J796" t="n">
        <v>0</v>
      </c>
      <c r="K796" t="n">
        <v>0</v>
      </c>
      <c r="L796" t="n">
        <v>0</v>
      </c>
      <c r="M796" t="n">
        <v>0</v>
      </c>
      <c r="N796" t="n">
        <v>0</v>
      </c>
      <c r="O796" t="n">
        <v>0</v>
      </c>
      <c r="P796" t="n">
        <v>0</v>
      </c>
      <c r="Q796" t="n">
        <v>0</v>
      </c>
      <c r="R796" s="2" t="inlineStr"/>
    </row>
    <row r="797" ht="15" customHeight="1">
      <c r="A797" t="inlineStr">
        <is>
          <t>A 44857-2023</t>
        </is>
      </c>
      <c r="B797" s="1" t="n">
        <v>45190</v>
      </c>
      <c r="C797" s="1" t="n">
        <v>45576</v>
      </c>
      <c r="D797" t="inlineStr">
        <is>
          <t>VÄSTMANLANDS LÄN</t>
        </is>
      </c>
      <c r="E797" t="inlineStr">
        <is>
          <t>SALA</t>
        </is>
      </c>
      <c r="G797" t="n">
        <v>1</v>
      </c>
      <c r="H797" t="n">
        <v>0</v>
      </c>
      <c r="I797" t="n">
        <v>0</v>
      </c>
      <c r="J797" t="n">
        <v>0</v>
      </c>
      <c r="K797" t="n">
        <v>0</v>
      </c>
      <c r="L797" t="n">
        <v>0</v>
      </c>
      <c r="M797" t="n">
        <v>0</v>
      </c>
      <c r="N797" t="n">
        <v>0</v>
      </c>
      <c r="O797" t="n">
        <v>0</v>
      </c>
      <c r="P797" t="n">
        <v>0</v>
      </c>
      <c r="Q797" t="n">
        <v>0</v>
      </c>
      <c r="R797" s="2" t="inlineStr"/>
    </row>
    <row r="798" ht="15" customHeight="1">
      <c r="A798" t="inlineStr">
        <is>
          <t>A 46352-2023</t>
        </is>
      </c>
      <c r="B798" s="1" t="n">
        <v>45192</v>
      </c>
      <c r="C798" s="1" t="n">
        <v>45576</v>
      </c>
      <c r="D798" t="inlineStr">
        <is>
          <t>VÄSTMANLANDS LÄN</t>
        </is>
      </c>
      <c r="E798" t="inlineStr">
        <is>
          <t>SALA</t>
        </is>
      </c>
      <c r="G798" t="n">
        <v>1.9</v>
      </c>
      <c r="H798" t="n">
        <v>0</v>
      </c>
      <c r="I798" t="n">
        <v>0</v>
      </c>
      <c r="J798" t="n">
        <v>0</v>
      </c>
      <c r="K798" t="n">
        <v>0</v>
      </c>
      <c r="L798" t="n">
        <v>0</v>
      </c>
      <c r="M798" t="n">
        <v>0</v>
      </c>
      <c r="N798" t="n">
        <v>0</v>
      </c>
      <c r="O798" t="n">
        <v>0</v>
      </c>
      <c r="P798" t="n">
        <v>0</v>
      </c>
      <c r="Q798" t="n">
        <v>0</v>
      </c>
      <c r="R798" s="2" t="inlineStr"/>
    </row>
    <row r="799" ht="15" customHeight="1">
      <c r="A799" t="inlineStr">
        <is>
          <t>A 46355-2023</t>
        </is>
      </c>
      <c r="B799" s="1" t="n">
        <v>45192</v>
      </c>
      <c r="C799" s="1" t="n">
        <v>45576</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46350-2023</t>
        </is>
      </c>
      <c r="B800" s="1" t="n">
        <v>45192</v>
      </c>
      <c r="C800" s="1" t="n">
        <v>45576</v>
      </c>
      <c r="D800" t="inlineStr">
        <is>
          <t>VÄSTMANLANDS LÄN</t>
        </is>
      </c>
      <c r="E800" t="inlineStr">
        <is>
          <t>SALA</t>
        </is>
      </c>
      <c r="G800" t="n">
        <v>4.8</v>
      </c>
      <c r="H800" t="n">
        <v>0</v>
      </c>
      <c r="I800" t="n">
        <v>0</v>
      </c>
      <c r="J800" t="n">
        <v>0</v>
      </c>
      <c r="K800" t="n">
        <v>0</v>
      </c>
      <c r="L800" t="n">
        <v>0</v>
      </c>
      <c r="M800" t="n">
        <v>0</v>
      </c>
      <c r="N800" t="n">
        <v>0</v>
      </c>
      <c r="O800" t="n">
        <v>0</v>
      </c>
      <c r="P800" t="n">
        <v>0</v>
      </c>
      <c r="Q800" t="n">
        <v>0</v>
      </c>
      <c r="R800" s="2" t="inlineStr"/>
    </row>
    <row r="801" ht="15" customHeight="1">
      <c r="A801" t="inlineStr">
        <is>
          <t>A 45531-2023</t>
        </is>
      </c>
      <c r="B801" s="1" t="n">
        <v>45194</v>
      </c>
      <c r="C801" s="1" t="n">
        <v>45576</v>
      </c>
      <c r="D801" t="inlineStr">
        <is>
          <t>VÄSTMANLANDS LÄN</t>
        </is>
      </c>
      <c r="E801" t="inlineStr">
        <is>
          <t>SALA</t>
        </is>
      </c>
      <c r="G801" t="n">
        <v>0.7</v>
      </c>
      <c r="H801" t="n">
        <v>0</v>
      </c>
      <c r="I801" t="n">
        <v>0</v>
      </c>
      <c r="J801" t="n">
        <v>0</v>
      </c>
      <c r="K801" t="n">
        <v>0</v>
      </c>
      <c r="L801" t="n">
        <v>0</v>
      </c>
      <c r="M801" t="n">
        <v>0</v>
      </c>
      <c r="N801" t="n">
        <v>0</v>
      </c>
      <c r="O801" t="n">
        <v>0</v>
      </c>
      <c r="P801" t="n">
        <v>0</v>
      </c>
      <c r="Q801" t="n">
        <v>0</v>
      </c>
      <c r="R801" s="2" t="inlineStr"/>
    </row>
    <row r="802" ht="15" customHeight="1">
      <c r="A802" t="inlineStr">
        <is>
          <t>A 45602-2023</t>
        </is>
      </c>
      <c r="B802" s="1" t="n">
        <v>45194</v>
      </c>
      <c r="C802" s="1" t="n">
        <v>45576</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45790-2023</t>
        </is>
      </c>
      <c r="B803" s="1" t="n">
        <v>45195</v>
      </c>
      <c r="C803" s="1" t="n">
        <v>45576</v>
      </c>
      <c r="D803" t="inlineStr">
        <is>
          <t>VÄSTMANLANDS LÄN</t>
        </is>
      </c>
      <c r="E803" t="inlineStr">
        <is>
          <t>SALA</t>
        </is>
      </c>
      <c r="G803" t="n">
        <v>5.7</v>
      </c>
      <c r="H803" t="n">
        <v>0</v>
      </c>
      <c r="I803" t="n">
        <v>0</v>
      </c>
      <c r="J803" t="n">
        <v>0</v>
      </c>
      <c r="K803" t="n">
        <v>0</v>
      </c>
      <c r="L803" t="n">
        <v>0</v>
      </c>
      <c r="M803" t="n">
        <v>0</v>
      </c>
      <c r="N803" t="n">
        <v>0</v>
      </c>
      <c r="O803" t="n">
        <v>0</v>
      </c>
      <c r="P803" t="n">
        <v>0</v>
      </c>
      <c r="Q803" t="n">
        <v>0</v>
      </c>
      <c r="R803" s="2" t="inlineStr"/>
    </row>
    <row r="804" ht="15" customHeight="1">
      <c r="A804" t="inlineStr">
        <is>
          <t>A 46226-2023</t>
        </is>
      </c>
      <c r="B804" s="1" t="n">
        <v>45196</v>
      </c>
      <c r="C804" s="1" t="n">
        <v>45576</v>
      </c>
      <c r="D804" t="inlineStr">
        <is>
          <t>VÄSTMANLANDS LÄN</t>
        </is>
      </c>
      <c r="E804" t="inlineStr">
        <is>
          <t>SALA</t>
        </is>
      </c>
      <c r="G804" t="n">
        <v>1.3</v>
      </c>
      <c r="H804" t="n">
        <v>0</v>
      </c>
      <c r="I804" t="n">
        <v>0</v>
      </c>
      <c r="J804" t="n">
        <v>0</v>
      </c>
      <c r="K804" t="n">
        <v>0</v>
      </c>
      <c r="L804" t="n">
        <v>0</v>
      </c>
      <c r="M804" t="n">
        <v>0</v>
      </c>
      <c r="N804" t="n">
        <v>0</v>
      </c>
      <c r="O804" t="n">
        <v>0</v>
      </c>
      <c r="P804" t="n">
        <v>0</v>
      </c>
      <c r="Q804" t="n">
        <v>0</v>
      </c>
      <c r="R804" s="2" t="inlineStr"/>
    </row>
    <row r="805" ht="15" customHeight="1">
      <c r="A805" t="inlineStr">
        <is>
          <t>A 47501-2023</t>
        </is>
      </c>
      <c r="B805" s="1" t="n">
        <v>45202</v>
      </c>
      <c r="C805" s="1" t="n">
        <v>45576</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50876-2023</t>
        </is>
      </c>
      <c r="B806" s="1" t="n">
        <v>45211</v>
      </c>
      <c r="C806" s="1" t="n">
        <v>45576</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50241-2023</t>
        </is>
      </c>
      <c r="B807" s="1" t="n">
        <v>45216</v>
      </c>
      <c r="C807" s="1" t="n">
        <v>45576</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51203-2023</t>
        </is>
      </c>
      <c r="B808" s="1" t="n">
        <v>45219</v>
      </c>
      <c r="C808" s="1" t="n">
        <v>45576</v>
      </c>
      <c r="D808" t="inlineStr">
        <is>
          <t>VÄSTMANLANDS LÄN</t>
        </is>
      </c>
      <c r="E808" t="inlineStr">
        <is>
          <t>SALA</t>
        </is>
      </c>
      <c r="F808" t="inlineStr">
        <is>
          <t>Kommuner</t>
        </is>
      </c>
      <c r="G808" t="n">
        <v>2.7</v>
      </c>
      <c r="H808" t="n">
        <v>0</v>
      </c>
      <c r="I808" t="n">
        <v>0</v>
      </c>
      <c r="J808" t="n">
        <v>0</v>
      </c>
      <c r="K808" t="n">
        <v>0</v>
      </c>
      <c r="L808" t="n">
        <v>0</v>
      </c>
      <c r="M808" t="n">
        <v>0</v>
      </c>
      <c r="N808" t="n">
        <v>0</v>
      </c>
      <c r="O808" t="n">
        <v>0</v>
      </c>
      <c r="P808" t="n">
        <v>0</v>
      </c>
      <c r="Q808" t="n">
        <v>0</v>
      </c>
      <c r="R808" s="2" t="inlineStr"/>
    </row>
    <row r="809" ht="15" customHeight="1">
      <c r="A809" t="inlineStr">
        <is>
          <t>A 51848-2023</t>
        </is>
      </c>
      <c r="B809" s="1" t="n">
        <v>45223</v>
      </c>
      <c r="C809" s="1" t="n">
        <v>45576</v>
      </c>
      <c r="D809" t="inlineStr">
        <is>
          <t>VÄSTMANLANDS LÄN</t>
        </is>
      </c>
      <c r="E809" t="inlineStr">
        <is>
          <t>SALA</t>
        </is>
      </c>
      <c r="G809" t="n">
        <v>7</v>
      </c>
      <c r="H809" t="n">
        <v>0</v>
      </c>
      <c r="I809" t="n">
        <v>0</v>
      </c>
      <c r="J809" t="n">
        <v>0</v>
      </c>
      <c r="K809" t="n">
        <v>0</v>
      </c>
      <c r="L809" t="n">
        <v>0</v>
      </c>
      <c r="M809" t="n">
        <v>0</v>
      </c>
      <c r="N809" t="n">
        <v>0</v>
      </c>
      <c r="O809" t="n">
        <v>0</v>
      </c>
      <c r="P809" t="n">
        <v>0</v>
      </c>
      <c r="Q809" t="n">
        <v>0</v>
      </c>
      <c r="R809" s="2" t="inlineStr"/>
    </row>
    <row r="810" ht="15" customHeight="1">
      <c r="A810" t="inlineStr">
        <is>
          <t>A 52654-2023</t>
        </is>
      </c>
      <c r="B810" s="1" t="n">
        <v>45225</v>
      </c>
      <c r="C810" s="1" t="n">
        <v>45576</v>
      </c>
      <c r="D810" t="inlineStr">
        <is>
          <t>VÄSTMANLANDS LÄN</t>
        </is>
      </c>
      <c r="E810" t="inlineStr">
        <is>
          <t>SALA</t>
        </is>
      </c>
      <c r="G810" t="n">
        <v>4.6</v>
      </c>
      <c r="H810" t="n">
        <v>0</v>
      </c>
      <c r="I810" t="n">
        <v>0</v>
      </c>
      <c r="J810" t="n">
        <v>0</v>
      </c>
      <c r="K810" t="n">
        <v>0</v>
      </c>
      <c r="L810" t="n">
        <v>0</v>
      </c>
      <c r="M810" t="n">
        <v>0</v>
      </c>
      <c r="N810" t="n">
        <v>0</v>
      </c>
      <c r="O810" t="n">
        <v>0</v>
      </c>
      <c r="P810" t="n">
        <v>0</v>
      </c>
      <c r="Q810" t="n">
        <v>0</v>
      </c>
      <c r="R810" s="2" t="inlineStr"/>
    </row>
    <row r="811" ht="15" customHeight="1">
      <c r="A811" t="inlineStr">
        <is>
          <t>A 54910-2023</t>
        </is>
      </c>
      <c r="B811" s="1" t="n">
        <v>45229</v>
      </c>
      <c r="C811" s="1" t="n">
        <v>45576</v>
      </c>
      <c r="D811" t="inlineStr">
        <is>
          <t>VÄSTMANLANDS LÄN</t>
        </is>
      </c>
      <c r="E811" t="inlineStr">
        <is>
          <t>SALA</t>
        </is>
      </c>
      <c r="G811" t="n">
        <v>2.4</v>
      </c>
      <c r="H811" t="n">
        <v>0</v>
      </c>
      <c r="I811" t="n">
        <v>0</v>
      </c>
      <c r="J811" t="n">
        <v>0</v>
      </c>
      <c r="K811" t="n">
        <v>0</v>
      </c>
      <c r="L811" t="n">
        <v>0</v>
      </c>
      <c r="M811" t="n">
        <v>0</v>
      </c>
      <c r="N811" t="n">
        <v>0</v>
      </c>
      <c r="O811" t="n">
        <v>0</v>
      </c>
      <c r="P811" t="n">
        <v>0</v>
      </c>
      <c r="Q811" t="n">
        <v>0</v>
      </c>
      <c r="R811" s="2" t="inlineStr"/>
    </row>
    <row r="812" ht="15" customHeight="1">
      <c r="A812" t="inlineStr">
        <is>
          <t>A 55024-2023</t>
        </is>
      </c>
      <c r="B812" s="1" t="n">
        <v>45229</v>
      </c>
      <c r="C812" s="1" t="n">
        <v>45576</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55032-2023</t>
        </is>
      </c>
      <c r="B813" s="1" t="n">
        <v>45229</v>
      </c>
      <c r="C813" s="1" t="n">
        <v>45576</v>
      </c>
      <c r="D813" t="inlineStr">
        <is>
          <t>VÄSTMANLANDS LÄN</t>
        </is>
      </c>
      <c r="E813" t="inlineStr">
        <is>
          <t>SALA</t>
        </is>
      </c>
      <c r="G813" t="n">
        <v>1.5</v>
      </c>
      <c r="H813" t="n">
        <v>0</v>
      </c>
      <c r="I813" t="n">
        <v>0</v>
      </c>
      <c r="J813" t="n">
        <v>0</v>
      </c>
      <c r="K813" t="n">
        <v>0</v>
      </c>
      <c r="L813" t="n">
        <v>0</v>
      </c>
      <c r="M813" t="n">
        <v>0</v>
      </c>
      <c r="N813" t="n">
        <v>0</v>
      </c>
      <c r="O813" t="n">
        <v>0</v>
      </c>
      <c r="P813" t="n">
        <v>0</v>
      </c>
      <c r="Q813" t="n">
        <v>0</v>
      </c>
      <c r="R813" s="2" t="inlineStr"/>
    </row>
    <row r="814" ht="15" customHeight="1">
      <c r="A814" t="inlineStr">
        <is>
          <t>A 55035-2023</t>
        </is>
      </c>
      <c r="B814" s="1" t="n">
        <v>45229</v>
      </c>
      <c r="C814" s="1" t="n">
        <v>45576</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55040-2023</t>
        </is>
      </c>
      <c r="B815" s="1" t="n">
        <v>45229</v>
      </c>
      <c r="C815" s="1" t="n">
        <v>45576</v>
      </c>
      <c r="D815" t="inlineStr">
        <is>
          <t>VÄSTMANLANDS LÄN</t>
        </is>
      </c>
      <c r="E815" t="inlineStr">
        <is>
          <t>SALA</t>
        </is>
      </c>
      <c r="G815" t="n">
        <v>3.3</v>
      </c>
      <c r="H815" t="n">
        <v>0</v>
      </c>
      <c r="I815" t="n">
        <v>0</v>
      </c>
      <c r="J815" t="n">
        <v>0</v>
      </c>
      <c r="K815" t="n">
        <v>0</v>
      </c>
      <c r="L815" t="n">
        <v>0</v>
      </c>
      <c r="M815" t="n">
        <v>0</v>
      </c>
      <c r="N815" t="n">
        <v>0</v>
      </c>
      <c r="O815" t="n">
        <v>0</v>
      </c>
      <c r="P815" t="n">
        <v>0</v>
      </c>
      <c r="Q815" t="n">
        <v>0</v>
      </c>
      <c r="R815" s="2" t="inlineStr"/>
    </row>
    <row r="816" ht="15" customHeight="1">
      <c r="A816" t="inlineStr">
        <is>
          <t>A 53877-2023</t>
        </is>
      </c>
      <c r="B816" s="1" t="n">
        <v>45231</v>
      </c>
      <c r="C816" s="1" t="n">
        <v>45576</v>
      </c>
      <c r="D816" t="inlineStr">
        <is>
          <t>VÄSTMANLANDS LÄN</t>
        </is>
      </c>
      <c r="E816" t="inlineStr">
        <is>
          <t>SALA</t>
        </is>
      </c>
      <c r="G816" t="n">
        <v>3.2</v>
      </c>
      <c r="H816" t="n">
        <v>0</v>
      </c>
      <c r="I816" t="n">
        <v>0</v>
      </c>
      <c r="J816" t="n">
        <v>0</v>
      </c>
      <c r="K816" t="n">
        <v>0</v>
      </c>
      <c r="L816" t="n">
        <v>0</v>
      </c>
      <c r="M816" t="n">
        <v>0</v>
      </c>
      <c r="N816" t="n">
        <v>0</v>
      </c>
      <c r="O816" t="n">
        <v>0</v>
      </c>
      <c r="P816" t="n">
        <v>0</v>
      </c>
      <c r="Q816" t="n">
        <v>0</v>
      </c>
      <c r="R816" s="2" t="inlineStr"/>
    </row>
    <row r="817" ht="15" customHeight="1">
      <c r="A817" t="inlineStr">
        <is>
          <t>A 53951-2023</t>
        </is>
      </c>
      <c r="B817" s="1" t="n">
        <v>45231</v>
      </c>
      <c r="C817" s="1" t="n">
        <v>45576</v>
      </c>
      <c r="D817" t="inlineStr">
        <is>
          <t>VÄSTMANLANDS LÄN</t>
        </is>
      </c>
      <c r="E817" t="inlineStr">
        <is>
          <t>SALA</t>
        </is>
      </c>
      <c r="F817" t="inlineStr">
        <is>
          <t>Kommuner</t>
        </is>
      </c>
      <c r="G817" t="n">
        <v>8.4</v>
      </c>
      <c r="H817" t="n">
        <v>0</v>
      </c>
      <c r="I817" t="n">
        <v>0</v>
      </c>
      <c r="J817" t="n">
        <v>0</v>
      </c>
      <c r="K817" t="n">
        <v>0</v>
      </c>
      <c r="L817" t="n">
        <v>0</v>
      </c>
      <c r="M817" t="n">
        <v>0</v>
      </c>
      <c r="N817" t="n">
        <v>0</v>
      </c>
      <c r="O817" t="n">
        <v>0</v>
      </c>
      <c r="P817" t="n">
        <v>0</v>
      </c>
      <c r="Q817" t="n">
        <v>0</v>
      </c>
      <c r="R817" s="2" t="inlineStr"/>
      <c r="U817">
        <f>HYPERLINK("https://klasma.github.io/Logging_1981/knärot/A 53951-2023 karta knärot.png", "A 53951-2023")</f>
        <v/>
      </c>
      <c r="V817">
        <f>HYPERLINK("https://klasma.github.io/Logging_1981/klagomål/A 53951-2023 FSC-klagomål.docx", "A 53951-2023")</f>
        <v/>
      </c>
      <c r="W817">
        <f>HYPERLINK("https://klasma.github.io/Logging_1981/klagomålsmail/A 53951-2023 FSC-klagomål mail.docx", "A 53951-2023")</f>
        <v/>
      </c>
      <c r="X817">
        <f>HYPERLINK("https://klasma.github.io/Logging_1981/tillsyn/A 53951-2023 tillsynsbegäran.docx", "A 53951-2023")</f>
        <v/>
      </c>
      <c r="Y817">
        <f>HYPERLINK("https://klasma.github.io/Logging_1981/tillsynsmail/A 53951-2023 tillsynsbegäran mail.docx", "A 53951-2023")</f>
        <v/>
      </c>
    </row>
    <row r="818" ht="15" customHeight="1">
      <c r="A818" t="inlineStr">
        <is>
          <t>A 54125-2023</t>
        </is>
      </c>
      <c r="B818" s="1" t="n">
        <v>45232</v>
      </c>
      <c r="C818" s="1" t="n">
        <v>45576</v>
      </c>
      <c r="D818" t="inlineStr">
        <is>
          <t>VÄSTMANLANDS LÄN</t>
        </is>
      </c>
      <c r="E818" t="inlineStr">
        <is>
          <t>SALA</t>
        </is>
      </c>
      <c r="G818" t="n">
        <v>3.7</v>
      </c>
      <c r="H818" t="n">
        <v>0</v>
      </c>
      <c r="I818" t="n">
        <v>0</v>
      </c>
      <c r="J818" t="n">
        <v>0</v>
      </c>
      <c r="K818" t="n">
        <v>0</v>
      </c>
      <c r="L818" t="n">
        <v>0</v>
      </c>
      <c r="M818" t="n">
        <v>0</v>
      </c>
      <c r="N818" t="n">
        <v>0</v>
      </c>
      <c r="O818" t="n">
        <v>0</v>
      </c>
      <c r="P818" t="n">
        <v>0</v>
      </c>
      <c r="Q818" t="n">
        <v>0</v>
      </c>
      <c r="R818" s="2" t="inlineStr"/>
    </row>
    <row r="819" ht="15" customHeight="1">
      <c r="A819" t="inlineStr">
        <is>
          <t>A 54114-2023</t>
        </is>
      </c>
      <c r="B819" s="1" t="n">
        <v>45232</v>
      </c>
      <c r="C819" s="1" t="n">
        <v>45576</v>
      </c>
      <c r="D819" t="inlineStr">
        <is>
          <t>VÄSTMANLANDS LÄN</t>
        </is>
      </c>
      <c r="E819" t="inlineStr">
        <is>
          <t>SALA</t>
        </is>
      </c>
      <c r="G819" t="n">
        <v>1.6</v>
      </c>
      <c r="H819" t="n">
        <v>0</v>
      </c>
      <c r="I819" t="n">
        <v>0</v>
      </c>
      <c r="J819" t="n">
        <v>0</v>
      </c>
      <c r="K819" t="n">
        <v>0</v>
      </c>
      <c r="L819" t="n">
        <v>0</v>
      </c>
      <c r="M819" t="n">
        <v>0</v>
      </c>
      <c r="N819" t="n">
        <v>0</v>
      </c>
      <c r="O819" t="n">
        <v>0</v>
      </c>
      <c r="P819" t="n">
        <v>0</v>
      </c>
      <c r="Q819" t="n">
        <v>0</v>
      </c>
      <c r="R819" s="2" t="inlineStr"/>
    </row>
    <row r="820" ht="15" customHeight="1">
      <c r="A820" t="inlineStr">
        <is>
          <t>A 54118-2023</t>
        </is>
      </c>
      <c r="B820" s="1" t="n">
        <v>45232</v>
      </c>
      <c r="C820" s="1" t="n">
        <v>45576</v>
      </c>
      <c r="D820" t="inlineStr">
        <is>
          <t>VÄSTMANLANDS LÄN</t>
        </is>
      </c>
      <c r="E820" t="inlineStr">
        <is>
          <t>SALA</t>
        </is>
      </c>
      <c r="G820" t="n">
        <v>1.1</v>
      </c>
      <c r="H820" t="n">
        <v>0</v>
      </c>
      <c r="I820" t="n">
        <v>0</v>
      </c>
      <c r="J820" t="n">
        <v>0</v>
      </c>
      <c r="K820" t="n">
        <v>0</v>
      </c>
      <c r="L820" t="n">
        <v>0</v>
      </c>
      <c r="M820" t="n">
        <v>0</v>
      </c>
      <c r="N820" t="n">
        <v>0</v>
      </c>
      <c r="O820" t="n">
        <v>0</v>
      </c>
      <c r="P820" t="n">
        <v>0</v>
      </c>
      <c r="Q820" t="n">
        <v>0</v>
      </c>
      <c r="R820" s="2" t="inlineStr"/>
    </row>
    <row r="821" ht="15" customHeight="1">
      <c r="A821" t="inlineStr">
        <is>
          <t>A 55556-2023</t>
        </is>
      </c>
      <c r="B821" s="1" t="n">
        <v>45232</v>
      </c>
      <c r="C821" s="1" t="n">
        <v>45576</v>
      </c>
      <c r="D821" t="inlineStr">
        <is>
          <t>VÄSTMANLANDS LÄN</t>
        </is>
      </c>
      <c r="E821" t="inlineStr">
        <is>
          <t>SALA</t>
        </is>
      </c>
      <c r="G821" t="n">
        <v>1.3</v>
      </c>
      <c r="H821" t="n">
        <v>0</v>
      </c>
      <c r="I821" t="n">
        <v>0</v>
      </c>
      <c r="J821" t="n">
        <v>0</v>
      </c>
      <c r="K821" t="n">
        <v>0</v>
      </c>
      <c r="L821" t="n">
        <v>0</v>
      </c>
      <c r="M821" t="n">
        <v>0</v>
      </c>
      <c r="N821" t="n">
        <v>0</v>
      </c>
      <c r="O821" t="n">
        <v>0</v>
      </c>
      <c r="P821" t="n">
        <v>0</v>
      </c>
      <c r="Q821" t="n">
        <v>0</v>
      </c>
      <c r="R821" s="2" t="inlineStr"/>
    </row>
    <row r="822" ht="15" customHeight="1">
      <c r="A822" t="inlineStr">
        <is>
          <t>A 56057-2023</t>
        </is>
      </c>
      <c r="B822" s="1" t="n">
        <v>45233</v>
      </c>
      <c r="C822" s="1" t="n">
        <v>45576</v>
      </c>
      <c r="D822" t="inlineStr">
        <is>
          <t>VÄSTMANLANDS LÄN</t>
        </is>
      </c>
      <c r="E822" t="inlineStr">
        <is>
          <t>SALA</t>
        </is>
      </c>
      <c r="G822" t="n">
        <v>0.6</v>
      </c>
      <c r="H822" t="n">
        <v>0</v>
      </c>
      <c r="I822" t="n">
        <v>0</v>
      </c>
      <c r="J822" t="n">
        <v>0</v>
      </c>
      <c r="K822" t="n">
        <v>0</v>
      </c>
      <c r="L822" t="n">
        <v>0</v>
      </c>
      <c r="M822" t="n">
        <v>0</v>
      </c>
      <c r="N822" t="n">
        <v>0</v>
      </c>
      <c r="O822" t="n">
        <v>0</v>
      </c>
      <c r="P822" t="n">
        <v>0</v>
      </c>
      <c r="Q822" t="n">
        <v>0</v>
      </c>
      <c r="R822" s="2" t="inlineStr"/>
    </row>
    <row r="823" ht="15" customHeight="1">
      <c r="A823" t="inlineStr">
        <is>
          <t>A 56064-2023</t>
        </is>
      </c>
      <c r="B823" s="1" t="n">
        <v>45233</v>
      </c>
      <c r="C823" s="1" t="n">
        <v>45576</v>
      </c>
      <c r="D823" t="inlineStr">
        <is>
          <t>VÄSTMANLANDS LÄN</t>
        </is>
      </c>
      <c r="E823" t="inlineStr">
        <is>
          <t>SALA</t>
        </is>
      </c>
      <c r="G823" t="n">
        <v>0.8</v>
      </c>
      <c r="H823" t="n">
        <v>0</v>
      </c>
      <c r="I823" t="n">
        <v>0</v>
      </c>
      <c r="J823" t="n">
        <v>0</v>
      </c>
      <c r="K823" t="n">
        <v>0</v>
      </c>
      <c r="L823" t="n">
        <v>0</v>
      </c>
      <c r="M823" t="n">
        <v>0</v>
      </c>
      <c r="N823" t="n">
        <v>0</v>
      </c>
      <c r="O823" t="n">
        <v>0</v>
      </c>
      <c r="P823" t="n">
        <v>0</v>
      </c>
      <c r="Q823" t="n">
        <v>0</v>
      </c>
      <c r="R823" s="2" t="inlineStr"/>
    </row>
    <row r="824" ht="15" customHeight="1">
      <c r="A824" t="inlineStr">
        <is>
          <t>A 55504-2023</t>
        </is>
      </c>
      <c r="B824" s="1" t="n">
        <v>45238</v>
      </c>
      <c r="C824" s="1" t="n">
        <v>45576</v>
      </c>
      <c r="D824" t="inlineStr">
        <is>
          <t>VÄSTMANLANDS LÄN</t>
        </is>
      </c>
      <c r="E824" t="inlineStr">
        <is>
          <t>SALA</t>
        </is>
      </c>
      <c r="G824" t="n">
        <v>4</v>
      </c>
      <c r="H824" t="n">
        <v>0</v>
      </c>
      <c r="I824" t="n">
        <v>0</v>
      </c>
      <c r="J824" t="n">
        <v>0</v>
      </c>
      <c r="K824" t="n">
        <v>0</v>
      </c>
      <c r="L824" t="n">
        <v>0</v>
      </c>
      <c r="M824" t="n">
        <v>0</v>
      </c>
      <c r="N824" t="n">
        <v>0</v>
      </c>
      <c r="O824" t="n">
        <v>0</v>
      </c>
      <c r="P824" t="n">
        <v>0</v>
      </c>
      <c r="Q824" t="n">
        <v>0</v>
      </c>
      <c r="R824" s="2" t="inlineStr"/>
    </row>
    <row r="825" ht="15" customHeight="1">
      <c r="A825" t="inlineStr">
        <is>
          <t>A 55474-2023</t>
        </is>
      </c>
      <c r="B825" s="1" t="n">
        <v>45238</v>
      </c>
      <c r="C825" s="1" t="n">
        <v>45576</v>
      </c>
      <c r="D825" t="inlineStr">
        <is>
          <t>VÄSTMANLANDS LÄN</t>
        </is>
      </c>
      <c r="E825" t="inlineStr">
        <is>
          <t>SALA</t>
        </is>
      </c>
      <c r="G825" t="n">
        <v>2.4</v>
      </c>
      <c r="H825" t="n">
        <v>0</v>
      </c>
      <c r="I825" t="n">
        <v>0</v>
      </c>
      <c r="J825" t="n">
        <v>0</v>
      </c>
      <c r="K825" t="n">
        <v>0</v>
      </c>
      <c r="L825" t="n">
        <v>0</v>
      </c>
      <c r="M825" t="n">
        <v>0</v>
      </c>
      <c r="N825" t="n">
        <v>0</v>
      </c>
      <c r="O825" t="n">
        <v>0</v>
      </c>
      <c r="P825" t="n">
        <v>0</v>
      </c>
      <c r="Q825" t="n">
        <v>0</v>
      </c>
      <c r="R825" s="2" t="inlineStr"/>
    </row>
    <row r="826" ht="15" customHeight="1">
      <c r="A826" t="inlineStr">
        <is>
          <t>A 56956-2023</t>
        </is>
      </c>
      <c r="B826" s="1" t="n">
        <v>45244</v>
      </c>
      <c r="C826" s="1" t="n">
        <v>45576</v>
      </c>
      <c r="D826" t="inlineStr">
        <is>
          <t>VÄSTMANLANDS LÄN</t>
        </is>
      </c>
      <c r="E826" t="inlineStr">
        <is>
          <t>SALA</t>
        </is>
      </c>
      <c r="G826" t="n">
        <v>6.5</v>
      </c>
      <c r="H826" t="n">
        <v>0</v>
      </c>
      <c r="I826" t="n">
        <v>0</v>
      </c>
      <c r="J826" t="n">
        <v>0</v>
      </c>
      <c r="K826" t="n">
        <v>0</v>
      </c>
      <c r="L826" t="n">
        <v>0</v>
      </c>
      <c r="M826" t="n">
        <v>0</v>
      </c>
      <c r="N826" t="n">
        <v>0</v>
      </c>
      <c r="O826" t="n">
        <v>0</v>
      </c>
      <c r="P826" t="n">
        <v>0</v>
      </c>
      <c r="Q826" t="n">
        <v>0</v>
      </c>
      <c r="R826" s="2" t="inlineStr"/>
    </row>
    <row r="827" ht="15" customHeight="1">
      <c r="A827" t="inlineStr">
        <is>
          <t>A 56949-2023</t>
        </is>
      </c>
      <c r="B827" s="1" t="n">
        <v>45244</v>
      </c>
      <c r="C827" s="1" t="n">
        <v>45576</v>
      </c>
      <c r="D827" t="inlineStr">
        <is>
          <t>VÄSTMANLANDS LÄN</t>
        </is>
      </c>
      <c r="E827" t="inlineStr">
        <is>
          <t>SALA</t>
        </is>
      </c>
      <c r="G827" t="n">
        <v>4.7</v>
      </c>
      <c r="H827" t="n">
        <v>0</v>
      </c>
      <c r="I827" t="n">
        <v>0</v>
      </c>
      <c r="J827" t="n">
        <v>0</v>
      </c>
      <c r="K827" t="n">
        <v>0</v>
      </c>
      <c r="L827" t="n">
        <v>0</v>
      </c>
      <c r="M827" t="n">
        <v>0</v>
      </c>
      <c r="N827" t="n">
        <v>0</v>
      </c>
      <c r="O827" t="n">
        <v>0</v>
      </c>
      <c r="P827" t="n">
        <v>0</v>
      </c>
      <c r="Q827" t="n">
        <v>0</v>
      </c>
      <c r="R827" s="2" t="inlineStr"/>
    </row>
    <row r="828" ht="15" customHeight="1">
      <c r="A828" t="inlineStr">
        <is>
          <t>A 56964-2023</t>
        </is>
      </c>
      <c r="B828" s="1" t="n">
        <v>45244</v>
      </c>
      <c r="C828" s="1" t="n">
        <v>45576</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58028-2023</t>
        </is>
      </c>
      <c r="B829" s="1" t="n">
        <v>45247</v>
      </c>
      <c r="C829" s="1" t="n">
        <v>45576</v>
      </c>
      <c r="D829" t="inlineStr">
        <is>
          <t>VÄSTMANLANDS LÄN</t>
        </is>
      </c>
      <c r="E829" t="inlineStr">
        <is>
          <t>SALA</t>
        </is>
      </c>
      <c r="G829" t="n">
        <v>19.6</v>
      </c>
      <c r="H829" t="n">
        <v>0</v>
      </c>
      <c r="I829" t="n">
        <v>0</v>
      </c>
      <c r="J829" t="n">
        <v>0</v>
      </c>
      <c r="K829" t="n">
        <v>0</v>
      </c>
      <c r="L829" t="n">
        <v>0</v>
      </c>
      <c r="M829" t="n">
        <v>0</v>
      </c>
      <c r="N829" t="n">
        <v>0</v>
      </c>
      <c r="O829" t="n">
        <v>0</v>
      </c>
      <c r="P829" t="n">
        <v>0</v>
      </c>
      <c r="Q829" t="n">
        <v>0</v>
      </c>
      <c r="R829" s="2" t="inlineStr"/>
    </row>
    <row r="830" ht="15" customHeight="1">
      <c r="A830" t="inlineStr">
        <is>
          <t>A 58113-2023</t>
        </is>
      </c>
      <c r="B830" s="1" t="n">
        <v>45249</v>
      </c>
      <c r="C830" s="1" t="n">
        <v>45576</v>
      </c>
      <c r="D830" t="inlineStr">
        <is>
          <t>VÄSTMANLANDS LÄN</t>
        </is>
      </c>
      <c r="E830" t="inlineStr">
        <is>
          <t>SALA</t>
        </is>
      </c>
      <c r="G830" t="n">
        <v>0.6</v>
      </c>
      <c r="H830" t="n">
        <v>0</v>
      </c>
      <c r="I830" t="n">
        <v>0</v>
      </c>
      <c r="J830" t="n">
        <v>0</v>
      </c>
      <c r="K830" t="n">
        <v>0</v>
      </c>
      <c r="L830" t="n">
        <v>0</v>
      </c>
      <c r="M830" t="n">
        <v>0</v>
      </c>
      <c r="N830" t="n">
        <v>0</v>
      </c>
      <c r="O830" t="n">
        <v>0</v>
      </c>
      <c r="P830" t="n">
        <v>0</v>
      </c>
      <c r="Q830" t="n">
        <v>0</v>
      </c>
      <c r="R830" s="2" t="inlineStr"/>
    </row>
    <row r="831" ht="15" customHeight="1">
      <c r="A831" t="inlineStr">
        <is>
          <t>A 58271-2023</t>
        </is>
      </c>
      <c r="B831" s="1" t="n">
        <v>45250</v>
      </c>
      <c r="C831" s="1" t="n">
        <v>45576</v>
      </c>
      <c r="D831" t="inlineStr">
        <is>
          <t>VÄSTMANLANDS LÄN</t>
        </is>
      </c>
      <c r="E831" t="inlineStr">
        <is>
          <t>SALA</t>
        </is>
      </c>
      <c r="G831" t="n">
        <v>5.2</v>
      </c>
      <c r="H831" t="n">
        <v>0</v>
      </c>
      <c r="I831" t="n">
        <v>0</v>
      </c>
      <c r="J831" t="n">
        <v>0</v>
      </c>
      <c r="K831" t="n">
        <v>0</v>
      </c>
      <c r="L831" t="n">
        <v>0</v>
      </c>
      <c r="M831" t="n">
        <v>0</v>
      </c>
      <c r="N831" t="n">
        <v>0</v>
      </c>
      <c r="O831" t="n">
        <v>0</v>
      </c>
      <c r="P831" t="n">
        <v>0</v>
      </c>
      <c r="Q831" t="n">
        <v>0</v>
      </c>
      <c r="R831" s="2" t="inlineStr"/>
    </row>
    <row r="832" ht="15" customHeight="1">
      <c r="A832" t="inlineStr">
        <is>
          <t>A 58920-2023</t>
        </is>
      </c>
      <c r="B832" s="1" t="n">
        <v>45252</v>
      </c>
      <c r="C832" s="1" t="n">
        <v>45576</v>
      </c>
      <c r="D832" t="inlineStr">
        <is>
          <t>VÄSTMANLANDS LÄN</t>
        </is>
      </c>
      <c r="E832" t="inlineStr">
        <is>
          <t>SALA</t>
        </is>
      </c>
      <c r="G832" t="n">
        <v>2.4</v>
      </c>
      <c r="H832" t="n">
        <v>0</v>
      </c>
      <c r="I832" t="n">
        <v>0</v>
      </c>
      <c r="J832" t="n">
        <v>0</v>
      </c>
      <c r="K832" t="n">
        <v>0</v>
      </c>
      <c r="L832" t="n">
        <v>0</v>
      </c>
      <c r="M832" t="n">
        <v>0</v>
      </c>
      <c r="N832" t="n">
        <v>0</v>
      </c>
      <c r="O832" t="n">
        <v>0</v>
      </c>
      <c r="P832" t="n">
        <v>0</v>
      </c>
      <c r="Q832" t="n">
        <v>0</v>
      </c>
      <c r="R832" s="2" t="inlineStr"/>
    </row>
    <row r="833" ht="15" customHeight="1">
      <c r="A833" t="inlineStr">
        <is>
          <t>A 58823-2023</t>
        </is>
      </c>
      <c r="B833" s="1" t="n">
        <v>45252</v>
      </c>
      <c r="C833" s="1" t="n">
        <v>45576</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59297-2023</t>
        </is>
      </c>
      <c r="B834" s="1" t="n">
        <v>45253</v>
      </c>
      <c r="C834" s="1" t="n">
        <v>45576</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59713-2023</t>
        </is>
      </c>
      <c r="B835" s="1" t="n">
        <v>45257</v>
      </c>
      <c r="C835" s="1" t="n">
        <v>45576</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59785-2023</t>
        </is>
      </c>
      <c r="B836" s="1" t="n">
        <v>45257</v>
      </c>
      <c r="C836" s="1" t="n">
        <v>45576</v>
      </c>
      <c r="D836" t="inlineStr">
        <is>
          <t>VÄSTMANLANDS LÄN</t>
        </is>
      </c>
      <c r="E836" t="inlineStr">
        <is>
          <t>SALA</t>
        </is>
      </c>
      <c r="G836" t="n">
        <v>2.2</v>
      </c>
      <c r="H836" t="n">
        <v>0</v>
      </c>
      <c r="I836" t="n">
        <v>0</v>
      </c>
      <c r="J836" t="n">
        <v>0</v>
      </c>
      <c r="K836" t="n">
        <v>0</v>
      </c>
      <c r="L836" t="n">
        <v>0</v>
      </c>
      <c r="M836" t="n">
        <v>0</v>
      </c>
      <c r="N836" t="n">
        <v>0</v>
      </c>
      <c r="O836" t="n">
        <v>0</v>
      </c>
      <c r="P836" t="n">
        <v>0</v>
      </c>
      <c r="Q836" t="n">
        <v>0</v>
      </c>
      <c r="R836" s="2" t="inlineStr"/>
    </row>
    <row r="837" ht="15" customHeight="1">
      <c r="A837" t="inlineStr">
        <is>
          <t>A 60249-2023</t>
        </is>
      </c>
      <c r="B837" s="1" t="n">
        <v>45258</v>
      </c>
      <c r="C837" s="1" t="n">
        <v>45576</v>
      </c>
      <c r="D837" t="inlineStr">
        <is>
          <t>VÄSTMANLANDS LÄN</t>
        </is>
      </c>
      <c r="E837" t="inlineStr">
        <is>
          <t>SALA</t>
        </is>
      </c>
      <c r="G837" t="n">
        <v>2</v>
      </c>
      <c r="H837" t="n">
        <v>0</v>
      </c>
      <c r="I837" t="n">
        <v>0</v>
      </c>
      <c r="J837" t="n">
        <v>0</v>
      </c>
      <c r="K837" t="n">
        <v>0</v>
      </c>
      <c r="L837" t="n">
        <v>0</v>
      </c>
      <c r="M837" t="n">
        <v>0</v>
      </c>
      <c r="N837" t="n">
        <v>0</v>
      </c>
      <c r="O837" t="n">
        <v>0</v>
      </c>
      <c r="P837" t="n">
        <v>0</v>
      </c>
      <c r="Q837" t="n">
        <v>0</v>
      </c>
      <c r="R837" s="2" t="inlineStr"/>
    </row>
    <row r="838" ht="15" customHeight="1">
      <c r="A838" t="inlineStr">
        <is>
          <t>A 60731-2023</t>
        </is>
      </c>
      <c r="B838" s="1" t="n">
        <v>45260</v>
      </c>
      <c r="C838" s="1" t="n">
        <v>45576</v>
      </c>
      <c r="D838" t="inlineStr">
        <is>
          <t>VÄSTMANLANDS LÄN</t>
        </is>
      </c>
      <c r="E838" t="inlineStr">
        <is>
          <t>SALA</t>
        </is>
      </c>
      <c r="G838" t="n">
        <v>1</v>
      </c>
      <c r="H838" t="n">
        <v>0</v>
      </c>
      <c r="I838" t="n">
        <v>0</v>
      </c>
      <c r="J838" t="n">
        <v>0</v>
      </c>
      <c r="K838" t="n">
        <v>0</v>
      </c>
      <c r="L838" t="n">
        <v>0</v>
      </c>
      <c r="M838" t="n">
        <v>0</v>
      </c>
      <c r="N838" t="n">
        <v>0</v>
      </c>
      <c r="O838" t="n">
        <v>0</v>
      </c>
      <c r="P838" t="n">
        <v>0</v>
      </c>
      <c r="Q838" t="n">
        <v>0</v>
      </c>
      <c r="R838" s="2" t="inlineStr"/>
    </row>
    <row r="839" ht="15" customHeight="1">
      <c r="A839" t="inlineStr">
        <is>
          <t>A 60730-2023</t>
        </is>
      </c>
      <c r="B839" s="1" t="n">
        <v>45260</v>
      </c>
      <c r="C839" s="1" t="n">
        <v>45576</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61525-2023</t>
        </is>
      </c>
      <c r="B840" s="1" t="n">
        <v>45265</v>
      </c>
      <c r="C840" s="1" t="n">
        <v>45576</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62449-2023</t>
        </is>
      </c>
      <c r="B841" s="1" t="n">
        <v>45268</v>
      </c>
      <c r="C841" s="1" t="n">
        <v>45576</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62630-2023</t>
        </is>
      </c>
      <c r="B842" s="1" t="n">
        <v>45271</v>
      </c>
      <c r="C842" s="1" t="n">
        <v>45576</v>
      </c>
      <c r="D842" t="inlineStr">
        <is>
          <t>VÄSTMANLANDS LÄN</t>
        </is>
      </c>
      <c r="E842" t="inlineStr">
        <is>
          <t>SALA</t>
        </is>
      </c>
      <c r="G842" t="n">
        <v>1.5</v>
      </c>
      <c r="H842" t="n">
        <v>0</v>
      </c>
      <c r="I842" t="n">
        <v>0</v>
      </c>
      <c r="J842" t="n">
        <v>0</v>
      </c>
      <c r="K842" t="n">
        <v>0</v>
      </c>
      <c r="L842" t="n">
        <v>0</v>
      </c>
      <c r="M842" t="n">
        <v>0</v>
      </c>
      <c r="N842" t="n">
        <v>0</v>
      </c>
      <c r="O842" t="n">
        <v>0</v>
      </c>
      <c r="P842" t="n">
        <v>0</v>
      </c>
      <c r="Q842" t="n">
        <v>0</v>
      </c>
      <c r="R842" s="2" t="inlineStr"/>
    </row>
    <row r="843" ht="15" customHeight="1">
      <c r="A843" t="inlineStr">
        <is>
          <t>A 63234-2023</t>
        </is>
      </c>
      <c r="B843" s="1" t="n">
        <v>45273</v>
      </c>
      <c r="C843" s="1" t="n">
        <v>45576</v>
      </c>
      <c r="D843" t="inlineStr">
        <is>
          <t>VÄSTMANLANDS LÄN</t>
        </is>
      </c>
      <c r="E843" t="inlineStr">
        <is>
          <t>SALA</t>
        </is>
      </c>
      <c r="G843" t="n">
        <v>1</v>
      </c>
      <c r="H843" t="n">
        <v>0</v>
      </c>
      <c r="I843" t="n">
        <v>0</v>
      </c>
      <c r="J843" t="n">
        <v>0</v>
      </c>
      <c r="K843" t="n">
        <v>0</v>
      </c>
      <c r="L843" t="n">
        <v>0</v>
      </c>
      <c r="M843" t="n">
        <v>0</v>
      </c>
      <c r="N843" t="n">
        <v>0</v>
      </c>
      <c r="O843" t="n">
        <v>0</v>
      </c>
      <c r="P843" t="n">
        <v>0</v>
      </c>
      <c r="Q843" t="n">
        <v>0</v>
      </c>
      <c r="R843" s="2" t="inlineStr"/>
    </row>
    <row r="844" ht="15" customHeight="1">
      <c r="A844" t="inlineStr">
        <is>
          <t>A 63274-2023</t>
        </is>
      </c>
      <c r="B844" s="1" t="n">
        <v>45273</v>
      </c>
      <c r="C844" s="1" t="n">
        <v>45576</v>
      </c>
      <c r="D844" t="inlineStr">
        <is>
          <t>VÄSTMANLANDS LÄN</t>
        </is>
      </c>
      <c r="E844" t="inlineStr">
        <is>
          <t>SALA</t>
        </is>
      </c>
      <c r="G844" t="n">
        <v>2.1</v>
      </c>
      <c r="H844" t="n">
        <v>0</v>
      </c>
      <c r="I844" t="n">
        <v>0</v>
      </c>
      <c r="J844" t="n">
        <v>0</v>
      </c>
      <c r="K844" t="n">
        <v>0</v>
      </c>
      <c r="L844" t="n">
        <v>0</v>
      </c>
      <c r="M844" t="n">
        <v>0</v>
      </c>
      <c r="N844" t="n">
        <v>0</v>
      </c>
      <c r="O844" t="n">
        <v>0</v>
      </c>
      <c r="P844" t="n">
        <v>0</v>
      </c>
      <c r="Q844" t="n">
        <v>0</v>
      </c>
      <c r="R844" s="2" t="inlineStr"/>
    </row>
    <row r="845" ht="15" customHeight="1">
      <c r="A845" t="inlineStr">
        <is>
          <t>A 63466-2023</t>
        </is>
      </c>
      <c r="B845" s="1" t="n">
        <v>45274</v>
      </c>
      <c r="C845" s="1" t="n">
        <v>45576</v>
      </c>
      <c r="D845" t="inlineStr">
        <is>
          <t>VÄSTMANLANDS LÄN</t>
        </is>
      </c>
      <c r="E845" t="inlineStr">
        <is>
          <t>SALA</t>
        </is>
      </c>
      <c r="G845" t="n">
        <v>2.9</v>
      </c>
      <c r="H845" t="n">
        <v>0</v>
      </c>
      <c r="I845" t="n">
        <v>0</v>
      </c>
      <c r="J845" t="n">
        <v>0</v>
      </c>
      <c r="K845" t="n">
        <v>0</v>
      </c>
      <c r="L845" t="n">
        <v>0</v>
      </c>
      <c r="M845" t="n">
        <v>0</v>
      </c>
      <c r="N845" t="n">
        <v>0</v>
      </c>
      <c r="O845" t="n">
        <v>0</v>
      </c>
      <c r="P845" t="n">
        <v>0</v>
      </c>
      <c r="Q845" t="n">
        <v>0</v>
      </c>
      <c r="R845" s="2" t="inlineStr"/>
    </row>
    <row r="846" ht="15" customHeight="1">
      <c r="A846" t="inlineStr">
        <is>
          <t>A 63564-2023</t>
        </is>
      </c>
      <c r="B846" s="1" t="n">
        <v>45275</v>
      </c>
      <c r="C846" s="1" t="n">
        <v>45576</v>
      </c>
      <c r="D846" t="inlineStr">
        <is>
          <t>VÄSTMANLANDS LÄN</t>
        </is>
      </c>
      <c r="E846" t="inlineStr">
        <is>
          <t>SALA</t>
        </is>
      </c>
      <c r="G846" t="n">
        <v>3.6</v>
      </c>
      <c r="H846" t="n">
        <v>0</v>
      </c>
      <c r="I846" t="n">
        <v>0</v>
      </c>
      <c r="J846" t="n">
        <v>0</v>
      </c>
      <c r="K846" t="n">
        <v>0</v>
      </c>
      <c r="L846" t="n">
        <v>0</v>
      </c>
      <c r="M846" t="n">
        <v>0</v>
      </c>
      <c r="N846" t="n">
        <v>0</v>
      </c>
      <c r="O846" t="n">
        <v>0</v>
      </c>
      <c r="P846" t="n">
        <v>0</v>
      </c>
      <c r="Q846" t="n">
        <v>0</v>
      </c>
      <c r="R846" s="2" t="inlineStr"/>
    </row>
    <row r="847" ht="15" customHeight="1">
      <c r="A847" t="inlineStr">
        <is>
          <t>A 63905-2023</t>
        </is>
      </c>
      <c r="B847" s="1" t="n">
        <v>45278</v>
      </c>
      <c r="C847" s="1" t="n">
        <v>45576</v>
      </c>
      <c r="D847" t="inlineStr">
        <is>
          <t>VÄSTMANLANDS LÄN</t>
        </is>
      </c>
      <c r="E847" t="inlineStr">
        <is>
          <t>SALA</t>
        </is>
      </c>
      <c r="G847" t="n">
        <v>4.1</v>
      </c>
      <c r="H847" t="n">
        <v>0</v>
      </c>
      <c r="I847" t="n">
        <v>0</v>
      </c>
      <c r="J847" t="n">
        <v>0</v>
      </c>
      <c r="K847" t="n">
        <v>0</v>
      </c>
      <c r="L847" t="n">
        <v>0</v>
      </c>
      <c r="M847" t="n">
        <v>0</v>
      </c>
      <c r="N847" t="n">
        <v>0</v>
      </c>
      <c r="O847" t="n">
        <v>0</v>
      </c>
      <c r="P847" t="n">
        <v>0</v>
      </c>
      <c r="Q847" t="n">
        <v>0</v>
      </c>
      <c r="R847" s="2" t="inlineStr"/>
    </row>
    <row r="848" ht="15" customHeight="1">
      <c r="A848" t="inlineStr">
        <is>
          <t>A 63933-2023</t>
        </is>
      </c>
      <c r="B848" s="1" t="n">
        <v>45278</v>
      </c>
      <c r="C848" s="1" t="n">
        <v>45576</v>
      </c>
      <c r="D848" t="inlineStr">
        <is>
          <t>VÄSTMANLANDS LÄN</t>
        </is>
      </c>
      <c r="E848" t="inlineStr">
        <is>
          <t>SALA</t>
        </is>
      </c>
      <c r="G848" t="n">
        <v>1.4</v>
      </c>
      <c r="H848" t="n">
        <v>0</v>
      </c>
      <c r="I848" t="n">
        <v>0</v>
      </c>
      <c r="J848" t="n">
        <v>0</v>
      </c>
      <c r="K848" t="n">
        <v>0</v>
      </c>
      <c r="L848" t="n">
        <v>0</v>
      </c>
      <c r="M848" t="n">
        <v>0</v>
      </c>
      <c r="N848" t="n">
        <v>0</v>
      </c>
      <c r="O848" t="n">
        <v>0</v>
      </c>
      <c r="P848" t="n">
        <v>0</v>
      </c>
      <c r="Q848" t="n">
        <v>0</v>
      </c>
      <c r="R848" s="2" t="inlineStr"/>
    </row>
    <row r="849" ht="15" customHeight="1">
      <c r="A849" t="inlineStr">
        <is>
          <t>A 64109-2023</t>
        </is>
      </c>
      <c r="B849" s="1" t="n">
        <v>45279</v>
      </c>
      <c r="C849" s="1" t="n">
        <v>45576</v>
      </c>
      <c r="D849" t="inlineStr">
        <is>
          <t>VÄSTMANLANDS LÄN</t>
        </is>
      </c>
      <c r="E849" t="inlineStr">
        <is>
          <t>SALA</t>
        </is>
      </c>
      <c r="G849" t="n">
        <v>3.7</v>
      </c>
      <c r="H849" t="n">
        <v>0</v>
      </c>
      <c r="I849" t="n">
        <v>0</v>
      </c>
      <c r="J849" t="n">
        <v>0</v>
      </c>
      <c r="K849" t="n">
        <v>0</v>
      </c>
      <c r="L849" t="n">
        <v>0</v>
      </c>
      <c r="M849" t="n">
        <v>0</v>
      </c>
      <c r="N849" t="n">
        <v>0</v>
      </c>
      <c r="O849" t="n">
        <v>0</v>
      </c>
      <c r="P849" t="n">
        <v>0</v>
      </c>
      <c r="Q849" t="n">
        <v>0</v>
      </c>
      <c r="R849" s="2" t="inlineStr"/>
    </row>
    <row r="850" ht="15" customHeight="1">
      <c r="A850" t="inlineStr">
        <is>
          <t>A 64123-2023</t>
        </is>
      </c>
      <c r="B850" s="1" t="n">
        <v>45279</v>
      </c>
      <c r="C850" s="1" t="n">
        <v>45576</v>
      </c>
      <c r="D850" t="inlineStr">
        <is>
          <t>VÄSTMANLANDS LÄN</t>
        </is>
      </c>
      <c r="E850" t="inlineStr">
        <is>
          <t>SALA</t>
        </is>
      </c>
      <c r="G850" t="n">
        <v>4</v>
      </c>
      <c r="H850" t="n">
        <v>0</v>
      </c>
      <c r="I850" t="n">
        <v>0</v>
      </c>
      <c r="J850" t="n">
        <v>0</v>
      </c>
      <c r="K850" t="n">
        <v>0</v>
      </c>
      <c r="L850" t="n">
        <v>0</v>
      </c>
      <c r="M850" t="n">
        <v>0</v>
      </c>
      <c r="N850" t="n">
        <v>0</v>
      </c>
      <c r="O850" t="n">
        <v>0</v>
      </c>
      <c r="P850" t="n">
        <v>0</v>
      </c>
      <c r="Q850" t="n">
        <v>0</v>
      </c>
      <c r="R850" s="2" t="inlineStr"/>
    </row>
    <row r="851" ht="15" customHeight="1">
      <c r="A851" t="inlineStr">
        <is>
          <t>A 64693-2023</t>
        </is>
      </c>
      <c r="B851" s="1" t="n">
        <v>45281</v>
      </c>
      <c r="C851" s="1" t="n">
        <v>45576</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64729-2023</t>
        </is>
      </c>
      <c r="B852" s="1" t="n">
        <v>45281</v>
      </c>
      <c r="C852" s="1" t="n">
        <v>45576</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64724-2023</t>
        </is>
      </c>
      <c r="B853" s="1" t="n">
        <v>45281</v>
      </c>
      <c r="C853" s="1" t="n">
        <v>45576</v>
      </c>
      <c r="D853" t="inlineStr">
        <is>
          <t>VÄSTMANLANDS LÄN</t>
        </is>
      </c>
      <c r="E853" t="inlineStr">
        <is>
          <t>SALA</t>
        </is>
      </c>
      <c r="G853" t="n">
        <v>2.3</v>
      </c>
      <c r="H853" t="n">
        <v>0</v>
      </c>
      <c r="I853" t="n">
        <v>0</v>
      </c>
      <c r="J853" t="n">
        <v>0</v>
      </c>
      <c r="K853" t="n">
        <v>0</v>
      </c>
      <c r="L853" t="n">
        <v>0</v>
      </c>
      <c r="M853" t="n">
        <v>0</v>
      </c>
      <c r="N853" t="n">
        <v>0</v>
      </c>
      <c r="O853" t="n">
        <v>0</v>
      </c>
      <c r="P853" t="n">
        <v>0</v>
      </c>
      <c r="Q853" t="n">
        <v>0</v>
      </c>
      <c r="R853" s="2" t="inlineStr"/>
    </row>
    <row r="854" ht="15" customHeight="1">
      <c r="A854" t="inlineStr">
        <is>
          <t>A 64692-2023</t>
        </is>
      </c>
      <c r="B854" s="1" t="n">
        <v>45281</v>
      </c>
      <c r="C854" s="1" t="n">
        <v>45576</v>
      </c>
      <c r="D854" t="inlineStr">
        <is>
          <t>VÄSTMANLANDS LÄN</t>
        </is>
      </c>
      <c r="E854" t="inlineStr">
        <is>
          <t>SALA</t>
        </is>
      </c>
      <c r="G854" t="n">
        <v>1.7</v>
      </c>
      <c r="H854" t="n">
        <v>0</v>
      </c>
      <c r="I854" t="n">
        <v>0</v>
      </c>
      <c r="J854" t="n">
        <v>0</v>
      </c>
      <c r="K854" t="n">
        <v>0</v>
      </c>
      <c r="L854" t="n">
        <v>0</v>
      </c>
      <c r="M854" t="n">
        <v>0</v>
      </c>
      <c r="N854" t="n">
        <v>0</v>
      </c>
      <c r="O854" t="n">
        <v>0</v>
      </c>
      <c r="P854" t="n">
        <v>0</v>
      </c>
      <c r="Q854" t="n">
        <v>0</v>
      </c>
      <c r="R854" s="2" t="inlineStr"/>
    </row>
    <row r="855" ht="15" customHeight="1">
      <c r="A855" t="inlineStr">
        <is>
          <t>A 64687-2023</t>
        </is>
      </c>
      <c r="B855" s="1" t="n">
        <v>45281</v>
      </c>
      <c r="C855" s="1" t="n">
        <v>45576</v>
      </c>
      <c r="D855" t="inlineStr">
        <is>
          <t>VÄSTMANLANDS LÄN</t>
        </is>
      </c>
      <c r="E855" t="inlineStr">
        <is>
          <t>SALA</t>
        </is>
      </c>
      <c r="G855" t="n">
        <v>2.8</v>
      </c>
      <c r="H855" t="n">
        <v>0</v>
      </c>
      <c r="I855" t="n">
        <v>0</v>
      </c>
      <c r="J855" t="n">
        <v>0</v>
      </c>
      <c r="K855" t="n">
        <v>0</v>
      </c>
      <c r="L855" t="n">
        <v>0</v>
      </c>
      <c r="M855" t="n">
        <v>0</v>
      </c>
      <c r="N855" t="n">
        <v>0</v>
      </c>
      <c r="O855" t="n">
        <v>0</v>
      </c>
      <c r="P855" t="n">
        <v>0</v>
      </c>
      <c r="Q855" t="n">
        <v>0</v>
      </c>
      <c r="R855" s="2" t="inlineStr"/>
    </row>
    <row r="856" ht="15" customHeight="1">
      <c r="A856" t="inlineStr">
        <is>
          <t>A 64695-2023</t>
        </is>
      </c>
      <c r="B856" s="1" t="n">
        <v>45281</v>
      </c>
      <c r="C856" s="1" t="n">
        <v>45576</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64925-2023</t>
        </is>
      </c>
      <c r="B857" s="1" t="n">
        <v>45282</v>
      </c>
      <c r="C857" s="1" t="n">
        <v>45576</v>
      </c>
      <c r="D857" t="inlineStr">
        <is>
          <t>VÄSTMANLANDS LÄN</t>
        </is>
      </c>
      <c r="E857" t="inlineStr">
        <is>
          <t>SALA</t>
        </is>
      </c>
      <c r="G857" t="n">
        <v>2.5</v>
      </c>
      <c r="H857" t="n">
        <v>0</v>
      </c>
      <c r="I857" t="n">
        <v>0</v>
      </c>
      <c r="J857" t="n">
        <v>0</v>
      </c>
      <c r="K857" t="n">
        <v>0</v>
      </c>
      <c r="L857" t="n">
        <v>0</v>
      </c>
      <c r="M857" t="n">
        <v>0</v>
      </c>
      <c r="N857" t="n">
        <v>0</v>
      </c>
      <c r="O857" t="n">
        <v>0</v>
      </c>
      <c r="P857" t="n">
        <v>0</v>
      </c>
      <c r="Q857" t="n">
        <v>0</v>
      </c>
      <c r="R857" s="2" t="inlineStr"/>
    </row>
    <row r="858" ht="15" customHeight="1">
      <c r="A858" t="inlineStr">
        <is>
          <t>A 30-2024</t>
        </is>
      </c>
      <c r="B858" s="1" t="n">
        <v>45293</v>
      </c>
      <c r="C858" s="1" t="n">
        <v>45576</v>
      </c>
      <c r="D858" t="inlineStr">
        <is>
          <t>VÄSTMANLANDS LÄN</t>
        </is>
      </c>
      <c r="E858" t="inlineStr">
        <is>
          <t>SALA</t>
        </is>
      </c>
      <c r="G858" t="n">
        <v>1.8</v>
      </c>
      <c r="H858" t="n">
        <v>0</v>
      </c>
      <c r="I858" t="n">
        <v>0</v>
      </c>
      <c r="J858" t="n">
        <v>0</v>
      </c>
      <c r="K858" t="n">
        <v>0</v>
      </c>
      <c r="L858" t="n">
        <v>0</v>
      </c>
      <c r="M858" t="n">
        <v>0</v>
      </c>
      <c r="N858" t="n">
        <v>0</v>
      </c>
      <c r="O858" t="n">
        <v>0</v>
      </c>
      <c r="P858" t="n">
        <v>0</v>
      </c>
      <c r="Q858" t="n">
        <v>0</v>
      </c>
      <c r="R858" s="2" t="inlineStr"/>
    </row>
    <row r="859" ht="15" customHeight="1">
      <c r="A859" t="inlineStr">
        <is>
          <t>A 96-2024</t>
        </is>
      </c>
      <c r="B859" s="1" t="n">
        <v>45293</v>
      </c>
      <c r="C859" s="1" t="n">
        <v>45576</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110-2024</t>
        </is>
      </c>
      <c r="B860" s="1" t="n">
        <v>45294</v>
      </c>
      <c r="C860" s="1" t="n">
        <v>45576</v>
      </c>
      <c r="D860" t="inlineStr">
        <is>
          <t>VÄSTMANLANDS LÄN</t>
        </is>
      </c>
      <c r="E860" t="inlineStr">
        <is>
          <t>SALA</t>
        </is>
      </c>
      <c r="G860" t="n">
        <v>3.8</v>
      </c>
      <c r="H860" t="n">
        <v>0</v>
      </c>
      <c r="I860" t="n">
        <v>0</v>
      </c>
      <c r="J860" t="n">
        <v>0</v>
      </c>
      <c r="K860" t="n">
        <v>0</v>
      </c>
      <c r="L860" t="n">
        <v>0</v>
      </c>
      <c r="M860" t="n">
        <v>0</v>
      </c>
      <c r="N860" t="n">
        <v>0</v>
      </c>
      <c r="O860" t="n">
        <v>0</v>
      </c>
      <c r="P860" t="n">
        <v>0</v>
      </c>
      <c r="Q860" t="n">
        <v>0</v>
      </c>
      <c r="R860" s="2" t="inlineStr"/>
    </row>
    <row r="861" ht="15" customHeight="1">
      <c r="A861" t="inlineStr">
        <is>
          <t>A 456-2024</t>
        </is>
      </c>
      <c r="B861" s="1" t="n">
        <v>45296</v>
      </c>
      <c r="C861" s="1" t="n">
        <v>45576</v>
      </c>
      <c r="D861" t="inlineStr">
        <is>
          <t>VÄSTMANLANDS LÄN</t>
        </is>
      </c>
      <c r="E861" t="inlineStr">
        <is>
          <t>SALA</t>
        </is>
      </c>
      <c r="G861" t="n">
        <v>4.7</v>
      </c>
      <c r="H861" t="n">
        <v>0</v>
      </c>
      <c r="I861" t="n">
        <v>0</v>
      </c>
      <c r="J861" t="n">
        <v>0</v>
      </c>
      <c r="K861" t="n">
        <v>0</v>
      </c>
      <c r="L861" t="n">
        <v>0</v>
      </c>
      <c r="M861" t="n">
        <v>0</v>
      </c>
      <c r="N861" t="n">
        <v>0</v>
      </c>
      <c r="O861" t="n">
        <v>0</v>
      </c>
      <c r="P861" t="n">
        <v>0</v>
      </c>
      <c r="Q861" t="n">
        <v>0</v>
      </c>
      <c r="R861" s="2" t="inlineStr"/>
    </row>
    <row r="862" ht="15" customHeight="1">
      <c r="A862" t="inlineStr">
        <is>
          <t>A 1118-2024</t>
        </is>
      </c>
      <c r="B862" s="1" t="n">
        <v>45302</v>
      </c>
      <c r="C862" s="1" t="n">
        <v>45576</v>
      </c>
      <c r="D862" t="inlineStr">
        <is>
          <t>VÄSTMANLANDS LÄN</t>
        </is>
      </c>
      <c r="E862" t="inlineStr">
        <is>
          <t>SALA</t>
        </is>
      </c>
      <c r="G862" t="n">
        <v>1.9</v>
      </c>
      <c r="H862" t="n">
        <v>0</v>
      </c>
      <c r="I862" t="n">
        <v>0</v>
      </c>
      <c r="J862" t="n">
        <v>0</v>
      </c>
      <c r="K862" t="n">
        <v>0</v>
      </c>
      <c r="L862" t="n">
        <v>0</v>
      </c>
      <c r="M862" t="n">
        <v>0</v>
      </c>
      <c r="N862" t="n">
        <v>0</v>
      </c>
      <c r="O862" t="n">
        <v>0</v>
      </c>
      <c r="P862" t="n">
        <v>0</v>
      </c>
      <c r="Q862" t="n">
        <v>0</v>
      </c>
      <c r="R862" s="2" t="inlineStr"/>
    </row>
    <row r="863" ht="15" customHeight="1">
      <c r="A863" t="inlineStr">
        <is>
          <t>A 1555-2024</t>
        </is>
      </c>
      <c r="B863" s="1" t="n">
        <v>45306</v>
      </c>
      <c r="C863" s="1" t="n">
        <v>45576</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1552-2024</t>
        </is>
      </c>
      <c r="B864" s="1" t="n">
        <v>45306</v>
      </c>
      <c r="C864" s="1" t="n">
        <v>45576</v>
      </c>
      <c r="D864" t="inlineStr">
        <is>
          <t>VÄSTMANLANDS LÄN</t>
        </is>
      </c>
      <c r="E864" t="inlineStr">
        <is>
          <t>SALA</t>
        </is>
      </c>
      <c r="G864" t="n">
        <v>3.3</v>
      </c>
      <c r="H864" t="n">
        <v>0</v>
      </c>
      <c r="I864" t="n">
        <v>0</v>
      </c>
      <c r="J864" t="n">
        <v>0</v>
      </c>
      <c r="K864" t="n">
        <v>0</v>
      </c>
      <c r="L864" t="n">
        <v>0</v>
      </c>
      <c r="M864" t="n">
        <v>0</v>
      </c>
      <c r="N864" t="n">
        <v>0</v>
      </c>
      <c r="O864" t="n">
        <v>0</v>
      </c>
      <c r="P864" t="n">
        <v>0</v>
      </c>
      <c r="Q864" t="n">
        <v>0</v>
      </c>
      <c r="R864" s="2" t="inlineStr"/>
    </row>
    <row r="865" ht="15" customHeight="1">
      <c r="A865" t="inlineStr">
        <is>
          <t>A 2392-2024</t>
        </is>
      </c>
      <c r="B865" s="1" t="n">
        <v>45310</v>
      </c>
      <c r="C865" s="1" t="n">
        <v>45576</v>
      </c>
      <c r="D865" t="inlineStr">
        <is>
          <t>VÄSTMANLANDS LÄN</t>
        </is>
      </c>
      <c r="E865" t="inlineStr">
        <is>
          <t>SALA</t>
        </is>
      </c>
      <c r="G865" t="n">
        <v>8.800000000000001</v>
      </c>
      <c r="H865" t="n">
        <v>0</v>
      </c>
      <c r="I865" t="n">
        <v>0</v>
      </c>
      <c r="J865" t="n">
        <v>0</v>
      </c>
      <c r="K865" t="n">
        <v>0</v>
      </c>
      <c r="L865" t="n">
        <v>0</v>
      </c>
      <c r="M865" t="n">
        <v>0</v>
      </c>
      <c r="N865" t="n">
        <v>0</v>
      </c>
      <c r="O865" t="n">
        <v>0</v>
      </c>
      <c r="P865" t="n">
        <v>0</v>
      </c>
      <c r="Q865" t="n">
        <v>0</v>
      </c>
      <c r="R865" s="2" t="inlineStr"/>
    </row>
    <row r="866" ht="15" customHeight="1">
      <c r="A866" t="inlineStr">
        <is>
          <t>A 2478-2024</t>
        </is>
      </c>
      <c r="B866" s="1" t="n">
        <v>45313</v>
      </c>
      <c r="C866" s="1" t="n">
        <v>45576</v>
      </c>
      <c r="D866" t="inlineStr">
        <is>
          <t>VÄSTMANLANDS LÄN</t>
        </is>
      </c>
      <c r="E866" t="inlineStr">
        <is>
          <t>SALA</t>
        </is>
      </c>
      <c r="G866" t="n">
        <v>0.9</v>
      </c>
      <c r="H866" t="n">
        <v>0</v>
      </c>
      <c r="I866" t="n">
        <v>0</v>
      </c>
      <c r="J866" t="n">
        <v>0</v>
      </c>
      <c r="K866" t="n">
        <v>0</v>
      </c>
      <c r="L866" t="n">
        <v>0</v>
      </c>
      <c r="M866" t="n">
        <v>0</v>
      </c>
      <c r="N866" t="n">
        <v>0</v>
      </c>
      <c r="O866" t="n">
        <v>0</v>
      </c>
      <c r="P866" t="n">
        <v>0</v>
      </c>
      <c r="Q866" t="n">
        <v>0</v>
      </c>
      <c r="R866" s="2" t="inlineStr"/>
    </row>
    <row r="867" ht="15" customHeight="1">
      <c r="A867" t="inlineStr">
        <is>
          <t>A 2599-2024</t>
        </is>
      </c>
      <c r="B867" s="1" t="n">
        <v>45313</v>
      </c>
      <c r="C867" s="1" t="n">
        <v>45576</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2766-2024</t>
        </is>
      </c>
      <c r="B868" s="1" t="n">
        <v>45314</v>
      </c>
      <c r="C868" s="1" t="n">
        <v>45576</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2925-2024</t>
        </is>
      </c>
      <c r="B869" s="1" t="n">
        <v>45315</v>
      </c>
      <c r="C869" s="1" t="n">
        <v>45576</v>
      </c>
      <c r="D869" t="inlineStr">
        <is>
          <t>VÄSTMANLANDS LÄN</t>
        </is>
      </c>
      <c r="E869" t="inlineStr">
        <is>
          <t>SALA</t>
        </is>
      </c>
      <c r="G869" t="n">
        <v>1.3</v>
      </c>
      <c r="H869" t="n">
        <v>0</v>
      </c>
      <c r="I869" t="n">
        <v>0</v>
      </c>
      <c r="J869" t="n">
        <v>0</v>
      </c>
      <c r="K869" t="n">
        <v>0</v>
      </c>
      <c r="L869" t="n">
        <v>0</v>
      </c>
      <c r="M869" t="n">
        <v>0</v>
      </c>
      <c r="N869" t="n">
        <v>0</v>
      </c>
      <c r="O869" t="n">
        <v>0</v>
      </c>
      <c r="P869" t="n">
        <v>0</v>
      </c>
      <c r="Q869" t="n">
        <v>0</v>
      </c>
      <c r="R869" s="2" t="inlineStr"/>
    </row>
    <row r="870" ht="15" customHeight="1">
      <c r="A870" t="inlineStr">
        <is>
          <t>A 2928-2024</t>
        </is>
      </c>
      <c r="B870" s="1" t="n">
        <v>45315</v>
      </c>
      <c r="C870" s="1" t="n">
        <v>45576</v>
      </c>
      <c r="D870" t="inlineStr">
        <is>
          <t>VÄSTMANLANDS LÄN</t>
        </is>
      </c>
      <c r="E870" t="inlineStr">
        <is>
          <t>SALA</t>
        </is>
      </c>
      <c r="G870" t="n">
        <v>1.4</v>
      </c>
      <c r="H870" t="n">
        <v>0</v>
      </c>
      <c r="I870" t="n">
        <v>0</v>
      </c>
      <c r="J870" t="n">
        <v>0</v>
      </c>
      <c r="K870" t="n">
        <v>0</v>
      </c>
      <c r="L870" t="n">
        <v>0</v>
      </c>
      <c r="M870" t="n">
        <v>0</v>
      </c>
      <c r="N870" t="n">
        <v>0</v>
      </c>
      <c r="O870" t="n">
        <v>0</v>
      </c>
      <c r="P870" t="n">
        <v>0</v>
      </c>
      <c r="Q870" t="n">
        <v>0</v>
      </c>
      <c r="R870" s="2" t="inlineStr"/>
    </row>
    <row r="871" ht="15" customHeight="1">
      <c r="A871" t="inlineStr">
        <is>
          <t>A 2927-2024</t>
        </is>
      </c>
      <c r="B871" s="1" t="n">
        <v>45315</v>
      </c>
      <c r="C871" s="1" t="n">
        <v>45576</v>
      </c>
      <c r="D871" t="inlineStr">
        <is>
          <t>VÄSTMANLANDS LÄN</t>
        </is>
      </c>
      <c r="E871" t="inlineStr">
        <is>
          <t>SALA</t>
        </is>
      </c>
      <c r="G871" t="n">
        <v>2.5</v>
      </c>
      <c r="H871" t="n">
        <v>0</v>
      </c>
      <c r="I871" t="n">
        <v>0</v>
      </c>
      <c r="J871" t="n">
        <v>0</v>
      </c>
      <c r="K871" t="n">
        <v>0</v>
      </c>
      <c r="L871" t="n">
        <v>0</v>
      </c>
      <c r="M871" t="n">
        <v>0</v>
      </c>
      <c r="N871" t="n">
        <v>0</v>
      </c>
      <c r="O871" t="n">
        <v>0</v>
      </c>
      <c r="P871" t="n">
        <v>0</v>
      </c>
      <c r="Q871" t="n">
        <v>0</v>
      </c>
      <c r="R871" s="2" t="inlineStr"/>
    </row>
    <row r="872" ht="15" customHeight="1">
      <c r="A872" t="inlineStr">
        <is>
          <t>A 3061-2024</t>
        </is>
      </c>
      <c r="B872" s="1" t="n">
        <v>45316</v>
      </c>
      <c r="C872" s="1" t="n">
        <v>45576</v>
      </c>
      <c r="D872" t="inlineStr">
        <is>
          <t>VÄSTMANLANDS LÄN</t>
        </is>
      </c>
      <c r="E872" t="inlineStr">
        <is>
          <t>SALA</t>
        </is>
      </c>
      <c r="G872" t="n">
        <v>5.7</v>
      </c>
      <c r="H872" t="n">
        <v>0</v>
      </c>
      <c r="I872" t="n">
        <v>0</v>
      </c>
      <c r="J872" t="n">
        <v>0</v>
      </c>
      <c r="K872" t="n">
        <v>0</v>
      </c>
      <c r="L872" t="n">
        <v>0</v>
      </c>
      <c r="M872" t="n">
        <v>0</v>
      </c>
      <c r="N872" t="n">
        <v>0</v>
      </c>
      <c r="O872" t="n">
        <v>0</v>
      </c>
      <c r="P872" t="n">
        <v>0</v>
      </c>
      <c r="Q872" t="n">
        <v>0</v>
      </c>
      <c r="R872" s="2" t="inlineStr"/>
    </row>
    <row r="873" ht="15" customHeight="1">
      <c r="A873" t="inlineStr">
        <is>
          <t>A 3332-2024</t>
        </is>
      </c>
      <c r="B873" s="1" t="n">
        <v>45317</v>
      </c>
      <c r="C873" s="1" t="n">
        <v>45576</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3577-2024</t>
        </is>
      </c>
      <c r="B874" s="1" t="n">
        <v>45320</v>
      </c>
      <c r="C874" s="1" t="n">
        <v>45576</v>
      </c>
      <c r="D874" t="inlineStr">
        <is>
          <t>VÄSTMANLANDS LÄN</t>
        </is>
      </c>
      <c r="E874" t="inlineStr">
        <is>
          <t>SALA</t>
        </is>
      </c>
      <c r="F874" t="inlineStr">
        <is>
          <t>Kommuner</t>
        </is>
      </c>
      <c r="G874" t="n">
        <v>7.2</v>
      </c>
      <c r="H874" t="n">
        <v>0</v>
      </c>
      <c r="I874" t="n">
        <v>0</v>
      </c>
      <c r="J874" t="n">
        <v>0</v>
      </c>
      <c r="K874" t="n">
        <v>0</v>
      </c>
      <c r="L874" t="n">
        <v>0</v>
      </c>
      <c r="M874" t="n">
        <v>0</v>
      </c>
      <c r="N874" t="n">
        <v>0</v>
      </c>
      <c r="O874" t="n">
        <v>0</v>
      </c>
      <c r="P874" t="n">
        <v>0</v>
      </c>
      <c r="Q874" t="n">
        <v>0</v>
      </c>
      <c r="R874" s="2" t="inlineStr"/>
    </row>
    <row r="875" ht="15" customHeight="1">
      <c r="A875" t="inlineStr">
        <is>
          <t>A 3527-2024</t>
        </is>
      </c>
      <c r="B875" s="1" t="n">
        <v>45320</v>
      </c>
      <c r="C875" s="1" t="n">
        <v>45576</v>
      </c>
      <c r="D875" t="inlineStr">
        <is>
          <t>VÄSTMANLANDS LÄN</t>
        </is>
      </c>
      <c r="E875" t="inlineStr">
        <is>
          <t>SALA</t>
        </is>
      </c>
      <c r="G875" t="n">
        <v>1.7</v>
      </c>
      <c r="H875" t="n">
        <v>0</v>
      </c>
      <c r="I875" t="n">
        <v>0</v>
      </c>
      <c r="J875" t="n">
        <v>0</v>
      </c>
      <c r="K875" t="n">
        <v>0</v>
      </c>
      <c r="L875" t="n">
        <v>0</v>
      </c>
      <c r="M875" t="n">
        <v>0</v>
      </c>
      <c r="N875" t="n">
        <v>0</v>
      </c>
      <c r="O875" t="n">
        <v>0</v>
      </c>
      <c r="P875" t="n">
        <v>0</v>
      </c>
      <c r="Q875" t="n">
        <v>0</v>
      </c>
      <c r="R875" s="2" t="inlineStr"/>
    </row>
    <row r="876" ht="15" customHeight="1">
      <c r="A876" t="inlineStr">
        <is>
          <t>A 3551-2024</t>
        </is>
      </c>
      <c r="B876" s="1" t="n">
        <v>45320</v>
      </c>
      <c r="C876" s="1" t="n">
        <v>45576</v>
      </c>
      <c r="D876" t="inlineStr">
        <is>
          <t>VÄSTMANLANDS LÄN</t>
        </is>
      </c>
      <c r="E876" t="inlineStr">
        <is>
          <t>SALA</t>
        </is>
      </c>
      <c r="F876" t="inlineStr">
        <is>
          <t>Kommuner</t>
        </is>
      </c>
      <c r="G876" t="n">
        <v>6</v>
      </c>
      <c r="H876" t="n">
        <v>0</v>
      </c>
      <c r="I876" t="n">
        <v>0</v>
      </c>
      <c r="J876" t="n">
        <v>0</v>
      </c>
      <c r="K876" t="n">
        <v>0</v>
      </c>
      <c r="L876" t="n">
        <v>0</v>
      </c>
      <c r="M876" t="n">
        <v>0</v>
      </c>
      <c r="N876" t="n">
        <v>0</v>
      </c>
      <c r="O876" t="n">
        <v>0</v>
      </c>
      <c r="P876" t="n">
        <v>0</v>
      </c>
      <c r="Q876" t="n">
        <v>0</v>
      </c>
      <c r="R876" s="2" t="inlineStr"/>
    </row>
    <row r="877" ht="15" customHeight="1">
      <c r="A877" t="inlineStr">
        <is>
          <t>A 3525-2024</t>
        </is>
      </c>
      <c r="B877" s="1" t="n">
        <v>45320</v>
      </c>
      <c r="C877" s="1" t="n">
        <v>45576</v>
      </c>
      <c r="D877" t="inlineStr">
        <is>
          <t>VÄSTMANLANDS LÄN</t>
        </is>
      </c>
      <c r="E877" t="inlineStr">
        <is>
          <t>SALA</t>
        </is>
      </c>
      <c r="G877" t="n">
        <v>3.5</v>
      </c>
      <c r="H877" t="n">
        <v>0</v>
      </c>
      <c r="I877" t="n">
        <v>0</v>
      </c>
      <c r="J877" t="n">
        <v>0</v>
      </c>
      <c r="K877" t="n">
        <v>0</v>
      </c>
      <c r="L877" t="n">
        <v>0</v>
      </c>
      <c r="M877" t="n">
        <v>0</v>
      </c>
      <c r="N877" t="n">
        <v>0</v>
      </c>
      <c r="O877" t="n">
        <v>0</v>
      </c>
      <c r="P877" t="n">
        <v>0</v>
      </c>
      <c r="Q877" t="n">
        <v>0</v>
      </c>
      <c r="R877" s="2" t="inlineStr"/>
    </row>
    <row r="878" ht="15" customHeight="1">
      <c r="A878" t="inlineStr">
        <is>
          <t>A 3560-2024</t>
        </is>
      </c>
      <c r="B878" s="1" t="n">
        <v>45320</v>
      </c>
      <c r="C878" s="1" t="n">
        <v>45576</v>
      </c>
      <c r="D878" t="inlineStr">
        <is>
          <t>VÄSTMANLANDS LÄN</t>
        </is>
      </c>
      <c r="E878" t="inlineStr">
        <is>
          <t>SALA</t>
        </is>
      </c>
      <c r="F878" t="inlineStr">
        <is>
          <t>Kommuner</t>
        </is>
      </c>
      <c r="G878" t="n">
        <v>4.2</v>
      </c>
      <c r="H878" t="n">
        <v>0</v>
      </c>
      <c r="I878" t="n">
        <v>0</v>
      </c>
      <c r="J878" t="n">
        <v>0</v>
      </c>
      <c r="K878" t="n">
        <v>0</v>
      </c>
      <c r="L878" t="n">
        <v>0</v>
      </c>
      <c r="M878" t="n">
        <v>0</v>
      </c>
      <c r="N878" t="n">
        <v>0</v>
      </c>
      <c r="O878" t="n">
        <v>0</v>
      </c>
      <c r="P878" t="n">
        <v>0</v>
      </c>
      <c r="Q878" t="n">
        <v>0</v>
      </c>
      <c r="R878" s="2" t="inlineStr"/>
    </row>
    <row r="879" ht="15" customHeight="1">
      <c r="A879" t="inlineStr">
        <is>
          <t>A 4417-2024</t>
        </is>
      </c>
      <c r="B879" s="1" t="n">
        <v>45327</v>
      </c>
      <c r="C879" s="1" t="n">
        <v>45576</v>
      </c>
      <c r="D879" t="inlineStr">
        <is>
          <t>VÄSTMANLANDS LÄN</t>
        </is>
      </c>
      <c r="E879" t="inlineStr">
        <is>
          <t>SALA</t>
        </is>
      </c>
      <c r="G879" t="n">
        <v>3.7</v>
      </c>
      <c r="H879" t="n">
        <v>0</v>
      </c>
      <c r="I879" t="n">
        <v>0</v>
      </c>
      <c r="J879" t="n">
        <v>0</v>
      </c>
      <c r="K879" t="n">
        <v>0</v>
      </c>
      <c r="L879" t="n">
        <v>0</v>
      </c>
      <c r="M879" t="n">
        <v>0</v>
      </c>
      <c r="N879" t="n">
        <v>0</v>
      </c>
      <c r="O879" t="n">
        <v>0</v>
      </c>
      <c r="P879" t="n">
        <v>0</v>
      </c>
      <c r="Q879" t="n">
        <v>0</v>
      </c>
      <c r="R879" s="2" t="inlineStr"/>
    </row>
    <row r="880" ht="15" customHeight="1">
      <c r="A880" t="inlineStr">
        <is>
          <t>A 4897-2024</t>
        </is>
      </c>
      <c r="B880" s="1" t="n">
        <v>45329</v>
      </c>
      <c r="C880" s="1" t="n">
        <v>45576</v>
      </c>
      <c r="D880" t="inlineStr">
        <is>
          <t>VÄSTMANLANDS LÄN</t>
        </is>
      </c>
      <c r="E880" t="inlineStr">
        <is>
          <t>SALA</t>
        </is>
      </c>
      <c r="G880" t="n">
        <v>3.4</v>
      </c>
      <c r="H880" t="n">
        <v>0</v>
      </c>
      <c r="I880" t="n">
        <v>0</v>
      </c>
      <c r="J880" t="n">
        <v>0</v>
      </c>
      <c r="K880" t="n">
        <v>0</v>
      </c>
      <c r="L880" t="n">
        <v>0</v>
      </c>
      <c r="M880" t="n">
        <v>0</v>
      </c>
      <c r="N880" t="n">
        <v>0</v>
      </c>
      <c r="O880" t="n">
        <v>0</v>
      </c>
      <c r="P880" t="n">
        <v>0</v>
      </c>
      <c r="Q880" t="n">
        <v>0</v>
      </c>
      <c r="R880" s="2" t="inlineStr"/>
    </row>
    <row r="881" ht="15" customHeight="1">
      <c r="A881" t="inlineStr">
        <is>
          <t>A 5478-2024</t>
        </is>
      </c>
      <c r="B881" s="1" t="n">
        <v>45333</v>
      </c>
      <c r="C881" s="1" t="n">
        <v>45576</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5477-2024</t>
        </is>
      </c>
      <c r="B882" s="1" t="n">
        <v>45333</v>
      </c>
      <c r="C882" s="1" t="n">
        <v>45576</v>
      </c>
      <c r="D882" t="inlineStr">
        <is>
          <t>VÄSTMANLANDS LÄN</t>
        </is>
      </c>
      <c r="E882" t="inlineStr">
        <is>
          <t>SALA</t>
        </is>
      </c>
      <c r="G882" t="n">
        <v>2.3</v>
      </c>
      <c r="H882" t="n">
        <v>0</v>
      </c>
      <c r="I882" t="n">
        <v>0</v>
      </c>
      <c r="J882" t="n">
        <v>0</v>
      </c>
      <c r="K882" t="n">
        <v>0</v>
      </c>
      <c r="L882" t="n">
        <v>0</v>
      </c>
      <c r="M882" t="n">
        <v>0</v>
      </c>
      <c r="N882" t="n">
        <v>0</v>
      </c>
      <c r="O882" t="n">
        <v>0</v>
      </c>
      <c r="P882" t="n">
        <v>0</v>
      </c>
      <c r="Q882" t="n">
        <v>0</v>
      </c>
      <c r="R882" s="2" t="inlineStr"/>
    </row>
    <row r="883" ht="15" customHeight="1">
      <c r="A883" t="inlineStr">
        <is>
          <t>A 5705-2024</t>
        </is>
      </c>
      <c r="B883" s="1" t="n">
        <v>45334</v>
      </c>
      <c r="C883" s="1" t="n">
        <v>45576</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5977-2024</t>
        </is>
      </c>
      <c r="B884" s="1" t="n">
        <v>45336</v>
      </c>
      <c r="C884" s="1" t="n">
        <v>45576</v>
      </c>
      <c r="D884" t="inlineStr">
        <is>
          <t>VÄSTMANLANDS LÄN</t>
        </is>
      </c>
      <c r="E884" t="inlineStr">
        <is>
          <t>SALA</t>
        </is>
      </c>
      <c r="G884" t="n">
        <v>13.1</v>
      </c>
      <c r="H884" t="n">
        <v>0</v>
      </c>
      <c r="I884" t="n">
        <v>0</v>
      </c>
      <c r="J884" t="n">
        <v>0</v>
      </c>
      <c r="K884" t="n">
        <v>0</v>
      </c>
      <c r="L884" t="n">
        <v>0</v>
      </c>
      <c r="M884" t="n">
        <v>0</v>
      </c>
      <c r="N884" t="n">
        <v>0</v>
      </c>
      <c r="O884" t="n">
        <v>0</v>
      </c>
      <c r="P884" t="n">
        <v>0</v>
      </c>
      <c r="Q884" t="n">
        <v>0</v>
      </c>
      <c r="R884" s="2" t="inlineStr"/>
    </row>
    <row r="885" ht="15" customHeight="1">
      <c r="A885" t="inlineStr">
        <is>
          <t>A 6030-2024</t>
        </is>
      </c>
      <c r="B885" s="1" t="n">
        <v>45336</v>
      </c>
      <c r="C885" s="1" t="n">
        <v>45576</v>
      </c>
      <c r="D885" t="inlineStr">
        <is>
          <t>VÄSTMANLANDS LÄN</t>
        </is>
      </c>
      <c r="E885" t="inlineStr">
        <is>
          <t>SALA</t>
        </is>
      </c>
      <c r="G885" t="n">
        <v>3.9</v>
      </c>
      <c r="H885" t="n">
        <v>0</v>
      </c>
      <c r="I885" t="n">
        <v>0</v>
      </c>
      <c r="J885" t="n">
        <v>0</v>
      </c>
      <c r="K885" t="n">
        <v>0</v>
      </c>
      <c r="L885" t="n">
        <v>0</v>
      </c>
      <c r="M885" t="n">
        <v>0</v>
      </c>
      <c r="N885" t="n">
        <v>0</v>
      </c>
      <c r="O885" t="n">
        <v>0</v>
      </c>
      <c r="P885" t="n">
        <v>0</v>
      </c>
      <c r="Q885" t="n">
        <v>0</v>
      </c>
      <c r="R885" s="2" t="inlineStr"/>
    </row>
    <row r="886" ht="15" customHeight="1">
      <c r="A886" t="inlineStr">
        <is>
          <t>A 5984-2024</t>
        </is>
      </c>
      <c r="B886" s="1" t="n">
        <v>45336</v>
      </c>
      <c r="C886" s="1" t="n">
        <v>45576</v>
      </c>
      <c r="D886" t="inlineStr">
        <is>
          <t>VÄSTMANLANDS LÄN</t>
        </is>
      </c>
      <c r="E886" t="inlineStr">
        <is>
          <t>SALA</t>
        </is>
      </c>
      <c r="G886" t="n">
        <v>0.7</v>
      </c>
      <c r="H886" t="n">
        <v>0</v>
      </c>
      <c r="I886" t="n">
        <v>0</v>
      </c>
      <c r="J886" t="n">
        <v>0</v>
      </c>
      <c r="K886" t="n">
        <v>0</v>
      </c>
      <c r="L886" t="n">
        <v>0</v>
      </c>
      <c r="M886" t="n">
        <v>0</v>
      </c>
      <c r="N886" t="n">
        <v>0</v>
      </c>
      <c r="O886" t="n">
        <v>0</v>
      </c>
      <c r="P886" t="n">
        <v>0</v>
      </c>
      <c r="Q886" t="n">
        <v>0</v>
      </c>
      <c r="R886" s="2" t="inlineStr"/>
    </row>
    <row r="887" ht="15" customHeight="1">
      <c r="A887" t="inlineStr">
        <is>
          <t>A 6134-2024</t>
        </is>
      </c>
      <c r="B887" s="1" t="n">
        <v>45337</v>
      </c>
      <c r="C887" s="1" t="n">
        <v>45576</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6572-2024</t>
        </is>
      </c>
      <c r="B888" s="1" t="n">
        <v>45338</v>
      </c>
      <c r="C888" s="1" t="n">
        <v>45576</v>
      </c>
      <c r="D888" t="inlineStr">
        <is>
          <t>VÄSTMANLANDS LÄN</t>
        </is>
      </c>
      <c r="E888" t="inlineStr">
        <is>
          <t>SALA</t>
        </is>
      </c>
      <c r="G888" t="n">
        <v>0.5</v>
      </c>
      <c r="H888" t="n">
        <v>0</v>
      </c>
      <c r="I888" t="n">
        <v>0</v>
      </c>
      <c r="J888" t="n">
        <v>0</v>
      </c>
      <c r="K888" t="n">
        <v>0</v>
      </c>
      <c r="L888" t="n">
        <v>0</v>
      </c>
      <c r="M888" t="n">
        <v>0</v>
      </c>
      <c r="N888" t="n">
        <v>0</v>
      </c>
      <c r="O888" t="n">
        <v>0</v>
      </c>
      <c r="P888" t="n">
        <v>0</v>
      </c>
      <c r="Q888" t="n">
        <v>0</v>
      </c>
      <c r="R888" s="2" t="inlineStr"/>
    </row>
    <row r="889" ht="15" customHeight="1">
      <c r="A889" t="inlineStr">
        <is>
          <t>A 6538-2024</t>
        </is>
      </c>
      <c r="B889" s="1" t="n">
        <v>45338</v>
      </c>
      <c r="C889" s="1" t="n">
        <v>45576</v>
      </c>
      <c r="D889" t="inlineStr">
        <is>
          <t>VÄSTMANLANDS LÄN</t>
        </is>
      </c>
      <c r="E889" t="inlineStr">
        <is>
          <t>SALA</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6601-2024</t>
        </is>
      </c>
      <c r="B890" s="1" t="n">
        <v>45338</v>
      </c>
      <c r="C890" s="1" t="n">
        <v>45576</v>
      </c>
      <c r="D890" t="inlineStr">
        <is>
          <t>VÄSTMANLANDS LÄN</t>
        </is>
      </c>
      <c r="E890" t="inlineStr">
        <is>
          <t>SALA</t>
        </is>
      </c>
      <c r="G890" t="n">
        <v>4</v>
      </c>
      <c r="H890" t="n">
        <v>0</v>
      </c>
      <c r="I890" t="n">
        <v>0</v>
      </c>
      <c r="J890" t="n">
        <v>0</v>
      </c>
      <c r="K890" t="n">
        <v>0</v>
      </c>
      <c r="L890" t="n">
        <v>0</v>
      </c>
      <c r="M890" t="n">
        <v>0</v>
      </c>
      <c r="N890" t="n">
        <v>0</v>
      </c>
      <c r="O890" t="n">
        <v>0</v>
      </c>
      <c r="P890" t="n">
        <v>0</v>
      </c>
      <c r="Q890" t="n">
        <v>0</v>
      </c>
      <c r="R890" s="2" t="inlineStr"/>
    </row>
    <row r="891" ht="15" customHeight="1">
      <c r="A891" t="inlineStr">
        <is>
          <t>A 6585-2024</t>
        </is>
      </c>
      <c r="B891" s="1" t="n">
        <v>45338</v>
      </c>
      <c r="C891" s="1" t="n">
        <v>45576</v>
      </c>
      <c r="D891" t="inlineStr">
        <is>
          <t>VÄSTMANLANDS LÄN</t>
        </is>
      </c>
      <c r="E891" t="inlineStr">
        <is>
          <t>SALA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6541-2024</t>
        </is>
      </c>
      <c r="B892" s="1" t="n">
        <v>45338</v>
      </c>
      <c r="C892" s="1" t="n">
        <v>45576</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6657-2024</t>
        </is>
      </c>
      <c r="B893" s="1" t="n">
        <v>45341</v>
      </c>
      <c r="C893" s="1" t="n">
        <v>45576</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7953-2024</t>
        </is>
      </c>
      <c r="B894" s="1" t="n">
        <v>45350</v>
      </c>
      <c r="C894" s="1" t="n">
        <v>45576</v>
      </c>
      <c r="D894" t="inlineStr">
        <is>
          <t>VÄSTMANLANDS LÄN</t>
        </is>
      </c>
      <c r="E894" t="inlineStr">
        <is>
          <t>SALA</t>
        </is>
      </c>
      <c r="G894" t="n">
        <v>2.6</v>
      </c>
      <c r="H894" t="n">
        <v>0</v>
      </c>
      <c r="I894" t="n">
        <v>0</v>
      </c>
      <c r="J894" t="n">
        <v>0</v>
      </c>
      <c r="K894" t="n">
        <v>0</v>
      </c>
      <c r="L894" t="n">
        <v>0</v>
      </c>
      <c r="M894" t="n">
        <v>0</v>
      </c>
      <c r="N894" t="n">
        <v>0</v>
      </c>
      <c r="O894" t="n">
        <v>0</v>
      </c>
      <c r="P894" t="n">
        <v>0</v>
      </c>
      <c r="Q894" t="n">
        <v>0</v>
      </c>
      <c r="R894" s="2" t="inlineStr"/>
    </row>
    <row r="895" ht="15" customHeight="1">
      <c r="A895" t="inlineStr">
        <is>
          <t>A 8591-2024</t>
        </is>
      </c>
      <c r="B895" s="1" t="n">
        <v>45355</v>
      </c>
      <c r="C895" s="1" t="n">
        <v>45576</v>
      </c>
      <c r="D895" t="inlineStr">
        <is>
          <t>VÄSTMANLANDS LÄN</t>
        </is>
      </c>
      <c r="E895" t="inlineStr">
        <is>
          <t>SALA</t>
        </is>
      </c>
      <c r="G895" t="n">
        <v>4.6</v>
      </c>
      <c r="H895" t="n">
        <v>0</v>
      </c>
      <c r="I895" t="n">
        <v>0</v>
      </c>
      <c r="J895" t="n">
        <v>0</v>
      </c>
      <c r="K895" t="n">
        <v>0</v>
      </c>
      <c r="L895" t="n">
        <v>0</v>
      </c>
      <c r="M895" t="n">
        <v>0</v>
      </c>
      <c r="N895" t="n">
        <v>0</v>
      </c>
      <c r="O895" t="n">
        <v>0</v>
      </c>
      <c r="P895" t="n">
        <v>0</v>
      </c>
      <c r="Q895" t="n">
        <v>0</v>
      </c>
      <c r="R895" s="2" t="inlineStr"/>
    </row>
    <row r="896" ht="15" customHeight="1">
      <c r="A896" t="inlineStr">
        <is>
          <t>A 8775-2024</t>
        </is>
      </c>
      <c r="B896" s="1" t="n">
        <v>45356</v>
      </c>
      <c r="C896" s="1" t="n">
        <v>45576</v>
      </c>
      <c r="D896" t="inlineStr">
        <is>
          <t>VÄSTMANLANDS LÄN</t>
        </is>
      </c>
      <c r="E896" t="inlineStr">
        <is>
          <t>SALA</t>
        </is>
      </c>
      <c r="G896" t="n">
        <v>0.6</v>
      </c>
      <c r="H896" t="n">
        <v>0</v>
      </c>
      <c r="I896" t="n">
        <v>0</v>
      </c>
      <c r="J896" t="n">
        <v>0</v>
      </c>
      <c r="K896" t="n">
        <v>0</v>
      </c>
      <c r="L896" t="n">
        <v>0</v>
      </c>
      <c r="M896" t="n">
        <v>0</v>
      </c>
      <c r="N896" t="n">
        <v>0</v>
      </c>
      <c r="O896" t="n">
        <v>0</v>
      </c>
      <c r="P896" t="n">
        <v>0</v>
      </c>
      <c r="Q896" t="n">
        <v>0</v>
      </c>
      <c r="R896" s="2" t="inlineStr"/>
    </row>
    <row r="897" ht="15" customHeight="1">
      <c r="A897" t="inlineStr">
        <is>
          <t>A 8793-2024</t>
        </is>
      </c>
      <c r="B897" s="1" t="n">
        <v>45356</v>
      </c>
      <c r="C897" s="1" t="n">
        <v>45576</v>
      </c>
      <c r="D897" t="inlineStr">
        <is>
          <t>VÄSTMANLANDS LÄN</t>
        </is>
      </c>
      <c r="E897" t="inlineStr">
        <is>
          <t>SALA</t>
        </is>
      </c>
      <c r="G897" t="n">
        <v>2</v>
      </c>
      <c r="H897" t="n">
        <v>0</v>
      </c>
      <c r="I897" t="n">
        <v>0</v>
      </c>
      <c r="J897" t="n">
        <v>0</v>
      </c>
      <c r="K897" t="n">
        <v>0</v>
      </c>
      <c r="L897" t="n">
        <v>0</v>
      </c>
      <c r="M897" t="n">
        <v>0</v>
      </c>
      <c r="N897" t="n">
        <v>0</v>
      </c>
      <c r="O897" t="n">
        <v>0</v>
      </c>
      <c r="P897" t="n">
        <v>0</v>
      </c>
      <c r="Q897" t="n">
        <v>0</v>
      </c>
      <c r="R897" s="2" t="inlineStr"/>
    </row>
    <row r="898" ht="15" customHeight="1">
      <c r="A898" t="inlineStr">
        <is>
          <t>A 8778-2024</t>
        </is>
      </c>
      <c r="B898" s="1" t="n">
        <v>45356</v>
      </c>
      <c r="C898" s="1" t="n">
        <v>45576</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9205-2024</t>
        </is>
      </c>
      <c r="B899" s="1" t="n">
        <v>45358</v>
      </c>
      <c r="C899" s="1" t="n">
        <v>45576</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9204-2024</t>
        </is>
      </c>
      <c r="B900" s="1" t="n">
        <v>45358</v>
      </c>
      <c r="C900" s="1" t="n">
        <v>45576</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9474-2024</t>
        </is>
      </c>
      <c r="B901" s="1" t="n">
        <v>45359</v>
      </c>
      <c r="C901" s="1" t="n">
        <v>45576</v>
      </c>
      <c r="D901" t="inlineStr">
        <is>
          <t>VÄSTMANLANDS LÄN</t>
        </is>
      </c>
      <c r="E901" t="inlineStr">
        <is>
          <t>SALA</t>
        </is>
      </c>
      <c r="F901" t="inlineStr">
        <is>
          <t>Kommuner</t>
        </is>
      </c>
      <c r="G901" t="n">
        <v>4.1</v>
      </c>
      <c r="H901" t="n">
        <v>0</v>
      </c>
      <c r="I901" t="n">
        <v>0</v>
      </c>
      <c r="J901" t="n">
        <v>0</v>
      </c>
      <c r="K901" t="n">
        <v>0</v>
      </c>
      <c r="L901" t="n">
        <v>0</v>
      </c>
      <c r="M901" t="n">
        <v>0</v>
      </c>
      <c r="N901" t="n">
        <v>0</v>
      </c>
      <c r="O901" t="n">
        <v>0</v>
      </c>
      <c r="P901" t="n">
        <v>0</v>
      </c>
      <c r="Q901" t="n">
        <v>0</v>
      </c>
      <c r="R901" s="2" t="inlineStr"/>
    </row>
    <row r="902" ht="15" customHeight="1">
      <c r="A902" t="inlineStr">
        <is>
          <t>A 9853-2024</t>
        </is>
      </c>
      <c r="B902" s="1" t="n">
        <v>45363</v>
      </c>
      <c r="C902" s="1" t="n">
        <v>45576</v>
      </c>
      <c r="D902" t="inlineStr">
        <is>
          <t>VÄSTMANLANDS LÄN</t>
        </is>
      </c>
      <c r="E902" t="inlineStr">
        <is>
          <t>SALA</t>
        </is>
      </c>
      <c r="G902" t="n">
        <v>3.2</v>
      </c>
      <c r="H902" t="n">
        <v>0</v>
      </c>
      <c r="I902" t="n">
        <v>0</v>
      </c>
      <c r="J902" t="n">
        <v>0</v>
      </c>
      <c r="K902" t="n">
        <v>0</v>
      </c>
      <c r="L902" t="n">
        <v>0</v>
      </c>
      <c r="M902" t="n">
        <v>0</v>
      </c>
      <c r="N902" t="n">
        <v>0</v>
      </c>
      <c r="O902" t="n">
        <v>0</v>
      </c>
      <c r="P902" t="n">
        <v>0</v>
      </c>
      <c r="Q902" t="n">
        <v>0</v>
      </c>
      <c r="R902" s="2" t="inlineStr"/>
    </row>
    <row r="903" ht="15" customHeight="1">
      <c r="A903" t="inlineStr">
        <is>
          <t>A 9874-2024</t>
        </is>
      </c>
      <c r="B903" s="1" t="n">
        <v>45363</v>
      </c>
      <c r="C903" s="1" t="n">
        <v>45576</v>
      </c>
      <c r="D903" t="inlineStr">
        <is>
          <t>VÄSTMANLANDS LÄN</t>
        </is>
      </c>
      <c r="E903" t="inlineStr">
        <is>
          <t>SALA</t>
        </is>
      </c>
      <c r="G903" t="n">
        <v>1.3</v>
      </c>
      <c r="H903" t="n">
        <v>0</v>
      </c>
      <c r="I903" t="n">
        <v>0</v>
      </c>
      <c r="J903" t="n">
        <v>0</v>
      </c>
      <c r="K903" t="n">
        <v>0</v>
      </c>
      <c r="L903" t="n">
        <v>0</v>
      </c>
      <c r="M903" t="n">
        <v>0</v>
      </c>
      <c r="N903" t="n">
        <v>0</v>
      </c>
      <c r="O903" t="n">
        <v>0</v>
      </c>
      <c r="P903" t="n">
        <v>0</v>
      </c>
      <c r="Q903" t="n">
        <v>0</v>
      </c>
      <c r="R903" s="2" t="inlineStr"/>
    </row>
    <row r="904" ht="15" customHeight="1">
      <c r="A904" t="inlineStr">
        <is>
          <t>A 10255-2024</t>
        </is>
      </c>
      <c r="B904" s="1" t="n">
        <v>45365</v>
      </c>
      <c r="C904" s="1" t="n">
        <v>45576</v>
      </c>
      <c r="D904" t="inlineStr">
        <is>
          <t>VÄSTMANLANDS LÄN</t>
        </is>
      </c>
      <c r="E904" t="inlineStr">
        <is>
          <t>SALA</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10559-2024</t>
        </is>
      </c>
      <c r="B905" s="1" t="n">
        <v>45366</v>
      </c>
      <c r="C905" s="1" t="n">
        <v>45576</v>
      </c>
      <c r="D905" t="inlineStr">
        <is>
          <t>VÄSTMANLANDS LÄN</t>
        </is>
      </c>
      <c r="E905" t="inlineStr">
        <is>
          <t>SALA</t>
        </is>
      </c>
      <c r="G905" t="n">
        <v>0.3</v>
      </c>
      <c r="H905" t="n">
        <v>0</v>
      </c>
      <c r="I905" t="n">
        <v>0</v>
      </c>
      <c r="J905" t="n">
        <v>0</v>
      </c>
      <c r="K905" t="n">
        <v>0</v>
      </c>
      <c r="L905" t="n">
        <v>0</v>
      </c>
      <c r="M905" t="n">
        <v>0</v>
      </c>
      <c r="N905" t="n">
        <v>0</v>
      </c>
      <c r="O905" t="n">
        <v>0</v>
      </c>
      <c r="P905" t="n">
        <v>0</v>
      </c>
      <c r="Q905" t="n">
        <v>0</v>
      </c>
      <c r="R905" s="2" t="inlineStr"/>
    </row>
    <row r="906" ht="15" customHeight="1">
      <c r="A906" t="inlineStr">
        <is>
          <t>A 10751-2024</t>
        </is>
      </c>
      <c r="B906" s="1" t="n">
        <v>45369</v>
      </c>
      <c r="C906" s="1" t="n">
        <v>45576</v>
      </c>
      <c r="D906" t="inlineStr">
        <is>
          <t>VÄSTMANLANDS LÄN</t>
        </is>
      </c>
      <c r="E906" t="inlineStr">
        <is>
          <t>SALA</t>
        </is>
      </c>
      <c r="G906" t="n">
        <v>1.6</v>
      </c>
      <c r="H906" t="n">
        <v>0</v>
      </c>
      <c r="I906" t="n">
        <v>0</v>
      </c>
      <c r="J906" t="n">
        <v>0</v>
      </c>
      <c r="K906" t="n">
        <v>0</v>
      </c>
      <c r="L906" t="n">
        <v>0</v>
      </c>
      <c r="M906" t="n">
        <v>0</v>
      </c>
      <c r="N906" t="n">
        <v>0</v>
      </c>
      <c r="O906" t="n">
        <v>0</v>
      </c>
      <c r="P906" t="n">
        <v>0</v>
      </c>
      <c r="Q906" t="n">
        <v>0</v>
      </c>
      <c r="R906" s="2" t="inlineStr"/>
    </row>
    <row r="907" ht="15" customHeight="1">
      <c r="A907" t="inlineStr">
        <is>
          <t>A 10754-2024</t>
        </is>
      </c>
      <c r="B907" s="1" t="n">
        <v>45369</v>
      </c>
      <c r="C907" s="1" t="n">
        <v>45576</v>
      </c>
      <c r="D907" t="inlineStr">
        <is>
          <t>VÄSTMANLANDS LÄN</t>
        </is>
      </c>
      <c r="E907" t="inlineStr">
        <is>
          <t>SALA</t>
        </is>
      </c>
      <c r="G907" t="n">
        <v>1.4</v>
      </c>
      <c r="H907" t="n">
        <v>0</v>
      </c>
      <c r="I907" t="n">
        <v>0</v>
      </c>
      <c r="J907" t="n">
        <v>0</v>
      </c>
      <c r="K907" t="n">
        <v>0</v>
      </c>
      <c r="L907" t="n">
        <v>0</v>
      </c>
      <c r="M907" t="n">
        <v>0</v>
      </c>
      <c r="N907" t="n">
        <v>0</v>
      </c>
      <c r="O907" t="n">
        <v>0</v>
      </c>
      <c r="P907" t="n">
        <v>0</v>
      </c>
      <c r="Q907" t="n">
        <v>0</v>
      </c>
      <c r="R907" s="2" t="inlineStr"/>
    </row>
    <row r="908" ht="15" customHeight="1">
      <c r="A908" t="inlineStr">
        <is>
          <t>A 10909-2024</t>
        </is>
      </c>
      <c r="B908" s="1" t="n">
        <v>45370</v>
      </c>
      <c r="C908" s="1" t="n">
        <v>45576</v>
      </c>
      <c r="D908" t="inlineStr">
        <is>
          <t>VÄSTMANLANDS LÄN</t>
        </is>
      </c>
      <c r="E908" t="inlineStr">
        <is>
          <t>SALA</t>
        </is>
      </c>
      <c r="G908" t="n">
        <v>3.3</v>
      </c>
      <c r="H908" t="n">
        <v>0</v>
      </c>
      <c r="I908" t="n">
        <v>0</v>
      </c>
      <c r="J908" t="n">
        <v>0</v>
      </c>
      <c r="K908" t="n">
        <v>0</v>
      </c>
      <c r="L908" t="n">
        <v>0</v>
      </c>
      <c r="M908" t="n">
        <v>0</v>
      </c>
      <c r="N908" t="n">
        <v>0</v>
      </c>
      <c r="O908" t="n">
        <v>0</v>
      </c>
      <c r="P908" t="n">
        <v>0</v>
      </c>
      <c r="Q908" t="n">
        <v>0</v>
      </c>
      <c r="R908" s="2" t="inlineStr"/>
    </row>
    <row r="909" ht="15" customHeight="1">
      <c r="A909" t="inlineStr">
        <is>
          <t>A 11244-2024</t>
        </is>
      </c>
      <c r="B909" s="1" t="n">
        <v>45371</v>
      </c>
      <c r="C909" s="1" t="n">
        <v>45576</v>
      </c>
      <c r="D909" t="inlineStr">
        <is>
          <t>VÄSTMANLANDS LÄN</t>
        </is>
      </c>
      <c r="E909" t="inlineStr">
        <is>
          <t>SALA</t>
        </is>
      </c>
      <c r="G909" t="n">
        <v>1.2</v>
      </c>
      <c r="H909" t="n">
        <v>0</v>
      </c>
      <c r="I909" t="n">
        <v>0</v>
      </c>
      <c r="J909" t="n">
        <v>0</v>
      </c>
      <c r="K909" t="n">
        <v>0</v>
      </c>
      <c r="L909" t="n">
        <v>0</v>
      </c>
      <c r="M909" t="n">
        <v>0</v>
      </c>
      <c r="N909" t="n">
        <v>0</v>
      </c>
      <c r="O909" t="n">
        <v>0</v>
      </c>
      <c r="P909" t="n">
        <v>0</v>
      </c>
      <c r="Q909" t="n">
        <v>0</v>
      </c>
      <c r="R909" s="2" t="inlineStr"/>
    </row>
    <row r="910" ht="15" customHeight="1">
      <c r="A910" t="inlineStr">
        <is>
          <t>A 11381-2024</t>
        </is>
      </c>
      <c r="B910" s="1" t="n">
        <v>45372</v>
      </c>
      <c r="C910" s="1" t="n">
        <v>45576</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11389-2024</t>
        </is>
      </c>
      <c r="B911" s="1" t="n">
        <v>45372</v>
      </c>
      <c r="C911" s="1" t="n">
        <v>45576</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11378-2024</t>
        </is>
      </c>
      <c r="B912" s="1" t="n">
        <v>45372</v>
      </c>
      <c r="C912" s="1" t="n">
        <v>45576</v>
      </c>
      <c r="D912" t="inlineStr">
        <is>
          <t>VÄSTMANLANDS LÄN</t>
        </is>
      </c>
      <c r="E912" t="inlineStr">
        <is>
          <t>SALA</t>
        </is>
      </c>
      <c r="G912" t="n">
        <v>2.9</v>
      </c>
      <c r="H912" t="n">
        <v>0</v>
      </c>
      <c r="I912" t="n">
        <v>0</v>
      </c>
      <c r="J912" t="n">
        <v>0</v>
      </c>
      <c r="K912" t="n">
        <v>0</v>
      </c>
      <c r="L912" t="n">
        <v>0</v>
      </c>
      <c r="M912" t="n">
        <v>0</v>
      </c>
      <c r="N912" t="n">
        <v>0</v>
      </c>
      <c r="O912" t="n">
        <v>0</v>
      </c>
      <c r="P912" t="n">
        <v>0</v>
      </c>
      <c r="Q912" t="n">
        <v>0</v>
      </c>
      <c r="R912" s="2" t="inlineStr"/>
    </row>
    <row r="913" ht="15" customHeight="1">
      <c r="A913" t="inlineStr">
        <is>
          <t>A 11492-2024</t>
        </is>
      </c>
      <c r="B913" s="1" t="n">
        <v>45372</v>
      </c>
      <c r="C913" s="1" t="n">
        <v>45576</v>
      </c>
      <c r="D913" t="inlineStr">
        <is>
          <t>VÄSTMANLANDS LÄN</t>
        </is>
      </c>
      <c r="E913" t="inlineStr">
        <is>
          <t>SALA</t>
        </is>
      </c>
      <c r="G913" t="n">
        <v>6.9</v>
      </c>
      <c r="H913" t="n">
        <v>0</v>
      </c>
      <c r="I913" t="n">
        <v>0</v>
      </c>
      <c r="J913" t="n">
        <v>0</v>
      </c>
      <c r="K913" t="n">
        <v>0</v>
      </c>
      <c r="L913" t="n">
        <v>0</v>
      </c>
      <c r="M913" t="n">
        <v>0</v>
      </c>
      <c r="N913" t="n">
        <v>0</v>
      </c>
      <c r="O913" t="n">
        <v>0</v>
      </c>
      <c r="P913" t="n">
        <v>0</v>
      </c>
      <c r="Q913" t="n">
        <v>0</v>
      </c>
      <c r="R913" s="2" t="inlineStr"/>
    </row>
    <row r="914" ht="15" customHeight="1">
      <c r="A914" t="inlineStr">
        <is>
          <t>A 11846-2024</t>
        </is>
      </c>
      <c r="B914" s="1" t="n">
        <v>45376</v>
      </c>
      <c r="C914" s="1" t="n">
        <v>45576</v>
      </c>
      <c r="D914" t="inlineStr">
        <is>
          <t>VÄSTMANLANDS LÄN</t>
        </is>
      </c>
      <c r="E914" t="inlineStr">
        <is>
          <t>SALA</t>
        </is>
      </c>
      <c r="G914" t="n">
        <v>8</v>
      </c>
      <c r="H914" t="n">
        <v>0</v>
      </c>
      <c r="I914" t="n">
        <v>0</v>
      </c>
      <c r="J914" t="n">
        <v>0</v>
      </c>
      <c r="K914" t="n">
        <v>0</v>
      </c>
      <c r="L914" t="n">
        <v>0</v>
      </c>
      <c r="M914" t="n">
        <v>0</v>
      </c>
      <c r="N914" t="n">
        <v>0</v>
      </c>
      <c r="O914" t="n">
        <v>0</v>
      </c>
      <c r="P914" t="n">
        <v>0</v>
      </c>
      <c r="Q914" t="n">
        <v>0</v>
      </c>
      <c r="R914" s="2" t="inlineStr"/>
    </row>
    <row r="915" ht="15" customHeight="1">
      <c r="A915" t="inlineStr">
        <is>
          <t>A 11847-2024</t>
        </is>
      </c>
      <c r="B915" s="1" t="n">
        <v>45376</v>
      </c>
      <c r="C915" s="1" t="n">
        <v>45576</v>
      </c>
      <c r="D915" t="inlineStr">
        <is>
          <t>VÄSTMANLANDS LÄN</t>
        </is>
      </c>
      <c r="E915" t="inlineStr">
        <is>
          <t>SALA</t>
        </is>
      </c>
      <c r="G915" t="n">
        <v>7.1</v>
      </c>
      <c r="H915" t="n">
        <v>0</v>
      </c>
      <c r="I915" t="n">
        <v>0</v>
      </c>
      <c r="J915" t="n">
        <v>0</v>
      </c>
      <c r="K915" t="n">
        <v>0</v>
      </c>
      <c r="L915" t="n">
        <v>0</v>
      </c>
      <c r="M915" t="n">
        <v>0</v>
      </c>
      <c r="N915" t="n">
        <v>0</v>
      </c>
      <c r="O915" t="n">
        <v>0</v>
      </c>
      <c r="P915" t="n">
        <v>0</v>
      </c>
      <c r="Q915" t="n">
        <v>0</v>
      </c>
      <c r="R915" s="2" t="inlineStr"/>
    </row>
    <row r="916" ht="15" customHeight="1">
      <c r="A916" t="inlineStr">
        <is>
          <t>A 12236-2024</t>
        </is>
      </c>
      <c r="B916" s="1" t="n">
        <v>45378</v>
      </c>
      <c r="C916" s="1" t="n">
        <v>45576</v>
      </c>
      <c r="D916" t="inlineStr">
        <is>
          <t>VÄSTMANLANDS LÄN</t>
        </is>
      </c>
      <c r="E916" t="inlineStr">
        <is>
          <t>SALA</t>
        </is>
      </c>
      <c r="F916" t="inlineStr">
        <is>
          <t>Kommuner</t>
        </is>
      </c>
      <c r="G916" t="n">
        <v>4.4</v>
      </c>
      <c r="H916" t="n">
        <v>0</v>
      </c>
      <c r="I916" t="n">
        <v>0</v>
      </c>
      <c r="J916" t="n">
        <v>0</v>
      </c>
      <c r="K916" t="n">
        <v>0</v>
      </c>
      <c r="L916" t="n">
        <v>0</v>
      </c>
      <c r="M916" t="n">
        <v>0</v>
      </c>
      <c r="N916" t="n">
        <v>0</v>
      </c>
      <c r="O916" t="n">
        <v>0</v>
      </c>
      <c r="P916" t="n">
        <v>0</v>
      </c>
      <c r="Q916" t="n">
        <v>0</v>
      </c>
      <c r="R916" s="2" t="inlineStr"/>
    </row>
    <row r="917" ht="15" customHeight="1">
      <c r="A917" t="inlineStr">
        <is>
          <t>A 12244-2024</t>
        </is>
      </c>
      <c r="B917" s="1" t="n">
        <v>45378</v>
      </c>
      <c r="C917" s="1" t="n">
        <v>45576</v>
      </c>
      <c r="D917" t="inlineStr">
        <is>
          <t>VÄSTMANLANDS LÄN</t>
        </is>
      </c>
      <c r="E917" t="inlineStr">
        <is>
          <t>SALA</t>
        </is>
      </c>
      <c r="G917" t="n">
        <v>3.6</v>
      </c>
      <c r="H917" t="n">
        <v>0</v>
      </c>
      <c r="I917" t="n">
        <v>0</v>
      </c>
      <c r="J917" t="n">
        <v>0</v>
      </c>
      <c r="K917" t="n">
        <v>0</v>
      </c>
      <c r="L917" t="n">
        <v>0</v>
      </c>
      <c r="M917" t="n">
        <v>0</v>
      </c>
      <c r="N917" t="n">
        <v>0</v>
      </c>
      <c r="O917" t="n">
        <v>0</v>
      </c>
      <c r="P917" t="n">
        <v>0</v>
      </c>
      <c r="Q917" t="n">
        <v>0</v>
      </c>
      <c r="R917" s="2" t="inlineStr"/>
    </row>
    <row r="918" ht="15" customHeight="1">
      <c r="A918" t="inlineStr">
        <is>
          <t>A 12237-2024</t>
        </is>
      </c>
      <c r="B918" s="1" t="n">
        <v>45378</v>
      </c>
      <c r="C918" s="1" t="n">
        <v>45576</v>
      </c>
      <c r="D918" t="inlineStr">
        <is>
          <t>VÄSTMANLANDS LÄN</t>
        </is>
      </c>
      <c r="E918" t="inlineStr">
        <is>
          <t>SALA</t>
        </is>
      </c>
      <c r="F918" t="inlineStr">
        <is>
          <t>Kommuner</t>
        </is>
      </c>
      <c r="G918" t="n">
        <v>4</v>
      </c>
      <c r="H918" t="n">
        <v>0</v>
      </c>
      <c r="I918" t="n">
        <v>0</v>
      </c>
      <c r="J918" t="n">
        <v>0</v>
      </c>
      <c r="K918" t="n">
        <v>0</v>
      </c>
      <c r="L918" t="n">
        <v>0</v>
      </c>
      <c r="M918" t="n">
        <v>0</v>
      </c>
      <c r="N918" t="n">
        <v>0</v>
      </c>
      <c r="O918" t="n">
        <v>0</v>
      </c>
      <c r="P918" t="n">
        <v>0</v>
      </c>
      <c r="Q918" t="n">
        <v>0</v>
      </c>
      <c r="R918" s="2" t="inlineStr"/>
    </row>
    <row r="919" ht="15" customHeight="1">
      <c r="A919" t="inlineStr">
        <is>
          <t>A 12242-2024</t>
        </is>
      </c>
      <c r="B919" s="1" t="n">
        <v>45378</v>
      </c>
      <c r="C919" s="1" t="n">
        <v>45576</v>
      </c>
      <c r="D919" t="inlineStr">
        <is>
          <t>VÄSTMANLANDS LÄN</t>
        </is>
      </c>
      <c r="E919" t="inlineStr">
        <is>
          <t>SALA</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12463-2024</t>
        </is>
      </c>
      <c r="B920" s="1" t="n">
        <v>45378</v>
      </c>
      <c r="C920" s="1" t="n">
        <v>45576</v>
      </c>
      <c r="D920" t="inlineStr">
        <is>
          <t>VÄSTMANLANDS LÄN</t>
        </is>
      </c>
      <c r="E920" t="inlineStr">
        <is>
          <t>SALA</t>
        </is>
      </c>
      <c r="G920" t="n">
        <v>1.9</v>
      </c>
      <c r="H920" t="n">
        <v>0</v>
      </c>
      <c r="I920" t="n">
        <v>0</v>
      </c>
      <c r="J920" t="n">
        <v>0</v>
      </c>
      <c r="K920" t="n">
        <v>0</v>
      </c>
      <c r="L920" t="n">
        <v>0</v>
      </c>
      <c r="M920" t="n">
        <v>0</v>
      </c>
      <c r="N920" t="n">
        <v>0</v>
      </c>
      <c r="O920" t="n">
        <v>0</v>
      </c>
      <c r="P920" t="n">
        <v>0</v>
      </c>
      <c r="Q920" t="n">
        <v>0</v>
      </c>
      <c r="R920" s="2" t="inlineStr"/>
    </row>
    <row r="921" ht="15" customHeight="1">
      <c r="A921" t="inlineStr">
        <is>
          <t>A 12485-2024</t>
        </is>
      </c>
      <c r="B921" s="1" t="n">
        <v>45379</v>
      </c>
      <c r="C921" s="1" t="n">
        <v>45576</v>
      </c>
      <c r="D921" t="inlineStr">
        <is>
          <t>VÄSTMANLANDS LÄN</t>
        </is>
      </c>
      <c r="E921" t="inlineStr">
        <is>
          <t>SALA</t>
        </is>
      </c>
      <c r="G921" t="n">
        <v>2.6</v>
      </c>
      <c r="H921" t="n">
        <v>0</v>
      </c>
      <c r="I921" t="n">
        <v>0</v>
      </c>
      <c r="J921" t="n">
        <v>0</v>
      </c>
      <c r="K921" t="n">
        <v>0</v>
      </c>
      <c r="L921" t="n">
        <v>0</v>
      </c>
      <c r="M921" t="n">
        <v>0</v>
      </c>
      <c r="N921" t="n">
        <v>0</v>
      </c>
      <c r="O921" t="n">
        <v>0</v>
      </c>
      <c r="P921" t="n">
        <v>0</v>
      </c>
      <c r="Q921" t="n">
        <v>0</v>
      </c>
      <c r="R921" s="2" t="inlineStr"/>
    </row>
    <row r="922" ht="15" customHeight="1">
      <c r="A922" t="inlineStr">
        <is>
          <t>A 13106-2024</t>
        </is>
      </c>
      <c r="B922" s="1" t="n">
        <v>45385</v>
      </c>
      <c r="C922" s="1" t="n">
        <v>45576</v>
      </c>
      <c r="D922" t="inlineStr">
        <is>
          <t>VÄSTMANLANDS LÄN</t>
        </is>
      </c>
      <c r="E922" t="inlineStr">
        <is>
          <t>SALA</t>
        </is>
      </c>
      <c r="G922" t="n">
        <v>2.4</v>
      </c>
      <c r="H922" t="n">
        <v>0</v>
      </c>
      <c r="I922" t="n">
        <v>0</v>
      </c>
      <c r="J922" t="n">
        <v>0</v>
      </c>
      <c r="K922" t="n">
        <v>0</v>
      </c>
      <c r="L922" t="n">
        <v>0</v>
      </c>
      <c r="M922" t="n">
        <v>0</v>
      </c>
      <c r="N922" t="n">
        <v>0</v>
      </c>
      <c r="O922" t="n">
        <v>0</v>
      </c>
      <c r="P922" t="n">
        <v>0</v>
      </c>
      <c r="Q922" t="n">
        <v>0</v>
      </c>
      <c r="R922" s="2" t="inlineStr"/>
    </row>
    <row r="923" ht="15" customHeight="1">
      <c r="A923" t="inlineStr">
        <is>
          <t>A 13110-2024</t>
        </is>
      </c>
      <c r="B923" s="1" t="n">
        <v>45385</v>
      </c>
      <c r="C923" s="1" t="n">
        <v>45576</v>
      </c>
      <c r="D923" t="inlineStr">
        <is>
          <t>VÄSTMANLANDS LÄN</t>
        </is>
      </c>
      <c r="E923" t="inlineStr">
        <is>
          <t>SALA</t>
        </is>
      </c>
      <c r="G923" t="n">
        <v>3</v>
      </c>
      <c r="H923" t="n">
        <v>0</v>
      </c>
      <c r="I923" t="n">
        <v>0</v>
      </c>
      <c r="J923" t="n">
        <v>0</v>
      </c>
      <c r="K923" t="n">
        <v>0</v>
      </c>
      <c r="L923" t="n">
        <v>0</v>
      </c>
      <c r="M923" t="n">
        <v>0</v>
      </c>
      <c r="N923" t="n">
        <v>0</v>
      </c>
      <c r="O923" t="n">
        <v>0</v>
      </c>
      <c r="P923" t="n">
        <v>0</v>
      </c>
      <c r="Q923" t="n">
        <v>0</v>
      </c>
      <c r="R923" s="2" t="inlineStr"/>
    </row>
    <row r="924" ht="15" customHeight="1">
      <c r="A924" t="inlineStr">
        <is>
          <t>A 14001-2024</t>
        </is>
      </c>
      <c r="B924" s="1" t="n">
        <v>45392</v>
      </c>
      <c r="C924" s="1" t="n">
        <v>45576</v>
      </c>
      <c r="D924" t="inlineStr">
        <is>
          <t>VÄSTMANLANDS LÄN</t>
        </is>
      </c>
      <c r="E924" t="inlineStr">
        <is>
          <t>SALA</t>
        </is>
      </c>
      <c r="G924" t="n">
        <v>2.2</v>
      </c>
      <c r="H924" t="n">
        <v>0</v>
      </c>
      <c r="I924" t="n">
        <v>0</v>
      </c>
      <c r="J924" t="n">
        <v>0</v>
      </c>
      <c r="K924" t="n">
        <v>0</v>
      </c>
      <c r="L924" t="n">
        <v>0</v>
      </c>
      <c r="M924" t="n">
        <v>0</v>
      </c>
      <c r="N924" t="n">
        <v>0</v>
      </c>
      <c r="O924" t="n">
        <v>0</v>
      </c>
      <c r="P924" t="n">
        <v>0</v>
      </c>
      <c r="Q924" t="n">
        <v>0</v>
      </c>
      <c r="R924" s="2" t="inlineStr"/>
    </row>
    <row r="925" ht="15" customHeight="1">
      <c r="A925" t="inlineStr">
        <is>
          <t>A 14115-2024</t>
        </is>
      </c>
      <c r="B925" s="1" t="n">
        <v>45392</v>
      </c>
      <c r="C925" s="1" t="n">
        <v>45576</v>
      </c>
      <c r="D925" t="inlineStr">
        <is>
          <t>VÄSTMANLANDS LÄN</t>
        </is>
      </c>
      <c r="E925" t="inlineStr">
        <is>
          <t>SALA</t>
        </is>
      </c>
      <c r="G925" t="n">
        <v>5</v>
      </c>
      <c r="H925" t="n">
        <v>0</v>
      </c>
      <c r="I925" t="n">
        <v>0</v>
      </c>
      <c r="J925" t="n">
        <v>0</v>
      </c>
      <c r="K925" t="n">
        <v>0</v>
      </c>
      <c r="L925" t="n">
        <v>0</v>
      </c>
      <c r="M925" t="n">
        <v>0</v>
      </c>
      <c r="N925" t="n">
        <v>0</v>
      </c>
      <c r="O925" t="n">
        <v>0</v>
      </c>
      <c r="P925" t="n">
        <v>0</v>
      </c>
      <c r="Q925" t="n">
        <v>0</v>
      </c>
      <c r="R925" s="2" t="inlineStr"/>
    </row>
    <row r="926" ht="15" customHeight="1">
      <c r="A926" t="inlineStr">
        <is>
          <t>A 14181-2024</t>
        </is>
      </c>
      <c r="B926" s="1" t="n">
        <v>45393</v>
      </c>
      <c r="C926" s="1" t="n">
        <v>45576</v>
      </c>
      <c r="D926" t="inlineStr">
        <is>
          <t>VÄSTMANLANDS LÄN</t>
        </is>
      </c>
      <c r="E926" t="inlineStr">
        <is>
          <t>SALA</t>
        </is>
      </c>
      <c r="G926" t="n">
        <v>6.4</v>
      </c>
      <c r="H926" t="n">
        <v>0</v>
      </c>
      <c r="I926" t="n">
        <v>0</v>
      </c>
      <c r="J926" t="n">
        <v>0</v>
      </c>
      <c r="K926" t="n">
        <v>0</v>
      </c>
      <c r="L926" t="n">
        <v>0</v>
      </c>
      <c r="M926" t="n">
        <v>0</v>
      </c>
      <c r="N926" t="n">
        <v>0</v>
      </c>
      <c r="O926" t="n">
        <v>0</v>
      </c>
      <c r="P926" t="n">
        <v>0</v>
      </c>
      <c r="Q926" t="n">
        <v>0</v>
      </c>
      <c r="R926" s="2" t="inlineStr"/>
    </row>
    <row r="927" ht="15" customHeight="1">
      <c r="A927" t="inlineStr">
        <is>
          <t>A 15972-2024</t>
        </is>
      </c>
      <c r="B927" s="1" t="n">
        <v>45405</v>
      </c>
      <c r="C927" s="1" t="n">
        <v>45576</v>
      </c>
      <c r="D927" t="inlineStr">
        <is>
          <t>VÄSTMANLANDS LÄN</t>
        </is>
      </c>
      <c r="E927" t="inlineStr">
        <is>
          <t>SALA</t>
        </is>
      </c>
      <c r="G927" t="n">
        <v>1.8</v>
      </c>
      <c r="H927" t="n">
        <v>0</v>
      </c>
      <c r="I927" t="n">
        <v>0</v>
      </c>
      <c r="J927" t="n">
        <v>0</v>
      </c>
      <c r="K927" t="n">
        <v>0</v>
      </c>
      <c r="L927" t="n">
        <v>0</v>
      </c>
      <c r="M927" t="n">
        <v>0</v>
      </c>
      <c r="N927" t="n">
        <v>0</v>
      </c>
      <c r="O927" t="n">
        <v>0</v>
      </c>
      <c r="P927" t="n">
        <v>0</v>
      </c>
      <c r="Q927" t="n">
        <v>0</v>
      </c>
      <c r="R927" s="2" t="inlineStr"/>
    </row>
    <row r="928" ht="15" customHeight="1">
      <c r="A928" t="inlineStr">
        <is>
          <t>A 15968-2024</t>
        </is>
      </c>
      <c r="B928" s="1" t="n">
        <v>45405</v>
      </c>
      <c r="C928" s="1" t="n">
        <v>45576</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15965-2024</t>
        </is>
      </c>
      <c r="B929" s="1" t="n">
        <v>45405</v>
      </c>
      <c r="C929" s="1" t="n">
        <v>45576</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16159-2024</t>
        </is>
      </c>
      <c r="B930" s="1" t="n">
        <v>45406</v>
      </c>
      <c r="C930" s="1" t="n">
        <v>45576</v>
      </c>
      <c r="D930" t="inlineStr">
        <is>
          <t>VÄSTMANLANDS LÄN</t>
        </is>
      </c>
      <c r="E930" t="inlineStr">
        <is>
          <t>SALA</t>
        </is>
      </c>
      <c r="G930" t="n">
        <v>0.4</v>
      </c>
      <c r="H930" t="n">
        <v>0</v>
      </c>
      <c r="I930" t="n">
        <v>0</v>
      </c>
      <c r="J930" t="n">
        <v>0</v>
      </c>
      <c r="K930" t="n">
        <v>0</v>
      </c>
      <c r="L930" t="n">
        <v>0</v>
      </c>
      <c r="M930" t="n">
        <v>0</v>
      </c>
      <c r="N930" t="n">
        <v>0</v>
      </c>
      <c r="O930" t="n">
        <v>0</v>
      </c>
      <c r="P930" t="n">
        <v>0</v>
      </c>
      <c r="Q930" t="n">
        <v>0</v>
      </c>
      <c r="R930" s="2" t="inlineStr"/>
    </row>
    <row r="931" ht="15" customHeight="1">
      <c r="A931" t="inlineStr">
        <is>
          <t>A 16163-2024</t>
        </is>
      </c>
      <c r="B931" s="1" t="n">
        <v>45406</v>
      </c>
      <c r="C931" s="1" t="n">
        <v>45576</v>
      </c>
      <c r="D931" t="inlineStr">
        <is>
          <t>VÄSTMANLANDS LÄN</t>
        </is>
      </c>
      <c r="E931" t="inlineStr">
        <is>
          <t>SALA</t>
        </is>
      </c>
      <c r="G931" t="n">
        <v>3.2</v>
      </c>
      <c r="H931" t="n">
        <v>0</v>
      </c>
      <c r="I931" t="n">
        <v>0</v>
      </c>
      <c r="J931" t="n">
        <v>0</v>
      </c>
      <c r="K931" t="n">
        <v>0</v>
      </c>
      <c r="L931" t="n">
        <v>0</v>
      </c>
      <c r="M931" t="n">
        <v>0</v>
      </c>
      <c r="N931" t="n">
        <v>0</v>
      </c>
      <c r="O931" t="n">
        <v>0</v>
      </c>
      <c r="P931" t="n">
        <v>0</v>
      </c>
      <c r="Q931" t="n">
        <v>0</v>
      </c>
      <c r="R931" s="2" t="inlineStr"/>
    </row>
    <row r="932" ht="15" customHeight="1">
      <c r="A932" t="inlineStr">
        <is>
          <t>A 16148-2024</t>
        </is>
      </c>
      <c r="B932" s="1" t="n">
        <v>45406</v>
      </c>
      <c r="C932" s="1" t="n">
        <v>45576</v>
      </c>
      <c r="D932" t="inlineStr">
        <is>
          <t>VÄSTMANLANDS LÄN</t>
        </is>
      </c>
      <c r="E932" t="inlineStr">
        <is>
          <t>SALA</t>
        </is>
      </c>
      <c r="G932" t="n">
        <v>5.1</v>
      </c>
      <c r="H932" t="n">
        <v>0</v>
      </c>
      <c r="I932" t="n">
        <v>0</v>
      </c>
      <c r="J932" t="n">
        <v>0</v>
      </c>
      <c r="K932" t="n">
        <v>0</v>
      </c>
      <c r="L932" t="n">
        <v>0</v>
      </c>
      <c r="M932" t="n">
        <v>0</v>
      </c>
      <c r="N932" t="n">
        <v>0</v>
      </c>
      <c r="O932" t="n">
        <v>0</v>
      </c>
      <c r="P932" t="n">
        <v>0</v>
      </c>
      <c r="Q932" t="n">
        <v>0</v>
      </c>
      <c r="R932" s="2" t="inlineStr"/>
    </row>
    <row r="933" ht="15" customHeight="1">
      <c r="A933" t="inlineStr">
        <is>
          <t>A 16160-2024</t>
        </is>
      </c>
      <c r="B933" s="1" t="n">
        <v>45406</v>
      </c>
      <c r="C933" s="1" t="n">
        <v>45576</v>
      </c>
      <c r="D933" t="inlineStr">
        <is>
          <t>VÄSTMANLANDS LÄN</t>
        </is>
      </c>
      <c r="E933" t="inlineStr">
        <is>
          <t>SALA</t>
        </is>
      </c>
      <c r="G933" t="n">
        <v>1.1</v>
      </c>
      <c r="H933" t="n">
        <v>0</v>
      </c>
      <c r="I933" t="n">
        <v>0</v>
      </c>
      <c r="J933" t="n">
        <v>0</v>
      </c>
      <c r="K933" t="n">
        <v>0</v>
      </c>
      <c r="L933" t="n">
        <v>0</v>
      </c>
      <c r="M933" t="n">
        <v>0</v>
      </c>
      <c r="N933" t="n">
        <v>0</v>
      </c>
      <c r="O933" t="n">
        <v>0</v>
      </c>
      <c r="P933" t="n">
        <v>0</v>
      </c>
      <c r="Q933" t="n">
        <v>0</v>
      </c>
      <c r="R933" s="2" t="inlineStr"/>
    </row>
    <row r="934" ht="15" customHeight="1">
      <c r="A934" t="inlineStr">
        <is>
          <t>A 16767-2024</t>
        </is>
      </c>
      <c r="B934" s="1" t="n">
        <v>45411</v>
      </c>
      <c r="C934" s="1" t="n">
        <v>45576</v>
      </c>
      <c r="D934" t="inlineStr">
        <is>
          <t>VÄSTMANLANDS LÄN</t>
        </is>
      </c>
      <c r="E934" t="inlineStr">
        <is>
          <t>SALA</t>
        </is>
      </c>
      <c r="G934" t="n">
        <v>2.5</v>
      </c>
      <c r="H934" t="n">
        <v>0</v>
      </c>
      <c r="I934" t="n">
        <v>0</v>
      </c>
      <c r="J934" t="n">
        <v>0</v>
      </c>
      <c r="K934" t="n">
        <v>0</v>
      </c>
      <c r="L934" t="n">
        <v>0</v>
      </c>
      <c r="M934" t="n">
        <v>0</v>
      </c>
      <c r="N934" t="n">
        <v>0</v>
      </c>
      <c r="O934" t="n">
        <v>0</v>
      </c>
      <c r="P934" t="n">
        <v>0</v>
      </c>
      <c r="Q934" t="n">
        <v>0</v>
      </c>
      <c r="R934" s="2" t="inlineStr"/>
    </row>
    <row r="935" ht="15" customHeight="1">
      <c r="A935" t="inlineStr">
        <is>
          <t>A 16760-2024</t>
        </is>
      </c>
      <c r="B935" s="1" t="n">
        <v>45411</v>
      </c>
      <c r="C935" s="1" t="n">
        <v>45576</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16769-2024</t>
        </is>
      </c>
      <c r="B936" s="1" t="n">
        <v>45411</v>
      </c>
      <c r="C936" s="1" t="n">
        <v>45576</v>
      </c>
      <c r="D936" t="inlineStr">
        <is>
          <t>VÄSTMANLANDS LÄN</t>
        </is>
      </c>
      <c r="E936" t="inlineStr">
        <is>
          <t>SALA</t>
        </is>
      </c>
      <c r="G936" t="n">
        <v>12</v>
      </c>
      <c r="H936" t="n">
        <v>0</v>
      </c>
      <c r="I936" t="n">
        <v>0</v>
      </c>
      <c r="J936" t="n">
        <v>0</v>
      </c>
      <c r="K936" t="n">
        <v>0</v>
      </c>
      <c r="L936" t="n">
        <v>0</v>
      </c>
      <c r="M936" t="n">
        <v>0</v>
      </c>
      <c r="N936" t="n">
        <v>0</v>
      </c>
      <c r="O936" t="n">
        <v>0</v>
      </c>
      <c r="P936" t="n">
        <v>0</v>
      </c>
      <c r="Q936" t="n">
        <v>0</v>
      </c>
      <c r="R936" s="2" t="inlineStr"/>
    </row>
    <row r="937" ht="15" customHeight="1">
      <c r="A937" t="inlineStr">
        <is>
          <t>A 17455-2024</t>
        </is>
      </c>
      <c r="B937" s="1" t="n">
        <v>45415</v>
      </c>
      <c r="C937" s="1" t="n">
        <v>45576</v>
      </c>
      <c r="D937" t="inlineStr">
        <is>
          <t>VÄSTMANLANDS LÄN</t>
        </is>
      </c>
      <c r="E937" t="inlineStr">
        <is>
          <t>SALA</t>
        </is>
      </c>
      <c r="G937" t="n">
        <v>2.8</v>
      </c>
      <c r="H937" t="n">
        <v>0</v>
      </c>
      <c r="I937" t="n">
        <v>0</v>
      </c>
      <c r="J937" t="n">
        <v>0</v>
      </c>
      <c r="K937" t="n">
        <v>0</v>
      </c>
      <c r="L937" t="n">
        <v>0</v>
      </c>
      <c r="M937" t="n">
        <v>0</v>
      </c>
      <c r="N937" t="n">
        <v>0</v>
      </c>
      <c r="O937" t="n">
        <v>0</v>
      </c>
      <c r="P937" t="n">
        <v>0</v>
      </c>
      <c r="Q937" t="n">
        <v>0</v>
      </c>
      <c r="R937" s="2" t="inlineStr"/>
    </row>
    <row r="938" ht="15" customHeight="1">
      <c r="A938" t="inlineStr">
        <is>
          <t>A 17495-2024</t>
        </is>
      </c>
      <c r="B938" s="1" t="n">
        <v>45415</v>
      </c>
      <c r="C938" s="1" t="n">
        <v>45576</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17457-2024</t>
        </is>
      </c>
      <c r="B939" s="1" t="n">
        <v>45415</v>
      </c>
      <c r="C939" s="1" t="n">
        <v>45576</v>
      </c>
      <c r="D939" t="inlineStr">
        <is>
          <t>VÄSTMANLANDS LÄN</t>
        </is>
      </c>
      <c r="E939" t="inlineStr">
        <is>
          <t>SALA</t>
        </is>
      </c>
      <c r="G939" t="n">
        <v>0.8</v>
      </c>
      <c r="H939" t="n">
        <v>0</v>
      </c>
      <c r="I939" t="n">
        <v>0</v>
      </c>
      <c r="J939" t="n">
        <v>0</v>
      </c>
      <c r="K939" t="n">
        <v>0</v>
      </c>
      <c r="L939" t="n">
        <v>0</v>
      </c>
      <c r="M939" t="n">
        <v>0</v>
      </c>
      <c r="N939" t="n">
        <v>0</v>
      </c>
      <c r="O939" t="n">
        <v>0</v>
      </c>
      <c r="P939" t="n">
        <v>0</v>
      </c>
      <c r="Q939" t="n">
        <v>0</v>
      </c>
      <c r="R939" s="2" t="inlineStr"/>
    </row>
    <row r="940" ht="15" customHeight="1">
      <c r="A940" t="inlineStr">
        <is>
          <t>A 17458-2024</t>
        </is>
      </c>
      <c r="B940" s="1" t="n">
        <v>45415</v>
      </c>
      <c r="C940" s="1" t="n">
        <v>45576</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17496-2024</t>
        </is>
      </c>
      <c r="B941" s="1" t="n">
        <v>45415</v>
      </c>
      <c r="C941" s="1" t="n">
        <v>45576</v>
      </c>
      <c r="D941" t="inlineStr">
        <is>
          <t>VÄSTMANLANDS LÄN</t>
        </is>
      </c>
      <c r="E941" t="inlineStr">
        <is>
          <t>SALA</t>
        </is>
      </c>
      <c r="G941" t="n">
        <v>1.6</v>
      </c>
      <c r="H941" t="n">
        <v>0</v>
      </c>
      <c r="I941" t="n">
        <v>0</v>
      </c>
      <c r="J941" t="n">
        <v>0</v>
      </c>
      <c r="K941" t="n">
        <v>0</v>
      </c>
      <c r="L941" t="n">
        <v>0</v>
      </c>
      <c r="M941" t="n">
        <v>0</v>
      </c>
      <c r="N941" t="n">
        <v>0</v>
      </c>
      <c r="O941" t="n">
        <v>0</v>
      </c>
      <c r="P941" t="n">
        <v>0</v>
      </c>
      <c r="Q941" t="n">
        <v>0</v>
      </c>
      <c r="R941" s="2" t="inlineStr"/>
    </row>
    <row r="942" ht="15" customHeight="1">
      <c r="A942" t="inlineStr">
        <is>
          <t>A 17918-2024</t>
        </is>
      </c>
      <c r="B942" s="1" t="n">
        <v>45419</v>
      </c>
      <c r="C942" s="1" t="n">
        <v>45576</v>
      </c>
      <c r="D942" t="inlineStr">
        <is>
          <t>VÄSTMANLANDS LÄN</t>
        </is>
      </c>
      <c r="E942" t="inlineStr">
        <is>
          <t>SALA</t>
        </is>
      </c>
      <c r="G942" t="n">
        <v>4.5</v>
      </c>
      <c r="H942" t="n">
        <v>0</v>
      </c>
      <c r="I942" t="n">
        <v>0</v>
      </c>
      <c r="J942" t="n">
        <v>0</v>
      </c>
      <c r="K942" t="n">
        <v>0</v>
      </c>
      <c r="L942" t="n">
        <v>0</v>
      </c>
      <c r="M942" t="n">
        <v>0</v>
      </c>
      <c r="N942" t="n">
        <v>0</v>
      </c>
      <c r="O942" t="n">
        <v>0</v>
      </c>
      <c r="P942" t="n">
        <v>0</v>
      </c>
      <c r="Q942" t="n">
        <v>0</v>
      </c>
      <c r="R942" s="2" t="inlineStr"/>
    </row>
    <row r="943" ht="15" customHeight="1">
      <c r="A943" t="inlineStr">
        <is>
          <t>A 18461-2024</t>
        </is>
      </c>
      <c r="B943" s="1" t="n">
        <v>45425</v>
      </c>
      <c r="C943" s="1" t="n">
        <v>45576</v>
      </c>
      <c r="D943" t="inlineStr">
        <is>
          <t>VÄSTMANLANDS LÄN</t>
        </is>
      </c>
      <c r="E943" t="inlineStr">
        <is>
          <t>SALA</t>
        </is>
      </c>
      <c r="G943" t="n">
        <v>1.7</v>
      </c>
      <c r="H943" t="n">
        <v>0</v>
      </c>
      <c r="I943" t="n">
        <v>0</v>
      </c>
      <c r="J943" t="n">
        <v>0</v>
      </c>
      <c r="K943" t="n">
        <v>0</v>
      </c>
      <c r="L943" t="n">
        <v>0</v>
      </c>
      <c r="M943" t="n">
        <v>0</v>
      </c>
      <c r="N943" t="n">
        <v>0</v>
      </c>
      <c r="O943" t="n">
        <v>0</v>
      </c>
      <c r="P943" t="n">
        <v>0</v>
      </c>
      <c r="Q943" t="n">
        <v>0</v>
      </c>
      <c r="R943" s="2" t="inlineStr"/>
    </row>
    <row r="944" ht="15" customHeight="1">
      <c r="A944" t="inlineStr">
        <is>
          <t>A 18522-2024</t>
        </is>
      </c>
      <c r="B944" s="1" t="n">
        <v>45425</v>
      </c>
      <c r="C944" s="1" t="n">
        <v>45576</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18750-2024</t>
        </is>
      </c>
      <c r="B945" s="1" t="n">
        <v>45426</v>
      </c>
      <c r="C945" s="1" t="n">
        <v>45576</v>
      </c>
      <c r="D945" t="inlineStr">
        <is>
          <t>VÄSTMANLANDS LÄN</t>
        </is>
      </c>
      <c r="E945" t="inlineStr">
        <is>
          <t>SALA</t>
        </is>
      </c>
      <c r="G945" t="n">
        <v>5.5</v>
      </c>
      <c r="H945" t="n">
        <v>0</v>
      </c>
      <c r="I945" t="n">
        <v>0</v>
      </c>
      <c r="J945" t="n">
        <v>0</v>
      </c>
      <c r="K945" t="n">
        <v>0</v>
      </c>
      <c r="L945" t="n">
        <v>0</v>
      </c>
      <c r="M945" t="n">
        <v>0</v>
      </c>
      <c r="N945" t="n">
        <v>0</v>
      </c>
      <c r="O945" t="n">
        <v>0</v>
      </c>
      <c r="P945" t="n">
        <v>0</v>
      </c>
      <c r="Q945" t="n">
        <v>0</v>
      </c>
      <c r="R945" s="2" t="inlineStr"/>
    </row>
    <row r="946" ht="15" customHeight="1">
      <c r="A946" t="inlineStr">
        <is>
          <t>A 18762-2024</t>
        </is>
      </c>
      <c r="B946" s="1" t="n">
        <v>45426</v>
      </c>
      <c r="C946" s="1" t="n">
        <v>45576</v>
      </c>
      <c r="D946" t="inlineStr">
        <is>
          <t>VÄSTMANLANDS LÄN</t>
        </is>
      </c>
      <c r="E946" t="inlineStr">
        <is>
          <t>SALA</t>
        </is>
      </c>
      <c r="G946" t="n">
        <v>6.2</v>
      </c>
      <c r="H946" t="n">
        <v>0</v>
      </c>
      <c r="I946" t="n">
        <v>0</v>
      </c>
      <c r="J946" t="n">
        <v>0</v>
      </c>
      <c r="K946" t="n">
        <v>0</v>
      </c>
      <c r="L946" t="n">
        <v>0</v>
      </c>
      <c r="M946" t="n">
        <v>0</v>
      </c>
      <c r="N946" t="n">
        <v>0</v>
      </c>
      <c r="O946" t="n">
        <v>0</v>
      </c>
      <c r="P946" t="n">
        <v>0</v>
      </c>
      <c r="Q946" t="n">
        <v>0</v>
      </c>
      <c r="R946" s="2" t="inlineStr"/>
    </row>
    <row r="947" ht="15" customHeight="1">
      <c r="A947" t="inlineStr">
        <is>
          <t>A 19224-2024</t>
        </is>
      </c>
      <c r="B947" s="1" t="n">
        <v>45428</v>
      </c>
      <c r="C947" s="1" t="n">
        <v>45576</v>
      </c>
      <c r="D947" t="inlineStr">
        <is>
          <t>VÄSTMANLANDS LÄN</t>
        </is>
      </c>
      <c r="E947" t="inlineStr">
        <is>
          <t>SALA</t>
        </is>
      </c>
      <c r="G947" t="n">
        <v>1.5</v>
      </c>
      <c r="H947" t="n">
        <v>0</v>
      </c>
      <c r="I947" t="n">
        <v>0</v>
      </c>
      <c r="J947" t="n">
        <v>0</v>
      </c>
      <c r="K947" t="n">
        <v>0</v>
      </c>
      <c r="L947" t="n">
        <v>0</v>
      </c>
      <c r="M947" t="n">
        <v>0</v>
      </c>
      <c r="N947" t="n">
        <v>0</v>
      </c>
      <c r="O947" t="n">
        <v>0</v>
      </c>
      <c r="P947" t="n">
        <v>0</v>
      </c>
      <c r="Q947" t="n">
        <v>0</v>
      </c>
      <c r="R947" s="2" t="inlineStr"/>
    </row>
    <row r="948" ht="15" customHeight="1">
      <c r="A948" t="inlineStr">
        <is>
          <t>A 19803-2024</t>
        </is>
      </c>
      <c r="B948" s="1" t="n">
        <v>45432</v>
      </c>
      <c r="C948" s="1" t="n">
        <v>45576</v>
      </c>
      <c r="D948" t="inlineStr">
        <is>
          <t>VÄSTMANLANDS LÄN</t>
        </is>
      </c>
      <c r="E948" t="inlineStr">
        <is>
          <t>SALA</t>
        </is>
      </c>
      <c r="G948" t="n">
        <v>3.1</v>
      </c>
      <c r="H948" t="n">
        <v>0</v>
      </c>
      <c r="I948" t="n">
        <v>0</v>
      </c>
      <c r="J948" t="n">
        <v>0</v>
      </c>
      <c r="K948" t="n">
        <v>0</v>
      </c>
      <c r="L948" t="n">
        <v>0</v>
      </c>
      <c r="M948" t="n">
        <v>0</v>
      </c>
      <c r="N948" t="n">
        <v>0</v>
      </c>
      <c r="O948" t="n">
        <v>0</v>
      </c>
      <c r="P948" t="n">
        <v>0</v>
      </c>
      <c r="Q948" t="n">
        <v>0</v>
      </c>
      <c r="R948" s="2" t="inlineStr"/>
    </row>
    <row r="949" ht="15" customHeight="1">
      <c r="A949" t="inlineStr">
        <is>
          <t>A 19860-2024</t>
        </is>
      </c>
      <c r="B949" s="1" t="n">
        <v>45433</v>
      </c>
      <c r="C949" s="1" t="n">
        <v>45576</v>
      </c>
      <c r="D949" t="inlineStr">
        <is>
          <t>VÄSTMANLANDS LÄN</t>
        </is>
      </c>
      <c r="E949" t="inlineStr">
        <is>
          <t>SALA</t>
        </is>
      </c>
      <c r="G949" t="n">
        <v>2.2</v>
      </c>
      <c r="H949" t="n">
        <v>0</v>
      </c>
      <c r="I949" t="n">
        <v>0</v>
      </c>
      <c r="J949" t="n">
        <v>0</v>
      </c>
      <c r="K949" t="n">
        <v>0</v>
      </c>
      <c r="L949" t="n">
        <v>0</v>
      </c>
      <c r="M949" t="n">
        <v>0</v>
      </c>
      <c r="N949" t="n">
        <v>0</v>
      </c>
      <c r="O949" t="n">
        <v>0</v>
      </c>
      <c r="P949" t="n">
        <v>0</v>
      </c>
      <c r="Q949" t="n">
        <v>0</v>
      </c>
      <c r="R949" s="2" t="inlineStr"/>
    </row>
    <row r="950" ht="15" customHeight="1">
      <c r="A950" t="inlineStr">
        <is>
          <t>A 19969-2024</t>
        </is>
      </c>
      <c r="B950" s="1" t="n">
        <v>45433</v>
      </c>
      <c r="C950" s="1" t="n">
        <v>45576</v>
      </c>
      <c r="D950" t="inlineStr">
        <is>
          <t>VÄSTMANLANDS LÄN</t>
        </is>
      </c>
      <c r="E950" t="inlineStr">
        <is>
          <t>SALA</t>
        </is>
      </c>
      <c r="G950" t="n">
        <v>4.7</v>
      </c>
      <c r="H950" t="n">
        <v>0</v>
      </c>
      <c r="I950" t="n">
        <v>0</v>
      </c>
      <c r="J950" t="n">
        <v>0</v>
      </c>
      <c r="K950" t="n">
        <v>0</v>
      </c>
      <c r="L950" t="n">
        <v>0</v>
      </c>
      <c r="M950" t="n">
        <v>0</v>
      </c>
      <c r="N950" t="n">
        <v>0</v>
      </c>
      <c r="O950" t="n">
        <v>0</v>
      </c>
      <c r="P950" t="n">
        <v>0</v>
      </c>
      <c r="Q950" t="n">
        <v>0</v>
      </c>
      <c r="R950" s="2" t="inlineStr"/>
    </row>
    <row r="951" ht="15" customHeight="1">
      <c r="A951" t="inlineStr">
        <is>
          <t>A 21234-2024</t>
        </is>
      </c>
      <c r="B951" s="1" t="n">
        <v>45440</v>
      </c>
      <c r="C951" s="1" t="n">
        <v>45576</v>
      </c>
      <c r="D951" t="inlineStr">
        <is>
          <t>VÄSTMANLANDS LÄN</t>
        </is>
      </c>
      <c r="E951" t="inlineStr">
        <is>
          <t>SALA</t>
        </is>
      </c>
      <c r="G951" t="n">
        <v>4.9</v>
      </c>
      <c r="H951" t="n">
        <v>0</v>
      </c>
      <c r="I951" t="n">
        <v>0</v>
      </c>
      <c r="J951" t="n">
        <v>0</v>
      </c>
      <c r="K951" t="n">
        <v>0</v>
      </c>
      <c r="L951" t="n">
        <v>0</v>
      </c>
      <c r="M951" t="n">
        <v>0</v>
      </c>
      <c r="N951" t="n">
        <v>0</v>
      </c>
      <c r="O951" t="n">
        <v>0</v>
      </c>
      <c r="P951" t="n">
        <v>0</v>
      </c>
      <c r="Q951" t="n">
        <v>0</v>
      </c>
      <c r="R951" s="2" t="inlineStr"/>
    </row>
    <row r="952" ht="15" customHeight="1">
      <c r="A952" t="inlineStr">
        <is>
          <t>A 21225-2024</t>
        </is>
      </c>
      <c r="B952" s="1" t="n">
        <v>45440</v>
      </c>
      <c r="C952" s="1" t="n">
        <v>45576</v>
      </c>
      <c r="D952" t="inlineStr">
        <is>
          <t>VÄSTMANLANDS LÄN</t>
        </is>
      </c>
      <c r="E952" t="inlineStr">
        <is>
          <t>SALA</t>
        </is>
      </c>
      <c r="G952" t="n">
        <v>2.2</v>
      </c>
      <c r="H952" t="n">
        <v>0</v>
      </c>
      <c r="I952" t="n">
        <v>0</v>
      </c>
      <c r="J952" t="n">
        <v>0</v>
      </c>
      <c r="K952" t="n">
        <v>0</v>
      </c>
      <c r="L952" t="n">
        <v>0</v>
      </c>
      <c r="M952" t="n">
        <v>0</v>
      </c>
      <c r="N952" t="n">
        <v>0</v>
      </c>
      <c r="O952" t="n">
        <v>0</v>
      </c>
      <c r="P952" t="n">
        <v>0</v>
      </c>
      <c r="Q952" t="n">
        <v>0</v>
      </c>
      <c r="R952" s="2" t="inlineStr"/>
    </row>
    <row r="953" ht="15" customHeight="1">
      <c r="A953" t="inlineStr">
        <is>
          <t>A 21968-2024</t>
        </is>
      </c>
      <c r="B953" s="1" t="n">
        <v>45443</v>
      </c>
      <c r="C953" s="1" t="n">
        <v>45576</v>
      </c>
      <c r="D953" t="inlineStr">
        <is>
          <t>VÄSTMANLANDS LÄN</t>
        </is>
      </c>
      <c r="E953" t="inlineStr">
        <is>
          <t>SALA</t>
        </is>
      </c>
      <c r="G953" t="n">
        <v>1.9</v>
      </c>
      <c r="H953" t="n">
        <v>0</v>
      </c>
      <c r="I953" t="n">
        <v>0</v>
      </c>
      <c r="J953" t="n">
        <v>0</v>
      </c>
      <c r="K953" t="n">
        <v>0</v>
      </c>
      <c r="L953" t="n">
        <v>0</v>
      </c>
      <c r="M953" t="n">
        <v>0</v>
      </c>
      <c r="N953" t="n">
        <v>0</v>
      </c>
      <c r="O953" t="n">
        <v>0</v>
      </c>
      <c r="P953" t="n">
        <v>0</v>
      </c>
      <c r="Q953" t="n">
        <v>0</v>
      </c>
      <c r="R953" s="2" t="inlineStr"/>
    </row>
    <row r="954" ht="15" customHeight="1">
      <c r="A954" t="inlineStr">
        <is>
          <t>A 23317-2024</t>
        </is>
      </c>
      <c r="B954" s="1" t="n">
        <v>45453</v>
      </c>
      <c r="C954" s="1" t="n">
        <v>45576</v>
      </c>
      <c r="D954" t="inlineStr">
        <is>
          <t>VÄSTMANLANDS LÄN</t>
        </is>
      </c>
      <c r="E954" t="inlineStr">
        <is>
          <t>SALA</t>
        </is>
      </c>
      <c r="G954" t="n">
        <v>6.5</v>
      </c>
      <c r="H954" t="n">
        <v>0</v>
      </c>
      <c r="I954" t="n">
        <v>0</v>
      </c>
      <c r="J954" t="n">
        <v>0</v>
      </c>
      <c r="K954" t="n">
        <v>0</v>
      </c>
      <c r="L954" t="n">
        <v>0</v>
      </c>
      <c r="M954" t="n">
        <v>0</v>
      </c>
      <c r="N954" t="n">
        <v>0</v>
      </c>
      <c r="O954" t="n">
        <v>0</v>
      </c>
      <c r="P954" t="n">
        <v>0</v>
      </c>
      <c r="Q954" t="n">
        <v>0</v>
      </c>
      <c r="R954" s="2" t="inlineStr"/>
    </row>
    <row r="955" ht="15" customHeight="1">
      <c r="A955" t="inlineStr">
        <is>
          <t>A 23406-2024</t>
        </is>
      </c>
      <c r="B955" s="1" t="n">
        <v>45453</v>
      </c>
      <c r="C955" s="1" t="n">
        <v>45576</v>
      </c>
      <c r="D955" t="inlineStr">
        <is>
          <t>VÄSTMANLANDS LÄN</t>
        </is>
      </c>
      <c r="E955" t="inlineStr">
        <is>
          <t>SALA</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23431-2024</t>
        </is>
      </c>
      <c r="B956" s="1" t="n">
        <v>45453</v>
      </c>
      <c r="C956" s="1" t="n">
        <v>45576</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23433-2024</t>
        </is>
      </c>
      <c r="B957" s="1" t="n">
        <v>45453</v>
      </c>
      <c r="C957" s="1" t="n">
        <v>45576</v>
      </c>
      <c r="D957" t="inlineStr">
        <is>
          <t>VÄSTMANLANDS LÄN</t>
        </is>
      </c>
      <c r="E957" t="inlineStr">
        <is>
          <t>SALA</t>
        </is>
      </c>
      <c r="G957" t="n">
        <v>2.1</v>
      </c>
      <c r="H957" t="n">
        <v>0</v>
      </c>
      <c r="I957" t="n">
        <v>0</v>
      </c>
      <c r="J957" t="n">
        <v>0</v>
      </c>
      <c r="K957" t="n">
        <v>0</v>
      </c>
      <c r="L957" t="n">
        <v>0</v>
      </c>
      <c r="M957" t="n">
        <v>0</v>
      </c>
      <c r="N957" t="n">
        <v>0</v>
      </c>
      <c r="O957" t="n">
        <v>0</v>
      </c>
      <c r="P957" t="n">
        <v>0</v>
      </c>
      <c r="Q957" t="n">
        <v>0</v>
      </c>
      <c r="R957" s="2" t="inlineStr"/>
    </row>
    <row r="958" ht="15" customHeight="1">
      <c r="A958" t="inlineStr">
        <is>
          <t>A 23322-2024</t>
        </is>
      </c>
      <c r="B958" s="1" t="n">
        <v>45453</v>
      </c>
      <c r="C958" s="1" t="n">
        <v>45576</v>
      </c>
      <c r="D958" t="inlineStr">
        <is>
          <t>VÄSTMANLANDS LÄN</t>
        </is>
      </c>
      <c r="E958" t="inlineStr">
        <is>
          <t>SALA</t>
        </is>
      </c>
      <c r="G958" t="n">
        <v>3.2</v>
      </c>
      <c r="H958" t="n">
        <v>0</v>
      </c>
      <c r="I958" t="n">
        <v>0</v>
      </c>
      <c r="J958" t="n">
        <v>0</v>
      </c>
      <c r="K958" t="n">
        <v>0</v>
      </c>
      <c r="L958" t="n">
        <v>0</v>
      </c>
      <c r="M958" t="n">
        <v>0</v>
      </c>
      <c r="N958" t="n">
        <v>0</v>
      </c>
      <c r="O958" t="n">
        <v>0</v>
      </c>
      <c r="P958" t="n">
        <v>0</v>
      </c>
      <c r="Q958" t="n">
        <v>0</v>
      </c>
      <c r="R958" s="2" t="inlineStr"/>
    </row>
    <row r="959" ht="15" customHeight="1">
      <c r="A959" t="inlineStr">
        <is>
          <t>A 23621-2024</t>
        </is>
      </c>
      <c r="B959" s="1" t="n">
        <v>45454</v>
      </c>
      <c r="C959" s="1" t="n">
        <v>45576</v>
      </c>
      <c r="D959" t="inlineStr">
        <is>
          <t>VÄSTMANLANDS LÄN</t>
        </is>
      </c>
      <c r="E959" t="inlineStr">
        <is>
          <t>SALA</t>
        </is>
      </c>
      <c r="G959" t="n">
        <v>1.4</v>
      </c>
      <c r="H959" t="n">
        <v>0</v>
      </c>
      <c r="I959" t="n">
        <v>0</v>
      </c>
      <c r="J959" t="n">
        <v>0</v>
      </c>
      <c r="K959" t="n">
        <v>0</v>
      </c>
      <c r="L959" t="n">
        <v>0</v>
      </c>
      <c r="M959" t="n">
        <v>0</v>
      </c>
      <c r="N959" t="n">
        <v>0</v>
      </c>
      <c r="O959" t="n">
        <v>0</v>
      </c>
      <c r="P959" t="n">
        <v>0</v>
      </c>
      <c r="Q959" t="n">
        <v>0</v>
      </c>
      <c r="R959" s="2" t="inlineStr"/>
    </row>
    <row r="960" ht="15" customHeight="1">
      <c r="A960" t="inlineStr">
        <is>
          <t>A 24039-2024</t>
        </is>
      </c>
      <c r="B960" s="1" t="n">
        <v>45456</v>
      </c>
      <c r="C960" s="1" t="n">
        <v>45576</v>
      </c>
      <c r="D960" t="inlineStr">
        <is>
          <t>VÄSTMANLANDS LÄN</t>
        </is>
      </c>
      <c r="E960" t="inlineStr">
        <is>
          <t>SALA</t>
        </is>
      </c>
      <c r="G960" t="n">
        <v>1.2</v>
      </c>
      <c r="H960" t="n">
        <v>0</v>
      </c>
      <c r="I960" t="n">
        <v>0</v>
      </c>
      <c r="J960" t="n">
        <v>0</v>
      </c>
      <c r="K960" t="n">
        <v>0</v>
      </c>
      <c r="L960" t="n">
        <v>0</v>
      </c>
      <c r="M960" t="n">
        <v>0</v>
      </c>
      <c r="N960" t="n">
        <v>0</v>
      </c>
      <c r="O960" t="n">
        <v>0</v>
      </c>
      <c r="P960" t="n">
        <v>0</v>
      </c>
      <c r="Q960" t="n">
        <v>0</v>
      </c>
      <c r="R960" s="2" t="inlineStr"/>
    </row>
    <row r="961" ht="15" customHeight="1">
      <c r="A961" t="inlineStr">
        <is>
          <t>A 24037-2024</t>
        </is>
      </c>
      <c r="B961" s="1" t="n">
        <v>45456</v>
      </c>
      <c r="C961" s="1" t="n">
        <v>45576</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24175-2024</t>
        </is>
      </c>
      <c r="B962" s="1" t="n">
        <v>45456</v>
      </c>
      <c r="C962" s="1" t="n">
        <v>45576</v>
      </c>
      <c r="D962" t="inlineStr">
        <is>
          <t>VÄSTMANLANDS LÄN</t>
        </is>
      </c>
      <c r="E962" t="inlineStr">
        <is>
          <t>SALA</t>
        </is>
      </c>
      <c r="G962" t="n">
        <v>0.6</v>
      </c>
      <c r="H962" t="n">
        <v>0</v>
      </c>
      <c r="I962" t="n">
        <v>0</v>
      </c>
      <c r="J962" t="n">
        <v>0</v>
      </c>
      <c r="K962" t="n">
        <v>0</v>
      </c>
      <c r="L962" t="n">
        <v>0</v>
      </c>
      <c r="M962" t="n">
        <v>0</v>
      </c>
      <c r="N962" t="n">
        <v>0</v>
      </c>
      <c r="O962" t="n">
        <v>0</v>
      </c>
      <c r="P962" t="n">
        <v>0</v>
      </c>
      <c r="Q962" t="n">
        <v>0</v>
      </c>
      <c r="R962" s="2" t="inlineStr"/>
    </row>
    <row r="963" ht="15" customHeight="1">
      <c r="A963" t="inlineStr">
        <is>
          <t>A 24337-2024</t>
        </is>
      </c>
      <c r="B963" s="1" t="n">
        <v>45457</v>
      </c>
      <c r="C963" s="1" t="n">
        <v>45576</v>
      </c>
      <c r="D963" t="inlineStr">
        <is>
          <t>VÄSTMANLANDS LÄN</t>
        </is>
      </c>
      <c r="E963" t="inlineStr">
        <is>
          <t>SALA</t>
        </is>
      </c>
      <c r="G963" t="n">
        <v>2.9</v>
      </c>
      <c r="H963" t="n">
        <v>0</v>
      </c>
      <c r="I963" t="n">
        <v>0</v>
      </c>
      <c r="J963" t="n">
        <v>0</v>
      </c>
      <c r="K963" t="n">
        <v>0</v>
      </c>
      <c r="L963" t="n">
        <v>0</v>
      </c>
      <c r="M963" t="n">
        <v>0</v>
      </c>
      <c r="N963" t="n">
        <v>0</v>
      </c>
      <c r="O963" t="n">
        <v>0</v>
      </c>
      <c r="P963" t="n">
        <v>0</v>
      </c>
      <c r="Q963" t="n">
        <v>0</v>
      </c>
      <c r="R963" s="2" t="inlineStr"/>
    </row>
    <row r="964" ht="15" customHeight="1">
      <c r="A964" t="inlineStr">
        <is>
          <t>A 24375-2024</t>
        </is>
      </c>
      <c r="B964" s="1" t="n">
        <v>45457</v>
      </c>
      <c r="C964" s="1" t="n">
        <v>45576</v>
      </c>
      <c r="D964" t="inlineStr">
        <is>
          <t>VÄSTMANLANDS LÄN</t>
        </is>
      </c>
      <c r="E964" t="inlineStr">
        <is>
          <t>SALA</t>
        </is>
      </c>
      <c r="G964" t="n">
        <v>6.3</v>
      </c>
      <c r="H964" t="n">
        <v>0</v>
      </c>
      <c r="I964" t="n">
        <v>0</v>
      </c>
      <c r="J964" t="n">
        <v>0</v>
      </c>
      <c r="K964" t="n">
        <v>0</v>
      </c>
      <c r="L964" t="n">
        <v>0</v>
      </c>
      <c r="M964" t="n">
        <v>0</v>
      </c>
      <c r="N964" t="n">
        <v>0</v>
      </c>
      <c r="O964" t="n">
        <v>0</v>
      </c>
      <c r="P964" t="n">
        <v>0</v>
      </c>
      <c r="Q964" t="n">
        <v>0</v>
      </c>
      <c r="R964" s="2" t="inlineStr"/>
    </row>
    <row r="965" ht="15" customHeight="1">
      <c r="A965" t="inlineStr">
        <is>
          <t>A 24866-2024</t>
        </is>
      </c>
      <c r="B965" s="1" t="n">
        <v>45461</v>
      </c>
      <c r="C965" s="1" t="n">
        <v>45576</v>
      </c>
      <c r="D965" t="inlineStr">
        <is>
          <t>VÄSTMANLANDS LÄN</t>
        </is>
      </c>
      <c r="E965" t="inlineStr">
        <is>
          <t>SALA</t>
        </is>
      </c>
      <c r="G965" t="n">
        <v>2.8</v>
      </c>
      <c r="H965" t="n">
        <v>0</v>
      </c>
      <c r="I965" t="n">
        <v>0</v>
      </c>
      <c r="J965" t="n">
        <v>0</v>
      </c>
      <c r="K965" t="n">
        <v>0</v>
      </c>
      <c r="L965" t="n">
        <v>0</v>
      </c>
      <c r="M965" t="n">
        <v>0</v>
      </c>
      <c r="N965" t="n">
        <v>0</v>
      </c>
      <c r="O965" t="n">
        <v>0</v>
      </c>
      <c r="P965" t="n">
        <v>0</v>
      </c>
      <c r="Q965" t="n">
        <v>0</v>
      </c>
      <c r="R965" s="2" t="inlineStr"/>
    </row>
    <row r="966" ht="15" customHeight="1">
      <c r="A966" t="inlineStr">
        <is>
          <t>A 24900-2024</t>
        </is>
      </c>
      <c r="B966" s="1" t="n">
        <v>45461</v>
      </c>
      <c r="C966" s="1" t="n">
        <v>45576</v>
      </c>
      <c r="D966" t="inlineStr">
        <is>
          <t>VÄSTMANLANDS LÄN</t>
        </is>
      </c>
      <c r="E966" t="inlineStr">
        <is>
          <t>SALA</t>
        </is>
      </c>
      <c r="G966" t="n">
        <v>5.8</v>
      </c>
      <c r="H966" t="n">
        <v>0</v>
      </c>
      <c r="I966" t="n">
        <v>0</v>
      </c>
      <c r="J966" t="n">
        <v>0</v>
      </c>
      <c r="K966" t="n">
        <v>0</v>
      </c>
      <c r="L966" t="n">
        <v>0</v>
      </c>
      <c r="M966" t="n">
        <v>0</v>
      </c>
      <c r="N966" t="n">
        <v>0</v>
      </c>
      <c r="O966" t="n">
        <v>0</v>
      </c>
      <c r="P966" t="n">
        <v>0</v>
      </c>
      <c r="Q966" t="n">
        <v>0</v>
      </c>
      <c r="R966" s="2" t="inlineStr"/>
    </row>
    <row r="967" ht="15" customHeight="1">
      <c r="A967" t="inlineStr">
        <is>
          <t>A 24864-2024</t>
        </is>
      </c>
      <c r="B967" s="1" t="n">
        <v>45461</v>
      </c>
      <c r="C967" s="1" t="n">
        <v>45576</v>
      </c>
      <c r="D967" t="inlineStr">
        <is>
          <t>VÄSTMANLANDS LÄN</t>
        </is>
      </c>
      <c r="E967" t="inlineStr">
        <is>
          <t>SALA</t>
        </is>
      </c>
      <c r="G967" t="n">
        <v>0.6</v>
      </c>
      <c r="H967" t="n">
        <v>0</v>
      </c>
      <c r="I967" t="n">
        <v>0</v>
      </c>
      <c r="J967" t="n">
        <v>0</v>
      </c>
      <c r="K967" t="n">
        <v>0</v>
      </c>
      <c r="L967" t="n">
        <v>0</v>
      </c>
      <c r="M967" t="n">
        <v>0</v>
      </c>
      <c r="N967" t="n">
        <v>0</v>
      </c>
      <c r="O967" t="n">
        <v>0</v>
      </c>
      <c r="P967" t="n">
        <v>0</v>
      </c>
      <c r="Q967" t="n">
        <v>0</v>
      </c>
      <c r="R967" s="2" t="inlineStr"/>
    </row>
    <row r="968" ht="15" customHeight="1">
      <c r="A968" t="inlineStr">
        <is>
          <t>A 25541-2024</t>
        </is>
      </c>
      <c r="B968" s="1" t="n">
        <v>45463</v>
      </c>
      <c r="C968" s="1" t="n">
        <v>45576</v>
      </c>
      <c r="D968" t="inlineStr">
        <is>
          <t>VÄSTMANLANDS LÄN</t>
        </is>
      </c>
      <c r="E968" t="inlineStr">
        <is>
          <t>SALA</t>
        </is>
      </c>
      <c r="G968" t="n">
        <v>0.5</v>
      </c>
      <c r="H968" t="n">
        <v>0</v>
      </c>
      <c r="I968" t="n">
        <v>0</v>
      </c>
      <c r="J968" t="n">
        <v>0</v>
      </c>
      <c r="K968" t="n">
        <v>0</v>
      </c>
      <c r="L968" t="n">
        <v>0</v>
      </c>
      <c r="M968" t="n">
        <v>0</v>
      </c>
      <c r="N968" t="n">
        <v>0</v>
      </c>
      <c r="O968" t="n">
        <v>0</v>
      </c>
      <c r="P968" t="n">
        <v>0</v>
      </c>
      <c r="Q968" t="n">
        <v>0</v>
      </c>
      <c r="R968" s="2" t="inlineStr"/>
    </row>
    <row r="969" ht="15" customHeight="1">
      <c r="A969" t="inlineStr">
        <is>
          <t>A 25860-2024</t>
        </is>
      </c>
      <c r="B969" s="1" t="n">
        <v>45467</v>
      </c>
      <c r="C969" s="1" t="n">
        <v>45576</v>
      </c>
      <c r="D969" t="inlineStr">
        <is>
          <t>VÄSTMANLANDS LÄN</t>
        </is>
      </c>
      <c r="E969" t="inlineStr">
        <is>
          <t>SALA</t>
        </is>
      </c>
      <c r="G969" t="n">
        <v>0.7</v>
      </c>
      <c r="H969" t="n">
        <v>0</v>
      </c>
      <c r="I969" t="n">
        <v>0</v>
      </c>
      <c r="J969" t="n">
        <v>0</v>
      </c>
      <c r="K969" t="n">
        <v>0</v>
      </c>
      <c r="L969" t="n">
        <v>0</v>
      </c>
      <c r="M969" t="n">
        <v>0</v>
      </c>
      <c r="N969" t="n">
        <v>0</v>
      </c>
      <c r="O969" t="n">
        <v>0</v>
      </c>
      <c r="P969" t="n">
        <v>0</v>
      </c>
      <c r="Q969" t="n">
        <v>0</v>
      </c>
      <c r="R969" s="2" t="inlineStr"/>
    </row>
    <row r="970" ht="15" customHeight="1">
      <c r="A970" t="inlineStr">
        <is>
          <t>A 25897-2024</t>
        </is>
      </c>
      <c r="B970" s="1" t="n">
        <v>45467</v>
      </c>
      <c r="C970" s="1" t="n">
        <v>45576</v>
      </c>
      <c r="D970" t="inlineStr">
        <is>
          <t>VÄSTMANLANDS LÄN</t>
        </is>
      </c>
      <c r="E970" t="inlineStr">
        <is>
          <t>SALA</t>
        </is>
      </c>
      <c r="G970" t="n">
        <v>9.9</v>
      </c>
      <c r="H970" t="n">
        <v>0</v>
      </c>
      <c r="I970" t="n">
        <v>0</v>
      </c>
      <c r="J970" t="n">
        <v>0</v>
      </c>
      <c r="K970" t="n">
        <v>0</v>
      </c>
      <c r="L970" t="n">
        <v>0</v>
      </c>
      <c r="M970" t="n">
        <v>0</v>
      </c>
      <c r="N970" t="n">
        <v>0</v>
      </c>
      <c r="O970" t="n">
        <v>0</v>
      </c>
      <c r="P970" t="n">
        <v>0</v>
      </c>
      <c r="Q970" t="n">
        <v>0</v>
      </c>
      <c r="R970" s="2" t="inlineStr"/>
    </row>
    <row r="971" ht="15" customHeight="1">
      <c r="A971" t="inlineStr">
        <is>
          <t>A 25891-2024</t>
        </is>
      </c>
      <c r="B971" s="1" t="n">
        <v>45467</v>
      </c>
      <c r="C971" s="1" t="n">
        <v>45576</v>
      </c>
      <c r="D971" t="inlineStr">
        <is>
          <t>VÄSTMANLANDS LÄN</t>
        </is>
      </c>
      <c r="E971" t="inlineStr">
        <is>
          <t>SALA</t>
        </is>
      </c>
      <c r="G971" t="n">
        <v>2.3</v>
      </c>
      <c r="H971" t="n">
        <v>0</v>
      </c>
      <c r="I971" t="n">
        <v>0</v>
      </c>
      <c r="J971" t="n">
        <v>0</v>
      </c>
      <c r="K971" t="n">
        <v>0</v>
      </c>
      <c r="L971" t="n">
        <v>0</v>
      </c>
      <c r="M971" t="n">
        <v>0</v>
      </c>
      <c r="N971" t="n">
        <v>0</v>
      </c>
      <c r="O971" t="n">
        <v>0</v>
      </c>
      <c r="P971" t="n">
        <v>0</v>
      </c>
      <c r="Q971" t="n">
        <v>0</v>
      </c>
      <c r="R971" s="2" t="inlineStr"/>
    </row>
    <row r="972" ht="15" customHeight="1">
      <c r="A972" t="inlineStr">
        <is>
          <t>A 25868-2024</t>
        </is>
      </c>
      <c r="B972" s="1" t="n">
        <v>45467</v>
      </c>
      <c r="C972" s="1" t="n">
        <v>45576</v>
      </c>
      <c r="D972" t="inlineStr">
        <is>
          <t>VÄSTMANLANDS LÄN</t>
        </is>
      </c>
      <c r="E972" t="inlineStr">
        <is>
          <t>SALA</t>
        </is>
      </c>
      <c r="G972" t="n">
        <v>0.8</v>
      </c>
      <c r="H972" t="n">
        <v>0</v>
      </c>
      <c r="I972" t="n">
        <v>0</v>
      </c>
      <c r="J972" t="n">
        <v>0</v>
      </c>
      <c r="K972" t="n">
        <v>0</v>
      </c>
      <c r="L972" t="n">
        <v>0</v>
      </c>
      <c r="M972" t="n">
        <v>0</v>
      </c>
      <c r="N972" t="n">
        <v>0</v>
      </c>
      <c r="O972" t="n">
        <v>0</v>
      </c>
      <c r="P972" t="n">
        <v>0</v>
      </c>
      <c r="Q972" t="n">
        <v>0</v>
      </c>
      <c r="R972" s="2" t="inlineStr"/>
    </row>
    <row r="973" ht="15" customHeight="1">
      <c r="A973" t="inlineStr">
        <is>
          <t>A 26854-2024</t>
        </is>
      </c>
      <c r="B973" s="1" t="n">
        <v>45470</v>
      </c>
      <c r="C973" s="1" t="n">
        <v>45576</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26848-2024</t>
        </is>
      </c>
      <c r="B974" s="1" t="n">
        <v>45470</v>
      </c>
      <c r="C974" s="1" t="n">
        <v>45576</v>
      </c>
      <c r="D974" t="inlineStr">
        <is>
          <t>VÄSTMANLANDS LÄN</t>
        </is>
      </c>
      <c r="E974" t="inlineStr">
        <is>
          <t>SALA</t>
        </is>
      </c>
      <c r="G974" t="n">
        <v>0.7</v>
      </c>
      <c r="H974" t="n">
        <v>0</v>
      </c>
      <c r="I974" t="n">
        <v>0</v>
      </c>
      <c r="J974" t="n">
        <v>0</v>
      </c>
      <c r="K974" t="n">
        <v>0</v>
      </c>
      <c r="L974" t="n">
        <v>0</v>
      </c>
      <c r="M974" t="n">
        <v>0</v>
      </c>
      <c r="N974" t="n">
        <v>0</v>
      </c>
      <c r="O974" t="n">
        <v>0</v>
      </c>
      <c r="P974" t="n">
        <v>0</v>
      </c>
      <c r="Q974" t="n">
        <v>0</v>
      </c>
      <c r="R974" s="2" t="inlineStr"/>
    </row>
    <row r="975" ht="15" customHeight="1">
      <c r="A975" t="inlineStr">
        <is>
          <t>A 26844-2024</t>
        </is>
      </c>
      <c r="B975" s="1" t="n">
        <v>45470</v>
      </c>
      <c r="C975" s="1" t="n">
        <v>45576</v>
      </c>
      <c r="D975" t="inlineStr">
        <is>
          <t>VÄSTMANLANDS LÄN</t>
        </is>
      </c>
      <c r="E975" t="inlineStr">
        <is>
          <t>SALA</t>
        </is>
      </c>
      <c r="G975" t="n">
        <v>2.6</v>
      </c>
      <c r="H975" t="n">
        <v>0</v>
      </c>
      <c r="I975" t="n">
        <v>0</v>
      </c>
      <c r="J975" t="n">
        <v>0</v>
      </c>
      <c r="K975" t="n">
        <v>0</v>
      </c>
      <c r="L975" t="n">
        <v>0</v>
      </c>
      <c r="M975" t="n">
        <v>0</v>
      </c>
      <c r="N975" t="n">
        <v>0</v>
      </c>
      <c r="O975" t="n">
        <v>0</v>
      </c>
      <c r="P975" t="n">
        <v>0</v>
      </c>
      <c r="Q975" t="n">
        <v>0</v>
      </c>
      <c r="R975" s="2" t="inlineStr"/>
    </row>
    <row r="976" ht="15" customHeight="1">
      <c r="A976" t="inlineStr">
        <is>
          <t>A 27097-2024</t>
        </is>
      </c>
      <c r="B976" s="1" t="n">
        <v>45471</v>
      </c>
      <c r="C976" s="1" t="n">
        <v>45576</v>
      </c>
      <c r="D976" t="inlineStr">
        <is>
          <t>VÄSTMANLANDS LÄN</t>
        </is>
      </c>
      <c r="E976" t="inlineStr">
        <is>
          <t>SALA</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27262-2024</t>
        </is>
      </c>
      <c r="B977" s="1" t="n">
        <v>45471</v>
      </c>
      <c r="C977" s="1" t="n">
        <v>45576</v>
      </c>
      <c r="D977" t="inlineStr">
        <is>
          <t>VÄSTMANLANDS LÄN</t>
        </is>
      </c>
      <c r="E977" t="inlineStr">
        <is>
          <t>SALA</t>
        </is>
      </c>
      <c r="G977" t="n">
        <v>0.8</v>
      </c>
      <c r="H977" t="n">
        <v>0</v>
      </c>
      <c r="I977" t="n">
        <v>0</v>
      </c>
      <c r="J977" t="n">
        <v>0</v>
      </c>
      <c r="K977" t="n">
        <v>0</v>
      </c>
      <c r="L977" t="n">
        <v>0</v>
      </c>
      <c r="M977" t="n">
        <v>0</v>
      </c>
      <c r="N977" t="n">
        <v>0</v>
      </c>
      <c r="O977" t="n">
        <v>0</v>
      </c>
      <c r="P977" t="n">
        <v>0</v>
      </c>
      <c r="Q977" t="n">
        <v>0</v>
      </c>
      <c r="R977" s="2" t="inlineStr"/>
    </row>
    <row r="978" ht="15" customHeight="1">
      <c r="A978" t="inlineStr">
        <is>
          <t>A 27261-2024</t>
        </is>
      </c>
      <c r="B978" s="1" t="n">
        <v>45471</v>
      </c>
      <c r="C978" s="1" t="n">
        <v>45576</v>
      </c>
      <c r="D978" t="inlineStr">
        <is>
          <t>VÄSTMANLANDS LÄN</t>
        </is>
      </c>
      <c r="E978" t="inlineStr">
        <is>
          <t>SALA</t>
        </is>
      </c>
      <c r="G978" t="n">
        <v>6.1</v>
      </c>
      <c r="H978" t="n">
        <v>0</v>
      </c>
      <c r="I978" t="n">
        <v>0</v>
      </c>
      <c r="J978" t="n">
        <v>0</v>
      </c>
      <c r="K978" t="n">
        <v>0</v>
      </c>
      <c r="L978" t="n">
        <v>0</v>
      </c>
      <c r="M978" t="n">
        <v>0</v>
      </c>
      <c r="N978" t="n">
        <v>0</v>
      </c>
      <c r="O978" t="n">
        <v>0</v>
      </c>
      <c r="P978" t="n">
        <v>0</v>
      </c>
      <c r="Q978" t="n">
        <v>0</v>
      </c>
      <c r="R978" s="2" t="inlineStr"/>
    </row>
    <row r="979" ht="15" customHeight="1">
      <c r="A979" t="inlineStr">
        <is>
          <t>A 28082-2024</t>
        </is>
      </c>
      <c r="B979" s="1" t="n">
        <v>45476</v>
      </c>
      <c r="C979" s="1" t="n">
        <v>45576</v>
      </c>
      <c r="D979" t="inlineStr">
        <is>
          <t>VÄSTMANLANDS LÄN</t>
        </is>
      </c>
      <c r="E979" t="inlineStr">
        <is>
          <t>SALA</t>
        </is>
      </c>
      <c r="G979" t="n">
        <v>4.7</v>
      </c>
      <c r="H979" t="n">
        <v>0</v>
      </c>
      <c r="I979" t="n">
        <v>0</v>
      </c>
      <c r="J979" t="n">
        <v>0</v>
      </c>
      <c r="K979" t="n">
        <v>0</v>
      </c>
      <c r="L979" t="n">
        <v>0</v>
      </c>
      <c r="M979" t="n">
        <v>0</v>
      </c>
      <c r="N979" t="n">
        <v>0</v>
      </c>
      <c r="O979" t="n">
        <v>0</v>
      </c>
      <c r="P979" t="n">
        <v>0</v>
      </c>
      <c r="Q979" t="n">
        <v>0</v>
      </c>
      <c r="R979" s="2" t="inlineStr"/>
    </row>
    <row r="980" ht="15" customHeight="1">
      <c r="A980" t="inlineStr">
        <is>
          <t>A 28093-2024</t>
        </is>
      </c>
      <c r="B980" s="1" t="n">
        <v>45476</v>
      </c>
      <c r="C980" s="1" t="n">
        <v>45576</v>
      </c>
      <c r="D980" t="inlineStr">
        <is>
          <t>VÄSTMANLANDS LÄN</t>
        </is>
      </c>
      <c r="E980" t="inlineStr">
        <is>
          <t>SALA</t>
        </is>
      </c>
      <c r="G980" t="n">
        <v>4.2</v>
      </c>
      <c r="H980" t="n">
        <v>0</v>
      </c>
      <c r="I980" t="n">
        <v>0</v>
      </c>
      <c r="J980" t="n">
        <v>0</v>
      </c>
      <c r="K980" t="n">
        <v>0</v>
      </c>
      <c r="L980" t="n">
        <v>0</v>
      </c>
      <c r="M980" t="n">
        <v>0</v>
      </c>
      <c r="N980" t="n">
        <v>0</v>
      </c>
      <c r="O980" t="n">
        <v>0</v>
      </c>
      <c r="P980" t="n">
        <v>0</v>
      </c>
      <c r="Q980" t="n">
        <v>0</v>
      </c>
      <c r="R980" s="2" t="inlineStr"/>
    </row>
    <row r="981" ht="15" customHeight="1">
      <c r="A981" t="inlineStr">
        <is>
          <t>A 28439-2024</t>
        </is>
      </c>
      <c r="B981" s="1" t="n">
        <v>45477</v>
      </c>
      <c r="C981" s="1" t="n">
        <v>45576</v>
      </c>
      <c r="D981" t="inlineStr">
        <is>
          <t>VÄSTMANLANDS LÄN</t>
        </is>
      </c>
      <c r="E981" t="inlineStr">
        <is>
          <t>SALA</t>
        </is>
      </c>
      <c r="G981" t="n">
        <v>9.5</v>
      </c>
      <c r="H981" t="n">
        <v>0</v>
      </c>
      <c r="I981" t="n">
        <v>0</v>
      </c>
      <c r="J981" t="n">
        <v>0</v>
      </c>
      <c r="K981" t="n">
        <v>0</v>
      </c>
      <c r="L981" t="n">
        <v>0</v>
      </c>
      <c r="M981" t="n">
        <v>0</v>
      </c>
      <c r="N981" t="n">
        <v>0</v>
      </c>
      <c r="O981" t="n">
        <v>0</v>
      </c>
      <c r="P981" t="n">
        <v>0</v>
      </c>
      <c r="Q981" t="n">
        <v>0</v>
      </c>
      <c r="R981" s="2" t="inlineStr"/>
    </row>
    <row r="982" ht="15" customHeight="1">
      <c r="A982" t="inlineStr">
        <is>
          <t>A 28614-2024</t>
        </is>
      </c>
      <c r="B982" s="1" t="n">
        <v>45478</v>
      </c>
      <c r="C982" s="1" t="n">
        <v>45576</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28661-2024</t>
        </is>
      </c>
      <c r="B983" s="1" t="n">
        <v>45478</v>
      </c>
      <c r="C983" s="1" t="n">
        <v>45576</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29019-2024</t>
        </is>
      </c>
      <c r="B984" s="1" t="n">
        <v>45481</v>
      </c>
      <c r="C984" s="1" t="n">
        <v>45576</v>
      </c>
      <c r="D984" t="inlineStr">
        <is>
          <t>VÄSTMANLANDS LÄN</t>
        </is>
      </c>
      <c r="E984" t="inlineStr">
        <is>
          <t>SALA</t>
        </is>
      </c>
      <c r="G984" t="n">
        <v>7.4</v>
      </c>
      <c r="H984" t="n">
        <v>0</v>
      </c>
      <c r="I984" t="n">
        <v>0</v>
      </c>
      <c r="J984" t="n">
        <v>0</v>
      </c>
      <c r="K984" t="n">
        <v>0</v>
      </c>
      <c r="L984" t="n">
        <v>0</v>
      </c>
      <c r="M984" t="n">
        <v>0</v>
      </c>
      <c r="N984" t="n">
        <v>0</v>
      </c>
      <c r="O984" t="n">
        <v>0</v>
      </c>
      <c r="P984" t="n">
        <v>0</v>
      </c>
      <c r="Q984" t="n">
        <v>0</v>
      </c>
      <c r="R984" s="2" t="inlineStr"/>
    </row>
    <row r="985" ht="15" customHeight="1">
      <c r="A985" t="inlineStr">
        <is>
          <t>A 30028-2024</t>
        </is>
      </c>
      <c r="B985" s="1" t="n">
        <v>45485</v>
      </c>
      <c r="C985" s="1" t="n">
        <v>45576</v>
      </c>
      <c r="D985" t="inlineStr">
        <is>
          <t>VÄSTMANLANDS LÄN</t>
        </is>
      </c>
      <c r="E985" t="inlineStr">
        <is>
          <t>SALA</t>
        </is>
      </c>
      <c r="G985" t="n">
        <v>2.6</v>
      </c>
      <c r="H985" t="n">
        <v>0</v>
      </c>
      <c r="I985" t="n">
        <v>0</v>
      </c>
      <c r="J985" t="n">
        <v>0</v>
      </c>
      <c r="K985" t="n">
        <v>0</v>
      </c>
      <c r="L985" t="n">
        <v>0</v>
      </c>
      <c r="M985" t="n">
        <v>0</v>
      </c>
      <c r="N985" t="n">
        <v>0</v>
      </c>
      <c r="O985" t="n">
        <v>0</v>
      </c>
      <c r="P985" t="n">
        <v>0</v>
      </c>
      <c r="Q985" t="n">
        <v>0</v>
      </c>
      <c r="R985" s="2" t="inlineStr"/>
    </row>
    <row r="986" ht="15" customHeight="1">
      <c r="A986" t="inlineStr">
        <is>
          <t>A 29929-2024</t>
        </is>
      </c>
      <c r="B986" s="1" t="n">
        <v>45488</v>
      </c>
      <c r="C986" s="1" t="n">
        <v>45576</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30613-2024</t>
        </is>
      </c>
      <c r="B987" s="1" t="n">
        <v>45495</v>
      </c>
      <c r="C987" s="1" t="n">
        <v>45576</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31235-2024</t>
        </is>
      </c>
      <c r="B988" s="1" t="n">
        <v>45503</v>
      </c>
      <c r="C988" s="1" t="n">
        <v>45576</v>
      </c>
      <c r="D988" t="inlineStr">
        <is>
          <t>VÄSTMANLANDS LÄN</t>
        </is>
      </c>
      <c r="E988" t="inlineStr">
        <is>
          <t>SALA</t>
        </is>
      </c>
      <c r="G988" t="n">
        <v>5.3</v>
      </c>
      <c r="H988" t="n">
        <v>0</v>
      </c>
      <c r="I988" t="n">
        <v>0</v>
      </c>
      <c r="J988" t="n">
        <v>0</v>
      </c>
      <c r="K988" t="n">
        <v>0</v>
      </c>
      <c r="L988" t="n">
        <v>0</v>
      </c>
      <c r="M988" t="n">
        <v>0</v>
      </c>
      <c r="N988" t="n">
        <v>0</v>
      </c>
      <c r="O988" t="n">
        <v>0</v>
      </c>
      <c r="P988" t="n">
        <v>0</v>
      </c>
      <c r="Q988" t="n">
        <v>0</v>
      </c>
      <c r="R988" s="2" t="inlineStr"/>
    </row>
    <row r="989" ht="15" customHeight="1">
      <c r="A989" t="inlineStr">
        <is>
          <t>A 31405-2024</t>
        </is>
      </c>
      <c r="B989" s="1" t="n">
        <v>45505</v>
      </c>
      <c r="C989" s="1" t="n">
        <v>45576</v>
      </c>
      <c r="D989" t="inlineStr">
        <is>
          <t>VÄSTMANLANDS LÄN</t>
        </is>
      </c>
      <c r="E989" t="inlineStr">
        <is>
          <t>SALA</t>
        </is>
      </c>
      <c r="G989" t="n">
        <v>5.2</v>
      </c>
      <c r="H989" t="n">
        <v>0</v>
      </c>
      <c r="I989" t="n">
        <v>0</v>
      </c>
      <c r="J989" t="n">
        <v>0</v>
      </c>
      <c r="K989" t="n">
        <v>0</v>
      </c>
      <c r="L989" t="n">
        <v>0</v>
      </c>
      <c r="M989" t="n">
        <v>0</v>
      </c>
      <c r="N989" t="n">
        <v>0</v>
      </c>
      <c r="O989" t="n">
        <v>0</v>
      </c>
      <c r="P989" t="n">
        <v>0</v>
      </c>
      <c r="Q989" t="n">
        <v>0</v>
      </c>
      <c r="R989" s="2" t="inlineStr"/>
    </row>
    <row r="990" ht="15" customHeight="1">
      <c r="A990" t="inlineStr">
        <is>
          <t>A 31599-2024</t>
        </is>
      </c>
      <c r="B990" s="1" t="n">
        <v>45506</v>
      </c>
      <c r="C990" s="1" t="n">
        <v>45576</v>
      </c>
      <c r="D990" t="inlineStr">
        <is>
          <t>VÄSTMANLANDS LÄN</t>
        </is>
      </c>
      <c r="E990" t="inlineStr">
        <is>
          <t>SALA</t>
        </is>
      </c>
      <c r="G990" t="n">
        <v>0.9</v>
      </c>
      <c r="H990" t="n">
        <v>0</v>
      </c>
      <c r="I990" t="n">
        <v>0</v>
      </c>
      <c r="J990" t="n">
        <v>0</v>
      </c>
      <c r="K990" t="n">
        <v>0</v>
      </c>
      <c r="L990" t="n">
        <v>0</v>
      </c>
      <c r="M990" t="n">
        <v>0</v>
      </c>
      <c r="N990" t="n">
        <v>0</v>
      </c>
      <c r="O990" t="n">
        <v>0</v>
      </c>
      <c r="P990" t="n">
        <v>0</v>
      </c>
      <c r="Q990" t="n">
        <v>0</v>
      </c>
      <c r="R990" s="2" t="inlineStr"/>
    </row>
    <row r="991" ht="15" customHeight="1">
      <c r="A991" t="inlineStr">
        <is>
          <t>A 31608-2024</t>
        </is>
      </c>
      <c r="B991" s="1" t="n">
        <v>45506</v>
      </c>
      <c r="C991" s="1" t="n">
        <v>45576</v>
      </c>
      <c r="D991" t="inlineStr">
        <is>
          <t>VÄSTMANLANDS LÄN</t>
        </is>
      </c>
      <c r="E991" t="inlineStr">
        <is>
          <t>SALA</t>
        </is>
      </c>
      <c r="G991" t="n">
        <v>1.7</v>
      </c>
      <c r="H991" t="n">
        <v>0</v>
      </c>
      <c r="I991" t="n">
        <v>0</v>
      </c>
      <c r="J991" t="n">
        <v>0</v>
      </c>
      <c r="K991" t="n">
        <v>0</v>
      </c>
      <c r="L991" t="n">
        <v>0</v>
      </c>
      <c r="M991" t="n">
        <v>0</v>
      </c>
      <c r="N991" t="n">
        <v>0</v>
      </c>
      <c r="O991" t="n">
        <v>0</v>
      </c>
      <c r="P991" t="n">
        <v>0</v>
      </c>
      <c r="Q991" t="n">
        <v>0</v>
      </c>
      <c r="R991" s="2" t="inlineStr"/>
    </row>
    <row r="992" ht="15" customHeight="1">
      <c r="A992" t="inlineStr">
        <is>
          <t>A 31601-2024</t>
        </is>
      </c>
      <c r="B992" s="1" t="n">
        <v>45506</v>
      </c>
      <c r="C992" s="1" t="n">
        <v>45576</v>
      </c>
      <c r="D992" t="inlineStr">
        <is>
          <t>VÄSTMANLANDS LÄN</t>
        </is>
      </c>
      <c r="E992" t="inlineStr">
        <is>
          <t>SALA</t>
        </is>
      </c>
      <c r="G992" t="n">
        <v>0.5</v>
      </c>
      <c r="H992" t="n">
        <v>0</v>
      </c>
      <c r="I992" t="n">
        <v>0</v>
      </c>
      <c r="J992" t="n">
        <v>0</v>
      </c>
      <c r="K992" t="n">
        <v>0</v>
      </c>
      <c r="L992" t="n">
        <v>0</v>
      </c>
      <c r="M992" t="n">
        <v>0</v>
      </c>
      <c r="N992" t="n">
        <v>0</v>
      </c>
      <c r="O992" t="n">
        <v>0</v>
      </c>
      <c r="P992" t="n">
        <v>0</v>
      </c>
      <c r="Q992" t="n">
        <v>0</v>
      </c>
      <c r="R992" s="2" t="inlineStr"/>
    </row>
    <row r="993" ht="15" customHeight="1">
      <c r="A993" t="inlineStr">
        <is>
          <t>A 31609-2024</t>
        </is>
      </c>
      <c r="B993" s="1" t="n">
        <v>45506</v>
      </c>
      <c r="C993" s="1" t="n">
        <v>45576</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31597-2024</t>
        </is>
      </c>
      <c r="B994" s="1" t="n">
        <v>45506</v>
      </c>
      <c r="C994" s="1" t="n">
        <v>45576</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31655-2024</t>
        </is>
      </c>
      <c r="B995" s="1" t="n">
        <v>45506</v>
      </c>
      <c r="C995" s="1" t="n">
        <v>45576</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31612-2024</t>
        </is>
      </c>
      <c r="B996" s="1" t="n">
        <v>45506</v>
      </c>
      <c r="C996" s="1" t="n">
        <v>45576</v>
      </c>
      <c r="D996" t="inlineStr">
        <is>
          <t>VÄSTMANLANDS LÄN</t>
        </is>
      </c>
      <c r="E996" t="inlineStr">
        <is>
          <t>SALA</t>
        </is>
      </c>
      <c r="G996" t="n">
        <v>3.2</v>
      </c>
      <c r="H996" t="n">
        <v>0</v>
      </c>
      <c r="I996" t="n">
        <v>0</v>
      </c>
      <c r="J996" t="n">
        <v>0</v>
      </c>
      <c r="K996" t="n">
        <v>0</v>
      </c>
      <c r="L996" t="n">
        <v>0</v>
      </c>
      <c r="M996" t="n">
        <v>0</v>
      </c>
      <c r="N996" t="n">
        <v>0</v>
      </c>
      <c r="O996" t="n">
        <v>0</v>
      </c>
      <c r="P996" t="n">
        <v>0</v>
      </c>
      <c r="Q996" t="n">
        <v>0</v>
      </c>
      <c r="R996" s="2" t="inlineStr"/>
    </row>
    <row r="997" ht="15" customHeight="1">
      <c r="A997" t="inlineStr">
        <is>
          <t>A 31941-2024</t>
        </is>
      </c>
      <c r="B997" s="1" t="n">
        <v>45510</v>
      </c>
      <c r="C997" s="1" t="n">
        <v>45576</v>
      </c>
      <c r="D997" t="inlineStr">
        <is>
          <t>VÄSTMANLANDS LÄN</t>
        </is>
      </c>
      <c r="E997" t="inlineStr">
        <is>
          <t>SALA</t>
        </is>
      </c>
      <c r="G997" t="n">
        <v>2.4</v>
      </c>
      <c r="H997" t="n">
        <v>0</v>
      </c>
      <c r="I997" t="n">
        <v>0</v>
      </c>
      <c r="J997" t="n">
        <v>0</v>
      </c>
      <c r="K997" t="n">
        <v>0</v>
      </c>
      <c r="L997" t="n">
        <v>0</v>
      </c>
      <c r="M997" t="n">
        <v>0</v>
      </c>
      <c r="N997" t="n">
        <v>0</v>
      </c>
      <c r="O997" t="n">
        <v>0</v>
      </c>
      <c r="P997" t="n">
        <v>0</v>
      </c>
      <c r="Q997" t="n">
        <v>0</v>
      </c>
      <c r="R997" s="2" t="inlineStr"/>
    </row>
    <row r="998" ht="15" customHeight="1">
      <c r="A998" t="inlineStr">
        <is>
          <t>A 32372-2024</t>
        </is>
      </c>
      <c r="B998" s="1" t="n">
        <v>45512</v>
      </c>
      <c r="C998" s="1" t="n">
        <v>45576</v>
      </c>
      <c r="D998" t="inlineStr">
        <is>
          <t>VÄSTMANLANDS LÄN</t>
        </is>
      </c>
      <c r="E998" t="inlineStr">
        <is>
          <t>SALA</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32303-2024</t>
        </is>
      </c>
      <c r="B999" s="1" t="n">
        <v>45512</v>
      </c>
      <c r="C999" s="1" t="n">
        <v>45576</v>
      </c>
      <c r="D999" t="inlineStr">
        <is>
          <t>VÄSTMANLANDS LÄN</t>
        </is>
      </c>
      <c r="E999" t="inlineStr">
        <is>
          <t>SALA</t>
        </is>
      </c>
      <c r="G999" t="n">
        <v>3.3</v>
      </c>
      <c r="H999" t="n">
        <v>0</v>
      </c>
      <c r="I999" t="n">
        <v>0</v>
      </c>
      <c r="J999" t="n">
        <v>0</v>
      </c>
      <c r="K999" t="n">
        <v>0</v>
      </c>
      <c r="L999" t="n">
        <v>0</v>
      </c>
      <c r="M999" t="n">
        <v>0</v>
      </c>
      <c r="N999" t="n">
        <v>0</v>
      </c>
      <c r="O999" t="n">
        <v>0</v>
      </c>
      <c r="P999" t="n">
        <v>0</v>
      </c>
      <c r="Q999" t="n">
        <v>0</v>
      </c>
      <c r="R999" s="2" t="inlineStr"/>
    </row>
    <row r="1000" ht="15" customHeight="1">
      <c r="A1000" t="inlineStr">
        <is>
          <t>A 32484-2024</t>
        </is>
      </c>
      <c r="B1000" s="1" t="n">
        <v>45513</v>
      </c>
      <c r="C1000" s="1" t="n">
        <v>45576</v>
      </c>
      <c r="D1000" t="inlineStr">
        <is>
          <t>VÄSTMANLANDS LÄN</t>
        </is>
      </c>
      <c r="E1000" t="inlineStr">
        <is>
          <t>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34419-2024</t>
        </is>
      </c>
      <c r="B1001" s="1" t="n">
        <v>45525</v>
      </c>
      <c r="C1001" s="1" t="n">
        <v>45576</v>
      </c>
      <c r="D1001" t="inlineStr">
        <is>
          <t>VÄSTMANLANDS LÄN</t>
        </is>
      </c>
      <c r="E1001" t="inlineStr">
        <is>
          <t>SALA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34412-2024</t>
        </is>
      </c>
      <c r="B1002" s="1" t="n">
        <v>45525</v>
      </c>
      <c r="C1002" s="1" t="n">
        <v>45576</v>
      </c>
      <c r="D1002" t="inlineStr">
        <is>
          <t>VÄSTMANLANDS LÄN</t>
        </is>
      </c>
      <c r="E1002" t="inlineStr">
        <is>
          <t>SALA</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34416-2024</t>
        </is>
      </c>
      <c r="B1003" s="1" t="n">
        <v>45525</v>
      </c>
      <c r="C1003" s="1" t="n">
        <v>45576</v>
      </c>
      <c r="D1003" t="inlineStr">
        <is>
          <t>VÄSTMANLANDS LÄN</t>
        </is>
      </c>
      <c r="E1003" t="inlineStr">
        <is>
          <t>SALA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35003-2024</t>
        </is>
      </c>
      <c r="B1004" s="1" t="n">
        <v>45527</v>
      </c>
      <c r="C1004" s="1" t="n">
        <v>45576</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35016-2024</t>
        </is>
      </c>
      <c r="B1005" s="1" t="n">
        <v>45527</v>
      </c>
      <c r="C1005" s="1" t="n">
        <v>45576</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35010-2024</t>
        </is>
      </c>
      <c r="B1006" s="1" t="n">
        <v>45527</v>
      </c>
      <c r="C1006" s="1" t="n">
        <v>45576</v>
      </c>
      <c r="D1006" t="inlineStr">
        <is>
          <t>VÄSTMANLANDS LÄN</t>
        </is>
      </c>
      <c r="E1006" t="inlineStr">
        <is>
          <t>SALA</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35462-2024</t>
        </is>
      </c>
      <c r="B1007" s="1" t="n">
        <v>45531</v>
      </c>
      <c r="C1007" s="1" t="n">
        <v>45576</v>
      </c>
      <c r="D1007" t="inlineStr">
        <is>
          <t>VÄSTMANLANDS LÄN</t>
        </is>
      </c>
      <c r="E1007" t="inlineStr">
        <is>
          <t>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35499-2024</t>
        </is>
      </c>
      <c r="B1008" s="1" t="n">
        <v>45531</v>
      </c>
      <c r="C1008" s="1" t="n">
        <v>45576</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35529-2024</t>
        </is>
      </c>
      <c r="B1009" s="1" t="n">
        <v>45531</v>
      </c>
      <c r="C1009" s="1" t="n">
        <v>45576</v>
      </c>
      <c r="D1009" t="inlineStr">
        <is>
          <t>VÄSTMANLANDS LÄN</t>
        </is>
      </c>
      <c r="E1009" t="inlineStr">
        <is>
          <t>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35558-2024</t>
        </is>
      </c>
      <c r="B1010" s="1" t="n">
        <v>45531</v>
      </c>
      <c r="C1010" s="1" t="n">
        <v>45576</v>
      </c>
      <c r="D1010" t="inlineStr">
        <is>
          <t>VÄSTMANLANDS LÄN</t>
        </is>
      </c>
      <c r="E1010" t="inlineStr">
        <is>
          <t>SALA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35519-2024</t>
        </is>
      </c>
      <c r="B1011" s="1" t="n">
        <v>45531</v>
      </c>
      <c r="C1011" s="1" t="n">
        <v>45576</v>
      </c>
      <c r="D1011" t="inlineStr">
        <is>
          <t>VÄSTMANLANDS LÄN</t>
        </is>
      </c>
      <c r="E1011" t="inlineStr">
        <is>
          <t>SALA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35528-2024</t>
        </is>
      </c>
      <c r="B1012" s="1" t="n">
        <v>45531</v>
      </c>
      <c r="C1012" s="1" t="n">
        <v>45576</v>
      </c>
      <c r="D1012" t="inlineStr">
        <is>
          <t>VÄSTMANLANDS LÄN</t>
        </is>
      </c>
      <c r="E1012" t="inlineStr">
        <is>
          <t>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35573-2024</t>
        </is>
      </c>
      <c r="B1013" s="1" t="n">
        <v>45531</v>
      </c>
      <c r="C1013" s="1" t="n">
        <v>45576</v>
      </c>
      <c r="D1013" t="inlineStr">
        <is>
          <t>VÄSTMANLANDS LÄN</t>
        </is>
      </c>
      <c r="E1013" t="inlineStr">
        <is>
          <t>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36075-2024</t>
        </is>
      </c>
      <c r="B1014" s="1" t="n">
        <v>45533</v>
      </c>
      <c r="C1014" s="1" t="n">
        <v>45576</v>
      </c>
      <c r="D1014" t="inlineStr">
        <is>
          <t>VÄSTMANLANDS LÄN</t>
        </is>
      </c>
      <c r="E1014" t="inlineStr">
        <is>
          <t>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35976-2024</t>
        </is>
      </c>
      <c r="B1015" s="1" t="n">
        <v>45533</v>
      </c>
      <c r="C1015" s="1" t="n">
        <v>45576</v>
      </c>
      <c r="D1015" t="inlineStr">
        <is>
          <t>VÄSTMANLANDS LÄN</t>
        </is>
      </c>
      <c r="E1015" t="inlineStr">
        <is>
          <t>SALA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36073-2024</t>
        </is>
      </c>
      <c r="B1016" s="1" t="n">
        <v>45533</v>
      </c>
      <c r="C1016" s="1" t="n">
        <v>45576</v>
      </c>
      <c r="D1016" t="inlineStr">
        <is>
          <t>VÄSTMANLANDS LÄN</t>
        </is>
      </c>
      <c r="E1016" t="inlineStr">
        <is>
          <t>SALA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37137-2024</t>
        </is>
      </c>
      <c r="B1017" s="1" t="n">
        <v>45539</v>
      </c>
      <c r="C1017" s="1" t="n">
        <v>45576</v>
      </c>
      <c r="D1017" t="inlineStr">
        <is>
          <t>VÄSTMANLANDS LÄN</t>
        </is>
      </c>
      <c r="E1017" t="inlineStr">
        <is>
          <t>SALA</t>
        </is>
      </c>
      <c r="F1017" t="inlineStr">
        <is>
          <t>Kommuner</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37166-2024</t>
        </is>
      </c>
      <c r="B1018" s="1" t="n">
        <v>45539</v>
      </c>
      <c r="C1018" s="1" t="n">
        <v>45576</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37183-2024</t>
        </is>
      </c>
      <c r="B1019" s="1" t="n">
        <v>45539</v>
      </c>
      <c r="C1019" s="1" t="n">
        <v>45576</v>
      </c>
      <c r="D1019" t="inlineStr">
        <is>
          <t>VÄSTMANLANDS LÄN</t>
        </is>
      </c>
      <c r="E1019" t="inlineStr">
        <is>
          <t>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37185-2024</t>
        </is>
      </c>
      <c r="B1020" s="1" t="n">
        <v>45539</v>
      </c>
      <c r="C1020" s="1" t="n">
        <v>45576</v>
      </c>
      <c r="D1020" t="inlineStr">
        <is>
          <t>VÄSTMANLANDS LÄN</t>
        </is>
      </c>
      <c r="E1020" t="inlineStr">
        <is>
          <t>SALA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37224-2024</t>
        </is>
      </c>
      <c r="B1021" s="1" t="n">
        <v>45539</v>
      </c>
      <c r="C1021" s="1" t="n">
        <v>45576</v>
      </c>
      <c r="D1021" t="inlineStr">
        <is>
          <t>VÄSTMANLANDS LÄN</t>
        </is>
      </c>
      <c r="E1021" t="inlineStr">
        <is>
          <t>SALA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37190-2024</t>
        </is>
      </c>
      <c r="B1022" s="1" t="n">
        <v>45539</v>
      </c>
      <c r="C1022" s="1" t="n">
        <v>45576</v>
      </c>
      <c r="D1022" t="inlineStr">
        <is>
          <t>VÄSTMANLANDS LÄN</t>
        </is>
      </c>
      <c r="E1022" t="inlineStr">
        <is>
          <t>SALA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37251-2024</t>
        </is>
      </c>
      <c r="B1023" s="1" t="n">
        <v>45540</v>
      </c>
      <c r="C1023" s="1" t="n">
        <v>45576</v>
      </c>
      <c r="D1023" t="inlineStr">
        <is>
          <t>VÄSTMANLANDS LÄN</t>
        </is>
      </c>
      <c r="E1023" t="inlineStr">
        <is>
          <t>SALA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37332-2024</t>
        </is>
      </c>
      <c r="B1024" s="1" t="n">
        <v>45540</v>
      </c>
      <c r="C1024" s="1" t="n">
        <v>45576</v>
      </c>
      <c r="D1024" t="inlineStr">
        <is>
          <t>VÄSTMANLANDS LÄN</t>
        </is>
      </c>
      <c r="E1024" t="inlineStr">
        <is>
          <t>SALA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37337-2024</t>
        </is>
      </c>
      <c r="B1025" s="1" t="n">
        <v>45540</v>
      </c>
      <c r="C1025" s="1" t="n">
        <v>45576</v>
      </c>
      <c r="D1025" t="inlineStr">
        <is>
          <t>VÄSTMANLANDS LÄN</t>
        </is>
      </c>
      <c r="E1025" t="inlineStr">
        <is>
          <t>SALA</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37602-2024</t>
        </is>
      </c>
      <c r="B1026" s="1" t="n">
        <v>45541</v>
      </c>
      <c r="C1026" s="1" t="n">
        <v>45576</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37587-2024</t>
        </is>
      </c>
      <c r="B1027" s="1" t="n">
        <v>45541</v>
      </c>
      <c r="C1027" s="1" t="n">
        <v>45576</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37612-2024</t>
        </is>
      </c>
      <c r="B1028" s="1" t="n">
        <v>45541</v>
      </c>
      <c r="C1028" s="1" t="n">
        <v>45576</v>
      </c>
      <c r="D1028" t="inlineStr">
        <is>
          <t>VÄSTMANLANDS LÄN</t>
        </is>
      </c>
      <c r="E1028" t="inlineStr">
        <is>
          <t>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37624-2024</t>
        </is>
      </c>
      <c r="B1029" s="1" t="n">
        <v>45541</v>
      </c>
      <c r="C1029" s="1" t="n">
        <v>45576</v>
      </c>
      <c r="D1029" t="inlineStr">
        <is>
          <t>VÄSTMANLANDS LÄN</t>
        </is>
      </c>
      <c r="E1029" t="inlineStr">
        <is>
          <t>SALA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37615-2024</t>
        </is>
      </c>
      <c r="B1030" s="1" t="n">
        <v>45541</v>
      </c>
      <c r="C1030" s="1" t="n">
        <v>45576</v>
      </c>
      <c r="D1030" t="inlineStr">
        <is>
          <t>VÄSTMANLANDS LÄN</t>
        </is>
      </c>
      <c r="E1030" t="inlineStr">
        <is>
          <t>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37958-2024</t>
        </is>
      </c>
      <c r="B1031" s="1" t="n">
        <v>45544</v>
      </c>
      <c r="C1031" s="1" t="n">
        <v>45576</v>
      </c>
      <c r="D1031" t="inlineStr">
        <is>
          <t>VÄSTMANLANDS LÄN</t>
        </is>
      </c>
      <c r="E1031" t="inlineStr">
        <is>
          <t>SALA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38434-2024</t>
        </is>
      </c>
      <c r="B1032" s="1" t="n">
        <v>45546</v>
      </c>
      <c r="C1032" s="1" t="n">
        <v>45576</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39364-2024</t>
        </is>
      </c>
      <c r="B1033" s="1" t="n">
        <v>45551</v>
      </c>
      <c r="C1033" s="1" t="n">
        <v>45576</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40085-2024</t>
        </is>
      </c>
      <c r="B1034" s="1" t="n">
        <v>45554</v>
      </c>
      <c r="C1034" s="1" t="n">
        <v>45576</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40272-2024</t>
        </is>
      </c>
      <c r="B1035" s="1" t="n">
        <v>45554</v>
      </c>
      <c r="C1035" s="1" t="n">
        <v>45576</v>
      </c>
      <c r="D1035" t="inlineStr">
        <is>
          <t>VÄSTMANLANDS LÄN</t>
        </is>
      </c>
      <c r="E1035" t="inlineStr">
        <is>
          <t>SALA</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40757-2024</t>
        </is>
      </c>
      <c r="B1036" s="1" t="n">
        <v>45558</v>
      </c>
      <c r="C1036" s="1" t="n">
        <v>45576</v>
      </c>
      <c r="D1036" t="inlineStr">
        <is>
          <t>VÄSTMANLANDS LÄN</t>
        </is>
      </c>
      <c r="E1036" t="inlineStr">
        <is>
          <t>SALA</t>
        </is>
      </c>
      <c r="F1036" t="inlineStr">
        <is>
          <t>Kommuner</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41247-2024</t>
        </is>
      </c>
      <c r="B1037" s="1" t="n">
        <v>45559</v>
      </c>
      <c r="C1037" s="1" t="n">
        <v>45576</v>
      </c>
      <c r="D1037" t="inlineStr">
        <is>
          <t>VÄSTMANLANDS LÄN</t>
        </is>
      </c>
      <c r="E1037" t="inlineStr">
        <is>
          <t>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41748-2024</t>
        </is>
      </c>
      <c r="B1038" s="1" t="n">
        <v>45561</v>
      </c>
      <c r="C1038" s="1" t="n">
        <v>45576</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42617-2024</t>
        </is>
      </c>
      <c r="B1039" s="1" t="n">
        <v>45565</v>
      </c>
      <c r="C1039" s="1" t="n">
        <v>45576</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42684-2024</t>
        </is>
      </c>
      <c r="B1040" s="1" t="n">
        <v>45565</v>
      </c>
      <c r="C1040" s="1" t="n">
        <v>45576</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43108-2024</t>
        </is>
      </c>
      <c r="B1041" s="1" t="n">
        <v>45567</v>
      </c>
      <c r="C1041" s="1" t="n">
        <v>45576</v>
      </c>
      <c r="D1041" t="inlineStr">
        <is>
          <t>VÄSTMANLANDS LÄN</t>
        </is>
      </c>
      <c r="E1041" t="inlineStr">
        <is>
          <t>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43196-2024</t>
        </is>
      </c>
      <c r="B1042" s="1" t="n">
        <v>45567</v>
      </c>
      <c r="C1042" s="1" t="n">
        <v>45576</v>
      </c>
      <c r="D1042" t="inlineStr">
        <is>
          <t>VÄSTMANLANDS LÄN</t>
        </is>
      </c>
      <c r="E1042" t="inlineStr">
        <is>
          <t>SALA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43359-2024</t>
        </is>
      </c>
      <c r="B1043" s="1" t="n">
        <v>45568</v>
      </c>
      <c r="C1043" s="1" t="n">
        <v>45576</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43600-2024</t>
        </is>
      </c>
      <c r="B1044" s="1" t="n">
        <v>45569</v>
      </c>
      <c r="C1044" s="1" t="n">
        <v>45576</v>
      </c>
      <c r="D1044" t="inlineStr">
        <is>
          <t>VÄSTMANLANDS LÄN</t>
        </is>
      </c>
      <c r="E1044" t="inlineStr">
        <is>
          <t>SALA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43596-2024</t>
        </is>
      </c>
      <c r="B1045" s="1" t="n">
        <v>45569</v>
      </c>
      <c r="C1045" s="1" t="n">
        <v>45576</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44544-2024</t>
        </is>
      </c>
      <c r="B1046" s="1" t="n">
        <v>45574</v>
      </c>
      <c r="C1046" s="1" t="n">
        <v>45576</v>
      </c>
      <c r="D1046" t="inlineStr">
        <is>
          <t>VÄSTMANLANDS LÄN</t>
        </is>
      </c>
      <c r="E1046" t="inlineStr">
        <is>
          <t>SALA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44746-2024</t>
        </is>
      </c>
      <c r="B1047" s="1" t="n">
        <v>45574</v>
      </c>
      <c r="C1047" s="1" t="n">
        <v>45576</v>
      </c>
      <c r="D1047" t="inlineStr">
        <is>
          <t>VÄSTMANLANDS LÄN</t>
        </is>
      </c>
      <c r="E1047" t="inlineStr">
        <is>
          <t>SALA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45185-2024</t>
        </is>
      </c>
      <c r="B1048" s="1" t="n">
        <v>45575</v>
      </c>
      <c r="C1048" s="1" t="n">
        <v>45576</v>
      </c>
      <c r="D1048" t="inlineStr">
        <is>
          <t>VÄSTMANLANDS LÄN</t>
        </is>
      </c>
      <c r="E1048" t="inlineStr">
        <is>
          <t>SALA</t>
        </is>
      </c>
      <c r="G1048" t="n">
        <v>4</v>
      </c>
      <c r="H1048" t="n">
        <v>0</v>
      </c>
      <c r="I1048" t="n">
        <v>0</v>
      </c>
      <c r="J1048" t="n">
        <v>0</v>
      </c>
      <c r="K1048" t="n">
        <v>0</v>
      </c>
      <c r="L1048" t="n">
        <v>0</v>
      </c>
      <c r="M1048" t="n">
        <v>0</v>
      </c>
      <c r="N1048" t="n">
        <v>0</v>
      </c>
      <c r="O1048" t="n">
        <v>0</v>
      </c>
      <c r="P1048" t="n">
        <v>0</v>
      </c>
      <c r="Q1048" t="n">
        <v>0</v>
      </c>
      <c r="R1048" s="2" t="inlineStr"/>
    </row>
    <row r="1049">
      <c r="A1049" t="inlineStr">
        <is>
          <t>A 45187-2024</t>
        </is>
      </c>
      <c r="B1049" s="1" t="n">
        <v>45575</v>
      </c>
      <c r="C1049" s="1" t="n">
        <v>45576</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2024-10-11T12:54:15Z</dcterms:created>
  <dcterms:modified xmlns:dcterms="http://purl.org/dc/terms/" xmlns:xsi="http://www.w3.org/2001/XMLSchema-instance" xsi:type="dcterms:W3CDTF">2024-10-11T12:54:16Z</dcterms:modified>
</cp:coreProperties>
</file>