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46049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46049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46049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46049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46049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46049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46049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46049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46049</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10344-2025</t>
        </is>
      </c>
      <c r="B12" s="1" t="n">
        <v>45720</v>
      </c>
      <c r="C12" s="1" t="n">
        <v>46049</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46049</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46049</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46049</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46049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46049</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46049</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46049</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46049</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46049</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46049</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46049</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3930-2026</t>
        </is>
      </c>
      <c r="B24" s="1" t="n">
        <v>46043</v>
      </c>
      <c r="C24" s="1" t="n">
        <v>46049</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4264-2024</t>
        </is>
      </c>
      <c r="B25" s="1" t="n">
        <v>45324</v>
      </c>
      <c r="C25" s="1" t="n">
        <v>46049</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46049</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52909-2022</t>
        </is>
      </c>
      <c r="B27" s="1" t="n">
        <v>44875</v>
      </c>
      <c r="C27" s="1" t="n">
        <v>46049</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46049</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11846-2024</t>
        </is>
      </c>
      <c r="B29" s="1" t="n">
        <v>45376.4047337963</v>
      </c>
      <c r="C29" s="1" t="n">
        <v>46049</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12444-2024</t>
        </is>
      </c>
      <c r="B30" s="1" t="n">
        <v>45379.46285879629</v>
      </c>
      <c r="C30" s="1" t="n">
        <v>46049</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13029-2023</t>
        </is>
      </c>
      <c r="B31" s="1" t="n">
        <v>45001</v>
      </c>
      <c r="C31" s="1" t="n">
        <v>46049</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53048-2025</t>
        </is>
      </c>
      <c r="B32" s="1" t="n">
        <v>45958.36018518519</v>
      </c>
      <c r="C32" s="1" t="n">
        <v>46049</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63584-2025</t>
        </is>
      </c>
      <c r="B33" s="1" t="n">
        <v>46013.77002314815</v>
      </c>
      <c r="C33" s="1" t="n">
        <v>46049</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59826-2025</t>
        </is>
      </c>
      <c r="B34" s="1" t="n">
        <v>45992.65416666667</v>
      </c>
      <c r="C34" s="1" t="n">
        <v>46049</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1500-2022</t>
        </is>
      </c>
      <c r="B35" s="1" t="n">
        <v>44573.54357638889</v>
      </c>
      <c r="C35" s="1" t="n">
        <v>46049</v>
      </c>
      <c r="D35" t="inlineStr">
        <is>
          <t>VÄSTMANLANDS LÄN</t>
        </is>
      </c>
      <c r="E35" t="inlineStr">
        <is>
          <t>SALA</t>
        </is>
      </c>
      <c r="G35" t="n">
        <v>5.8</v>
      </c>
      <c r="H35" t="n">
        <v>2</v>
      </c>
      <c r="I35" t="n">
        <v>0</v>
      </c>
      <c r="J35" t="n">
        <v>0</v>
      </c>
      <c r="K35" t="n">
        <v>1</v>
      </c>
      <c r="L35" t="n">
        <v>0</v>
      </c>
      <c r="M35" t="n">
        <v>0</v>
      </c>
      <c r="N35" t="n">
        <v>0</v>
      </c>
      <c r="O35" t="n">
        <v>1</v>
      </c>
      <c r="P35" t="n">
        <v>1</v>
      </c>
      <c r="Q35" t="n">
        <v>2</v>
      </c>
      <c r="R35" s="2" t="inlineStr">
        <is>
          <t>Knärot
Revlummer</t>
        </is>
      </c>
      <c r="S35">
        <f>HYPERLINK("https://klasma.github.io/Logging_1981/artfynd/A 1500-2022 artfynd.xlsx", "A 1500-2022")</f>
        <v/>
      </c>
      <c r="T35">
        <f>HYPERLINK("https://klasma.github.io/Logging_1981/kartor/A 1500-2022 karta.png", "A 1500-2022")</f>
        <v/>
      </c>
      <c r="U35">
        <f>HYPERLINK("https://klasma.github.io/Logging_1981/knärot/A 1500-2022 karta knärot.png", "A 1500-2022")</f>
        <v/>
      </c>
      <c r="V35">
        <f>HYPERLINK("https://klasma.github.io/Logging_1981/klagomål/A 1500-2022 FSC-klagomål.docx", "A 1500-2022")</f>
        <v/>
      </c>
      <c r="W35">
        <f>HYPERLINK("https://klasma.github.io/Logging_1981/klagomålsmail/A 1500-2022 FSC-klagomål mail.docx", "A 1500-2022")</f>
        <v/>
      </c>
      <c r="X35">
        <f>HYPERLINK("https://klasma.github.io/Logging_1981/tillsyn/A 1500-2022 tillsynsbegäran.docx", "A 1500-2022")</f>
        <v/>
      </c>
      <c r="Y35">
        <f>HYPERLINK("https://klasma.github.io/Logging_1981/tillsynsmail/A 1500-2022 tillsynsbegäran mail.docx", "A 1500-2022")</f>
        <v/>
      </c>
    </row>
    <row r="36" ht="15" customHeight="1">
      <c r="A36" t="inlineStr">
        <is>
          <t>A 15102-2025</t>
        </is>
      </c>
      <c r="B36" s="1" t="n">
        <v>45744.34585648148</v>
      </c>
      <c r="C36" s="1" t="n">
        <v>46049</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24872-2025</t>
        </is>
      </c>
      <c r="B37" s="1" t="n">
        <v>45799.49038194444</v>
      </c>
      <c r="C37" s="1" t="n">
        <v>46049</v>
      </c>
      <c r="D37" t="inlineStr">
        <is>
          <t>VÄSTMANLANDS LÄN</t>
        </is>
      </c>
      <c r="E37" t="inlineStr">
        <is>
          <t>SALA</t>
        </is>
      </c>
      <c r="G37" t="n">
        <v>13.9</v>
      </c>
      <c r="H37" t="n">
        <v>1</v>
      </c>
      <c r="I37" t="n">
        <v>0</v>
      </c>
      <c r="J37" t="n">
        <v>1</v>
      </c>
      <c r="K37" t="n">
        <v>1</v>
      </c>
      <c r="L37" t="n">
        <v>0</v>
      </c>
      <c r="M37" t="n">
        <v>0</v>
      </c>
      <c r="N37" t="n">
        <v>0</v>
      </c>
      <c r="O37" t="n">
        <v>2</v>
      </c>
      <c r="P37" t="n">
        <v>1</v>
      </c>
      <c r="Q37" t="n">
        <v>2</v>
      </c>
      <c r="R37" s="2" t="inlineStr">
        <is>
          <t>Knärot
Motaggsvamp</t>
        </is>
      </c>
      <c r="S37">
        <f>HYPERLINK("https://klasma.github.io/Logging_1981/artfynd/A 24872-2025 artfynd.xlsx", "A 24872-2025")</f>
        <v/>
      </c>
      <c r="T37">
        <f>HYPERLINK("https://klasma.github.io/Logging_1981/kartor/A 24872-2025 karta.png", "A 24872-2025")</f>
        <v/>
      </c>
      <c r="U37">
        <f>HYPERLINK("https://klasma.github.io/Logging_1981/knärot/A 24872-2025 karta knärot.png", "A 24872-2025")</f>
        <v/>
      </c>
      <c r="V37">
        <f>HYPERLINK("https://klasma.github.io/Logging_1981/klagomål/A 24872-2025 FSC-klagomål.docx", "A 24872-2025")</f>
        <v/>
      </c>
      <c r="W37">
        <f>HYPERLINK("https://klasma.github.io/Logging_1981/klagomålsmail/A 24872-2025 FSC-klagomål mail.docx", "A 24872-2025")</f>
        <v/>
      </c>
      <c r="X37">
        <f>HYPERLINK("https://klasma.github.io/Logging_1981/tillsyn/A 24872-2025 tillsynsbegäran.docx", "A 24872-2025")</f>
        <v/>
      </c>
      <c r="Y37">
        <f>HYPERLINK("https://klasma.github.io/Logging_1981/tillsynsmail/A 24872-2025 tillsynsbegäran mail.docx", "A 24872-2025")</f>
        <v/>
      </c>
    </row>
    <row r="38" ht="15" customHeight="1">
      <c r="A38" t="inlineStr">
        <is>
          <t>A 44970-2021</t>
        </is>
      </c>
      <c r="B38" s="1" t="n">
        <v>44438.74399305556</v>
      </c>
      <c r="C38" s="1" t="n">
        <v>46049</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46049</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46049</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56704-2022</t>
        </is>
      </c>
      <c r="B41" s="1" t="n">
        <v>44893.78075231481</v>
      </c>
      <c r="C41" s="1" t="n">
        <v>46049</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38255-2025</t>
        </is>
      </c>
      <c r="B42" s="1" t="n">
        <v>45883.38020833334</v>
      </c>
      <c r="C42" s="1" t="n">
        <v>46049</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43175-2023</t>
        </is>
      </c>
      <c r="B43" s="1" t="n">
        <v>45183</v>
      </c>
      <c r="C43" s="1" t="n">
        <v>46049</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60852-2024</t>
        </is>
      </c>
      <c r="B44" s="1" t="n">
        <v>45644</v>
      </c>
      <c r="C44" s="1" t="n">
        <v>46049</v>
      </c>
      <c r="D44" t="inlineStr">
        <is>
          <t>VÄSTMANLANDS LÄN</t>
        </is>
      </c>
      <c r="E44" t="inlineStr">
        <is>
          <t>SALA</t>
        </is>
      </c>
      <c r="G44" t="n">
        <v>7.6</v>
      </c>
      <c r="H44" t="n">
        <v>1</v>
      </c>
      <c r="I44" t="n">
        <v>0</v>
      </c>
      <c r="J44" t="n">
        <v>0</v>
      </c>
      <c r="K44" t="n">
        <v>0</v>
      </c>
      <c r="L44" t="n">
        <v>0</v>
      </c>
      <c r="M44" t="n">
        <v>0</v>
      </c>
      <c r="N44" t="n">
        <v>0</v>
      </c>
      <c r="O44" t="n">
        <v>0</v>
      </c>
      <c r="P44" t="n">
        <v>0</v>
      </c>
      <c r="Q44" t="n">
        <v>1</v>
      </c>
      <c r="R44" s="2" t="inlineStr">
        <is>
          <t>Blåsippa</t>
        </is>
      </c>
      <c r="S44">
        <f>HYPERLINK("https://klasma.github.io/Logging_1981/artfynd/A 60852-2024 artfynd.xlsx", "A 60852-2024")</f>
        <v/>
      </c>
      <c r="T44">
        <f>HYPERLINK("https://klasma.github.io/Logging_1981/kartor/A 60852-2024 karta.png", "A 60852-2024")</f>
        <v/>
      </c>
      <c r="V44">
        <f>HYPERLINK("https://klasma.github.io/Logging_1981/klagomål/A 60852-2024 FSC-klagomål.docx", "A 60852-2024")</f>
        <v/>
      </c>
      <c r="W44">
        <f>HYPERLINK("https://klasma.github.io/Logging_1981/klagomålsmail/A 60852-2024 FSC-klagomål mail.docx", "A 60852-2024")</f>
        <v/>
      </c>
      <c r="X44">
        <f>HYPERLINK("https://klasma.github.io/Logging_1981/tillsyn/A 60852-2024 tillsynsbegäran.docx", "A 60852-2024")</f>
        <v/>
      </c>
      <c r="Y44">
        <f>HYPERLINK("https://klasma.github.io/Logging_1981/tillsynsmail/A 60852-2024 tillsynsbegäran mail.docx", "A 60852-2024")</f>
        <v/>
      </c>
    </row>
    <row r="45" ht="15" customHeight="1">
      <c r="A45" t="inlineStr">
        <is>
          <t>A 41270-2024</t>
        </is>
      </c>
      <c r="B45" s="1" t="n">
        <v>45559</v>
      </c>
      <c r="C45" s="1" t="n">
        <v>46049</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32594-2025</t>
        </is>
      </c>
      <c r="B46" s="1" t="n">
        <v>45838</v>
      </c>
      <c r="C46" s="1" t="n">
        <v>46049</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22350-2024</t>
        </is>
      </c>
      <c r="B47" s="1" t="n">
        <v>45446</v>
      </c>
      <c r="C47" s="1" t="n">
        <v>46049</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43068-2024</t>
        </is>
      </c>
      <c r="B48" s="1" t="n">
        <v>45567</v>
      </c>
      <c r="C48" s="1" t="n">
        <v>46049</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7731-2023</t>
        </is>
      </c>
      <c r="B49" s="1" t="n">
        <v>44973</v>
      </c>
      <c r="C49" s="1" t="n">
        <v>46049</v>
      </c>
      <c r="D49" t="inlineStr">
        <is>
          <t>VÄSTMANLANDS LÄN</t>
        </is>
      </c>
      <c r="E49" t="inlineStr">
        <is>
          <t>SALA</t>
        </is>
      </c>
      <c r="F49" t="inlineStr">
        <is>
          <t>Bergvik skog öst AB</t>
        </is>
      </c>
      <c r="G49" t="n">
        <v>1.7</v>
      </c>
      <c r="H49" t="n">
        <v>1</v>
      </c>
      <c r="I49" t="n">
        <v>0</v>
      </c>
      <c r="J49" t="n">
        <v>1</v>
      </c>
      <c r="K49" t="n">
        <v>0</v>
      </c>
      <c r="L49" t="n">
        <v>0</v>
      </c>
      <c r="M49" t="n">
        <v>0</v>
      </c>
      <c r="N49" t="n">
        <v>0</v>
      </c>
      <c r="O49" t="n">
        <v>1</v>
      </c>
      <c r="P49" t="n">
        <v>0</v>
      </c>
      <c r="Q49" t="n">
        <v>1</v>
      </c>
      <c r="R49" s="2" t="inlineStr">
        <is>
          <t>Ävjepilört</t>
        </is>
      </c>
      <c r="S49">
        <f>HYPERLINK("https://klasma.github.io/Logging_1981/artfynd/A 7731-2023 artfynd.xlsx", "A 7731-2023")</f>
        <v/>
      </c>
      <c r="T49">
        <f>HYPERLINK("https://klasma.github.io/Logging_1981/kartor/A 7731-2023 karta.png", "A 7731-2023")</f>
        <v/>
      </c>
      <c r="V49">
        <f>HYPERLINK("https://klasma.github.io/Logging_1981/klagomål/A 7731-2023 FSC-klagomål.docx", "A 7731-2023")</f>
        <v/>
      </c>
      <c r="W49">
        <f>HYPERLINK("https://klasma.github.io/Logging_1981/klagomålsmail/A 7731-2023 FSC-klagomål mail.docx", "A 7731-2023")</f>
        <v/>
      </c>
      <c r="X49">
        <f>HYPERLINK("https://klasma.github.io/Logging_1981/tillsyn/A 7731-2023 tillsynsbegäran.docx", "A 7731-2023")</f>
        <v/>
      </c>
      <c r="Y49">
        <f>HYPERLINK("https://klasma.github.io/Logging_1981/tillsynsmail/A 7731-2023 tillsynsbegäran mail.docx", "A 7731-2023")</f>
        <v/>
      </c>
    </row>
    <row r="50" ht="15" customHeight="1">
      <c r="A50" t="inlineStr">
        <is>
          <t>A 48705-2025</t>
        </is>
      </c>
      <c r="B50" s="1" t="n">
        <v>45936.62290509259</v>
      </c>
      <c r="C50" s="1" t="n">
        <v>46049</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12509-2023</t>
        </is>
      </c>
      <c r="B51" s="1" t="n">
        <v>44999.95988425926</v>
      </c>
      <c r="C51" s="1" t="n">
        <v>46049</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50268-2025</t>
        </is>
      </c>
      <c r="B52" s="1" t="n">
        <v>45944.35162037037</v>
      </c>
      <c r="C52" s="1" t="n">
        <v>46049</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53052-2025</t>
        </is>
      </c>
      <c r="B53" s="1" t="n">
        <v>45958.36266203703</v>
      </c>
      <c r="C53" s="1" t="n">
        <v>46049</v>
      </c>
      <c r="D53" t="inlineStr">
        <is>
          <t>VÄSTMANLANDS LÄN</t>
        </is>
      </c>
      <c r="E53" t="inlineStr">
        <is>
          <t>SALA</t>
        </is>
      </c>
      <c r="F53" t="inlineStr">
        <is>
          <t>Sveaskog</t>
        </is>
      </c>
      <c r="G53" t="n">
        <v>1.1</v>
      </c>
      <c r="H53" t="n">
        <v>0</v>
      </c>
      <c r="I53" t="n">
        <v>0</v>
      </c>
      <c r="J53" t="n">
        <v>1</v>
      </c>
      <c r="K53" t="n">
        <v>0</v>
      </c>
      <c r="L53" t="n">
        <v>0</v>
      </c>
      <c r="M53" t="n">
        <v>0</v>
      </c>
      <c r="N53" t="n">
        <v>0</v>
      </c>
      <c r="O53" t="n">
        <v>1</v>
      </c>
      <c r="P53" t="n">
        <v>0</v>
      </c>
      <c r="Q53" t="n">
        <v>1</v>
      </c>
      <c r="R53" s="2" t="inlineStr">
        <is>
          <t>Motaggsvamp</t>
        </is>
      </c>
      <c r="S53">
        <f>HYPERLINK("https://klasma.github.io/Logging_1981/artfynd/A 53052-2025 artfynd.xlsx", "A 53052-2025")</f>
        <v/>
      </c>
      <c r="T53">
        <f>HYPERLINK("https://klasma.github.io/Logging_1981/kartor/A 53052-2025 karta.png", "A 53052-2025")</f>
        <v/>
      </c>
      <c r="V53">
        <f>HYPERLINK("https://klasma.github.io/Logging_1981/klagomål/A 53052-2025 FSC-klagomål.docx", "A 53052-2025")</f>
        <v/>
      </c>
      <c r="W53">
        <f>HYPERLINK("https://klasma.github.io/Logging_1981/klagomålsmail/A 53052-2025 FSC-klagomål mail.docx", "A 53052-2025")</f>
        <v/>
      </c>
      <c r="X53">
        <f>HYPERLINK("https://klasma.github.io/Logging_1981/tillsyn/A 53052-2025 tillsynsbegäran.docx", "A 53052-2025")</f>
        <v/>
      </c>
      <c r="Y53">
        <f>HYPERLINK("https://klasma.github.io/Logging_1981/tillsynsmail/A 53052-2025 tillsynsbegäran mail.docx", "A 53052-2025")</f>
        <v/>
      </c>
    </row>
    <row r="54" ht="15" customHeight="1">
      <c r="A54" t="inlineStr">
        <is>
          <t>A 14775-2023</t>
        </is>
      </c>
      <c r="B54" s="1" t="n">
        <v>45014</v>
      </c>
      <c r="C54" s="1" t="n">
        <v>46049</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19361-2025</t>
        </is>
      </c>
      <c r="B55" s="1" t="n">
        <v>45769.63357638889</v>
      </c>
      <c r="C55" s="1" t="n">
        <v>46049</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46049</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55995-2025</t>
        </is>
      </c>
      <c r="B57" s="1" t="n">
        <v>45973.56733796297</v>
      </c>
      <c r="C57" s="1" t="n">
        <v>46049</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37166-2024</t>
        </is>
      </c>
      <c r="B58" s="1" t="n">
        <v>45539</v>
      </c>
      <c r="C58" s="1" t="n">
        <v>46049</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29985-2022</t>
        </is>
      </c>
      <c r="B59" s="1" t="n">
        <v>44756</v>
      </c>
      <c r="C59" s="1" t="n">
        <v>46049</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7919-2022</t>
        </is>
      </c>
      <c r="B60" s="1" t="n">
        <v>44608</v>
      </c>
      <c r="C60" s="1" t="n">
        <v>46049</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29727-2023</t>
        </is>
      </c>
      <c r="B61" s="1" t="n">
        <v>45107</v>
      </c>
      <c r="C61" s="1" t="n">
        <v>46049</v>
      </c>
      <c r="D61" t="inlineStr">
        <is>
          <t>VÄSTMANLANDS LÄN</t>
        </is>
      </c>
      <c r="E61" t="inlineStr">
        <is>
          <t>SALA</t>
        </is>
      </c>
      <c r="G61" t="n">
        <v>1.9</v>
      </c>
      <c r="H61" t="n">
        <v>0</v>
      </c>
      <c r="I61" t="n">
        <v>0</v>
      </c>
      <c r="J61" t="n">
        <v>1</v>
      </c>
      <c r="K61" t="n">
        <v>0</v>
      </c>
      <c r="L61" t="n">
        <v>0</v>
      </c>
      <c r="M61" t="n">
        <v>0</v>
      </c>
      <c r="N61" t="n">
        <v>0</v>
      </c>
      <c r="O61" t="n">
        <v>1</v>
      </c>
      <c r="P61" t="n">
        <v>0</v>
      </c>
      <c r="Q61" t="n">
        <v>1</v>
      </c>
      <c r="R61" s="2" t="inlineStr">
        <is>
          <t>Vedtrappmossa</t>
        </is>
      </c>
      <c r="S61">
        <f>HYPERLINK("https://klasma.github.io/Logging_1981/artfynd/A 29727-2023 artfynd.xlsx", "A 29727-2023")</f>
        <v/>
      </c>
      <c r="T61">
        <f>HYPERLINK("https://klasma.github.io/Logging_1981/kartor/A 29727-2023 karta.png", "A 29727-2023")</f>
        <v/>
      </c>
      <c r="V61">
        <f>HYPERLINK("https://klasma.github.io/Logging_1981/klagomål/A 29727-2023 FSC-klagomål.docx", "A 29727-2023")</f>
        <v/>
      </c>
      <c r="W61">
        <f>HYPERLINK("https://klasma.github.io/Logging_1981/klagomålsmail/A 29727-2023 FSC-klagomål mail.docx", "A 29727-2023")</f>
        <v/>
      </c>
      <c r="X61">
        <f>HYPERLINK("https://klasma.github.io/Logging_1981/tillsyn/A 29727-2023 tillsynsbegäran.docx", "A 29727-2023")</f>
        <v/>
      </c>
      <c r="Y61">
        <f>HYPERLINK("https://klasma.github.io/Logging_1981/tillsynsmail/A 29727-2023 tillsynsbegäran mail.docx", "A 29727-2023")</f>
        <v/>
      </c>
    </row>
    <row r="62" ht="15" customHeight="1">
      <c r="A62" t="inlineStr">
        <is>
          <t>A 55550-2023</t>
        </is>
      </c>
      <c r="B62" s="1" t="n">
        <v>45232</v>
      </c>
      <c r="C62" s="1" t="n">
        <v>46049</v>
      </c>
      <c r="D62" t="inlineStr">
        <is>
          <t>VÄSTMANLANDS LÄN</t>
        </is>
      </c>
      <c r="E62" t="inlineStr">
        <is>
          <t>SALA</t>
        </is>
      </c>
      <c r="G62" t="n">
        <v>9.9</v>
      </c>
      <c r="H62" t="n">
        <v>1</v>
      </c>
      <c r="I62" t="n">
        <v>0</v>
      </c>
      <c r="J62" t="n">
        <v>0</v>
      </c>
      <c r="K62" t="n">
        <v>1</v>
      </c>
      <c r="L62" t="n">
        <v>0</v>
      </c>
      <c r="M62" t="n">
        <v>0</v>
      </c>
      <c r="N62" t="n">
        <v>0</v>
      </c>
      <c r="O62" t="n">
        <v>1</v>
      </c>
      <c r="P62" t="n">
        <v>1</v>
      </c>
      <c r="Q62" t="n">
        <v>1</v>
      </c>
      <c r="R62" s="2" t="inlineStr">
        <is>
          <t>Knärot</t>
        </is>
      </c>
      <c r="S62">
        <f>HYPERLINK("https://klasma.github.io/Logging_1981/artfynd/A 55550-2023 artfynd.xlsx", "A 55550-2023")</f>
        <v/>
      </c>
      <c r="T62">
        <f>HYPERLINK("https://klasma.github.io/Logging_1981/kartor/A 55550-2023 karta.png", "A 55550-2023")</f>
        <v/>
      </c>
      <c r="U62">
        <f>HYPERLINK("https://klasma.github.io/Logging_1981/knärot/A 55550-2023 karta knärot.png", "A 55550-2023")</f>
        <v/>
      </c>
      <c r="V62">
        <f>HYPERLINK("https://klasma.github.io/Logging_1981/klagomål/A 55550-2023 FSC-klagomål.docx", "A 55550-2023")</f>
        <v/>
      </c>
      <c r="W62">
        <f>HYPERLINK("https://klasma.github.io/Logging_1981/klagomålsmail/A 55550-2023 FSC-klagomål mail.docx", "A 55550-2023")</f>
        <v/>
      </c>
      <c r="X62">
        <f>HYPERLINK("https://klasma.github.io/Logging_1981/tillsyn/A 55550-2023 tillsynsbegäran.docx", "A 55550-2023")</f>
        <v/>
      </c>
      <c r="Y62">
        <f>HYPERLINK("https://klasma.github.io/Logging_1981/tillsynsmail/A 55550-2023 tillsynsbegäran mail.docx", "A 55550-2023")</f>
        <v/>
      </c>
    </row>
    <row r="63" ht="15" customHeight="1">
      <c r="A63" t="inlineStr">
        <is>
          <t>A 21738-2025</t>
        </is>
      </c>
      <c r="B63" s="1" t="n">
        <v>45783.59173611111</v>
      </c>
      <c r="C63" s="1" t="n">
        <v>46049</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22950-2025</t>
        </is>
      </c>
      <c r="B64" s="1" t="n">
        <v>45790.50728009259</v>
      </c>
      <c r="C64" s="1" t="n">
        <v>46049</v>
      </c>
      <c r="D64" t="inlineStr">
        <is>
          <t>VÄSTMANLANDS LÄN</t>
        </is>
      </c>
      <c r="E64" t="inlineStr">
        <is>
          <t>SALA</t>
        </is>
      </c>
      <c r="G64" t="n">
        <v>6.2</v>
      </c>
      <c r="H64" t="n">
        <v>1</v>
      </c>
      <c r="I64" t="n">
        <v>0</v>
      </c>
      <c r="J64" t="n">
        <v>1</v>
      </c>
      <c r="K64" t="n">
        <v>0</v>
      </c>
      <c r="L64" t="n">
        <v>0</v>
      </c>
      <c r="M64" t="n">
        <v>0</v>
      </c>
      <c r="N64" t="n">
        <v>0</v>
      </c>
      <c r="O64" t="n">
        <v>1</v>
      </c>
      <c r="P64" t="n">
        <v>0</v>
      </c>
      <c r="Q64" t="n">
        <v>1</v>
      </c>
      <c r="R64" s="2" t="inlineStr">
        <is>
          <t>Svartvit flugsnappare</t>
        </is>
      </c>
      <c r="S64">
        <f>HYPERLINK("https://klasma.github.io/Logging_1981/artfynd/A 22950-2025 artfynd.xlsx", "A 22950-2025")</f>
        <v/>
      </c>
      <c r="T64">
        <f>HYPERLINK("https://klasma.github.io/Logging_1981/kartor/A 22950-2025 karta.png", "A 22950-2025")</f>
        <v/>
      </c>
      <c r="V64">
        <f>HYPERLINK("https://klasma.github.io/Logging_1981/klagomål/A 22950-2025 FSC-klagomål.docx", "A 22950-2025")</f>
        <v/>
      </c>
      <c r="W64">
        <f>HYPERLINK("https://klasma.github.io/Logging_1981/klagomålsmail/A 22950-2025 FSC-klagomål mail.docx", "A 22950-2025")</f>
        <v/>
      </c>
      <c r="X64">
        <f>HYPERLINK("https://klasma.github.io/Logging_1981/tillsyn/A 22950-2025 tillsynsbegäran.docx", "A 22950-2025")</f>
        <v/>
      </c>
      <c r="Y64">
        <f>HYPERLINK("https://klasma.github.io/Logging_1981/tillsynsmail/A 22950-2025 tillsynsbegäran mail.docx", "A 22950-2025")</f>
        <v/>
      </c>
      <c r="Z64">
        <f>HYPERLINK("https://klasma.github.io/Logging_1981/fåglar/A 22950-2025 prioriterade fågelarter.docx", "A 22950-2025")</f>
        <v/>
      </c>
    </row>
    <row r="65" ht="15" customHeight="1">
      <c r="A65" t="inlineStr">
        <is>
          <t>A 66561-2021</t>
        </is>
      </c>
      <c r="B65" s="1" t="n">
        <v>44519.41648148148</v>
      </c>
      <c r="C65" s="1" t="n">
        <v>46049</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46049</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46049</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46049</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46049</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46049</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46049</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46049</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46049</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46049</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46049</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46049</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46049</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46049</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46049</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46049</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46049</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46049</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46049</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46049</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46049</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46049</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46049</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46049</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46049</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46049</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46049</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46049</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46049</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46049</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46049</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46049</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46049</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46049</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46049</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46049</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46049</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46049</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46049</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46049</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46049</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46049</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46049</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46049</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46049</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46049</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46049</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46049</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46049</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46049</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46049</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46049</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46049</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46049</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46049</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46049</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46049</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46049</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46049</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46049</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46049</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46049</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46049</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46049</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46049</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46049</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46049</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46049</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46049</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46049</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46049</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46049</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46049</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46049</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46049</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46049</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46049</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46049</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46049</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46049</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46049</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46049</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46049</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46049</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46049</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46049</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46049</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46049</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46049</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46049</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46049</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46049</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46049</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46049</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46049</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46049</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46049</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46049</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46049</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46049</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46049</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46049</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46049</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46049</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46049</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46049</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46049</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46049</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46049</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46049</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46049</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46049</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46049</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46049</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46049</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46049</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27486-2022</t>
        </is>
      </c>
      <c r="B181" s="1" t="n">
        <v>44742.60846064815</v>
      </c>
      <c r="C181" s="1" t="n">
        <v>46049</v>
      </c>
      <c r="D181" t="inlineStr">
        <is>
          <t>VÄSTMANLANDS LÄN</t>
        </is>
      </c>
      <c r="E181" t="inlineStr">
        <is>
          <t>SALA</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16651-2021</t>
        </is>
      </c>
      <c r="B182" s="1" t="n">
        <v>44294.50096064815</v>
      </c>
      <c r="C182" s="1" t="n">
        <v>46049</v>
      </c>
      <c r="D182" t="inlineStr">
        <is>
          <t>VÄSTMANLANDS LÄN</t>
        </is>
      </c>
      <c r="E182" t="inlineStr">
        <is>
          <t>SALA</t>
        </is>
      </c>
      <c r="G182" t="n">
        <v>7.7</v>
      </c>
      <c r="H182" t="n">
        <v>0</v>
      </c>
      <c r="I182" t="n">
        <v>0</v>
      </c>
      <c r="J182" t="n">
        <v>0</v>
      </c>
      <c r="K182" t="n">
        <v>0</v>
      </c>
      <c r="L182" t="n">
        <v>0</v>
      </c>
      <c r="M182" t="n">
        <v>0</v>
      </c>
      <c r="N182" t="n">
        <v>0</v>
      </c>
      <c r="O182" t="n">
        <v>0</v>
      </c>
      <c r="P182" t="n">
        <v>0</v>
      </c>
      <c r="Q182" t="n">
        <v>0</v>
      </c>
      <c r="R182" s="2" t="inlineStr"/>
    </row>
    <row r="183" ht="15" customHeight="1">
      <c r="A183" t="inlineStr">
        <is>
          <t>A 15354-2021</t>
        </is>
      </c>
      <c r="B183" s="1" t="n">
        <v>44284</v>
      </c>
      <c r="C183" s="1" t="n">
        <v>46049</v>
      </c>
      <c r="D183" t="inlineStr">
        <is>
          <t>VÄSTMANLANDS LÄN</t>
        </is>
      </c>
      <c r="E183" t="inlineStr">
        <is>
          <t>SALA</t>
        </is>
      </c>
      <c r="F183" t="inlineStr">
        <is>
          <t>Kyrkan</t>
        </is>
      </c>
      <c r="G183" t="n">
        <v>8.5</v>
      </c>
      <c r="H183" t="n">
        <v>0</v>
      </c>
      <c r="I183" t="n">
        <v>0</v>
      </c>
      <c r="J183" t="n">
        <v>0</v>
      </c>
      <c r="K183" t="n">
        <v>0</v>
      </c>
      <c r="L183" t="n">
        <v>0</v>
      </c>
      <c r="M183" t="n">
        <v>0</v>
      </c>
      <c r="N183" t="n">
        <v>0</v>
      </c>
      <c r="O183" t="n">
        <v>0</v>
      </c>
      <c r="P183" t="n">
        <v>0</v>
      </c>
      <c r="Q183" t="n">
        <v>0</v>
      </c>
      <c r="R183" s="2" t="inlineStr"/>
    </row>
    <row r="184" ht="15" customHeight="1">
      <c r="A184" t="inlineStr">
        <is>
          <t>A 27261-2024</t>
        </is>
      </c>
      <c r="B184" s="1" t="n">
        <v>45471</v>
      </c>
      <c r="C184" s="1" t="n">
        <v>46049</v>
      </c>
      <c r="D184" t="inlineStr">
        <is>
          <t>VÄSTMANLANDS LÄN</t>
        </is>
      </c>
      <c r="E184" t="inlineStr">
        <is>
          <t>SALA</t>
        </is>
      </c>
      <c r="G184" t="n">
        <v>6.1</v>
      </c>
      <c r="H184" t="n">
        <v>0</v>
      </c>
      <c r="I184" t="n">
        <v>0</v>
      </c>
      <c r="J184" t="n">
        <v>0</v>
      </c>
      <c r="K184" t="n">
        <v>0</v>
      </c>
      <c r="L184" t="n">
        <v>0</v>
      </c>
      <c r="M184" t="n">
        <v>0</v>
      </c>
      <c r="N184" t="n">
        <v>0</v>
      </c>
      <c r="O184" t="n">
        <v>0</v>
      </c>
      <c r="P184" t="n">
        <v>0</v>
      </c>
      <c r="Q184" t="n">
        <v>0</v>
      </c>
      <c r="R184" s="2" t="inlineStr"/>
    </row>
    <row r="185" ht="15" customHeight="1">
      <c r="A185" t="inlineStr">
        <is>
          <t>A 18713-2025</t>
        </is>
      </c>
      <c r="B185" s="1" t="n">
        <v>45763</v>
      </c>
      <c r="C185" s="1" t="n">
        <v>46049</v>
      </c>
      <c r="D185" t="inlineStr">
        <is>
          <t>VÄSTMANLANDS LÄN</t>
        </is>
      </c>
      <c r="E185" t="inlineStr">
        <is>
          <t>SALA</t>
        </is>
      </c>
      <c r="F185" t="inlineStr">
        <is>
          <t>Bergvik skog öst AB</t>
        </is>
      </c>
      <c r="G185" t="n">
        <v>11.6</v>
      </c>
      <c r="H185" t="n">
        <v>0</v>
      </c>
      <c r="I185" t="n">
        <v>0</v>
      </c>
      <c r="J185" t="n">
        <v>0</v>
      </c>
      <c r="K185" t="n">
        <v>0</v>
      </c>
      <c r="L185" t="n">
        <v>0</v>
      </c>
      <c r="M185" t="n">
        <v>0</v>
      </c>
      <c r="N185" t="n">
        <v>0</v>
      </c>
      <c r="O185" t="n">
        <v>0</v>
      </c>
      <c r="P185" t="n">
        <v>0</v>
      </c>
      <c r="Q185" t="n">
        <v>0</v>
      </c>
      <c r="R185" s="2" t="inlineStr"/>
    </row>
    <row r="186" ht="15" customHeight="1">
      <c r="A186" t="inlineStr">
        <is>
          <t>A 54959-2024</t>
        </is>
      </c>
      <c r="B186" s="1" t="n">
        <v>45619</v>
      </c>
      <c r="C186" s="1" t="n">
        <v>46049</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6134-2024</t>
        </is>
      </c>
      <c r="B187" s="1" t="n">
        <v>45337</v>
      </c>
      <c r="C187" s="1" t="n">
        <v>46049</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25860-2024</t>
        </is>
      </c>
      <c r="B188" s="1" t="n">
        <v>45467.46278935186</v>
      </c>
      <c r="C188" s="1" t="n">
        <v>46049</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22026-2021</t>
        </is>
      </c>
      <c r="B189" s="1" t="n">
        <v>44323</v>
      </c>
      <c r="C189" s="1" t="n">
        <v>46049</v>
      </c>
      <c r="D189" t="inlineStr">
        <is>
          <t>VÄSTMANLANDS LÄN</t>
        </is>
      </c>
      <c r="E189" t="inlineStr">
        <is>
          <t>SALA</t>
        </is>
      </c>
      <c r="G189" t="n">
        <v>2.9</v>
      </c>
      <c r="H189" t="n">
        <v>0</v>
      </c>
      <c r="I189" t="n">
        <v>0</v>
      </c>
      <c r="J189" t="n">
        <v>0</v>
      </c>
      <c r="K189" t="n">
        <v>0</v>
      </c>
      <c r="L189" t="n">
        <v>0</v>
      </c>
      <c r="M189" t="n">
        <v>0</v>
      </c>
      <c r="N189" t="n">
        <v>0</v>
      </c>
      <c r="O189" t="n">
        <v>0</v>
      </c>
      <c r="P189" t="n">
        <v>0</v>
      </c>
      <c r="Q189" t="n">
        <v>0</v>
      </c>
      <c r="R189" s="2" t="inlineStr"/>
    </row>
    <row r="190" ht="15" customHeight="1">
      <c r="A190" t="inlineStr">
        <is>
          <t>A 40597-2022</t>
        </is>
      </c>
      <c r="B190" s="1" t="n">
        <v>44823.84862268518</v>
      </c>
      <c r="C190" s="1" t="n">
        <v>46049</v>
      </c>
      <c r="D190" t="inlineStr">
        <is>
          <t>VÄSTMANLANDS LÄN</t>
        </is>
      </c>
      <c r="E190" t="inlineStr">
        <is>
          <t>SALA</t>
        </is>
      </c>
      <c r="G190" t="n">
        <v>3.5</v>
      </c>
      <c r="H190" t="n">
        <v>0</v>
      </c>
      <c r="I190" t="n">
        <v>0</v>
      </c>
      <c r="J190" t="n">
        <v>0</v>
      </c>
      <c r="K190" t="n">
        <v>0</v>
      </c>
      <c r="L190" t="n">
        <v>0</v>
      </c>
      <c r="M190" t="n">
        <v>0</v>
      </c>
      <c r="N190" t="n">
        <v>0</v>
      </c>
      <c r="O190" t="n">
        <v>0</v>
      </c>
      <c r="P190" t="n">
        <v>0</v>
      </c>
      <c r="Q190" t="n">
        <v>0</v>
      </c>
      <c r="R190" s="2" t="inlineStr"/>
    </row>
    <row r="191" ht="15" customHeight="1">
      <c r="A191" t="inlineStr">
        <is>
          <t>A 16160-2024</t>
        </is>
      </c>
      <c r="B191" s="1" t="n">
        <v>45406</v>
      </c>
      <c r="C191" s="1" t="n">
        <v>46049</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7196-2025</t>
        </is>
      </c>
      <c r="B192" s="1" t="n">
        <v>45702</v>
      </c>
      <c r="C192" s="1" t="n">
        <v>46049</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6183-2025</t>
        </is>
      </c>
      <c r="B193" s="1" t="n">
        <v>45698</v>
      </c>
      <c r="C193" s="1" t="n">
        <v>46049</v>
      </c>
      <c r="D193" t="inlineStr">
        <is>
          <t>VÄSTMANLANDS LÄN</t>
        </is>
      </c>
      <c r="E193" t="inlineStr">
        <is>
          <t>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19803-2024</t>
        </is>
      </c>
      <c r="B194" s="1" t="n">
        <v>45432</v>
      </c>
      <c r="C194" s="1" t="n">
        <v>46049</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40871-2021</t>
        </is>
      </c>
      <c r="B195" s="1" t="n">
        <v>44421</v>
      </c>
      <c r="C195" s="1" t="n">
        <v>46049</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24864-2024</t>
        </is>
      </c>
      <c r="B196" s="1" t="n">
        <v>45461.48888888889</v>
      </c>
      <c r="C196" s="1" t="n">
        <v>46049</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63933-2023</t>
        </is>
      </c>
      <c r="B197" s="1" t="n">
        <v>45278</v>
      </c>
      <c r="C197" s="1" t="n">
        <v>46049</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1118-2024</t>
        </is>
      </c>
      <c r="B198" s="1" t="n">
        <v>45302</v>
      </c>
      <c r="C198" s="1" t="n">
        <v>46049</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39439-2021</t>
        </is>
      </c>
      <c r="B199" s="1" t="n">
        <v>44414</v>
      </c>
      <c r="C199" s="1" t="n">
        <v>46049</v>
      </c>
      <c r="D199" t="inlineStr">
        <is>
          <t>VÄSTMANLANDS LÄN</t>
        </is>
      </c>
      <c r="E199" t="inlineStr">
        <is>
          <t>SALA</t>
        </is>
      </c>
      <c r="G199" t="n">
        <v>1.1</v>
      </c>
      <c r="H199" t="n">
        <v>0</v>
      </c>
      <c r="I199" t="n">
        <v>0</v>
      </c>
      <c r="J199" t="n">
        <v>0</v>
      </c>
      <c r="K199" t="n">
        <v>0</v>
      </c>
      <c r="L199" t="n">
        <v>0</v>
      </c>
      <c r="M199" t="n">
        <v>0</v>
      </c>
      <c r="N199" t="n">
        <v>0</v>
      </c>
      <c r="O199" t="n">
        <v>0</v>
      </c>
      <c r="P199" t="n">
        <v>0</v>
      </c>
      <c r="Q199" t="n">
        <v>0</v>
      </c>
      <c r="R199" s="2" t="inlineStr"/>
    </row>
    <row r="200" ht="15" customHeight="1">
      <c r="A200" t="inlineStr">
        <is>
          <t>A 37190-2024</t>
        </is>
      </c>
      <c r="B200" s="1" t="n">
        <v>45539</v>
      </c>
      <c r="C200" s="1" t="n">
        <v>46049</v>
      </c>
      <c r="D200" t="inlineStr">
        <is>
          <t>VÄSTMANLANDS LÄN</t>
        </is>
      </c>
      <c r="E200" t="inlineStr">
        <is>
          <t>SALA</t>
        </is>
      </c>
      <c r="G200" t="n">
        <v>0.9</v>
      </c>
      <c r="H200" t="n">
        <v>0</v>
      </c>
      <c r="I200" t="n">
        <v>0</v>
      </c>
      <c r="J200" t="n">
        <v>0</v>
      </c>
      <c r="K200" t="n">
        <v>0</v>
      </c>
      <c r="L200" t="n">
        <v>0</v>
      </c>
      <c r="M200" t="n">
        <v>0</v>
      </c>
      <c r="N200" t="n">
        <v>0</v>
      </c>
      <c r="O200" t="n">
        <v>0</v>
      </c>
      <c r="P200" t="n">
        <v>0</v>
      </c>
      <c r="Q200" t="n">
        <v>0</v>
      </c>
      <c r="R200" s="2" t="inlineStr"/>
    </row>
    <row r="201" ht="15" customHeight="1">
      <c r="A201" t="inlineStr">
        <is>
          <t>A 30971-2022</t>
        </is>
      </c>
      <c r="B201" s="1" t="n">
        <v>44768.46725694444</v>
      </c>
      <c r="C201" s="1" t="n">
        <v>46049</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11389-2024</t>
        </is>
      </c>
      <c r="B202" s="1" t="n">
        <v>45372.45016203704</v>
      </c>
      <c r="C202" s="1" t="n">
        <v>46049</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56706-2022</t>
        </is>
      </c>
      <c r="B203" s="1" t="n">
        <v>44893.78893518518</v>
      </c>
      <c r="C203" s="1" t="n">
        <v>46049</v>
      </c>
      <c r="D203" t="inlineStr">
        <is>
          <t>VÄSTMANLANDS LÄN</t>
        </is>
      </c>
      <c r="E203" t="inlineStr">
        <is>
          <t>SALA</t>
        </is>
      </c>
      <c r="G203" t="n">
        <v>4.5</v>
      </c>
      <c r="H203" t="n">
        <v>0</v>
      </c>
      <c r="I203" t="n">
        <v>0</v>
      </c>
      <c r="J203" t="n">
        <v>0</v>
      </c>
      <c r="K203" t="n">
        <v>0</v>
      </c>
      <c r="L203" t="n">
        <v>0</v>
      </c>
      <c r="M203" t="n">
        <v>0</v>
      </c>
      <c r="N203" t="n">
        <v>0</v>
      </c>
      <c r="O203" t="n">
        <v>0</v>
      </c>
      <c r="P203" t="n">
        <v>0</v>
      </c>
      <c r="Q203" t="n">
        <v>0</v>
      </c>
      <c r="R203" s="2" t="inlineStr"/>
    </row>
    <row r="204" ht="15" customHeight="1">
      <c r="A204" t="inlineStr">
        <is>
          <t>A 56707-2022</t>
        </is>
      </c>
      <c r="B204" s="1" t="n">
        <v>44893.79412037037</v>
      </c>
      <c r="C204" s="1" t="n">
        <v>46049</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60730-2023</t>
        </is>
      </c>
      <c r="B205" s="1" t="n">
        <v>45260</v>
      </c>
      <c r="C205" s="1" t="n">
        <v>46049</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2900-2023</t>
        </is>
      </c>
      <c r="B206" s="1" t="n">
        <v>44943</v>
      </c>
      <c r="C206" s="1" t="n">
        <v>46049</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60731-2023</t>
        </is>
      </c>
      <c r="B207" s="1" t="n">
        <v>45260</v>
      </c>
      <c r="C207" s="1" t="n">
        <v>46049</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39597-2022</t>
        </is>
      </c>
      <c r="B208" s="1" t="n">
        <v>44818</v>
      </c>
      <c r="C208" s="1" t="n">
        <v>46049</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35976-2024</t>
        </is>
      </c>
      <c r="B209" s="1" t="n">
        <v>45533.49555555556</v>
      </c>
      <c r="C209" s="1" t="n">
        <v>46049</v>
      </c>
      <c r="D209" t="inlineStr">
        <is>
          <t>VÄSTMANLANDS LÄN</t>
        </is>
      </c>
      <c r="E209" t="inlineStr">
        <is>
          <t>SALA</t>
        </is>
      </c>
      <c r="G209" t="n">
        <v>2.3</v>
      </c>
      <c r="H209" t="n">
        <v>0</v>
      </c>
      <c r="I209" t="n">
        <v>0</v>
      </c>
      <c r="J209" t="n">
        <v>0</v>
      </c>
      <c r="K209" t="n">
        <v>0</v>
      </c>
      <c r="L209" t="n">
        <v>0</v>
      </c>
      <c r="M209" t="n">
        <v>0</v>
      </c>
      <c r="N209" t="n">
        <v>0</v>
      </c>
      <c r="O209" t="n">
        <v>0</v>
      </c>
      <c r="P209" t="n">
        <v>0</v>
      </c>
      <c r="Q209" t="n">
        <v>0</v>
      </c>
      <c r="R209" s="2" t="inlineStr"/>
    </row>
    <row r="210" ht="15" customHeight="1">
      <c r="A210" t="inlineStr">
        <is>
          <t>A 71471-2021</t>
        </is>
      </c>
      <c r="B210" s="1" t="n">
        <v>44540.53421296296</v>
      </c>
      <c r="C210" s="1" t="n">
        <v>46049</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8775-2024</t>
        </is>
      </c>
      <c r="B211" s="1" t="n">
        <v>45356</v>
      </c>
      <c r="C211" s="1" t="n">
        <v>46049</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56547-2022</t>
        </is>
      </c>
      <c r="B212" s="1" t="n">
        <v>44893.48284722222</v>
      </c>
      <c r="C212" s="1" t="n">
        <v>46049</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39011-2023</t>
        </is>
      </c>
      <c r="B213" s="1" t="n">
        <v>45162</v>
      </c>
      <c r="C213" s="1" t="n">
        <v>46049</v>
      </c>
      <c r="D213" t="inlineStr">
        <is>
          <t>VÄSTMANLANDS LÄN</t>
        </is>
      </c>
      <c r="E213" t="inlineStr">
        <is>
          <t>SALA</t>
        </is>
      </c>
      <c r="G213" t="n">
        <v>1.6</v>
      </c>
      <c r="H213" t="n">
        <v>0</v>
      </c>
      <c r="I213" t="n">
        <v>0</v>
      </c>
      <c r="J213" t="n">
        <v>0</v>
      </c>
      <c r="K213" t="n">
        <v>0</v>
      </c>
      <c r="L213" t="n">
        <v>0</v>
      </c>
      <c r="M213" t="n">
        <v>0</v>
      </c>
      <c r="N213" t="n">
        <v>0</v>
      </c>
      <c r="O213" t="n">
        <v>0</v>
      </c>
      <c r="P213" t="n">
        <v>0</v>
      </c>
      <c r="Q213" t="n">
        <v>0</v>
      </c>
      <c r="R213" s="2" t="inlineStr"/>
    </row>
    <row r="214" ht="15" customHeight="1">
      <c r="A214" t="inlineStr">
        <is>
          <t>A 56916-2022</t>
        </is>
      </c>
      <c r="B214" s="1" t="n">
        <v>44888</v>
      </c>
      <c r="C214" s="1" t="n">
        <v>46049</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38574-2025</t>
        </is>
      </c>
      <c r="B215" s="1" t="n">
        <v>45884.46390046296</v>
      </c>
      <c r="C215" s="1" t="n">
        <v>46049</v>
      </c>
      <c r="D215" t="inlineStr">
        <is>
          <t>VÄSTMANLANDS LÄN</t>
        </is>
      </c>
      <c r="E215" t="inlineStr">
        <is>
          <t>SALA</t>
        </is>
      </c>
      <c r="G215" t="n">
        <v>2.1</v>
      </c>
      <c r="H215" t="n">
        <v>0</v>
      </c>
      <c r="I215" t="n">
        <v>0</v>
      </c>
      <c r="J215" t="n">
        <v>0</v>
      </c>
      <c r="K215" t="n">
        <v>0</v>
      </c>
      <c r="L215" t="n">
        <v>0</v>
      </c>
      <c r="M215" t="n">
        <v>0</v>
      </c>
      <c r="N215" t="n">
        <v>0</v>
      </c>
      <c r="O215" t="n">
        <v>0</v>
      </c>
      <c r="P215" t="n">
        <v>0</v>
      </c>
      <c r="Q215" t="n">
        <v>0</v>
      </c>
      <c r="R215" s="2" t="inlineStr"/>
    </row>
    <row r="216" ht="15" customHeight="1">
      <c r="A216" t="inlineStr">
        <is>
          <t>A 16651-2021</t>
        </is>
      </c>
      <c r="B216" s="1" t="n">
        <v>44294.50096064815</v>
      </c>
      <c r="C216" s="1" t="n">
        <v>46049</v>
      </c>
      <c r="D216" t="inlineStr">
        <is>
          <t>VÄSTMANLANDS LÄN</t>
        </is>
      </c>
      <c r="E216" t="inlineStr">
        <is>
          <t>SALA</t>
        </is>
      </c>
      <c r="G216" t="n">
        <v>7.7</v>
      </c>
      <c r="H216" t="n">
        <v>0</v>
      </c>
      <c r="I216" t="n">
        <v>0</v>
      </c>
      <c r="J216" t="n">
        <v>0</v>
      </c>
      <c r="K216" t="n">
        <v>0</v>
      </c>
      <c r="L216" t="n">
        <v>0</v>
      </c>
      <c r="M216" t="n">
        <v>0</v>
      </c>
      <c r="N216" t="n">
        <v>0</v>
      </c>
      <c r="O216" t="n">
        <v>0</v>
      </c>
      <c r="P216" t="n">
        <v>0</v>
      </c>
      <c r="Q216" t="n">
        <v>0</v>
      </c>
      <c r="R216" s="2" t="inlineStr"/>
    </row>
    <row r="217" ht="15" customHeight="1">
      <c r="A217" t="inlineStr">
        <is>
          <t>A 38294-2025</t>
        </is>
      </c>
      <c r="B217" s="1" t="n">
        <v>45883.44854166666</v>
      </c>
      <c r="C217" s="1" t="n">
        <v>46049</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45313-2024</t>
        </is>
      </c>
      <c r="B218" s="1" t="n">
        <v>45576</v>
      </c>
      <c r="C218" s="1" t="n">
        <v>46049</v>
      </c>
      <c r="D218" t="inlineStr">
        <is>
          <t>VÄSTMANLANDS LÄN</t>
        </is>
      </c>
      <c r="E218" t="inlineStr">
        <is>
          <t>SALA</t>
        </is>
      </c>
      <c r="G218" t="n">
        <v>0.7</v>
      </c>
      <c r="H218" t="n">
        <v>0</v>
      </c>
      <c r="I218" t="n">
        <v>0</v>
      </c>
      <c r="J218" t="n">
        <v>0</v>
      </c>
      <c r="K218" t="n">
        <v>0</v>
      </c>
      <c r="L218" t="n">
        <v>0</v>
      </c>
      <c r="M218" t="n">
        <v>0</v>
      </c>
      <c r="N218" t="n">
        <v>0</v>
      </c>
      <c r="O218" t="n">
        <v>0</v>
      </c>
      <c r="P218" t="n">
        <v>0</v>
      </c>
      <c r="Q218" t="n">
        <v>0</v>
      </c>
      <c r="R218" s="2" t="inlineStr"/>
    </row>
    <row r="219" ht="15" customHeight="1">
      <c r="A219" t="inlineStr">
        <is>
          <t>A 56535-2022</t>
        </is>
      </c>
      <c r="B219" s="1" t="n">
        <v>44893.47173611111</v>
      </c>
      <c r="C219" s="1" t="n">
        <v>46049</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47909-2022</t>
        </is>
      </c>
      <c r="B220" s="1" t="n">
        <v>44855</v>
      </c>
      <c r="C220" s="1" t="n">
        <v>46049</v>
      </c>
      <c r="D220" t="inlineStr">
        <is>
          <t>VÄSTMANLANDS LÄN</t>
        </is>
      </c>
      <c r="E220" t="inlineStr">
        <is>
          <t>SALA</t>
        </is>
      </c>
      <c r="F220" t="inlineStr">
        <is>
          <t>Bergvik skog öst AB</t>
        </is>
      </c>
      <c r="G220" t="n">
        <v>2</v>
      </c>
      <c r="H220" t="n">
        <v>0</v>
      </c>
      <c r="I220" t="n">
        <v>0</v>
      </c>
      <c r="J220" t="n">
        <v>0</v>
      </c>
      <c r="K220" t="n">
        <v>0</v>
      </c>
      <c r="L220" t="n">
        <v>0</v>
      </c>
      <c r="M220" t="n">
        <v>0</v>
      </c>
      <c r="N220" t="n">
        <v>0</v>
      </c>
      <c r="O220" t="n">
        <v>0</v>
      </c>
      <c r="P220" t="n">
        <v>0</v>
      </c>
      <c r="Q220" t="n">
        <v>0</v>
      </c>
      <c r="R220" s="2" t="inlineStr"/>
    </row>
    <row r="221" ht="15" customHeight="1">
      <c r="A221" t="inlineStr">
        <is>
          <t>A 52630-2022</t>
        </is>
      </c>
      <c r="B221" s="1" t="n">
        <v>44874</v>
      </c>
      <c r="C221" s="1" t="n">
        <v>46049</v>
      </c>
      <c r="D221" t="inlineStr">
        <is>
          <t>VÄSTMANLANDS LÄN</t>
        </is>
      </c>
      <c r="E221" t="inlineStr">
        <is>
          <t>SALA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56687-2024</t>
        </is>
      </c>
      <c r="B222" s="1" t="n">
        <v>45627.63271990741</v>
      </c>
      <c r="C222" s="1" t="n">
        <v>46049</v>
      </c>
      <c r="D222" t="inlineStr">
        <is>
          <t>VÄSTMANLANDS LÄN</t>
        </is>
      </c>
      <c r="E222" t="inlineStr">
        <is>
          <t>SALA</t>
        </is>
      </c>
      <c r="G222" t="n">
        <v>1.2</v>
      </c>
      <c r="H222" t="n">
        <v>0</v>
      </c>
      <c r="I222" t="n">
        <v>0</v>
      </c>
      <c r="J222" t="n">
        <v>0</v>
      </c>
      <c r="K222" t="n">
        <v>0</v>
      </c>
      <c r="L222" t="n">
        <v>0</v>
      </c>
      <c r="M222" t="n">
        <v>0</v>
      </c>
      <c r="N222" t="n">
        <v>0</v>
      </c>
      <c r="O222" t="n">
        <v>0</v>
      </c>
      <c r="P222" t="n">
        <v>0</v>
      </c>
      <c r="Q222" t="n">
        <v>0</v>
      </c>
      <c r="R222" s="2" t="inlineStr"/>
    </row>
    <row r="223" ht="15" customHeight="1">
      <c r="A223" t="inlineStr">
        <is>
          <t>A 61715-2024</t>
        </is>
      </c>
      <c r="B223" s="1" t="n">
        <v>45648.89519675926</v>
      </c>
      <c r="C223" s="1" t="n">
        <v>46049</v>
      </c>
      <c r="D223" t="inlineStr">
        <is>
          <t>VÄSTMANLANDS LÄN</t>
        </is>
      </c>
      <c r="E223" t="inlineStr">
        <is>
          <t>SALA</t>
        </is>
      </c>
      <c r="G223" t="n">
        <v>2.5</v>
      </c>
      <c r="H223" t="n">
        <v>0</v>
      </c>
      <c r="I223" t="n">
        <v>0</v>
      </c>
      <c r="J223" t="n">
        <v>0</v>
      </c>
      <c r="K223" t="n">
        <v>0</v>
      </c>
      <c r="L223" t="n">
        <v>0</v>
      </c>
      <c r="M223" t="n">
        <v>0</v>
      </c>
      <c r="N223" t="n">
        <v>0</v>
      </c>
      <c r="O223" t="n">
        <v>0</v>
      </c>
      <c r="P223" t="n">
        <v>0</v>
      </c>
      <c r="Q223" t="n">
        <v>0</v>
      </c>
      <c r="R223" s="2" t="inlineStr"/>
    </row>
    <row r="224" ht="15" customHeight="1">
      <c r="A224" t="inlineStr">
        <is>
          <t>A 26661-2025</t>
        </is>
      </c>
      <c r="B224" s="1" t="n">
        <v>45810</v>
      </c>
      <c r="C224" s="1" t="n">
        <v>46049</v>
      </c>
      <c r="D224" t="inlineStr">
        <is>
          <t>VÄSTMANLANDS LÄN</t>
        </is>
      </c>
      <c r="E224" t="inlineStr">
        <is>
          <t>SALA</t>
        </is>
      </c>
      <c r="G224" t="n">
        <v>3.5</v>
      </c>
      <c r="H224" t="n">
        <v>0</v>
      </c>
      <c r="I224" t="n">
        <v>0</v>
      </c>
      <c r="J224" t="n">
        <v>0</v>
      </c>
      <c r="K224" t="n">
        <v>0</v>
      </c>
      <c r="L224" t="n">
        <v>0</v>
      </c>
      <c r="M224" t="n">
        <v>0</v>
      </c>
      <c r="N224" t="n">
        <v>0</v>
      </c>
      <c r="O224" t="n">
        <v>0</v>
      </c>
      <c r="P224" t="n">
        <v>0</v>
      </c>
      <c r="Q224" t="n">
        <v>0</v>
      </c>
      <c r="R224" s="2" t="inlineStr"/>
    </row>
    <row r="225" ht="15" customHeight="1">
      <c r="A225" t="inlineStr">
        <is>
          <t>A 16404-2022</t>
        </is>
      </c>
      <c r="B225" s="1" t="n">
        <v>44671</v>
      </c>
      <c r="C225" s="1" t="n">
        <v>46049</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6097-2022</t>
        </is>
      </c>
      <c r="B226" s="1" t="n">
        <v>44599</v>
      </c>
      <c r="C226" s="1" t="n">
        <v>46049</v>
      </c>
      <c r="D226" t="inlineStr">
        <is>
          <t>VÄSTMANLANDS LÄN</t>
        </is>
      </c>
      <c r="E226" t="inlineStr">
        <is>
          <t>SALA</t>
        </is>
      </c>
      <c r="G226" t="n">
        <v>0.6</v>
      </c>
      <c r="H226" t="n">
        <v>0</v>
      </c>
      <c r="I226" t="n">
        <v>0</v>
      </c>
      <c r="J226" t="n">
        <v>0</v>
      </c>
      <c r="K226" t="n">
        <v>0</v>
      </c>
      <c r="L226" t="n">
        <v>0</v>
      </c>
      <c r="M226" t="n">
        <v>0</v>
      </c>
      <c r="N226" t="n">
        <v>0</v>
      </c>
      <c r="O226" t="n">
        <v>0</v>
      </c>
      <c r="P226" t="n">
        <v>0</v>
      </c>
      <c r="Q226" t="n">
        <v>0</v>
      </c>
      <c r="R226" s="2" t="inlineStr"/>
    </row>
    <row r="227" ht="15" customHeight="1">
      <c r="A227" t="inlineStr">
        <is>
          <t>A 10559-2024</t>
        </is>
      </c>
      <c r="B227" s="1" t="n">
        <v>45366</v>
      </c>
      <c r="C227" s="1" t="n">
        <v>46049</v>
      </c>
      <c r="D227" t="inlineStr">
        <is>
          <t>VÄSTMANLANDS LÄN</t>
        </is>
      </c>
      <c r="E227" t="inlineStr">
        <is>
          <t>SALA</t>
        </is>
      </c>
      <c r="G227" t="n">
        <v>0.3</v>
      </c>
      <c r="H227" t="n">
        <v>0</v>
      </c>
      <c r="I227" t="n">
        <v>0</v>
      </c>
      <c r="J227" t="n">
        <v>0</v>
      </c>
      <c r="K227" t="n">
        <v>0</v>
      </c>
      <c r="L227" t="n">
        <v>0</v>
      </c>
      <c r="M227" t="n">
        <v>0</v>
      </c>
      <c r="N227" t="n">
        <v>0</v>
      </c>
      <c r="O227" t="n">
        <v>0</v>
      </c>
      <c r="P227" t="n">
        <v>0</v>
      </c>
      <c r="Q227" t="n">
        <v>0</v>
      </c>
      <c r="R227" s="2" t="inlineStr"/>
    </row>
    <row r="228" ht="15" customHeight="1">
      <c r="A228" t="inlineStr">
        <is>
          <t>A 39182-2025</t>
        </is>
      </c>
      <c r="B228" s="1" t="n">
        <v>45888.66204861111</v>
      </c>
      <c r="C228" s="1" t="n">
        <v>46049</v>
      </c>
      <c r="D228" t="inlineStr">
        <is>
          <t>VÄSTMANLANDS LÄN</t>
        </is>
      </c>
      <c r="E228" t="inlineStr">
        <is>
          <t>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60545-2024</t>
        </is>
      </c>
      <c r="B229" s="1" t="n">
        <v>45643</v>
      </c>
      <c r="C229" s="1" t="n">
        <v>46049</v>
      </c>
      <c r="D229" t="inlineStr">
        <is>
          <t>VÄSTMANLANDS LÄN</t>
        </is>
      </c>
      <c r="E229" t="inlineStr">
        <is>
          <t>SALA</t>
        </is>
      </c>
      <c r="G229" t="n">
        <v>3.3</v>
      </c>
      <c r="H229" t="n">
        <v>0</v>
      </c>
      <c r="I229" t="n">
        <v>0</v>
      </c>
      <c r="J229" t="n">
        <v>0</v>
      </c>
      <c r="K229" t="n">
        <v>0</v>
      </c>
      <c r="L229" t="n">
        <v>0</v>
      </c>
      <c r="M229" t="n">
        <v>0</v>
      </c>
      <c r="N229" t="n">
        <v>0</v>
      </c>
      <c r="O229" t="n">
        <v>0</v>
      </c>
      <c r="P229" t="n">
        <v>0</v>
      </c>
      <c r="Q229" t="n">
        <v>0</v>
      </c>
      <c r="R229" s="2" t="inlineStr"/>
    </row>
    <row r="230" ht="15" customHeight="1">
      <c r="A230" t="inlineStr">
        <is>
          <t>A 60547-2024</t>
        </is>
      </c>
      <c r="B230" s="1" t="n">
        <v>45643</v>
      </c>
      <c r="C230" s="1" t="n">
        <v>46049</v>
      </c>
      <c r="D230" t="inlineStr">
        <is>
          <t>VÄSTMANLANDS LÄN</t>
        </is>
      </c>
      <c r="E230" t="inlineStr">
        <is>
          <t>SALA</t>
        </is>
      </c>
      <c r="G230" t="n">
        <v>0.6</v>
      </c>
      <c r="H230" t="n">
        <v>0</v>
      </c>
      <c r="I230" t="n">
        <v>0</v>
      </c>
      <c r="J230" t="n">
        <v>0</v>
      </c>
      <c r="K230" t="n">
        <v>0</v>
      </c>
      <c r="L230" t="n">
        <v>0</v>
      </c>
      <c r="M230" t="n">
        <v>0</v>
      </c>
      <c r="N230" t="n">
        <v>0</v>
      </c>
      <c r="O230" t="n">
        <v>0</v>
      </c>
      <c r="P230" t="n">
        <v>0</v>
      </c>
      <c r="Q230" t="n">
        <v>0</v>
      </c>
      <c r="R230" s="2" t="inlineStr"/>
    </row>
    <row r="231" ht="15" customHeight="1">
      <c r="A231" t="inlineStr">
        <is>
          <t>A 46279-2021</t>
        </is>
      </c>
      <c r="B231" s="1" t="n">
        <v>44442.57797453704</v>
      </c>
      <c r="C231" s="1" t="n">
        <v>46049</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15965-2024</t>
        </is>
      </c>
      <c r="B232" s="1" t="n">
        <v>45405.55740740741</v>
      </c>
      <c r="C232" s="1" t="n">
        <v>46049</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1196-2023</t>
        </is>
      </c>
      <c r="B233" s="1" t="n">
        <v>44935.82290509259</v>
      </c>
      <c r="C233" s="1" t="n">
        <v>46049</v>
      </c>
      <c r="D233" t="inlineStr">
        <is>
          <t>VÄSTMANLANDS LÄN</t>
        </is>
      </c>
      <c r="E233" t="inlineStr">
        <is>
          <t>SALA</t>
        </is>
      </c>
      <c r="G233" t="n">
        <v>4.1</v>
      </c>
      <c r="H233" t="n">
        <v>0</v>
      </c>
      <c r="I233" t="n">
        <v>0</v>
      </c>
      <c r="J233" t="n">
        <v>0</v>
      </c>
      <c r="K233" t="n">
        <v>0</v>
      </c>
      <c r="L233" t="n">
        <v>0</v>
      </c>
      <c r="M233" t="n">
        <v>0</v>
      </c>
      <c r="N233" t="n">
        <v>0</v>
      </c>
      <c r="O233" t="n">
        <v>0</v>
      </c>
      <c r="P233" t="n">
        <v>0</v>
      </c>
      <c r="Q233" t="n">
        <v>0</v>
      </c>
      <c r="R233" s="2" t="inlineStr"/>
    </row>
    <row r="234" ht="15" customHeight="1">
      <c r="A234" t="inlineStr">
        <is>
          <t>A 31864-2025</t>
        </is>
      </c>
      <c r="B234" s="1" t="n">
        <v>45834.63819444444</v>
      </c>
      <c r="C234" s="1" t="n">
        <v>46049</v>
      </c>
      <c r="D234" t="inlineStr">
        <is>
          <t>VÄSTMANLANDS LÄN</t>
        </is>
      </c>
      <c r="E234" t="inlineStr">
        <is>
          <t>SALA</t>
        </is>
      </c>
      <c r="G234" t="n">
        <v>6.3</v>
      </c>
      <c r="H234" t="n">
        <v>0</v>
      </c>
      <c r="I234" t="n">
        <v>0</v>
      </c>
      <c r="J234" t="n">
        <v>0</v>
      </c>
      <c r="K234" t="n">
        <v>0</v>
      </c>
      <c r="L234" t="n">
        <v>0</v>
      </c>
      <c r="M234" t="n">
        <v>0</v>
      </c>
      <c r="N234" t="n">
        <v>0</v>
      </c>
      <c r="O234" t="n">
        <v>0</v>
      </c>
      <c r="P234" t="n">
        <v>0</v>
      </c>
      <c r="Q234" t="n">
        <v>0</v>
      </c>
      <c r="R234" s="2" t="inlineStr"/>
    </row>
    <row r="235" ht="15" customHeight="1">
      <c r="A235" t="inlineStr">
        <is>
          <t>A 28193-2025</t>
        </is>
      </c>
      <c r="B235" s="1" t="n">
        <v>45818.425625</v>
      </c>
      <c r="C235" s="1" t="n">
        <v>46049</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27981-2025</t>
        </is>
      </c>
      <c r="B236" s="1" t="n">
        <v>45817.57471064815</v>
      </c>
      <c r="C236" s="1" t="n">
        <v>46049</v>
      </c>
      <c r="D236" t="inlineStr">
        <is>
          <t>VÄSTMANLANDS LÄN</t>
        </is>
      </c>
      <c r="E236" t="inlineStr">
        <is>
          <t>SALA</t>
        </is>
      </c>
      <c r="G236" t="n">
        <v>1.7</v>
      </c>
      <c r="H236" t="n">
        <v>0</v>
      </c>
      <c r="I236" t="n">
        <v>0</v>
      </c>
      <c r="J236" t="n">
        <v>0</v>
      </c>
      <c r="K236" t="n">
        <v>0</v>
      </c>
      <c r="L236" t="n">
        <v>0</v>
      </c>
      <c r="M236" t="n">
        <v>0</v>
      </c>
      <c r="N236" t="n">
        <v>0</v>
      </c>
      <c r="O236" t="n">
        <v>0</v>
      </c>
      <c r="P236" t="n">
        <v>0</v>
      </c>
      <c r="Q236" t="n">
        <v>0</v>
      </c>
      <c r="R236" s="2" t="inlineStr"/>
    </row>
    <row r="237" ht="15" customHeight="1">
      <c r="A237" t="inlineStr">
        <is>
          <t>A 39167-2025</t>
        </is>
      </c>
      <c r="B237" s="1" t="n">
        <v>45888</v>
      </c>
      <c r="C237" s="1" t="n">
        <v>46049</v>
      </c>
      <c r="D237" t="inlineStr">
        <is>
          <t>VÄSTMANLANDS LÄN</t>
        </is>
      </c>
      <c r="E237" t="inlineStr">
        <is>
          <t>SALA</t>
        </is>
      </c>
      <c r="G237" t="n">
        <v>5.5</v>
      </c>
      <c r="H237" t="n">
        <v>0</v>
      </c>
      <c r="I237" t="n">
        <v>0</v>
      </c>
      <c r="J237" t="n">
        <v>0</v>
      </c>
      <c r="K237" t="n">
        <v>0</v>
      </c>
      <c r="L237" t="n">
        <v>0</v>
      </c>
      <c r="M237" t="n">
        <v>0</v>
      </c>
      <c r="N237" t="n">
        <v>0</v>
      </c>
      <c r="O237" t="n">
        <v>0</v>
      </c>
      <c r="P237" t="n">
        <v>0</v>
      </c>
      <c r="Q237" t="n">
        <v>0</v>
      </c>
      <c r="R237" s="2" t="inlineStr"/>
    </row>
    <row r="238" ht="15" customHeight="1">
      <c r="A238" t="inlineStr">
        <is>
          <t>A 28278-2025</t>
        </is>
      </c>
      <c r="B238" s="1" t="n">
        <v>45818.58454861111</v>
      </c>
      <c r="C238" s="1" t="n">
        <v>46049</v>
      </c>
      <c r="D238" t="inlineStr">
        <is>
          <t>VÄSTMANLANDS LÄN</t>
        </is>
      </c>
      <c r="E238" t="inlineStr">
        <is>
          <t>SALA</t>
        </is>
      </c>
      <c r="G238" t="n">
        <v>7.6</v>
      </c>
      <c r="H238" t="n">
        <v>0</v>
      </c>
      <c r="I238" t="n">
        <v>0</v>
      </c>
      <c r="J238" t="n">
        <v>0</v>
      </c>
      <c r="K238" t="n">
        <v>0</v>
      </c>
      <c r="L238" t="n">
        <v>0</v>
      </c>
      <c r="M238" t="n">
        <v>0</v>
      </c>
      <c r="N238" t="n">
        <v>0</v>
      </c>
      <c r="O238" t="n">
        <v>0</v>
      </c>
      <c r="P238" t="n">
        <v>0</v>
      </c>
      <c r="Q238" t="n">
        <v>0</v>
      </c>
      <c r="R238" s="2" t="inlineStr"/>
    </row>
    <row r="239" ht="15" customHeight="1">
      <c r="A239" t="inlineStr">
        <is>
          <t>A 62651-2022</t>
        </is>
      </c>
      <c r="B239" s="1" t="n">
        <v>44917</v>
      </c>
      <c r="C239" s="1" t="n">
        <v>46049</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54836-2024</t>
        </is>
      </c>
      <c r="B240" s="1" t="n">
        <v>45618</v>
      </c>
      <c r="C240" s="1" t="n">
        <v>46049</v>
      </c>
      <c r="D240" t="inlineStr">
        <is>
          <t>VÄSTMANLANDS LÄN</t>
        </is>
      </c>
      <c r="E240" t="inlineStr">
        <is>
          <t>SALA</t>
        </is>
      </c>
      <c r="G240" t="n">
        <v>0.6</v>
      </c>
      <c r="H240" t="n">
        <v>0</v>
      </c>
      <c r="I240" t="n">
        <v>0</v>
      </c>
      <c r="J240" t="n">
        <v>0</v>
      </c>
      <c r="K240" t="n">
        <v>0</v>
      </c>
      <c r="L240" t="n">
        <v>0</v>
      </c>
      <c r="M240" t="n">
        <v>0</v>
      </c>
      <c r="N240" t="n">
        <v>0</v>
      </c>
      <c r="O240" t="n">
        <v>0</v>
      </c>
      <c r="P240" t="n">
        <v>0</v>
      </c>
      <c r="Q240" t="n">
        <v>0</v>
      </c>
      <c r="R240" s="2" t="inlineStr"/>
    </row>
    <row r="241" ht="15" customHeight="1">
      <c r="A241" t="inlineStr">
        <is>
          <t>A 13987-2023</t>
        </is>
      </c>
      <c r="B241" s="1" t="n">
        <v>45007</v>
      </c>
      <c r="C241" s="1" t="n">
        <v>46049</v>
      </c>
      <c r="D241" t="inlineStr">
        <is>
          <t>VÄSTMANLANDS LÄN</t>
        </is>
      </c>
      <c r="E241" t="inlineStr">
        <is>
          <t>SALA</t>
        </is>
      </c>
      <c r="G241" t="n">
        <v>3.2</v>
      </c>
      <c r="H241" t="n">
        <v>0</v>
      </c>
      <c r="I241" t="n">
        <v>0</v>
      </c>
      <c r="J241" t="n">
        <v>0</v>
      </c>
      <c r="K241" t="n">
        <v>0</v>
      </c>
      <c r="L241" t="n">
        <v>0</v>
      </c>
      <c r="M241" t="n">
        <v>0</v>
      </c>
      <c r="N241" t="n">
        <v>0</v>
      </c>
      <c r="O241" t="n">
        <v>0</v>
      </c>
      <c r="P241" t="n">
        <v>0</v>
      </c>
      <c r="Q241" t="n">
        <v>0</v>
      </c>
      <c r="R241" s="2" t="inlineStr"/>
    </row>
    <row r="242" ht="15" customHeight="1">
      <c r="A242" t="inlineStr">
        <is>
          <t>A 13990-2023</t>
        </is>
      </c>
      <c r="B242" s="1" t="n">
        <v>45007</v>
      </c>
      <c r="C242" s="1" t="n">
        <v>46049</v>
      </c>
      <c r="D242" t="inlineStr">
        <is>
          <t>VÄSTMANLANDS LÄN</t>
        </is>
      </c>
      <c r="E242" t="inlineStr">
        <is>
          <t>SALA</t>
        </is>
      </c>
      <c r="G242" t="n">
        <v>2.6</v>
      </c>
      <c r="H242" t="n">
        <v>0</v>
      </c>
      <c r="I242" t="n">
        <v>0</v>
      </c>
      <c r="J242" t="n">
        <v>0</v>
      </c>
      <c r="K242" t="n">
        <v>0</v>
      </c>
      <c r="L242" t="n">
        <v>0</v>
      </c>
      <c r="M242" t="n">
        <v>0</v>
      </c>
      <c r="N242" t="n">
        <v>0</v>
      </c>
      <c r="O242" t="n">
        <v>0</v>
      </c>
      <c r="P242" t="n">
        <v>0</v>
      </c>
      <c r="Q242" t="n">
        <v>0</v>
      </c>
      <c r="R242" s="2" t="inlineStr"/>
    </row>
    <row r="243" ht="15" customHeight="1">
      <c r="A243" t="inlineStr">
        <is>
          <t>A 27989-2025</t>
        </is>
      </c>
      <c r="B243" s="1" t="n">
        <v>45817.58716435185</v>
      </c>
      <c r="C243" s="1" t="n">
        <v>46049</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28284-2025</t>
        </is>
      </c>
      <c r="B244" s="1" t="n">
        <v>45818.58893518519</v>
      </c>
      <c r="C244" s="1" t="n">
        <v>46049</v>
      </c>
      <c r="D244" t="inlineStr">
        <is>
          <t>VÄSTMANLANDS LÄN</t>
        </is>
      </c>
      <c r="E244" t="inlineStr">
        <is>
          <t>SALA</t>
        </is>
      </c>
      <c r="G244" t="n">
        <v>2.4</v>
      </c>
      <c r="H244" t="n">
        <v>0</v>
      </c>
      <c r="I244" t="n">
        <v>0</v>
      </c>
      <c r="J244" t="n">
        <v>0</v>
      </c>
      <c r="K244" t="n">
        <v>0</v>
      </c>
      <c r="L244" t="n">
        <v>0</v>
      </c>
      <c r="M244" t="n">
        <v>0</v>
      </c>
      <c r="N244" t="n">
        <v>0</v>
      </c>
      <c r="O244" t="n">
        <v>0</v>
      </c>
      <c r="P244" t="n">
        <v>0</v>
      </c>
      <c r="Q244" t="n">
        <v>0</v>
      </c>
      <c r="R244" s="2" t="inlineStr"/>
    </row>
    <row r="245" ht="15" customHeight="1">
      <c r="A245" t="inlineStr">
        <is>
          <t>A 51464-2024</t>
        </is>
      </c>
      <c r="B245" s="1" t="n">
        <v>45604.49768518518</v>
      </c>
      <c r="C245" s="1" t="n">
        <v>46049</v>
      </c>
      <c r="D245" t="inlineStr">
        <is>
          <t>VÄSTMANLANDS LÄN</t>
        </is>
      </c>
      <c r="E245" t="inlineStr">
        <is>
          <t>SALA</t>
        </is>
      </c>
      <c r="G245" t="n">
        <v>3.9</v>
      </c>
      <c r="H245" t="n">
        <v>0</v>
      </c>
      <c r="I245" t="n">
        <v>0</v>
      </c>
      <c r="J245" t="n">
        <v>0</v>
      </c>
      <c r="K245" t="n">
        <v>0</v>
      </c>
      <c r="L245" t="n">
        <v>0</v>
      </c>
      <c r="M245" t="n">
        <v>0</v>
      </c>
      <c r="N245" t="n">
        <v>0</v>
      </c>
      <c r="O245" t="n">
        <v>0</v>
      </c>
      <c r="P245" t="n">
        <v>0</v>
      </c>
      <c r="Q245" t="n">
        <v>0</v>
      </c>
      <c r="R245" s="2" t="inlineStr"/>
    </row>
    <row r="246" ht="15" customHeight="1">
      <c r="A246" t="inlineStr">
        <is>
          <t>A 52498-2022</t>
        </is>
      </c>
      <c r="B246" s="1" t="n">
        <v>44874.50152777778</v>
      </c>
      <c r="C246" s="1" t="n">
        <v>46049</v>
      </c>
      <c r="D246" t="inlineStr">
        <is>
          <t>VÄSTMANLANDS LÄN</t>
        </is>
      </c>
      <c r="E246" t="inlineStr">
        <is>
          <t>SALA</t>
        </is>
      </c>
      <c r="G246" t="n">
        <v>2.1</v>
      </c>
      <c r="H246" t="n">
        <v>0</v>
      </c>
      <c r="I246" t="n">
        <v>0</v>
      </c>
      <c r="J246" t="n">
        <v>0</v>
      </c>
      <c r="K246" t="n">
        <v>0</v>
      </c>
      <c r="L246" t="n">
        <v>0</v>
      </c>
      <c r="M246" t="n">
        <v>0</v>
      </c>
      <c r="N246" t="n">
        <v>0</v>
      </c>
      <c r="O246" t="n">
        <v>0</v>
      </c>
      <c r="P246" t="n">
        <v>0</v>
      </c>
      <c r="Q246" t="n">
        <v>0</v>
      </c>
      <c r="R246" s="2" t="inlineStr"/>
    </row>
    <row r="247" ht="15" customHeight="1">
      <c r="A247" t="inlineStr">
        <is>
          <t>A 1128-2025</t>
        </is>
      </c>
      <c r="B247" s="1" t="n">
        <v>45666.68469907407</v>
      </c>
      <c r="C247" s="1" t="n">
        <v>46049</v>
      </c>
      <c r="D247" t="inlineStr">
        <is>
          <t>VÄSTMANLANDS LÄN</t>
        </is>
      </c>
      <c r="E247" t="inlineStr">
        <is>
          <t>SALA</t>
        </is>
      </c>
      <c r="G247" t="n">
        <v>2.5</v>
      </c>
      <c r="H247" t="n">
        <v>0</v>
      </c>
      <c r="I247" t="n">
        <v>0</v>
      </c>
      <c r="J247" t="n">
        <v>0</v>
      </c>
      <c r="K247" t="n">
        <v>0</v>
      </c>
      <c r="L247" t="n">
        <v>0</v>
      </c>
      <c r="M247" t="n">
        <v>0</v>
      </c>
      <c r="N247" t="n">
        <v>0</v>
      </c>
      <c r="O247" t="n">
        <v>0</v>
      </c>
      <c r="P247" t="n">
        <v>0</v>
      </c>
      <c r="Q247" t="n">
        <v>0</v>
      </c>
      <c r="R247" s="2" t="inlineStr"/>
    </row>
    <row r="248" ht="15" customHeight="1">
      <c r="A248" t="inlineStr">
        <is>
          <t>A 43176-2023</t>
        </is>
      </c>
      <c r="B248" s="1" t="n">
        <v>45183</v>
      </c>
      <c r="C248" s="1" t="n">
        <v>46049</v>
      </c>
      <c r="D248" t="inlineStr">
        <is>
          <t>VÄSTMANLANDS LÄN</t>
        </is>
      </c>
      <c r="E248" t="inlineStr">
        <is>
          <t>SALA</t>
        </is>
      </c>
      <c r="G248" t="n">
        <v>1.2</v>
      </c>
      <c r="H248" t="n">
        <v>0</v>
      </c>
      <c r="I248" t="n">
        <v>0</v>
      </c>
      <c r="J248" t="n">
        <v>0</v>
      </c>
      <c r="K248" t="n">
        <v>0</v>
      </c>
      <c r="L248" t="n">
        <v>0</v>
      </c>
      <c r="M248" t="n">
        <v>0</v>
      </c>
      <c r="N248" t="n">
        <v>0</v>
      </c>
      <c r="O248" t="n">
        <v>0</v>
      </c>
      <c r="P248" t="n">
        <v>0</v>
      </c>
      <c r="Q248" t="n">
        <v>0</v>
      </c>
      <c r="R248" s="2" t="inlineStr"/>
    </row>
    <row r="249" ht="15" customHeight="1">
      <c r="A249" t="inlineStr">
        <is>
          <t>A 73835-2021</t>
        </is>
      </c>
      <c r="B249" s="1" t="n">
        <v>44552.92112268518</v>
      </c>
      <c r="C249" s="1" t="n">
        <v>46049</v>
      </c>
      <c r="D249" t="inlineStr">
        <is>
          <t>VÄSTMANLANDS LÄN</t>
        </is>
      </c>
      <c r="E249" t="inlineStr">
        <is>
          <t>SALA</t>
        </is>
      </c>
      <c r="G249" t="n">
        <v>2</v>
      </c>
      <c r="H249" t="n">
        <v>0</v>
      </c>
      <c r="I249" t="n">
        <v>0</v>
      </c>
      <c r="J249" t="n">
        <v>0</v>
      </c>
      <c r="K249" t="n">
        <v>0</v>
      </c>
      <c r="L249" t="n">
        <v>0</v>
      </c>
      <c r="M249" t="n">
        <v>0</v>
      </c>
      <c r="N249" t="n">
        <v>0</v>
      </c>
      <c r="O249" t="n">
        <v>0</v>
      </c>
      <c r="P249" t="n">
        <v>0</v>
      </c>
      <c r="Q249" t="n">
        <v>0</v>
      </c>
      <c r="R249" s="2" t="inlineStr"/>
    </row>
    <row r="250" ht="15" customHeight="1">
      <c r="A250" t="inlineStr">
        <is>
          <t>A 60379-2022</t>
        </is>
      </c>
      <c r="B250" s="1" t="n">
        <v>44910</v>
      </c>
      <c r="C250" s="1" t="n">
        <v>46049</v>
      </c>
      <c r="D250" t="inlineStr">
        <is>
          <t>VÄSTMANLANDS LÄN</t>
        </is>
      </c>
      <c r="E250" t="inlineStr">
        <is>
          <t>SALA</t>
        </is>
      </c>
      <c r="F250" t="inlineStr">
        <is>
          <t>Kyrkan</t>
        </is>
      </c>
      <c r="G250" t="n">
        <v>2.5</v>
      </c>
      <c r="H250" t="n">
        <v>0</v>
      </c>
      <c r="I250" t="n">
        <v>0</v>
      </c>
      <c r="J250" t="n">
        <v>0</v>
      </c>
      <c r="K250" t="n">
        <v>0</v>
      </c>
      <c r="L250" t="n">
        <v>0</v>
      </c>
      <c r="M250" t="n">
        <v>0</v>
      </c>
      <c r="N250" t="n">
        <v>0</v>
      </c>
      <c r="O250" t="n">
        <v>0</v>
      </c>
      <c r="P250" t="n">
        <v>0</v>
      </c>
      <c r="Q250" t="n">
        <v>0</v>
      </c>
      <c r="R250" s="2" t="inlineStr"/>
    </row>
    <row r="251" ht="15" customHeight="1">
      <c r="A251" t="inlineStr">
        <is>
          <t>A 1638-2023</t>
        </is>
      </c>
      <c r="B251" s="1" t="n">
        <v>44937</v>
      </c>
      <c r="C251" s="1" t="n">
        <v>46049</v>
      </c>
      <c r="D251" t="inlineStr">
        <is>
          <t>VÄSTMANLANDS LÄN</t>
        </is>
      </c>
      <c r="E251" t="inlineStr">
        <is>
          <t>SALA</t>
        </is>
      </c>
      <c r="G251" t="n">
        <v>3.1</v>
      </c>
      <c r="H251" t="n">
        <v>0</v>
      </c>
      <c r="I251" t="n">
        <v>0</v>
      </c>
      <c r="J251" t="n">
        <v>0</v>
      </c>
      <c r="K251" t="n">
        <v>0</v>
      </c>
      <c r="L251" t="n">
        <v>0</v>
      </c>
      <c r="M251" t="n">
        <v>0</v>
      </c>
      <c r="N251" t="n">
        <v>0</v>
      </c>
      <c r="O251" t="n">
        <v>0</v>
      </c>
      <c r="P251" t="n">
        <v>0</v>
      </c>
      <c r="Q251" t="n">
        <v>0</v>
      </c>
      <c r="R251" s="2" t="inlineStr"/>
    </row>
    <row r="252" ht="15" customHeight="1">
      <c r="A252" t="inlineStr">
        <is>
          <t>A 28632-2025</t>
        </is>
      </c>
      <c r="B252" s="1" t="n">
        <v>45819.62344907408</v>
      </c>
      <c r="C252" s="1" t="n">
        <v>46049</v>
      </c>
      <c r="D252" t="inlineStr">
        <is>
          <t>VÄSTMANLANDS LÄN</t>
        </is>
      </c>
      <c r="E252" t="inlineStr">
        <is>
          <t>SALA</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7953-2024</t>
        </is>
      </c>
      <c r="B253" s="1" t="n">
        <v>45350</v>
      </c>
      <c r="C253" s="1" t="n">
        <v>46049</v>
      </c>
      <c r="D253" t="inlineStr">
        <is>
          <t>VÄSTMANLANDS LÄN</t>
        </is>
      </c>
      <c r="E253" t="inlineStr">
        <is>
          <t>SALA</t>
        </is>
      </c>
      <c r="G253" t="n">
        <v>2.6</v>
      </c>
      <c r="H253" t="n">
        <v>0</v>
      </c>
      <c r="I253" t="n">
        <v>0</v>
      </c>
      <c r="J253" t="n">
        <v>0</v>
      </c>
      <c r="K253" t="n">
        <v>0</v>
      </c>
      <c r="L253" t="n">
        <v>0</v>
      </c>
      <c r="M253" t="n">
        <v>0</v>
      </c>
      <c r="N253" t="n">
        <v>0</v>
      </c>
      <c r="O253" t="n">
        <v>0</v>
      </c>
      <c r="P253" t="n">
        <v>0</v>
      </c>
      <c r="Q253" t="n">
        <v>0</v>
      </c>
      <c r="R253" s="2" t="inlineStr"/>
    </row>
    <row r="254" ht="15" customHeight="1">
      <c r="A254" t="inlineStr">
        <is>
          <t>A 5477-2024</t>
        </is>
      </c>
      <c r="B254" s="1" t="n">
        <v>45333.67833333334</v>
      </c>
      <c r="C254" s="1" t="n">
        <v>46049</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28628-2025</t>
        </is>
      </c>
      <c r="B255" s="1" t="n">
        <v>45819.62158564815</v>
      </c>
      <c r="C255" s="1" t="n">
        <v>46049</v>
      </c>
      <c r="D255" t="inlineStr">
        <is>
          <t>VÄSTMANLANDS LÄN</t>
        </is>
      </c>
      <c r="E255" t="inlineStr">
        <is>
          <t>SALA</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28630-2025</t>
        </is>
      </c>
      <c r="B256" s="1" t="n">
        <v>45819.62274305556</v>
      </c>
      <c r="C256" s="1" t="n">
        <v>46049</v>
      </c>
      <c r="D256" t="inlineStr">
        <is>
          <t>VÄSTMANLANDS LÄN</t>
        </is>
      </c>
      <c r="E256" t="inlineStr">
        <is>
          <t>SALA</t>
        </is>
      </c>
      <c r="F256" t="inlineStr">
        <is>
          <t>Sveaskog</t>
        </is>
      </c>
      <c r="G256" t="n">
        <v>9</v>
      </c>
      <c r="H256" t="n">
        <v>0</v>
      </c>
      <c r="I256" t="n">
        <v>0</v>
      </c>
      <c r="J256" t="n">
        <v>0</v>
      </c>
      <c r="K256" t="n">
        <v>0</v>
      </c>
      <c r="L256" t="n">
        <v>0</v>
      </c>
      <c r="M256" t="n">
        <v>0</v>
      </c>
      <c r="N256" t="n">
        <v>0</v>
      </c>
      <c r="O256" t="n">
        <v>0</v>
      </c>
      <c r="P256" t="n">
        <v>0</v>
      </c>
      <c r="Q256" t="n">
        <v>0</v>
      </c>
      <c r="R256" s="2" t="inlineStr"/>
    </row>
    <row r="257" ht="15" customHeight="1">
      <c r="A257" t="inlineStr">
        <is>
          <t>A 28837-2025</t>
        </is>
      </c>
      <c r="B257" s="1" t="n">
        <v>45820.56243055555</v>
      </c>
      <c r="C257" s="1" t="n">
        <v>46049</v>
      </c>
      <c r="D257" t="inlineStr">
        <is>
          <t>VÄSTMANLANDS LÄN</t>
        </is>
      </c>
      <c r="E257" t="inlineStr">
        <is>
          <t>SALA</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28849-2025</t>
        </is>
      </c>
      <c r="B258" s="1" t="n">
        <v>45820</v>
      </c>
      <c r="C258" s="1" t="n">
        <v>46049</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26507-2023</t>
        </is>
      </c>
      <c r="B259" s="1" t="n">
        <v>45092</v>
      </c>
      <c r="C259" s="1" t="n">
        <v>46049</v>
      </c>
      <c r="D259" t="inlineStr">
        <is>
          <t>VÄSTMANLANDS LÄN</t>
        </is>
      </c>
      <c r="E259" t="inlineStr">
        <is>
          <t>SALA</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6032-2025</t>
        </is>
      </c>
      <c r="B260" s="1" t="n">
        <v>45695.6371875</v>
      </c>
      <c r="C260" s="1" t="n">
        <v>46049</v>
      </c>
      <c r="D260" t="inlineStr">
        <is>
          <t>VÄSTMANLANDS LÄN</t>
        </is>
      </c>
      <c r="E260" t="inlineStr">
        <is>
          <t>SALA</t>
        </is>
      </c>
      <c r="F260" t="inlineStr">
        <is>
          <t>Bergvik skog öst AB</t>
        </is>
      </c>
      <c r="G260" t="n">
        <v>8.1</v>
      </c>
      <c r="H260" t="n">
        <v>0</v>
      </c>
      <c r="I260" t="n">
        <v>0</v>
      </c>
      <c r="J260" t="n">
        <v>0</v>
      </c>
      <c r="K260" t="n">
        <v>0</v>
      </c>
      <c r="L260" t="n">
        <v>0</v>
      </c>
      <c r="M260" t="n">
        <v>0</v>
      </c>
      <c r="N260" t="n">
        <v>0</v>
      </c>
      <c r="O260" t="n">
        <v>0</v>
      </c>
      <c r="P260" t="n">
        <v>0</v>
      </c>
      <c r="Q260" t="n">
        <v>0</v>
      </c>
      <c r="R260" s="2" t="inlineStr"/>
    </row>
    <row r="261" ht="15" customHeight="1">
      <c r="A261" t="inlineStr">
        <is>
          <t>A 29085-2025</t>
        </is>
      </c>
      <c r="B261" s="1" t="n">
        <v>45821</v>
      </c>
      <c r="C261" s="1" t="n">
        <v>46049</v>
      </c>
      <c r="D261" t="inlineStr">
        <is>
          <t>VÄSTMANLANDS LÄN</t>
        </is>
      </c>
      <c r="E261" t="inlineStr">
        <is>
          <t>SALA</t>
        </is>
      </c>
      <c r="G261" t="n">
        <v>3.5</v>
      </c>
      <c r="H261" t="n">
        <v>0</v>
      </c>
      <c r="I261" t="n">
        <v>0</v>
      </c>
      <c r="J261" t="n">
        <v>0</v>
      </c>
      <c r="K261" t="n">
        <v>0</v>
      </c>
      <c r="L261" t="n">
        <v>0</v>
      </c>
      <c r="M261" t="n">
        <v>0</v>
      </c>
      <c r="N261" t="n">
        <v>0</v>
      </c>
      <c r="O261" t="n">
        <v>0</v>
      </c>
      <c r="P261" t="n">
        <v>0</v>
      </c>
      <c r="Q261" t="n">
        <v>0</v>
      </c>
      <c r="R261" s="2" t="inlineStr"/>
    </row>
    <row r="262" ht="15" customHeight="1">
      <c r="A262" t="inlineStr">
        <is>
          <t>A 34814-2021</t>
        </is>
      </c>
      <c r="B262" s="1" t="n">
        <v>44383</v>
      </c>
      <c r="C262" s="1" t="n">
        <v>46049</v>
      </c>
      <c r="D262" t="inlineStr">
        <is>
          <t>VÄSTMANLANDS LÄN</t>
        </is>
      </c>
      <c r="E262" t="inlineStr">
        <is>
          <t>SALA</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40556-2025</t>
        </is>
      </c>
      <c r="B263" s="1" t="n">
        <v>45896.44944444444</v>
      </c>
      <c r="C263" s="1" t="n">
        <v>46049</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40559-2025</t>
        </is>
      </c>
      <c r="B264" s="1" t="n">
        <v>45896.45037037037</v>
      </c>
      <c r="C264" s="1" t="n">
        <v>46049</v>
      </c>
      <c r="D264" t="inlineStr">
        <is>
          <t>VÄSTMANLANDS LÄN</t>
        </is>
      </c>
      <c r="E264" t="inlineStr">
        <is>
          <t>SALA</t>
        </is>
      </c>
      <c r="G264" t="n">
        <v>0.9</v>
      </c>
      <c r="H264" t="n">
        <v>0</v>
      </c>
      <c r="I264" t="n">
        <v>0</v>
      </c>
      <c r="J264" t="n">
        <v>0</v>
      </c>
      <c r="K264" t="n">
        <v>0</v>
      </c>
      <c r="L264" t="n">
        <v>0</v>
      </c>
      <c r="M264" t="n">
        <v>0</v>
      </c>
      <c r="N264" t="n">
        <v>0</v>
      </c>
      <c r="O264" t="n">
        <v>0</v>
      </c>
      <c r="P264" t="n">
        <v>0</v>
      </c>
      <c r="Q264" t="n">
        <v>0</v>
      </c>
      <c r="R264" s="2" t="inlineStr"/>
    </row>
    <row r="265" ht="15" customHeight="1">
      <c r="A265" t="inlineStr">
        <is>
          <t>A 54118-2023</t>
        </is>
      </c>
      <c r="B265" s="1" t="n">
        <v>45232</v>
      </c>
      <c r="C265" s="1" t="n">
        <v>46049</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35462-2024</t>
        </is>
      </c>
      <c r="B266" s="1" t="n">
        <v>45531</v>
      </c>
      <c r="C266" s="1" t="n">
        <v>46049</v>
      </c>
      <c r="D266" t="inlineStr">
        <is>
          <t>VÄSTMANLANDS LÄN</t>
        </is>
      </c>
      <c r="E266" t="inlineStr">
        <is>
          <t>SALA</t>
        </is>
      </c>
      <c r="G266" t="n">
        <v>0.6</v>
      </c>
      <c r="H266" t="n">
        <v>0</v>
      </c>
      <c r="I266" t="n">
        <v>0</v>
      </c>
      <c r="J266" t="n">
        <v>0</v>
      </c>
      <c r="K266" t="n">
        <v>0</v>
      </c>
      <c r="L266" t="n">
        <v>0</v>
      </c>
      <c r="M266" t="n">
        <v>0</v>
      </c>
      <c r="N266" t="n">
        <v>0</v>
      </c>
      <c r="O266" t="n">
        <v>0</v>
      </c>
      <c r="P266" t="n">
        <v>0</v>
      </c>
      <c r="Q266" t="n">
        <v>0</v>
      </c>
      <c r="R266" s="2" t="inlineStr"/>
    </row>
    <row r="267" ht="15" customHeight="1">
      <c r="A267" t="inlineStr">
        <is>
          <t>A 60541-2024</t>
        </is>
      </c>
      <c r="B267" s="1" t="n">
        <v>45643</v>
      </c>
      <c r="C267" s="1" t="n">
        <v>46049</v>
      </c>
      <c r="D267" t="inlineStr">
        <is>
          <t>VÄSTMANLANDS LÄN</t>
        </is>
      </c>
      <c r="E267" t="inlineStr">
        <is>
          <t>SALA</t>
        </is>
      </c>
      <c r="G267" t="n">
        <v>10.6</v>
      </c>
      <c r="H267" t="n">
        <v>0</v>
      </c>
      <c r="I267" t="n">
        <v>0</v>
      </c>
      <c r="J267" t="n">
        <v>0</v>
      </c>
      <c r="K267" t="n">
        <v>0</v>
      </c>
      <c r="L267" t="n">
        <v>0</v>
      </c>
      <c r="M267" t="n">
        <v>0</v>
      </c>
      <c r="N267" t="n">
        <v>0</v>
      </c>
      <c r="O267" t="n">
        <v>0</v>
      </c>
      <c r="P267" t="n">
        <v>0</v>
      </c>
      <c r="Q267" t="n">
        <v>0</v>
      </c>
      <c r="R267" s="2" t="inlineStr"/>
    </row>
    <row r="268" ht="15" customHeight="1">
      <c r="A268" t="inlineStr">
        <is>
          <t>A 40620-2025</t>
        </is>
      </c>
      <c r="B268" s="1" t="n">
        <v>45896.58609953704</v>
      </c>
      <c r="C268" s="1" t="n">
        <v>46049</v>
      </c>
      <c r="D268" t="inlineStr">
        <is>
          <t>VÄSTMANLANDS LÄN</t>
        </is>
      </c>
      <c r="E268" t="inlineStr">
        <is>
          <t>SALA</t>
        </is>
      </c>
      <c r="G268" t="n">
        <v>6.7</v>
      </c>
      <c r="H268" t="n">
        <v>0</v>
      </c>
      <c r="I268" t="n">
        <v>0</v>
      </c>
      <c r="J268" t="n">
        <v>0</v>
      </c>
      <c r="K268" t="n">
        <v>0</v>
      </c>
      <c r="L268" t="n">
        <v>0</v>
      </c>
      <c r="M268" t="n">
        <v>0</v>
      </c>
      <c r="N268" t="n">
        <v>0</v>
      </c>
      <c r="O268" t="n">
        <v>0</v>
      </c>
      <c r="P268" t="n">
        <v>0</v>
      </c>
      <c r="Q268" t="n">
        <v>0</v>
      </c>
      <c r="R268" s="2" t="inlineStr"/>
    </row>
    <row r="269" ht="15" customHeight="1">
      <c r="A269" t="inlineStr">
        <is>
          <t>A 29826-2025</t>
        </is>
      </c>
      <c r="B269" s="1" t="n">
        <v>45825.85761574074</v>
      </c>
      <c r="C269" s="1" t="n">
        <v>46049</v>
      </c>
      <c r="D269" t="inlineStr">
        <is>
          <t>VÄSTMANLANDS LÄN</t>
        </is>
      </c>
      <c r="E269" t="inlineStr">
        <is>
          <t>SALA</t>
        </is>
      </c>
      <c r="G269" t="n">
        <v>1.9</v>
      </c>
      <c r="H269" t="n">
        <v>0</v>
      </c>
      <c r="I269" t="n">
        <v>0</v>
      </c>
      <c r="J269" t="n">
        <v>0</v>
      </c>
      <c r="K269" t="n">
        <v>0</v>
      </c>
      <c r="L269" t="n">
        <v>0</v>
      </c>
      <c r="M269" t="n">
        <v>0</v>
      </c>
      <c r="N269" t="n">
        <v>0</v>
      </c>
      <c r="O269" t="n">
        <v>0</v>
      </c>
      <c r="P269" t="n">
        <v>0</v>
      </c>
      <c r="Q269" t="n">
        <v>0</v>
      </c>
      <c r="R269" s="2" t="inlineStr"/>
    </row>
    <row r="270" ht="15" customHeight="1">
      <c r="A270" t="inlineStr">
        <is>
          <t>A 36393-2023</t>
        </is>
      </c>
      <c r="B270" s="1" t="n">
        <v>45152</v>
      </c>
      <c r="C270" s="1" t="n">
        <v>46049</v>
      </c>
      <c r="D270" t="inlineStr">
        <is>
          <t>VÄSTMANLANDS LÄN</t>
        </is>
      </c>
      <c r="E270" t="inlineStr">
        <is>
          <t>SALA</t>
        </is>
      </c>
      <c r="G270" t="n">
        <v>0.9</v>
      </c>
      <c r="H270" t="n">
        <v>0</v>
      </c>
      <c r="I270" t="n">
        <v>0</v>
      </c>
      <c r="J270" t="n">
        <v>0</v>
      </c>
      <c r="K270" t="n">
        <v>0</v>
      </c>
      <c r="L270" t="n">
        <v>0</v>
      </c>
      <c r="M270" t="n">
        <v>0</v>
      </c>
      <c r="N270" t="n">
        <v>0</v>
      </c>
      <c r="O270" t="n">
        <v>0</v>
      </c>
      <c r="P270" t="n">
        <v>0</v>
      </c>
      <c r="Q270" t="n">
        <v>0</v>
      </c>
      <c r="R270" s="2" t="inlineStr"/>
    </row>
    <row r="271" ht="15" customHeight="1">
      <c r="A271" t="inlineStr">
        <is>
          <t>A 45790-2023</t>
        </is>
      </c>
      <c r="B271" s="1" t="n">
        <v>45195.45958333334</v>
      </c>
      <c r="C271" s="1" t="n">
        <v>46049</v>
      </c>
      <c r="D271" t="inlineStr">
        <is>
          <t>VÄSTMANLANDS LÄN</t>
        </is>
      </c>
      <c r="E271" t="inlineStr">
        <is>
          <t>SALA</t>
        </is>
      </c>
      <c r="G271" t="n">
        <v>5.7</v>
      </c>
      <c r="H271" t="n">
        <v>0</v>
      </c>
      <c r="I271" t="n">
        <v>0</v>
      </c>
      <c r="J271" t="n">
        <v>0</v>
      </c>
      <c r="K271" t="n">
        <v>0</v>
      </c>
      <c r="L271" t="n">
        <v>0</v>
      </c>
      <c r="M271" t="n">
        <v>0</v>
      </c>
      <c r="N271" t="n">
        <v>0</v>
      </c>
      <c r="O271" t="n">
        <v>0</v>
      </c>
      <c r="P271" t="n">
        <v>0</v>
      </c>
      <c r="Q271" t="n">
        <v>0</v>
      </c>
      <c r="R271" s="2" t="inlineStr"/>
    </row>
    <row r="272" ht="15" customHeight="1">
      <c r="A272" t="inlineStr">
        <is>
          <t>A 29691-2025</t>
        </is>
      </c>
      <c r="B272" s="1" t="n">
        <v>45825.53645833334</v>
      </c>
      <c r="C272" s="1" t="n">
        <v>46049</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56949-2023</t>
        </is>
      </c>
      <c r="B273" s="1" t="n">
        <v>45244.61589120371</v>
      </c>
      <c r="C273" s="1" t="n">
        <v>46049</v>
      </c>
      <c r="D273" t="inlineStr">
        <is>
          <t>VÄSTMANLANDS LÄN</t>
        </is>
      </c>
      <c r="E273" t="inlineStr">
        <is>
          <t>SALA</t>
        </is>
      </c>
      <c r="G273" t="n">
        <v>4.7</v>
      </c>
      <c r="H273" t="n">
        <v>0</v>
      </c>
      <c r="I273" t="n">
        <v>0</v>
      </c>
      <c r="J273" t="n">
        <v>0</v>
      </c>
      <c r="K273" t="n">
        <v>0</v>
      </c>
      <c r="L273" t="n">
        <v>0</v>
      </c>
      <c r="M273" t="n">
        <v>0</v>
      </c>
      <c r="N273" t="n">
        <v>0</v>
      </c>
      <c r="O273" t="n">
        <v>0</v>
      </c>
      <c r="P273" t="n">
        <v>0</v>
      </c>
      <c r="Q273" t="n">
        <v>0</v>
      </c>
      <c r="R273" s="2" t="inlineStr"/>
    </row>
    <row r="274" ht="15" customHeight="1">
      <c r="A274" t="inlineStr">
        <is>
          <t>A 41230-2025</t>
        </is>
      </c>
      <c r="B274" s="1" t="n">
        <v>45898</v>
      </c>
      <c r="C274" s="1" t="n">
        <v>46049</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40214-2023</t>
        </is>
      </c>
      <c r="B275" s="1" t="n">
        <v>45169.45173611111</v>
      </c>
      <c r="C275" s="1" t="n">
        <v>46049</v>
      </c>
      <c r="D275" t="inlineStr">
        <is>
          <t>VÄSTMANLANDS LÄN</t>
        </is>
      </c>
      <c r="E275" t="inlineStr">
        <is>
          <t>SALA</t>
        </is>
      </c>
      <c r="G275" t="n">
        <v>5.5</v>
      </c>
      <c r="H275" t="n">
        <v>0</v>
      </c>
      <c r="I275" t="n">
        <v>0</v>
      </c>
      <c r="J275" t="n">
        <v>0</v>
      </c>
      <c r="K275" t="n">
        <v>0</v>
      </c>
      <c r="L275" t="n">
        <v>0</v>
      </c>
      <c r="M275" t="n">
        <v>0</v>
      </c>
      <c r="N275" t="n">
        <v>0</v>
      </c>
      <c r="O275" t="n">
        <v>0</v>
      </c>
      <c r="P275" t="n">
        <v>0</v>
      </c>
      <c r="Q275" t="n">
        <v>0</v>
      </c>
      <c r="R275" s="2" t="inlineStr"/>
    </row>
    <row r="276" ht="15" customHeight="1">
      <c r="A276" t="inlineStr">
        <is>
          <t>A 35016-2024</t>
        </is>
      </c>
      <c r="B276" s="1" t="n">
        <v>45527.59115740741</v>
      </c>
      <c r="C276" s="1" t="n">
        <v>46049</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41431-2025</t>
        </is>
      </c>
      <c r="B277" s="1" t="n">
        <v>45901.39347222223</v>
      </c>
      <c r="C277" s="1" t="n">
        <v>46049</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37612-2024</t>
        </is>
      </c>
      <c r="B278" s="1" t="n">
        <v>45541</v>
      </c>
      <c r="C278" s="1" t="n">
        <v>46049</v>
      </c>
      <c r="D278" t="inlineStr">
        <is>
          <t>VÄSTMANLANDS LÄN</t>
        </is>
      </c>
      <c r="E278" t="inlineStr">
        <is>
          <t>SALA</t>
        </is>
      </c>
      <c r="G278" t="n">
        <v>2.2</v>
      </c>
      <c r="H278" t="n">
        <v>0</v>
      </c>
      <c r="I278" t="n">
        <v>0</v>
      </c>
      <c r="J278" t="n">
        <v>0</v>
      </c>
      <c r="K278" t="n">
        <v>0</v>
      </c>
      <c r="L278" t="n">
        <v>0</v>
      </c>
      <c r="M278" t="n">
        <v>0</v>
      </c>
      <c r="N278" t="n">
        <v>0</v>
      </c>
      <c r="O278" t="n">
        <v>0</v>
      </c>
      <c r="P278" t="n">
        <v>0</v>
      </c>
      <c r="Q278" t="n">
        <v>0</v>
      </c>
      <c r="R278" s="2" t="inlineStr"/>
    </row>
    <row r="279" ht="15" customHeight="1">
      <c r="A279" t="inlineStr">
        <is>
          <t>A 37615-2024</t>
        </is>
      </c>
      <c r="B279" s="1" t="n">
        <v>45541.50673611111</v>
      </c>
      <c r="C279" s="1" t="n">
        <v>46049</v>
      </c>
      <c r="D279" t="inlineStr">
        <is>
          <t>VÄSTMANLANDS LÄN</t>
        </is>
      </c>
      <c r="E279" t="inlineStr">
        <is>
          <t>SALA</t>
        </is>
      </c>
      <c r="G279" t="n">
        <v>1.1</v>
      </c>
      <c r="H279" t="n">
        <v>0</v>
      </c>
      <c r="I279" t="n">
        <v>0</v>
      </c>
      <c r="J279" t="n">
        <v>0</v>
      </c>
      <c r="K279" t="n">
        <v>0</v>
      </c>
      <c r="L279" t="n">
        <v>0</v>
      </c>
      <c r="M279" t="n">
        <v>0</v>
      </c>
      <c r="N279" t="n">
        <v>0</v>
      </c>
      <c r="O279" t="n">
        <v>0</v>
      </c>
      <c r="P279" t="n">
        <v>0</v>
      </c>
      <c r="Q279" t="n">
        <v>0</v>
      </c>
      <c r="R279" s="2" t="inlineStr"/>
    </row>
    <row r="280" ht="15" customHeight="1">
      <c r="A280" t="inlineStr">
        <is>
          <t>A 5728-2022</t>
        </is>
      </c>
      <c r="B280" s="1" t="n">
        <v>44596.42082175926</v>
      </c>
      <c r="C280" s="1" t="n">
        <v>46049</v>
      </c>
      <c r="D280" t="inlineStr">
        <is>
          <t>VÄSTMANLANDS LÄN</t>
        </is>
      </c>
      <c r="E280" t="inlineStr">
        <is>
          <t>SALA</t>
        </is>
      </c>
      <c r="G280" t="n">
        <v>1.7</v>
      </c>
      <c r="H280" t="n">
        <v>0</v>
      </c>
      <c r="I280" t="n">
        <v>0</v>
      </c>
      <c r="J280" t="n">
        <v>0</v>
      </c>
      <c r="K280" t="n">
        <v>0</v>
      </c>
      <c r="L280" t="n">
        <v>0</v>
      </c>
      <c r="M280" t="n">
        <v>0</v>
      </c>
      <c r="N280" t="n">
        <v>0</v>
      </c>
      <c r="O280" t="n">
        <v>0</v>
      </c>
      <c r="P280" t="n">
        <v>0</v>
      </c>
      <c r="Q280" t="n">
        <v>0</v>
      </c>
      <c r="R280" s="2" t="inlineStr"/>
    </row>
    <row r="281" ht="15" customHeight="1">
      <c r="A281" t="inlineStr">
        <is>
          <t>A 41414-2025</t>
        </is>
      </c>
      <c r="B281" s="1" t="n">
        <v>45901.360625</v>
      </c>
      <c r="C281" s="1" t="n">
        <v>46049</v>
      </c>
      <c r="D281" t="inlineStr">
        <is>
          <t>VÄSTMANLANDS LÄN</t>
        </is>
      </c>
      <c r="E281" t="inlineStr">
        <is>
          <t>SALA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53164-2024</t>
        </is>
      </c>
      <c r="B282" s="1" t="n">
        <v>45611.64887731482</v>
      </c>
      <c r="C282" s="1" t="n">
        <v>46049</v>
      </c>
      <c r="D282" t="inlineStr">
        <is>
          <t>VÄSTMANLANDS LÄN</t>
        </is>
      </c>
      <c r="E282" t="inlineStr">
        <is>
          <t>SALA</t>
        </is>
      </c>
      <c r="G282" t="n">
        <v>2.6</v>
      </c>
      <c r="H282" t="n">
        <v>0</v>
      </c>
      <c r="I282" t="n">
        <v>0</v>
      </c>
      <c r="J282" t="n">
        <v>0</v>
      </c>
      <c r="K282" t="n">
        <v>0</v>
      </c>
      <c r="L282" t="n">
        <v>0</v>
      </c>
      <c r="M282" t="n">
        <v>0</v>
      </c>
      <c r="N282" t="n">
        <v>0</v>
      </c>
      <c r="O282" t="n">
        <v>0</v>
      </c>
      <c r="P282" t="n">
        <v>0</v>
      </c>
      <c r="Q282" t="n">
        <v>0</v>
      </c>
      <c r="R282" s="2" t="inlineStr"/>
    </row>
    <row r="283" ht="15" customHeight="1">
      <c r="A283" t="inlineStr">
        <is>
          <t>A 7681-2021</t>
        </is>
      </c>
      <c r="B283" s="1" t="n">
        <v>44242</v>
      </c>
      <c r="C283" s="1" t="n">
        <v>46049</v>
      </c>
      <c r="D283" t="inlineStr">
        <is>
          <t>VÄSTMANLANDS LÄN</t>
        </is>
      </c>
      <c r="E283" t="inlineStr">
        <is>
          <t>SALA</t>
        </is>
      </c>
      <c r="F283" t="inlineStr">
        <is>
          <t>Sveaskog</t>
        </is>
      </c>
      <c r="G283" t="n">
        <v>16.1</v>
      </c>
      <c r="H283" t="n">
        <v>0</v>
      </c>
      <c r="I283" t="n">
        <v>0</v>
      </c>
      <c r="J283" t="n">
        <v>0</v>
      </c>
      <c r="K283" t="n">
        <v>0</v>
      </c>
      <c r="L283" t="n">
        <v>0</v>
      </c>
      <c r="M283" t="n">
        <v>0</v>
      </c>
      <c r="N283" t="n">
        <v>0</v>
      </c>
      <c r="O283" t="n">
        <v>0</v>
      </c>
      <c r="P283" t="n">
        <v>0</v>
      </c>
      <c r="Q283" t="n">
        <v>0</v>
      </c>
      <c r="R283" s="2" t="inlineStr"/>
    </row>
    <row r="284" ht="15" customHeight="1">
      <c r="A284" t="inlineStr">
        <is>
          <t>A 30874-2025</t>
        </is>
      </c>
      <c r="B284" s="1" t="n">
        <v>45832.34430555555</v>
      </c>
      <c r="C284" s="1" t="n">
        <v>46049</v>
      </c>
      <c r="D284" t="inlineStr">
        <is>
          <t>VÄSTMANLANDS LÄN</t>
        </is>
      </c>
      <c r="E284" t="inlineStr">
        <is>
          <t>SALA</t>
        </is>
      </c>
      <c r="G284" t="n">
        <v>8.4</v>
      </c>
      <c r="H284" t="n">
        <v>0</v>
      </c>
      <c r="I284" t="n">
        <v>0</v>
      </c>
      <c r="J284" t="n">
        <v>0</v>
      </c>
      <c r="K284" t="n">
        <v>0</v>
      </c>
      <c r="L284" t="n">
        <v>0</v>
      </c>
      <c r="M284" t="n">
        <v>0</v>
      </c>
      <c r="N284" t="n">
        <v>0</v>
      </c>
      <c r="O284" t="n">
        <v>0</v>
      </c>
      <c r="P284" t="n">
        <v>0</v>
      </c>
      <c r="Q284" t="n">
        <v>0</v>
      </c>
      <c r="R284" s="2" t="inlineStr"/>
    </row>
    <row r="285" ht="15" customHeight="1">
      <c r="A285" t="inlineStr">
        <is>
          <t>A 61717-2024</t>
        </is>
      </c>
      <c r="B285" s="1" t="n">
        <v>45648</v>
      </c>
      <c r="C285" s="1" t="n">
        <v>46049</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30899-2025</t>
        </is>
      </c>
      <c r="B286" s="1" t="n">
        <v>45832.35767361111</v>
      </c>
      <c r="C286" s="1" t="n">
        <v>46049</v>
      </c>
      <c r="D286" t="inlineStr">
        <is>
          <t>VÄSTMANLANDS LÄN</t>
        </is>
      </c>
      <c r="E286" t="inlineStr">
        <is>
          <t>SALA</t>
        </is>
      </c>
      <c r="G286" t="n">
        <v>3.1</v>
      </c>
      <c r="H286" t="n">
        <v>0</v>
      </c>
      <c r="I286" t="n">
        <v>0</v>
      </c>
      <c r="J286" t="n">
        <v>0</v>
      </c>
      <c r="K286" t="n">
        <v>0</v>
      </c>
      <c r="L286" t="n">
        <v>0</v>
      </c>
      <c r="M286" t="n">
        <v>0</v>
      </c>
      <c r="N286" t="n">
        <v>0</v>
      </c>
      <c r="O286" t="n">
        <v>0</v>
      </c>
      <c r="P286" t="n">
        <v>0</v>
      </c>
      <c r="Q286" t="n">
        <v>0</v>
      </c>
      <c r="R286" s="2" t="inlineStr"/>
    </row>
    <row r="287" ht="15" customHeight="1">
      <c r="A287" t="inlineStr">
        <is>
          <t>A 30866-2025</t>
        </is>
      </c>
      <c r="B287" s="1" t="n">
        <v>45832.3246875</v>
      </c>
      <c r="C287" s="1" t="n">
        <v>46049</v>
      </c>
      <c r="D287" t="inlineStr">
        <is>
          <t>VÄSTMANLANDS LÄN</t>
        </is>
      </c>
      <c r="E287" t="inlineStr">
        <is>
          <t>SALA</t>
        </is>
      </c>
      <c r="G287" t="n">
        <v>14.3</v>
      </c>
      <c r="H287" t="n">
        <v>0</v>
      </c>
      <c r="I287" t="n">
        <v>0</v>
      </c>
      <c r="J287" t="n">
        <v>0</v>
      </c>
      <c r="K287" t="n">
        <v>0</v>
      </c>
      <c r="L287" t="n">
        <v>0</v>
      </c>
      <c r="M287" t="n">
        <v>0</v>
      </c>
      <c r="N287" t="n">
        <v>0</v>
      </c>
      <c r="O287" t="n">
        <v>0</v>
      </c>
      <c r="P287" t="n">
        <v>0</v>
      </c>
      <c r="Q287" t="n">
        <v>0</v>
      </c>
      <c r="R287" s="2" t="inlineStr"/>
    </row>
    <row r="288" ht="15" customHeight="1">
      <c r="A288" t="inlineStr">
        <is>
          <t>A 19751-2022</t>
        </is>
      </c>
      <c r="B288" s="1" t="n">
        <v>44694</v>
      </c>
      <c r="C288" s="1" t="n">
        <v>46049</v>
      </c>
      <c r="D288" t="inlineStr">
        <is>
          <t>VÄSTMANLANDS LÄN</t>
        </is>
      </c>
      <c r="E288" t="inlineStr">
        <is>
          <t>SALA</t>
        </is>
      </c>
      <c r="G288" t="n">
        <v>2.7</v>
      </c>
      <c r="H288" t="n">
        <v>0</v>
      </c>
      <c r="I288" t="n">
        <v>0</v>
      </c>
      <c r="J288" t="n">
        <v>0</v>
      </c>
      <c r="K288" t="n">
        <v>0</v>
      </c>
      <c r="L288" t="n">
        <v>0</v>
      </c>
      <c r="M288" t="n">
        <v>0</v>
      </c>
      <c r="N288" t="n">
        <v>0</v>
      </c>
      <c r="O288" t="n">
        <v>0</v>
      </c>
      <c r="P288" t="n">
        <v>0</v>
      </c>
      <c r="Q288" t="n">
        <v>0</v>
      </c>
      <c r="R288" s="2" t="inlineStr"/>
    </row>
    <row r="289" ht="15" customHeight="1">
      <c r="A289" t="inlineStr">
        <is>
          <t>A 31065-2025</t>
        </is>
      </c>
      <c r="B289" s="1" t="n">
        <v>45832.57571759259</v>
      </c>
      <c r="C289" s="1" t="n">
        <v>46049</v>
      </c>
      <c r="D289" t="inlineStr">
        <is>
          <t>VÄSTMANLANDS LÄN</t>
        </is>
      </c>
      <c r="E289" t="inlineStr">
        <is>
          <t>SALA</t>
        </is>
      </c>
      <c r="G289" t="n">
        <v>1.1</v>
      </c>
      <c r="H289" t="n">
        <v>0</v>
      </c>
      <c r="I289" t="n">
        <v>0</v>
      </c>
      <c r="J289" t="n">
        <v>0</v>
      </c>
      <c r="K289" t="n">
        <v>0</v>
      </c>
      <c r="L289" t="n">
        <v>0</v>
      </c>
      <c r="M289" t="n">
        <v>0</v>
      </c>
      <c r="N289" t="n">
        <v>0</v>
      </c>
      <c r="O289" t="n">
        <v>0</v>
      </c>
      <c r="P289" t="n">
        <v>0</v>
      </c>
      <c r="Q289" t="n">
        <v>0</v>
      </c>
      <c r="R289" s="2" t="inlineStr"/>
    </row>
    <row r="290" ht="15" customHeight="1">
      <c r="A290" t="inlineStr">
        <is>
          <t>A 31612-2025</t>
        </is>
      </c>
      <c r="B290" s="1" t="n">
        <v>45833.80056712963</v>
      </c>
      <c r="C290" s="1" t="n">
        <v>46049</v>
      </c>
      <c r="D290" t="inlineStr">
        <is>
          <t>VÄSTMANLANDS LÄN</t>
        </is>
      </c>
      <c r="E290" t="inlineStr">
        <is>
          <t>SALA</t>
        </is>
      </c>
      <c r="G290" t="n">
        <v>6.3</v>
      </c>
      <c r="H290" t="n">
        <v>0</v>
      </c>
      <c r="I290" t="n">
        <v>0</v>
      </c>
      <c r="J290" t="n">
        <v>0</v>
      </c>
      <c r="K290" t="n">
        <v>0</v>
      </c>
      <c r="L290" t="n">
        <v>0</v>
      </c>
      <c r="M290" t="n">
        <v>0</v>
      </c>
      <c r="N290" t="n">
        <v>0</v>
      </c>
      <c r="O290" t="n">
        <v>0</v>
      </c>
      <c r="P290" t="n">
        <v>0</v>
      </c>
      <c r="Q290" t="n">
        <v>0</v>
      </c>
      <c r="R290" s="2" t="inlineStr"/>
    </row>
    <row r="291" ht="15" customHeight="1">
      <c r="A291" t="inlineStr">
        <is>
          <t>A 31748-2025</t>
        </is>
      </c>
      <c r="B291" s="1" t="n">
        <v>45834</v>
      </c>
      <c r="C291" s="1" t="n">
        <v>46049</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31288-2025</t>
        </is>
      </c>
      <c r="B292" s="1" t="n">
        <v>45833</v>
      </c>
      <c r="C292" s="1" t="n">
        <v>46049</v>
      </c>
      <c r="D292" t="inlineStr">
        <is>
          <t>VÄSTMANLANDS LÄN</t>
        </is>
      </c>
      <c r="E292" t="inlineStr">
        <is>
          <t>SALA</t>
        </is>
      </c>
      <c r="G292" t="n">
        <v>3.1</v>
      </c>
      <c r="H292" t="n">
        <v>0</v>
      </c>
      <c r="I292" t="n">
        <v>0</v>
      </c>
      <c r="J292" t="n">
        <v>0</v>
      </c>
      <c r="K292" t="n">
        <v>0</v>
      </c>
      <c r="L292" t="n">
        <v>0</v>
      </c>
      <c r="M292" t="n">
        <v>0</v>
      </c>
      <c r="N292" t="n">
        <v>0</v>
      </c>
      <c r="O292" t="n">
        <v>0</v>
      </c>
      <c r="P292" t="n">
        <v>0</v>
      </c>
      <c r="Q292" t="n">
        <v>0</v>
      </c>
      <c r="R292" s="2" t="inlineStr"/>
    </row>
    <row r="293" ht="15" customHeight="1">
      <c r="A293" t="inlineStr">
        <is>
          <t>A 31771-2025</t>
        </is>
      </c>
      <c r="B293" s="1" t="n">
        <v>45834.50910879629</v>
      </c>
      <c r="C293" s="1" t="n">
        <v>46049</v>
      </c>
      <c r="D293" t="inlineStr">
        <is>
          <t>VÄSTMANLANDS LÄN</t>
        </is>
      </c>
      <c r="E293" t="inlineStr">
        <is>
          <t>SALA</t>
        </is>
      </c>
      <c r="G293" t="n">
        <v>5.1</v>
      </c>
      <c r="H293" t="n">
        <v>0</v>
      </c>
      <c r="I293" t="n">
        <v>0</v>
      </c>
      <c r="J293" t="n">
        <v>0</v>
      </c>
      <c r="K293" t="n">
        <v>0</v>
      </c>
      <c r="L293" t="n">
        <v>0</v>
      </c>
      <c r="M293" t="n">
        <v>0</v>
      </c>
      <c r="N293" t="n">
        <v>0</v>
      </c>
      <c r="O293" t="n">
        <v>0</v>
      </c>
      <c r="P293" t="n">
        <v>0</v>
      </c>
      <c r="Q293" t="n">
        <v>0</v>
      </c>
      <c r="R293" s="2" t="inlineStr"/>
    </row>
    <row r="294" ht="15" customHeight="1">
      <c r="A294" t="inlineStr">
        <is>
          <t>A 31554-2025</t>
        </is>
      </c>
      <c r="B294" s="1" t="n">
        <v>45833</v>
      </c>
      <c r="C294" s="1" t="n">
        <v>46049</v>
      </c>
      <c r="D294" t="inlineStr">
        <is>
          <t>VÄSTMANLANDS LÄN</t>
        </is>
      </c>
      <c r="E294" t="inlineStr">
        <is>
          <t>SALA</t>
        </is>
      </c>
      <c r="G294" t="n">
        <v>1.5</v>
      </c>
      <c r="H294" t="n">
        <v>0</v>
      </c>
      <c r="I294" t="n">
        <v>0</v>
      </c>
      <c r="J294" t="n">
        <v>0</v>
      </c>
      <c r="K294" t="n">
        <v>0</v>
      </c>
      <c r="L294" t="n">
        <v>0</v>
      </c>
      <c r="M294" t="n">
        <v>0</v>
      </c>
      <c r="N294" t="n">
        <v>0</v>
      </c>
      <c r="O294" t="n">
        <v>0</v>
      </c>
      <c r="P294" t="n">
        <v>0</v>
      </c>
      <c r="Q294" t="n">
        <v>0</v>
      </c>
      <c r="R294" s="2" t="inlineStr"/>
    </row>
    <row r="295" ht="15" customHeight="1">
      <c r="A295" t="inlineStr">
        <is>
          <t>A 21968-2024</t>
        </is>
      </c>
      <c r="B295" s="1" t="n">
        <v>45443</v>
      </c>
      <c r="C295" s="1" t="n">
        <v>46049</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31762-2025</t>
        </is>
      </c>
      <c r="B296" s="1" t="n">
        <v>45834.49288194445</v>
      </c>
      <c r="C296" s="1" t="n">
        <v>46049</v>
      </c>
      <c r="D296" t="inlineStr">
        <is>
          <t>VÄSTMANLANDS LÄN</t>
        </is>
      </c>
      <c r="E296" t="inlineStr">
        <is>
          <t>SALA</t>
        </is>
      </c>
      <c r="G296" t="n">
        <v>5.9</v>
      </c>
      <c r="H296" t="n">
        <v>0</v>
      </c>
      <c r="I296" t="n">
        <v>0</v>
      </c>
      <c r="J296" t="n">
        <v>0</v>
      </c>
      <c r="K296" t="n">
        <v>0</v>
      </c>
      <c r="L296" t="n">
        <v>0</v>
      </c>
      <c r="M296" t="n">
        <v>0</v>
      </c>
      <c r="N296" t="n">
        <v>0</v>
      </c>
      <c r="O296" t="n">
        <v>0</v>
      </c>
      <c r="P296" t="n">
        <v>0</v>
      </c>
      <c r="Q296" t="n">
        <v>0</v>
      </c>
      <c r="R296" s="2" t="inlineStr"/>
    </row>
    <row r="297" ht="15" customHeight="1">
      <c r="A297" t="inlineStr">
        <is>
          <t>A 31608-2025</t>
        </is>
      </c>
      <c r="B297" s="1" t="n">
        <v>45833</v>
      </c>
      <c r="C297" s="1" t="n">
        <v>46049</v>
      </c>
      <c r="D297" t="inlineStr">
        <is>
          <t>VÄSTMANLANDS LÄN</t>
        </is>
      </c>
      <c r="E297" t="inlineStr">
        <is>
          <t>SALA</t>
        </is>
      </c>
      <c r="G297" t="n">
        <v>6.1</v>
      </c>
      <c r="H297" t="n">
        <v>0</v>
      </c>
      <c r="I297" t="n">
        <v>0</v>
      </c>
      <c r="J297" t="n">
        <v>0</v>
      </c>
      <c r="K297" t="n">
        <v>0</v>
      </c>
      <c r="L297" t="n">
        <v>0</v>
      </c>
      <c r="M297" t="n">
        <v>0</v>
      </c>
      <c r="N297" t="n">
        <v>0</v>
      </c>
      <c r="O297" t="n">
        <v>0</v>
      </c>
      <c r="P297" t="n">
        <v>0</v>
      </c>
      <c r="Q297" t="n">
        <v>0</v>
      </c>
      <c r="R297" s="2" t="inlineStr"/>
    </row>
    <row r="298" ht="15" customHeight="1">
      <c r="A298" t="inlineStr">
        <is>
          <t>A 31610-2025</t>
        </is>
      </c>
      <c r="B298" s="1" t="n">
        <v>45833.78650462963</v>
      </c>
      <c r="C298" s="1" t="n">
        <v>46049</v>
      </c>
      <c r="D298" t="inlineStr">
        <is>
          <t>VÄSTMANLANDS LÄN</t>
        </is>
      </c>
      <c r="E298" t="inlineStr">
        <is>
          <t>SALA</t>
        </is>
      </c>
      <c r="G298" t="n">
        <v>8</v>
      </c>
      <c r="H298" t="n">
        <v>0</v>
      </c>
      <c r="I298" t="n">
        <v>0</v>
      </c>
      <c r="J298" t="n">
        <v>0</v>
      </c>
      <c r="K298" t="n">
        <v>0</v>
      </c>
      <c r="L298" t="n">
        <v>0</v>
      </c>
      <c r="M298" t="n">
        <v>0</v>
      </c>
      <c r="N298" t="n">
        <v>0</v>
      </c>
      <c r="O298" t="n">
        <v>0</v>
      </c>
      <c r="P298" t="n">
        <v>0</v>
      </c>
      <c r="Q298" t="n">
        <v>0</v>
      </c>
      <c r="R298" s="2" t="inlineStr"/>
    </row>
    <row r="299" ht="15" customHeight="1">
      <c r="A299" t="inlineStr">
        <is>
          <t>A 31296-2025</t>
        </is>
      </c>
      <c r="B299" s="1" t="n">
        <v>45833.36765046296</v>
      </c>
      <c r="C299" s="1" t="n">
        <v>46049</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31573-2025</t>
        </is>
      </c>
      <c r="B300" s="1" t="n">
        <v>45833</v>
      </c>
      <c r="C300" s="1" t="n">
        <v>46049</v>
      </c>
      <c r="D300" t="inlineStr">
        <is>
          <t>VÄSTMANLANDS LÄN</t>
        </is>
      </c>
      <c r="E300" t="inlineStr">
        <is>
          <t>SALA</t>
        </is>
      </c>
      <c r="G300" t="n">
        <v>0.6</v>
      </c>
      <c r="H300" t="n">
        <v>0</v>
      </c>
      <c r="I300" t="n">
        <v>0</v>
      </c>
      <c r="J300" t="n">
        <v>0</v>
      </c>
      <c r="K300" t="n">
        <v>0</v>
      </c>
      <c r="L300" t="n">
        <v>0</v>
      </c>
      <c r="M300" t="n">
        <v>0</v>
      </c>
      <c r="N300" t="n">
        <v>0</v>
      </c>
      <c r="O300" t="n">
        <v>0</v>
      </c>
      <c r="P300" t="n">
        <v>0</v>
      </c>
      <c r="Q300" t="n">
        <v>0</v>
      </c>
      <c r="R300" s="2" t="inlineStr"/>
    </row>
    <row r="301" ht="15" customHeight="1">
      <c r="A301" t="inlineStr">
        <is>
          <t>A 6312-2025</t>
        </is>
      </c>
      <c r="B301" s="1" t="n">
        <v>45698</v>
      </c>
      <c r="C301" s="1" t="n">
        <v>46049</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32201-2025</t>
        </is>
      </c>
      <c r="B302" s="1" t="n">
        <v>45835</v>
      </c>
      <c r="C302" s="1" t="n">
        <v>46049</v>
      </c>
      <c r="D302" t="inlineStr">
        <is>
          <t>VÄSTMANLANDS LÄN</t>
        </is>
      </c>
      <c r="E302" t="inlineStr">
        <is>
          <t>SALA</t>
        </is>
      </c>
      <c r="F302" t="inlineStr">
        <is>
          <t>Bergvik skog öst AB</t>
        </is>
      </c>
      <c r="G302" t="n">
        <v>1.8</v>
      </c>
      <c r="H302" t="n">
        <v>0</v>
      </c>
      <c r="I302" t="n">
        <v>0</v>
      </c>
      <c r="J302" t="n">
        <v>0</v>
      </c>
      <c r="K302" t="n">
        <v>0</v>
      </c>
      <c r="L302" t="n">
        <v>0</v>
      </c>
      <c r="M302" t="n">
        <v>0</v>
      </c>
      <c r="N302" t="n">
        <v>0</v>
      </c>
      <c r="O302" t="n">
        <v>0</v>
      </c>
      <c r="P302" t="n">
        <v>0</v>
      </c>
      <c r="Q302" t="n">
        <v>0</v>
      </c>
      <c r="R302" s="2" t="inlineStr"/>
    </row>
    <row r="303" ht="15" customHeight="1">
      <c r="A303" t="inlineStr">
        <is>
          <t>A 32205-2025</t>
        </is>
      </c>
      <c r="B303" s="1" t="n">
        <v>45835</v>
      </c>
      <c r="C303" s="1" t="n">
        <v>46049</v>
      </c>
      <c r="D303" t="inlineStr">
        <is>
          <t>VÄSTMANLANDS LÄN</t>
        </is>
      </c>
      <c r="E303" t="inlineStr">
        <is>
          <t>SALA</t>
        </is>
      </c>
      <c r="F303" t="inlineStr">
        <is>
          <t>Bergvik skog öst AB</t>
        </is>
      </c>
      <c r="G303" t="n">
        <v>1.1</v>
      </c>
      <c r="H303" t="n">
        <v>0</v>
      </c>
      <c r="I303" t="n">
        <v>0</v>
      </c>
      <c r="J303" t="n">
        <v>0</v>
      </c>
      <c r="K303" t="n">
        <v>0</v>
      </c>
      <c r="L303" t="n">
        <v>0</v>
      </c>
      <c r="M303" t="n">
        <v>0</v>
      </c>
      <c r="N303" t="n">
        <v>0</v>
      </c>
      <c r="O303" t="n">
        <v>0</v>
      </c>
      <c r="P303" t="n">
        <v>0</v>
      </c>
      <c r="Q303" t="n">
        <v>0</v>
      </c>
      <c r="R303" s="2" t="inlineStr"/>
    </row>
    <row r="304" ht="15" customHeight="1">
      <c r="A304" t="inlineStr">
        <is>
          <t>A 55035-2023</t>
        </is>
      </c>
      <c r="B304" s="1" t="n">
        <v>45229</v>
      </c>
      <c r="C304" s="1" t="n">
        <v>46049</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42421-2025</t>
        </is>
      </c>
      <c r="B305" s="1" t="n">
        <v>45905.40067129629</v>
      </c>
      <c r="C305" s="1" t="n">
        <v>46049</v>
      </c>
      <c r="D305" t="inlineStr">
        <is>
          <t>VÄSTMANLANDS LÄN</t>
        </is>
      </c>
      <c r="E305" t="inlineStr">
        <is>
          <t>SALA</t>
        </is>
      </c>
      <c r="G305" t="n">
        <v>1.3</v>
      </c>
      <c r="H305" t="n">
        <v>0</v>
      </c>
      <c r="I305" t="n">
        <v>0</v>
      </c>
      <c r="J305" t="n">
        <v>0</v>
      </c>
      <c r="K305" t="n">
        <v>0</v>
      </c>
      <c r="L305" t="n">
        <v>0</v>
      </c>
      <c r="M305" t="n">
        <v>0</v>
      </c>
      <c r="N305" t="n">
        <v>0</v>
      </c>
      <c r="O305" t="n">
        <v>0</v>
      </c>
      <c r="P305" t="n">
        <v>0</v>
      </c>
      <c r="Q305" t="n">
        <v>0</v>
      </c>
      <c r="R305" s="2" t="inlineStr"/>
    </row>
    <row r="306" ht="15" customHeight="1">
      <c r="A306" t="inlineStr">
        <is>
          <t>A 32210-2025</t>
        </is>
      </c>
      <c r="B306" s="1" t="n">
        <v>45835</v>
      </c>
      <c r="C306" s="1" t="n">
        <v>46049</v>
      </c>
      <c r="D306" t="inlineStr">
        <is>
          <t>VÄSTMANLANDS LÄN</t>
        </is>
      </c>
      <c r="E306" t="inlineStr">
        <is>
          <t>SALA</t>
        </is>
      </c>
      <c r="F306" t="inlineStr">
        <is>
          <t>Bergvik skog öst AB</t>
        </is>
      </c>
      <c r="G306" t="n">
        <v>1.5</v>
      </c>
      <c r="H306" t="n">
        <v>0</v>
      </c>
      <c r="I306" t="n">
        <v>0</v>
      </c>
      <c r="J306" t="n">
        <v>0</v>
      </c>
      <c r="K306" t="n">
        <v>0</v>
      </c>
      <c r="L306" t="n">
        <v>0</v>
      </c>
      <c r="M306" t="n">
        <v>0</v>
      </c>
      <c r="N306" t="n">
        <v>0</v>
      </c>
      <c r="O306" t="n">
        <v>0</v>
      </c>
      <c r="P306" t="n">
        <v>0</v>
      </c>
      <c r="Q306" t="n">
        <v>0</v>
      </c>
      <c r="R306" s="2" t="inlineStr"/>
    </row>
    <row r="307" ht="15" customHeight="1">
      <c r="A307" t="inlineStr">
        <is>
          <t>A 4736-2021</t>
        </is>
      </c>
      <c r="B307" s="1" t="n">
        <v>44225</v>
      </c>
      <c r="C307" s="1" t="n">
        <v>46049</v>
      </c>
      <c r="D307" t="inlineStr">
        <is>
          <t>VÄSTMANLANDS LÄN</t>
        </is>
      </c>
      <c r="E307" t="inlineStr">
        <is>
          <t>SALA</t>
        </is>
      </c>
      <c r="G307" t="n">
        <v>4.2</v>
      </c>
      <c r="H307" t="n">
        <v>0</v>
      </c>
      <c r="I307" t="n">
        <v>0</v>
      </c>
      <c r="J307" t="n">
        <v>0</v>
      </c>
      <c r="K307" t="n">
        <v>0</v>
      </c>
      <c r="L307" t="n">
        <v>0</v>
      </c>
      <c r="M307" t="n">
        <v>0</v>
      </c>
      <c r="N307" t="n">
        <v>0</v>
      </c>
      <c r="O307" t="n">
        <v>0</v>
      </c>
      <c r="P307" t="n">
        <v>0</v>
      </c>
      <c r="Q307" t="n">
        <v>0</v>
      </c>
      <c r="R307" s="2" t="inlineStr"/>
    </row>
    <row r="308" ht="15" customHeight="1">
      <c r="A308" t="inlineStr">
        <is>
          <t>A 32286-2025</t>
        </is>
      </c>
      <c r="B308" s="1" t="n">
        <v>45835</v>
      </c>
      <c r="C308" s="1" t="n">
        <v>46049</v>
      </c>
      <c r="D308" t="inlineStr">
        <is>
          <t>VÄSTMANLANDS LÄN</t>
        </is>
      </c>
      <c r="E308" t="inlineStr">
        <is>
          <t>SALA</t>
        </is>
      </c>
      <c r="G308" t="n">
        <v>6.4</v>
      </c>
      <c r="H308" t="n">
        <v>0</v>
      </c>
      <c r="I308" t="n">
        <v>0</v>
      </c>
      <c r="J308" t="n">
        <v>0</v>
      </c>
      <c r="K308" t="n">
        <v>0</v>
      </c>
      <c r="L308" t="n">
        <v>0</v>
      </c>
      <c r="M308" t="n">
        <v>0</v>
      </c>
      <c r="N308" t="n">
        <v>0</v>
      </c>
      <c r="O308" t="n">
        <v>0</v>
      </c>
      <c r="P308" t="n">
        <v>0</v>
      </c>
      <c r="Q308" t="n">
        <v>0</v>
      </c>
      <c r="R308" s="2" t="inlineStr"/>
    </row>
    <row r="309" ht="15" customHeight="1">
      <c r="A309" t="inlineStr">
        <is>
          <t>A 43028-2025</t>
        </is>
      </c>
      <c r="B309" s="1" t="n">
        <v>45909.53472222222</v>
      </c>
      <c r="C309" s="1" t="n">
        <v>46049</v>
      </c>
      <c r="D309" t="inlineStr">
        <is>
          <t>VÄSTMANLANDS LÄN</t>
        </is>
      </c>
      <c r="E309" t="inlineStr">
        <is>
          <t>SALA</t>
        </is>
      </c>
      <c r="G309" t="n">
        <v>3.8</v>
      </c>
      <c r="H309" t="n">
        <v>0</v>
      </c>
      <c r="I309" t="n">
        <v>0</v>
      </c>
      <c r="J309" t="n">
        <v>0</v>
      </c>
      <c r="K309" t="n">
        <v>0</v>
      </c>
      <c r="L309" t="n">
        <v>0</v>
      </c>
      <c r="M309" t="n">
        <v>0</v>
      </c>
      <c r="N309" t="n">
        <v>0</v>
      </c>
      <c r="O309" t="n">
        <v>0</v>
      </c>
      <c r="P309" t="n">
        <v>0</v>
      </c>
      <c r="Q309" t="n">
        <v>0</v>
      </c>
      <c r="R309" s="2" t="inlineStr"/>
    </row>
    <row r="310" ht="15" customHeight="1">
      <c r="A310" t="inlineStr">
        <is>
          <t>A 32207-2025</t>
        </is>
      </c>
      <c r="B310" s="1" t="n">
        <v>45835</v>
      </c>
      <c r="C310" s="1" t="n">
        <v>46049</v>
      </c>
      <c r="D310" t="inlineStr">
        <is>
          <t>VÄSTMANLANDS LÄN</t>
        </is>
      </c>
      <c r="E310" t="inlineStr">
        <is>
          <t>SALA</t>
        </is>
      </c>
      <c r="F310" t="inlineStr">
        <is>
          <t>Bergvik skog öst AB</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43328-2025</t>
        </is>
      </c>
      <c r="B311" s="1" t="n">
        <v>45910</v>
      </c>
      <c r="C311" s="1" t="n">
        <v>46049</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52500-2024</t>
        </is>
      </c>
      <c r="B312" s="1" t="n">
        <v>45609</v>
      </c>
      <c r="C312" s="1" t="n">
        <v>46049</v>
      </c>
      <c r="D312" t="inlineStr">
        <is>
          <t>VÄSTMANLANDS LÄN</t>
        </is>
      </c>
      <c r="E312" t="inlineStr">
        <is>
          <t>SALA</t>
        </is>
      </c>
      <c r="G312" t="n">
        <v>1.3</v>
      </c>
      <c r="H312" t="n">
        <v>0</v>
      </c>
      <c r="I312" t="n">
        <v>0</v>
      </c>
      <c r="J312" t="n">
        <v>0</v>
      </c>
      <c r="K312" t="n">
        <v>0</v>
      </c>
      <c r="L312" t="n">
        <v>0</v>
      </c>
      <c r="M312" t="n">
        <v>0</v>
      </c>
      <c r="N312" t="n">
        <v>0</v>
      </c>
      <c r="O312" t="n">
        <v>0</v>
      </c>
      <c r="P312" t="n">
        <v>0</v>
      </c>
      <c r="Q312" t="n">
        <v>0</v>
      </c>
      <c r="R312" s="2" t="inlineStr"/>
    </row>
    <row r="313" ht="15" customHeight="1">
      <c r="A313" t="inlineStr">
        <is>
          <t>A 43031-2025</t>
        </is>
      </c>
      <c r="B313" s="1" t="n">
        <v>45909.53856481481</v>
      </c>
      <c r="C313" s="1" t="n">
        <v>46049</v>
      </c>
      <c r="D313" t="inlineStr">
        <is>
          <t>VÄSTMANLANDS LÄN</t>
        </is>
      </c>
      <c r="E313" t="inlineStr">
        <is>
          <t>SALA</t>
        </is>
      </c>
      <c r="G313" t="n">
        <v>0.2</v>
      </c>
      <c r="H313" t="n">
        <v>0</v>
      </c>
      <c r="I313" t="n">
        <v>0</v>
      </c>
      <c r="J313" t="n">
        <v>0</v>
      </c>
      <c r="K313" t="n">
        <v>0</v>
      </c>
      <c r="L313" t="n">
        <v>0</v>
      </c>
      <c r="M313" t="n">
        <v>0</v>
      </c>
      <c r="N313" t="n">
        <v>0</v>
      </c>
      <c r="O313" t="n">
        <v>0</v>
      </c>
      <c r="P313" t="n">
        <v>0</v>
      </c>
      <c r="Q313" t="n">
        <v>0</v>
      </c>
      <c r="R313" s="2" t="inlineStr"/>
    </row>
    <row r="314" ht="15" customHeight="1">
      <c r="A314" t="inlineStr">
        <is>
          <t>A 17495-2024</t>
        </is>
      </c>
      <c r="B314" s="1" t="n">
        <v>45415</v>
      </c>
      <c r="C314" s="1" t="n">
        <v>46049</v>
      </c>
      <c r="D314" t="inlineStr">
        <is>
          <t>VÄSTMANLANDS LÄN</t>
        </is>
      </c>
      <c r="E314" t="inlineStr">
        <is>
          <t>SALA</t>
        </is>
      </c>
      <c r="G314" t="n">
        <v>3.1</v>
      </c>
      <c r="H314" t="n">
        <v>0</v>
      </c>
      <c r="I314" t="n">
        <v>0</v>
      </c>
      <c r="J314" t="n">
        <v>0</v>
      </c>
      <c r="K314" t="n">
        <v>0</v>
      </c>
      <c r="L314" t="n">
        <v>0</v>
      </c>
      <c r="M314" t="n">
        <v>0</v>
      </c>
      <c r="N314" t="n">
        <v>0</v>
      </c>
      <c r="O314" t="n">
        <v>0</v>
      </c>
      <c r="P314" t="n">
        <v>0</v>
      </c>
      <c r="Q314" t="n">
        <v>0</v>
      </c>
      <c r="R314" s="2" t="inlineStr"/>
    </row>
    <row r="315" ht="15" customHeight="1">
      <c r="A315" t="inlineStr">
        <is>
          <t>A 32902-2025</t>
        </is>
      </c>
      <c r="B315" s="1" t="n">
        <v>45839</v>
      </c>
      <c r="C315" s="1" t="n">
        <v>46049</v>
      </c>
      <c r="D315" t="inlineStr">
        <is>
          <t>VÄSTMANLANDS LÄN</t>
        </is>
      </c>
      <c r="E315" t="inlineStr">
        <is>
          <t>SALA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37263-2025</t>
        </is>
      </c>
      <c r="B316" s="1" t="n">
        <v>45876.4584837963</v>
      </c>
      <c r="C316" s="1" t="n">
        <v>46049</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40554-2025</t>
        </is>
      </c>
      <c r="B317" s="1" t="n">
        <v>45896.44506944445</v>
      </c>
      <c r="C317" s="1" t="n">
        <v>46049</v>
      </c>
      <c r="D317" t="inlineStr">
        <is>
          <t>VÄSTMANLANDS LÄN</t>
        </is>
      </c>
      <c r="E317" t="inlineStr">
        <is>
          <t>SALA</t>
        </is>
      </c>
      <c r="G317" t="n">
        <v>0.9</v>
      </c>
      <c r="H317" t="n">
        <v>0</v>
      </c>
      <c r="I317" t="n">
        <v>0</v>
      </c>
      <c r="J317" t="n">
        <v>0</v>
      </c>
      <c r="K317" t="n">
        <v>0</v>
      </c>
      <c r="L317" t="n">
        <v>0</v>
      </c>
      <c r="M317" t="n">
        <v>0</v>
      </c>
      <c r="N317" t="n">
        <v>0</v>
      </c>
      <c r="O317" t="n">
        <v>0</v>
      </c>
      <c r="P317" t="n">
        <v>0</v>
      </c>
      <c r="Q317" t="n">
        <v>0</v>
      </c>
      <c r="R317" s="2" t="inlineStr"/>
    </row>
    <row r="318" ht="15" customHeight="1">
      <c r="A318" t="inlineStr">
        <is>
          <t>A 43129-2025</t>
        </is>
      </c>
      <c r="B318" s="1" t="n">
        <v>45909</v>
      </c>
      <c r="C318" s="1" t="n">
        <v>46049</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43130-2025</t>
        </is>
      </c>
      <c r="B319" s="1" t="n">
        <v>45909</v>
      </c>
      <c r="C319" s="1" t="n">
        <v>46049</v>
      </c>
      <c r="D319" t="inlineStr">
        <is>
          <t>VÄSTMANLANDS LÄN</t>
        </is>
      </c>
      <c r="E319" t="inlineStr">
        <is>
          <t>SALA</t>
        </is>
      </c>
      <c r="G319" t="n">
        <v>0.9</v>
      </c>
      <c r="H319" t="n">
        <v>0</v>
      </c>
      <c r="I319" t="n">
        <v>0</v>
      </c>
      <c r="J319" t="n">
        <v>0</v>
      </c>
      <c r="K319" t="n">
        <v>0</v>
      </c>
      <c r="L319" t="n">
        <v>0</v>
      </c>
      <c r="M319" t="n">
        <v>0</v>
      </c>
      <c r="N319" t="n">
        <v>0</v>
      </c>
      <c r="O319" t="n">
        <v>0</v>
      </c>
      <c r="P319" t="n">
        <v>0</v>
      </c>
      <c r="Q319" t="n">
        <v>0</v>
      </c>
      <c r="R319" s="2" t="inlineStr"/>
    </row>
    <row r="320" ht="15" customHeight="1">
      <c r="A320" t="inlineStr">
        <is>
          <t>A 43128-2025</t>
        </is>
      </c>
      <c r="B320" s="1" t="n">
        <v>45909</v>
      </c>
      <c r="C320" s="1" t="n">
        <v>46049</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43127-2025</t>
        </is>
      </c>
      <c r="B321" s="1" t="n">
        <v>45909</v>
      </c>
      <c r="C321" s="1" t="n">
        <v>46049</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7950-2025</t>
        </is>
      </c>
      <c r="B322" s="1" t="n">
        <v>45707.41799768519</v>
      </c>
      <c r="C322" s="1" t="n">
        <v>46049</v>
      </c>
      <c r="D322" t="inlineStr">
        <is>
          <t>VÄSTMANLANDS LÄN</t>
        </is>
      </c>
      <c r="E322" t="inlineStr">
        <is>
          <t>SALA</t>
        </is>
      </c>
      <c r="G322" t="n">
        <v>3.2</v>
      </c>
      <c r="H322" t="n">
        <v>0</v>
      </c>
      <c r="I322" t="n">
        <v>0</v>
      </c>
      <c r="J322" t="n">
        <v>0</v>
      </c>
      <c r="K322" t="n">
        <v>0</v>
      </c>
      <c r="L322" t="n">
        <v>0</v>
      </c>
      <c r="M322" t="n">
        <v>0</v>
      </c>
      <c r="N322" t="n">
        <v>0</v>
      </c>
      <c r="O322" t="n">
        <v>0</v>
      </c>
      <c r="P322" t="n">
        <v>0</v>
      </c>
      <c r="Q322" t="n">
        <v>0</v>
      </c>
      <c r="R322" s="2" t="inlineStr"/>
    </row>
    <row r="323" ht="15" customHeight="1">
      <c r="A323" t="inlineStr">
        <is>
          <t>A 10812-2021</t>
        </is>
      </c>
      <c r="B323" s="1" t="n">
        <v>44259</v>
      </c>
      <c r="C323" s="1" t="n">
        <v>46049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10154-2021</t>
        </is>
      </c>
      <c r="B324" s="1" t="n">
        <v>44256</v>
      </c>
      <c r="C324" s="1" t="n">
        <v>46049</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16328-2025</t>
        </is>
      </c>
      <c r="B325" s="1" t="n">
        <v>45751</v>
      </c>
      <c r="C325" s="1" t="n">
        <v>46049</v>
      </c>
      <c r="D325" t="inlineStr">
        <is>
          <t>VÄSTMANLANDS LÄN</t>
        </is>
      </c>
      <c r="E325" t="inlineStr">
        <is>
          <t>SALA</t>
        </is>
      </c>
      <c r="G325" t="n">
        <v>2.9</v>
      </c>
      <c r="H325" t="n">
        <v>0</v>
      </c>
      <c r="I325" t="n">
        <v>0</v>
      </c>
      <c r="J325" t="n">
        <v>0</v>
      </c>
      <c r="K325" t="n">
        <v>0</v>
      </c>
      <c r="L325" t="n">
        <v>0</v>
      </c>
      <c r="M325" t="n">
        <v>0</v>
      </c>
      <c r="N325" t="n">
        <v>0</v>
      </c>
      <c r="O325" t="n">
        <v>0</v>
      </c>
      <c r="P325" t="n">
        <v>0</v>
      </c>
      <c r="Q325" t="n">
        <v>0</v>
      </c>
      <c r="R325" s="2" t="inlineStr"/>
    </row>
    <row r="326" ht="15" customHeight="1">
      <c r="A326" t="inlineStr">
        <is>
          <t>A 44100-2025</t>
        </is>
      </c>
      <c r="B326" s="1" t="n">
        <v>45915.56707175926</v>
      </c>
      <c r="C326" s="1" t="n">
        <v>46049</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34069-2025</t>
        </is>
      </c>
      <c r="B327" s="1" t="n">
        <v>45845.43560185185</v>
      </c>
      <c r="C327" s="1" t="n">
        <v>46049</v>
      </c>
      <c r="D327" t="inlineStr">
        <is>
          <t>VÄSTMANLANDS LÄN</t>
        </is>
      </c>
      <c r="E327" t="inlineStr">
        <is>
          <t>SALA</t>
        </is>
      </c>
      <c r="G327" t="n">
        <v>0.5</v>
      </c>
      <c r="H327" t="n">
        <v>0</v>
      </c>
      <c r="I327" t="n">
        <v>0</v>
      </c>
      <c r="J327" t="n">
        <v>0</v>
      </c>
      <c r="K327" t="n">
        <v>0</v>
      </c>
      <c r="L327" t="n">
        <v>0</v>
      </c>
      <c r="M327" t="n">
        <v>0</v>
      </c>
      <c r="N327" t="n">
        <v>0</v>
      </c>
      <c r="O327" t="n">
        <v>0</v>
      </c>
      <c r="P327" t="n">
        <v>0</v>
      </c>
      <c r="Q327" t="n">
        <v>0</v>
      </c>
      <c r="R327" s="2" t="inlineStr"/>
      <c r="U327">
        <f>HYPERLINK("https://klasma.github.io/Logging_1981/knärot/A 34069-2025 karta knärot.png", "A 34069-2025")</f>
        <v/>
      </c>
      <c r="V327">
        <f>HYPERLINK("https://klasma.github.io/Logging_1981/klagomål/A 34069-2025 FSC-klagomål.docx", "A 34069-2025")</f>
        <v/>
      </c>
      <c r="W327">
        <f>HYPERLINK("https://klasma.github.io/Logging_1981/klagomålsmail/A 34069-2025 FSC-klagomål mail.docx", "A 34069-2025")</f>
        <v/>
      </c>
      <c r="X327">
        <f>HYPERLINK("https://klasma.github.io/Logging_1981/tillsyn/A 34069-2025 tillsynsbegäran.docx", "A 34069-2025")</f>
        <v/>
      </c>
      <c r="Y327">
        <f>HYPERLINK("https://klasma.github.io/Logging_1981/tillsynsmail/A 34069-2025 tillsynsbegäran mail.docx", "A 34069-2025")</f>
        <v/>
      </c>
    </row>
    <row r="328" ht="15" customHeight="1">
      <c r="A328" t="inlineStr">
        <is>
          <t>A 44486-2025</t>
        </is>
      </c>
      <c r="B328" s="1" t="n">
        <v>45916.65517361111</v>
      </c>
      <c r="C328" s="1" t="n">
        <v>46049</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31609-2024</t>
        </is>
      </c>
      <c r="B329" s="1" t="n">
        <v>45506</v>
      </c>
      <c r="C329" s="1" t="n">
        <v>46049</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44524-2025</t>
        </is>
      </c>
      <c r="B330" s="1" t="n">
        <v>45916.72920138889</v>
      </c>
      <c r="C330" s="1" t="n">
        <v>46049</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43122-2025</t>
        </is>
      </c>
      <c r="B331" s="1" t="n">
        <v>45909</v>
      </c>
      <c r="C331" s="1" t="n">
        <v>46049</v>
      </c>
      <c r="D331" t="inlineStr">
        <is>
          <t>VÄSTMANLANDS LÄN</t>
        </is>
      </c>
      <c r="E331" t="inlineStr">
        <is>
          <t>SALA</t>
        </is>
      </c>
      <c r="G331" t="n">
        <v>3.2</v>
      </c>
      <c r="H331" t="n">
        <v>0</v>
      </c>
      <c r="I331" t="n">
        <v>0</v>
      </c>
      <c r="J331" t="n">
        <v>0</v>
      </c>
      <c r="K331" t="n">
        <v>0</v>
      </c>
      <c r="L331" t="n">
        <v>0</v>
      </c>
      <c r="M331" t="n">
        <v>0</v>
      </c>
      <c r="N331" t="n">
        <v>0</v>
      </c>
      <c r="O331" t="n">
        <v>0</v>
      </c>
      <c r="P331" t="n">
        <v>0</v>
      </c>
      <c r="Q331" t="n">
        <v>0</v>
      </c>
      <c r="R331" s="2" t="inlineStr"/>
    </row>
    <row r="332" ht="15" customHeight="1">
      <c r="A332" t="inlineStr">
        <is>
          <t>A 15744-2025</t>
        </is>
      </c>
      <c r="B332" s="1" t="n">
        <v>45748</v>
      </c>
      <c r="C332" s="1" t="n">
        <v>46049</v>
      </c>
      <c r="D332" t="inlineStr">
        <is>
          <t>VÄSTMANLANDS LÄN</t>
        </is>
      </c>
      <c r="E332" t="inlineStr">
        <is>
          <t>SALA</t>
        </is>
      </c>
      <c r="G332" t="n">
        <v>1.6</v>
      </c>
      <c r="H332" t="n">
        <v>0</v>
      </c>
      <c r="I332" t="n">
        <v>0</v>
      </c>
      <c r="J332" t="n">
        <v>0</v>
      </c>
      <c r="K332" t="n">
        <v>0</v>
      </c>
      <c r="L332" t="n">
        <v>0</v>
      </c>
      <c r="M332" t="n">
        <v>0</v>
      </c>
      <c r="N332" t="n">
        <v>0</v>
      </c>
      <c r="O332" t="n">
        <v>0</v>
      </c>
      <c r="P332" t="n">
        <v>0</v>
      </c>
      <c r="Q332" t="n">
        <v>0</v>
      </c>
      <c r="R332" s="2" t="inlineStr"/>
    </row>
    <row r="333" ht="15" customHeight="1">
      <c r="A333" t="inlineStr">
        <is>
          <t>A 35410-2022</t>
        </is>
      </c>
      <c r="B333" s="1" t="n">
        <v>44798.62576388889</v>
      </c>
      <c r="C333" s="1" t="n">
        <v>46049</v>
      </c>
      <c r="D333" t="inlineStr">
        <is>
          <t>VÄSTMANLANDS LÄN</t>
        </is>
      </c>
      <c r="E333" t="inlineStr">
        <is>
          <t>SALA</t>
        </is>
      </c>
      <c r="G333" t="n">
        <v>1.6</v>
      </c>
      <c r="H333" t="n">
        <v>0</v>
      </c>
      <c r="I333" t="n">
        <v>0</v>
      </c>
      <c r="J333" t="n">
        <v>0</v>
      </c>
      <c r="K333" t="n">
        <v>0</v>
      </c>
      <c r="L333" t="n">
        <v>0</v>
      </c>
      <c r="M333" t="n">
        <v>0</v>
      </c>
      <c r="N333" t="n">
        <v>0</v>
      </c>
      <c r="O333" t="n">
        <v>0</v>
      </c>
      <c r="P333" t="n">
        <v>0</v>
      </c>
      <c r="Q333" t="n">
        <v>0</v>
      </c>
      <c r="R333" s="2" t="inlineStr"/>
    </row>
    <row r="334" ht="15" customHeight="1">
      <c r="A334" t="inlineStr">
        <is>
          <t>A 45371-2025</t>
        </is>
      </c>
      <c r="B334" s="1" t="n">
        <v>45922.39001157408</v>
      </c>
      <c r="C334" s="1" t="n">
        <v>46049</v>
      </c>
      <c r="D334" t="inlineStr">
        <is>
          <t>VÄSTMANLANDS LÄN</t>
        </is>
      </c>
      <c r="E334" t="inlineStr">
        <is>
          <t>SALA</t>
        </is>
      </c>
      <c r="G334" t="n">
        <v>2.1</v>
      </c>
      <c r="H334" t="n">
        <v>0</v>
      </c>
      <c r="I334" t="n">
        <v>0</v>
      </c>
      <c r="J334" t="n">
        <v>0</v>
      </c>
      <c r="K334" t="n">
        <v>0</v>
      </c>
      <c r="L334" t="n">
        <v>0</v>
      </c>
      <c r="M334" t="n">
        <v>0</v>
      </c>
      <c r="N334" t="n">
        <v>0</v>
      </c>
      <c r="O334" t="n">
        <v>0</v>
      </c>
      <c r="P334" t="n">
        <v>0</v>
      </c>
      <c r="Q334" t="n">
        <v>0</v>
      </c>
      <c r="R334" s="2" t="inlineStr"/>
    </row>
    <row r="335" ht="15" customHeight="1">
      <c r="A335" t="inlineStr">
        <is>
          <t>A 45177-2025</t>
        </is>
      </c>
      <c r="B335" s="1" t="n">
        <v>45919.52444444445</v>
      </c>
      <c r="C335" s="1" t="n">
        <v>46049</v>
      </c>
      <c r="D335" t="inlineStr">
        <is>
          <t>VÄSTMANLANDS LÄN</t>
        </is>
      </c>
      <c r="E335" t="inlineStr">
        <is>
          <t>SALA</t>
        </is>
      </c>
      <c r="G335" t="n">
        <v>2.4</v>
      </c>
      <c r="H335" t="n">
        <v>0</v>
      </c>
      <c r="I335" t="n">
        <v>0</v>
      </c>
      <c r="J335" t="n">
        <v>0</v>
      </c>
      <c r="K335" t="n">
        <v>0</v>
      </c>
      <c r="L335" t="n">
        <v>0</v>
      </c>
      <c r="M335" t="n">
        <v>0</v>
      </c>
      <c r="N335" t="n">
        <v>0</v>
      </c>
      <c r="O335" t="n">
        <v>0</v>
      </c>
      <c r="P335" t="n">
        <v>0</v>
      </c>
      <c r="Q335" t="n">
        <v>0</v>
      </c>
      <c r="R335" s="2" t="inlineStr"/>
    </row>
    <row r="336" ht="15" customHeight="1">
      <c r="A336" t="inlineStr">
        <is>
          <t>A 21159-2022</t>
        </is>
      </c>
      <c r="B336" s="1" t="n">
        <v>44704</v>
      </c>
      <c r="C336" s="1" t="n">
        <v>46049</v>
      </c>
      <c r="D336" t="inlineStr">
        <is>
          <t>VÄSTMANLANDS LÄN</t>
        </is>
      </c>
      <c r="E336" t="inlineStr">
        <is>
          <t>SALA</t>
        </is>
      </c>
      <c r="G336" t="n">
        <v>1.4</v>
      </c>
      <c r="H336" t="n">
        <v>0</v>
      </c>
      <c r="I336" t="n">
        <v>0</v>
      </c>
      <c r="J336" t="n">
        <v>0</v>
      </c>
      <c r="K336" t="n">
        <v>0</v>
      </c>
      <c r="L336" t="n">
        <v>0</v>
      </c>
      <c r="M336" t="n">
        <v>0</v>
      </c>
      <c r="N336" t="n">
        <v>0</v>
      </c>
      <c r="O336" t="n">
        <v>0</v>
      </c>
      <c r="P336" t="n">
        <v>0</v>
      </c>
      <c r="Q336" t="n">
        <v>0</v>
      </c>
      <c r="R336" s="2" t="inlineStr"/>
    </row>
    <row r="337" ht="15" customHeight="1">
      <c r="A337" t="inlineStr">
        <is>
          <t>A 41292-2021</t>
        </is>
      </c>
      <c r="B337" s="1" t="n">
        <v>44424</v>
      </c>
      <c r="C337" s="1" t="n">
        <v>46049</v>
      </c>
      <c r="D337" t="inlineStr">
        <is>
          <t>VÄSTMANLANDS LÄN</t>
        </is>
      </c>
      <c r="E337" t="inlineStr">
        <is>
          <t>SALA</t>
        </is>
      </c>
      <c r="G337" t="n">
        <v>0.3</v>
      </c>
      <c r="H337" t="n">
        <v>0</v>
      </c>
      <c r="I337" t="n">
        <v>0</v>
      </c>
      <c r="J337" t="n">
        <v>0</v>
      </c>
      <c r="K337" t="n">
        <v>0</v>
      </c>
      <c r="L337" t="n">
        <v>0</v>
      </c>
      <c r="M337" t="n">
        <v>0</v>
      </c>
      <c r="N337" t="n">
        <v>0</v>
      </c>
      <c r="O337" t="n">
        <v>0</v>
      </c>
      <c r="P337" t="n">
        <v>0</v>
      </c>
      <c r="Q337" t="n">
        <v>0</v>
      </c>
      <c r="R337" s="2" t="inlineStr"/>
    </row>
    <row r="338" ht="15" customHeight="1">
      <c r="A338" t="inlineStr">
        <is>
          <t>A 45914-2025</t>
        </is>
      </c>
      <c r="B338" s="1" t="n">
        <v>45923.82582175926</v>
      </c>
      <c r="C338" s="1" t="n">
        <v>46049</v>
      </c>
      <c r="D338" t="inlineStr">
        <is>
          <t>VÄSTMANLANDS LÄN</t>
        </is>
      </c>
      <c r="E338" t="inlineStr">
        <is>
          <t>SALA</t>
        </is>
      </c>
      <c r="F338" t="inlineStr">
        <is>
          <t>Kommuner</t>
        </is>
      </c>
      <c r="G338" t="n">
        <v>18.2</v>
      </c>
      <c r="H338" t="n">
        <v>0</v>
      </c>
      <c r="I338" t="n">
        <v>0</v>
      </c>
      <c r="J338" t="n">
        <v>0</v>
      </c>
      <c r="K338" t="n">
        <v>0</v>
      </c>
      <c r="L338" t="n">
        <v>0</v>
      </c>
      <c r="M338" t="n">
        <v>0</v>
      </c>
      <c r="N338" t="n">
        <v>0</v>
      </c>
      <c r="O338" t="n">
        <v>0</v>
      </c>
      <c r="P338" t="n">
        <v>0</v>
      </c>
      <c r="Q338" t="n">
        <v>0</v>
      </c>
      <c r="R338" s="2" t="inlineStr"/>
    </row>
    <row r="339" ht="15" customHeight="1">
      <c r="A339" t="inlineStr">
        <is>
          <t>A 60328-2024</t>
        </is>
      </c>
      <c r="B339" s="1" t="n">
        <v>45643.38416666666</v>
      </c>
      <c r="C339" s="1" t="n">
        <v>46049</v>
      </c>
      <c r="D339" t="inlineStr">
        <is>
          <t>VÄSTMANLANDS LÄN</t>
        </is>
      </c>
      <c r="E339" t="inlineStr">
        <is>
          <t>SALA</t>
        </is>
      </c>
      <c r="G339" t="n">
        <v>0.5</v>
      </c>
      <c r="H339" t="n">
        <v>0</v>
      </c>
      <c r="I339" t="n">
        <v>0</v>
      </c>
      <c r="J339" t="n">
        <v>0</v>
      </c>
      <c r="K339" t="n">
        <v>0</v>
      </c>
      <c r="L339" t="n">
        <v>0</v>
      </c>
      <c r="M339" t="n">
        <v>0</v>
      </c>
      <c r="N339" t="n">
        <v>0</v>
      </c>
      <c r="O339" t="n">
        <v>0</v>
      </c>
      <c r="P339" t="n">
        <v>0</v>
      </c>
      <c r="Q339" t="n">
        <v>0</v>
      </c>
      <c r="R339" s="2" t="inlineStr"/>
    </row>
    <row r="340" ht="15" customHeight="1">
      <c r="A340" t="inlineStr">
        <is>
          <t>A 45909-2025</t>
        </is>
      </c>
      <c r="B340" s="1" t="n">
        <v>45923.75078703704</v>
      </c>
      <c r="C340" s="1" t="n">
        <v>46049</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35715-2025</t>
        </is>
      </c>
      <c r="B341" s="1" t="n">
        <v>45860.42148148148</v>
      </c>
      <c r="C341" s="1" t="n">
        <v>46049</v>
      </c>
      <c r="D341" t="inlineStr">
        <is>
          <t>VÄSTMANLANDS LÄN</t>
        </is>
      </c>
      <c r="E341" t="inlineStr">
        <is>
          <t>SALA</t>
        </is>
      </c>
      <c r="G341" t="n">
        <v>3.8</v>
      </c>
      <c r="H341" t="n">
        <v>0</v>
      </c>
      <c r="I341" t="n">
        <v>0</v>
      </c>
      <c r="J341" t="n">
        <v>0</v>
      </c>
      <c r="K341" t="n">
        <v>0</v>
      </c>
      <c r="L341" t="n">
        <v>0</v>
      </c>
      <c r="M341" t="n">
        <v>0</v>
      </c>
      <c r="N341" t="n">
        <v>0</v>
      </c>
      <c r="O341" t="n">
        <v>0</v>
      </c>
      <c r="P341" t="n">
        <v>0</v>
      </c>
      <c r="Q341" t="n">
        <v>0</v>
      </c>
      <c r="R341" s="2" t="inlineStr"/>
    </row>
    <row r="342" ht="15" customHeight="1">
      <c r="A342" t="inlineStr">
        <is>
          <t>A 35651-2025</t>
        </is>
      </c>
      <c r="B342" s="1" t="n">
        <v>45859.52435185185</v>
      </c>
      <c r="C342" s="1" t="n">
        <v>46049</v>
      </c>
      <c r="D342" t="inlineStr">
        <is>
          <t>VÄSTMANLANDS LÄN</t>
        </is>
      </c>
      <c r="E342" t="inlineStr">
        <is>
          <t>SALA</t>
        </is>
      </c>
      <c r="G342" t="n">
        <v>6.3</v>
      </c>
      <c r="H342" t="n">
        <v>0</v>
      </c>
      <c r="I342" t="n">
        <v>0</v>
      </c>
      <c r="J342" t="n">
        <v>0</v>
      </c>
      <c r="K342" t="n">
        <v>0</v>
      </c>
      <c r="L342" t="n">
        <v>0</v>
      </c>
      <c r="M342" t="n">
        <v>0</v>
      </c>
      <c r="N342" t="n">
        <v>0</v>
      </c>
      <c r="O342" t="n">
        <v>0</v>
      </c>
      <c r="P342" t="n">
        <v>0</v>
      </c>
      <c r="Q342" t="n">
        <v>0</v>
      </c>
      <c r="R342" s="2" t="inlineStr"/>
    </row>
    <row r="343" ht="15" customHeight="1">
      <c r="A343" t="inlineStr">
        <is>
          <t>A 35775-2025</t>
        </is>
      </c>
      <c r="B343" s="1" t="n">
        <v>45860</v>
      </c>
      <c r="C343" s="1" t="n">
        <v>46049</v>
      </c>
      <c r="D343" t="inlineStr">
        <is>
          <t>VÄSTMANLANDS LÄN</t>
        </is>
      </c>
      <c r="E343" t="inlineStr">
        <is>
          <t>SALA</t>
        </is>
      </c>
      <c r="G343" t="n">
        <v>2.6</v>
      </c>
      <c r="H343" t="n">
        <v>0</v>
      </c>
      <c r="I343" t="n">
        <v>0</v>
      </c>
      <c r="J343" t="n">
        <v>0</v>
      </c>
      <c r="K343" t="n">
        <v>0</v>
      </c>
      <c r="L343" t="n">
        <v>0</v>
      </c>
      <c r="M343" t="n">
        <v>0</v>
      </c>
      <c r="N343" t="n">
        <v>0</v>
      </c>
      <c r="O343" t="n">
        <v>0</v>
      </c>
      <c r="P343" t="n">
        <v>0</v>
      </c>
      <c r="Q343" t="n">
        <v>0</v>
      </c>
      <c r="R343" s="2" t="inlineStr"/>
    </row>
    <row r="344" ht="15" customHeight="1">
      <c r="A344" t="inlineStr">
        <is>
          <t>A 35774-2025</t>
        </is>
      </c>
      <c r="B344" s="1" t="n">
        <v>45860.68780092592</v>
      </c>
      <c r="C344" s="1" t="n">
        <v>46049</v>
      </c>
      <c r="D344" t="inlineStr">
        <is>
          <t>VÄSTMANLANDS LÄN</t>
        </is>
      </c>
      <c r="E344" t="inlineStr">
        <is>
          <t>SALA</t>
        </is>
      </c>
      <c r="G344" t="n">
        <v>6.5</v>
      </c>
      <c r="H344" t="n">
        <v>0</v>
      </c>
      <c r="I344" t="n">
        <v>0</v>
      </c>
      <c r="J344" t="n">
        <v>0</v>
      </c>
      <c r="K344" t="n">
        <v>0</v>
      </c>
      <c r="L344" t="n">
        <v>0</v>
      </c>
      <c r="M344" t="n">
        <v>0</v>
      </c>
      <c r="N344" t="n">
        <v>0</v>
      </c>
      <c r="O344" t="n">
        <v>0</v>
      </c>
      <c r="P344" t="n">
        <v>0</v>
      </c>
      <c r="Q344" t="n">
        <v>0</v>
      </c>
      <c r="R344" s="2" t="inlineStr"/>
    </row>
    <row r="345" ht="15" customHeight="1">
      <c r="A345" t="inlineStr">
        <is>
          <t>A 46597-2025</t>
        </is>
      </c>
      <c r="B345" s="1" t="n">
        <v>45926.40113425926</v>
      </c>
      <c r="C345" s="1" t="n">
        <v>46049</v>
      </c>
      <c r="D345" t="inlineStr">
        <is>
          <t>VÄSTMANLANDS LÄN</t>
        </is>
      </c>
      <c r="E345" t="inlineStr">
        <is>
          <t>SALA</t>
        </is>
      </c>
      <c r="G345" t="n">
        <v>3.4</v>
      </c>
      <c r="H345" t="n">
        <v>0</v>
      </c>
      <c r="I345" t="n">
        <v>0</v>
      </c>
      <c r="J345" t="n">
        <v>0</v>
      </c>
      <c r="K345" t="n">
        <v>0</v>
      </c>
      <c r="L345" t="n">
        <v>0</v>
      </c>
      <c r="M345" t="n">
        <v>0</v>
      </c>
      <c r="N345" t="n">
        <v>0</v>
      </c>
      <c r="O345" t="n">
        <v>0</v>
      </c>
      <c r="P345" t="n">
        <v>0</v>
      </c>
      <c r="Q345" t="n">
        <v>0</v>
      </c>
      <c r="R345" s="2" t="inlineStr"/>
    </row>
    <row r="346" ht="15" customHeight="1">
      <c r="A346" t="inlineStr">
        <is>
          <t>A 35776-2025</t>
        </is>
      </c>
      <c r="B346" s="1" t="n">
        <v>45860.69211805556</v>
      </c>
      <c r="C346" s="1" t="n">
        <v>46049</v>
      </c>
      <c r="D346" t="inlineStr">
        <is>
          <t>VÄSTMANLANDS LÄN</t>
        </is>
      </c>
      <c r="E346" t="inlineStr">
        <is>
          <t>SALA</t>
        </is>
      </c>
      <c r="G346" t="n">
        <v>14.2</v>
      </c>
      <c r="H346" t="n">
        <v>0</v>
      </c>
      <c r="I346" t="n">
        <v>0</v>
      </c>
      <c r="J346" t="n">
        <v>0</v>
      </c>
      <c r="K346" t="n">
        <v>0</v>
      </c>
      <c r="L346" t="n">
        <v>0</v>
      </c>
      <c r="M346" t="n">
        <v>0</v>
      </c>
      <c r="N346" t="n">
        <v>0</v>
      </c>
      <c r="O346" t="n">
        <v>0</v>
      </c>
      <c r="P346" t="n">
        <v>0</v>
      </c>
      <c r="Q346" t="n">
        <v>0</v>
      </c>
      <c r="R346" s="2" t="inlineStr"/>
    </row>
    <row r="347" ht="15" customHeight="1">
      <c r="A347" t="inlineStr">
        <is>
          <t>A 35779-2025</t>
        </is>
      </c>
      <c r="B347" s="1" t="n">
        <v>45860.69495370371</v>
      </c>
      <c r="C347" s="1" t="n">
        <v>46049</v>
      </c>
      <c r="D347" t="inlineStr">
        <is>
          <t>VÄSTMANLANDS LÄN</t>
        </is>
      </c>
      <c r="E347" t="inlineStr">
        <is>
          <t>SALA</t>
        </is>
      </c>
      <c r="G347" t="n">
        <v>2.4</v>
      </c>
      <c r="H347" t="n">
        <v>0</v>
      </c>
      <c r="I347" t="n">
        <v>0</v>
      </c>
      <c r="J347" t="n">
        <v>0</v>
      </c>
      <c r="K347" t="n">
        <v>0</v>
      </c>
      <c r="L347" t="n">
        <v>0</v>
      </c>
      <c r="M347" t="n">
        <v>0</v>
      </c>
      <c r="N347" t="n">
        <v>0</v>
      </c>
      <c r="O347" t="n">
        <v>0</v>
      </c>
      <c r="P347" t="n">
        <v>0</v>
      </c>
      <c r="Q347" t="n">
        <v>0</v>
      </c>
      <c r="R347" s="2" t="inlineStr"/>
    </row>
    <row r="348" ht="15" customHeight="1">
      <c r="A348" t="inlineStr">
        <is>
          <t>A 6088-2021</t>
        </is>
      </c>
      <c r="B348" s="1" t="n">
        <v>44232</v>
      </c>
      <c r="C348" s="1" t="n">
        <v>46049</v>
      </c>
      <c r="D348" t="inlineStr">
        <is>
          <t>VÄSTMANLANDS LÄN</t>
        </is>
      </c>
      <c r="E348" t="inlineStr">
        <is>
          <t>SALA</t>
        </is>
      </c>
      <c r="G348" t="n">
        <v>0.2</v>
      </c>
      <c r="H348" t="n">
        <v>0</v>
      </c>
      <c r="I348" t="n">
        <v>0</v>
      </c>
      <c r="J348" t="n">
        <v>0</v>
      </c>
      <c r="K348" t="n">
        <v>0</v>
      </c>
      <c r="L348" t="n">
        <v>0</v>
      </c>
      <c r="M348" t="n">
        <v>0</v>
      </c>
      <c r="N348" t="n">
        <v>0</v>
      </c>
      <c r="O348" t="n">
        <v>0</v>
      </c>
      <c r="P348" t="n">
        <v>0</v>
      </c>
      <c r="Q348" t="n">
        <v>0</v>
      </c>
      <c r="R348" s="2" t="inlineStr"/>
    </row>
    <row r="349" ht="15" customHeight="1">
      <c r="A349" t="inlineStr">
        <is>
          <t>A 33273-2023</t>
        </is>
      </c>
      <c r="B349" s="1" t="n">
        <v>45127</v>
      </c>
      <c r="C349" s="1" t="n">
        <v>46049</v>
      </c>
      <c r="D349" t="inlineStr">
        <is>
          <t>VÄSTMANLANDS LÄN</t>
        </is>
      </c>
      <c r="E349" t="inlineStr">
        <is>
          <t>SALA</t>
        </is>
      </c>
      <c r="G349" t="n">
        <v>2.6</v>
      </c>
      <c r="H349" t="n">
        <v>0</v>
      </c>
      <c r="I349" t="n">
        <v>0</v>
      </c>
      <c r="J349" t="n">
        <v>0</v>
      </c>
      <c r="K349" t="n">
        <v>0</v>
      </c>
      <c r="L349" t="n">
        <v>0</v>
      </c>
      <c r="M349" t="n">
        <v>0</v>
      </c>
      <c r="N349" t="n">
        <v>0</v>
      </c>
      <c r="O349" t="n">
        <v>0</v>
      </c>
      <c r="P349" t="n">
        <v>0</v>
      </c>
      <c r="Q349" t="n">
        <v>0</v>
      </c>
      <c r="R349" s="2" t="inlineStr"/>
    </row>
    <row r="350" ht="15" customHeight="1">
      <c r="A350" t="inlineStr">
        <is>
          <t>A 36049-2025</t>
        </is>
      </c>
      <c r="B350" s="1" t="n">
        <v>45866.37065972222</v>
      </c>
      <c r="C350" s="1" t="n">
        <v>46049</v>
      </c>
      <c r="D350" t="inlineStr">
        <is>
          <t>VÄSTMANLANDS LÄN</t>
        </is>
      </c>
      <c r="E350" t="inlineStr">
        <is>
          <t>SALA</t>
        </is>
      </c>
      <c r="F350" t="inlineStr">
        <is>
          <t>Kommuner</t>
        </is>
      </c>
      <c r="G350" t="n">
        <v>1.9</v>
      </c>
      <c r="H350" t="n">
        <v>0</v>
      </c>
      <c r="I350" t="n">
        <v>0</v>
      </c>
      <c r="J350" t="n">
        <v>0</v>
      </c>
      <c r="K350" t="n">
        <v>0</v>
      </c>
      <c r="L350" t="n">
        <v>0</v>
      </c>
      <c r="M350" t="n">
        <v>0</v>
      </c>
      <c r="N350" t="n">
        <v>0</v>
      </c>
      <c r="O350" t="n">
        <v>0</v>
      </c>
      <c r="P350" t="n">
        <v>0</v>
      </c>
      <c r="Q350" t="n">
        <v>0</v>
      </c>
      <c r="R350" s="2" t="inlineStr"/>
    </row>
    <row r="351" ht="15" customHeight="1">
      <c r="A351" t="inlineStr">
        <is>
          <t>A 36031-2025</t>
        </is>
      </c>
      <c r="B351" s="1" t="n">
        <v>45865.46111111111</v>
      </c>
      <c r="C351" s="1" t="n">
        <v>46049</v>
      </c>
      <c r="D351" t="inlineStr">
        <is>
          <t>VÄSTMANLANDS LÄN</t>
        </is>
      </c>
      <c r="E351" t="inlineStr">
        <is>
          <t>SALA</t>
        </is>
      </c>
      <c r="G351" t="n">
        <v>7.2</v>
      </c>
      <c r="H351" t="n">
        <v>0</v>
      </c>
      <c r="I351" t="n">
        <v>0</v>
      </c>
      <c r="J351" t="n">
        <v>0</v>
      </c>
      <c r="K351" t="n">
        <v>0</v>
      </c>
      <c r="L351" t="n">
        <v>0</v>
      </c>
      <c r="M351" t="n">
        <v>0</v>
      </c>
      <c r="N351" t="n">
        <v>0</v>
      </c>
      <c r="O351" t="n">
        <v>0</v>
      </c>
      <c r="P351" t="n">
        <v>0</v>
      </c>
      <c r="Q351" t="n">
        <v>0</v>
      </c>
      <c r="R351" s="2" t="inlineStr"/>
    </row>
    <row r="352" ht="15" customHeight="1">
      <c r="A352" t="inlineStr">
        <is>
          <t>A 36060-2025</t>
        </is>
      </c>
      <c r="B352" s="1" t="n">
        <v>45866.39469907407</v>
      </c>
      <c r="C352" s="1" t="n">
        <v>46049</v>
      </c>
      <c r="D352" t="inlineStr">
        <is>
          <t>VÄSTMANLANDS LÄN</t>
        </is>
      </c>
      <c r="E352" t="inlineStr">
        <is>
          <t>SALA</t>
        </is>
      </c>
      <c r="F352" t="inlineStr">
        <is>
          <t>Kommuner</t>
        </is>
      </c>
      <c r="G352" t="n">
        <v>4.3</v>
      </c>
      <c r="H352" t="n">
        <v>0</v>
      </c>
      <c r="I352" t="n">
        <v>0</v>
      </c>
      <c r="J352" t="n">
        <v>0</v>
      </c>
      <c r="K352" t="n">
        <v>0</v>
      </c>
      <c r="L352" t="n">
        <v>0</v>
      </c>
      <c r="M352" t="n">
        <v>0</v>
      </c>
      <c r="N352" t="n">
        <v>0</v>
      </c>
      <c r="O352" t="n">
        <v>0</v>
      </c>
      <c r="P352" t="n">
        <v>0</v>
      </c>
      <c r="Q352" t="n">
        <v>0</v>
      </c>
      <c r="R352" s="2" t="inlineStr"/>
    </row>
    <row r="353" ht="15" customHeight="1">
      <c r="A353" t="inlineStr">
        <is>
          <t>A 36032-2025</t>
        </is>
      </c>
      <c r="B353" s="1" t="n">
        <v>45865.48740740741</v>
      </c>
      <c r="C353" s="1" t="n">
        <v>46049</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36043-2025</t>
        </is>
      </c>
      <c r="B354" s="1" t="n">
        <v>45866.35333333333</v>
      </c>
      <c r="C354" s="1" t="n">
        <v>46049</v>
      </c>
      <c r="D354" t="inlineStr">
        <is>
          <t>VÄSTMANLANDS LÄN</t>
        </is>
      </c>
      <c r="E354" t="inlineStr">
        <is>
          <t>SALA</t>
        </is>
      </c>
      <c r="F354" t="inlineStr">
        <is>
          <t>Kommuner</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36045-2025</t>
        </is>
      </c>
      <c r="B355" s="1" t="n">
        <v>45866.36200231482</v>
      </c>
      <c r="C355" s="1" t="n">
        <v>46049</v>
      </c>
      <c r="D355" t="inlineStr">
        <is>
          <t>VÄSTMANLANDS LÄN</t>
        </is>
      </c>
      <c r="E355" t="inlineStr">
        <is>
          <t>SALA</t>
        </is>
      </c>
      <c r="F355" t="inlineStr">
        <is>
          <t>Kommuner</t>
        </is>
      </c>
      <c r="G355" t="n">
        <v>1.7</v>
      </c>
      <c r="H355" t="n">
        <v>0</v>
      </c>
      <c r="I355" t="n">
        <v>0</v>
      </c>
      <c r="J355" t="n">
        <v>0</v>
      </c>
      <c r="K355" t="n">
        <v>0</v>
      </c>
      <c r="L355" t="n">
        <v>0</v>
      </c>
      <c r="M355" t="n">
        <v>0</v>
      </c>
      <c r="N355" t="n">
        <v>0</v>
      </c>
      <c r="O355" t="n">
        <v>0</v>
      </c>
      <c r="P355" t="n">
        <v>0</v>
      </c>
      <c r="Q355" t="n">
        <v>0</v>
      </c>
      <c r="R355" s="2" t="inlineStr"/>
    </row>
    <row r="356" ht="15" customHeight="1">
      <c r="A356" t="inlineStr">
        <is>
          <t>A 52827-2024</t>
        </is>
      </c>
      <c r="B356" s="1" t="n">
        <v>45610</v>
      </c>
      <c r="C356" s="1" t="n">
        <v>46049</v>
      </c>
      <c r="D356" t="inlineStr">
        <is>
          <t>VÄSTMANLANDS LÄN</t>
        </is>
      </c>
      <c r="E356" t="inlineStr">
        <is>
          <t>SALA</t>
        </is>
      </c>
      <c r="G356" t="n">
        <v>0.2</v>
      </c>
      <c r="H356" t="n">
        <v>0</v>
      </c>
      <c r="I356" t="n">
        <v>0</v>
      </c>
      <c r="J356" t="n">
        <v>0</v>
      </c>
      <c r="K356" t="n">
        <v>0</v>
      </c>
      <c r="L356" t="n">
        <v>0</v>
      </c>
      <c r="M356" t="n">
        <v>0</v>
      </c>
      <c r="N356" t="n">
        <v>0</v>
      </c>
      <c r="O356" t="n">
        <v>0</v>
      </c>
      <c r="P356" t="n">
        <v>0</v>
      </c>
      <c r="Q356" t="n">
        <v>0</v>
      </c>
      <c r="R356" s="2" t="inlineStr"/>
    </row>
    <row r="357" ht="15" customHeight="1">
      <c r="A357" t="inlineStr">
        <is>
          <t>A 53166-2024</t>
        </is>
      </c>
      <c r="B357" s="1" t="n">
        <v>45611</v>
      </c>
      <c r="C357" s="1" t="n">
        <v>46049</v>
      </c>
      <c r="D357" t="inlineStr">
        <is>
          <t>VÄSTMANLANDS LÄN</t>
        </is>
      </c>
      <c r="E357" t="inlineStr">
        <is>
          <t>SALA</t>
        </is>
      </c>
      <c r="G357" t="n">
        <v>1.5</v>
      </c>
      <c r="H357" t="n">
        <v>0</v>
      </c>
      <c r="I357" t="n">
        <v>0</v>
      </c>
      <c r="J357" t="n">
        <v>0</v>
      </c>
      <c r="K357" t="n">
        <v>0</v>
      </c>
      <c r="L357" t="n">
        <v>0</v>
      </c>
      <c r="M357" t="n">
        <v>0</v>
      </c>
      <c r="N357" t="n">
        <v>0</v>
      </c>
      <c r="O357" t="n">
        <v>0</v>
      </c>
      <c r="P357" t="n">
        <v>0</v>
      </c>
      <c r="Q357" t="n">
        <v>0</v>
      </c>
      <c r="R357" s="2" t="inlineStr"/>
    </row>
    <row r="358" ht="15" customHeight="1">
      <c r="A358" t="inlineStr">
        <is>
          <t>A 11244-2024</t>
        </is>
      </c>
      <c r="B358" s="1" t="n">
        <v>45371</v>
      </c>
      <c r="C358" s="1" t="n">
        <v>46049</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62654-2022</t>
        </is>
      </c>
      <c r="B359" s="1" t="n">
        <v>44917</v>
      </c>
      <c r="C359" s="1" t="n">
        <v>46049</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46661-2025</t>
        </is>
      </c>
      <c r="B360" s="1" t="n">
        <v>45926</v>
      </c>
      <c r="C360" s="1" t="n">
        <v>46049</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6135-2023</t>
        </is>
      </c>
      <c r="B361" s="1" t="n">
        <v>44964.62628472222</v>
      </c>
      <c r="C361" s="1" t="n">
        <v>46049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53864-2022</t>
        </is>
      </c>
      <c r="B362" s="1" t="n">
        <v>44880.64016203704</v>
      </c>
      <c r="C362" s="1" t="n">
        <v>46049</v>
      </c>
      <c r="D362" t="inlineStr">
        <is>
          <t>VÄSTMANLANDS LÄN</t>
        </is>
      </c>
      <c r="E362" t="inlineStr">
        <is>
          <t>SALA</t>
        </is>
      </c>
      <c r="G362" t="n">
        <v>5.9</v>
      </c>
      <c r="H362" t="n">
        <v>0</v>
      </c>
      <c r="I362" t="n">
        <v>0</v>
      </c>
      <c r="J362" t="n">
        <v>0</v>
      </c>
      <c r="K362" t="n">
        <v>0</v>
      </c>
      <c r="L362" t="n">
        <v>0</v>
      </c>
      <c r="M362" t="n">
        <v>0</v>
      </c>
      <c r="N362" t="n">
        <v>0</v>
      </c>
      <c r="O362" t="n">
        <v>0</v>
      </c>
      <c r="P362" t="n">
        <v>0</v>
      </c>
      <c r="Q362" t="n">
        <v>0</v>
      </c>
      <c r="R362" s="2" t="inlineStr"/>
    </row>
    <row r="363" ht="15" customHeight="1">
      <c r="A363" t="inlineStr">
        <is>
          <t>A 27255-2023</t>
        </is>
      </c>
      <c r="B363" s="1" t="n">
        <v>45096</v>
      </c>
      <c r="C363" s="1" t="n">
        <v>46049</v>
      </c>
      <c r="D363" t="inlineStr">
        <is>
          <t>VÄSTMANLANDS LÄN</t>
        </is>
      </c>
      <c r="E363" t="inlineStr">
        <is>
          <t>SALA</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17985-2025</t>
        </is>
      </c>
      <c r="B364" s="1" t="n">
        <v>45761</v>
      </c>
      <c r="C364" s="1" t="n">
        <v>46049</v>
      </c>
      <c r="D364" t="inlineStr">
        <is>
          <t>VÄSTMANLANDS LÄN</t>
        </is>
      </c>
      <c r="E364" t="inlineStr">
        <is>
          <t>SALA</t>
        </is>
      </c>
      <c r="G364" t="n">
        <v>12.5</v>
      </c>
      <c r="H364" t="n">
        <v>0</v>
      </c>
      <c r="I364" t="n">
        <v>0</v>
      </c>
      <c r="J364" t="n">
        <v>0</v>
      </c>
      <c r="K364" t="n">
        <v>0</v>
      </c>
      <c r="L364" t="n">
        <v>0</v>
      </c>
      <c r="M364" t="n">
        <v>0</v>
      </c>
      <c r="N364" t="n">
        <v>0</v>
      </c>
      <c r="O364" t="n">
        <v>0</v>
      </c>
      <c r="P364" t="n">
        <v>0</v>
      </c>
      <c r="Q364" t="n">
        <v>0</v>
      </c>
      <c r="R364" s="2" t="inlineStr"/>
    </row>
    <row r="365" ht="15" customHeight="1">
      <c r="A365" t="inlineStr">
        <is>
          <t>A 31869-2025</t>
        </is>
      </c>
      <c r="B365" s="1" t="n">
        <v>45834.64555555556</v>
      </c>
      <c r="C365" s="1" t="n">
        <v>46049</v>
      </c>
      <c r="D365" t="inlineStr">
        <is>
          <t>VÄSTMANLANDS LÄN</t>
        </is>
      </c>
      <c r="E365" t="inlineStr">
        <is>
          <t>SALA</t>
        </is>
      </c>
      <c r="G365" t="n">
        <v>17.5</v>
      </c>
      <c r="H365" t="n">
        <v>0</v>
      </c>
      <c r="I365" t="n">
        <v>0</v>
      </c>
      <c r="J365" t="n">
        <v>0</v>
      </c>
      <c r="K365" t="n">
        <v>0</v>
      </c>
      <c r="L365" t="n">
        <v>0</v>
      </c>
      <c r="M365" t="n">
        <v>0</v>
      </c>
      <c r="N365" t="n">
        <v>0</v>
      </c>
      <c r="O365" t="n">
        <v>0</v>
      </c>
      <c r="P365" t="n">
        <v>0</v>
      </c>
      <c r="Q365" t="n">
        <v>0</v>
      </c>
      <c r="R365" s="2" t="inlineStr"/>
    </row>
    <row r="366" ht="15" customHeight="1">
      <c r="A366" t="inlineStr">
        <is>
          <t>A 31863-2025</t>
        </is>
      </c>
      <c r="B366" s="1" t="n">
        <v>45834.63303240741</v>
      </c>
      <c r="C366" s="1" t="n">
        <v>46049</v>
      </c>
      <c r="D366" t="inlineStr">
        <is>
          <t>VÄSTMANLANDS LÄN</t>
        </is>
      </c>
      <c r="E366" t="inlineStr">
        <is>
          <t>SALA</t>
        </is>
      </c>
      <c r="G366" t="n">
        <v>2.5</v>
      </c>
      <c r="H366" t="n">
        <v>0</v>
      </c>
      <c r="I366" t="n">
        <v>0</v>
      </c>
      <c r="J366" t="n">
        <v>0</v>
      </c>
      <c r="K366" t="n">
        <v>0</v>
      </c>
      <c r="L366" t="n">
        <v>0</v>
      </c>
      <c r="M366" t="n">
        <v>0</v>
      </c>
      <c r="N366" t="n">
        <v>0</v>
      </c>
      <c r="O366" t="n">
        <v>0</v>
      </c>
      <c r="P366" t="n">
        <v>0</v>
      </c>
      <c r="Q366" t="n">
        <v>0</v>
      </c>
      <c r="R366" s="2" t="inlineStr"/>
    </row>
    <row r="367" ht="15" customHeight="1">
      <c r="A367" t="inlineStr">
        <is>
          <t>A 17766-2025</t>
        </is>
      </c>
      <c r="B367" s="1" t="n">
        <v>45758</v>
      </c>
      <c r="C367" s="1" t="n">
        <v>46049</v>
      </c>
      <c r="D367" t="inlineStr">
        <is>
          <t>VÄSTMANLANDS LÄN</t>
        </is>
      </c>
      <c r="E367" t="inlineStr">
        <is>
          <t>SALA</t>
        </is>
      </c>
      <c r="G367" t="n">
        <v>16.5</v>
      </c>
      <c r="H367" t="n">
        <v>0</v>
      </c>
      <c r="I367" t="n">
        <v>0</v>
      </c>
      <c r="J367" t="n">
        <v>0</v>
      </c>
      <c r="K367" t="n">
        <v>0</v>
      </c>
      <c r="L367" t="n">
        <v>0</v>
      </c>
      <c r="M367" t="n">
        <v>0</v>
      </c>
      <c r="N367" t="n">
        <v>0</v>
      </c>
      <c r="O367" t="n">
        <v>0</v>
      </c>
      <c r="P367" t="n">
        <v>0</v>
      </c>
      <c r="Q367" t="n">
        <v>0</v>
      </c>
      <c r="R367" s="2" t="inlineStr"/>
    </row>
    <row r="368" ht="15" customHeight="1">
      <c r="A368" t="inlineStr">
        <is>
          <t>A 7664-2023</t>
        </is>
      </c>
      <c r="B368" s="1" t="n">
        <v>44972</v>
      </c>
      <c r="C368" s="1" t="n">
        <v>46049</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row>
    <row r="369" ht="15" customHeight="1">
      <c r="A369" t="inlineStr">
        <is>
          <t>A 3546-2025</t>
        </is>
      </c>
      <c r="B369" s="1" t="n">
        <v>45680</v>
      </c>
      <c r="C369" s="1" t="n">
        <v>46049</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46915-2025</t>
        </is>
      </c>
      <c r="B370" s="1" t="n">
        <v>45929.42114583333</v>
      </c>
      <c r="C370" s="1" t="n">
        <v>46049</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60034-2024</t>
        </is>
      </c>
      <c r="B371" s="1" t="n">
        <v>45642.46261574074</v>
      </c>
      <c r="C371" s="1" t="n">
        <v>46049</v>
      </c>
      <c r="D371" t="inlineStr">
        <is>
          <t>VÄSTMANLANDS LÄN</t>
        </is>
      </c>
      <c r="E371" t="inlineStr">
        <is>
          <t>SALA</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3810-2023</t>
        </is>
      </c>
      <c r="B372" s="1" t="n">
        <v>44951.60454861111</v>
      </c>
      <c r="C372" s="1" t="n">
        <v>46049</v>
      </c>
      <c r="D372" t="inlineStr">
        <is>
          <t>VÄSTMANLANDS LÄN</t>
        </is>
      </c>
      <c r="E372" t="inlineStr">
        <is>
          <t>SALA</t>
        </is>
      </c>
      <c r="G372" t="n">
        <v>4.2</v>
      </c>
      <c r="H372" t="n">
        <v>0</v>
      </c>
      <c r="I372" t="n">
        <v>0</v>
      </c>
      <c r="J372" t="n">
        <v>0</v>
      </c>
      <c r="K372" t="n">
        <v>0</v>
      </c>
      <c r="L372" t="n">
        <v>0</v>
      </c>
      <c r="M372" t="n">
        <v>0</v>
      </c>
      <c r="N372" t="n">
        <v>0</v>
      </c>
      <c r="O372" t="n">
        <v>0</v>
      </c>
      <c r="P372" t="n">
        <v>0</v>
      </c>
      <c r="Q372" t="n">
        <v>0</v>
      </c>
      <c r="R372" s="2" t="inlineStr"/>
    </row>
    <row r="373" ht="15" customHeight="1">
      <c r="A373" t="inlineStr">
        <is>
          <t>A 48057-2025</t>
        </is>
      </c>
      <c r="B373" s="1" t="n">
        <v>45932.67947916667</v>
      </c>
      <c r="C373" s="1" t="n">
        <v>46049</v>
      </c>
      <c r="D373" t="inlineStr">
        <is>
          <t>VÄSTMANLANDS LÄN</t>
        </is>
      </c>
      <c r="E373" t="inlineStr">
        <is>
          <t>SALA</t>
        </is>
      </c>
      <c r="G373" t="n">
        <v>4.3</v>
      </c>
      <c r="H373" t="n">
        <v>0</v>
      </c>
      <c r="I373" t="n">
        <v>0</v>
      </c>
      <c r="J373" t="n">
        <v>0</v>
      </c>
      <c r="K373" t="n">
        <v>0</v>
      </c>
      <c r="L373" t="n">
        <v>0</v>
      </c>
      <c r="M373" t="n">
        <v>0</v>
      </c>
      <c r="N373" t="n">
        <v>0</v>
      </c>
      <c r="O373" t="n">
        <v>0</v>
      </c>
      <c r="P373" t="n">
        <v>0</v>
      </c>
      <c r="Q373" t="n">
        <v>0</v>
      </c>
      <c r="R373" s="2" t="inlineStr"/>
    </row>
    <row r="374" ht="15" customHeight="1">
      <c r="A374" t="inlineStr">
        <is>
          <t>A 47577-2025</t>
        </is>
      </c>
      <c r="B374" s="1" t="n">
        <v>45931.4047337963</v>
      </c>
      <c r="C374" s="1" t="n">
        <v>46049</v>
      </c>
      <c r="D374" t="inlineStr">
        <is>
          <t>VÄSTMANLANDS LÄN</t>
        </is>
      </c>
      <c r="E374" t="inlineStr">
        <is>
          <t>SALA</t>
        </is>
      </c>
      <c r="G374" t="n">
        <v>3.7</v>
      </c>
      <c r="H374" t="n">
        <v>0</v>
      </c>
      <c r="I374" t="n">
        <v>0</v>
      </c>
      <c r="J374" t="n">
        <v>0</v>
      </c>
      <c r="K374" t="n">
        <v>0</v>
      </c>
      <c r="L374" t="n">
        <v>0</v>
      </c>
      <c r="M374" t="n">
        <v>0</v>
      </c>
      <c r="N374" t="n">
        <v>0</v>
      </c>
      <c r="O374" t="n">
        <v>0</v>
      </c>
      <c r="P374" t="n">
        <v>0</v>
      </c>
      <c r="Q374" t="n">
        <v>0</v>
      </c>
      <c r="R374" s="2" t="inlineStr"/>
    </row>
    <row r="375" ht="15" customHeight="1">
      <c r="A375" t="inlineStr">
        <is>
          <t>A 52503-2024</t>
        </is>
      </c>
      <c r="B375" s="1" t="n">
        <v>45609.58806712963</v>
      </c>
      <c r="C375" s="1" t="n">
        <v>46049</v>
      </c>
      <c r="D375" t="inlineStr">
        <is>
          <t>VÄSTMANLANDS LÄN</t>
        </is>
      </c>
      <c r="E375" t="inlineStr">
        <is>
          <t>SALA</t>
        </is>
      </c>
      <c r="G375" t="n">
        <v>0.8</v>
      </c>
      <c r="H375" t="n">
        <v>0</v>
      </c>
      <c r="I375" t="n">
        <v>0</v>
      </c>
      <c r="J375" t="n">
        <v>0</v>
      </c>
      <c r="K375" t="n">
        <v>0</v>
      </c>
      <c r="L375" t="n">
        <v>0</v>
      </c>
      <c r="M375" t="n">
        <v>0</v>
      </c>
      <c r="N375" t="n">
        <v>0</v>
      </c>
      <c r="O375" t="n">
        <v>0</v>
      </c>
      <c r="P375" t="n">
        <v>0</v>
      </c>
      <c r="Q375" t="n">
        <v>0</v>
      </c>
      <c r="R375" s="2" t="inlineStr"/>
    </row>
    <row r="376" ht="15" customHeight="1">
      <c r="A376" t="inlineStr">
        <is>
          <t>A 2521-2025</t>
        </is>
      </c>
      <c r="B376" s="1" t="n">
        <v>45674</v>
      </c>
      <c r="C376" s="1" t="n">
        <v>46049</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37017-2025</t>
        </is>
      </c>
      <c r="B377" s="1" t="n">
        <v>45874</v>
      </c>
      <c r="C377" s="1" t="n">
        <v>46049</v>
      </c>
      <c r="D377" t="inlineStr">
        <is>
          <t>VÄSTMANLANDS LÄN</t>
        </is>
      </c>
      <c r="E377" t="inlineStr">
        <is>
          <t>SALA</t>
        </is>
      </c>
      <c r="G377" t="n">
        <v>11.1</v>
      </c>
      <c r="H377" t="n">
        <v>0</v>
      </c>
      <c r="I377" t="n">
        <v>0</v>
      </c>
      <c r="J377" t="n">
        <v>0</v>
      </c>
      <c r="K377" t="n">
        <v>0</v>
      </c>
      <c r="L377" t="n">
        <v>0</v>
      </c>
      <c r="M377" t="n">
        <v>0</v>
      </c>
      <c r="N377" t="n">
        <v>0</v>
      </c>
      <c r="O377" t="n">
        <v>0</v>
      </c>
      <c r="P377" t="n">
        <v>0</v>
      </c>
      <c r="Q377" t="n">
        <v>0</v>
      </c>
      <c r="R377" s="2" t="inlineStr"/>
    </row>
    <row r="378" ht="15" customHeight="1">
      <c r="A378" t="inlineStr">
        <is>
          <t>A 31000-2022</t>
        </is>
      </c>
      <c r="B378" s="1" t="n">
        <v>44768</v>
      </c>
      <c r="C378" s="1" t="n">
        <v>46049</v>
      </c>
      <c r="D378" t="inlineStr">
        <is>
          <t>VÄSTMANLANDS LÄN</t>
        </is>
      </c>
      <c r="E378" t="inlineStr">
        <is>
          <t>SALA</t>
        </is>
      </c>
      <c r="G378" t="n">
        <v>5.7</v>
      </c>
      <c r="H378" t="n">
        <v>0</v>
      </c>
      <c r="I378" t="n">
        <v>0</v>
      </c>
      <c r="J378" t="n">
        <v>0</v>
      </c>
      <c r="K378" t="n">
        <v>0</v>
      </c>
      <c r="L378" t="n">
        <v>0</v>
      </c>
      <c r="M378" t="n">
        <v>0</v>
      </c>
      <c r="N378" t="n">
        <v>0</v>
      </c>
      <c r="O378" t="n">
        <v>0</v>
      </c>
      <c r="P378" t="n">
        <v>0</v>
      </c>
      <c r="Q378" t="n">
        <v>0</v>
      </c>
      <c r="R378" s="2" t="inlineStr"/>
    </row>
    <row r="379" ht="15" customHeight="1">
      <c r="A379" t="inlineStr">
        <is>
          <t>A 48710-2025</t>
        </is>
      </c>
      <c r="B379" s="1" t="n">
        <v>45936.63184027778</v>
      </c>
      <c r="C379" s="1" t="n">
        <v>46049</v>
      </c>
      <c r="D379" t="inlineStr">
        <is>
          <t>VÄSTMANLANDS LÄN</t>
        </is>
      </c>
      <c r="E379" t="inlineStr">
        <is>
          <t>SALA</t>
        </is>
      </c>
      <c r="G379" t="n">
        <v>2.7</v>
      </c>
      <c r="H379" t="n">
        <v>0</v>
      </c>
      <c r="I379" t="n">
        <v>0</v>
      </c>
      <c r="J379" t="n">
        <v>0</v>
      </c>
      <c r="K379" t="n">
        <v>0</v>
      </c>
      <c r="L379" t="n">
        <v>0</v>
      </c>
      <c r="M379" t="n">
        <v>0</v>
      </c>
      <c r="N379" t="n">
        <v>0</v>
      </c>
      <c r="O379" t="n">
        <v>0</v>
      </c>
      <c r="P379" t="n">
        <v>0</v>
      </c>
      <c r="Q379" t="n">
        <v>0</v>
      </c>
      <c r="R379" s="2" t="inlineStr"/>
    </row>
    <row r="380" ht="15" customHeight="1">
      <c r="A380" t="inlineStr">
        <is>
          <t>A 37103-2025</t>
        </is>
      </c>
      <c r="B380" s="1" t="n">
        <v>45875.47743055555</v>
      </c>
      <c r="C380" s="1" t="n">
        <v>46049</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37246-2025</t>
        </is>
      </c>
      <c r="B381" s="1" t="n">
        <v>45876.39435185185</v>
      </c>
      <c r="C381" s="1" t="n">
        <v>46049</v>
      </c>
      <c r="D381" t="inlineStr">
        <is>
          <t>VÄSTMANLANDS LÄN</t>
        </is>
      </c>
      <c r="E381" t="inlineStr">
        <is>
          <t>SALA</t>
        </is>
      </c>
      <c r="G381" t="n">
        <v>2.3</v>
      </c>
      <c r="H381" t="n">
        <v>0</v>
      </c>
      <c r="I381" t="n">
        <v>0</v>
      </c>
      <c r="J381" t="n">
        <v>0</v>
      </c>
      <c r="K381" t="n">
        <v>0</v>
      </c>
      <c r="L381" t="n">
        <v>0</v>
      </c>
      <c r="M381" t="n">
        <v>0</v>
      </c>
      <c r="N381" t="n">
        <v>0</v>
      </c>
      <c r="O381" t="n">
        <v>0</v>
      </c>
      <c r="P381" t="n">
        <v>0</v>
      </c>
      <c r="Q381" t="n">
        <v>0</v>
      </c>
      <c r="R381" s="2" t="inlineStr"/>
    </row>
    <row r="382" ht="15" customHeight="1">
      <c r="A382" t="inlineStr">
        <is>
          <t>A 17722-2025</t>
        </is>
      </c>
      <c r="B382" s="1" t="n">
        <v>45758</v>
      </c>
      <c r="C382" s="1" t="n">
        <v>46049</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31950-2023</t>
        </is>
      </c>
      <c r="B383" s="1" t="n">
        <v>45107</v>
      </c>
      <c r="C383" s="1" t="n">
        <v>46049</v>
      </c>
      <c r="D383" t="inlineStr">
        <is>
          <t>VÄSTMANLANDS LÄN</t>
        </is>
      </c>
      <c r="E383" t="inlineStr">
        <is>
          <t>SALA</t>
        </is>
      </c>
      <c r="G383" t="n">
        <v>0.1</v>
      </c>
      <c r="H383" t="n">
        <v>0</v>
      </c>
      <c r="I383" t="n">
        <v>0</v>
      </c>
      <c r="J383" t="n">
        <v>0</v>
      </c>
      <c r="K383" t="n">
        <v>0</v>
      </c>
      <c r="L383" t="n">
        <v>0</v>
      </c>
      <c r="M383" t="n">
        <v>0</v>
      </c>
      <c r="N383" t="n">
        <v>0</v>
      </c>
      <c r="O383" t="n">
        <v>0</v>
      </c>
      <c r="P383" t="n">
        <v>0</v>
      </c>
      <c r="Q383" t="n">
        <v>0</v>
      </c>
      <c r="R383" s="2" t="inlineStr"/>
    </row>
    <row r="384" ht="15" customHeight="1">
      <c r="A384" t="inlineStr">
        <is>
          <t>A 37590-2025</t>
        </is>
      </c>
      <c r="B384" s="1" t="n">
        <v>45880.41138888889</v>
      </c>
      <c r="C384" s="1" t="n">
        <v>46049</v>
      </c>
      <c r="D384" t="inlineStr">
        <is>
          <t>VÄSTMANLANDS LÄN</t>
        </is>
      </c>
      <c r="E384" t="inlineStr">
        <is>
          <t>SALA</t>
        </is>
      </c>
      <c r="G384" t="n">
        <v>2.2</v>
      </c>
      <c r="H384" t="n">
        <v>0</v>
      </c>
      <c r="I384" t="n">
        <v>0</v>
      </c>
      <c r="J384" t="n">
        <v>0</v>
      </c>
      <c r="K384" t="n">
        <v>0</v>
      </c>
      <c r="L384" t="n">
        <v>0</v>
      </c>
      <c r="M384" t="n">
        <v>0</v>
      </c>
      <c r="N384" t="n">
        <v>0</v>
      </c>
      <c r="O384" t="n">
        <v>0</v>
      </c>
      <c r="P384" t="n">
        <v>0</v>
      </c>
      <c r="Q384" t="n">
        <v>0</v>
      </c>
      <c r="R384" s="2" t="inlineStr"/>
    </row>
    <row r="385" ht="15" customHeight="1">
      <c r="A385" t="inlineStr">
        <is>
          <t>A 37593-2025</t>
        </is>
      </c>
      <c r="B385" s="1" t="n">
        <v>45880.41325231481</v>
      </c>
      <c r="C385" s="1" t="n">
        <v>46049</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16693-2023</t>
        </is>
      </c>
      <c r="B386" s="1" t="n">
        <v>45028</v>
      </c>
      <c r="C386" s="1" t="n">
        <v>46049</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23182-2022</t>
        </is>
      </c>
      <c r="B387" s="1" t="n">
        <v>44719.79707175926</v>
      </c>
      <c r="C387" s="1" t="n">
        <v>46049</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43359-2024</t>
        </is>
      </c>
      <c r="B388" s="1" t="n">
        <v>45568.57724537037</v>
      </c>
      <c r="C388" s="1" t="n">
        <v>46049</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29972-2025</t>
        </is>
      </c>
      <c r="B389" s="1" t="n">
        <v>45826</v>
      </c>
      <c r="C389" s="1" t="n">
        <v>46049</v>
      </c>
      <c r="D389" t="inlineStr">
        <is>
          <t>VÄSTMANLANDS LÄN</t>
        </is>
      </c>
      <c r="E389" t="inlineStr">
        <is>
          <t>SALA</t>
        </is>
      </c>
      <c r="G389" t="n">
        <v>2.7</v>
      </c>
      <c r="H389" t="n">
        <v>0</v>
      </c>
      <c r="I389" t="n">
        <v>0</v>
      </c>
      <c r="J389" t="n">
        <v>0</v>
      </c>
      <c r="K389" t="n">
        <v>0</v>
      </c>
      <c r="L389" t="n">
        <v>0</v>
      </c>
      <c r="M389" t="n">
        <v>0</v>
      </c>
      <c r="N389" t="n">
        <v>0</v>
      </c>
      <c r="O389" t="n">
        <v>0</v>
      </c>
      <c r="P389" t="n">
        <v>0</v>
      </c>
      <c r="Q389" t="n">
        <v>0</v>
      </c>
      <c r="R389" s="2" t="inlineStr"/>
    </row>
    <row r="390" ht="15" customHeight="1">
      <c r="A390" t="inlineStr">
        <is>
          <t>A 57371-2022</t>
        </is>
      </c>
      <c r="B390" s="1" t="n">
        <v>44896.43832175926</v>
      </c>
      <c r="C390" s="1" t="n">
        <v>46049</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48910-2025</t>
        </is>
      </c>
      <c r="B391" s="1" t="n">
        <v>45937.48649305556</v>
      </c>
      <c r="C391" s="1" t="n">
        <v>46049</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49640-2025</t>
        </is>
      </c>
      <c r="B392" s="1" t="n">
        <v>45939.61459490741</v>
      </c>
      <c r="C392" s="1" t="n">
        <v>46049</v>
      </c>
      <c r="D392" t="inlineStr">
        <is>
          <t>VÄSTMANLANDS LÄN</t>
        </is>
      </c>
      <c r="E392" t="inlineStr">
        <is>
          <t>SALA</t>
        </is>
      </c>
      <c r="F392" t="inlineStr">
        <is>
          <t>Kommuner</t>
        </is>
      </c>
      <c r="G392" t="n">
        <v>18.8</v>
      </c>
      <c r="H392" t="n">
        <v>0</v>
      </c>
      <c r="I392" t="n">
        <v>0</v>
      </c>
      <c r="J392" t="n">
        <v>0</v>
      </c>
      <c r="K392" t="n">
        <v>0</v>
      </c>
      <c r="L392" t="n">
        <v>0</v>
      </c>
      <c r="M392" t="n">
        <v>0</v>
      </c>
      <c r="N392" t="n">
        <v>0</v>
      </c>
      <c r="O392" t="n">
        <v>0</v>
      </c>
      <c r="P392" t="n">
        <v>0</v>
      </c>
      <c r="Q392" t="n">
        <v>0</v>
      </c>
      <c r="R392" s="2" t="inlineStr"/>
    </row>
    <row r="393" ht="15" customHeight="1">
      <c r="A393" t="inlineStr">
        <is>
          <t>A 56548-2024</t>
        </is>
      </c>
      <c r="B393" s="1" t="n">
        <v>45625</v>
      </c>
      <c r="C393" s="1" t="n">
        <v>46049</v>
      </c>
      <c r="D393" t="inlineStr">
        <is>
          <t>VÄSTMANLANDS LÄN</t>
        </is>
      </c>
      <c r="E393" t="inlineStr">
        <is>
          <t>SALA</t>
        </is>
      </c>
      <c r="G393" t="n">
        <v>0.7</v>
      </c>
      <c r="H393" t="n">
        <v>0</v>
      </c>
      <c r="I393" t="n">
        <v>0</v>
      </c>
      <c r="J393" t="n">
        <v>0</v>
      </c>
      <c r="K393" t="n">
        <v>0</v>
      </c>
      <c r="L393" t="n">
        <v>0</v>
      </c>
      <c r="M393" t="n">
        <v>0</v>
      </c>
      <c r="N393" t="n">
        <v>0</v>
      </c>
      <c r="O393" t="n">
        <v>0</v>
      </c>
      <c r="P393" t="n">
        <v>0</v>
      </c>
      <c r="Q393" t="n">
        <v>0</v>
      </c>
      <c r="R393" s="2" t="inlineStr"/>
    </row>
    <row r="394" ht="15" customHeight="1">
      <c r="A394" t="inlineStr">
        <is>
          <t>A 47086-2022</t>
        </is>
      </c>
      <c r="B394" s="1" t="n">
        <v>44852</v>
      </c>
      <c r="C394" s="1" t="n">
        <v>46049</v>
      </c>
      <c r="D394" t="inlineStr">
        <is>
          <t>VÄSTMANLANDS LÄN</t>
        </is>
      </c>
      <c r="E394" t="inlineStr">
        <is>
          <t>SALA</t>
        </is>
      </c>
      <c r="G394" t="n">
        <v>12.5</v>
      </c>
      <c r="H394" t="n">
        <v>0</v>
      </c>
      <c r="I394" t="n">
        <v>0</v>
      </c>
      <c r="J394" t="n">
        <v>0</v>
      </c>
      <c r="K394" t="n">
        <v>0</v>
      </c>
      <c r="L394" t="n">
        <v>0</v>
      </c>
      <c r="M394" t="n">
        <v>0</v>
      </c>
      <c r="N394" t="n">
        <v>0</v>
      </c>
      <c r="O394" t="n">
        <v>0</v>
      </c>
      <c r="P394" t="n">
        <v>0</v>
      </c>
      <c r="Q394" t="n">
        <v>0</v>
      </c>
      <c r="R394" s="2" t="inlineStr"/>
    </row>
    <row r="395" ht="15" customHeight="1">
      <c r="A395" t="inlineStr">
        <is>
          <t>A 49585-2025</t>
        </is>
      </c>
      <c r="B395" s="1" t="n">
        <v>45939.5043287037</v>
      </c>
      <c r="C395" s="1" t="n">
        <v>46049</v>
      </c>
      <c r="D395" t="inlineStr">
        <is>
          <t>VÄSTMANLANDS LÄN</t>
        </is>
      </c>
      <c r="E395" t="inlineStr">
        <is>
          <t>SALA</t>
        </is>
      </c>
      <c r="G395" t="n">
        <v>2.2</v>
      </c>
      <c r="H395" t="n">
        <v>0</v>
      </c>
      <c r="I395" t="n">
        <v>0</v>
      </c>
      <c r="J395" t="n">
        <v>0</v>
      </c>
      <c r="K395" t="n">
        <v>0</v>
      </c>
      <c r="L395" t="n">
        <v>0</v>
      </c>
      <c r="M395" t="n">
        <v>0</v>
      </c>
      <c r="N395" t="n">
        <v>0</v>
      </c>
      <c r="O395" t="n">
        <v>0</v>
      </c>
      <c r="P395" t="n">
        <v>0</v>
      </c>
      <c r="Q395" t="n">
        <v>0</v>
      </c>
      <c r="R395" s="2" t="inlineStr"/>
    </row>
    <row r="396" ht="15" customHeight="1">
      <c r="A396" t="inlineStr">
        <is>
          <t>A 50128-2025</t>
        </is>
      </c>
      <c r="B396" s="1" t="n">
        <v>45943.55318287037</v>
      </c>
      <c r="C396" s="1" t="n">
        <v>46049</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988-2025</t>
        </is>
      </c>
      <c r="B397" s="1" t="n">
        <v>45666.44038194444</v>
      </c>
      <c r="C397" s="1" t="n">
        <v>46049</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50249-2025</t>
        </is>
      </c>
      <c r="B398" s="1" t="n">
        <v>45944.31508101852</v>
      </c>
      <c r="C398" s="1" t="n">
        <v>46049</v>
      </c>
      <c r="D398" t="inlineStr">
        <is>
          <t>VÄSTMANLANDS LÄN</t>
        </is>
      </c>
      <c r="E398" t="inlineStr">
        <is>
          <t>SALA</t>
        </is>
      </c>
      <c r="G398" t="n">
        <v>2.3</v>
      </c>
      <c r="H398" t="n">
        <v>0</v>
      </c>
      <c r="I398" t="n">
        <v>0</v>
      </c>
      <c r="J398" t="n">
        <v>0</v>
      </c>
      <c r="K398" t="n">
        <v>0</v>
      </c>
      <c r="L398" t="n">
        <v>0</v>
      </c>
      <c r="M398" t="n">
        <v>0</v>
      </c>
      <c r="N398" t="n">
        <v>0</v>
      </c>
      <c r="O398" t="n">
        <v>0</v>
      </c>
      <c r="P398" t="n">
        <v>0</v>
      </c>
      <c r="Q398" t="n">
        <v>0</v>
      </c>
      <c r="R398" s="2" t="inlineStr"/>
    </row>
    <row r="399" ht="15" customHeight="1">
      <c r="A399" t="inlineStr">
        <is>
          <t>A 5032-2025</t>
        </is>
      </c>
      <c r="B399" s="1" t="n">
        <v>45691</v>
      </c>
      <c r="C399" s="1" t="n">
        <v>46049</v>
      </c>
      <c r="D399" t="inlineStr">
        <is>
          <t>VÄSTMANLANDS LÄN</t>
        </is>
      </c>
      <c r="E399" t="inlineStr">
        <is>
          <t>SALA</t>
        </is>
      </c>
      <c r="G399" t="n">
        <v>0.9</v>
      </c>
      <c r="H399" t="n">
        <v>0</v>
      </c>
      <c r="I399" t="n">
        <v>0</v>
      </c>
      <c r="J399" t="n">
        <v>0</v>
      </c>
      <c r="K399" t="n">
        <v>0</v>
      </c>
      <c r="L399" t="n">
        <v>0</v>
      </c>
      <c r="M399" t="n">
        <v>0</v>
      </c>
      <c r="N399" t="n">
        <v>0</v>
      </c>
      <c r="O399" t="n">
        <v>0</v>
      </c>
      <c r="P399" t="n">
        <v>0</v>
      </c>
      <c r="Q399" t="n">
        <v>0</v>
      </c>
      <c r="R399" s="2" t="inlineStr"/>
    </row>
    <row r="400" ht="15" customHeight="1">
      <c r="A400" t="inlineStr">
        <is>
          <t>A 50119-2025</t>
        </is>
      </c>
      <c r="B400" s="1" t="n">
        <v>45943.54883101852</v>
      </c>
      <c r="C400" s="1" t="n">
        <v>46049</v>
      </c>
      <c r="D400" t="inlineStr">
        <is>
          <t>VÄSTMANLANDS LÄN</t>
        </is>
      </c>
      <c r="E400" t="inlineStr">
        <is>
          <t>SALA</t>
        </is>
      </c>
      <c r="G400" t="n">
        <v>3.3</v>
      </c>
      <c r="H400" t="n">
        <v>0</v>
      </c>
      <c r="I400" t="n">
        <v>0</v>
      </c>
      <c r="J400" t="n">
        <v>0</v>
      </c>
      <c r="K400" t="n">
        <v>0</v>
      </c>
      <c r="L400" t="n">
        <v>0</v>
      </c>
      <c r="M400" t="n">
        <v>0</v>
      </c>
      <c r="N400" t="n">
        <v>0</v>
      </c>
      <c r="O400" t="n">
        <v>0</v>
      </c>
      <c r="P400" t="n">
        <v>0</v>
      </c>
      <c r="Q400" t="n">
        <v>0</v>
      </c>
      <c r="R400" s="2" t="inlineStr"/>
    </row>
    <row r="401" ht="15" customHeight="1">
      <c r="A401" t="inlineStr">
        <is>
          <t>A 50059-2025</t>
        </is>
      </c>
      <c r="B401" s="1" t="n">
        <v>45943.44125</v>
      </c>
      <c r="C401" s="1" t="n">
        <v>46049</v>
      </c>
      <c r="D401" t="inlineStr">
        <is>
          <t>VÄSTMANLANDS LÄN</t>
        </is>
      </c>
      <c r="E401" t="inlineStr">
        <is>
          <t>SALA</t>
        </is>
      </c>
      <c r="G401" t="n">
        <v>4.4</v>
      </c>
      <c r="H401" t="n">
        <v>0</v>
      </c>
      <c r="I401" t="n">
        <v>0</v>
      </c>
      <c r="J401" t="n">
        <v>0</v>
      </c>
      <c r="K401" t="n">
        <v>0</v>
      </c>
      <c r="L401" t="n">
        <v>0</v>
      </c>
      <c r="M401" t="n">
        <v>0</v>
      </c>
      <c r="N401" t="n">
        <v>0</v>
      </c>
      <c r="O401" t="n">
        <v>0</v>
      </c>
      <c r="P401" t="n">
        <v>0</v>
      </c>
      <c r="Q401" t="n">
        <v>0</v>
      </c>
      <c r="R401" s="2" t="inlineStr"/>
    </row>
    <row r="402" ht="15" customHeight="1">
      <c r="A402" t="inlineStr">
        <is>
          <t>A 66908-2021</t>
        </is>
      </c>
      <c r="B402" s="1" t="n">
        <v>44522</v>
      </c>
      <c r="C402" s="1" t="n">
        <v>46049</v>
      </c>
      <c r="D402" t="inlineStr">
        <is>
          <t>VÄSTMANLANDS LÄN</t>
        </is>
      </c>
      <c r="E402" t="inlineStr">
        <is>
          <t>SALA</t>
        </is>
      </c>
      <c r="G402" t="n">
        <v>2.6</v>
      </c>
      <c r="H402" t="n">
        <v>0</v>
      </c>
      <c r="I402" t="n">
        <v>0</v>
      </c>
      <c r="J402" t="n">
        <v>0</v>
      </c>
      <c r="K402" t="n">
        <v>0</v>
      </c>
      <c r="L402" t="n">
        <v>0</v>
      </c>
      <c r="M402" t="n">
        <v>0</v>
      </c>
      <c r="N402" t="n">
        <v>0</v>
      </c>
      <c r="O402" t="n">
        <v>0</v>
      </c>
      <c r="P402" t="n">
        <v>0</v>
      </c>
      <c r="Q402" t="n">
        <v>0</v>
      </c>
      <c r="R402" s="2" t="inlineStr"/>
    </row>
    <row r="403" ht="15" customHeight="1">
      <c r="A403" t="inlineStr">
        <is>
          <t>A 11696-2025</t>
        </is>
      </c>
      <c r="B403" s="1" t="n">
        <v>45727</v>
      </c>
      <c r="C403" s="1" t="n">
        <v>46049</v>
      </c>
      <c r="D403" t="inlineStr">
        <is>
          <t>VÄSTMANLANDS LÄN</t>
        </is>
      </c>
      <c r="E403" t="inlineStr">
        <is>
          <t>SALA</t>
        </is>
      </c>
      <c r="F403" t="inlineStr">
        <is>
          <t>Bergvik skog öst AB</t>
        </is>
      </c>
      <c r="G403" t="n">
        <v>1.6</v>
      </c>
      <c r="H403" t="n">
        <v>0</v>
      </c>
      <c r="I403" t="n">
        <v>0</v>
      </c>
      <c r="J403" t="n">
        <v>0</v>
      </c>
      <c r="K403" t="n">
        <v>0</v>
      </c>
      <c r="L403" t="n">
        <v>0</v>
      </c>
      <c r="M403" t="n">
        <v>0</v>
      </c>
      <c r="N403" t="n">
        <v>0</v>
      </c>
      <c r="O403" t="n">
        <v>0</v>
      </c>
      <c r="P403" t="n">
        <v>0</v>
      </c>
      <c r="Q403" t="n">
        <v>0</v>
      </c>
      <c r="R403" s="2" t="inlineStr"/>
    </row>
    <row r="404" ht="15" customHeight="1">
      <c r="A404" t="inlineStr">
        <is>
          <t>A 73673-2021</t>
        </is>
      </c>
      <c r="B404" s="1" t="n">
        <v>44552.46501157407</v>
      </c>
      <c r="C404" s="1" t="n">
        <v>46049</v>
      </c>
      <c r="D404" t="inlineStr">
        <is>
          <t>VÄSTMANLANDS LÄN</t>
        </is>
      </c>
      <c r="E404" t="inlineStr">
        <is>
          <t>SALA</t>
        </is>
      </c>
      <c r="G404" t="n">
        <v>11.4</v>
      </c>
      <c r="H404" t="n">
        <v>0</v>
      </c>
      <c r="I404" t="n">
        <v>0</v>
      </c>
      <c r="J404" t="n">
        <v>0</v>
      </c>
      <c r="K404" t="n">
        <v>0</v>
      </c>
      <c r="L404" t="n">
        <v>0</v>
      </c>
      <c r="M404" t="n">
        <v>0</v>
      </c>
      <c r="N404" t="n">
        <v>0</v>
      </c>
      <c r="O404" t="n">
        <v>0</v>
      </c>
      <c r="P404" t="n">
        <v>0</v>
      </c>
      <c r="Q404" t="n">
        <v>0</v>
      </c>
      <c r="R404" s="2" t="inlineStr"/>
    </row>
    <row r="405" ht="15" customHeight="1">
      <c r="A405" t="inlineStr">
        <is>
          <t>A 43509-2021</t>
        </is>
      </c>
      <c r="B405" s="1" t="n">
        <v>44433</v>
      </c>
      <c r="C405" s="1" t="n">
        <v>46049</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13746-2025</t>
        </is>
      </c>
      <c r="B406" s="1" t="n">
        <v>45737.40944444444</v>
      </c>
      <c r="C406" s="1" t="n">
        <v>46049</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51626-2025</t>
        </is>
      </c>
      <c r="B407" s="1" t="n">
        <v>45951.41769675926</v>
      </c>
      <c r="C407" s="1" t="n">
        <v>46049</v>
      </c>
      <c r="D407" t="inlineStr">
        <is>
          <t>VÄSTMANLANDS LÄN</t>
        </is>
      </c>
      <c r="E407" t="inlineStr">
        <is>
          <t>SALA</t>
        </is>
      </c>
      <c r="G407" t="n">
        <v>2.6</v>
      </c>
      <c r="H407" t="n">
        <v>0</v>
      </c>
      <c r="I407" t="n">
        <v>0</v>
      </c>
      <c r="J407" t="n">
        <v>0</v>
      </c>
      <c r="K407" t="n">
        <v>0</v>
      </c>
      <c r="L407" t="n">
        <v>0</v>
      </c>
      <c r="M407" t="n">
        <v>0</v>
      </c>
      <c r="N407" t="n">
        <v>0</v>
      </c>
      <c r="O407" t="n">
        <v>0</v>
      </c>
      <c r="P407" t="n">
        <v>0</v>
      </c>
      <c r="Q407" t="n">
        <v>0</v>
      </c>
      <c r="R407" s="2" t="inlineStr"/>
    </row>
    <row r="408" ht="15" customHeight="1">
      <c r="A408" t="inlineStr">
        <is>
          <t>A 51690-2025</t>
        </is>
      </c>
      <c r="B408" s="1" t="n">
        <v>45951.53462962963</v>
      </c>
      <c r="C408" s="1" t="n">
        <v>46049</v>
      </c>
      <c r="D408" t="inlineStr">
        <is>
          <t>VÄSTMANLANDS LÄN</t>
        </is>
      </c>
      <c r="E408" t="inlineStr">
        <is>
          <t>SALA</t>
        </is>
      </c>
      <c r="G408" t="n">
        <v>0.8</v>
      </c>
      <c r="H408" t="n">
        <v>0</v>
      </c>
      <c r="I408" t="n">
        <v>0</v>
      </c>
      <c r="J408" t="n">
        <v>0</v>
      </c>
      <c r="K408" t="n">
        <v>0</v>
      </c>
      <c r="L408" t="n">
        <v>0</v>
      </c>
      <c r="M408" t="n">
        <v>0</v>
      </c>
      <c r="N408" t="n">
        <v>0</v>
      </c>
      <c r="O408" t="n">
        <v>0</v>
      </c>
      <c r="P408" t="n">
        <v>0</v>
      </c>
      <c r="Q408" t="n">
        <v>0</v>
      </c>
      <c r="R408" s="2" t="inlineStr"/>
    </row>
    <row r="409" ht="15" customHeight="1">
      <c r="A409" t="inlineStr">
        <is>
          <t>A 25897-2024</t>
        </is>
      </c>
      <c r="B409" s="1" t="n">
        <v>45467.54435185185</v>
      </c>
      <c r="C409" s="1" t="n">
        <v>46049</v>
      </c>
      <c r="D409" t="inlineStr">
        <is>
          <t>VÄSTMANLANDS LÄN</t>
        </is>
      </c>
      <c r="E409" t="inlineStr">
        <is>
          <t>SALA</t>
        </is>
      </c>
      <c r="G409" t="n">
        <v>9.9</v>
      </c>
      <c r="H409" t="n">
        <v>0</v>
      </c>
      <c r="I409" t="n">
        <v>0</v>
      </c>
      <c r="J409" t="n">
        <v>0</v>
      </c>
      <c r="K409" t="n">
        <v>0</v>
      </c>
      <c r="L409" t="n">
        <v>0</v>
      </c>
      <c r="M409" t="n">
        <v>0</v>
      </c>
      <c r="N409" t="n">
        <v>0</v>
      </c>
      <c r="O409" t="n">
        <v>0</v>
      </c>
      <c r="P409" t="n">
        <v>0</v>
      </c>
      <c r="Q409" t="n">
        <v>0</v>
      </c>
      <c r="R409" s="2" t="inlineStr"/>
    </row>
    <row r="410" ht="15" customHeight="1">
      <c r="A410" t="inlineStr">
        <is>
          <t>A 51809-2025</t>
        </is>
      </c>
      <c r="B410" s="1" t="n">
        <v>45951.80116898148</v>
      </c>
      <c r="C410" s="1" t="n">
        <v>46049</v>
      </c>
      <c r="D410" t="inlineStr">
        <is>
          <t>VÄSTMANLANDS LÄN</t>
        </is>
      </c>
      <c r="E410" t="inlineStr">
        <is>
          <t>SALA</t>
        </is>
      </c>
      <c r="F410" t="inlineStr">
        <is>
          <t>Kommuner</t>
        </is>
      </c>
      <c r="G410" t="n">
        <v>3.5</v>
      </c>
      <c r="H410" t="n">
        <v>0</v>
      </c>
      <c r="I410" t="n">
        <v>0</v>
      </c>
      <c r="J410" t="n">
        <v>0</v>
      </c>
      <c r="K410" t="n">
        <v>0</v>
      </c>
      <c r="L410" t="n">
        <v>0</v>
      </c>
      <c r="M410" t="n">
        <v>0</v>
      </c>
      <c r="N410" t="n">
        <v>0</v>
      </c>
      <c r="O410" t="n">
        <v>0</v>
      </c>
      <c r="P410" t="n">
        <v>0</v>
      </c>
      <c r="Q410" t="n">
        <v>0</v>
      </c>
      <c r="R410" s="2" t="inlineStr"/>
    </row>
    <row r="411" ht="15" customHeight="1">
      <c r="A411" t="inlineStr">
        <is>
          <t>A 23222-2023</t>
        </is>
      </c>
      <c r="B411" s="1" t="n">
        <v>45075</v>
      </c>
      <c r="C411" s="1" t="n">
        <v>46049</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23224-2023</t>
        </is>
      </c>
      <c r="B412" s="1" t="n">
        <v>45075.65040509259</v>
      </c>
      <c r="C412" s="1" t="n">
        <v>46049</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50479-2022</t>
        </is>
      </c>
      <c r="B413" s="1" t="n">
        <v>44861</v>
      </c>
      <c r="C413" s="1" t="n">
        <v>46049</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51803-2025</t>
        </is>
      </c>
      <c r="B414" s="1" t="n">
        <v>45951.76818287037</v>
      </c>
      <c r="C414" s="1" t="n">
        <v>46049</v>
      </c>
      <c r="D414" t="inlineStr">
        <is>
          <t>VÄSTMANLANDS LÄN</t>
        </is>
      </c>
      <c r="E414" t="inlineStr">
        <is>
          <t>SALA</t>
        </is>
      </c>
      <c r="F414" t="inlineStr">
        <is>
          <t>Kommuner</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51805-2025</t>
        </is>
      </c>
      <c r="B415" s="1" t="n">
        <v>45951.78359953704</v>
      </c>
      <c r="C415" s="1" t="n">
        <v>46049</v>
      </c>
      <c r="D415" t="inlineStr">
        <is>
          <t>VÄSTMANLANDS LÄN</t>
        </is>
      </c>
      <c r="E415" t="inlineStr">
        <is>
          <t>SALA</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51804-2025</t>
        </is>
      </c>
      <c r="B416" s="1" t="n">
        <v>45951.77697916667</v>
      </c>
      <c r="C416" s="1" t="n">
        <v>46049</v>
      </c>
      <c r="D416" t="inlineStr">
        <is>
          <t>VÄSTMANLANDS LÄN</t>
        </is>
      </c>
      <c r="E416" t="inlineStr">
        <is>
          <t>SALA</t>
        </is>
      </c>
      <c r="F416" t="inlineStr">
        <is>
          <t>Kommuner</t>
        </is>
      </c>
      <c r="G416" t="n">
        <v>2</v>
      </c>
      <c r="H416" t="n">
        <v>0</v>
      </c>
      <c r="I416" t="n">
        <v>0</v>
      </c>
      <c r="J416" t="n">
        <v>0</v>
      </c>
      <c r="K416" t="n">
        <v>0</v>
      </c>
      <c r="L416" t="n">
        <v>0</v>
      </c>
      <c r="M416" t="n">
        <v>0</v>
      </c>
      <c r="N416" t="n">
        <v>0</v>
      </c>
      <c r="O416" t="n">
        <v>0</v>
      </c>
      <c r="P416" t="n">
        <v>0</v>
      </c>
      <c r="Q416" t="n">
        <v>0</v>
      </c>
      <c r="R416" s="2" t="inlineStr"/>
    </row>
    <row r="417" ht="15" customHeight="1">
      <c r="A417" t="inlineStr">
        <is>
          <t>A 51808-2025</t>
        </is>
      </c>
      <c r="B417" s="1" t="n">
        <v>45951.79302083333</v>
      </c>
      <c r="C417" s="1" t="n">
        <v>46049</v>
      </c>
      <c r="D417" t="inlineStr">
        <is>
          <t>VÄSTMANLANDS LÄN</t>
        </is>
      </c>
      <c r="E417" t="inlineStr">
        <is>
          <t>SALA</t>
        </is>
      </c>
      <c r="F417" t="inlineStr">
        <is>
          <t>Kommuner</t>
        </is>
      </c>
      <c r="G417" t="n">
        <v>3</v>
      </c>
      <c r="H417" t="n">
        <v>0</v>
      </c>
      <c r="I417" t="n">
        <v>0</v>
      </c>
      <c r="J417" t="n">
        <v>0</v>
      </c>
      <c r="K417" t="n">
        <v>0</v>
      </c>
      <c r="L417" t="n">
        <v>0</v>
      </c>
      <c r="M417" t="n">
        <v>0</v>
      </c>
      <c r="N417" t="n">
        <v>0</v>
      </c>
      <c r="O417" t="n">
        <v>0</v>
      </c>
      <c r="P417" t="n">
        <v>0</v>
      </c>
      <c r="Q417" t="n">
        <v>0</v>
      </c>
      <c r="R417" s="2" t="inlineStr"/>
    </row>
    <row r="418" ht="15" customHeight="1">
      <c r="A418" t="inlineStr">
        <is>
          <t>A 51764-2025</t>
        </is>
      </c>
      <c r="B418" s="1" t="n">
        <v>45951.63636574074</v>
      </c>
      <c r="C418" s="1" t="n">
        <v>46049</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14919-2025</t>
        </is>
      </c>
      <c r="B419" s="1" t="n">
        <v>45743.54256944444</v>
      </c>
      <c r="C419" s="1" t="n">
        <v>46049</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14920-2025</t>
        </is>
      </c>
      <c r="B420" s="1" t="n">
        <v>45743</v>
      </c>
      <c r="C420" s="1" t="n">
        <v>46049</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13855-2023</t>
        </is>
      </c>
      <c r="B421" s="1" t="n">
        <v>45007</v>
      </c>
      <c r="C421" s="1" t="n">
        <v>46049</v>
      </c>
      <c r="D421" t="inlineStr">
        <is>
          <t>VÄSTMANLANDS LÄN</t>
        </is>
      </c>
      <c r="E421" t="inlineStr">
        <is>
          <t>SALA</t>
        </is>
      </c>
      <c r="G421" t="n">
        <v>2.9</v>
      </c>
      <c r="H421" t="n">
        <v>0</v>
      </c>
      <c r="I421" t="n">
        <v>0</v>
      </c>
      <c r="J421" t="n">
        <v>0</v>
      </c>
      <c r="K421" t="n">
        <v>0</v>
      </c>
      <c r="L421" t="n">
        <v>0</v>
      </c>
      <c r="M421" t="n">
        <v>0</v>
      </c>
      <c r="N421" t="n">
        <v>0</v>
      </c>
      <c r="O421" t="n">
        <v>0</v>
      </c>
      <c r="P421" t="n">
        <v>0</v>
      </c>
      <c r="Q421" t="n">
        <v>0</v>
      </c>
      <c r="R421" s="2" t="inlineStr"/>
    </row>
    <row r="422" ht="15" customHeight="1">
      <c r="A422" t="inlineStr">
        <is>
          <t>A 18877-2023</t>
        </is>
      </c>
      <c r="B422" s="1" t="n">
        <v>45044</v>
      </c>
      <c r="C422" s="1" t="n">
        <v>46049</v>
      </c>
      <c r="D422" t="inlineStr">
        <is>
          <t>VÄSTMANLANDS LÄN</t>
        </is>
      </c>
      <c r="E422" t="inlineStr">
        <is>
          <t>SALA</t>
        </is>
      </c>
      <c r="F422" t="inlineStr">
        <is>
          <t>Kommuner</t>
        </is>
      </c>
      <c r="G422" t="n">
        <v>4.4</v>
      </c>
      <c r="H422" t="n">
        <v>0</v>
      </c>
      <c r="I422" t="n">
        <v>0</v>
      </c>
      <c r="J422" t="n">
        <v>0</v>
      </c>
      <c r="K422" t="n">
        <v>0</v>
      </c>
      <c r="L422" t="n">
        <v>0</v>
      </c>
      <c r="M422" t="n">
        <v>0</v>
      </c>
      <c r="N422" t="n">
        <v>0</v>
      </c>
      <c r="O422" t="n">
        <v>0</v>
      </c>
      <c r="P422" t="n">
        <v>0</v>
      </c>
      <c r="Q422" t="n">
        <v>0</v>
      </c>
      <c r="R422" s="2" t="inlineStr"/>
    </row>
    <row r="423" ht="15" customHeight="1">
      <c r="A423" t="inlineStr">
        <is>
          <t>A 55556-2023</t>
        </is>
      </c>
      <c r="B423" s="1" t="n">
        <v>45232</v>
      </c>
      <c r="C423" s="1" t="n">
        <v>46049</v>
      </c>
      <c r="D423" t="inlineStr">
        <is>
          <t>VÄSTMANLANDS LÄN</t>
        </is>
      </c>
      <c r="E423" t="inlineStr">
        <is>
          <t>SALA</t>
        </is>
      </c>
      <c r="G423" t="n">
        <v>1.3</v>
      </c>
      <c r="H423" t="n">
        <v>0</v>
      </c>
      <c r="I423" t="n">
        <v>0</v>
      </c>
      <c r="J423" t="n">
        <v>0</v>
      </c>
      <c r="K423" t="n">
        <v>0</v>
      </c>
      <c r="L423" t="n">
        <v>0</v>
      </c>
      <c r="M423" t="n">
        <v>0</v>
      </c>
      <c r="N423" t="n">
        <v>0</v>
      </c>
      <c r="O423" t="n">
        <v>0</v>
      </c>
      <c r="P423" t="n">
        <v>0</v>
      </c>
      <c r="Q423" t="n">
        <v>0</v>
      </c>
      <c r="R423" s="2" t="inlineStr"/>
    </row>
    <row r="424" ht="15" customHeight="1">
      <c r="A424" t="inlineStr">
        <is>
          <t>A 34494-2023</t>
        </is>
      </c>
      <c r="B424" s="1" t="n">
        <v>45133</v>
      </c>
      <c r="C424" s="1" t="n">
        <v>46049</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13752-2025</t>
        </is>
      </c>
      <c r="B425" s="1" t="n">
        <v>45737.41416666667</v>
      </c>
      <c r="C425" s="1" t="n">
        <v>46049</v>
      </c>
      <c r="D425" t="inlineStr">
        <is>
          <t>VÄSTMANLANDS LÄN</t>
        </is>
      </c>
      <c r="E425" t="inlineStr">
        <is>
          <t>SALA</t>
        </is>
      </c>
      <c r="G425" t="n">
        <v>0.4</v>
      </c>
      <c r="H425" t="n">
        <v>0</v>
      </c>
      <c r="I425" t="n">
        <v>0</v>
      </c>
      <c r="J425" t="n">
        <v>0</v>
      </c>
      <c r="K425" t="n">
        <v>0</v>
      </c>
      <c r="L425" t="n">
        <v>0</v>
      </c>
      <c r="M425" t="n">
        <v>0</v>
      </c>
      <c r="N425" t="n">
        <v>0</v>
      </c>
      <c r="O425" t="n">
        <v>0</v>
      </c>
      <c r="P425" t="n">
        <v>0</v>
      </c>
      <c r="Q425" t="n">
        <v>0</v>
      </c>
      <c r="R425" s="2" t="inlineStr"/>
    </row>
    <row r="426" ht="15" customHeight="1">
      <c r="A426" t="inlineStr">
        <is>
          <t>A 53744-2025</t>
        </is>
      </c>
      <c r="B426" s="1" t="n">
        <v>45960.64863425926</v>
      </c>
      <c r="C426" s="1" t="n">
        <v>46049</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19398-2025</t>
        </is>
      </c>
      <c r="B427" s="1" t="n">
        <v>45769</v>
      </c>
      <c r="C427" s="1" t="n">
        <v>46049</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53725-2025</t>
        </is>
      </c>
      <c r="B428" s="1" t="n">
        <v>45960.63394675926</v>
      </c>
      <c r="C428" s="1" t="n">
        <v>46049</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22921-2023</t>
        </is>
      </c>
      <c r="B429" s="1" t="n">
        <v>45070</v>
      </c>
      <c r="C429" s="1" t="n">
        <v>46049</v>
      </c>
      <c r="D429" t="inlineStr">
        <is>
          <t>VÄSTMANLANDS LÄN</t>
        </is>
      </c>
      <c r="E429" t="inlineStr">
        <is>
          <t>SALA</t>
        </is>
      </c>
      <c r="G429" t="n">
        <v>1.3</v>
      </c>
      <c r="H429" t="n">
        <v>0</v>
      </c>
      <c r="I429" t="n">
        <v>0</v>
      </c>
      <c r="J429" t="n">
        <v>0</v>
      </c>
      <c r="K429" t="n">
        <v>0</v>
      </c>
      <c r="L429" t="n">
        <v>0</v>
      </c>
      <c r="M429" t="n">
        <v>0</v>
      </c>
      <c r="N429" t="n">
        <v>0</v>
      </c>
      <c r="O429" t="n">
        <v>0</v>
      </c>
      <c r="P429" t="n">
        <v>0</v>
      </c>
      <c r="Q429" t="n">
        <v>0</v>
      </c>
      <c r="R429" s="2" t="inlineStr"/>
    </row>
    <row r="430" ht="15" customHeight="1">
      <c r="A430" t="inlineStr">
        <is>
          <t>A 53724-2025</t>
        </is>
      </c>
      <c r="B430" s="1" t="n">
        <v>45960.63174768518</v>
      </c>
      <c r="C430" s="1" t="n">
        <v>46049</v>
      </c>
      <c r="D430" t="inlineStr">
        <is>
          <t>VÄSTMANLANDS LÄN</t>
        </is>
      </c>
      <c r="E430" t="inlineStr">
        <is>
          <t>SALA</t>
        </is>
      </c>
      <c r="G430" t="n">
        <v>2.8</v>
      </c>
      <c r="H430" t="n">
        <v>0</v>
      </c>
      <c r="I430" t="n">
        <v>0</v>
      </c>
      <c r="J430" t="n">
        <v>0</v>
      </c>
      <c r="K430" t="n">
        <v>0</v>
      </c>
      <c r="L430" t="n">
        <v>0</v>
      </c>
      <c r="M430" t="n">
        <v>0</v>
      </c>
      <c r="N430" t="n">
        <v>0</v>
      </c>
      <c r="O430" t="n">
        <v>0</v>
      </c>
      <c r="P430" t="n">
        <v>0</v>
      </c>
      <c r="Q430" t="n">
        <v>0</v>
      </c>
      <c r="R430" s="2" t="inlineStr"/>
    </row>
    <row r="431" ht="15" customHeight="1">
      <c r="A431" t="inlineStr">
        <is>
          <t>A 16133-2025</t>
        </is>
      </c>
      <c r="B431" s="1" t="n">
        <v>45750</v>
      </c>
      <c r="C431" s="1" t="n">
        <v>46049</v>
      </c>
      <c r="D431" t="inlineStr">
        <is>
          <t>VÄSTMANLANDS LÄN</t>
        </is>
      </c>
      <c r="E431" t="inlineStr">
        <is>
          <t>SALA</t>
        </is>
      </c>
      <c r="G431" t="n">
        <v>0.9</v>
      </c>
      <c r="H431" t="n">
        <v>0</v>
      </c>
      <c r="I431" t="n">
        <v>0</v>
      </c>
      <c r="J431" t="n">
        <v>0</v>
      </c>
      <c r="K431" t="n">
        <v>0</v>
      </c>
      <c r="L431" t="n">
        <v>0</v>
      </c>
      <c r="M431" t="n">
        <v>0</v>
      </c>
      <c r="N431" t="n">
        <v>0</v>
      </c>
      <c r="O431" t="n">
        <v>0</v>
      </c>
      <c r="P431" t="n">
        <v>0</v>
      </c>
      <c r="Q431" t="n">
        <v>0</v>
      </c>
      <c r="R431" s="2" t="inlineStr"/>
    </row>
    <row r="432" ht="15" customHeight="1">
      <c r="A432" t="inlineStr">
        <is>
          <t>A 38636-2024</t>
        </is>
      </c>
      <c r="B432" s="1" t="n">
        <v>45546</v>
      </c>
      <c r="C432" s="1" t="n">
        <v>46049</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54201-2025</t>
        </is>
      </c>
      <c r="B433" s="1" t="n">
        <v>45964.58055555556</v>
      </c>
      <c r="C433" s="1" t="n">
        <v>46049</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54344-2025</t>
        </is>
      </c>
      <c r="B434" s="1" t="n">
        <v>45965.36462962963</v>
      </c>
      <c r="C434" s="1" t="n">
        <v>46049</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6127-2025</t>
        </is>
      </c>
      <c r="B435" s="1" t="n">
        <v>45698</v>
      </c>
      <c r="C435" s="1" t="n">
        <v>46049</v>
      </c>
      <c r="D435" t="inlineStr">
        <is>
          <t>VÄSTMANLANDS LÄN</t>
        </is>
      </c>
      <c r="E435" t="inlineStr">
        <is>
          <t>SALA</t>
        </is>
      </c>
      <c r="F435" t="inlineStr">
        <is>
          <t>Bergvik skog öst AB</t>
        </is>
      </c>
      <c r="G435" t="n">
        <v>4.3</v>
      </c>
      <c r="H435" t="n">
        <v>0</v>
      </c>
      <c r="I435" t="n">
        <v>0</v>
      </c>
      <c r="J435" t="n">
        <v>0</v>
      </c>
      <c r="K435" t="n">
        <v>0</v>
      </c>
      <c r="L435" t="n">
        <v>0</v>
      </c>
      <c r="M435" t="n">
        <v>0</v>
      </c>
      <c r="N435" t="n">
        <v>0</v>
      </c>
      <c r="O435" t="n">
        <v>0</v>
      </c>
      <c r="P435" t="n">
        <v>0</v>
      </c>
      <c r="Q435" t="n">
        <v>0</v>
      </c>
      <c r="R435" s="2" t="inlineStr"/>
    </row>
    <row r="436" ht="15" customHeight="1">
      <c r="A436" t="inlineStr">
        <is>
          <t>A 15272-2025</t>
        </is>
      </c>
      <c r="B436" s="1" t="n">
        <v>45744</v>
      </c>
      <c r="C436" s="1" t="n">
        <v>46049</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62523-2025</t>
        </is>
      </c>
      <c r="B437" s="1" t="n">
        <v>46007.61512731481</v>
      </c>
      <c r="C437" s="1" t="n">
        <v>46049</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24248-2023</t>
        </is>
      </c>
      <c r="B438" s="1" t="n">
        <v>45079</v>
      </c>
      <c r="C438" s="1" t="n">
        <v>46049</v>
      </c>
      <c r="D438" t="inlineStr">
        <is>
          <t>VÄSTMANLANDS LÄN</t>
        </is>
      </c>
      <c r="E438" t="inlineStr">
        <is>
          <t>SALA</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38195-2021</t>
        </is>
      </c>
      <c r="B439" s="1" t="n">
        <v>44405</v>
      </c>
      <c r="C439" s="1" t="n">
        <v>46049</v>
      </c>
      <c r="D439" t="inlineStr">
        <is>
          <t>VÄSTMANLANDS LÄN</t>
        </is>
      </c>
      <c r="E439" t="inlineStr">
        <is>
          <t>SALA</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27228-2023</t>
        </is>
      </c>
      <c r="B440" s="1" t="n">
        <v>45096.59189814814</v>
      </c>
      <c r="C440" s="1" t="n">
        <v>46049</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54590-2025</t>
        </is>
      </c>
      <c r="B441" s="1" t="n">
        <v>45965.74199074074</v>
      </c>
      <c r="C441" s="1" t="n">
        <v>46049</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53838-2022</t>
        </is>
      </c>
      <c r="B442" s="1" t="n">
        <v>44880.59363425926</v>
      </c>
      <c r="C442" s="1" t="n">
        <v>46049</v>
      </c>
      <c r="D442" t="inlineStr">
        <is>
          <t>VÄSTMANLANDS LÄN</t>
        </is>
      </c>
      <c r="E442" t="inlineStr">
        <is>
          <t>SALA</t>
        </is>
      </c>
      <c r="G442" t="n">
        <v>3.9</v>
      </c>
      <c r="H442" t="n">
        <v>0</v>
      </c>
      <c r="I442" t="n">
        <v>0</v>
      </c>
      <c r="J442" t="n">
        <v>0</v>
      </c>
      <c r="K442" t="n">
        <v>0</v>
      </c>
      <c r="L442" t="n">
        <v>0</v>
      </c>
      <c r="M442" t="n">
        <v>0</v>
      </c>
      <c r="N442" t="n">
        <v>0</v>
      </c>
      <c r="O442" t="n">
        <v>0</v>
      </c>
      <c r="P442" t="n">
        <v>0</v>
      </c>
      <c r="Q442" t="n">
        <v>0</v>
      </c>
      <c r="R442" s="2" t="inlineStr"/>
    </row>
    <row r="443" ht="15" customHeight="1">
      <c r="A443" t="inlineStr">
        <is>
          <t>A 63046-2025</t>
        </is>
      </c>
      <c r="B443" s="1" t="n">
        <v>46009.62373842593</v>
      </c>
      <c r="C443" s="1" t="n">
        <v>46049</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25260-2023</t>
        </is>
      </c>
      <c r="B444" s="1" t="n">
        <v>45086</v>
      </c>
      <c r="C444" s="1" t="n">
        <v>46049</v>
      </c>
      <c r="D444" t="inlineStr">
        <is>
          <t>VÄSTMANLANDS LÄN</t>
        </is>
      </c>
      <c r="E444" t="inlineStr">
        <is>
          <t>SALA</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54893-2025</t>
        </is>
      </c>
      <c r="B445" s="1" t="n">
        <v>45967.36383101852</v>
      </c>
      <c r="C445" s="1" t="n">
        <v>46049</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16769-2024</t>
        </is>
      </c>
      <c r="B446" s="1" t="n">
        <v>45411.38738425926</v>
      </c>
      <c r="C446" s="1" t="n">
        <v>46049</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63051-2025</t>
        </is>
      </c>
      <c r="B447" s="1" t="n">
        <v>46009.63134259259</v>
      </c>
      <c r="C447" s="1" t="n">
        <v>46049</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63055-2025</t>
        </is>
      </c>
      <c r="B448" s="1" t="n">
        <v>46009.63619212963</v>
      </c>
      <c r="C448" s="1" t="n">
        <v>46049</v>
      </c>
      <c r="D448" t="inlineStr">
        <is>
          <t>VÄSTMANLANDS LÄN</t>
        </is>
      </c>
      <c r="E448" t="inlineStr">
        <is>
          <t>SALA</t>
        </is>
      </c>
      <c r="G448" t="n">
        <v>0.4</v>
      </c>
      <c r="H448" t="n">
        <v>0</v>
      </c>
      <c r="I448" t="n">
        <v>0</v>
      </c>
      <c r="J448" t="n">
        <v>0</v>
      </c>
      <c r="K448" t="n">
        <v>0</v>
      </c>
      <c r="L448" t="n">
        <v>0</v>
      </c>
      <c r="M448" t="n">
        <v>0</v>
      </c>
      <c r="N448" t="n">
        <v>0</v>
      </c>
      <c r="O448" t="n">
        <v>0</v>
      </c>
      <c r="P448" t="n">
        <v>0</v>
      </c>
      <c r="Q448" t="n">
        <v>0</v>
      </c>
      <c r="R448" s="2" t="inlineStr"/>
    </row>
    <row r="449" ht="15" customHeight="1">
      <c r="A449" t="inlineStr">
        <is>
          <t>A 60249-2023</t>
        </is>
      </c>
      <c r="B449" s="1" t="n">
        <v>45258</v>
      </c>
      <c r="C449" s="1" t="n">
        <v>46049</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63353-2025</t>
        </is>
      </c>
      <c r="B450" s="1" t="n">
        <v>46010.66670138889</v>
      </c>
      <c r="C450" s="1" t="n">
        <v>46049</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14271-2025</t>
        </is>
      </c>
      <c r="B451" s="1" t="n">
        <v>45740.64129629629</v>
      </c>
      <c r="C451" s="1" t="n">
        <v>46049</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69232-2021</t>
        </is>
      </c>
      <c r="B452" s="1" t="n">
        <v>44531.39696759259</v>
      </c>
      <c r="C452" s="1" t="n">
        <v>46049</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28328-2023</t>
        </is>
      </c>
      <c r="B453" s="1" t="n">
        <v>45099.71063657408</v>
      </c>
      <c r="C453" s="1" t="n">
        <v>46049</v>
      </c>
      <c r="D453" t="inlineStr">
        <is>
          <t>VÄSTMANLANDS LÄN</t>
        </is>
      </c>
      <c r="E453" t="inlineStr">
        <is>
          <t>SALA</t>
        </is>
      </c>
      <c r="G453" t="n">
        <v>1.8</v>
      </c>
      <c r="H453" t="n">
        <v>0</v>
      </c>
      <c r="I453" t="n">
        <v>0</v>
      </c>
      <c r="J453" t="n">
        <v>0</v>
      </c>
      <c r="K453" t="n">
        <v>0</v>
      </c>
      <c r="L453" t="n">
        <v>0</v>
      </c>
      <c r="M453" t="n">
        <v>0</v>
      </c>
      <c r="N453" t="n">
        <v>0</v>
      </c>
      <c r="O453" t="n">
        <v>0</v>
      </c>
      <c r="P453" t="n">
        <v>0</v>
      </c>
      <c r="Q453" t="n">
        <v>0</v>
      </c>
      <c r="R453" s="2" t="inlineStr"/>
    </row>
    <row r="454" ht="15" customHeight="1">
      <c r="A454" t="inlineStr">
        <is>
          <t>A 19033-2025</t>
        </is>
      </c>
      <c r="B454" s="1" t="n">
        <v>45764.65796296296</v>
      </c>
      <c r="C454" s="1" t="n">
        <v>46049</v>
      </c>
      <c r="D454" t="inlineStr">
        <is>
          <t>VÄSTMANLANDS LÄN</t>
        </is>
      </c>
      <c r="E454" t="inlineStr">
        <is>
          <t>SALA</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40085-2024</t>
        </is>
      </c>
      <c r="B455" s="1" t="n">
        <v>45554</v>
      </c>
      <c r="C455" s="1" t="n">
        <v>46049</v>
      </c>
      <c r="D455" t="inlineStr">
        <is>
          <t>VÄSTMANLANDS LÄN</t>
        </is>
      </c>
      <c r="E455" t="inlineStr">
        <is>
          <t>SALA</t>
        </is>
      </c>
      <c r="G455" t="n">
        <v>2.8</v>
      </c>
      <c r="H455" t="n">
        <v>0</v>
      </c>
      <c r="I455" t="n">
        <v>0</v>
      </c>
      <c r="J455" t="n">
        <v>0</v>
      </c>
      <c r="K455" t="n">
        <v>0</v>
      </c>
      <c r="L455" t="n">
        <v>0</v>
      </c>
      <c r="M455" t="n">
        <v>0</v>
      </c>
      <c r="N455" t="n">
        <v>0</v>
      </c>
      <c r="O455" t="n">
        <v>0</v>
      </c>
      <c r="P455" t="n">
        <v>0</v>
      </c>
      <c r="Q455" t="n">
        <v>0</v>
      </c>
      <c r="R455" s="2" t="inlineStr"/>
    </row>
    <row r="456" ht="15" customHeight="1">
      <c r="A456" t="inlineStr">
        <is>
          <t>A 18158-2025</t>
        </is>
      </c>
      <c r="B456" s="1" t="n">
        <v>45761</v>
      </c>
      <c r="C456" s="1" t="n">
        <v>46049</v>
      </c>
      <c r="D456" t="inlineStr">
        <is>
          <t>VÄSTMANLANDS LÄN</t>
        </is>
      </c>
      <c r="E456" t="inlineStr">
        <is>
          <t>SALA</t>
        </is>
      </c>
      <c r="F456" t="inlineStr">
        <is>
          <t>Bergvik skog öst AB</t>
        </is>
      </c>
      <c r="G456" t="n">
        <v>1.6</v>
      </c>
      <c r="H456" t="n">
        <v>0</v>
      </c>
      <c r="I456" t="n">
        <v>0</v>
      </c>
      <c r="J456" t="n">
        <v>0</v>
      </c>
      <c r="K456" t="n">
        <v>0</v>
      </c>
      <c r="L456" t="n">
        <v>0</v>
      </c>
      <c r="M456" t="n">
        <v>0</v>
      </c>
      <c r="N456" t="n">
        <v>0</v>
      </c>
      <c r="O456" t="n">
        <v>0</v>
      </c>
      <c r="P456" t="n">
        <v>0</v>
      </c>
      <c r="Q456" t="n">
        <v>0</v>
      </c>
      <c r="R456" s="2" t="inlineStr"/>
    </row>
    <row r="457" ht="15" customHeight="1">
      <c r="A457" t="inlineStr">
        <is>
          <t>A 49661-2024</t>
        </is>
      </c>
      <c r="B457" s="1" t="n">
        <v>45596</v>
      </c>
      <c r="C457" s="1" t="n">
        <v>46049</v>
      </c>
      <c r="D457" t="inlineStr">
        <is>
          <t>VÄSTMANLANDS LÄN</t>
        </is>
      </c>
      <c r="E457" t="inlineStr">
        <is>
          <t>SALA</t>
        </is>
      </c>
      <c r="G457" t="n">
        <v>6.7</v>
      </c>
      <c r="H457" t="n">
        <v>0</v>
      </c>
      <c r="I457" t="n">
        <v>0</v>
      </c>
      <c r="J457" t="n">
        <v>0</v>
      </c>
      <c r="K457" t="n">
        <v>0</v>
      </c>
      <c r="L457" t="n">
        <v>0</v>
      </c>
      <c r="M457" t="n">
        <v>0</v>
      </c>
      <c r="N457" t="n">
        <v>0</v>
      </c>
      <c r="O457" t="n">
        <v>0</v>
      </c>
      <c r="P457" t="n">
        <v>0</v>
      </c>
      <c r="Q457" t="n">
        <v>0</v>
      </c>
      <c r="R457" s="2" t="inlineStr"/>
    </row>
    <row r="458" ht="15" customHeight="1">
      <c r="A458" t="inlineStr">
        <is>
          <t>A 55997-2025</t>
        </is>
      </c>
      <c r="B458" s="1" t="n">
        <v>45973.56833333334</v>
      </c>
      <c r="C458" s="1" t="n">
        <v>46049</v>
      </c>
      <c r="D458" t="inlineStr">
        <is>
          <t>VÄSTMANLANDS LÄN</t>
        </is>
      </c>
      <c r="E458" t="inlineStr">
        <is>
          <t>SALA</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35519-2024</t>
        </is>
      </c>
      <c r="B459" s="1" t="n">
        <v>45531</v>
      </c>
      <c r="C459" s="1" t="n">
        <v>46049</v>
      </c>
      <c r="D459" t="inlineStr">
        <is>
          <t>VÄSTMANLANDS LÄN</t>
        </is>
      </c>
      <c r="E459" t="inlineStr">
        <is>
          <t>SALA</t>
        </is>
      </c>
      <c r="G459" t="n">
        <v>1.8</v>
      </c>
      <c r="H459" t="n">
        <v>0</v>
      </c>
      <c r="I459" t="n">
        <v>0</v>
      </c>
      <c r="J459" t="n">
        <v>0</v>
      </c>
      <c r="K459" t="n">
        <v>0</v>
      </c>
      <c r="L459" t="n">
        <v>0</v>
      </c>
      <c r="M459" t="n">
        <v>0</v>
      </c>
      <c r="N459" t="n">
        <v>0</v>
      </c>
      <c r="O459" t="n">
        <v>0</v>
      </c>
      <c r="P459" t="n">
        <v>0</v>
      </c>
      <c r="Q459" t="n">
        <v>0</v>
      </c>
      <c r="R459" s="2" t="inlineStr"/>
    </row>
    <row r="460" ht="15" customHeight="1">
      <c r="A460" t="inlineStr">
        <is>
          <t>A 54347-2024</t>
        </is>
      </c>
      <c r="B460" s="1" t="n">
        <v>45617.39325231482</v>
      </c>
      <c r="C460" s="1" t="n">
        <v>46049</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13022-2023</t>
        </is>
      </c>
      <c r="B461" s="1" t="n">
        <v>45002.33291666667</v>
      </c>
      <c r="C461" s="1" t="n">
        <v>46049</v>
      </c>
      <c r="D461" t="inlineStr">
        <is>
          <t>VÄSTMANLANDS LÄN</t>
        </is>
      </c>
      <c r="E461" t="inlineStr">
        <is>
          <t>SALA</t>
        </is>
      </c>
      <c r="G461" t="n">
        <v>1.5</v>
      </c>
      <c r="H461" t="n">
        <v>0</v>
      </c>
      <c r="I461" t="n">
        <v>0</v>
      </c>
      <c r="J461" t="n">
        <v>0</v>
      </c>
      <c r="K461" t="n">
        <v>0</v>
      </c>
      <c r="L461" t="n">
        <v>0</v>
      </c>
      <c r="M461" t="n">
        <v>0</v>
      </c>
      <c r="N461" t="n">
        <v>0</v>
      </c>
      <c r="O461" t="n">
        <v>0</v>
      </c>
      <c r="P461" t="n">
        <v>0</v>
      </c>
      <c r="Q461" t="n">
        <v>0</v>
      </c>
      <c r="R461" s="2" t="inlineStr"/>
    </row>
    <row r="462" ht="15" customHeight="1">
      <c r="A462" t="inlineStr">
        <is>
          <t>A 55714-2025</t>
        </is>
      </c>
      <c r="B462" s="1" t="n">
        <v>45972.49131944445</v>
      </c>
      <c r="C462" s="1" t="n">
        <v>46049</v>
      </c>
      <c r="D462" t="inlineStr">
        <is>
          <t>VÄSTMANLANDS LÄN</t>
        </is>
      </c>
      <c r="E462" t="inlineStr">
        <is>
          <t>SALA</t>
        </is>
      </c>
      <c r="G462" t="n">
        <v>6.6</v>
      </c>
      <c r="H462" t="n">
        <v>0</v>
      </c>
      <c r="I462" t="n">
        <v>0</v>
      </c>
      <c r="J462" t="n">
        <v>0</v>
      </c>
      <c r="K462" t="n">
        <v>0</v>
      </c>
      <c r="L462" t="n">
        <v>0</v>
      </c>
      <c r="M462" t="n">
        <v>0</v>
      </c>
      <c r="N462" t="n">
        <v>0</v>
      </c>
      <c r="O462" t="n">
        <v>0</v>
      </c>
      <c r="P462" t="n">
        <v>0</v>
      </c>
      <c r="Q462" t="n">
        <v>0</v>
      </c>
      <c r="R462" s="2" t="inlineStr"/>
    </row>
    <row r="463" ht="15" customHeight="1">
      <c r="A463" t="inlineStr">
        <is>
          <t>A 35003-2024</t>
        </is>
      </c>
      <c r="B463" s="1" t="n">
        <v>45527.56790509259</v>
      </c>
      <c r="C463" s="1" t="n">
        <v>46049</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56614-2025</t>
        </is>
      </c>
      <c r="B464" s="1" t="n">
        <v>45975.59288194445</v>
      </c>
      <c r="C464" s="1" t="n">
        <v>46049</v>
      </c>
      <c r="D464" t="inlineStr">
        <is>
          <t>VÄSTMANLANDS LÄN</t>
        </is>
      </c>
      <c r="E464" t="inlineStr">
        <is>
          <t>SALA</t>
        </is>
      </c>
      <c r="G464" t="n">
        <v>1.4</v>
      </c>
      <c r="H464" t="n">
        <v>0</v>
      </c>
      <c r="I464" t="n">
        <v>0</v>
      </c>
      <c r="J464" t="n">
        <v>0</v>
      </c>
      <c r="K464" t="n">
        <v>0</v>
      </c>
      <c r="L464" t="n">
        <v>0</v>
      </c>
      <c r="M464" t="n">
        <v>0</v>
      </c>
      <c r="N464" t="n">
        <v>0</v>
      </c>
      <c r="O464" t="n">
        <v>0</v>
      </c>
      <c r="P464" t="n">
        <v>0</v>
      </c>
      <c r="Q464" t="n">
        <v>0</v>
      </c>
      <c r="R464" s="2" t="inlineStr"/>
    </row>
    <row r="465" ht="15" customHeight="1">
      <c r="A465" t="inlineStr">
        <is>
          <t>A 56611-2025</t>
        </is>
      </c>
      <c r="B465" s="1" t="n">
        <v>45975</v>
      </c>
      <c r="C465" s="1" t="n">
        <v>46049</v>
      </c>
      <c r="D465" t="inlineStr">
        <is>
          <t>VÄSTMANLANDS LÄN</t>
        </is>
      </c>
      <c r="E465" t="inlineStr">
        <is>
          <t>SALA</t>
        </is>
      </c>
      <c r="G465" t="n">
        <v>2.8</v>
      </c>
      <c r="H465" t="n">
        <v>0</v>
      </c>
      <c r="I465" t="n">
        <v>0</v>
      </c>
      <c r="J465" t="n">
        <v>0</v>
      </c>
      <c r="K465" t="n">
        <v>0</v>
      </c>
      <c r="L465" t="n">
        <v>0</v>
      </c>
      <c r="M465" t="n">
        <v>0</v>
      </c>
      <c r="N465" t="n">
        <v>0</v>
      </c>
      <c r="O465" t="n">
        <v>0</v>
      </c>
      <c r="P465" t="n">
        <v>0</v>
      </c>
      <c r="Q465" t="n">
        <v>0</v>
      </c>
      <c r="R465" s="2" t="inlineStr"/>
    </row>
    <row r="466" ht="15" customHeight="1">
      <c r="A466" t="inlineStr">
        <is>
          <t>A 66307-2021</t>
        </is>
      </c>
      <c r="B466" s="1" t="n">
        <v>44518.48670138889</v>
      </c>
      <c r="C466" s="1" t="n">
        <v>46049</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6030-2024</t>
        </is>
      </c>
      <c r="B467" s="1" t="n">
        <v>45336.62782407407</v>
      </c>
      <c r="C467" s="1" t="n">
        <v>46049</v>
      </c>
      <c r="D467" t="inlineStr">
        <is>
          <t>VÄSTMANLANDS LÄN</t>
        </is>
      </c>
      <c r="E467" t="inlineStr">
        <is>
          <t>SALA</t>
        </is>
      </c>
      <c r="G467" t="n">
        <v>3.9</v>
      </c>
      <c r="H467" t="n">
        <v>0</v>
      </c>
      <c r="I467" t="n">
        <v>0</v>
      </c>
      <c r="J467" t="n">
        <v>0</v>
      </c>
      <c r="K467" t="n">
        <v>0</v>
      </c>
      <c r="L467" t="n">
        <v>0</v>
      </c>
      <c r="M467" t="n">
        <v>0</v>
      </c>
      <c r="N467" t="n">
        <v>0</v>
      </c>
      <c r="O467" t="n">
        <v>0</v>
      </c>
      <c r="P467" t="n">
        <v>0</v>
      </c>
      <c r="Q467" t="n">
        <v>0</v>
      </c>
      <c r="R467" s="2" t="inlineStr"/>
    </row>
    <row r="468" ht="15" customHeight="1">
      <c r="A468" t="inlineStr">
        <is>
          <t>A 57014-2025</t>
        </is>
      </c>
      <c r="B468" s="1" t="n">
        <v>45978</v>
      </c>
      <c r="C468" s="1" t="n">
        <v>46049</v>
      </c>
      <c r="D468" t="inlineStr">
        <is>
          <t>VÄSTMANLANDS LÄN</t>
        </is>
      </c>
      <c r="E468" t="inlineStr">
        <is>
          <t>SALA</t>
        </is>
      </c>
      <c r="G468" t="n">
        <v>2.2</v>
      </c>
      <c r="H468" t="n">
        <v>0</v>
      </c>
      <c r="I468" t="n">
        <v>0</v>
      </c>
      <c r="J468" t="n">
        <v>0</v>
      </c>
      <c r="K468" t="n">
        <v>0</v>
      </c>
      <c r="L468" t="n">
        <v>0</v>
      </c>
      <c r="M468" t="n">
        <v>0</v>
      </c>
      <c r="N468" t="n">
        <v>0</v>
      </c>
      <c r="O468" t="n">
        <v>0</v>
      </c>
      <c r="P468" t="n">
        <v>0</v>
      </c>
      <c r="Q468" t="n">
        <v>0</v>
      </c>
      <c r="R468" s="2" t="inlineStr"/>
    </row>
    <row r="469" ht="15" customHeight="1">
      <c r="A469" t="inlineStr">
        <is>
          <t>A 26761-2023</t>
        </is>
      </c>
      <c r="B469" s="1" t="n">
        <v>45093</v>
      </c>
      <c r="C469" s="1" t="n">
        <v>46049</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56502-2025</t>
        </is>
      </c>
      <c r="B470" s="1" t="n">
        <v>45975</v>
      </c>
      <c r="C470" s="1" t="n">
        <v>46049</v>
      </c>
      <c r="D470" t="inlineStr">
        <is>
          <t>VÄSTMANLANDS LÄN</t>
        </is>
      </c>
      <c r="E470" t="inlineStr">
        <is>
          <t>SALA</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61892-2021</t>
        </is>
      </c>
      <c r="B471" s="1" t="n">
        <v>44502</v>
      </c>
      <c r="C471" s="1" t="n">
        <v>46049</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56593-2025</t>
        </is>
      </c>
      <c r="B472" s="1" t="n">
        <v>45975</v>
      </c>
      <c r="C472" s="1" t="n">
        <v>46049</v>
      </c>
      <c r="D472" t="inlineStr">
        <is>
          <t>VÄSTMANLANDS LÄN</t>
        </is>
      </c>
      <c r="E472" t="inlineStr">
        <is>
          <t>SALA</t>
        </is>
      </c>
      <c r="F472" t="inlineStr">
        <is>
          <t>Kyrkan</t>
        </is>
      </c>
      <c r="G472" t="n">
        <v>0.1</v>
      </c>
      <c r="H472" t="n">
        <v>0</v>
      </c>
      <c r="I472" t="n">
        <v>0</v>
      </c>
      <c r="J472" t="n">
        <v>0</v>
      </c>
      <c r="K472" t="n">
        <v>0</v>
      </c>
      <c r="L472" t="n">
        <v>0</v>
      </c>
      <c r="M472" t="n">
        <v>0</v>
      </c>
      <c r="N472" t="n">
        <v>0</v>
      </c>
      <c r="O472" t="n">
        <v>0</v>
      </c>
      <c r="P472" t="n">
        <v>0</v>
      </c>
      <c r="Q472" t="n">
        <v>0</v>
      </c>
      <c r="R472" s="2" t="inlineStr"/>
    </row>
    <row r="473" ht="15" customHeight="1">
      <c r="A473" t="inlineStr">
        <is>
          <t>A 63749-2025</t>
        </is>
      </c>
      <c r="B473" s="1" t="n">
        <v>46017.75243055556</v>
      </c>
      <c r="C473" s="1" t="n">
        <v>46049</v>
      </c>
      <c r="D473" t="inlineStr">
        <is>
          <t>VÄSTMANLANDS LÄN</t>
        </is>
      </c>
      <c r="E473" t="inlineStr">
        <is>
          <t>SALA</t>
        </is>
      </c>
      <c r="G473" t="n">
        <v>1.5</v>
      </c>
      <c r="H473" t="n">
        <v>0</v>
      </c>
      <c r="I473" t="n">
        <v>0</v>
      </c>
      <c r="J473" t="n">
        <v>0</v>
      </c>
      <c r="K473" t="n">
        <v>0</v>
      </c>
      <c r="L473" t="n">
        <v>0</v>
      </c>
      <c r="M473" t="n">
        <v>0</v>
      </c>
      <c r="N473" t="n">
        <v>0</v>
      </c>
      <c r="O473" t="n">
        <v>0</v>
      </c>
      <c r="P473" t="n">
        <v>0</v>
      </c>
      <c r="Q473" t="n">
        <v>0</v>
      </c>
      <c r="R473" s="2" t="inlineStr"/>
    </row>
    <row r="474" ht="15" customHeight="1">
      <c r="A474" t="inlineStr">
        <is>
          <t>A 56645-2025</t>
        </is>
      </c>
      <c r="B474" s="1" t="n">
        <v>45975.63063657407</v>
      </c>
      <c r="C474" s="1" t="n">
        <v>46049</v>
      </c>
      <c r="D474" t="inlineStr">
        <is>
          <t>VÄSTMANLANDS LÄN</t>
        </is>
      </c>
      <c r="E474" t="inlineStr">
        <is>
          <t>SALA</t>
        </is>
      </c>
      <c r="F474" t="inlineStr">
        <is>
          <t>Bergvik skog öst AB</t>
        </is>
      </c>
      <c r="G474" t="n">
        <v>5.3</v>
      </c>
      <c r="H474" t="n">
        <v>0</v>
      </c>
      <c r="I474" t="n">
        <v>0</v>
      </c>
      <c r="J474" t="n">
        <v>0</v>
      </c>
      <c r="K474" t="n">
        <v>0</v>
      </c>
      <c r="L474" t="n">
        <v>0</v>
      </c>
      <c r="M474" t="n">
        <v>0</v>
      </c>
      <c r="N474" t="n">
        <v>0</v>
      </c>
      <c r="O474" t="n">
        <v>0</v>
      </c>
      <c r="P474" t="n">
        <v>0</v>
      </c>
      <c r="Q474" t="n">
        <v>0</v>
      </c>
      <c r="R474" s="2" t="inlineStr"/>
    </row>
    <row r="475" ht="15" customHeight="1">
      <c r="A475" t="inlineStr">
        <is>
          <t>A 63748-2025</t>
        </is>
      </c>
      <c r="B475" s="1" t="n">
        <v>46017.71640046296</v>
      </c>
      <c r="C475" s="1" t="n">
        <v>46049</v>
      </c>
      <c r="D475" t="inlineStr">
        <is>
          <t>VÄSTMANLANDS LÄN</t>
        </is>
      </c>
      <c r="E475" t="inlineStr">
        <is>
          <t>SALA</t>
        </is>
      </c>
      <c r="G475" t="n">
        <v>1.6</v>
      </c>
      <c r="H475" t="n">
        <v>0</v>
      </c>
      <c r="I475" t="n">
        <v>0</v>
      </c>
      <c r="J475" t="n">
        <v>0</v>
      </c>
      <c r="K475" t="n">
        <v>0</v>
      </c>
      <c r="L475" t="n">
        <v>0</v>
      </c>
      <c r="M475" t="n">
        <v>0</v>
      </c>
      <c r="N475" t="n">
        <v>0</v>
      </c>
      <c r="O475" t="n">
        <v>0</v>
      </c>
      <c r="P475" t="n">
        <v>0</v>
      </c>
      <c r="Q475" t="n">
        <v>0</v>
      </c>
      <c r="R475" s="2" t="inlineStr"/>
    </row>
    <row r="476" ht="15" customHeight="1">
      <c r="A476" t="inlineStr">
        <is>
          <t>A 7772-2023</t>
        </is>
      </c>
      <c r="B476" s="1" t="n">
        <v>44973.40076388889</v>
      </c>
      <c r="C476" s="1" t="n">
        <v>46049</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57412-2025</t>
        </is>
      </c>
      <c r="B477" s="1" t="n">
        <v>45980.44883101852</v>
      </c>
      <c r="C477" s="1" t="n">
        <v>46049</v>
      </c>
      <c r="D477" t="inlineStr">
        <is>
          <t>VÄSTMANLANDS LÄN</t>
        </is>
      </c>
      <c r="E477" t="inlineStr">
        <is>
          <t>SALA</t>
        </is>
      </c>
      <c r="F477" t="inlineStr">
        <is>
          <t>Bergvik skog öst AB</t>
        </is>
      </c>
      <c r="G477" t="n">
        <v>4.5</v>
      </c>
      <c r="H477" t="n">
        <v>0</v>
      </c>
      <c r="I477" t="n">
        <v>0</v>
      </c>
      <c r="J477" t="n">
        <v>0</v>
      </c>
      <c r="K477" t="n">
        <v>0</v>
      </c>
      <c r="L477" t="n">
        <v>0</v>
      </c>
      <c r="M477" t="n">
        <v>0</v>
      </c>
      <c r="N477" t="n">
        <v>0</v>
      </c>
      <c r="O477" t="n">
        <v>0</v>
      </c>
      <c r="P477" t="n">
        <v>0</v>
      </c>
      <c r="Q477" t="n">
        <v>0</v>
      </c>
      <c r="R477" s="2" t="inlineStr"/>
    </row>
    <row r="478" ht="15" customHeight="1">
      <c r="A478" t="inlineStr">
        <is>
          <t>A 42416-2022</t>
        </is>
      </c>
      <c r="B478" s="1" t="n">
        <v>44831</v>
      </c>
      <c r="C478" s="1" t="n">
        <v>46049</v>
      </c>
      <c r="D478" t="inlineStr">
        <is>
          <t>VÄSTMANLANDS LÄN</t>
        </is>
      </c>
      <c r="E478" t="inlineStr">
        <is>
          <t>SALA</t>
        </is>
      </c>
      <c r="G478" t="n">
        <v>2.2</v>
      </c>
      <c r="H478" t="n">
        <v>0</v>
      </c>
      <c r="I478" t="n">
        <v>0</v>
      </c>
      <c r="J478" t="n">
        <v>0</v>
      </c>
      <c r="K478" t="n">
        <v>0</v>
      </c>
      <c r="L478" t="n">
        <v>0</v>
      </c>
      <c r="M478" t="n">
        <v>0</v>
      </c>
      <c r="N478" t="n">
        <v>0</v>
      </c>
      <c r="O478" t="n">
        <v>0</v>
      </c>
      <c r="P478" t="n">
        <v>0</v>
      </c>
      <c r="Q478" t="n">
        <v>0</v>
      </c>
      <c r="R478" s="2" t="inlineStr"/>
    </row>
    <row r="479" ht="15" customHeight="1">
      <c r="A479" t="inlineStr">
        <is>
          <t>A 19381-2025</t>
        </is>
      </c>
      <c r="B479" s="1" t="n">
        <v>45769</v>
      </c>
      <c r="C479" s="1" t="n">
        <v>46049</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57414-2025</t>
        </is>
      </c>
      <c r="B480" s="1" t="n">
        <v>45980.45003472222</v>
      </c>
      <c r="C480" s="1" t="n">
        <v>46049</v>
      </c>
      <c r="D480" t="inlineStr">
        <is>
          <t>VÄSTMANLANDS LÄN</t>
        </is>
      </c>
      <c r="E480" t="inlineStr">
        <is>
          <t>SALA</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57415-2025</t>
        </is>
      </c>
      <c r="B481" s="1" t="n">
        <v>45980.45099537037</v>
      </c>
      <c r="C481" s="1" t="n">
        <v>46049</v>
      </c>
      <c r="D481" t="inlineStr">
        <is>
          <t>VÄSTMANLANDS LÄN</t>
        </is>
      </c>
      <c r="E481" t="inlineStr">
        <is>
          <t>SALA</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48688-2024</t>
        </is>
      </c>
      <c r="B482" s="1" t="n">
        <v>45593.50541666667</v>
      </c>
      <c r="C482" s="1" t="n">
        <v>46049</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45187-2024</t>
        </is>
      </c>
      <c r="B483" s="1" t="n">
        <v>45575</v>
      </c>
      <c r="C483" s="1" t="n">
        <v>46049</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58357-2025</t>
        </is>
      </c>
      <c r="B484" s="1" t="n">
        <v>45985.51518518518</v>
      </c>
      <c r="C484" s="1" t="n">
        <v>46049</v>
      </c>
      <c r="D484" t="inlineStr">
        <is>
          <t>VÄSTMANLANDS LÄN</t>
        </is>
      </c>
      <c r="E484" t="inlineStr">
        <is>
          <t>SALA</t>
        </is>
      </c>
      <c r="G484" t="n">
        <v>3</v>
      </c>
      <c r="H484" t="n">
        <v>0</v>
      </c>
      <c r="I484" t="n">
        <v>0</v>
      </c>
      <c r="J484" t="n">
        <v>0</v>
      </c>
      <c r="K484" t="n">
        <v>0</v>
      </c>
      <c r="L484" t="n">
        <v>0</v>
      </c>
      <c r="M484" t="n">
        <v>0</v>
      </c>
      <c r="N484" t="n">
        <v>0</v>
      </c>
      <c r="O484" t="n">
        <v>0</v>
      </c>
      <c r="P484" t="n">
        <v>0</v>
      </c>
      <c r="Q484" t="n">
        <v>0</v>
      </c>
      <c r="R484" s="2" t="inlineStr"/>
    </row>
    <row r="485" ht="15" customHeight="1">
      <c r="A485" t="inlineStr">
        <is>
          <t>A 15968-2024</t>
        </is>
      </c>
      <c r="B485" s="1" t="n">
        <v>45405.56021990741</v>
      </c>
      <c r="C485" s="1" t="n">
        <v>46049</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55760-2025</t>
        </is>
      </c>
      <c r="B486" s="1" t="n">
        <v>45972</v>
      </c>
      <c r="C486" s="1" t="n">
        <v>46049</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58365-2025</t>
        </is>
      </c>
      <c r="B487" s="1" t="n">
        <v>45985.52288194445</v>
      </c>
      <c r="C487" s="1" t="n">
        <v>46049</v>
      </c>
      <c r="D487" t="inlineStr">
        <is>
          <t>VÄSTMANLANDS LÄN</t>
        </is>
      </c>
      <c r="E487" t="inlineStr">
        <is>
          <t>SALA</t>
        </is>
      </c>
      <c r="G487" t="n">
        <v>3.9</v>
      </c>
      <c r="H487" t="n">
        <v>0</v>
      </c>
      <c r="I487" t="n">
        <v>0</v>
      </c>
      <c r="J487" t="n">
        <v>0</v>
      </c>
      <c r="K487" t="n">
        <v>0</v>
      </c>
      <c r="L487" t="n">
        <v>0</v>
      </c>
      <c r="M487" t="n">
        <v>0</v>
      </c>
      <c r="N487" t="n">
        <v>0</v>
      </c>
      <c r="O487" t="n">
        <v>0</v>
      </c>
      <c r="P487" t="n">
        <v>0</v>
      </c>
      <c r="Q487" t="n">
        <v>0</v>
      </c>
      <c r="R487" s="2" t="inlineStr"/>
    </row>
    <row r="488" ht="15" customHeight="1">
      <c r="A488" t="inlineStr">
        <is>
          <t>A 3733-2023</t>
        </is>
      </c>
      <c r="B488" s="1" t="n">
        <v>44951.42501157407</v>
      </c>
      <c r="C488" s="1" t="n">
        <v>46049</v>
      </c>
      <c r="D488" t="inlineStr">
        <is>
          <t>VÄSTMANLANDS LÄN</t>
        </is>
      </c>
      <c r="E488" t="inlineStr">
        <is>
          <t>SALA</t>
        </is>
      </c>
      <c r="G488" t="n">
        <v>3.1</v>
      </c>
      <c r="H488" t="n">
        <v>0</v>
      </c>
      <c r="I488" t="n">
        <v>0</v>
      </c>
      <c r="J488" t="n">
        <v>0</v>
      </c>
      <c r="K488" t="n">
        <v>0</v>
      </c>
      <c r="L488" t="n">
        <v>0</v>
      </c>
      <c r="M488" t="n">
        <v>0</v>
      </c>
      <c r="N488" t="n">
        <v>0</v>
      </c>
      <c r="O488" t="n">
        <v>0</v>
      </c>
      <c r="P488" t="n">
        <v>0</v>
      </c>
      <c r="Q488" t="n">
        <v>0</v>
      </c>
      <c r="R488" s="2" t="inlineStr"/>
    </row>
    <row r="489" ht="15" customHeight="1">
      <c r="A489" t="inlineStr">
        <is>
          <t>A 58282-2025</t>
        </is>
      </c>
      <c r="B489" s="1" t="n">
        <v>45985.44309027777</v>
      </c>
      <c r="C489" s="1" t="n">
        <v>46049</v>
      </c>
      <c r="D489" t="inlineStr">
        <is>
          <t>VÄSTMANLANDS LÄN</t>
        </is>
      </c>
      <c r="E489" t="inlineStr">
        <is>
          <t>SALA</t>
        </is>
      </c>
      <c r="G489" t="n">
        <v>8.9</v>
      </c>
      <c r="H489" t="n">
        <v>0</v>
      </c>
      <c r="I489" t="n">
        <v>0</v>
      </c>
      <c r="J489" t="n">
        <v>0</v>
      </c>
      <c r="K489" t="n">
        <v>0</v>
      </c>
      <c r="L489" t="n">
        <v>0</v>
      </c>
      <c r="M489" t="n">
        <v>0</v>
      </c>
      <c r="N489" t="n">
        <v>0</v>
      </c>
      <c r="O489" t="n">
        <v>0</v>
      </c>
      <c r="P489" t="n">
        <v>0</v>
      </c>
      <c r="Q489" t="n">
        <v>0</v>
      </c>
      <c r="R489" s="2" t="inlineStr"/>
    </row>
    <row r="490" ht="15" customHeight="1">
      <c r="A490" t="inlineStr">
        <is>
          <t>A 58359-2025</t>
        </is>
      </c>
      <c r="B490" s="1" t="n">
        <v>45985.51594907408</v>
      </c>
      <c r="C490" s="1" t="n">
        <v>46049</v>
      </c>
      <c r="D490" t="inlineStr">
        <is>
          <t>VÄSTMANLANDS LÄN</t>
        </is>
      </c>
      <c r="E490" t="inlineStr">
        <is>
          <t>SALA</t>
        </is>
      </c>
      <c r="G490" t="n">
        <v>3.7</v>
      </c>
      <c r="H490" t="n">
        <v>0</v>
      </c>
      <c r="I490" t="n">
        <v>0</v>
      </c>
      <c r="J490" t="n">
        <v>0</v>
      </c>
      <c r="K490" t="n">
        <v>0</v>
      </c>
      <c r="L490" t="n">
        <v>0</v>
      </c>
      <c r="M490" t="n">
        <v>0</v>
      </c>
      <c r="N490" t="n">
        <v>0</v>
      </c>
      <c r="O490" t="n">
        <v>0</v>
      </c>
      <c r="P490" t="n">
        <v>0</v>
      </c>
      <c r="Q490" t="n">
        <v>0</v>
      </c>
      <c r="R490" s="2" t="inlineStr"/>
    </row>
    <row r="491" ht="15" customHeight="1">
      <c r="A491" t="inlineStr">
        <is>
          <t>A 58364-2025</t>
        </is>
      </c>
      <c r="B491" s="1" t="n">
        <v>45985.5228125</v>
      </c>
      <c r="C491" s="1" t="n">
        <v>46049</v>
      </c>
      <c r="D491" t="inlineStr">
        <is>
          <t>VÄSTMANLANDS LÄN</t>
        </is>
      </c>
      <c r="E491" t="inlineStr">
        <is>
          <t>SALA</t>
        </is>
      </c>
      <c r="G491" t="n">
        <v>2.1</v>
      </c>
      <c r="H491" t="n">
        <v>0</v>
      </c>
      <c r="I491" t="n">
        <v>0</v>
      </c>
      <c r="J491" t="n">
        <v>0</v>
      </c>
      <c r="K491" t="n">
        <v>0</v>
      </c>
      <c r="L491" t="n">
        <v>0</v>
      </c>
      <c r="M491" t="n">
        <v>0</v>
      </c>
      <c r="N491" t="n">
        <v>0</v>
      </c>
      <c r="O491" t="n">
        <v>0</v>
      </c>
      <c r="P491" t="n">
        <v>0</v>
      </c>
      <c r="Q491" t="n">
        <v>0</v>
      </c>
      <c r="R491" s="2" t="inlineStr"/>
    </row>
    <row r="492" ht="15" customHeight="1">
      <c r="A492" t="inlineStr">
        <is>
          <t>A 44544-2024</t>
        </is>
      </c>
      <c r="B492" s="1" t="n">
        <v>45574.46119212963</v>
      </c>
      <c r="C492" s="1" t="n">
        <v>46049</v>
      </c>
      <c r="D492" t="inlineStr">
        <is>
          <t>VÄSTMANLANDS LÄN</t>
        </is>
      </c>
      <c r="E492" t="inlineStr">
        <is>
          <t>SALA</t>
        </is>
      </c>
      <c r="G492" t="n">
        <v>3.3</v>
      </c>
      <c r="H492" t="n">
        <v>0</v>
      </c>
      <c r="I492" t="n">
        <v>0</v>
      </c>
      <c r="J492" t="n">
        <v>0</v>
      </c>
      <c r="K492" t="n">
        <v>0</v>
      </c>
      <c r="L492" t="n">
        <v>0</v>
      </c>
      <c r="M492" t="n">
        <v>0</v>
      </c>
      <c r="N492" t="n">
        <v>0</v>
      </c>
      <c r="O492" t="n">
        <v>0</v>
      </c>
      <c r="P492" t="n">
        <v>0</v>
      </c>
      <c r="Q492" t="n">
        <v>0</v>
      </c>
      <c r="R492" s="2" t="inlineStr"/>
    </row>
    <row r="493" ht="15" customHeight="1">
      <c r="A493" t="inlineStr">
        <is>
          <t>A 63269-2025</t>
        </is>
      </c>
      <c r="B493" s="1" t="n">
        <v>46010</v>
      </c>
      <c r="C493" s="1" t="n">
        <v>46049</v>
      </c>
      <c r="D493" t="inlineStr">
        <is>
          <t>VÄSTMANLANDS LÄN</t>
        </is>
      </c>
      <c r="E493" t="inlineStr">
        <is>
          <t>SALA</t>
        </is>
      </c>
      <c r="G493" t="n">
        <v>6.4</v>
      </c>
      <c r="H493" t="n">
        <v>0</v>
      </c>
      <c r="I493" t="n">
        <v>0</v>
      </c>
      <c r="J493" t="n">
        <v>0</v>
      </c>
      <c r="K493" t="n">
        <v>0</v>
      </c>
      <c r="L493" t="n">
        <v>0</v>
      </c>
      <c r="M493" t="n">
        <v>0</v>
      </c>
      <c r="N493" t="n">
        <v>0</v>
      </c>
      <c r="O493" t="n">
        <v>0</v>
      </c>
      <c r="P493" t="n">
        <v>0</v>
      </c>
      <c r="Q493" t="n">
        <v>0</v>
      </c>
      <c r="R493" s="2" t="inlineStr"/>
    </row>
    <row r="494" ht="15" customHeight="1">
      <c r="A494" t="inlineStr">
        <is>
          <t>A 64729-2023</t>
        </is>
      </c>
      <c r="B494" s="1" t="n">
        <v>45281</v>
      </c>
      <c r="C494" s="1" t="n">
        <v>46049</v>
      </c>
      <c r="D494" t="inlineStr">
        <is>
          <t>VÄSTMANLANDS LÄN</t>
        </is>
      </c>
      <c r="E494" t="inlineStr">
        <is>
          <t>SALA</t>
        </is>
      </c>
      <c r="G494" t="n">
        <v>1.8</v>
      </c>
      <c r="H494" t="n">
        <v>0</v>
      </c>
      <c r="I494" t="n">
        <v>0</v>
      </c>
      <c r="J494" t="n">
        <v>0</v>
      </c>
      <c r="K494" t="n">
        <v>0</v>
      </c>
      <c r="L494" t="n">
        <v>0</v>
      </c>
      <c r="M494" t="n">
        <v>0</v>
      </c>
      <c r="N494" t="n">
        <v>0</v>
      </c>
      <c r="O494" t="n">
        <v>0</v>
      </c>
      <c r="P494" t="n">
        <v>0</v>
      </c>
      <c r="Q494" t="n">
        <v>0</v>
      </c>
      <c r="R494" s="2" t="inlineStr"/>
    </row>
    <row r="495" ht="15" customHeight="1">
      <c r="A495" t="inlineStr">
        <is>
          <t>A 910-2026</t>
        </is>
      </c>
      <c r="B495" s="1" t="n">
        <v>46030.4771412037</v>
      </c>
      <c r="C495" s="1" t="n">
        <v>46049</v>
      </c>
      <c r="D495" t="inlineStr">
        <is>
          <t>VÄSTMANLANDS LÄN</t>
        </is>
      </c>
      <c r="E495" t="inlineStr">
        <is>
          <t>SALA</t>
        </is>
      </c>
      <c r="G495" t="n">
        <v>1.4</v>
      </c>
      <c r="H495" t="n">
        <v>0</v>
      </c>
      <c r="I495" t="n">
        <v>0</v>
      </c>
      <c r="J495" t="n">
        <v>0</v>
      </c>
      <c r="K495" t="n">
        <v>0</v>
      </c>
      <c r="L495" t="n">
        <v>0</v>
      </c>
      <c r="M495" t="n">
        <v>0</v>
      </c>
      <c r="N495" t="n">
        <v>0</v>
      </c>
      <c r="O495" t="n">
        <v>0</v>
      </c>
      <c r="P495" t="n">
        <v>0</v>
      </c>
      <c r="Q495" t="n">
        <v>0</v>
      </c>
      <c r="R495" s="2" t="inlineStr"/>
    </row>
    <row r="496" ht="15" customHeight="1">
      <c r="A496" t="inlineStr">
        <is>
          <t>A 68864-2021</t>
        </is>
      </c>
      <c r="B496" s="1" t="n">
        <v>44530</v>
      </c>
      <c r="C496" s="1" t="n">
        <v>46049</v>
      </c>
      <c r="D496" t="inlineStr">
        <is>
          <t>VÄSTMANLANDS LÄN</t>
        </is>
      </c>
      <c r="E496" t="inlineStr">
        <is>
          <t>SALA</t>
        </is>
      </c>
      <c r="G496" t="n">
        <v>1.1</v>
      </c>
      <c r="H496" t="n">
        <v>0</v>
      </c>
      <c r="I496" t="n">
        <v>0</v>
      </c>
      <c r="J496" t="n">
        <v>0</v>
      </c>
      <c r="K496" t="n">
        <v>0</v>
      </c>
      <c r="L496" t="n">
        <v>0</v>
      </c>
      <c r="M496" t="n">
        <v>0</v>
      </c>
      <c r="N496" t="n">
        <v>0</v>
      </c>
      <c r="O496" t="n">
        <v>0</v>
      </c>
      <c r="P496" t="n">
        <v>0</v>
      </c>
      <c r="Q496" t="n">
        <v>0</v>
      </c>
      <c r="R496" s="2" t="inlineStr"/>
    </row>
    <row r="497" ht="15" customHeight="1">
      <c r="A497" t="inlineStr">
        <is>
          <t>A 51247-2025</t>
        </is>
      </c>
      <c r="B497" s="1" t="n">
        <v>45947.86487268518</v>
      </c>
      <c r="C497" s="1" t="n">
        <v>46049</v>
      </c>
      <c r="D497" t="inlineStr">
        <is>
          <t>VÄSTMANLANDS LÄN</t>
        </is>
      </c>
      <c r="E497" t="inlineStr">
        <is>
          <t>SALA</t>
        </is>
      </c>
      <c r="G497" t="n">
        <v>10.4</v>
      </c>
      <c r="H497" t="n">
        <v>0</v>
      </c>
      <c r="I497" t="n">
        <v>0</v>
      </c>
      <c r="J497" t="n">
        <v>0</v>
      </c>
      <c r="K497" t="n">
        <v>0</v>
      </c>
      <c r="L497" t="n">
        <v>0</v>
      </c>
      <c r="M497" t="n">
        <v>0</v>
      </c>
      <c r="N497" t="n">
        <v>0</v>
      </c>
      <c r="O497" t="n">
        <v>0</v>
      </c>
      <c r="P497" t="n">
        <v>0</v>
      </c>
      <c r="Q497" t="n">
        <v>0</v>
      </c>
      <c r="R497" s="2" t="inlineStr"/>
    </row>
    <row r="498" ht="15" customHeight="1">
      <c r="A498" t="inlineStr">
        <is>
          <t>A 914-2026</t>
        </is>
      </c>
      <c r="B498" s="1" t="n">
        <v>46030.47952546296</v>
      </c>
      <c r="C498" s="1" t="n">
        <v>46049</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64925-2023</t>
        </is>
      </c>
      <c r="B499" s="1" t="n">
        <v>45282</v>
      </c>
      <c r="C499" s="1" t="n">
        <v>46049</v>
      </c>
      <c r="D499" t="inlineStr">
        <is>
          <t>VÄSTMANLANDS LÄN</t>
        </is>
      </c>
      <c r="E499" t="inlineStr">
        <is>
          <t>SALA</t>
        </is>
      </c>
      <c r="G499" t="n">
        <v>2.5</v>
      </c>
      <c r="H499" t="n">
        <v>0</v>
      </c>
      <c r="I499" t="n">
        <v>0</v>
      </c>
      <c r="J499" t="n">
        <v>0</v>
      </c>
      <c r="K499" t="n">
        <v>0</v>
      </c>
      <c r="L499" t="n">
        <v>0</v>
      </c>
      <c r="M499" t="n">
        <v>0</v>
      </c>
      <c r="N499" t="n">
        <v>0</v>
      </c>
      <c r="O499" t="n">
        <v>0</v>
      </c>
      <c r="P499" t="n">
        <v>0</v>
      </c>
      <c r="Q499" t="n">
        <v>0</v>
      </c>
      <c r="R499" s="2" t="inlineStr"/>
    </row>
    <row r="500" ht="15" customHeight="1">
      <c r="A500" t="inlineStr">
        <is>
          <t>A 948-2026</t>
        </is>
      </c>
      <c r="B500" s="1" t="n">
        <v>46030.53986111111</v>
      </c>
      <c r="C500" s="1" t="n">
        <v>46049</v>
      </c>
      <c r="D500" t="inlineStr">
        <is>
          <t>VÄSTMANLANDS LÄN</t>
        </is>
      </c>
      <c r="E500" t="inlineStr">
        <is>
          <t>SALA</t>
        </is>
      </c>
      <c r="G500" t="n">
        <v>0.8</v>
      </c>
      <c r="H500" t="n">
        <v>0</v>
      </c>
      <c r="I500" t="n">
        <v>0</v>
      </c>
      <c r="J500" t="n">
        <v>0</v>
      </c>
      <c r="K500" t="n">
        <v>0</v>
      </c>
      <c r="L500" t="n">
        <v>0</v>
      </c>
      <c r="M500" t="n">
        <v>0</v>
      </c>
      <c r="N500" t="n">
        <v>0</v>
      </c>
      <c r="O500" t="n">
        <v>0</v>
      </c>
      <c r="P500" t="n">
        <v>0</v>
      </c>
      <c r="Q500" t="n">
        <v>0</v>
      </c>
      <c r="R500" s="2" t="inlineStr"/>
    </row>
    <row r="501" ht="15" customHeight="1">
      <c r="A501" t="inlineStr">
        <is>
          <t>A 48570-2024</t>
        </is>
      </c>
      <c r="B501" s="1" t="n">
        <v>45591</v>
      </c>
      <c r="C501" s="1" t="n">
        <v>46049</v>
      </c>
      <c r="D501" t="inlineStr">
        <is>
          <t>VÄSTMANLANDS LÄN</t>
        </is>
      </c>
      <c r="E501" t="inlineStr">
        <is>
          <t>SALA</t>
        </is>
      </c>
      <c r="G501" t="n">
        <v>3</v>
      </c>
      <c r="H501" t="n">
        <v>0</v>
      </c>
      <c r="I501" t="n">
        <v>0</v>
      </c>
      <c r="J501" t="n">
        <v>0</v>
      </c>
      <c r="K501" t="n">
        <v>0</v>
      </c>
      <c r="L501" t="n">
        <v>0</v>
      </c>
      <c r="M501" t="n">
        <v>0</v>
      </c>
      <c r="N501" t="n">
        <v>0</v>
      </c>
      <c r="O501" t="n">
        <v>0</v>
      </c>
      <c r="P501" t="n">
        <v>0</v>
      </c>
      <c r="Q501" t="n">
        <v>0</v>
      </c>
      <c r="R501" s="2" t="inlineStr"/>
    </row>
    <row r="502" ht="15" customHeight="1">
      <c r="A502" t="inlineStr">
        <is>
          <t>A 61517-2024</t>
        </is>
      </c>
      <c r="B502" s="1" t="n">
        <v>45645</v>
      </c>
      <c r="C502" s="1" t="n">
        <v>46049</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16760-2024</t>
        </is>
      </c>
      <c r="B503" s="1" t="n">
        <v>45411</v>
      </c>
      <c r="C503" s="1" t="n">
        <v>46049</v>
      </c>
      <c r="D503" t="inlineStr">
        <is>
          <t>VÄSTMANLANDS LÄN</t>
        </is>
      </c>
      <c r="E503" t="inlineStr">
        <is>
          <t>SALA</t>
        </is>
      </c>
      <c r="G503" t="n">
        <v>2.6</v>
      </c>
      <c r="H503" t="n">
        <v>0</v>
      </c>
      <c r="I503" t="n">
        <v>0</v>
      </c>
      <c r="J503" t="n">
        <v>0</v>
      </c>
      <c r="K503" t="n">
        <v>0</v>
      </c>
      <c r="L503" t="n">
        <v>0</v>
      </c>
      <c r="M503" t="n">
        <v>0</v>
      </c>
      <c r="N503" t="n">
        <v>0</v>
      </c>
      <c r="O503" t="n">
        <v>0</v>
      </c>
      <c r="P503" t="n">
        <v>0</v>
      </c>
      <c r="Q503" t="n">
        <v>0</v>
      </c>
      <c r="R503" s="2" t="inlineStr"/>
    </row>
    <row r="504" ht="15" customHeight="1">
      <c r="A504" t="inlineStr">
        <is>
          <t>A 54603-2024</t>
        </is>
      </c>
      <c r="B504" s="1" t="n">
        <v>45617.68224537037</v>
      </c>
      <c r="C504" s="1" t="n">
        <v>46049</v>
      </c>
      <c r="D504" t="inlineStr">
        <is>
          <t>VÄSTMANLANDS LÄN</t>
        </is>
      </c>
      <c r="E504" t="inlineStr">
        <is>
          <t>SALA</t>
        </is>
      </c>
      <c r="G504" t="n">
        <v>1</v>
      </c>
      <c r="H504" t="n">
        <v>0</v>
      </c>
      <c r="I504" t="n">
        <v>0</v>
      </c>
      <c r="J504" t="n">
        <v>0</v>
      </c>
      <c r="K504" t="n">
        <v>0</v>
      </c>
      <c r="L504" t="n">
        <v>0</v>
      </c>
      <c r="M504" t="n">
        <v>0</v>
      </c>
      <c r="N504" t="n">
        <v>0</v>
      </c>
      <c r="O504" t="n">
        <v>0</v>
      </c>
      <c r="P504" t="n">
        <v>0</v>
      </c>
      <c r="Q504" t="n">
        <v>0</v>
      </c>
      <c r="R504" s="2" t="inlineStr"/>
    </row>
    <row r="505" ht="15" customHeight="1">
      <c r="A505" t="inlineStr">
        <is>
          <t>A 59817-2025</t>
        </is>
      </c>
      <c r="B505" s="1" t="n">
        <v>45992.63711805556</v>
      </c>
      <c r="C505" s="1" t="n">
        <v>46049</v>
      </c>
      <c r="D505" t="inlineStr">
        <is>
          <t>VÄSTMANLANDS LÄN</t>
        </is>
      </c>
      <c r="E505" t="inlineStr">
        <is>
          <t>SALA</t>
        </is>
      </c>
      <c r="G505" t="n">
        <v>6.9</v>
      </c>
      <c r="H505" t="n">
        <v>0</v>
      </c>
      <c r="I505" t="n">
        <v>0</v>
      </c>
      <c r="J505" t="n">
        <v>0</v>
      </c>
      <c r="K505" t="n">
        <v>0</v>
      </c>
      <c r="L505" t="n">
        <v>0</v>
      </c>
      <c r="M505" t="n">
        <v>0</v>
      </c>
      <c r="N505" t="n">
        <v>0</v>
      </c>
      <c r="O505" t="n">
        <v>0</v>
      </c>
      <c r="P505" t="n">
        <v>0</v>
      </c>
      <c r="Q505" t="n">
        <v>0</v>
      </c>
      <c r="R505" s="2" t="inlineStr"/>
    </row>
    <row r="506" ht="15" customHeight="1">
      <c r="A506" t="inlineStr">
        <is>
          <t>A 18762-2024</t>
        </is>
      </c>
      <c r="B506" s="1" t="n">
        <v>45426.55240740741</v>
      </c>
      <c r="C506" s="1" t="n">
        <v>46049</v>
      </c>
      <c r="D506" t="inlineStr">
        <is>
          <t>VÄSTMANLANDS LÄN</t>
        </is>
      </c>
      <c r="E506" t="inlineStr">
        <is>
          <t>SALA</t>
        </is>
      </c>
      <c r="G506" t="n">
        <v>6.2</v>
      </c>
      <c r="H506" t="n">
        <v>0</v>
      </c>
      <c r="I506" t="n">
        <v>0</v>
      </c>
      <c r="J506" t="n">
        <v>0</v>
      </c>
      <c r="K506" t="n">
        <v>0</v>
      </c>
      <c r="L506" t="n">
        <v>0</v>
      </c>
      <c r="M506" t="n">
        <v>0</v>
      </c>
      <c r="N506" t="n">
        <v>0</v>
      </c>
      <c r="O506" t="n">
        <v>0</v>
      </c>
      <c r="P506" t="n">
        <v>0</v>
      </c>
      <c r="Q506" t="n">
        <v>0</v>
      </c>
      <c r="R506" s="2" t="inlineStr"/>
    </row>
    <row r="507" ht="15" customHeight="1">
      <c r="A507" t="inlineStr">
        <is>
          <t>A 17120-2023</t>
        </is>
      </c>
      <c r="B507" s="1" t="n">
        <v>45034</v>
      </c>
      <c r="C507" s="1" t="n">
        <v>46049</v>
      </c>
      <c r="D507" t="inlineStr">
        <is>
          <t>VÄSTMANLANDS LÄN</t>
        </is>
      </c>
      <c r="E507" t="inlineStr">
        <is>
          <t>SALA</t>
        </is>
      </c>
      <c r="G507" t="n">
        <v>0.1</v>
      </c>
      <c r="H507" t="n">
        <v>0</v>
      </c>
      <c r="I507" t="n">
        <v>0</v>
      </c>
      <c r="J507" t="n">
        <v>0</v>
      </c>
      <c r="K507" t="n">
        <v>0</v>
      </c>
      <c r="L507" t="n">
        <v>0</v>
      </c>
      <c r="M507" t="n">
        <v>0</v>
      </c>
      <c r="N507" t="n">
        <v>0</v>
      </c>
      <c r="O507" t="n">
        <v>0</v>
      </c>
      <c r="P507" t="n">
        <v>0</v>
      </c>
      <c r="Q507" t="n">
        <v>0</v>
      </c>
      <c r="R507" s="2" t="inlineStr"/>
    </row>
    <row r="508" ht="15" customHeight="1">
      <c r="A508" t="inlineStr">
        <is>
          <t>A 42938-2023</t>
        </is>
      </c>
      <c r="B508" s="1" t="n">
        <v>45179</v>
      </c>
      <c r="C508" s="1" t="n">
        <v>46049</v>
      </c>
      <c r="D508" t="inlineStr">
        <is>
          <t>VÄSTMANLANDS LÄN</t>
        </is>
      </c>
      <c r="E508" t="inlineStr">
        <is>
          <t>SALA</t>
        </is>
      </c>
      <c r="G508" t="n">
        <v>10.9</v>
      </c>
      <c r="H508" t="n">
        <v>0</v>
      </c>
      <c r="I508" t="n">
        <v>0</v>
      </c>
      <c r="J508" t="n">
        <v>0</v>
      </c>
      <c r="K508" t="n">
        <v>0</v>
      </c>
      <c r="L508" t="n">
        <v>0</v>
      </c>
      <c r="M508" t="n">
        <v>0</v>
      </c>
      <c r="N508" t="n">
        <v>0</v>
      </c>
      <c r="O508" t="n">
        <v>0</v>
      </c>
      <c r="P508" t="n">
        <v>0</v>
      </c>
      <c r="Q508" t="n">
        <v>0</v>
      </c>
      <c r="R508" s="2" t="inlineStr"/>
    </row>
    <row r="509" ht="15" customHeight="1">
      <c r="A509" t="inlineStr">
        <is>
          <t>A 42984-2023</t>
        </is>
      </c>
      <c r="B509" s="1" t="n">
        <v>45179</v>
      </c>
      <c r="C509" s="1" t="n">
        <v>46049</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15972-2024</t>
        </is>
      </c>
      <c r="B510" s="1" t="n">
        <v>45405.56498842593</v>
      </c>
      <c r="C510" s="1" t="n">
        <v>46049</v>
      </c>
      <c r="D510" t="inlineStr">
        <is>
          <t>VÄSTMANLANDS LÄN</t>
        </is>
      </c>
      <c r="E510" t="inlineStr">
        <is>
          <t>SALA</t>
        </is>
      </c>
      <c r="G510" t="n">
        <v>1.8</v>
      </c>
      <c r="H510" t="n">
        <v>0</v>
      </c>
      <c r="I510" t="n">
        <v>0</v>
      </c>
      <c r="J510" t="n">
        <v>0</v>
      </c>
      <c r="K510" t="n">
        <v>0</v>
      </c>
      <c r="L510" t="n">
        <v>0</v>
      </c>
      <c r="M510" t="n">
        <v>0</v>
      </c>
      <c r="N510" t="n">
        <v>0</v>
      </c>
      <c r="O510" t="n">
        <v>0</v>
      </c>
      <c r="P510" t="n">
        <v>0</v>
      </c>
      <c r="Q510" t="n">
        <v>0</v>
      </c>
      <c r="R510" s="2" t="inlineStr"/>
    </row>
    <row r="511" ht="15" customHeight="1">
      <c r="A511" t="inlineStr">
        <is>
          <t>A 59390-2025</t>
        </is>
      </c>
      <c r="B511" s="1" t="n">
        <v>45989.4640162037</v>
      </c>
      <c r="C511" s="1" t="n">
        <v>46049</v>
      </c>
      <c r="D511" t="inlineStr">
        <is>
          <t>VÄSTMANLANDS LÄN</t>
        </is>
      </c>
      <c r="E511" t="inlineStr">
        <is>
          <t>SALA</t>
        </is>
      </c>
      <c r="G511" t="n">
        <v>1.8</v>
      </c>
      <c r="H511" t="n">
        <v>0</v>
      </c>
      <c r="I511" t="n">
        <v>0</v>
      </c>
      <c r="J511" t="n">
        <v>0</v>
      </c>
      <c r="K511" t="n">
        <v>0</v>
      </c>
      <c r="L511" t="n">
        <v>0</v>
      </c>
      <c r="M511" t="n">
        <v>0</v>
      </c>
      <c r="N511" t="n">
        <v>0</v>
      </c>
      <c r="O511" t="n">
        <v>0</v>
      </c>
      <c r="P511" t="n">
        <v>0</v>
      </c>
      <c r="Q511" t="n">
        <v>0</v>
      </c>
      <c r="R511" s="2" t="inlineStr"/>
    </row>
    <row r="512" ht="15" customHeight="1">
      <c r="A512" t="inlineStr">
        <is>
          <t>A 39714-2023</t>
        </is>
      </c>
      <c r="B512" s="1" t="n">
        <v>45167.62133101852</v>
      </c>
      <c r="C512" s="1" t="n">
        <v>46049</v>
      </c>
      <c r="D512" t="inlineStr">
        <is>
          <t>VÄSTMANLANDS LÄN</t>
        </is>
      </c>
      <c r="E512" t="inlineStr">
        <is>
          <t>SALA</t>
        </is>
      </c>
      <c r="G512" t="n">
        <v>1.3</v>
      </c>
      <c r="H512" t="n">
        <v>0</v>
      </c>
      <c r="I512" t="n">
        <v>0</v>
      </c>
      <c r="J512" t="n">
        <v>0</v>
      </c>
      <c r="K512" t="n">
        <v>0</v>
      </c>
      <c r="L512" t="n">
        <v>0</v>
      </c>
      <c r="M512" t="n">
        <v>0</v>
      </c>
      <c r="N512" t="n">
        <v>0</v>
      </c>
      <c r="O512" t="n">
        <v>0</v>
      </c>
      <c r="P512" t="n">
        <v>0</v>
      </c>
      <c r="Q512" t="n">
        <v>0</v>
      </c>
      <c r="R512" s="2" t="inlineStr"/>
    </row>
    <row r="513" ht="15" customHeight="1">
      <c r="A513" t="inlineStr">
        <is>
          <t>A 59385-2025</t>
        </is>
      </c>
      <c r="B513" s="1" t="n">
        <v>45989.45746527778</v>
      </c>
      <c r="C513" s="1" t="n">
        <v>46049</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1705-2026</t>
        </is>
      </c>
      <c r="B514" s="1" t="n">
        <v>46034.59930555556</v>
      </c>
      <c r="C514" s="1" t="n">
        <v>46049</v>
      </c>
      <c r="D514" t="inlineStr">
        <is>
          <t>VÄSTMANLANDS LÄN</t>
        </is>
      </c>
      <c r="E514" t="inlineStr">
        <is>
          <t>SALA</t>
        </is>
      </c>
      <c r="G514" t="n">
        <v>0.4</v>
      </c>
      <c r="H514" t="n">
        <v>0</v>
      </c>
      <c r="I514" t="n">
        <v>0</v>
      </c>
      <c r="J514" t="n">
        <v>0</v>
      </c>
      <c r="K514" t="n">
        <v>0</v>
      </c>
      <c r="L514" t="n">
        <v>0</v>
      </c>
      <c r="M514" t="n">
        <v>0</v>
      </c>
      <c r="N514" t="n">
        <v>0</v>
      </c>
      <c r="O514" t="n">
        <v>0</v>
      </c>
      <c r="P514" t="n">
        <v>0</v>
      </c>
      <c r="Q514" t="n">
        <v>0</v>
      </c>
      <c r="R514" s="2" t="inlineStr"/>
    </row>
    <row r="515" ht="15" customHeight="1">
      <c r="A515" t="inlineStr">
        <is>
          <t>A 33527-2023</t>
        </is>
      </c>
      <c r="B515" s="1" t="n">
        <v>45131</v>
      </c>
      <c r="C515" s="1" t="n">
        <v>46049</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10913-2025</t>
        </is>
      </c>
      <c r="B516" s="1" t="n">
        <v>45722.73423611111</v>
      </c>
      <c r="C516" s="1" t="n">
        <v>46049</v>
      </c>
      <c r="D516" t="inlineStr">
        <is>
          <t>VÄSTMANLANDS LÄN</t>
        </is>
      </c>
      <c r="E516" t="inlineStr">
        <is>
          <t>SALA</t>
        </is>
      </c>
      <c r="G516" t="n">
        <v>7.6</v>
      </c>
      <c r="H516" t="n">
        <v>0</v>
      </c>
      <c r="I516" t="n">
        <v>0</v>
      </c>
      <c r="J516" t="n">
        <v>0</v>
      </c>
      <c r="K516" t="n">
        <v>0</v>
      </c>
      <c r="L516" t="n">
        <v>0</v>
      </c>
      <c r="M516" t="n">
        <v>0</v>
      </c>
      <c r="N516" t="n">
        <v>0</v>
      </c>
      <c r="O516" t="n">
        <v>0</v>
      </c>
      <c r="P516" t="n">
        <v>0</v>
      </c>
      <c r="Q516" t="n">
        <v>0</v>
      </c>
      <c r="R516" s="2" t="inlineStr"/>
    </row>
    <row r="517" ht="15" customHeight="1">
      <c r="A517" t="inlineStr">
        <is>
          <t>A 58107-2021</t>
        </is>
      </c>
      <c r="B517" s="1" t="n">
        <v>44487</v>
      </c>
      <c r="C517" s="1" t="n">
        <v>46049</v>
      </c>
      <c r="D517" t="inlineStr">
        <is>
          <t>VÄSTMANLANDS LÄN</t>
        </is>
      </c>
      <c r="E517" t="inlineStr">
        <is>
          <t>SALA</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60017-2025</t>
        </is>
      </c>
      <c r="B518" s="1" t="n">
        <v>45993.59998842593</v>
      </c>
      <c r="C518" s="1" t="n">
        <v>46049</v>
      </c>
      <c r="D518" t="inlineStr">
        <is>
          <t>VÄSTMANLANDS LÄN</t>
        </is>
      </c>
      <c r="E518" t="inlineStr">
        <is>
          <t>SALA</t>
        </is>
      </c>
      <c r="G518" t="n">
        <v>4.4</v>
      </c>
      <c r="H518" t="n">
        <v>0</v>
      </c>
      <c r="I518" t="n">
        <v>0</v>
      </c>
      <c r="J518" t="n">
        <v>0</v>
      </c>
      <c r="K518" t="n">
        <v>0</v>
      </c>
      <c r="L518" t="n">
        <v>0</v>
      </c>
      <c r="M518" t="n">
        <v>0</v>
      </c>
      <c r="N518" t="n">
        <v>0</v>
      </c>
      <c r="O518" t="n">
        <v>0</v>
      </c>
      <c r="P518" t="n">
        <v>0</v>
      </c>
      <c r="Q518" t="n">
        <v>0</v>
      </c>
      <c r="R518" s="2" t="inlineStr"/>
    </row>
    <row r="519" ht="15" customHeight="1">
      <c r="A519" t="inlineStr">
        <is>
          <t>A 2927-2024</t>
        </is>
      </c>
      <c r="B519" s="1" t="n">
        <v>45315.58989583333</v>
      </c>
      <c r="C519" s="1" t="n">
        <v>46049</v>
      </c>
      <c r="D519" t="inlineStr">
        <is>
          <t>VÄSTMANLANDS LÄN</t>
        </is>
      </c>
      <c r="E519" t="inlineStr">
        <is>
          <t>SALA</t>
        </is>
      </c>
      <c r="G519" t="n">
        <v>2.5</v>
      </c>
      <c r="H519" t="n">
        <v>0</v>
      </c>
      <c r="I519" t="n">
        <v>0</v>
      </c>
      <c r="J519" t="n">
        <v>0</v>
      </c>
      <c r="K519" t="n">
        <v>0</v>
      </c>
      <c r="L519" t="n">
        <v>0</v>
      </c>
      <c r="M519" t="n">
        <v>0</v>
      </c>
      <c r="N519" t="n">
        <v>0</v>
      </c>
      <c r="O519" t="n">
        <v>0</v>
      </c>
      <c r="P519" t="n">
        <v>0</v>
      </c>
      <c r="Q519" t="n">
        <v>0</v>
      </c>
      <c r="R519" s="2" t="inlineStr"/>
    </row>
    <row r="520" ht="15" customHeight="1">
      <c r="A520" t="inlineStr">
        <is>
          <t>A 60258-2025</t>
        </is>
      </c>
      <c r="B520" s="1" t="n">
        <v>45994.6064699074</v>
      </c>
      <c r="C520" s="1" t="n">
        <v>46049</v>
      </c>
      <c r="D520" t="inlineStr">
        <is>
          <t>VÄSTMANLANDS LÄN</t>
        </is>
      </c>
      <c r="E520" t="inlineStr">
        <is>
          <t>SALA</t>
        </is>
      </c>
      <c r="G520" t="n">
        <v>2.2</v>
      </c>
      <c r="H520" t="n">
        <v>0</v>
      </c>
      <c r="I520" t="n">
        <v>0</v>
      </c>
      <c r="J520" t="n">
        <v>0</v>
      </c>
      <c r="K520" t="n">
        <v>0</v>
      </c>
      <c r="L520" t="n">
        <v>0</v>
      </c>
      <c r="M520" t="n">
        <v>0</v>
      </c>
      <c r="N520" t="n">
        <v>0</v>
      </c>
      <c r="O520" t="n">
        <v>0</v>
      </c>
      <c r="P520" t="n">
        <v>0</v>
      </c>
      <c r="Q520" t="n">
        <v>0</v>
      </c>
      <c r="R520" s="2" t="inlineStr"/>
    </row>
    <row r="521" ht="15" customHeight="1">
      <c r="A521" t="inlineStr">
        <is>
          <t>A 60241-2025</t>
        </is>
      </c>
      <c r="B521" s="1" t="n">
        <v>45994.58454861111</v>
      </c>
      <c r="C521" s="1" t="n">
        <v>46049</v>
      </c>
      <c r="D521" t="inlineStr">
        <is>
          <t>VÄSTMANLANDS LÄN</t>
        </is>
      </c>
      <c r="E521" t="inlineStr">
        <is>
          <t>SALA</t>
        </is>
      </c>
      <c r="G521" t="n">
        <v>1.6</v>
      </c>
      <c r="H521" t="n">
        <v>0</v>
      </c>
      <c r="I521" t="n">
        <v>0</v>
      </c>
      <c r="J521" t="n">
        <v>0</v>
      </c>
      <c r="K521" t="n">
        <v>0</v>
      </c>
      <c r="L521" t="n">
        <v>0</v>
      </c>
      <c r="M521" t="n">
        <v>0</v>
      </c>
      <c r="N521" t="n">
        <v>0</v>
      </c>
      <c r="O521" t="n">
        <v>0</v>
      </c>
      <c r="P521" t="n">
        <v>0</v>
      </c>
      <c r="Q521" t="n">
        <v>0</v>
      </c>
      <c r="R521" s="2" t="inlineStr"/>
    </row>
    <row r="522" ht="15" customHeight="1">
      <c r="A522" t="inlineStr">
        <is>
          <t>A 59870-2025</t>
        </is>
      </c>
      <c r="B522" s="1" t="n">
        <v>45992.92226851852</v>
      </c>
      <c r="C522" s="1" t="n">
        <v>46049</v>
      </c>
      <c r="D522" t="inlineStr">
        <is>
          <t>VÄSTMANLANDS LÄN</t>
        </is>
      </c>
      <c r="E522" t="inlineStr">
        <is>
          <t>SALA</t>
        </is>
      </c>
      <c r="G522" t="n">
        <v>3.4</v>
      </c>
      <c r="H522" t="n">
        <v>0</v>
      </c>
      <c r="I522" t="n">
        <v>0</v>
      </c>
      <c r="J522" t="n">
        <v>0</v>
      </c>
      <c r="K522" t="n">
        <v>0</v>
      </c>
      <c r="L522" t="n">
        <v>0</v>
      </c>
      <c r="M522" t="n">
        <v>0</v>
      </c>
      <c r="N522" t="n">
        <v>0</v>
      </c>
      <c r="O522" t="n">
        <v>0</v>
      </c>
      <c r="P522" t="n">
        <v>0</v>
      </c>
      <c r="Q522" t="n">
        <v>0</v>
      </c>
      <c r="R522" s="2" t="inlineStr"/>
    </row>
    <row r="523" ht="15" customHeight="1">
      <c r="A523" t="inlineStr">
        <is>
          <t>A 37183-2024</t>
        </is>
      </c>
      <c r="B523" s="1" t="n">
        <v>45539</v>
      </c>
      <c r="C523" s="1" t="n">
        <v>46049</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60259-2025</t>
        </is>
      </c>
      <c r="B524" s="1" t="n">
        <v>45994.60913194445</v>
      </c>
      <c r="C524" s="1" t="n">
        <v>46049</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60246-2025</t>
        </is>
      </c>
      <c r="B525" s="1" t="n">
        <v>45994.58931712963</v>
      </c>
      <c r="C525" s="1" t="n">
        <v>46049</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54199-2024</t>
        </is>
      </c>
      <c r="B526" s="1" t="n">
        <v>45616.64703703704</v>
      </c>
      <c r="C526" s="1" t="n">
        <v>46049</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60254-2025</t>
        </is>
      </c>
      <c r="B527" s="1" t="n">
        <v>45994.60146990741</v>
      </c>
      <c r="C527" s="1" t="n">
        <v>46049</v>
      </c>
      <c r="D527" t="inlineStr">
        <is>
          <t>VÄSTMANLANDS LÄN</t>
        </is>
      </c>
      <c r="E527" t="inlineStr">
        <is>
          <t>SALA</t>
        </is>
      </c>
      <c r="G527" t="n">
        <v>1.7</v>
      </c>
      <c r="H527" t="n">
        <v>0</v>
      </c>
      <c r="I527" t="n">
        <v>0</v>
      </c>
      <c r="J527" t="n">
        <v>0</v>
      </c>
      <c r="K527" t="n">
        <v>0</v>
      </c>
      <c r="L527" t="n">
        <v>0</v>
      </c>
      <c r="M527" t="n">
        <v>0</v>
      </c>
      <c r="N527" t="n">
        <v>0</v>
      </c>
      <c r="O527" t="n">
        <v>0</v>
      </c>
      <c r="P527" t="n">
        <v>0</v>
      </c>
      <c r="Q527" t="n">
        <v>0</v>
      </c>
      <c r="R527" s="2" t="inlineStr"/>
    </row>
    <row r="528" ht="15" customHeight="1">
      <c r="A528" t="inlineStr">
        <is>
          <t>A 59926-2025</t>
        </is>
      </c>
      <c r="B528" s="1" t="n">
        <v>45993.39221064815</v>
      </c>
      <c r="C528" s="1" t="n">
        <v>46049</v>
      </c>
      <c r="D528" t="inlineStr">
        <is>
          <t>VÄSTMANLANDS LÄN</t>
        </is>
      </c>
      <c r="E528" t="inlineStr">
        <is>
          <t>SALA</t>
        </is>
      </c>
      <c r="G528" t="n">
        <v>7.1</v>
      </c>
      <c r="H528" t="n">
        <v>0</v>
      </c>
      <c r="I528" t="n">
        <v>0</v>
      </c>
      <c r="J528" t="n">
        <v>0</v>
      </c>
      <c r="K528" t="n">
        <v>0</v>
      </c>
      <c r="L528" t="n">
        <v>0</v>
      </c>
      <c r="M528" t="n">
        <v>0</v>
      </c>
      <c r="N528" t="n">
        <v>0</v>
      </c>
      <c r="O528" t="n">
        <v>0</v>
      </c>
      <c r="P528" t="n">
        <v>0</v>
      </c>
      <c r="Q528" t="n">
        <v>0</v>
      </c>
      <c r="R528" s="2" t="inlineStr"/>
    </row>
    <row r="529" ht="15" customHeight="1">
      <c r="A529" t="inlineStr">
        <is>
          <t>A 60548-2024</t>
        </is>
      </c>
      <c r="B529" s="1" t="n">
        <v>45643.80978009259</v>
      </c>
      <c r="C529" s="1" t="n">
        <v>46049</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57895-2024</t>
        </is>
      </c>
      <c r="B530" s="1" t="n">
        <v>45631</v>
      </c>
      <c r="C530" s="1" t="n">
        <v>46049</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31597-2024</t>
        </is>
      </c>
      <c r="B531" s="1" t="n">
        <v>45506</v>
      </c>
      <c r="C531" s="1" t="n">
        <v>46049</v>
      </c>
      <c r="D531" t="inlineStr">
        <is>
          <t>VÄSTMANLANDS LÄN</t>
        </is>
      </c>
      <c r="E531" t="inlineStr">
        <is>
          <t>SALA</t>
        </is>
      </c>
      <c r="G531" t="n">
        <v>2.4</v>
      </c>
      <c r="H531" t="n">
        <v>0</v>
      </c>
      <c r="I531" t="n">
        <v>0</v>
      </c>
      <c r="J531" t="n">
        <v>0</v>
      </c>
      <c r="K531" t="n">
        <v>0</v>
      </c>
      <c r="L531" t="n">
        <v>0</v>
      </c>
      <c r="M531" t="n">
        <v>0</v>
      </c>
      <c r="N531" t="n">
        <v>0</v>
      </c>
      <c r="O531" t="n">
        <v>0</v>
      </c>
      <c r="P531" t="n">
        <v>0</v>
      </c>
      <c r="Q531" t="n">
        <v>0</v>
      </c>
      <c r="R531" s="2" t="inlineStr"/>
    </row>
    <row r="532" ht="15" customHeight="1">
      <c r="A532" t="inlineStr">
        <is>
          <t>A 60629-2025</t>
        </is>
      </c>
      <c r="B532" s="1" t="n">
        <v>45996.41972222222</v>
      </c>
      <c r="C532" s="1" t="n">
        <v>46049</v>
      </c>
      <c r="D532" t="inlineStr">
        <is>
          <t>VÄSTMANLANDS LÄN</t>
        </is>
      </c>
      <c r="E532" t="inlineStr">
        <is>
          <t>SALA</t>
        </is>
      </c>
      <c r="G532" t="n">
        <v>4.3</v>
      </c>
      <c r="H532" t="n">
        <v>0</v>
      </c>
      <c r="I532" t="n">
        <v>0</v>
      </c>
      <c r="J532" t="n">
        <v>0</v>
      </c>
      <c r="K532" t="n">
        <v>0</v>
      </c>
      <c r="L532" t="n">
        <v>0</v>
      </c>
      <c r="M532" t="n">
        <v>0</v>
      </c>
      <c r="N532" t="n">
        <v>0</v>
      </c>
      <c r="O532" t="n">
        <v>0</v>
      </c>
      <c r="P532" t="n">
        <v>0</v>
      </c>
      <c r="Q532" t="n">
        <v>0</v>
      </c>
      <c r="R532" s="2" t="inlineStr"/>
    </row>
    <row r="533" ht="15" customHeight="1">
      <c r="A533" t="inlineStr">
        <is>
          <t>A 17458-2024</t>
        </is>
      </c>
      <c r="B533" s="1" t="n">
        <v>45415</v>
      </c>
      <c r="C533" s="1" t="n">
        <v>46049</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56543-2024</t>
        </is>
      </c>
      <c r="B534" s="1" t="n">
        <v>45625</v>
      </c>
      <c r="C534" s="1" t="n">
        <v>46049</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28661-2024</t>
        </is>
      </c>
      <c r="B535" s="1" t="n">
        <v>45478</v>
      </c>
      <c r="C535" s="1" t="n">
        <v>46049</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2529-2022</t>
        </is>
      </c>
      <c r="B536" s="1" t="n">
        <v>44579.86452546297</v>
      </c>
      <c r="C536" s="1" t="n">
        <v>46049</v>
      </c>
      <c r="D536" t="inlineStr">
        <is>
          <t>VÄSTMANLANDS LÄN</t>
        </is>
      </c>
      <c r="E536" t="inlineStr">
        <is>
          <t>SALA</t>
        </is>
      </c>
      <c r="G536" t="n">
        <v>1.7</v>
      </c>
      <c r="H536" t="n">
        <v>0</v>
      </c>
      <c r="I536" t="n">
        <v>0</v>
      </c>
      <c r="J536" t="n">
        <v>0</v>
      </c>
      <c r="K536" t="n">
        <v>0</v>
      </c>
      <c r="L536" t="n">
        <v>0</v>
      </c>
      <c r="M536" t="n">
        <v>0</v>
      </c>
      <c r="N536" t="n">
        <v>0</v>
      </c>
      <c r="O536" t="n">
        <v>0</v>
      </c>
      <c r="P536" t="n">
        <v>0</v>
      </c>
      <c r="Q536" t="n">
        <v>0</v>
      </c>
      <c r="R536" s="2" t="inlineStr"/>
    </row>
    <row r="537" ht="15" customHeight="1">
      <c r="A537" t="inlineStr">
        <is>
          <t>A 56540-2024</t>
        </is>
      </c>
      <c r="B537" s="1" t="n">
        <v>45625</v>
      </c>
      <c r="C537" s="1" t="n">
        <v>46049</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31599-2024</t>
        </is>
      </c>
      <c r="B538" s="1" t="n">
        <v>45506</v>
      </c>
      <c r="C538" s="1" t="n">
        <v>46049</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31601-2024</t>
        </is>
      </c>
      <c r="B539" s="1" t="n">
        <v>45506</v>
      </c>
      <c r="C539" s="1" t="n">
        <v>46049</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31608-2024</t>
        </is>
      </c>
      <c r="B540" s="1" t="n">
        <v>45506</v>
      </c>
      <c r="C540" s="1" t="n">
        <v>46049</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31612-2024</t>
        </is>
      </c>
      <c r="B541" s="1" t="n">
        <v>45506</v>
      </c>
      <c r="C541" s="1" t="n">
        <v>46049</v>
      </c>
      <c r="D541" t="inlineStr">
        <is>
          <t>VÄSTMANLANDS LÄN</t>
        </is>
      </c>
      <c r="E541" t="inlineStr">
        <is>
          <t>SALA</t>
        </is>
      </c>
      <c r="G541" t="n">
        <v>3.2</v>
      </c>
      <c r="H541" t="n">
        <v>0</v>
      </c>
      <c r="I541" t="n">
        <v>0</v>
      </c>
      <c r="J541" t="n">
        <v>0</v>
      </c>
      <c r="K541" t="n">
        <v>0</v>
      </c>
      <c r="L541" t="n">
        <v>0</v>
      </c>
      <c r="M541" t="n">
        <v>0</v>
      </c>
      <c r="N541" t="n">
        <v>0</v>
      </c>
      <c r="O541" t="n">
        <v>0</v>
      </c>
      <c r="P541" t="n">
        <v>0</v>
      </c>
      <c r="Q541" t="n">
        <v>0</v>
      </c>
      <c r="R541" s="2" t="inlineStr"/>
    </row>
    <row r="542" ht="15" customHeight="1">
      <c r="A542" t="inlineStr">
        <is>
          <t>A 10579-2022</t>
        </is>
      </c>
      <c r="B542" s="1" t="n">
        <v>44624</v>
      </c>
      <c r="C542" s="1" t="n">
        <v>46049</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64693-2023</t>
        </is>
      </c>
      <c r="B543" s="1" t="n">
        <v>45281.63850694444</v>
      </c>
      <c r="C543" s="1" t="n">
        <v>46049</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64695-2023</t>
        </is>
      </c>
      <c r="B544" s="1" t="n">
        <v>45281.64099537037</v>
      </c>
      <c r="C544" s="1" t="n">
        <v>46049</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55784-2024</t>
        </is>
      </c>
      <c r="B545" s="1" t="n">
        <v>45623</v>
      </c>
      <c r="C545" s="1" t="n">
        <v>46049</v>
      </c>
      <c r="D545" t="inlineStr">
        <is>
          <t>VÄSTMANLANDS LÄN</t>
        </is>
      </c>
      <c r="E545" t="inlineStr">
        <is>
          <t>SALA</t>
        </is>
      </c>
      <c r="F545" t="inlineStr">
        <is>
          <t>Bergvik skog öst AB</t>
        </is>
      </c>
      <c r="G545" t="n">
        <v>28.4</v>
      </c>
      <c r="H545" t="n">
        <v>0</v>
      </c>
      <c r="I545" t="n">
        <v>0</v>
      </c>
      <c r="J545" t="n">
        <v>0</v>
      </c>
      <c r="K545" t="n">
        <v>0</v>
      </c>
      <c r="L545" t="n">
        <v>0</v>
      </c>
      <c r="M545" t="n">
        <v>0</v>
      </c>
      <c r="N545" t="n">
        <v>0</v>
      </c>
      <c r="O545" t="n">
        <v>0</v>
      </c>
      <c r="P545" t="n">
        <v>0</v>
      </c>
      <c r="Q545" t="n">
        <v>0</v>
      </c>
      <c r="R545" s="2" t="inlineStr"/>
    </row>
    <row r="546" ht="15" customHeight="1">
      <c r="A546" t="inlineStr">
        <is>
          <t>A 29542-2023</t>
        </is>
      </c>
      <c r="B546" s="1" t="n">
        <v>45098</v>
      </c>
      <c r="C546" s="1" t="n">
        <v>46049</v>
      </c>
      <c r="D546" t="inlineStr">
        <is>
          <t>VÄSTMANLANDS LÄN</t>
        </is>
      </c>
      <c r="E546" t="inlineStr">
        <is>
          <t>SALA</t>
        </is>
      </c>
      <c r="G546" t="n">
        <v>4.8</v>
      </c>
      <c r="H546" t="n">
        <v>0</v>
      </c>
      <c r="I546" t="n">
        <v>0</v>
      </c>
      <c r="J546" t="n">
        <v>0</v>
      </c>
      <c r="K546" t="n">
        <v>0</v>
      </c>
      <c r="L546" t="n">
        <v>0</v>
      </c>
      <c r="M546" t="n">
        <v>0</v>
      </c>
      <c r="N546" t="n">
        <v>0</v>
      </c>
      <c r="O546" t="n">
        <v>0</v>
      </c>
      <c r="P546" t="n">
        <v>0</v>
      </c>
      <c r="Q546" t="n">
        <v>0</v>
      </c>
      <c r="R546" s="2" t="inlineStr"/>
    </row>
    <row r="547" ht="15" customHeight="1">
      <c r="A547" t="inlineStr">
        <is>
          <t>A 27038-2023</t>
        </is>
      </c>
      <c r="B547" s="1" t="n">
        <v>45095</v>
      </c>
      <c r="C547" s="1" t="n">
        <v>46049</v>
      </c>
      <c r="D547" t="inlineStr">
        <is>
          <t>VÄSTMANLANDS LÄN</t>
        </is>
      </c>
      <c r="E547" t="inlineStr">
        <is>
          <t>SALA</t>
        </is>
      </c>
      <c r="G547" t="n">
        <v>0.8</v>
      </c>
      <c r="H547" t="n">
        <v>0</v>
      </c>
      <c r="I547" t="n">
        <v>0</v>
      </c>
      <c r="J547" t="n">
        <v>0</v>
      </c>
      <c r="K547" t="n">
        <v>0</v>
      </c>
      <c r="L547" t="n">
        <v>0</v>
      </c>
      <c r="M547" t="n">
        <v>0</v>
      </c>
      <c r="N547" t="n">
        <v>0</v>
      </c>
      <c r="O547" t="n">
        <v>0</v>
      </c>
      <c r="P547" t="n">
        <v>0</v>
      </c>
      <c r="Q547" t="n">
        <v>0</v>
      </c>
      <c r="R547" s="2" t="inlineStr"/>
    </row>
    <row r="548" ht="15" customHeight="1">
      <c r="A548" t="inlineStr">
        <is>
          <t>A 4214-2026</t>
        </is>
      </c>
      <c r="B548" s="1" t="n">
        <v>46044.76459490741</v>
      </c>
      <c r="C548" s="1" t="n">
        <v>46049</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61522-2025</t>
        </is>
      </c>
      <c r="B549" s="1" t="n">
        <v>46001.68684027778</v>
      </c>
      <c r="C549" s="1" t="n">
        <v>46049</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17051-2025</t>
        </is>
      </c>
      <c r="B550" s="1" t="n">
        <v>45755</v>
      </c>
      <c r="C550" s="1" t="n">
        <v>46049</v>
      </c>
      <c r="D550" t="inlineStr">
        <is>
          <t>VÄSTMANLANDS LÄN</t>
        </is>
      </c>
      <c r="E550" t="inlineStr">
        <is>
          <t>SALA</t>
        </is>
      </c>
      <c r="G550" t="n">
        <v>2.9</v>
      </c>
      <c r="H550" t="n">
        <v>0</v>
      </c>
      <c r="I550" t="n">
        <v>0</v>
      </c>
      <c r="J550" t="n">
        <v>0</v>
      </c>
      <c r="K550" t="n">
        <v>0</v>
      </c>
      <c r="L550" t="n">
        <v>0</v>
      </c>
      <c r="M550" t="n">
        <v>0</v>
      </c>
      <c r="N550" t="n">
        <v>0</v>
      </c>
      <c r="O550" t="n">
        <v>0</v>
      </c>
      <c r="P550" t="n">
        <v>0</v>
      </c>
      <c r="Q550" t="n">
        <v>0</v>
      </c>
      <c r="R550" s="2" t="inlineStr"/>
    </row>
    <row r="551" ht="15" customHeight="1">
      <c r="A551" t="inlineStr">
        <is>
          <t>A 8285-2025</t>
        </is>
      </c>
      <c r="B551" s="1" t="n">
        <v>45708</v>
      </c>
      <c r="C551" s="1" t="n">
        <v>46049</v>
      </c>
      <c r="D551" t="inlineStr">
        <is>
          <t>VÄSTMANLANDS LÄN</t>
        </is>
      </c>
      <c r="E551" t="inlineStr">
        <is>
          <t>SALA</t>
        </is>
      </c>
      <c r="G551" t="n">
        <v>5.7</v>
      </c>
      <c r="H551" t="n">
        <v>0</v>
      </c>
      <c r="I551" t="n">
        <v>0</v>
      </c>
      <c r="J551" t="n">
        <v>0</v>
      </c>
      <c r="K551" t="n">
        <v>0</v>
      </c>
      <c r="L551" t="n">
        <v>0</v>
      </c>
      <c r="M551" t="n">
        <v>0</v>
      </c>
      <c r="N551" t="n">
        <v>0</v>
      </c>
      <c r="O551" t="n">
        <v>0</v>
      </c>
      <c r="P551" t="n">
        <v>0</v>
      </c>
      <c r="Q551" t="n">
        <v>0</v>
      </c>
      <c r="R551" s="2" t="inlineStr"/>
    </row>
    <row r="552" ht="15" customHeight="1">
      <c r="A552" t="inlineStr">
        <is>
          <t>A 4712-2026</t>
        </is>
      </c>
      <c r="B552" s="1" t="n">
        <v>46048.46082175926</v>
      </c>
      <c r="C552" s="1" t="n">
        <v>46049</v>
      </c>
      <c r="D552" t="inlineStr">
        <is>
          <t>VÄSTMANLANDS LÄN</t>
        </is>
      </c>
      <c r="E552" t="inlineStr">
        <is>
          <t>SALA</t>
        </is>
      </c>
      <c r="G552" t="n">
        <v>4.1</v>
      </c>
      <c r="H552" t="n">
        <v>0</v>
      </c>
      <c r="I552" t="n">
        <v>0</v>
      </c>
      <c r="J552" t="n">
        <v>0</v>
      </c>
      <c r="K552" t="n">
        <v>0</v>
      </c>
      <c r="L552" t="n">
        <v>0</v>
      </c>
      <c r="M552" t="n">
        <v>0</v>
      </c>
      <c r="N552" t="n">
        <v>0</v>
      </c>
      <c r="O552" t="n">
        <v>0</v>
      </c>
      <c r="P552" t="n">
        <v>0</v>
      </c>
      <c r="Q552" t="n">
        <v>0</v>
      </c>
      <c r="R552" s="2" t="inlineStr"/>
    </row>
    <row r="553" ht="15" customHeight="1">
      <c r="A553" t="inlineStr">
        <is>
          <t>A 14010-2021</t>
        </is>
      </c>
      <c r="B553" s="1" t="n">
        <v>44277.63396990741</v>
      </c>
      <c r="C553" s="1" t="n">
        <v>46049</v>
      </c>
      <c r="D553" t="inlineStr">
        <is>
          <t>VÄSTMANLANDS LÄN</t>
        </is>
      </c>
      <c r="E553" t="inlineStr">
        <is>
          <t>SALA</t>
        </is>
      </c>
      <c r="G553" t="n">
        <v>3.5</v>
      </c>
      <c r="H553" t="n">
        <v>0</v>
      </c>
      <c r="I553" t="n">
        <v>0</v>
      </c>
      <c r="J553" t="n">
        <v>0</v>
      </c>
      <c r="K553" t="n">
        <v>0</v>
      </c>
      <c r="L553" t="n">
        <v>0</v>
      </c>
      <c r="M553" t="n">
        <v>0</v>
      </c>
      <c r="N553" t="n">
        <v>0</v>
      </c>
      <c r="O553" t="n">
        <v>0</v>
      </c>
      <c r="P553" t="n">
        <v>0</v>
      </c>
      <c r="Q553" t="n">
        <v>0</v>
      </c>
      <c r="R553" s="2" t="inlineStr"/>
    </row>
    <row r="554" ht="15" customHeight="1">
      <c r="A554" t="inlineStr">
        <is>
          <t>A 4664-2026</t>
        </is>
      </c>
      <c r="B554" s="1" t="n">
        <v>46048.41061342593</v>
      </c>
      <c r="C554" s="1" t="n">
        <v>46049</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22019-2021</t>
        </is>
      </c>
      <c r="B555" s="1" t="n">
        <v>44323</v>
      </c>
      <c r="C555" s="1" t="n">
        <v>46049</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4624-2026</t>
        </is>
      </c>
      <c r="B556" s="1" t="n">
        <v>46048.38107638889</v>
      </c>
      <c r="C556" s="1" t="n">
        <v>46049</v>
      </c>
      <c r="D556" t="inlineStr">
        <is>
          <t>VÄSTMANLANDS LÄN</t>
        </is>
      </c>
      <c r="E556" t="inlineStr">
        <is>
          <t>SALA</t>
        </is>
      </c>
      <c r="G556" t="n">
        <v>12.3</v>
      </c>
      <c r="H556" t="n">
        <v>0</v>
      </c>
      <c r="I556" t="n">
        <v>0</v>
      </c>
      <c r="J556" t="n">
        <v>0</v>
      </c>
      <c r="K556" t="n">
        <v>0</v>
      </c>
      <c r="L556" t="n">
        <v>0</v>
      </c>
      <c r="M556" t="n">
        <v>0</v>
      </c>
      <c r="N556" t="n">
        <v>0</v>
      </c>
      <c r="O556" t="n">
        <v>0</v>
      </c>
      <c r="P556" t="n">
        <v>0</v>
      </c>
      <c r="Q556" t="n">
        <v>0</v>
      </c>
      <c r="R556" s="2" t="inlineStr"/>
    </row>
    <row r="557" ht="15" customHeight="1">
      <c r="A557" t="inlineStr">
        <is>
          <t>A 57404-2024</t>
        </is>
      </c>
      <c r="B557" s="1" t="n">
        <v>45629.71967592592</v>
      </c>
      <c r="C557" s="1" t="n">
        <v>46049</v>
      </c>
      <c r="D557" t="inlineStr">
        <is>
          <t>VÄSTMANLANDS LÄN</t>
        </is>
      </c>
      <c r="E557" t="inlineStr">
        <is>
          <t>SALA</t>
        </is>
      </c>
      <c r="G557" t="n">
        <v>0.3</v>
      </c>
      <c r="H557" t="n">
        <v>0</v>
      </c>
      <c r="I557" t="n">
        <v>0</v>
      </c>
      <c r="J557" t="n">
        <v>0</v>
      </c>
      <c r="K557" t="n">
        <v>0</v>
      </c>
      <c r="L557" t="n">
        <v>0</v>
      </c>
      <c r="M557" t="n">
        <v>0</v>
      </c>
      <c r="N557" t="n">
        <v>0</v>
      </c>
      <c r="O557" t="n">
        <v>0</v>
      </c>
      <c r="P557" t="n">
        <v>0</v>
      </c>
      <c r="Q557" t="n">
        <v>0</v>
      </c>
      <c r="R557" s="2" t="inlineStr"/>
    </row>
    <row r="558" ht="15" customHeight="1">
      <c r="A558" t="inlineStr">
        <is>
          <t>A 21777-2022</t>
        </is>
      </c>
      <c r="B558" s="1" t="n">
        <v>44708.48194444444</v>
      </c>
      <c r="C558" s="1" t="n">
        <v>46049</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17866-2025</t>
        </is>
      </c>
      <c r="B559" s="1" t="n">
        <v>45758</v>
      </c>
      <c r="C559" s="1" t="n">
        <v>46049</v>
      </c>
      <c r="D559" t="inlineStr">
        <is>
          <t>VÄSTMANLANDS LÄN</t>
        </is>
      </c>
      <c r="E559" t="inlineStr">
        <is>
          <t>SALA</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4681-2026</t>
        </is>
      </c>
      <c r="B560" s="1" t="n">
        <v>46048.43016203704</v>
      </c>
      <c r="C560" s="1" t="n">
        <v>46049</v>
      </c>
      <c r="D560" t="inlineStr">
        <is>
          <t>VÄSTMANLANDS LÄN</t>
        </is>
      </c>
      <c r="E560" t="inlineStr">
        <is>
          <t>SALA</t>
        </is>
      </c>
      <c r="G560" t="n">
        <v>2.5</v>
      </c>
      <c r="H560" t="n">
        <v>0</v>
      </c>
      <c r="I560" t="n">
        <v>0</v>
      </c>
      <c r="J560" t="n">
        <v>0</v>
      </c>
      <c r="K560" t="n">
        <v>0</v>
      </c>
      <c r="L560" t="n">
        <v>0</v>
      </c>
      <c r="M560" t="n">
        <v>0</v>
      </c>
      <c r="N560" t="n">
        <v>0</v>
      </c>
      <c r="O560" t="n">
        <v>0</v>
      </c>
      <c r="P560" t="n">
        <v>0</v>
      </c>
      <c r="Q560" t="n">
        <v>0</v>
      </c>
      <c r="R560" s="2" t="inlineStr"/>
    </row>
    <row r="561" ht="15" customHeight="1">
      <c r="A561" t="inlineStr">
        <is>
          <t>A 4683-2026</t>
        </is>
      </c>
      <c r="B561" s="1" t="n">
        <v>46048.43489583334</v>
      </c>
      <c r="C561" s="1" t="n">
        <v>46049</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33732-2023</t>
        </is>
      </c>
      <c r="B562" s="1" t="n">
        <v>45133.32409722222</v>
      </c>
      <c r="C562" s="1" t="n">
        <v>46049</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7166-2025</t>
        </is>
      </c>
      <c r="B563" s="1" t="n">
        <v>45702</v>
      </c>
      <c r="C563" s="1" t="n">
        <v>46049</v>
      </c>
      <c r="D563" t="inlineStr">
        <is>
          <t>VÄSTMANLANDS LÄN</t>
        </is>
      </c>
      <c r="E563" t="inlineStr">
        <is>
          <t>SALA</t>
        </is>
      </c>
      <c r="G563" t="n">
        <v>6.1</v>
      </c>
      <c r="H563" t="n">
        <v>0</v>
      </c>
      <c r="I563" t="n">
        <v>0</v>
      </c>
      <c r="J563" t="n">
        <v>0</v>
      </c>
      <c r="K563" t="n">
        <v>0</v>
      </c>
      <c r="L563" t="n">
        <v>0</v>
      </c>
      <c r="M563" t="n">
        <v>0</v>
      </c>
      <c r="N563" t="n">
        <v>0</v>
      </c>
      <c r="O563" t="n">
        <v>0</v>
      </c>
      <c r="P563" t="n">
        <v>0</v>
      </c>
      <c r="Q563" t="n">
        <v>0</v>
      </c>
      <c r="R563" s="2" t="inlineStr"/>
    </row>
    <row r="564" ht="15" customHeight="1">
      <c r="A564" t="inlineStr">
        <is>
          <t>A 44857-2023</t>
        </is>
      </c>
      <c r="B564" s="1" t="n">
        <v>45190.58479166667</v>
      </c>
      <c r="C564" s="1" t="n">
        <v>46049</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46352-2023</t>
        </is>
      </c>
      <c r="B565" s="1" t="n">
        <v>45192</v>
      </c>
      <c r="C565" s="1" t="n">
        <v>46049</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22397-2022</t>
        </is>
      </c>
      <c r="B566" s="1" t="n">
        <v>44713</v>
      </c>
      <c r="C566" s="1" t="n">
        <v>46049</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27424-2023</t>
        </is>
      </c>
      <c r="B567" s="1" t="n">
        <v>45097.37690972222</v>
      </c>
      <c r="C567" s="1" t="n">
        <v>46049</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7469-2025</t>
        </is>
      </c>
      <c r="B568" s="1" t="n">
        <v>45705</v>
      </c>
      <c r="C568" s="1" t="n">
        <v>46049</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6691-2025</t>
        </is>
      </c>
      <c r="B569" s="1" t="n">
        <v>45700.50625</v>
      </c>
      <c r="C569" s="1" t="n">
        <v>46049</v>
      </c>
      <c r="D569" t="inlineStr">
        <is>
          <t>VÄSTMANLANDS LÄN</t>
        </is>
      </c>
      <c r="E569" t="inlineStr">
        <is>
          <t>SALA</t>
        </is>
      </c>
      <c r="G569" t="n">
        <v>2.1</v>
      </c>
      <c r="H569" t="n">
        <v>0</v>
      </c>
      <c r="I569" t="n">
        <v>0</v>
      </c>
      <c r="J569" t="n">
        <v>0</v>
      </c>
      <c r="K569" t="n">
        <v>0</v>
      </c>
      <c r="L569" t="n">
        <v>0</v>
      </c>
      <c r="M569" t="n">
        <v>0</v>
      </c>
      <c r="N569" t="n">
        <v>0</v>
      </c>
      <c r="O569" t="n">
        <v>0</v>
      </c>
      <c r="P569" t="n">
        <v>0</v>
      </c>
      <c r="Q569" t="n">
        <v>0</v>
      </c>
      <c r="R569" s="2" t="inlineStr"/>
    </row>
    <row r="570" ht="15" customHeight="1">
      <c r="A570" t="inlineStr">
        <is>
          <t>A 60036-2024</t>
        </is>
      </c>
      <c r="B570" s="1" t="n">
        <v>45642.46434027778</v>
      </c>
      <c r="C570" s="1" t="n">
        <v>46049</v>
      </c>
      <c r="D570" t="inlineStr">
        <is>
          <t>VÄSTMANLANDS LÄN</t>
        </is>
      </c>
      <c r="E570" t="inlineStr">
        <is>
          <t>SALA</t>
        </is>
      </c>
      <c r="G570" t="n">
        <v>2.5</v>
      </c>
      <c r="H570" t="n">
        <v>0</v>
      </c>
      <c r="I570" t="n">
        <v>0</v>
      </c>
      <c r="J570" t="n">
        <v>0</v>
      </c>
      <c r="K570" t="n">
        <v>0</v>
      </c>
      <c r="L570" t="n">
        <v>0</v>
      </c>
      <c r="M570" t="n">
        <v>0</v>
      </c>
      <c r="N570" t="n">
        <v>0</v>
      </c>
      <c r="O570" t="n">
        <v>0</v>
      </c>
      <c r="P570" t="n">
        <v>0</v>
      </c>
      <c r="Q570" t="n">
        <v>0</v>
      </c>
      <c r="R570" s="2" t="inlineStr"/>
    </row>
    <row r="571" ht="15" customHeight="1">
      <c r="A571" t="inlineStr">
        <is>
          <t>A 43188-2023</t>
        </is>
      </c>
      <c r="B571" s="1" t="n">
        <v>45183</v>
      </c>
      <c r="C571" s="1" t="n">
        <v>46049</v>
      </c>
      <c r="D571" t="inlineStr">
        <is>
          <t>VÄSTMANLANDS LÄN</t>
        </is>
      </c>
      <c r="E571" t="inlineStr">
        <is>
          <t>SALA</t>
        </is>
      </c>
      <c r="G571" t="n">
        <v>1.2</v>
      </c>
      <c r="H571" t="n">
        <v>0</v>
      </c>
      <c r="I571" t="n">
        <v>0</v>
      </c>
      <c r="J571" t="n">
        <v>0</v>
      </c>
      <c r="K571" t="n">
        <v>0</v>
      </c>
      <c r="L571" t="n">
        <v>0</v>
      </c>
      <c r="M571" t="n">
        <v>0</v>
      </c>
      <c r="N571" t="n">
        <v>0</v>
      </c>
      <c r="O571" t="n">
        <v>0</v>
      </c>
      <c r="P571" t="n">
        <v>0</v>
      </c>
      <c r="Q571" t="n">
        <v>0</v>
      </c>
      <c r="R571" s="2" t="inlineStr"/>
    </row>
    <row r="572" ht="15" customHeight="1">
      <c r="A572" t="inlineStr">
        <is>
          <t>A 43205-2023</t>
        </is>
      </c>
      <c r="B572" s="1" t="n">
        <v>45183</v>
      </c>
      <c r="C572" s="1" t="n">
        <v>46049</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28827-2022</t>
        </is>
      </c>
      <c r="B573" s="1" t="n">
        <v>44749.45561342593</v>
      </c>
      <c r="C573" s="1" t="n">
        <v>46049</v>
      </c>
      <c r="D573" t="inlineStr">
        <is>
          <t>VÄSTMANLANDS LÄN</t>
        </is>
      </c>
      <c r="E573" t="inlineStr">
        <is>
          <t>SALA</t>
        </is>
      </c>
      <c r="F573" t="inlineStr">
        <is>
          <t>Kommuner</t>
        </is>
      </c>
      <c r="G573" t="n">
        <v>11.9</v>
      </c>
      <c r="H573" t="n">
        <v>0</v>
      </c>
      <c r="I573" t="n">
        <v>0</v>
      </c>
      <c r="J573" t="n">
        <v>0</v>
      </c>
      <c r="K573" t="n">
        <v>0</v>
      </c>
      <c r="L573" t="n">
        <v>0</v>
      </c>
      <c r="M573" t="n">
        <v>0</v>
      </c>
      <c r="N573" t="n">
        <v>0</v>
      </c>
      <c r="O573" t="n">
        <v>0</v>
      </c>
      <c r="P573" t="n">
        <v>0</v>
      </c>
      <c r="Q573" t="n">
        <v>0</v>
      </c>
      <c r="R573" s="2" t="inlineStr"/>
    </row>
    <row r="574" ht="15" customHeight="1">
      <c r="A574" t="inlineStr">
        <is>
          <t>A 15756-2025</t>
        </is>
      </c>
      <c r="B574" s="1" t="n">
        <v>45748.56810185185</v>
      </c>
      <c r="C574" s="1" t="n">
        <v>46049</v>
      </c>
      <c r="D574" t="inlineStr">
        <is>
          <t>VÄSTMANLANDS LÄN</t>
        </is>
      </c>
      <c r="E574" t="inlineStr">
        <is>
          <t>SALA</t>
        </is>
      </c>
      <c r="F574" t="inlineStr">
        <is>
          <t>Bergvik skog öst AB</t>
        </is>
      </c>
      <c r="G574" t="n">
        <v>0.8</v>
      </c>
      <c r="H574" t="n">
        <v>0</v>
      </c>
      <c r="I574" t="n">
        <v>0</v>
      </c>
      <c r="J574" t="n">
        <v>0</v>
      </c>
      <c r="K574" t="n">
        <v>0</v>
      </c>
      <c r="L574" t="n">
        <v>0</v>
      </c>
      <c r="M574" t="n">
        <v>0</v>
      </c>
      <c r="N574" t="n">
        <v>0</v>
      </c>
      <c r="O574" t="n">
        <v>0</v>
      </c>
      <c r="P574" t="n">
        <v>0</v>
      </c>
      <c r="Q574" t="n">
        <v>0</v>
      </c>
      <c r="R574" s="2" t="inlineStr"/>
    </row>
    <row r="575" ht="15" customHeight="1">
      <c r="A575" t="inlineStr">
        <is>
          <t>A 19243-2025</t>
        </is>
      </c>
      <c r="B575" s="1" t="n">
        <v>45769</v>
      </c>
      <c r="C575" s="1" t="n">
        <v>46049</v>
      </c>
      <c r="D575" t="inlineStr">
        <is>
          <t>VÄSTMANLANDS LÄN</t>
        </is>
      </c>
      <c r="E575" t="inlineStr">
        <is>
          <t>SALA</t>
        </is>
      </c>
      <c r="F575" t="inlineStr">
        <is>
          <t>Bergvik skog öst AB</t>
        </is>
      </c>
      <c r="G575" t="n">
        <v>1.5</v>
      </c>
      <c r="H575" t="n">
        <v>0</v>
      </c>
      <c r="I575" t="n">
        <v>0</v>
      </c>
      <c r="J575" t="n">
        <v>0</v>
      </c>
      <c r="K575" t="n">
        <v>0</v>
      </c>
      <c r="L575" t="n">
        <v>0</v>
      </c>
      <c r="M575" t="n">
        <v>0</v>
      </c>
      <c r="N575" t="n">
        <v>0</v>
      </c>
      <c r="O575" t="n">
        <v>0</v>
      </c>
      <c r="P575" t="n">
        <v>0</v>
      </c>
      <c r="Q575" t="n">
        <v>0</v>
      </c>
      <c r="R575" s="2" t="inlineStr"/>
    </row>
    <row r="576" ht="15" customHeight="1">
      <c r="A576" t="inlineStr">
        <is>
          <t>A 59297-2023</t>
        </is>
      </c>
      <c r="B576" s="1" t="n">
        <v>45253</v>
      </c>
      <c r="C576" s="1" t="n">
        <v>46049</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6136-2025</t>
        </is>
      </c>
      <c r="B577" s="1" t="n">
        <v>45698.37601851852</v>
      </c>
      <c r="C577" s="1" t="n">
        <v>46049</v>
      </c>
      <c r="D577" t="inlineStr">
        <is>
          <t>VÄSTMANLANDS LÄN</t>
        </is>
      </c>
      <c r="E577" t="inlineStr">
        <is>
          <t>SALA</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6190-2025</t>
        </is>
      </c>
      <c r="B578" s="1" t="n">
        <v>45698</v>
      </c>
      <c r="C578" s="1" t="n">
        <v>46049</v>
      </c>
      <c r="D578" t="inlineStr">
        <is>
          <t>VÄSTMANLANDS LÄN</t>
        </is>
      </c>
      <c r="E578" t="inlineStr">
        <is>
          <t>SALA</t>
        </is>
      </c>
      <c r="F578" t="inlineStr">
        <is>
          <t>Bergvik skog öst AB</t>
        </is>
      </c>
      <c r="G578" t="n">
        <v>4.6</v>
      </c>
      <c r="H578" t="n">
        <v>0</v>
      </c>
      <c r="I578" t="n">
        <v>0</v>
      </c>
      <c r="J578" t="n">
        <v>0</v>
      </c>
      <c r="K578" t="n">
        <v>0</v>
      </c>
      <c r="L578" t="n">
        <v>0</v>
      </c>
      <c r="M578" t="n">
        <v>0</v>
      </c>
      <c r="N578" t="n">
        <v>0</v>
      </c>
      <c r="O578" t="n">
        <v>0</v>
      </c>
      <c r="P578" t="n">
        <v>0</v>
      </c>
      <c r="Q578" t="n">
        <v>0</v>
      </c>
      <c r="R578" s="2" t="inlineStr"/>
    </row>
    <row r="579" ht="15" customHeight="1">
      <c r="A579" t="inlineStr">
        <is>
          <t>A 28863-2022</t>
        </is>
      </c>
      <c r="B579" s="1" t="n">
        <v>44749.50649305555</v>
      </c>
      <c r="C579" s="1" t="n">
        <v>46049</v>
      </c>
      <c r="D579" t="inlineStr">
        <is>
          <t>VÄSTMANLANDS LÄN</t>
        </is>
      </c>
      <c r="E579" t="inlineStr">
        <is>
          <t>SALA</t>
        </is>
      </c>
      <c r="G579" t="n">
        <v>1.6</v>
      </c>
      <c r="H579" t="n">
        <v>0</v>
      </c>
      <c r="I579" t="n">
        <v>0</v>
      </c>
      <c r="J579" t="n">
        <v>0</v>
      </c>
      <c r="K579" t="n">
        <v>0</v>
      </c>
      <c r="L579" t="n">
        <v>0</v>
      </c>
      <c r="M579" t="n">
        <v>0</v>
      </c>
      <c r="N579" t="n">
        <v>0</v>
      </c>
      <c r="O579" t="n">
        <v>0</v>
      </c>
      <c r="P579" t="n">
        <v>0</v>
      </c>
      <c r="Q579" t="n">
        <v>0</v>
      </c>
      <c r="R579" s="2" t="inlineStr"/>
    </row>
    <row r="580" ht="15" customHeight="1">
      <c r="A580" t="inlineStr">
        <is>
          <t>A 25541-2024</t>
        </is>
      </c>
      <c r="B580" s="1" t="n">
        <v>45463.56337962963</v>
      </c>
      <c r="C580" s="1" t="n">
        <v>46049</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29213-2022</t>
        </is>
      </c>
      <c r="B581" s="1" t="n">
        <v>44750.57474537037</v>
      </c>
      <c r="C581" s="1" t="n">
        <v>46049</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56964-2023</t>
        </is>
      </c>
      <c r="B582" s="1" t="n">
        <v>45244.63140046296</v>
      </c>
      <c r="C582" s="1" t="n">
        <v>46049</v>
      </c>
      <c r="D582" t="inlineStr">
        <is>
          <t>VÄSTMANLANDS LÄN</t>
        </is>
      </c>
      <c r="E582" t="inlineStr">
        <is>
          <t>SALA</t>
        </is>
      </c>
      <c r="G582" t="n">
        <v>4.6</v>
      </c>
      <c r="H582" t="n">
        <v>0</v>
      </c>
      <c r="I582" t="n">
        <v>0</v>
      </c>
      <c r="J582" t="n">
        <v>0</v>
      </c>
      <c r="K582" t="n">
        <v>0</v>
      </c>
      <c r="L582" t="n">
        <v>0</v>
      </c>
      <c r="M582" t="n">
        <v>0</v>
      </c>
      <c r="N582" t="n">
        <v>0</v>
      </c>
      <c r="O582" t="n">
        <v>0</v>
      </c>
      <c r="P582" t="n">
        <v>0</v>
      </c>
      <c r="Q582" t="n">
        <v>0</v>
      </c>
      <c r="R582" s="2" t="inlineStr"/>
    </row>
    <row r="583" ht="15" customHeight="1">
      <c r="A583" t="inlineStr">
        <is>
          <t>A 1555-2024</t>
        </is>
      </c>
      <c r="B583" s="1" t="n">
        <v>45306</v>
      </c>
      <c r="C583" s="1" t="n">
        <v>46049</v>
      </c>
      <c r="D583" t="inlineStr">
        <is>
          <t>VÄSTMANLANDS LÄN</t>
        </is>
      </c>
      <c r="E583" t="inlineStr">
        <is>
          <t>SALA</t>
        </is>
      </c>
      <c r="G583" t="n">
        <v>1.3</v>
      </c>
      <c r="H583" t="n">
        <v>0</v>
      </c>
      <c r="I583" t="n">
        <v>0</v>
      </c>
      <c r="J583" t="n">
        <v>0</v>
      </c>
      <c r="K583" t="n">
        <v>0</v>
      </c>
      <c r="L583" t="n">
        <v>0</v>
      </c>
      <c r="M583" t="n">
        <v>0</v>
      </c>
      <c r="N583" t="n">
        <v>0</v>
      </c>
      <c r="O583" t="n">
        <v>0</v>
      </c>
      <c r="P583" t="n">
        <v>0</v>
      </c>
      <c r="Q583" t="n">
        <v>0</v>
      </c>
      <c r="R583" s="2" t="inlineStr"/>
    </row>
    <row r="584" ht="15" customHeight="1">
      <c r="A584" t="inlineStr">
        <is>
          <t>A 13188-2025</t>
        </is>
      </c>
      <c r="B584" s="1" t="n">
        <v>45735.39246527778</v>
      </c>
      <c r="C584" s="1" t="n">
        <v>46049</v>
      </c>
      <c r="D584" t="inlineStr">
        <is>
          <t>VÄSTMANLANDS LÄN</t>
        </is>
      </c>
      <c r="E584" t="inlineStr">
        <is>
          <t>SALA</t>
        </is>
      </c>
      <c r="F584" t="inlineStr">
        <is>
          <t>Naturvårdsverket</t>
        </is>
      </c>
      <c r="G584" t="n">
        <v>18.4</v>
      </c>
      <c r="H584" t="n">
        <v>0</v>
      </c>
      <c r="I584" t="n">
        <v>0</v>
      </c>
      <c r="J584" t="n">
        <v>0</v>
      </c>
      <c r="K584" t="n">
        <v>0</v>
      </c>
      <c r="L584" t="n">
        <v>0</v>
      </c>
      <c r="M584" t="n">
        <v>0</v>
      </c>
      <c r="N584" t="n">
        <v>0</v>
      </c>
      <c r="O584" t="n">
        <v>0</v>
      </c>
      <c r="P584" t="n">
        <v>0</v>
      </c>
      <c r="Q584" t="n">
        <v>0</v>
      </c>
      <c r="R584" s="2" t="inlineStr"/>
    </row>
    <row r="585" ht="15" customHeight="1">
      <c r="A585" t="inlineStr">
        <is>
          <t>A 7197-2025</t>
        </is>
      </c>
      <c r="B585" s="1" t="n">
        <v>45702</v>
      </c>
      <c r="C585" s="1" t="n">
        <v>46049</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15099-2025</t>
        </is>
      </c>
      <c r="B586" s="1" t="n">
        <v>45744.3434837963</v>
      </c>
      <c r="C586" s="1" t="n">
        <v>46049</v>
      </c>
      <c r="D586" t="inlineStr">
        <is>
          <t>VÄSTMANLANDS LÄN</t>
        </is>
      </c>
      <c r="E586" t="inlineStr">
        <is>
          <t>SALA</t>
        </is>
      </c>
      <c r="F586" t="inlineStr">
        <is>
          <t>Sveaskog</t>
        </is>
      </c>
      <c r="G586" t="n">
        <v>14.4</v>
      </c>
      <c r="H586" t="n">
        <v>0</v>
      </c>
      <c r="I586" t="n">
        <v>0</v>
      </c>
      <c r="J586" t="n">
        <v>0</v>
      </c>
      <c r="K586" t="n">
        <v>0</v>
      </c>
      <c r="L586" t="n">
        <v>0</v>
      </c>
      <c r="M586" t="n">
        <v>0</v>
      </c>
      <c r="N586" t="n">
        <v>0</v>
      </c>
      <c r="O586" t="n">
        <v>0</v>
      </c>
      <c r="P586" t="n">
        <v>0</v>
      </c>
      <c r="Q586" t="n">
        <v>0</v>
      </c>
      <c r="R586" s="2" t="inlineStr"/>
    </row>
    <row r="587" ht="15" customHeight="1">
      <c r="A587" t="inlineStr">
        <is>
          <t>A 2928-2024</t>
        </is>
      </c>
      <c r="B587" s="1" t="n">
        <v>45315.59041666667</v>
      </c>
      <c r="C587" s="1" t="n">
        <v>46049</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9962-2025</t>
        </is>
      </c>
      <c r="B588" s="1" t="n">
        <v>45719.37072916667</v>
      </c>
      <c r="C588" s="1" t="n">
        <v>46049</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14024-2025</t>
        </is>
      </c>
      <c r="B589" s="1" t="n">
        <v>45740.34650462963</v>
      </c>
      <c r="C589" s="1" t="n">
        <v>46049</v>
      </c>
      <c r="D589" t="inlineStr">
        <is>
          <t>VÄSTMANLANDS LÄN</t>
        </is>
      </c>
      <c r="E589" t="inlineStr">
        <is>
          <t>SALA</t>
        </is>
      </c>
      <c r="G589" t="n">
        <v>1.1</v>
      </c>
      <c r="H589" t="n">
        <v>0</v>
      </c>
      <c r="I589" t="n">
        <v>0</v>
      </c>
      <c r="J589" t="n">
        <v>0</v>
      </c>
      <c r="K589" t="n">
        <v>0</v>
      </c>
      <c r="L589" t="n">
        <v>0</v>
      </c>
      <c r="M589" t="n">
        <v>0</v>
      </c>
      <c r="N589" t="n">
        <v>0</v>
      </c>
      <c r="O589" t="n">
        <v>0</v>
      </c>
      <c r="P589" t="n">
        <v>0</v>
      </c>
      <c r="Q589" t="n">
        <v>0</v>
      </c>
      <c r="R589" s="2" t="inlineStr"/>
    </row>
    <row r="590" ht="15" customHeight="1">
      <c r="A590" t="inlineStr">
        <is>
          <t>A 3551-2024</t>
        </is>
      </c>
      <c r="B590" s="1" t="n">
        <v>45320.61099537037</v>
      </c>
      <c r="C590" s="1" t="n">
        <v>46049</v>
      </c>
      <c r="D590" t="inlineStr">
        <is>
          <t>VÄSTMANLANDS LÄN</t>
        </is>
      </c>
      <c r="E590" t="inlineStr">
        <is>
          <t>SALA</t>
        </is>
      </c>
      <c r="F590" t="inlineStr">
        <is>
          <t>Kommuner</t>
        </is>
      </c>
      <c r="G590" t="n">
        <v>6</v>
      </c>
      <c r="H590" t="n">
        <v>0</v>
      </c>
      <c r="I590" t="n">
        <v>0</v>
      </c>
      <c r="J590" t="n">
        <v>0</v>
      </c>
      <c r="K590" t="n">
        <v>0</v>
      </c>
      <c r="L590" t="n">
        <v>0</v>
      </c>
      <c r="M590" t="n">
        <v>0</v>
      </c>
      <c r="N590" t="n">
        <v>0</v>
      </c>
      <c r="O590" t="n">
        <v>0</v>
      </c>
      <c r="P590" t="n">
        <v>0</v>
      </c>
      <c r="Q590" t="n">
        <v>0</v>
      </c>
      <c r="R590" s="2" t="inlineStr"/>
    </row>
    <row r="591" ht="15" customHeight="1">
      <c r="A591" t="inlineStr">
        <is>
          <t>A 62635-2022</t>
        </is>
      </c>
      <c r="B591" s="1" t="n">
        <v>44917</v>
      </c>
      <c r="C591" s="1" t="n">
        <v>46049</v>
      </c>
      <c r="D591" t="inlineStr">
        <is>
          <t>VÄSTMANLANDS LÄN</t>
        </is>
      </c>
      <c r="E591" t="inlineStr">
        <is>
          <t>SALA</t>
        </is>
      </c>
      <c r="G591" t="n">
        <v>0.4</v>
      </c>
      <c r="H591" t="n">
        <v>0</v>
      </c>
      <c r="I591" t="n">
        <v>0</v>
      </c>
      <c r="J591" t="n">
        <v>0</v>
      </c>
      <c r="K591" t="n">
        <v>0</v>
      </c>
      <c r="L591" t="n">
        <v>0</v>
      </c>
      <c r="M591" t="n">
        <v>0</v>
      </c>
      <c r="N591" t="n">
        <v>0</v>
      </c>
      <c r="O591" t="n">
        <v>0</v>
      </c>
      <c r="P591" t="n">
        <v>0</v>
      </c>
      <c r="Q591" t="n">
        <v>0</v>
      </c>
      <c r="R591" s="2" t="inlineStr"/>
    </row>
    <row r="592" ht="15" customHeight="1">
      <c r="A592" t="inlineStr">
        <is>
          <t>A 19304-2025</t>
        </is>
      </c>
      <c r="B592" s="1" t="n">
        <v>45769</v>
      </c>
      <c r="C592" s="1" t="n">
        <v>46049</v>
      </c>
      <c r="D592" t="inlineStr">
        <is>
          <t>VÄSTMANLANDS LÄN</t>
        </is>
      </c>
      <c r="E592" t="inlineStr">
        <is>
          <t>SALA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56057-2023</t>
        </is>
      </c>
      <c r="B593" s="1" t="n">
        <v>45233</v>
      </c>
      <c r="C593" s="1" t="n">
        <v>46049</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55024-2023</t>
        </is>
      </c>
      <c r="B594" s="1" t="n">
        <v>45229</v>
      </c>
      <c r="C594" s="1" t="n">
        <v>46049</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55032-2023</t>
        </is>
      </c>
      <c r="B595" s="1" t="n">
        <v>45229</v>
      </c>
      <c r="C595" s="1" t="n">
        <v>46049</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29248-2022</t>
        </is>
      </c>
      <c r="B596" s="1" t="n">
        <v>44750</v>
      </c>
      <c r="C596" s="1" t="n">
        <v>46049</v>
      </c>
      <c r="D596" t="inlineStr">
        <is>
          <t>VÄSTMANLANDS LÄN</t>
        </is>
      </c>
      <c r="E596" t="inlineStr">
        <is>
          <t>SALA</t>
        </is>
      </c>
      <c r="G596" t="n">
        <v>1.6</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44904.48502314815</v>
      </c>
      <c r="C597" s="1" t="n">
        <v>46049</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39451-2022</t>
        </is>
      </c>
      <c r="B598" s="1" t="n">
        <v>44818.36606481481</v>
      </c>
      <c r="C598" s="1" t="n">
        <v>46049</v>
      </c>
      <c r="D598" t="inlineStr">
        <is>
          <t>VÄSTMANLANDS LÄN</t>
        </is>
      </c>
      <c r="E598" t="inlineStr">
        <is>
          <t>SALA</t>
        </is>
      </c>
      <c r="G598" t="n">
        <v>9.4</v>
      </c>
      <c r="H598" t="n">
        <v>0</v>
      </c>
      <c r="I598" t="n">
        <v>0</v>
      </c>
      <c r="J598" t="n">
        <v>0</v>
      </c>
      <c r="K598" t="n">
        <v>0</v>
      </c>
      <c r="L598" t="n">
        <v>0</v>
      </c>
      <c r="M598" t="n">
        <v>0</v>
      </c>
      <c r="N598" t="n">
        <v>0</v>
      </c>
      <c r="O598" t="n">
        <v>0</v>
      </c>
      <c r="P598" t="n">
        <v>0</v>
      </c>
      <c r="Q598" t="n">
        <v>0</v>
      </c>
      <c r="R598" s="2" t="inlineStr"/>
    </row>
    <row r="599" ht="15" customHeight="1">
      <c r="A599" t="inlineStr">
        <is>
          <t>A 11631-2023</t>
        </is>
      </c>
      <c r="B599" s="1" t="n">
        <v>44994.44001157407</v>
      </c>
      <c r="C599" s="1" t="n">
        <v>46049</v>
      </c>
      <c r="D599" t="inlineStr">
        <is>
          <t>VÄSTMANLANDS LÄN</t>
        </is>
      </c>
      <c r="E599" t="inlineStr">
        <is>
          <t>SALA</t>
        </is>
      </c>
      <c r="F599" t="inlineStr">
        <is>
          <t>Kommuner</t>
        </is>
      </c>
      <c r="G599" t="n">
        <v>1.9</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46049</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1934-2023</t>
        </is>
      </c>
      <c r="B601" s="1" t="n">
        <v>44939.43024305555</v>
      </c>
      <c r="C601" s="1" t="n">
        <v>46049</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row>
    <row r="602" ht="15" customHeight="1">
      <c r="A602" t="inlineStr">
        <is>
          <t>A 11927-2025</t>
        </is>
      </c>
      <c r="B602" s="1" t="n">
        <v>45728.5137962963</v>
      </c>
      <c r="C602" s="1" t="n">
        <v>46049</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60823-2024</t>
        </is>
      </c>
      <c r="B603" s="1" t="n">
        <v>45644</v>
      </c>
      <c r="C603" s="1" t="n">
        <v>46049</v>
      </c>
      <c r="D603" t="inlineStr">
        <is>
          <t>VÄSTMANLANDS LÄN</t>
        </is>
      </c>
      <c r="E603" t="inlineStr">
        <is>
          <t>SALA</t>
        </is>
      </c>
      <c r="G603" t="n">
        <v>0.6</v>
      </c>
      <c r="H603" t="n">
        <v>0</v>
      </c>
      <c r="I603" t="n">
        <v>0</v>
      </c>
      <c r="J603" t="n">
        <v>0</v>
      </c>
      <c r="K603" t="n">
        <v>0</v>
      </c>
      <c r="L603" t="n">
        <v>0</v>
      </c>
      <c r="M603" t="n">
        <v>0</v>
      </c>
      <c r="N603" t="n">
        <v>0</v>
      </c>
      <c r="O603" t="n">
        <v>0</v>
      </c>
      <c r="P603" t="n">
        <v>0</v>
      </c>
      <c r="Q603" t="n">
        <v>0</v>
      </c>
      <c r="R603" s="2" t="inlineStr"/>
    </row>
    <row r="604" ht="15" customHeight="1">
      <c r="A604" t="inlineStr">
        <is>
          <t>A 96-2024</t>
        </is>
      </c>
      <c r="B604" s="1" t="n">
        <v>45293.85872685185</v>
      </c>
      <c r="C604" s="1" t="n">
        <v>46049</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23374-2023</t>
        </is>
      </c>
      <c r="B605" s="1" t="n">
        <v>45076.4399537037</v>
      </c>
      <c r="C605" s="1" t="n">
        <v>46049</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61874-2021</t>
        </is>
      </c>
      <c r="B606" s="1" t="n">
        <v>44502</v>
      </c>
      <c r="C606" s="1" t="n">
        <v>46049</v>
      </c>
      <c r="D606" t="inlineStr">
        <is>
          <t>VÄSTMANLANDS LÄN</t>
        </is>
      </c>
      <c r="E606" t="inlineStr">
        <is>
          <t>SALA</t>
        </is>
      </c>
      <c r="F606" t="inlineStr">
        <is>
          <t>Kyrkan</t>
        </is>
      </c>
      <c r="G606" t="n">
        <v>1.3</v>
      </c>
      <c r="H606" t="n">
        <v>0</v>
      </c>
      <c r="I606" t="n">
        <v>0</v>
      </c>
      <c r="J606" t="n">
        <v>0</v>
      </c>
      <c r="K606" t="n">
        <v>0</v>
      </c>
      <c r="L606" t="n">
        <v>0</v>
      </c>
      <c r="M606" t="n">
        <v>0</v>
      </c>
      <c r="N606" t="n">
        <v>0</v>
      </c>
      <c r="O606" t="n">
        <v>0</v>
      </c>
      <c r="P606" t="n">
        <v>0</v>
      </c>
      <c r="Q606" t="n">
        <v>0</v>
      </c>
      <c r="R606" s="2" t="inlineStr"/>
    </row>
    <row r="607" ht="15" customHeight="1">
      <c r="A607" t="inlineStr">
        <is>
          <t>A 9856-2022</t>
        </is>
      </c>
      <c r="B607" s="1" t="n">
        <v>44620</v>
      </c>
      <c r="C607" s="1" t="n">
        <v>46049</v>
      </c>
      <c r="D607" t="inlineStr">
        <is>
          <t>VÄSTMANLANDS LÄN</t>
        </is>
      </c>
      <c r="E607" t="inlineStr">
        <is>
          <t>SALA</t>
        </is>
      </c>
      <c r="G607" t="n">
        <v>2.4</v>
      </c>
      <c r="H607" t="n">
        <v>0</v>
      </c>
      <c r="I607" t="n">
        <v>0</v>
      </c>
      <c r="J607" t="n">
        <v>0</v>
      </c>
      <c r="K607" t="n">
        <v>0</v>
      </c>
      <c r="L607" t="n">
        <v>0</v>
      </c>
      <c r="M607" t="n">
        <v>0</v>
      </c>
      <c r="N607" t="n">
        <v>0</v>
      </c>
      <c r="O607" t="n">
        <v>0</v>
      </c>
      <c r="P607" t="n">
        <v>0</v>
      </c>
      <c r="Q607" t="n">
        <v>0</v>
      </c>
      <c r="R607" s="2" t="inlineStr"/>
    </row>
    <row r="608" ht="15" customHeight="1">
      <c r="A608" t="inlineStr">
        <is>
          <t>A 16159-2024</t>
        </is>
      </c>
      <c r="B608" s="1" t="n">
        <v>45406</v>
      </c>
      <c r="C608" s="1" t="n">
        <v>46049</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50241-2023</t>
        </is>
      </c>
      <c r="B609" s="1" t="n">
        <v>45216</v>
      </c>
      <c r="C609" s="1" t="n">
        <v>46049</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3332-2024</t>
        </is>
      </c>
      <c r="B610" s="1" t="n">
        <v>45317</v>
      </c>
      <c r="C610" s="1" t="n">
        <v>46049</v>
      </c>
      <c r="D610" t="inlineStr">
        <is>
          <t>VÄSTMANLANDS LÄN</t>
        </is>
      </c>
      <c r="E610" t="inlineStr">
        <is>
          <t>SALA</t>
        </is>
      </c>
      <c r="G610" t="n">
        <v>2</v>
      </c>
      <c r="H610" t="n">
        <v>0</v>
      </c>
      <c r="I610" t="n">
        <v>0</v>
      </c>
      <c r="J610" t="n">
        <v>0</v>
      </c>
      <c r="K610" t="n">
        <v>0</v>
      </c>
      <c r="L610" t="n">
        <v>0</v>
      </c>
      <c r="M610" t="n">
        <v>0</v>
      </c>
      <c r="N610" t="n">
        <v>0</v>
      </c>
      <c r="O610" t="n">
        <v>0</v>
      </c>
      <c r="P610" t="n">
        <v>0</v>
      </c>
      <c r="Q610" t="n">
        <v>0</v>
      </c>
      <c r="R610" s="2" t="inlineStr"/>
    </row>
    <row r="611" ht="15" customHeight="1">
      <c r="A611" t="inlineStr">
        <is>
          <t>A 35637-2022</t>
        </is>
      </c>
      <c r="B611" s="1" t="n">
        <v>44799.55194444444</v>
      </c>
      <c r="C611" s="1" t="n">
        <v>46049</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57883-2024</t>
        </is>
      </c>
      <c r="B612" s="1" t="n">
        <v>45630</v>
      </c>
      <c r="C612" s="1" t="n">
        <v>46049</v>
      </c>
      <c r="D612" t="inlineStr">
        <is>
          <t>VÄSTMANLANDS LÄN</t>
        </is>
      </c>
      <c r="E612" t="inlineStr">
        <is>
          <t>SALA</t>
        </is>
      </c>
      <c r="G612" t="n">
        <v>5.4</v>
      </c>
      <c r="H612" t="n">
        <v>0</v>
      </c>
      <c r="I612" t="n">
        <v>0</v>
      </c>
      <c r="J612" t="n">
        <v>0</v>
      </c>
      <c r="K612" t="n">
        <v>0</v>
      </c>
      <c r="L612" t="n">
        <v>0</v>
      </c>
      <c r="M612" t="n">
        <v>0</v>
      </c>
      <c r="N612" t="n">
        <v>0</v>
      </c>
      <c r="O612" t="n">
        <v>0</v>
      </c>
      <c r="P612" t="n">
        <v>0</v>
      </c>
      <c r="Q612" t="n">
        <v>0</v>
      </c>
      <c r="R612" s="2" t="inlineStr"/>
    </row>
    <row r="613" ht="15" customHeight="1">
      <c r="A613" t="inlineStr">
        <is>
          <t>A 50876-2023</t>
        </is>
      </c>
      <c r="B613" s="1" t="n">
        <v>45211</v>
      </c>
      <c r="C613" s="1" t="n">
        <v>46049</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37624-2024</t>
        </is>
      </c>
      <c r="B614" s="1" t="n">
        <v>45541</v>
      </c>
      <c r="C614" s="1" t="n">
        <v>46049</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40398-2021</t>
        </is>
      </c>
      <c r="B615" s="1" t="n">
        <v>44419</v>
      </c>
      <c r="C615" s="1" t="n">
        <v>46049</v>
      </c>
      <c r="D615" t="inlineStr">
        <is>
          <t>VÄSTMANLANDS LÄN</t>
        </is>
      </c>
      <c r="E615" t="inlineStr">
        <is>
          <t>SALA</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46049</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27262-2024</t>
        </is>
      </c>
      <c r="B617" s="1" t="n">
        <v>45471</v>
      </c>
      <c r="C617" s="1" t="n">
        <v>46049</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15584-2021</t>
        </is>
      </c>
      <c r="B618" s="1" t="n">
        <v>44285</v>
      </c>
      <c r="C618" s="1" t="n">
        <v>46049</v>
      </c>
      <c r="D618" t="inlineStr">
        <is>
          <t>VÄSTMANLANDS LÄN</t>
        </is>
      </c>
      <c r="E618" t="inlineStr">
        <is>
          <t>SALA</t>
        </is>
      </c>
      <c r="G618" t="n">
        <v>3.4</v>
      </c>
      <c r="H618" t="n">
        <v>0</v>
      </c>
      <c r="I618" t="n">
        <v>0</v>
      </c>
      <c r="J618" t="n">
        <v>0</v>
      </c>
      <c r="K618" t="n">
        <v>0</v>
      </c>
      <c r="L618" t="n">
        <v>0</v>
      </c>
      <c r="M618" t="n">
        <v>0</v>
      </c>
      <c r="N618" t="n">
        <v>0</v>
      </c>
      <c r="O618" t="n">
        <v>0</v>
      </c>
      <c r="P618" t="n">
        <v>0</v>
      </c>
      <c r="Q618" t="n">
        <v>0</v>
      </c>
      <c r="R618" s="2" t="inlineStr"/>
    </row>
    <row r="619" ht="15" customHeight="1">
      <c r="A619" t="inlineStr">
        <is>
          <t>A 23119-2022</t>
        </is>
      </c>
      <c r="B619" s="1" t="n">
        <v>44719.56697916667</v>
      </c>
      <c r="C619" s="1" t="n">
        <v>46049</v>
      </c>
      <c r="D619" t="inlineStr">
        <is>
          <t>VÄSTMANLANDS LÄN</t>
        </is>
      </c>
      <c r="E619" t="inlineStr">
        <is>
          <t>SALA</t>
        </is>
      </c>
      <c r="G619" t="n">
        <v>7</v>
      </c>
      <c r="H619" t="n">
        <v>0</v>
      </c>
      <c r="I619" t="n">
        <v>0</v>
      </c>
      <c r="J619" t="n">
        <v>0</v>
      </c>
      <c r="K619" t="n">
        <v>0</v>
      </c>
      <c r="L619" t="n">
        <v>0</v>
      </c>
      <c r="M619" t="n">
        <v>0</v>
      </c>
      <c r="N619" t="n">
        <v>0</v>
      </c>
      <c r="O619" t="n">
        <v>0</v>
      </c>
      <c r="P619" t="n">
        <v>0</v>
      </c>
      <c r="Q619" t="n">
        <v>0</v>
      </c>
      <c r="R619" s="2" t="inlineStr"/>
    </row>
    <row r="620" ht="15" customHeight="1">
      <c r="A620" t="inlineStr">
        <is>
          <t>A 43751-2021</t>
        </is>
      </c>
      <c r="B620" s="1" t="n">
        <v>44433</v>
      </c>
      <c r="C620" s="1" t="n">
        <v>46049</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59483-2022</t>
        </is>
      </c>
      <c r="B621" s="1" t="n">
        <v>44907.45679398148</v>
      </c>
      <c r="C621" s="1" t="n">
        <v>46049</v>
      </c>
      <c r="D621" t="inlineStr">
        <is>
          <t>VÄSTMANLANDS LÄN</t>
        </is>
      </c>
      <c r="E621" t="inlineStr">
        <is>
          <t>SALA</t>
        </is>
      </c>
      <c r="G621" t="n">
        <v>5.2</v>
      </c>
      <c r="H621" t="n">
        <v>0</v>
      </c>
      <c r="I621" t="n">
        <v>0</v>
      </c>
      <c r="J621" t="n">
        <v>0</v>
      </c>
      <c r="K621" t="n">
        <v>0</v>
      </c>
      <c r="L621" t="n">
        <v>0</v>
      </c>
      <c r="M621" t="n">
        <v>0</v>
      </c>
      <c r="N621" t="n">
        <v>0</v>
      </c>
      <c r="O621" t="n">
        <v>0</v>
      </c>
      <c r="P621" t="n">
        <v>0</v>
      </c>
      <c r="Q621" t="n">
        <v>0</v>
      </c>
      <c r="R621" s="2" t="inlineStr"/>
    </row>
    <row r="622" ht="15" customHeight="1">
      <c r="A622" t="inlineStr">
        <is>
          <t>A 73673-2021</t>
        </is>
      </c>
      <c r="B622" s="1" t="n">
        <v>44552.46501157407</v>
      </c>
      <c r="C622" s="1" t="n">
        <v>46049</v>
      </c>
      <c r="D622" t="inlineStr">
        <is>
          <t>VÄSTMANLANDS LÄN</t>
        </is>
      </c>
      <c r="E622" t="inlineStr">
        <is>
          <t>SALA</t>
        </is>
      </c>
      <c r="G622" t="n">
        <v>11.4</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44957.73234953704</v>
      </c>
      <c r="C623" s="1" t="n">
        <v>46049</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1993-2022</t>
        </is>
      </c>
      <c r="B624" s="1" t="n">
        <v>44575</v>
      </c>
      <c r="C624" s="1" t="n">
        <v>46049</v>
      </c>
      <c r="D624" t="inlineStr">
        <is>
          <t>VÄSTMANLANDS LÄN</t>
        </is>
      </c>
      <c r="E624" t="inlineStr">
        <is>
          <t>SALA</t>
        </is>
      </c>
      <c r="G624" t="n">
        <v>1.6</v>
      </c>
      <c r="H624" t="n">
        <v>0</v>
      </c>
      <c r="I624" t="n">
        <v>0</v>
      </c>
      <c r="J624" t="n">
        <v>0</v>
      </c>
      <c r="K624" t="n">
        <v>0</v>
      </c>
      <c r="L624" t="n">
        <v>0</v>
      </c>
      <c r="M624" t="n">
        <v>0</v>
      </c>
      <c r="N624" t="n">
        <v>0</v>
      </c>
      <c r="O624" t="n">
        <v>0</v>
      </c>
      <c r="P624" t="n">
        <v>0</v>
      </c>
      <c r="Q624" t="n">
        <v>0</v>
      </c>
      <c r="R624" s="2" t="inlineStr"/>
    </row>
    <row r="625" ht="15" customHeight="1">
      <c r="A625" t="inlineStr">
        <is>
          <t>A 1793-2023</t>
        </is>
      </c>
      <c r="B625" s="1" t="n">
        <v>44937</v>
      </c>
      <c r="C625" s="1" t="n">
        <v>46049</v>
      </c>
      <c r="D625" t="inlineStr">
        <is>
          <t>VÄSTMANLANDS LÄN</t>
        </is>
      </c>
      <c r="E625" t="inlineStr">
        <is>
          <t>SALA</t>
        </is>
      </c>
      <c r="G625" t="n">
        <v>2.6</v>
      </c>
      <c r="H625" t="n">
        <v>0</v>
      </c>
      <c r="I625" t="n">
        <v>0</v>
      </c>
      <c r="J625" t="n">
        <v>0</v>
      </c>
      <c r="K625" t="n">
        <v>0</v>
      </c>
      <c r="L625" t="n">
        <v>0</v>
      </c>
      <c r="M625" t="n">
        <v>0</v>
      </c>
      <c r="N625" t="n">
        <v>0</v>
      </c>
      <c r="O625" t="n">
        <v>0</v>
      </c>
      <c r="P625" t="n">
        <v>0</v>
      </c>
      <c r="Q625" t="n">
        <v>0</v>
      </c>
      <c r="R625" s="2" t="inlineStr"/>
    </row>
    <row r="626" ht="15" customHeight="1">
      <c r="A626" t="inlineStr">
        <is>
          <t>A 42447-2022</t>
        </is>
      </c>
      <c r="B626" s="1" t="n">
        <v>44831</v>
      </c>
      <c r="C626" s="1" t="n">
        <v>46049</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11183-2023</t>
        </is>
      </c>
      <c r="B627" s="1" t="n">
        <v>44992.57782407408</v>
      </c>
      <c r="C627" s="1" t="n">
        <v>46049</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11190-2023</t>
        </is>
      </c>
      <c r="B628" s="1" t="n">
        <v>44992</v>
      </c>
      <c r="C628" s="1" t="n">
        <v>46049</v>
      </c>
      <c r="D628" t="inlineStr">
        <is>
          <t>VÄSTMANLANDS LÄN</t>
        </is>
      </c>
      <c r="E628" t="inlineStr">
        <is>
          <t>SALA</t>
        </is>
      </c>
      <c r="G628" t="n">
        <v>1</v>
      </c>
      <c r="H628" t="n">
        <v>0</v>
      </c>
      <c r="I628" t="n">
        <v>0</v>
      </c>
      <c r="J628" t="n">
        <v>0</v>
      </c>
      <c r="K628" t="n">
        <v>0</v>
      </c>
      <c r="L628" t="n">
        <v>0</v>
      </c>
      <c r="M628" t="n">
        <v>0</v>
      </c>
      <c r="N628" t="n">
        <v>0</v>
      </c>
      <c r="O628" t="n">
        <v>0</v>
      </c>
      <c r="P628" t="n">
        <v>0</v>
      </c>
      <c r="Q628" t="n">
        <v>0</v>
      </c>
      <c r="R628" s="2" t="inlineStr"/>
    </row>
    <row r="629" ht="15" customHeight="1">
      <c r="A629" t="inlineStr">
        <is>
          <t>A 31950-2023</t>
        </is>
      </c>
      <c r="B629" s="1" t="n">
        <v>45107</v>
      </c>
      <c r="C629" s="1" t="n">
        <v>46049</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48710-2024</t>
        </is>
      </c>
      <c r="B630" s="1" t="n">
        <v>45593.53636574074</v>
      </c>
      <c r="C630" s="1" t="n">
        <v>46049</v>
      </c>
      <c r="D630" t="inlineStr">
        <is>
          <t>VÄSTMANLANDS LÄN</t>
        </is>
      </c>
      <c r="E630" t="inlineStr">
        <is>
          <t>SALA</t>
        </is>
      </c>
      <c r="G630" t="n">
        <v>6.5</v>
      </c>
      <c r="H630" t="n">
        <v>0</v>
      </c>
      <c r="I630" t="n">
        <v>0</v>
      </c>
      <c r="J630" t="n">
        <v>0</v>
      </c>
      <c r="K630" t="n">
        <v>0</v>
      </c>
      <c r="L630" t="n">
        <v>0</v>
      </c>
      <c r="M630" t="n">
        <v>0</v>
      </c>
      <c r="N630" t="n">
        <v>0</v>
      </c>
      <c r="O630" t="n">
        <v>0</v>
      </c>
      <c r="P630" t="n">
        <v>0</v>
      </c>
      <c r="Q630" t="n">
        <v>0</v>
      </c>
      <c r="R630" s="2" t="inlineStr"/>
    </row>
    <row r="631" ht="15" customHeight="1">
      <c r="A631" t="inlineStr">
        <is>
          <t>A 23406-2024</t>
        </is>
      </c>
      <c r="B631" s="1" t="n">
        <v>45453.58296296297</v>
      </c>
      <c r="C631" s="1" t="n">
        <v>46049</v>
      </c>
      <c r="D631" t="inlineStr">
        <is>
          <t>VÄSTMANLANDS LÄN</t>
        </is>
      </c>
      <c r="E631" t="inlineStr">
        <is>
          <t>SALA</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12246-2023</t>
        </is>
      </c>
      <c r="B632" s="1" t="n">
        <v>44995</v>
      </c>
      <c r="C632" s="1" t="n">
        <v>46049</v>
      </c>
      <c r="D632" t="inlineStr">
        <is>
          <t>VÄSTMANLANDS LÄN</t>
        </is>
      </c>
      <c r="E632" t="inlineStr">
        <is>
          <t>SALA</t>
        </is>
      </c>
      <c r="G632" t="n">
        <v>2.4</v>
      </c>
      <c r="H632" t="n">
        <v>0</v>
      </c>
      <c r="I632" t="n">
        <v>0</v>
      </c>
      <c r="J632" t="n">
        <v>0</v>
      </c>
      <c r="K632" t="n">
        <v>0</v>
      </c>
      <c r="L632" t="n">
        <v>0</v>
      </c>
      <c r="M632" t="n">
        <v>0</v>
      </c>
      <c r="N632" t="n">
        <v>0</v>
      </c>
      <c r="O632" t="n">
        <v>0</v>
      </c>
      <c r="P632" t="n">
        <v>0</v>
      </c>
      <c r="Q632" t="n">
        <v>0</v>
      </c>
      <c r="R632" s="2" t="inlineStr"/>
    </row>
    <row r="633" ht="15" customHeight="1">
      <c r="A633" t="inlineStr">
        <is>
          <t>A 48571-2024</t>
        </is>
      </c>
      <c r="B633" s="1" t="n">
        <v>45591</v>
      </c>
      <c r="C633" s="1" t="n">
        <v>46049</v>
      </c>
      <c r="D633" t="inlineStr">
        <is>
          <t>VÄSTMANLANDS LÄN</t>
        </is>
      </c>
      <c r="E633" t="inlineStr">
        <is>
          <t>SALA</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43362-2023</t>
        </is>
      </c>
      <c r="B634" s="1" t="n">
        <v>45183</v>
      </c>
      <c r="C634" s="1" t="n">
        <v>46049</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16767-2024</t>
        </is>
      </c>
      <c r="B635" s="1" t="n">
        <v>45411.38171296296</v>
      </c>
      <c r="C635" s="1" t="n">
        <v>46049</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31470-2021</t>
        </is>
      </c>
      <c r="B636" s="1" t="n">
        <v>44369</v>
      </c>
      <c r="C636" s="1" t="n">
        <v>46049</v>
      </c>
      <c r="D636" t="inlineStr">
        <is>
          <t>VÄSTMANLANDS LÄN</t>
        </is>
      </c>
      <c r="E636" t="inlineStr">
        <is>
          <t>SALA</t>
        </is>
      </c>
      <c r="F636" t="inlineStr">
        <is>
          <t>Sveaskog</t>
        </is>
      </c>
      <c r="G636" t="n">
        <v>2.1</v>
      </c>
      <c r="H636" t="n">
        <v>0</v>
      </c>
      <c r="I636" t="n">
        <v>0</v>
      </c>
      <c r="J636" t="n">
        <v>0</v>
      </c>
      <c r="K636" t="n">
        <v>0</v>
      </c>
      <c r="L636" t="n">
        <v>0</v>
      </c>
      <c r="M636" t="n">
        <v>0</v>
      </c>
      <c r="N636" t="n">
        <v>0</v>
      </c>
      <c r="O636" t="n">
        <v>0</v>
      </c>
      <c r="P636" t="n">
        <v>0</v>
      </c>
      <c r="Q636" t="n">
        <v>0</v>
      </c>
      <c r="R636" s="2" t="inlineStr"/>
    </row>
    <row r="637" ht="15" customHeight="1">
      <c r="A637" t="inlineStr">
        <is>
          <t>A 18461-2024</t>
        </is>
      </c>
      <c r="B637" s="1" t="n">
        <v>45425.47435185185</v>
      </c>
      <c r="C637" s="1" t="n">
        <v>46049</v>
      </c>
      <c r="D637" t="inlineStr">
        <is>
          <t>VÄSTMANLANDS LÄN</t>
        </is>
      </c>
      <c r="E637" t="inlineStr">
        <is>
          <t>SALA</t>
        </is>
      </c>
      <c r="G637" t="n">
        <v>1.7</v>
      </c>
      <c r="H637" t="n">
        <v>0</v>
      </c>
      <c r="I637" t="n">
        <v>0</v>
      </c>
      <c r="J637" t="n">
        <v>0</v>
      </c>
      <c r="K637" t="n">
        <v>0</v>
      </c>
      <c r="L637" t="n">
        <v>0</v>
      </c>
      <c r="M637" t="n">
        <v>0</v>
      </c>
      <c r="N637" t="n">
        <v>0</v>
      </c>
      <c r="O637" t="n">
        <v>0</v>
      </c>
      <c r="P637" t="n">
        <v>0</v>
      </c>
      <c r="Q637" t="n">
        <v>0</v>
      </c>
      <c r="R637" s="2" t="inlineStr"/>
    </row>
    <row r="638" ht="15" customHeight="1">
      <c r="A638" t="inlineStr">
        <is>
          <t>A 29230-2022</t>
        </is>
      </c>
      <c r="B638" s="1" t="n">
        <v>44750</v>
      </c>
      <c r="C638" s="1" t="n">
        <v>46049</v>
      </c>
      <c r="D638" t="inlineStr">
        <is>
          <t>VÄSTMANLANDS LÄN</t>
        </is>
      </c>
      <c r="E638" t="inlineStr">
        <is>
          <t>SALA</t>
        </is>
      </c>
      <c r="G638" t="n">
        <v>1.1</v>
      </c>
      <c r="H638" t="n">
        <v>0</v>
      </c>
      <c r="I638" t="n">
        <v>0</v>
      </c>
      <c r="J638" t="n">
        <v>0</v>
      </c>
      <c r="K638" t="n">
        <v>0</v>
      </c>
      <c r="L638" t="n">
        <v>0</v>
      </c>
      <c r="M638" t="n">
        <v>0</v>
      </c>
      <c r="N638" t="n">
        <v>0</v>
      </c>
      <c r="O638" t="n">
        <v>0</v>
      </c>
      <c r="P638" t="n">
        <v>0</v>
      </c>
      <c r="Q638" t="n">
        <v>0</v>
      </c>
      <c r="R638" s="2" t="inlineStr"/>
    </row>
    <row r="639" ht="15" customHeight="1">
      <c r="A639" t="inlineStr">
        <is>
          <t>A 9335-2022</t>
        </is>
      </c>
      <c r="B639" s="1" t="n">
        <v>44616.56579861111</v>
      </c>
      <c r="C639" s="1" t="n">
        <v>46049</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47479-2024</t>
        </is>
      </c>
      <c r="B640" s="1" t="n">
        <v>45587</v>
      </c>
      <c r="C640" s="1" t="n">
        <v>46049</v>
      </c>
      <c r="D640" t="inlineStr">
        <is>
          <t>VÄSTMANLANDS LÄN</t>
        </is>
      </c>
      <c r="E640" t="inlineStr">
        <is>
          <t>SALA</t>
        </is>
      </c>
      <c r="F640" t="inlineStr">
        <is>
          <t>Kommuner</t>
        </is>
      </c>
      <c r="G640" t="n">
        <v>0.8</v>
      </c>
      <c r="H640" t="n">
        <v>0</v>
      </c>
      <c r="I640" t="n">
        <v>0</v>
      </c>
      <c r="J640" t="n">
        <v>0</v>
      </c>
      <c r="K640" t="n">
        <v>0</v>
      </c>
      <c r="L640" t="n">
        <v>0</v>
      </c>
      <c r="M640" t="n">
        <v>0</v>
      </c>
      <c r="N640" t="n">
        <v>0</v>
      </c>
      <c r="O640" t="n">
        <v>0</v>
      </c>
      <c r="P640" t="n">
        <v>0</v>
      </c>
      <c r="Q640" t="n">
        <v>0</v>
      </c>
      <c r="R640" s="2" t="inlineStr"/>
    </row>
    <row r="641" ht="15" customHeight="1">
      <c r="A641" t="inlineStr">
        <is>
          <t>A 19065-2022</t>
        </is>
      </c>
      <c r="B641" s="1" t="n">
        <v>44691.44309027777</v>
      </c>
      <c r="C641" s="1" t="n">
        <v>46049</v>
      </c>
      <c r="D641" t="inlineStr">
        <is>
          <t>VÄSTMANLANDS LÄN</t>
        </is>
      </c>
      <c r="E641" t="inlineStr">
        <is>
          <t>SALA</t>
        </is>
      </c>
      <c r="G641" t="n">
        <v>3.4</v>
      </c>
      <c r="H641" t="n">
        <v>0</v>
      </c>
      <c r="I641" t="n">
        <v>0</v>
      </c>
      <c r="J641" t="n">
        <v>0</v>
      </c>
      <c r="K641" t="n">
        <v>0</v>
      </c>
      <c r="L641" t="n">
        <v>0</v>
      </c>
      <c r="M641" t="n">
        <v>0</v>
      </c>
      <c r="N641" t="n">
        <v>0</v>
      </c>
      <c r="O641" t="n">
        <v>0</v>
      </c>
      <c r="P641" t="n">
        <v>0</v>
      </c>
      <c r="Q641" t="n">
        <v>0</v>
      </c>
      <c r="R641" s="2" t="inlineStr"/>
    </row>
    <row r="642" ht="15" customHeight="1">
      <c r="A642" t="inlineStr">
        <is>
          <t>A 22961-2023</t>
        </is>
      </c>
      <c r="B642" s="1" t="n">
        <v>45072</v>
      </c>
      <c r="C642" s="1" t="n">
        <v>46049</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22963-2023</t>
        </is>
      </c>
      <c r="B643" s="1" t="n">
        <v>45072</v>
      </c>
      <c r="C643" s="1" t="n">
        <v>46049</v>
      </c>
      <c r="D643" t="inlineStr">
        <is>
          <t>VÄSTMANLANDS LÄN</t>
        </is>
      </c>
      <c r="E643" t="inlineStr">
        <is>
          <t>SALA</t>
        </is>
      </c>
      <c r="G643" t="n">
        <v>1.2</v>
      </c>
      <c r="H643" t="n">
        <v>0</v>
      </c>
      <c r="I643" t="n">
        <v>0</v>
      </c>
      <c r="J643" t="n">
        <v>0</v>
      </c>
      <c r="K643" t="n">
        <v>0</v>
      </c>
      <c r="L643" t="n">
        <v>0</v>
      </c>
      <c r="M643" t="n">
        <v>0</v>
      </c>
      <c r="N643" t="n">
        <v>0</v>
      </c>
      <c r="O643" t="n">
        <v>0</v>
      </c>
      <c r="P643" t="n">
        <v>0</v>
      </c>
      <c r="Q643" t="n">
        <v>0</v>
      </c>
      <c r="R643" s="2" t="inlineStr"/>
    </row>
    <row r="644" ht="15" customHeight="1">
      <c r="A644" t="inlineStr">
        <is>
          <t>A 10585-2022</t>
        </is>
      </c>
      <c r="B644" s="1" t="n">
        <v>44624</v>
      </c>
      <c r="C644" s="1" t="n">
        <v>46049</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69236-2021</t>
        </is>
      </c>
      <c r="B645" s="1" t="n">
        <v>44531.4047337963</v>
      </c>
      <c r="C645" s="1" t="n">
        <v>46049</v>
      </c>
      <c r="D645" t="inlineStr">
        <is>
          <t>VÄSTMANLANDS LÄN</t>
        </is>
      </c>
      <c r="E645" t="inlineStr">
        <is>
          <t>SALA</t>
        </is>
      </c>
      <c r="G645" t="n">
        <v>2.8</v>
      </c>
      <c r="H645" t="n">
        <v>0</v>
      </c>
      <c r="I645" t="n">
        <v>0</v>
      </c>
      <c r="J645" t="n">
        <v>0</v>
      </c>
      <c r="K645" t="n">
        <v>0</v>
      </c>
      <c r="L645" t="n">
        <v>0</v>
      </c>
      <c r="M645" t="n">
        <v>0</v>
      </c>
      <c r="N645" t="n">
        <v>0</v>
      </c>
      <c r="O645" t="n">
        <v>0</v>
      </c>
      <c r="P645" t="n">
        <v>0</v>
      </c>
      <c r="Q645" t="n">
        <v>0</v>
      </c>
      <c r="R645" s="2" t="inlineStr"/>
    </row>
    <row r="646" ht="15" customHeight="1">
      <c r="A646" t="inlineStr">
        <is>
          <t>A 48117-2024</t>
        </is>
      </c>
      <c r="B646" s="1" t="n">
        <v>45589</v>
      </c>
      <c r="C646" s="1" t="n">
        <v>46049</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12225-2023</t>
        </is>
      </c>
      <c r="B647" s="1" t="n">
        <v>44995</v>
      </c>
      <c r="C647" s="1" t="n">
        <v>46049</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12252-2023</t>
        </is>
      </c>
      <c r="B648" s="1" t="n">
        <v>44995</v>
      </c>
      <c r="C648" s="1" t="n">
        <v>46049</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6116-2023</t>
        </is>
      </c>
      <c r="B649" s="1" t="n">
        <v>44964</v>
      </c>
      <c r="C649" s="1" t="n">
        <v>46049</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18100-2023</t>
        </is>
      </c>
      <c r="B650" s="1" t="n">
        <v>45040</v>
      </c>
      <c r="C650" s="1" t="n">
        <v>46049</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13471-2025</t>
        </is>
      </c>
      <c r="B651" s="1" t="n">
        <v>45736.40579861111</v>
      </c>
      <c r="C651" s="1" t="n">
        <v>46049</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26854-2024</t>
        </is>
      </c>
      <c r="B652" s="1" t="n">
        <v>45470</v>
      </c>
      <c r="C652" s="1" t="n">
        <v>46049</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37602-2024</t>
        </is>
      </c>
      <c r="B653" s="1" t="n">
        <v>45541</v>
      </c>
      <c r="C653" s="1" t="n">
        <v>46049</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1985-2022</t>
        </is>
      </c>
      <c r="B654" s="1" t="n">
        <v>44575</v>
      </c>
      <c r="C654" s="1" t="n">
        <v>46049</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6308-2021</t>
        </is>
      </c>
      <c r="B655" s="1" t="n">
        <v>44235</v>
      </c>
      <c r="C655" s="1" t="n">
        <v>46049</v>
      </c>
      <c r="D655" t="inlineStr">
        <is>
          <t>VÄSTMANLANDS LÄN</t>
        </is>
      </c>
      <c r="E655" t="inlineStr">
        <is>
          <t>SALA</t>
        </is>
      </c>
      <c r="G655" t="n">
        <v>1.4</v>
      </c>
      <c r="H655" t="n">
        <v>0</v>
      </c>
      <c r="I655" t="n">
        <v>0</v>
      </c>
      <c r="J655" t="n">
        <v>0</v>
      </c>
      <c r="K655" t="n">
        <v>0</v>
      </c>
      <c r="L655" t="n">
        <v>0</v>
      </c>
      <c r="M655" t="n">
        <v>0</v>
      </c>
      <c r="N655" t="n">
        <v>0</v>
      </c>
      <c r="O655" t="n">
        <v>0</v>
      </c>
      <c r="P655" t="n">
        <v>0</v>
      </c>
      <c r="Q655" t="n">
        <v>0</v>
      </c>
      <c r="R655" s="2" t="inlineStr"/>
    </row>
    <row r="656" ht="15" customHeight="1">
      <c r="A656" t="inlineStr">
        <is>
          <t>A 21455-2023</t>
        </is>
      </c>
      <c r="B656" s="1" t="n">
        <v>45058</v>
      </c>
      <c r="C656" s="1" t="n">
        <v>46049</v>
      </c>
      <c r="D656" t="inlineStr">
        <is>
          <t>VÄSTMANLANDS LÄN</t>
        </is>
      </c>
      <c r="E656" t="inlineStr">
        <is>
          <t>SALA</t>
        </is>
      </c>
      <c r="G656" t="n">
        <v>6.4</v>
      </c>
      <c r="H656" t="n">
        <v>0</v>
      </c>
      <c r="I656" t="n">
        <v>0</v>
      </c>
      <c r="J656" t="n">
        <v>0</v>
      </c>
      <c r="K656" t="n">
        <v>0</v>
      </c>
      <c r="L656" t="n">
        <v>0</v>
      </c>
      <c r="M656" t="n">
        <v>0</v>
      </c>
      <c r="N656" t="n">
        <v>0</v>
      </c>
      <c r="O656" t="n">
        <v>0</v>
      </c>
      <c r="P656" t="n">
        <v>0</v>
      </c>
      <c r="Q656" t="n">
        <v>0</v>
      </c>
      <c r="R656" s="2" t="inlineStr"/>
    </row>
    <row r="657" ht="15" customHeight="1">
      <c r="A657" t="inlineStr">
        <is>
          <t>A 4797-2023</t>
        </is>
      </c>
      <c r="B657" s="1" t="n">
        <v>44957</v>
      </c>
      <c r="C657" s="1" t="n">
        <v>46049</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4852-2023</t>
        </is>
      </c>
      <c r="B658" s="1" t="n">
        <v>44957.72496527778</v>
      </c>
      <c r="C658" s="1" t="n">
        <v>46049</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36858-2023</t>
        </is>
      </c>
      <c r="B659" s="1" t="n">
        <v>45154.55184027777</v>
      </c>
      <c r="C659" s="1" t="n">
        <v>46049</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58701-2021</t>
        </is>
      </c>
      <c r="B660" s="1" t="n">
        <v>44489.46454861111</v>
      </c>
      <c r="C660" s="1" t="n">
        <v>46049</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37337-2024</t>
        </is>
      </c>
      <c r="B661" s="1" t="n">
        <v>45540</v>
      </c>
      <c r="C661" s="1" t="n">
        <v>46049</v>
      </c>
      <c r="D661" t="inlineStr">
        <is>
          <t>VÄSTMANLANDS LÄN</t>
        </is>
      </c>
      <c r="E661" t="inlineStr">
        <is>
          <t>SALA</t>
        </is>
      </c>
      <c r="G661" t="n">
        <v>6.5</v>
      </c>
      <c r="H661" t="n">
        <v>0</v>
      </c>
      <c r="I661" t="n">
        <v>0</v>
      </c>
      <c r="J661" t="n">
        <v>0</v>
      </c>
      <c r="K661" t="n">
        <v>0</v>
      </c>
      <c r="L661" t="n">
        <v>0</v>
      </c>
      <c r="M661" t="n">
        <v>0</v>
      </c>
      <c r="N661" t="n">
        <v>0</v>
      </c>
      <c r="O661" t="n">
        <v>0</v>
      </c>
      <c r="P661" t="n">
        <v>0</v>
      </c>
      <c r="Q661" t="n">
        <v>0</v>
      </c>
      <c r="R661" s="2" t="inlineStr"/>
    </row>
    <row r="662" ht="15" customHeight="1">
      <c r="A662" t="inlineStr">
        <is>
          <t>A 10250-2025</t>
        </is>
      </c>
      <c r="B662" s="1" t="n">
        <v>45720.36165509259</v>
      </c>
      <c r="C662" s="1" t="n">
        <v>46049</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23180-2022</t>
        </is>
      </c>
      <c r="B663" s="1" t="n">
        <v>44719.79344907407</v>
      </c>
      <c r="C663" s="1" t="n">
        <v>46049</v>
      </c>
      <c r="D663" t="inlineStr">
        <is>
          <t>VÄSTMANLANDS LÄN</t>
        </is>
      </c>
      <c r="E663" t="inlineStr">
        <is>
          <t>SALA</t>
        </is>
      </c>
      <c r="G663" t="n">
        <v>1.2</v>
      </c>
      <c r="H663" t="n">
        <v>0</v>
      </c>
      <c r="I663" t="n">
        <v>0</v>
      </c>
      <c r="J663" t="n">
        <v>0</v>
      </c>
      <c r="K663" t="n">
        <v>0</v>
      </c>
      <c r="L663" t="n">
        <v>0</v>
      </c>
      <c r="M663" t="n">
        <v>0</v>
      </c>
      <c r="N663" t="n">
        <v>0</v>
      </c>
      <c r="O663" t="n">
        <v>0</v>
      </c>
      <c r="P663" t="n">
        <v>0</v>
      </c>
      <c r="Q663" t="n">
        <v>0</v>
      </c>
      <c r="R663" s="2" t="inlineStr"/>
    </row>
    <row r="664" ht="15" customHeight="1">
      <c r="A664" t="inlineStr">
        <is>
          <t>A 21053-2022</t>
        </is>
      </c>
      <c r="B664" s="1" t="n">
        <v>44704</v>
      </c>
      <c r="C664" s="1" t="n">
        <v>46049</v>
      </c>
      <c r="D664" t="inlineStr">
        <is>
          <t>VÄSTMANLANDS LÄN</t>
        </is>
      </c>
      <c r="E664" t="inlineStr">
        <is>
          <t>SALA</t>
        </is>
      </c>
      <c r="G664" t="n">
        <v>2</v>
      </c>
      <c r="H664" t="n">
        <v>0</v>
      </c>
      <c r="I664" t="n">
        <v>0</v>
      </c>
      <c r="J664" t="n">
        <v>0</v>
      </c>
      <c r="K664" t="n">
        <v>0</v>
      </c>
      <c r="L664" t="n">
        <v>0</v>
      </c>
      <c r="M664" t="n">
        <v>0</v>
      </c>
      <c r="N664" t="n">
        <v>0</v>
      </c>
      <c r="O664" t="n">
        <v>0</v>
      </c>
      <c r="P664" t="n">
        <v>0</v>
      </c>
      <c r="Q664" t="n">
        <v>0</v>
      </c>
      <c r="R664" s="2" t="inlineStr"/>
    </row>
    <row r="665" ht="15" customHeight="1">
      <c r="A665" t="inlineStr">
        <is>
          <t>A 18340-2025</t>
        </is>
      </c>
      <c r="B665" s="1" t="n">
        <v>45762</v>
      </c>
      <c r="C665" s="1" t="n">
        <v>46049</v>
      </c>
      <c r="D665" t="inlineStr">
        <is>
          <t>VÄSTMANLANDS LÄN</t>
        </is>
      </c>
      <c r="E665" t="inlineStr">
        <is>
          <t>SALA</t>
        </is>
      </c>
      <c r="G665" t="n">
        <v>2.1</v>
      </c>
      <c r="H665" t="n">
        <v>0</v>
      </c>
      <c r="I665" t="n">
        <v>0</v>
      </c>
      <c r="J665" t="n">
        <v>0</v>
      </c>
      <c r="K665" t="n">
        <v>0</v>
      </c>
      <c r="L665" t="n">
        <v>0</v>
      </c>
      <c r="M665" t="n">
        <v>0</v>
      </c>
      <c r="N665" t="n">
        <v>0</v>
      </c>
      <c r="O665" t="n">
        <v>0</v>
      </c>
      <c r="P665" t="n">
        <v>0</v>
      </c>
      <c r="Q665" t="n">
        <v>0</v>
      </c>
      <c r="R665" s="2" t="inlineStr"/>
    </row>
    <row r="666" ht="15" customHeight="1">
      <c r="A666" t="inlineStr">
        <is>
          <t>A 16638-2023</t>
        </is>
      </c>
      <c r="B666" s="1" t="n">
        <v>45027</v>
      </c>
      <c r="C666" s="1" t="n">
        <v>46049</v>
      </c>
      <c r="D666" t="inlineStr">
        <is>
          <t>VÄSTMANLANDS LÄN</t>
        </is>
      </c>
      <c r="E666" t="inlineStr">
        <is>
          <t>SALA</t>
        </is>
      </c>
      <c r="G666" t="n">
        <v>14.8</v>
      </c>
      <c r="H666" t="n">
        <v>0</v>
      </c>
      <c r="I666" t="n">
        <v>0</v>
      </c>
      <c r="J666" t="n">
        <v>0</v>
      </c>
      <c r="K666" t="n">
        <v>0</v>
      </c>
      <c r="L666" t="n">
        <v>0</v>
      </c>
      <c r="M666" t="n">
        <v>0</v>
      </c>
      <c r="N666" t="n">
        <v>0</v>
      </c>
      <c r="O666" t="n">
        <v>0</v>
      </c>
      <c r="P666" t="n">
        <v>0</v>
      </c>
      <c r="Q666" t="n">
        <v>0</v>
      </c>
      <c r="R666" s="2" t="inlineStr"/>
    </row>
    <row r="667" ht="15" customHeight="1">
      <c r="A667" t="inlineStr">
        <is>
          <t>A 17117-2023</t>
        </is>
      </c>
      <c r="B667" s="1" t="n">
        <v>45034</v>
      </c>
      <c r="C667" s="1" t="n">
        <v>46049</v>
      </c>
      <c r="D667" t="inlineStr">
        <is>
          <t>VÄSTMANLANDS LÄN</t>
        </is>
      </c>
      <c r="E667" t="inlineStr">
        <is>
          <t>SALA</t>
        </is>
      </c>
      <c r="G667" t="n">
        <v>0.4</v>
      </c>
      <c r="H667" t="n">
        <v>0</v>
      </c>
      <c r="I667" t="n">
        <v>0</v>
      </c>
      <c r="J667" t="n">
        <v>0</v>
      </c>
      <c r="K667" t="n">
        <v>0</v>
      </c>
      <c r="L667" t="n">
        <v>0</v>
      </c>
      <c r="M667" t="n">
        <v>0</v>
      </c>
      <c r="N667" t="n">
        <v>0</v>
      </c>
      <c r="O667" t="n">
        <v>0</v>
      </c>
      <c r="P667" t="n">
        <v>0</v>
      </c>
      <c r="Q667" t="n">
        <v>0</v>
      </c>
      <c r="R667" s="2" t="inlineStr"/>
    </row>
    <row r="668" ht="15" customHeight="1">
      <c r="A668" t="inlineStr">
        <is>
          <t>A 59909-2024</t>
        </is>
      </c>
      <c r="B668" s="1" t="n">
        <v>45641</v>
      </c>
      <c r="C668" s="1" t="n">
        <v>46049</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30028-2024</t>
        </is>
      </c>
      <c r="B669" s="1" t="n">
        <v>45485</v>
      </c>
      <c r="C669" s="1" t="n">
        <v>46049</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33309-2022</t>
        </is>
      </c>
      <c r="B670" s="1" t="n">
        <v>44788.40986111111</v>
      </c>
      <c r="C670" s="1" t="n">
        <v>46049</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7377-2023</t>
        </is>
      </c>
      <c r="B671" s="1" t="n">
        <v>44971</v>
      </c>
      <c r="C671" s="1" t="n">
        <v>46049</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27229-2022</t>
        </is>
      </c>
      <c r="B672" s="1" t="n">
        <v>44741</v>
      </c>
      <c r="C672" s="1" t="n">
        <v>46049</v>
      </c>
      <c r="D672" t="inlineStr">
        <is>
          <t>VÄSTMANLANDS LÄN</t>
        </is>
      </c>
      <c r="E672" t="inlineStr">
        <is>
          <t>SALA</t>
        </is>
      </c>
      <c r="F672" t="inlineStr">
        <is>
          <t>Kommuner</t>
        </is>
      </c>
      <c r="G672" t="n">
        <v>1.4</v>
      </c>
      <c r="H672" t="n">
        <v>0</v>
      </c>
      <c r="I672" t="n">
        <v>0</v>
      </c>
      <c r="J672" t="n">
        <v>0</v>
      </c>
      <c r="K672" t="n">
        <v>0</v>
      </c>
      <c r="L672" t="n">
        <v>0</v>
      </c>
      <c r="M672" t="n">
        <v>0</v>
      </c>
      <c r="N672" t="n">
        <v>0</v>
      </c>
      <c r="O672" t="n">
        <v>0</v>
      </c>
      <c r="P672" t="n">
        <v>0</v>
      </c>
      <c r="Q672" t="n">
        <v>0</v>
      </c>
      <c r="R672" s="2" t="inlineStr"/>
    </row>
    <row r="673" ht="15" customHeight="1">
      <c r="A673" t="inlineStr">
        <is>
          <t>A 24755-2021</t>
        </is>
      </c>
      <c r="B673" s="1" t="n">
        <v>44340</v>
      </c>
      <c r="C673" s="1" t="n">
        <v>46049</v>
      </c>
      <c r="D673" t="inlineStr">
        <is>
          <t>VÄSTMANLANDS LÄN</t>
        </is>
      </c>
      <c r="E673" t="inlineStr">
        <is>
          <t>SALA</t>
        </is>
      </c>
      <c r="G673" t="n">
        <v>1.2</v>
      </c>
      <c r="H673" t="n">
        <v>0</v>
      </c>
      <c r="I673" t="n">
        <v>0</v>
      </c>
      <c r="J673" t="n">
        <v>0</v>
      </c>
      <c r="K673" t="n">
        <v>0</v>
      </c>
      <c r="L673" t="n">
        <v>0</v>
      </c>
      <c r="M673" t="n">
        <v>0</v>
      </c>
      <c r="N673" t="n">
        <v>0</v>
      </c>
      <c r="O673" t="n">
        <v>0</v>
      </c>
      <c r="P673" t="n">
        <v>0</v>
      </c>
      <c r="Q673" t="n">
        <v>0</v>
      </c>
      <c r="R673" s="2" t="inlineStr"/>
    </row>
    <row r="674" ht="15" customHeight="1">
      <c r="A674" t="inlineStr">
        <is>
          <t>A 34867-2023</t>
        </is>
      </c>
      <c r="B674" s="1" t="n">
        <v>45142.33481481481</v>
      </c>
      <c r="C674" s="1" t="n">
        <v>46049</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25748-2022</t>
        </is>
      </c>
      <c r="B675" s="1" t="n">
        <v>44732</v>
      </c>
      <c r="C675" s="1" t="n">
        <v>46049</v>
      </c>
      <c r="D675" t="inlineStr">
        <is>
          <t>VÄSTMANLANDS LÄN</t>
        </is>
      </c>
      <c r="E675" t="inlineStr">
        <is>
          <t>SALA</t>
        </is>
      </c>
      <c r="G675" t="n">
        <v>7.7</v>
      </c>
      <c r="H675" t="n">
        <v>0</v>
      </c>
      <c r="I675" t="n">
        <v>0</v>
      </c>
      <c r="J675" t="n">
        <v>0</v>
      </c>
      <c r="K675" t="n">
        <v>0</v>
      </c>
      <c r="L675" t="n">
        <v>0</v>
      </c>
      <c r="M675" t="n">
        <v>0</v>
      </c>
      <c r="N675" t="n">
        <v>0</v>
      </c>
      <c r="O675" t="n">
        <v>0</v>
      </c>
      <c r="P675" t="n">
        <v>0</v>
      </c>
      <c r="Q675" t="n">
        <v>0</v>
      </c>
      <c r="R675" s="2" t="inlineStr"/>
    </row>
    <row r="676" ht="15" customHeight="1">
      <c r="A676" t="inlineStr">
        <is>
          <t>A 49512-2024</t>
        </is>
      </c>
      <c r="B676" s="1" t="n">
        <v>45591</v>
      </c>
      <c r="C676" s="1" t="n">
        <v>46049</v>
      </c>
      <c r="D676" t="inlineStr">
        <is>
          <t>VÄSTMANLANDS LÄN</t>
        </is>
      </c>
      <c r="E676" t="inlineStr">
        <is>
          <t>SALA</t>
        </is>
      </c>
      <c r="G676" t="n">
        <v>8.1</v>
      </c>
      <c r="H676" t="n">
        <v>0</v>
      </c>
      <c r="I676" t="n">
        <v>0</v>
      </c>
      <c r="J676" t="n">
        <v>0</v>
      </c>
      <c r="K676" t="n">
        <v>0</v>
      </c>
      <c r="L676" t="n">
        <v>0</v>
      </c>
      <c r="M676" t="n">
        <v>0</v>
      </c>
      <c r="N676" t="n">
        <v>0</v>
      </c>
      <c r="O676" t="n">
        <v>0</v>
      </c>
      <c r="P676" t="n">
        <v>0</v>
      </c>
      <c r="Q676" t="n">
        <v>0</v>
      </c>
      <c r="R676" s="2" t="inlineStr"/>
    </row>
    <row r="677" ht="15" customHeight="1">
      <c r="A677" t="inlineStr">
        <is>
          <t>A 13128-2023</t>
        </is>
      </c>
      <c r="B677" s="1" t="n">
        <v>45002</v>
      </c>
      <c r="C677" s="1" t="n">
        <v>46049</v>
      </c>
      <c r="D677" t="inlineStr">
        <is>
          <t>VÄSTMANLANDS LÄN</t>
        </is>
      </c>
      <c r="E677" t="inlineStr">
        <is>
          <t>SALA</t>
        </is>
      </c>
      <c r="G677" t="n">
        <v>7.9</v>
      </c>
      <c r="H677" t="n">
        <v>0</v>
      </c>
      <c r="I677" t="n">
        <v>0</v>
      </c>
      <c r="J677" t="n">
        <v>0</v>
      </c>
      <c r="K677" t="n">
        <v>0</v>
      </c>
      <c r="L677" t="n">
        <v>0</v>
      </c>
      <c r="M677" t="n">
        <v>0</v>
      </c>
      <c r="N677" t="n">
        <v>0</v>
      </c>
      <c r="O677" t="n">
        <v>0</v>
      </c>
      <c r="P677" t="n">
        <v>0</v>
      </c>
      <c r="Q677" t="n">
        <v>0</v>
      </c>
      <c r="R677" s="2" t="inlineStr"/>
    </row>
    <row r="678" ht="15" customHeight="1">
      <c r="A678" t="inlineStr">
        <is>
          <t>A 37958-2024</t>
        </is>
      </c>
      <c r="B678" s="1" t="n">
        <v>45544</v>
      </c>
      <c r="C678" s="1" t="n">
        <v>46049</v>
      </c>
      <c r="D678" t="inlineStr">
        <is>
          <t>VÄSTMANLANDS LÄN</t>
        </is>
      </c>
      <c r="E678" t="inlineStr">
        <is>
          <t>SALA</t>
        </is>
      </c>
      <c r="G678" t="n">
        <v>5.6</v>
      </c>
      <c r="H678" t="n">
        <v>0</v>
      </c>
      <c r="I678" t="n">
        <v>0</v>
      </c>
      <c r="J678" t="n">
        <v>0</v>
      </c>
      <c r="K678" t="n">
        <v>0</v>
      </c>
      <c r="L678" t="n">
        <v>0</v>
      </c>
      <c r="M678" t="n">
        <v>0</v>
      </c>
      <c r="N678" t="n">
        <v>0</v>
      </c>
      <c r="O678" t="n">
        <v>0</v>
      </c>
      <c r="P678" t="n">
        <v>0</v>
      </c>
      <c r="Q678" t="n">
        <v>0</v>
      </c>
      <c r="R678" s="2" t="inlineStr"/>
    </row>
    <row r="679" ht="15" customHeight="1">
      <c r="A679" t="inlineStr">
        <is>
          <t>A 18431-2023</t>
        </is>
      </c>
      <c r="B679" s="1" t="n">
        <v>45042</v>
      </c>
      <c r="C679" s="1" t="n">
        <v>46049</v>
      </c>
      <c r="D679" t="inlineStr">
        <is>
          <t>VÄSTMANLANDS LÄN</t>
        </is>
      </c>
      <c r="E679" t="inlineStr">
        <is>
          <t>SALA</t>
        </is>
      </c>
      <c r="G679" t="n">
        <v>1.9</v>
      </c>
      <c r="H679" t="n">
        <v>0</v>
      </c>
      <c r="I679" t="n">
        <v>0</v>
      </c>
      <c r="J679" t="n">
        <v>0</v>
      </c>
      <c r="K679" t="n">
        <v>0</v>
      </c>
      <c r="L679" t="n">
        <v>0</v>
      </c>
      <c r="M679" t="n">
        <v>0</v>
      </c>
      <c r="N679" t="n">
        <v>0</v>
      </c>
      <c r="O679" t="n">
        <v>0</v>
      </c>
      <c r="P679" t="n">
        <v>0</v>
      </c>
      <c r="Q679" t="n">
        <v>0</v>
      </c>
      <c r="R679" s="2" t="inlineStr"/>
    </row>
    <row r="680" ht="15" customHeight="1">
      <c r="A680" t="inlineStr">
        <is>
          <t>A 57650-2024</t>
        </is>
      </c>
      <c r="B680" s="1" t="n">
        <v>45630</v>
      </c>
      <c r="C680" s="1" t="n">
        <v>46049</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10255-2024</t>
        </is>
      </c>
      <c r="B681" s="1" t="n">
        <v>45365</v>
      </c>
      <c r="C681" s="1" t="n">
        <v>46049</v>
      </c>
      <c r="D681" t="inlineStr">
        <is>
          <t>VÄSTMANLANDS LÄN</t>
        </is>
      </c>
      <c r="E681" t="inlineStr">
        <is>
          <t>SALA</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28696-2023</t>
        </is>
      </c>
      <c r="B682" s="1" t="n">
        <v>45103.71759259259</v>
      </c>
      <c r="C682" s="1" t="n">
        <v>46049</v>
      </c>
      <c r="D682" t="inlineStr">
        <is>
          <t>VÄSTMANLANDS LÄN</t>
        </is>
      </c>
      <c r="E682" t="inlineStr">
        <is>
          <t>SALA</t>
        </is>
      </c>
      <c r="F682" t="inlineStr">
        <is>
          <t>Kommuner</t>
        </is>
      </c>
      <c r="G682" t="n">
        <v>5.9</v>
      </c>
      <c r="H682" t="n">
        <v>0</v>
      </c>
      <c r="I682" t="n">
        <v>0</v>
      </c>
      <c r="J682" t="n">
        <v>0</v>
      </c>
      <c r="K682" t="n">
        <v>0</v>
      </c>
      <c r="L682" t="n">
        <v>0</v>
      </c>
      <c r="M682" t="n">
        <v>0</v>
      </c>
      <c r="N682" t="n">
        <v>0</v>
      </c>
      <c r="O682" t="n">
        <v>0</v>
      </c>
      <c r="P682" t="n">
        <v>0</v>
      </c>
      <c r="Q682" t="n">
        <v>0</v>
      </c>
      <c r="R682" s="2" t="inlineStr"/>
    </row>
    <row r="683" ht="15" customHeight="1">
      <c r="A683" t="inlineStr">
        <is>
          <t>A 31072-2021</t>
        </is>
      </c>
      <c r="B683" s="1" t="n">
        <v>44368</v>
      </c>
      <c r="C683" s="1" t="n">
        <v>46049</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46049</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22523-2023</t>
        </is>
      </c>
      <c r="B685" s="1" t="n">
        <v>45069</v>
      </c>
      <c r="C685" s="1" t="n">
        <v>46049</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4663-2022</t>
        </is>
      </c>
      <c r="B686" s="1" t="n">
        <v>44592.45429398148</v>
      </c>
      <c r="C686" s="1" t="n">
        <v>46049</v>
      </c>
      <c r="D686" t="inlineStr">
        <is>
          <t>VÄSTMANLANDS LÄN</t>
        </is>
      </c>
      <c r="E686" t="inlineStr">
        <is>
          <t>SALA</t>
        </is>
      </c>
      <c r="G686" t="n">
        <v>2.5</v>
      </c>
      <c r="H686" t="n">
        <v>0</v>
      </c>
      <c r="I686" t="n">
        <v>0</v>
      </c>
      <c r="J686" t="n">
        <v>0</v>
      </c>
      <c r="K686" t="n">
        <v>0</v>
      </c>
      <c r="L686" t="n">
        <v>0</v>
      </c>
      <c r="M686" t="n">
        <v>0</v>
      </c>
      <c r="N686" t="n">
        <v>0</v>
      </c>
      <c r="O686" t="n">
        <v>0</v>
      </c>
      <c r="P686" t="n">
        <v>0</v>
      </c>
      <c r="Q686" t="n">
        <v>0</v>
      </c>
      <c r="R686" s="2" t="inlineStr"/>
    </row>
    <row r="687" ht="15" customHeight="1">
      <c r="A687" t="inlineStr">
        <is>
          <t>A 6132-2025</t>
        </is>
      </c>
      <c r="B687" s="1" t="n">
        <v>45698</v>
      </c>
      <c r="C687" s="1" t="n">
        <v>46049</v>
      </c>
      <c r="D687" t="inlineStr">
        <is>
          <t>VÄSTMANLANDS LÄN</t>
        </is>
      </c>
      <c r="E687" t="inlineStr">
        <is>
          <t>SALA</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31859-2023</t>
        </is>
      </c>
      <c r="B688" s="1" t="n">
        <v>45118</v>
      </c>
      <c r="C688" s="1" t="n">
        <v>46049</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c r="U688">
        <f>HYPERLINK("https://klasma.github.io/Logging_1981/knärot/A 31859-2023 karta knärot.png", "A 31859-2023")</f>
        <v/>
      </c>
      <c r="V688">
        <f>HYPERLINK("https://klasma.github.io/Logging_1981/klagomål/A 31859-2023 FSC-klagomål.docx", "A 31859-2023")</f>
        <v/>
      </c>
      <c r="W688">
        <f>HYPERLINK("https://klasma.github.io/Logging_1981/klagomålsmail/A 31859-2023 FSC-klagomål mail.docx", "A 31859-2023")</f>
        <v/>
      </c>
      <c r="X688">
        <f>HYPERLINK("https://klasma.github.io/Logging_1981/tillsyn/A 31859-2023 tillsynsbegäran.docx", "A 31859-2023")</f>
        <v/>
      </c>
      <c r="Y688">
        <f>HYPERLINK("https://klasma.github.io/Logging_1981/tillsynsmail/A 31859-2023 tillsynsbegäran mail.docx", "A 31859-2023")</f>
        <v/>
      </c>
    </row>
    <row r="689" ht="15" customHeight="1">
      <c r="A689" t="inlineStr">
        <is>
          <t>A 61681-2024</t>
        </is>
      </c>
      <c r="B689" s="1" t="n">
        <v>45647</v>
      </c>
      <c r="C689" s="1" t="n">
        <v>46049</v>
      </c>
      <c r="D689" t="inlineStr">
        <is>
          <t>VÄSTMANLANDS LÄN</t>
        </is>
      </c>
      <c r="E689" t="inlineStr">
        <is>
          <t>SALA</t>
        </is>
      </c>
      <c r="F689" t="inlineStr">
        <is>
          <t>Kommuner</t>
        </is>
      </c>
      <c r="G689" t="n">
        <v>1</v>
      </c>
      <c r="H689" t="n">
        <v>0</v>
      </c>
      <c r="I689" t="n">
        <v>0</v>
      </c>
      <c r="J689" t="n">
        <v>0</v>
      </c>
      <c r="K689" t="n">
        <v>0</v>
      </c>
      <c r="L689" t="n">
        <v>0</v>
      </c>
      <c r="M689" t="n">
        <v>0</v>
      </c>
      <c r="N689" t="n">
        <v>0</v>
      </c>
      <c r="O689" t="n">
        <v>0</v>
      </c>
      <c r="P689" t="n">
        <v>0</v>
      </c>
      <c r="Q689" t="n">
        <v>0</v>
      </c>
      <c r="R689" s="2" t="inlineStr"/>
    </row>
    <row r="690" ht="15" customHeight="1">
      <c r="A690" t="inlineStr">
        <is>
          <t>A 54960-2024</t>
        </is>
      </c>
      <c r="B690" s="1" t="n">
        <v>45619.85208333333</v>
      </c>
      <c r="C690" s="1" t="n">
        <v>46049</v>
      </c>
      <c r="D690" t="inlineStr">
        <is>
          <t>VÄSTMANLANDS LÄN</t>
        </is>
      </c>
      <c r="E690" t="inlineStr">
        <is>
          <t>SALA</t>
        </is>
      </c>
      <c r="G690" t="n">
        <v>2.6</v>
      </c>
      <c r="H690" t="n">
        <v>0</v>
      </c>
      <c r="I690" t="n">
        <v>0</v>
      </c>
      <c r="J690" t="n">
        <v>0</v>
      </c>
      <c r="K690" t="n">
        <v>0</v>
      </c>
      <c r="L690" t="n">
        <v>0</v>
      </c>
      <c r="M690" t="n">
        <v>0</v>
      </c>
      <c r="N690" t="n">
        <v>0</v>
      </c>
      <c r="O690" t="n">
        <v>0</v>
      </c>
      <c r="P690" t="n">
        <v>0</v>
      </c>
      <c r="Q690" t="n">
        <v>0</v>
      </c>
      <c r="R690" s="2" t="inlineStr"/>
    </row>
    <row r="691" ht="15" customHeight="1">
      <c r="A691" t="inlineStr">
        <is>
          <t>A 31082-2021</t>
        </is>
      </c>
      <c r="B691" s="1" t="n">
        <v>44368</v>
      </c>
      <c r="C691" s="1" t="n">
        <v>46049</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20352-2022</t>
        </is>
      </c>
      <c r="B692" s="1" t="n">
        <v>44699.37318287037</v>
      </c>
      <c r="C692" s="1" t="n">
        <v>46049</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27657-2023</t>
        </is>
      </c>
      <c r="B693" s="1" t="n">
        <v>45097.76631944445</v>
      </c>
      <c r="C693" s="1" t="n">
        <v>46049</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2766-2024</t>
        </is>
      </c>
      <c r="B694" s="1" t="n">
        <v>45314.60950231482</v>
      </c>
      <c r="C694" s="1" t="n">
        <v>46049</v>
      </c>
      <c r="D694" t="inlineStr">
        <is>
          <t>VÄSTMANLANDS LÄN</t>
        </is>
      </c>
      <c r="E694" t="inlineStr">
        <is>
          <t>SALA</t>
        </is>
      </c>
      <c r="G694" t="n">
        <v>2.8</v>
      </c>
      <c r="H694" t="n">
        <v>0</v>
      </c>
      <c r="I694" t="n">
        <v>0</v>
      </c>
      <c r="J694" t="n">
        <v>0</v>
      </c>
      <c r="K694" t="n">
        <v>0</v>
      </c>
      <c r="L694" t="n">
        <v>0</v>
      </c>
      <c r="M694" t="n">
        <v>0</v>
      </c>
      <c r="N694" t="n">
        <v>0</v>
      </c>
      <c r="O694" t="n">
        <v>0</v>
      </c>
      <c r="P694" t="n">
        <v>0</v>
      </c>
      <c r="Q694" t="n">
        <v>0</v>
      </c>
      <c r="R694" s="2" t="inlineStr"/>
    </row>
    <row r="695" ht="15" customHeight="1">
      <c r="A695" t="inlineStr">
        <is>
          <t>A 60550-2024</t>
        </is>
      </c>
      <c r="B695" s="1" t="n">
        <v>45643</v>
      </c>
      <c r="C695" s="1" t="n">
        <v>46049</v>
      </c>
      <c r="D695" t="inlineStr">
        <is>
          <t>VÄSTMANLANDS LÄN</t>
        </is>
      </c>
      <c r="E695" t="inlineStr">
        <is>
          <t>SALA</t>
        </is>
      </c>
      <c r="G695" t="n">
        <v>0.6</v>
      </c>
      <c r="H695" t="n">
        <v>0</v>
      </c>
      <c r="I695" t="n">
        <v>0</v>
      </c>
      <c r="J695" t="n">
        <v>0</v>
      </c>
      <c r="K695" t="n">
        <v>0</v>
      </c>
      <c r="L695" t="n">
        <v>0</v>
      </c>
      <c r="M695" t="n">
        <v>0</v>
      </c>
      <c r="N695" t="n">
        <v>0</v>
      </c>
      <c r="O695" t="n">
        <v>0</v>
      </c>
      <c r="P695" t="n">
        <v>0</v>
      </c>
      <c r="Q695" t="n">
        <v>0</v>
      </c>
      <c r="R695" s="2" t="inlineStr"/>
    </row>
    <row r="696" ht="15" customHeight="1">
      <c r="A696" t="inlineStr">
        <is>
          <t>A 14690-2025</t>
        </is>
      </c>
      <c r="B696" s="1" t="n">
        <v>45742.58212962963</v>
      </c>
      <c r="C696" s="1" t="n">
        <v>46049</v>
      </c>
      <c r="D696" t="inlineStr">
        <is>
          <t>VÄSTMANLANDS LÄN</t>
        </is>
      </c>
      <c r="E696" t="inlineStr">
        <is>
          <t>SALA</t>
        </is>
      </c>
      <c r="G696" t="n">
        <v>3.4</v>
      </c>
      <c r="H696" t="n">
        <v>0</v>
      </c>
      <c r="I696" t="n">
        <v>0</v>
      </c>
      <c r="J696" t="n">
        <v>0</v>
      </c>
      <c r="K696" t="n">
        <v>0</v>
      </c>
      <c r="L696" t="n">
        <v>0</v>
      </c>
      <c r="M696" t="n">
        <v>0</v>
      </c>
      <c r="N696" t="n">
        <v>0</v>
      </c>
      <c r="O696" t="n">
        <v>0</v>
      </c>
      <c r="P696" t="n">
        <v>0</v>
      </c>
      <c r="Q696" t="n">
        <v>0</v>
      </c>
      <c r="R696" s="2" t="inlineStr"/>
    </row>
    <row r="697" ht="15" customHeight="1">
      <c r="A697" t="inlineStr">
        <is>
          <t>A 24175-2024</t>
        </is>
      </c>
      <c r="B697" s="1" t="n">
        <v>45456</v>
      </c>
      <c r="C697" s="1" t="n">
        <v>46049</v>
      </c>
      <c r="D697" t="inlineStr">
        <is>
          <t>VÄSTMANLANDS LÄN</t>
        </is>
      </c>
      <c r="E697" t="inlineStr">
        <is>
          <t>SALA</t>
        </is>
      </c>
      <c r="G697" t="n">
        <v>0.6</v>
      </c>
      <c r="H697" t="n">
        <v>0</v>
      </c>
      <c r="I697" t="n">
        <v>0</v>
      </c>
      <c r="J697" t="n">
        <v>0</v>
      </c>
      <c r="K697" t="n">
        <v>0</v>
      </c>
      <c r="L697" t="n">
        <v>0</v>
      </c>
      <c r="M697" t="n">
        <v>0</v>
      </c>
      <c r="N697" t="n">
        <v>0</v>
      </c>
      <c r="O697" t="n">
        <v>0</v>
      </c>
      <c r="P697" t="n">
        <v>0</v>
      </c>
      <c r="Q697" t="n">
        <v>0</v>
      </c>
      <c r="R697" s="2" t="inlineStr"/>
    </row>
    <row r="698" ht="15" customHeight="1">
      <c r="A698" t="inlineStr">
        <is>
          <t>A 62449-2023</t>
        </is>
      </c>
      <c r="B698" s="1" t="n">
        <v>45268.49008101852</v>
      </c>
      <c r="C698" s="1" t="n">
        <v>46049</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54910-2023</t>
        </is>
      </c>
      <c r="B699" s="1" t="n">
        <v>45229</v>
      </c>
      <c r="C699" s="1" t="n">
        <v>46049</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19222-2025</t>
        </is>
      </c>
      <c r="B700" s="1" t="n">
        <v>45769</v>
      </c>
      <c r="C700" s="1" t="n">
        <v>46049</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19241-2025</t>
        </is>
      </c>
      <c r="B701" s="1" t="n">
        <v>45769</v>
      </c>
      <c r="C701" s="1" t="n">
        <v>46049</v>
      </c>
      <c r="D701" t="inlineStr">
        <is>
          <t>VÄSTMANLANDS LÄN</t>
        </is>
      </c>
      <c r="E701" t="inlineStr">
        <is>
          <t>SALA</t>
        </is>
      </c>
      <c r="G701" t="n">
        <v>3.6</v>
      </c>
      <c r="H701" t="n">
        <v>0</v>
      </c>
      <c r="I701" t="n">
        <v>0</v>
      </c>
      <c r="J701" t="n">
        <v>0</v>
      </c>
      <c r="K701" t="n">
        <v>0</v>
      </c>
      <c r="L701" t="n">
        <v>0</v>
      </c>
      <c r="M701" t="n">
        <v>0</v>
      </c>
      <c r="N701" t="n">
        <v>0</v>
      </c>
      <c r="O701" t="n">
        <v>0</v>
      </c>
      <c r="P701" t="n">
        <v>0</v>
      </c>
      <c r="Q701" t="n">
        <v>0</v>
      </c>
      <c r="R701" s="2" t="inlineStr"/>
    </row>
    <row r="702" ht="15" customHeight="1">
      <c r="A702" t="inlineStr">
        <is>
          <t>A 26416-2023</t>
        </is>
      </c>
      <c r="B702" s="1" t="n">
        <v>45092.38087962963</v>
      </c>
      <c r="C702" s="1" t="n">
        <v>46049</v>
      </c>
      <c r="D702" t="inlineStr">
        <is>
          <t>VÄSTMANLANDS LÄN</t>
        </is>
      </c>
      <c r="E702" t="inlineStr">
        <is>
          <t>SALA</t>
        </is>
      </c>
      <c r="G702" t="n">
        <v>2.9</v>
      </c>
      <c r="H702" t="n">
        <v>0</v>
      </c>
      <c r="I702" t="n">
        <v>0</v>
      </c>
      <c r="J702" t="n">
        <v>0</v>
      </c>
      <c r="K702" t="n">
        <v>0</v>
      </c>
      <c r="L702" t="n">
        <v>0</v>
      </c>
      <c r="M702" t="n">
        <v>0</v>
      </c>
      <c r="N702" t="n">
        <v>0</v>
      </c>
      <c r="O702" t="n">
        <v>0</v>
      </c>
      <c r="P702" t="n">
        <v>0</v>
      </c>
      <c r="Q702" t="n">
        <v>0</v>
      </c>
      <c r="R702" s="2" t="inlineStr"/>
    </row>
    <row r="703" ht="15" customHeight="1">
      <c r="A703" t="inlineStr">
        <is>
          <t>A 26692-2023</t>
        </is>
      </c>
      <c r="B703" s="1" t="n">
        <v>45093.360625</v>
      </c>
      <c r="C703" s="1" t="n">
        <v>46049</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15681-2025</t>
        </is>
      </c>
      <c r="B704" s="1" t="n">
        <v>45748.45454861111</v>
      </c>
      <c r="C704" s="1" t="n">
        <v>46049</v>
      </c>
      <c r="D704" t="inlineStr">
        <is>
          <t>VÄSTMANLANDS LÄN</t>
        </is>
      </c>
      <c r="E704" t="inlineStr">
        <is>
          <t>SALA</t>
        </is>
      </c>
      <c r="F704" t="inlineStr">
        <is>
          <t>Bergvik skog öst AB</t>
        </is>
      </c>
      <c r="G704" t="n">
        <v>4.3</v>
      </c>
      <c r="H704" t="n">
        <v>0</v>
      </c>
      <c r="I704" t="n">
        <v>0</v>
      </c>
      <c r="J704" t="n">
        <v>0</v>
      </c>
      <c r="K704" t="n">
        <v>0</v>
      </c>
      <c r="L704" t="n">
        <v>0</v>
      </c>
      <c r="M704" t="n">
        <v>0</v>
      </c>
      <c r="N704" t="n">
        <v>0</v>
      </c>
      <c r="O704" t="n">
        <v>0</v>
      </c>
      <c r="P704" t="n">
        <v>0</v>
      </c>
      <c r="Q704" t="n">
        <v>0</v>
      </c>
      <c r="R704" s="2" t="inlineStr"/>
    </row>
    <row r="705" ht="15" customHeight="1">
      <c r="A705" t="inlineStr">
        <is>
          <t>A 2925-2024</t>
        </is>
      </c>
      <c r="B705" s="1" t="n">
        <v>45315.58909722222</v>
      </c>
      <c r="C705" s="1" t="n">
        <v>46049</v>
      </c>
      <c r="D705" t="inlineStr">
        <is>
          <t>VÄSTMANLANDS LÄN</t>
        </is>
      </c>
      <c r="E705" t="inlineStr">
        <is>
          <t>SALA</t>
        </is>
      </c>
      <c r="G705" t="n">
        <v>1.3</v>
      </c>
      <c r="H705" t="n">
        <v>0</v>
      </c>
      <c r="I705" t="n">
        <v>0</v>
      </c>
      <c r="J705" t="n">
        <v>0</v>
      </c>
      <c r="K705" t="n">
        <v>0</v>
      </c>
      <c r="L705" t="n">
        <v>0</v>
      </c>
      <c r="M705" t="n">
        <v>0</v>
      </c>
      <c r="N705" t="n">
        <v>0</v>
      </c>
      <c r="O705" t="n">
        <v>0</v>
      </c>
      <c r="P705" t="n">
        <v>0</v>
      </c>
      <c r="Q705" t="n">
        <v>0</v>
      </c>
      <c r="R705" s="2" t="inlineStr"/>
    </row>
    <row r="706" ht="15" customHeight="1">
      <c r="A706" t="inlineStr">
        <is>
          <t>A 44746-2024</t>
        </is>
      </c>
      <c r="B706" s="1" t="n">
        <v>45574.59813657407</v>
      </c>
      <c r="C706" s="1" t="n">
        <v>46049</v>
      </c>
      <c r="D706" t="inlineStr">
        <is>
          <t>VÄSTMANLANDS LÄN</t>
        </is>
      </c>
      <c r="E706" t="inlineStr">
        <is>
          <t>SALA</t>
        </is>
      </c>
      <c r="G706" t="n">
        <v>6.7</v>
      </c>
      <c r="H706" t="n">
        <v>0</v>
      </c>
      <c r="I706" t="n">
        <v>0</v>
      </c>
      <c r="J706" t="n">
        <v>0</v>
      </c>
      <c r="K706" t="n">
        <v>0</v>
      </c>
      <c r="L706" t="n">
        <v>0</v>
      </c>
      <c r="M706" t="n">
        <v>0</v>
      </c>
      <c r="N706" t="n">
        <v>0</v>
      </c>
      <c r="O706" t="n">
        <v>0</v>
      </c>
      <c r="P706" t="n">
        <v>0</v>
      </c>
      <c r="Q706" t="n">
        <v>0</v>
      </c>
      <c r="R706" s="2" t="inlineStr"/>
    </row>
    <row r="707" ht="15" customHeight="1">
      <c r="A707" t="inlineStr">
        <is>
          <t>A 44713-2023</t>
        </is>
      </c>
      <c r="B707" s="1" t="n">
        <v>45184</v>
      </c>
      <c r="C707" s="1" t="n">
        <v>46049</v>
      </c>
      <c r="D707" t="inlineStr">
        <is>
          <t>VÄSTMANLANDS LÄN</t>
        </is>
      </c>
      <c r="E707" t="inlineStr">
        <is>
          <t>SALA</t>
        </is>
      </c>
      <c r="F707" t="inlineStr">
        <is>
          <t>Kyrkan</t>
        </is>
      </c>
      <c r="G707" t="n">
        <v>7.6</v>
      </c>
      <c r="H707" t="n">
        <v>0</v>
      </c>
      <c r="I707" t="n">
        <v>0</v>
      </c>
      <c r="J707" t="n">
        <v>0</v>
      </c>
      <c r="K707" t="n">
        <v>0</v>
      </c>
      <c r="L707" t="n">
        <v>0</v>
      </c>
      <c r="M707" t="n">
        <v>0</v>
      </c>
      <c r="N707" t="n">
        <v>0</v>
      </c>
      <c r="O707" t="n">
        <v>0</v>
      </c>
      <c r="P707" t="n">
        <v>0</v>
      </c>
      <c r="Q707" t="n">
        <v>0</v>
      </c>
      <c r="R707" s="2" t="inlineStr"/>
    </row>
    <row r="708" ht="15" customHeight="1">
      <c r="A708" t="inlineStr">
        <is>
          <t>A 23431-2024</t>
        </is>
      </c>
      <c r="B708" s="1" t="n">
        <v>45453</v>
      </c>
      <c r="C708" s="1" t="n">
        <v>46049</v>
      </c>
      <c r="D708" t="inlineStr">
        <is>
          <t>VÄSTMANLANDS LÄN</t>
        </is>
      </c>
      <c r="E708" t="inlineStr">
        <is>
          <t>SALA</t>
        </is>
      </c>
      <c r="G708" t="n">
        <v>1.6</v>
      </c>
      <c r="H708" t="n">
        <v>0</v>
      </c>
      <c r="I708" t="n">
        <v>0</v>
      </c>
      <c r="J708" t="n">
        <v>0</v>
      </c>
      <c r="K708" t="n">
        <v>0</v>
      </c>
      <c r="L708" t="n">
        <v>0</v>
      </c>
      <c r="M708" t="n">
        <v>0</v>
      </c>
      <c r="N708" t="n">
        <v>0</v>
      </c>
      <c r="O708" t="n">
        <v>0</v>
      </c>
      <c r="P708" t="n">
        <v>0</v>
      </c>
      <c r="Q708" t="n">
        <v>0</v>
      </c>
      <c r="R708" s="2" t="inlineStr"/>
    </row>
    <row r="709" ht="15" customHeight="1">
      <c r="A709" t="inlineStr">
        <is>
          <t>A 21168-2025</t>
        </is>
      </c>
      <c r="B709" s="1" t="n">
        <v>45777</v>
      </c>
      <c r="C709" s="1" t="n">
        <v>46049</v>
      </c>
      <c r="D709" t="inlineStr">
        <is>
          <t>VÄSTMANLANDS LÄN</t>
        </is>
      </c>
      <c r="E709" t="inlineStr">
        <is>
          <t>SALA</t>
        </is>
      </c>
      <c r="G709" t="n">
        <v>4.5</v>
      </c>
      <c r="H709" t="n">
        <v>0</v>
      </c>
      <c r="I709" t="n">
        <v>0</v>
      </c>
      <c r="J709" t="n">
        <v>0</v>
      </c>
      <c r="K709" t="n">
        <v>0</v>
      </c>
      <c r="L709" t="n">
        <v>0</v>
      </c>
      <c r="M709" t="n">
        <v>0</v>
      </c>
      <c r="N709" t="n">
        <v>0</v>
      </c>
      <c r="O709" t="n">
        <v>0</v>
      </c>
      <c r="P709" t="n">
        <v>0</v>
      </c>
      <c r="Q709" t="n">
        <v>0</v>
      </c>
      <c r="R709" s="2" t="inlineStr"/>
    </row>
    <row r="710" ht="15" customHeight="1">
      <c r="A710" t="inlineStr">
        <is>
          <t>A 21751-2025</t>
        </is>
      </c>
      <c r="B710" s="1" t="n">
        <v>45783.61372685185</v>
      </c>
      <c r="C710" s="1" t="n">
        <v>46049</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21754-2025</t>
        </is>
      </c>
      <c r="B711" s="1" t="n">
        <v>45783.61837962963</v>
      </c>
      <c r="C711" s="1" t="n">
        <v>46049</v>
      </c>
      <c r="D711" t="inlineStr">
        <is>
          <t>VÄSTMANLANDS LÄN</t>
        </is>
      </c>
      <c r="E711" t="inlineStr">
        <is>
          <t>SALA</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37587-2024</t>
        </is>
      </c>
      <c r="B712" s="1" t="n">
        <v>45541</v>
      </c>
      <c r="C712" s="1" t="n">
        <v>46049</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22353-2025</t>
        </is>
      </c>
      <c r="B713" s="1" t="n">
        <v>45786</v>
      </c>
      <c r="C713" s="1" t="n">
        <v>46049</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64724-2023</t>
        </is>
      </c>
      <c r="B714" s="1" t="n">
        <v>45281.7602662037</v>
      </c>
      <c r="C714" s="1" t="n">
        <v>46049</v>
      </c>
      <c r="D714" t="inlineStr">
        <is>
          <t>VÄSTMANLANDS LÄN</t>
        </is>
      </c>
      <c r="E714" t="inlineStr">
        <is>
          <t>SALA</t>
        </is>
      </c>
      <c r="G714" t="n">
        <v>2.3</v>
      </c>
      <c r="H714" t="n">
        <v>0</v>
      </c>
      <c r="I714" t="n">
        <v>0</v>
      </c>
      <c r="J714" t="n">
        <v>0</v>
      </c>
      <c r="K714" t="n">
        <v>0</v>
      </c>
      <c r="L714" t="n">
        <v>0</v>
      </c>
      <c r="M714" t="n">
        <v>0</v>
      </c>
      <c r="N714" t="n">
        <v>0</v>
      </c>
      <c r="O714" t="n">
        <v>0</v>
      </c>
      <c r="P714" t="n">
        <v>0</v>
      </c>
      <c r="Q714" t="n">
        <v>0</v>
      </c>
      <c r="R714" s="2" t="inlineStr"/>
    </row>
    <row r="715" ht="15" customHeight="1">
      <c r="A715" t="inlineStr">
        <is>
          <t>A 22370-2025</t>
        </is>
      </c>
      <c r="B715" s="1" t="n">
        <v>45786</v>
      </c>
      <c r="C715" s="1" t="n">
        <v>46049</v>
      </c>
      <c r="D715" t="inlineStr">
        <is>
          <t>VÄSTMANLANDS LÄN</t>
        </is>
      </c>
      <c r="E715" t="inlineStr">
        <is>
          <t>SALA</t>
        </is>
      </c>
      <c r="G715" t="n">
        <v>3.2</v>
      </c>
      <c r="H715" t="n">
        <v>0</v>
      </c>
      <c r="I715" t="n">
        <v>0</v>
      </c>
      <c r="J715" t="n">
        <v>0</v>
      </c>
      <c r="K715" t="n">
        <v>0</v>
      </c>
      <c r="L715" t="n">
        <v>0</v>
      </c>
      <c r="M715" t="n">
        <v>0</v>
      </c>
      <c r="N715" t="n">
        <v>0</v>
      </c>
      <c r="O715" t="n">
        <v>0</v>
      </c>
      <c r="P715" t="n">
        <v>0</v>
      </c>
      <c r="Q715" t="n">
        <v>0</v>
      </c>
      <c r="R715" s="2" t="inlineStr"/>
    </row>
    <row r="716" ht="15" customHeight="1">
      <c r="A716" t="inlineStr">
        <is>
          <t>A 22383-2025</t>
        </is>
      </c>
      <c r="B716" s="1" t="n">
        <v>45786</v>
      </c>
      <c r="C716" s="1" t="n">
        <v>46049</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7176-2023</t>
        </is>
      </c>
      <c r="B717" s="1" t="n">
        <v>44970</v>
      </c>
      <c r="C717" s="1" t="n">
        <v>46049</v>
      </c>
      <c r="D717" t="inlineStr">
        <is>
          <t>VÄSTMANLANDS LÄN</t>
        </is>
      </c>
      <c r="E717" t="inlineStr">
        <is>
          <t>SALA</t>
        </is>
      </c>
      <c r="G717" t="n">
        <v>1.5</v>
      </c>
      <c r="H717" t="n">
        <v>0</v>
      </c>
      <c r="I717" t="n">
        <v>0</v>
      </c>
      <c r="J717" t="n">
        <v>0</v>
      </c>
      <c r="K717" t="n">
        <v>0</v>
      </c>
      <c r="L717" t="n">
        <v>0</v>
      </c>
      <c r="M717" t="n">
        <v>0</v>
      </c>
      <c r="N717" t="n">
        <v>0</v>
      </c>
      <c r="O717" t="n">
        <v>0</v>
      </c>
      <c r="P717" t="n">
        <v>0</v>
      </c>
      <c r="Q717" t="n">
        <v>0</v>
      </c>
      <c r="R717" s="2" t="inlineStr"/>
    </row>
    <row r="718" ht="15" customHeight="1">
      <c r="A718" t="inlineStr">
        <is>
          <t>A 22624-2025</t>
        </is>
      </c>
      <c r="B718" s="1" t="n">
        <v>45789.43327546296</v>
      </c>
      <c r="C718" s="1" t="n">
        <v>46049</v>
      </c>
      <c r="D718" t="inlineStr">
        <is>
          <t>VÄSTMANLANDS LÄN</t>
        </is>
      </c>
      <c r="E718" t="inlineStr">
        <is>
          <t>SALA</t>
        </is>
      </c>
      <c r="G718" t="n">
        <v>1.5</v>
      </c>
      <c r="H718" t="n">
        <v>0</v>
      </c>
      <c r="I718" t="n">
        <v>0</v>
      </c>
      <c r="J718" t="n">
        <v>0</v>
      </c>
      <c r="K718" t="n">
        <v>0</v>
      </c>
      <c r="L718" t="n">
        <v>0</v>
      </c>
      <c r="M718" t="n">
        <v>0</v>
      </c>
      <c r="N718" t="n">
        <v>0</v>
      </c>
      <c r="O718" t="n">
        <v>0</v>
      </c>
      <c r="P718" t="n">
        <v>0</v>
      </c>
      <c r="Q718" t="n">
        <v>0</v>
      </c>
      <c r="R718" s="2" t="inlineStr"/>
    </row>
    <row r="719" ht="15" customHeight="1">
      <c r="A719" t="inlineStr">
        <is>
          <t>A 31405-2024</t>
        </is>
      </c>
      <c r="B719" s="1" t="n">
        <v>45505.5490625</v>
      </c>
      <c r="C719" s="1" t="n">
        <v>46049</v>
      </c>
      <c r="D719" t="inlineStr">
        <is>
          <t>VÄSTMANLANDS LÄN</t>
        </is>
      </c>
      <c r="E719" t="inlineStr">
        <is>
          <t>SALA</t>
        </is>
      </c>
      <c r="G719" t="n">
        <v>5.2</v>
      </c>
      <c r="H719" t="n">
        <v>0</v>
      </c>
      <c r="I719" t="n">
        <v>0</v>
      </c>
      <c r="J719" t="n">
        <v>0</v>
      </c>
      <c r="K719" t="n">
        <v>0</v>
      </c>
      <c r="L719" t="n">
        <v>0</v>
      </c>
      <c r="M719" t="n">
        <v>0</v>
      </c>
      <c r="N719" t="n">
        <v>0</v>
      </c>
      <c r="O719" t="n">
        <v>0</v>
      </c>
      <c r="P719" t="n">
        <v>0</v>
      </c>
      <c r="Q719" t="n">
        <v>0</v>
      </c>
      <c r="R719" s="2" t="inlineStr"/>
    </row>
    <row r="720" ht="15" customHeight="1">
      <c r="A720" t="inlineStr">
        <is>
          <t>A 22616-2025</t>
        </is>
      </c>
      <c r="B720" s="1" t="n">
        <v>45789.42752314815</v>
      </c>
      <c r="C720" s="1" t="n">
        <v>46049</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43600-2024</t>
        </is>
      </c>
      <c r="B721" s="1" t="n">
        <v>45569</v>
      </c>
      <c r="C721" s="1" t="n">
        <v>46049</v>
      </c>
      <c r="D721" t="inlineStr">
        <is>
          <t>VÄSTMANLANDS LÄN</t>
        </is>
      </c>
      <c r="E721" t="inlineStr">
        <is>
          <t>SALA</t>
        </is>
      </c>
      <c r="G721" t="n">
        <v>0.9</v>
      </c>
      <c r="H721" t="n">
        <v>0</v>
      </c>
      <c r="I721" t="n">
        <v>0</v>
      </c>
      <c r="J721" t="n">
        <v>0</v>
      </c>
      <c r="K721" t="n">
        <v>0</v>
      </c>
      <c r="L721" t="n">
        <v>0</v>
      </c>
      <c r="M721" t="n">
        <v>0</v>
      </c>
      <c r="N721" t="n">
        <v>0</v>
      </c>
      <c r="O721" t="n">
        <v>0</v>
      </c>
      <c r="P721" t="n">
        <v>0</v>
      </c>
      <c r="Q721" t="n">
        <v>0</v>
      </c>
      <c r="R721" s="2" t="inlineStr"/>
    </row>
    <row r="722" ht="15" customHeight="1">
      <c r="A722" t="inlineStr">
        <is>
          <t>A 13130-2025</t>
        </is>
      </c>
      <c r="B722" s="1" t="n">
        <v>45734</v>
      </c>
      <c r="C722" s="1" t="n">
        <v>46049</v>
      </c>
      <c r="D722" t="inlineStr">
        <is>
          <t>VÄSTMANLANDS LÄN</t>
        </is>
      </c>
      <c r="E722" t="inlineStr">
        <is>
          <t>SALA</t>
        </is>
      </c>
      <c r="G722" t="n">
        <v>1.5</v>
      </c>
      <c r="H722" t="n">
        <v>0</v>
      </c>
      <c r="I722" t="n">
        <v>0</v>
      </c>
      <c r="J722" t="n">
        <v>0</v>
      </c>
      <c r="K722" t="n">
        <v>0</v>
      </c>
      <c r="L722" t="n">
        <v>0</v>
      </c>
      <c r="M722" t="n">
        <v>0</v>
      </c>
      <c r="N722" t="n">
        <v>0</v>
      </c>
      <c r="O722" t="n">
        <v>0</v>
      </c>
      <c r="P722" t="n">
        <v>0</v>
      </c>
      <c r="Q722" t="n">
        <v>0</v>
      </c>
      <c r="R722" s="2" t="inlineStr"/>
    </row>
    <row r="723" ht="15" customHeight="1">
      <c r="A723" t="inlineStr">
        <is>
          <t>A 24169-2025</t>
        </is>
      </c>
      <c r="B723" s="1" t="n">
        <v>45796</v>
      </c>
      <c r="C723" s="1" t="n">
        <v>46049</v>
      </c>
      <c r="D723" t="inlineStr">
        <is>
          <t>VÄSTMANLANDS LÄN</t>
        </is>
      </c>
      <c r="E723" t="inlineStr">
        <is>
          <t>SALA</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22126-2025</t>
        </is>
      </c>
      <c r="B724" s="1" t="n">
        <v>45785</v>
      </c>
      <c r="C724" s="1" t="n">
        <v>46049</v>
      </c>
      <c r="D724" t="inlineStr">
        <is>
          <t>VÄSTMANLANDS LÄN</t>
        </is>
      </c>
      <c r="E724" t="inlineStr">
        <is>
          <t>SALA</t>
        </is>
      </c>
      <c r="G724" t="n">
        <v>10.6</v>
      </c>
      <c r="H724" t="n">
        <v>0</v>
      </c>
      <c r="I724" t="n">
        <v>0</v>
      </c>
      <c r="J724" t="n">
        <v>0</v>
      </c>
      <c r="K724" t="n">
        <v>0</v>
      </c>
      <c r="L724" t="n">
        <v>0</v>
      </c>
      <c r="M724" t="n">
        <v>0</v>
      </c>
      <c r="N724" t="n">
        <v>0</v>
      </c>
      <c r="O724" t="n">
        <v>0</v>
      </c>
      <c r="P724" t="n">
        <v>0</v>
      </c>
      <c r="Q724" t="n">
        <v>0</v>
      </c>
      <c r="R724" s="2" t="inlineStr"/>
    </row>
    <row r="725" ht="15" customHeight="1">
      <c r="A725" t="inlineStr">
        <is>
          <t>A 23810-2025</t>
        </is>
      </c>
      <c r="B725" s="1" t="n">
        <v>45793.56989583333</v>
      </c>
      <c r="C725" s="1" t="n">
        <v>46049</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46049</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23804-2025</t>
        </is>
      </c>
      <c r="B727" s="1" t="n">
        <v>45793.55995370371</v>
      </c>
      <c r="C727" s="1" t="n">
        <v>46049</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11210-2025</t>
        </is>
      </c>
      <c r="B728" s="1" t="n">
        <v>45726</v>
      </c>
      <c r="C728" s="1" t="n">
        <v>46049</v>
      </c>
      <c r="D728" t="inlineStr">
        <is>
          <t>VÄSTMANLANDS LÄN</t>
        </is>
      </c>
      <c r="E728" t="inlineStr">
        <is>
          <t>SALA</t>
        </is>
      </c>
      <c r="G728" t="n">
        <v>4.1</v>
      </c>
      <c r="H728" t="n">
        <v>0</v>
      </c>
      <c r="I728" t="n">
        <v>0</v>
      </c>
      <c r="J728" t="n">
        <v>0</v>
      </c>
      <c r="K728" t="n">
        <v>0</v>
      </c>
      <c r="L728" t="n">
        <v>0</v>
      </c>
      <c r="M728" t="n">
        <v>0</v>
      </c>
      <c r="N728" t="n">
        <v>0</v>
      </c>
      <c r="O728" t="n">
        <v>0</v>
      </c>
      <c r="P728" t="n">
        <v>0</v>
      </c>
      <c r="Q728" t="n">
        <v>0</v>
      </c>
      <c r="R728" s="2" t="inlineStr"/>
    </row>
    <row r="729" ht="15" customHeight="1">
      <c r="A729" t="inlineStr">
        <is>
          <t>A 19297-2025</t>
        </is>
      </c>
      <c r="B729" s="1" t="n">
        <v>45769.56261574074</v>
      </c>
      <c r="C729" s="1" t="n">
        <v>46049</v>
      </c>
      <c r="D729" t="inlineStr">
        <is>
          <t>VÄSTMANLANDS LÄN</t>
        </is>
      </c>
      <c r="E729" t="inlineStr">
        <is>
          <t>SALA</t>
        </is>
      </c>
      <c r="G729" t="n">
        <v>0.8</v>
      </c>
      <c r="H729" t="n">
        <v>0</v>
      </c>
      <c r="I729" t="n">
        <v>0</v>
      </c>
      <c r="J729" t="n">
        <v>0</v>
      </c>
      <c r="K729" t="n">
        <v>0</v>
      </c>
      <c r="L729" t="n">
        <v>0</v>
      </c>
      <c r="M729" t="n">
        <v>0</v>
      </c>
      <c r="N729" t="n">
        <v>0</v>
      </c>
      <c r="O729" t="n">
        <v>0</v>
      </c>
      <c r="P729" t="n">
        <v>0</v>
      </c>
      <c r="Q729" t="n">
        <v>0</v>
      </c>
      <c r="R729" s="2" t="inlineStr"/>
    </row>
    <row r="730" ht="15" customHeight="1">
      <c r="A730" t="inlineStr">
        <is>
          <t>A 24460-2025</t>
        </is>
      </c>
      <c r="B730" s="1" t="n">
        <v>45798</v>
      </c>
      <c r="C730" s="1" t="n">
        <v>46049</v>
      </c>
      <c r="D730" t="inlineStr">
        <is>
          <t>VÄSTMANLANDS LÄN</t>
        </is>
      </c>
      <c r="E730" t="inlineStr">
        <is>
          <t>SALA</t>
        </is>
      </c>
      <c r="F730" t="inlineStr">
        <is>
          <t>Bergvik skog öst AB</t>
        </is>
      </c>
      <c r="G730" t="n">
        <v>2.6</v>
      </c>
      <c r="H730" t="n">
        <v>0</v>
      </c>
      <c r="I730" t="n">
        <v>0</v>
      </c>
      <c r="J730" t="n">
        <v>0</v>
      </c>
      <c r="K730" t="n">
        <v>0</v>
      </c>
      <c r="L730" t="n">
        <v>0</v>
      </c>
      <c r="M730" t="n">
        <v>0</v>
      </c>
      <c r="N730" t="n">
        <v>0</v>
      </c>
      <c r="O730" t="n">
        <v>0</v>
      </c>
      <c r="P730" t="n">
        <v>0</v>
      </c>
      <c r="Q730" t="n">
        <v>0</v>
      </c>
      <c r="R730" s="2" t="inlineStr"/>
    </row>
    <row r="731" ht="15" customHeight="1">
      <c r="A731" t="inlineStr">
        <is>
          <t>A 55065-2024</t>
        </is>
      </c>
      <c r="B731" s="1" t="n">
        <v>45618</v>
      </c>
      <c r="C731" s="1" t="n">
        <v>46049</v>
      </c>
      <c r="D731" t="inlineStr">
        <is>
          <t>VÄSTMANLANDS LÄN</t>
        </is>
      </c>
      <c r="E731" t="inlineStr">
        <is>
          <t>SALA</t>
        </is>
      </c>
      <c r="G731" t="n">
        <v>3.5</v>
      </c>
      <c r="H731" t="n">
        <v>0</v>
      </c>
      <c r="I731" t="n">
        <v>0</v>
      </c>
      <c r="J731" t="n">
        <v>0</v>
      </c>
      <c r="K731" t="n">
        <v>0</v>
      </c>
      <c r="L731" t="n">
        <v>0</v>
      </c>
      <c r="M731" t="n">
        <v>0</v>
      </c>
      <c r="N731" t="n">
        <v>0</v>
      </c>
      <c r="O731" t="n">
        <v>0</v>
      </c>
      <c r="P731" t="n">
        <v>0</v>
      </c>
      <c r="Q731" t="n">
        <v>0</v>
      </c>
      <c r="R731" s="2" t="inlineStr"/>
    </row>
    <row r="732" ht="15" customHeight="1">
      <c r="A732" t="inlineStr">
        <is>
          <t>A 24463-2025</t>
        </is>
      </c>
      <c r="B732" s="1" t="n">
        <v>45798</v>
      </c>
      <c r="C732" s="1" t="n">
        <v>46049</v>
      </c>
      <c r="D732" t="inlineStr">
        <is>
          <t>VÄSTMANLANDS LÄN</t>
        </is>
      </c>
      <c r="E732" t="inlineStr">
        <is>
          <t>SALA</t>
        </is>
      </c>
      <c r="F732" t="inlineStr">
        <is>
          <t>Bergvik skog öst AB</t>
        </is>
      </c>
      <c r="G732" t="n">
        <v>1.5</v>
      </c>
      <c r="H732" t="n">
        <v>0</v>
      </c>
      <c r="I732" t="n">
        <v>0</v>
      </c>
      <c r="J732" t="n">
        <v>0</v>
      </c>
      <c r="K732" t="n">
        <v>0</v>
      </c>
      <c r="L732" t="n">
        <v>0</v>
      </c>
      <c r="M732" t="n">
        <v>0</v>
      </c>
      <c r="N732" t="n">
        <v>0</v>
      </c>
      <c r="O732" t="n">
        <v>0</v>
      </c>
      <c r="P732" t="n">
        <v>0</v>
      </c>
      <c r="Q732" t="n">
        <v>0</v>
      </c>
      <c r="R732" s="2" t="inlineStr"/>
    </row>
    <row r="733" ht="15" customHeight="1">
      <c r="A733" t="inlineStr">
        <is>
          <t>A 24907-2025</t>
        </is>
      </c>
      <c r="B733" s="1" t="n">
        <v>45799</v>
      </c>
      <c r="C733" s="1" t="n">
        <v>46049</v>
      </c>
      <c r="D733" t="inlineStr">
        <is>
          <t>VÄSTMANLANDS LÄN</t>
        </is>
      </c>
      <c r="E733" t="inlineStr">
        <is>
          <t>SALA</t>
        </is>
      </c>
      <c r="G733" t="n">
        <v>3.5</v>
      </c>
      <c r="H733" t="n">
        <v>0</v>
      </c>
      <c r="I733" t="n">
        <v>0</v>
      </c>
      <c r="J733" t="n">
        <v>0</v>
      </c>
      <c r="K733" t="n">
        <v>0</v>
      </c>
      <c r="L733" t="n">
        <v>0</v>
      </c>
      <c r="M733" t="n">
        <v>0</v>
      </c>
      <c r="N733" t="n">
        <v>0</v>
      </c>
      <c r="O733" t="n">
        <v>0</v>
      </c>
      <c r="P733" t="n">
        <v>0</v>
      </c>
      <c r="Q733" t="n">
        <v>0</v>
      </c>
      <c r="R733" s="2" t="inlineStr"/>
    </row>
    <row r="734" ht="15" customHeight="1">
      <c r="A734" t="inlineStr">
        <is>
          <t>A 24910-2025</t>
        </is>
      </c>
      <c r="B734" s="1" t="n">
        <v>45799.53775462963</v>
      </c>
      <c r="C734" s="1" t="n">
        <v>46049</v>
      </c>
      <c r="D734" t="inlineStr">
        <is>
          <t>VÄSTMANLANDS LÄN</t>
        </is>
      </c>
      <c r="E734" t="inlineStr">
        <is>
          <t>SALA</t>
        </is>
      </c>
      <c r="G734" t="n">
        <v>3.5</v>
      </c>
      <c r="H734" t="n">
        <v>0</v>
      </c>
      <c r="I734" t="n">
        <v>0</v>
      </c>
      <c r="J734" t="n">
        <v>0</v>
      </c>
      <c r="K734" t="n">
        <v>0</v>
      </c>
      <c r="L734" t="n">
        <v>0</v>
      </c>
      <c r="M734" t="n">
        <v>0</v>
      </c>
      <c r="N734" t="n">
        <v>0</v>
      </c>
      <c r="O734" t="n">
        <v>0</v>
      </c>
      <c r="P734" t="n">
        <v>0</v>
      </c>
      <c r="Q734" t="n">
        <v>0</v>
      </c>
      <c r="R734" s="2" t="inlineStr"/>
    </row>
    <row r="735">
      <c r="A735" t="inlineStr">
        <is>
          <t>A 10909-2024</t>
        </is>
      </c>
      <c r="B735" s="1" t="n">
        <v>45370</v>
      </c>
      <c r="C735" s="1" t="n">
        <v>46049</v>
      </c>
      <c r="D735" t="inlineStr">
        <is>
          <t>VÄSTMANLANDS LÄN</t>
        </is>
      </c>
      <c r="E735" t="inlineStr">
        <is>
          <t>SALA</t>
        </is>
      </c>
      <c r="G735" t="n">
        <v>3.3</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2026-01-27T10:57:40Z</dcterms:created>
  <dcterms:modified xmlns:dcterms="http://purl.org/dc/terms/" xmlns:xsi="http://www.w3.org/2001/XMLSchema-instance" xsi:type="dcterms:W3CDTF">2026-01-27T10:57:40Z</dcterms:modified>
</cp:coreProperties>
</file>