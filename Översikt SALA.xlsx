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46141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46141</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46141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46141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46141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46141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46141</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46141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46141</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46141</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46141</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34752-2023</t>
        </is>
      </c>
      <c r="B13" s="1" t="n">
        <v>45141</v>
      </c>
      <c r="C13" s="1" t="n">
        <v>46141</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46141</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53627-2025</t>
        </is>
      </c>
      <c r="B15" s="1" t="n">
        <v>45960.49180555555</v>
      </c>
      <c r="C15" s="1" t="n">
        <v>46141</v>
      </c>
      <c r="D15" t="inlineStr">
        <is>
          <t>VÄSTMANLANDS LÄN</t>
        </is>
      </c>
      <c r="E15" t="inlineStr">
        <is>
          <t>SALA</t>
        </is>
      </c>
      <c r="G15" t="n">
        <v>10.5</v>
      </c>
      <c r="H15" t="n">
        <v>3</v>
      </c>
      <c r="I15" t="n">
        <v>0</v>
      </c>
      <c r="J15" t="n">
        <v>1</v>
      </c>
      <c r="K15" t="n">
        <v>1</v>
      </c>
      <c r="L15" t="n">
        <v>0</v>
      </c>
      <c r="M15" t="n">
        <v>0</v>
      </c>
      <c r="N15" t="n">
        <v>0</v>
      </c>
      <c r="O15" t="n">
        <v>2</v>
      </c>
      <c r="P15" t="n">
        <v>1</v>
      </c>
      <c r="Q15" t="n">
        <v>4</v>
      </c>
      <c r="R15" s="2" t="inlineStr">
        <is>
          <t>Knärot
Brunklöver
Mattlummer
Revlummer</t>
        </is>
      </c>
      <c r="S15">
        <f>HYPERLINK("https://klasma.github.io/Logging_1981/artfynd/A 53627-2025 artfynd.xlsx", "A 53627-2025")</f>
        <v/>
      </c>
      <c r="T15">
        <f>HYPERLINK("https://klasma.github.io/Logging_1981/kartor/A 53627-2025 karta.png", "A 53627-2025")</f>
        <v/>
      </c>
      <c r="U15">
        <f>HYPERLINK("https://klasma.github.io/Logging_1981/knärot/A 53627-2025 karta knärot.png", "A 53627-2025")</f>
        <v/>
      </c>
      <c r="V15">
        <f>HYPERLINK("https://klasma.github.io/Logging_1981/klagomål/A 53627-2025 FSC-klagomål.docx", "A 53627-2025")</f>
        <v/>
      </c>
      <c r="W15">
        <f>HYPERLINK("https://klasma.github.io/Logging_1981/klagomålsmail/A 53627-2025 FSC-klagomål mail.docx", "A 53627-2025")</f>
        <v/>
      </c>
      <c r="X15">
        <f>HYPERLINK("https://klasma.github.io/Logging_1981/tillsyn/A 53627-2025 tillsynsbegäran.docx", "A 53627-2025")</f>
        <v/>
      </c>
      <c r="Y15">
        <f>HYPERLINK("https://klasma.github.io/Logging_1981/tillsynsmail/A 53627-2025 tillsynsbegäran mail.docx", "A 53627-2025")</f>
        <v/>
      </c>
    </row>
    <row r="16" ht="15" customHeight="1">
      <c r="A16" t="inlineStr">
        <is>
          <t>A 53009-2024</t>
        </is>
      </c>
      <c r="B16" s="1" t="n">
        <v>45610</v>
      </c>
      <c r="C16" s="1" t="n">
        <v>46141</v>
      </c>
      <c r="D16" t="inlineStr">
        <is>
          <t>VÄSTMANLANDS LÄN</t>
        </is>
      </c>
      <c r="E16" t="inlineStr">
        <is>
          <t>SALA</t>
        </is>
      </c>
      <c r="G16" t="n">
        <v>2</v>
      </c>
      <c r="H16" t="n">
        <v>2</v>
      </c>
      <c r="I16" t="n">
        <v>1</v>
      </c>
      <c r="J16" t="n">
        <v>1</v>
      </c>
      <c r="K16" t="n">
        <v>1</v>
      </c>
      <c r="L16" t="n">
        <v>0</v>
      </c>
      <c r="M16" t="n">
        <v>0</v>
      </c>
      <c r="N16" t="n">
        <v>0</v>
      </c>
      <c r="O16" t="n">
        <v>2</v>
      </c>
      <c r="P16" t="n">
        <v>1</v>
      </c>
      <c r="Q16" t="n">
        <v>4</v>
      </c>
      <c r="R16" s="2" t="inlineStr">
        <is>
          <t>Knärot
Dvärgbägarlav
Flagellkvastmossa
Fläcknycklar</t>
        </is>
      </c>
      <c r="S16">
        <f>HYPERLINK("https://klasma.github.io/Logging_1981/artfynd/A 53009-2024 artfynd.xlsx", "A 53009-2024")</f>
        <v/>
      </c>
      <c r="T16">
        <f>HYPERLINK("https://klasma.github.io/Logging_1981/kartor/A 53009-2024 karta.png", "A 53009-2024")</f>
        <v/>
      </c>
      <c r="U16">
        <f>HYPERLINK("https://klasma.github.io/Logging_1981/knärot/A 53009-2024 karta knärot.png", "A 53009-2024")</f>
        <v/>
      </c>
      <c r="V16">
        <f>HYPERLINK("https://klasma.github.io/Logging_1981/klagomål/A 53009-2024 FSC-klagomål.docx", "A 53009-2024")</f>
        <v/>
      </c>
      <c r="W16">
        <f>HYPERLINK("https://klasma.github.io/Logging_1981/klagomålsmail/A 53009-2024 FSC-klagomål mail.docx", "A 53009-2024")</f>
        <v/>
      </c>
      <c r="X16">
        <f>HYPERLINK("https://klasma.github.io/Logging_1981/tillsyn/A 53009-2024 tillsynsbegäran.docx", "A 53009-2024")</f>
        <v/>
      </c>
      <c r="Y16">
        <f>HYPERLINK("https://klasma.github.io/Logging_1981/tillsynsmail/A 53009-2024 tillsynsbegäran mail.docx", "A 53009-2024")</f>
        <v/>
      </c>
    </row>
    <row r="17" ht="15" customHeight="1">
      <c r="A17" t="inlineStr">
        <is>
          <t>A 26571-2021</t>
        </is>
      </c>
      <c r="B17" s="1" t="n">
        <v>44348</v>
      </c>
      <c r="C17" s="1" t="n">
        <v>46141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46141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46141</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62768-2021</t>
        </is>
      </c>
      <c r="B20" s="1" t="n">
        <v>44504</v>
      </c>
      <c r="C20" s="1" t="n">
        <v>46141</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40895-2025</t>
        </is>
      </c>
      <c r="B21" s="1" t="n">
        <v>45897.61241898148</v>
      </c>
      <c r="C21" s="1" t="n">
        <v>46141</v>
      </c>
      <c r="D21" t="inlineStr">
        <is>
          <t>VÄSTMANLANDS LÄN</t>
        </is>
      </c>
      <c r="E21" t="inlineStr">
        <is>
          <t>SALA</t>
        </is>
      </c>
      <c r="G21" t="n">
        <v>1.5</v>
      </c>
      <c r="H21" t="n">
        <v>2</v>
      </c>
      <c r="I21" t="n">
        <v>1</v>
      </c>
      <c r="J21" t="n">
        <v>0</v>
      </c>
      <c r="K21" t="n">
        <v>1</v>
      </c>
      <c r="L21" t="n">
        <v>0</v>
      </c>
      <c r="M21" t="n">
        <v>0</v>
      </c>
      <c r="N21" t="n">
        <v>0</v>
      </c>
      <c r="O21" t="n">
        <v>1</v>
      </c>
      <c r="P21" t="n">
        <v>1</v>
      </c>
      <c r="Q21" t="n">
        <v>3</v>
      </c>
      <c r="R21" s="2" t="inlineStr">
        <is>
          <t>Knärot
Dropptaggsvamp
Kungsfågel</t>
        </is>
      </c>
      <c r="S21">
        <f>HYPERLINK("https://klasma.github.io/Logging_1981/artfynd/A 40895-2025 artfynd.xlsx", "A 40895-2025")</f>
        <v/>
      </c>
      <c r="T21">
        <f>HYPERLINK("https://klasma.github.io/Logging_1981/kartor/A 40895-2025 karta.png", "A 40895-2025")</f>
        <v/>
      </c>
      <c r="U21">
        <f>HYPERLINK("https://klasma.github.io/Logging_1981/knärot/A 40895-2025 karta knärot.png", "A 40895-2025")</f>
        <v/>
      </c>
      <c r="V21">
        <f>HYPERLINK("https://klasma.github.io/Logging_1981/klagomål/A 40895-2025 FSC-klagomål.docx", "A 40895-2025")</f>
        <v/>
      </c>
      <c r="W21">
        <f>HYPERLINK("https://klasma.github.io/Logging_1981/klagomålsmail/A 40895-2025 FSC-klagomål mail.docx", "A 40895-2025")</f>
        <v/>
      </c>
      <c r="X21">
        <f>HYPERLINK("https://klasma.github.io/Logging_1981/tillsyn/A 40895-2025 tillsynsbegäran.docx", "A 40895-2025")</f>
        <v/>
      </c>
      <c r="Y21">
        <f>HYPERLINK("https://klasma.github.io/Logging_1981/tillsynsmail/A 40895-2025 tillsynsbegäran mail.docx", "A 40895-2025")</f>
        <v/>
      </c>
      <c r="Z21">
        <f>HYPERLINK("https://klasma.github.io/Logging_1981/fåglar/A 40895-2025 prioriterade fågelarter.docx", "A 40895-2025")</f>
        <v/>
      </c>
    </row>
    <row r="22" ht="15" customHeight="1">
      <c r="A22" t="inlineStr">
        <is>
          <t>A 53019-2024</t>
        </is>
      </c>
      <c r="B22" s="1" t="n">
        <v>45610</v>
      </c>
      <c r="C22" s="1" t="n">
        <v>46141</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4264-2024</t>
        </is>
      </c>
      <c r="B23" s="1" t="n">
        <v>45324</v>
      </c>
      <c r="C23" s="1" t="n">
        <v>46141</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46141</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3930-2026</t>
        </is>
      </c>
      <c r="B25" s="1" t="n">
        <v>46043</v>
      </c>
      <c r="C25" s="1" t="n">
        <v>46141</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34065-2025</t>
        </is>
      </c>
      <c r="B26" s="1" t="n">
        <v>45845.42806712963</v>
      </c>
      <c r="C26" s="1" t="n">
        <v>46141</v>
      </c>
      <c r="D26" t="inlineStr">
        <is>
          <t>VÄSTMANLANDS LÄN</t>
        </is>
      </c>
      <c r="E26" t="inlineStr">
        <is>
          <t>SALA</t>
        </is>
      </c>
      <c r="G26" t="n">
        <v>3</v>
      </c>
      <c r="H26" t="n">
        <v>0</v>
      </c>
      <c r="I26" t="n">
        <v>1</v>
      </c>
      <c r="J26" t="n">
        <v>2</v>
      </c>
      <c r="K26" t="n">
        <v>0</v>
      </c>
      <c r="L26" t="n">
        <v>0</v>
      </c>
      <c r="M26" t="n">
        <v>0</v>
      </c>
      <c r="N26" t="n">
        <v>0</v>
      </c>
      <c r="O26" t="n">
        <v>2</v>
      </c>
      <c r="P26" t="n">
        <v>0</v>
      </c>
      <c r="Q26" t="n">
        <v>3</v>
      </c>
      <c r="R26" s="2" t="inlineStr">
        <is>
          <t>Granticka
Kötticka
Vedticka</t>
        </is>
      </c>
      <c r="S26">
        <f>HYPERLINK("https://klasma.github.io/Logging_1981/artfynd/A 34065-2025 artfynd.xlsx", "A 34065-2025")</f>
        <v/>
      </c>
      <c r="T26">
        <f>HYPERLINK("https://klasma.github.io/Logging_1981/kartor/A 34065-2025 karta.png", "A 34065-2025")</f>
        <v/>
      </c>
      <c r="V26">
        <f>HYPERLINK("https://klasma.github.io/Logging_1981/klagomål/A 34065-2025 FSC-klagomål.docx", "A 34065-2025")</f>
        <v/>
      </c>
      <c r="W26">
        <f>HYPERLINK("https://klasma.github.io/Logging_1981/klagomålsmail/A 34065-2025 FSC-klagomål mail.docx", "A 34065-2025")</f>
        <v/>
      </c>
      <c r="X26">
        <f>HYPERLINK("https://klasma.github.io/Logging_1981/tillsyn/A 34065-2025 tillsynsbegäran.docx", "A 34065-2025")</f>
        <v/>
      </c>
      <c r="Y26">
        <f>HYPERLINK("https://klasma.github.io/Logging_1981/tillsynsmail/A 34065-2025 tillsynsbegäran mail.docx", "A 34065-2025")</f>
        <v/>
      </c>
    </row>
    <row r="27" ht="15" customHeight="1">
      <c r="A27" t="inlineStr">
        <is>
          <t>A 47475-2024</t>
        </is>
      </c>
      <c r="B27" s="1" t="n">
        <v>45587.57552083334</v>
      </c>
      <c r="C27" s="1" t="n">
        <v>46141</v>
      </c>
      <c r="D27" t="inlineStr">
        <is>
          <t>VÄSTMANLANDS LÄN</t>
        </is>
      </c>
      <c r="E27" t="inlineStr">
        <is>
          <t>SALA</t>
        </is>
      </c>
      <c r="G27" t="n">
        <v>1.4</v>
      </c>
      <c r="H27" t="n">
        <v>1</v>
      </c>
      <c r="I27" t="n">
        <v>0</v>
      </c>
      <c r="J27" t="n">
        <v>0</v>
      </c>
      <c r="K27" t="n">
        <v>3</v>
      </c>
      <c r="L27" t="n">
        <v>0</v>
      </c>
      <c r="M27" t="n">
        <v>0</v>
      </c>
      <c r="N27" t="n">
        <v>0</v>
      </c>
      <c r="O27" t="n">
        <v>3</v>
      </c>
      <c r="P27" t="n">
        <v>3</v>
      </c>
      <c r="Q27" t="n">
        <v>3</v>
      </c>
      <c r="R27" s="2" t="inlineStr">
        <is>
          <t>Knärot
Luddig stiftdynlav
Rynkskinn</t>
        </is>
      </c>
      <c r="S27">
        <f>HYPERLINK("https://klasma.github.io/Logging_1981/artfynd/A 47475-2024 artfynd.xlsx", "A 47475-2024")</f>
        <v/>
      </c>
      <c r="T27">
        <f>HYPERLINK("https://klasma.github.io/Logging_1981/kartor/A 47475-2024 karta.png", "A 47475-2024")</f>
        <v/>
      </c>
      <c r="U27">
        <f>HYPERLINK("https://klasma.github.io/Logging_1981/knärot/A 47475-2024 karta knärot.png", "A 47475-2024")</f>
        <v/>
      </c>
      <c r="V27">
        <f>HYPERLINK("https://klasma.github.io/Logging_1981/klagomål/A 47475-2024 FSC-klagomål.docx", "A 47475-2024")</f>
        <v/>
      </c>
      <c r="W27">
        <f>HYPERLINK("https://klasma.github.io/Logging_1981/klagomålsmail/A 47475-2024 FSC-klagomål mail.docx", "A 47475-2024")</f>
        <v/>
      </c>
      <c r="X27">
        <f>HYPERLINK("https://klasma.github.io/Logging_1981/tillsyn/A 47475-2024 tillsynsbegäran.docx", "A 47475-2024")</f>
        <v/>
      </c>
      <c r="Y27">
        <f>HYPERLINK("https://klasma.github.io/Logging_1981/tillsynsmail/A 47475-2024 tillsynsbegäran mail.docx", "A 47475-2024")</f>
        <v/>
      </c>
    </row>
    <row r="28" ht="15" customHeight="1">
      <c r="A28" t="inlineStr">
        <is>
          <t>A 52909-2022</t>
        </is>
      </c>
      <c r="B28" s="1" t="n">
        <v>44875</v>
      </c>
      <c r="C28" s="1" t="n">
        <v>46141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46141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46141</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46141</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1500-2022</t>
        </is>
      </c>
      <c r="B32" s="1" t="n">
        <v>44573.54357638889</v>
      </c>
      <c r="C32" s="1" t="n">
        <v>46141</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46141</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53048-2025</t>
        </is>
      </c>
      <c r="B34" s="1" t="n">
        <v>45958.36018518519</v>
      </c>
      <c r="C34" s="1" t="n">
        <v>46141</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12444-2024</t>
        </is>
      </c>
      <c r="B35" s="1" t="n">
        <v>45379.46285879629</v>
      </c>
      <c r="C35" s="1" t="n">
        <v>46141</v>
      </c>
      <c r="D35" t="inlineStr">
        <is>
          <t>VÄSTMANLANDS LÄN</t>
        </is>
      </c>
      <c r="E35" t="inlineStr">
        <is>
          <t>SALA</t>
        </is>
      </c>
      <c r="G35" t="n">
        <v>5.5</v>
      </c>
      <c r="H35" t="n">
        <v>0</v>
      </c>
      <c r="I35" t="n">
        <v>1</v>
      </c>
      <c r="J35" t="n">
        <v>1</v>
      </c>
      <c r="K35" t="n">
        <v>0</v>
      </c>
      <c r="L35" t="n">
        <v>0</v>
      </c>
      <c r="M35" t="n">
        <v>0</v>
      </c>
      <c r="N35" t="n">
        <v>0</v>
      </c>
      <c r="O35" t="n">
        <v>1</v>
      </c>
      <c r="P35" t="n">
        <v>0</v>
      </c>
      <c r="Q35" t="n">
        <v>2</v>
      </c>
      <c r="R35" s="2" t="inlineStr">
        <is>
          <t>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59826-2025</t>
        </is>
      </c>
      <c r="B36" s="1" t="n">
        <v>45992.65416666667</v>
      </c>
      <c r="C36" s="1" t="n">
        <v>46141</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24872-2025</t>
        </is>
      </c>
      <c r="B37" s="1" t="n">
        <v>45799.49038194444</v>
      </c>
      <c r="C37" s="1" t="n">
        <v>46141</v>
      </c>
      <c r="D37" t="inlineStr">
        <is>
          <t>VÄSTMANLANDS LÄN</t>
        </is>
      </c>
      <c r="E37" t="inlineStr">
        <is>
          <t>SALA</t>
        </is>
      </c>
      <c r="G37" t="n">
        <v>13.9</v>
      </c>
      <c r="H37" t="n">
        <v>1</v>
      </c>
      <c r="I37" t="n">
        <v>0</v>
      </c>
      <c r="J37" t="n">
        <v>1</v>
      </c>
      <c r="K37" t="n">
        <v>1</v>
      </c>
      <c r="L37" t="n">
        <v>0</v>
      </c>
      <c r="M37" t="n">
        <v>0</v>
      </c>
      <c r="N37" t="n">
        <v>0</v>
      </c>
      <c r="O37" t="n">
        <v>2</v>
      </c>
      <c r="P37" t="n">
        <v>1</v>
      </c>
      <c r="Q37" t="n">
        <v>2</v>
      </c>
      <c r="R37" s="2" t="inlineStr">
        <is>
          <t>Knärot
Motaggsvamp</t>
        </is>
      </c>
      <c r="S37">
        <f>HYPERLINK("https://klasma.github.io/Logging_1981/artfynd/A 24872-2025 artfynd.xlsx", "A 24872-2025")</f>
        <v/>
      </c>
      <c r="T37">
        <f>HYPERLINK("https://klasma.github.io/Logging_1981/kartor/A 24872-2025 karta.png", "A 24872-2025")</f>
        <v/>
      </c>
      <c r="U37">
        <f>HYPERLINK("https://klasma.github.io/Logging_1981/knärot/A 24872-2025 karta knärot.png", "A 24872-2025")</f>
        <v/>
      </c>
      <c r="V37">
        <f>HYPERLINK("https://klasma.github.io/Logging_1981/klagomål/A 24872-2025 FSC-klagomål.docx", "A 24872-2025")</f>
        <v/>
      </c>
      <c r="W37">
        <f>HYPERLINK("https://klasma.github.io/Logging_1981/klagomålsmail/A 24872-2025 FSC-klagomål mail.docx", "A 24872-2025")</f>
        <v/>
      </c>
      <c r="X37">
        <f>HYPERLINK("https://klasma.github.io/Logging_1981/tillsyn/A 24872-2025 tillsynsbegäran.docx", "A 24872-2025")</f>
        <v/>
      </c>
      <c r="Y37">
        <f>HYPERLINK("https://klasma.github.io/Logging_1981/tillsynsmail/A 24872-2025 tillsynsbegäran mail.docx", "A 24872-2025")</f>
        <v/>
      </c>
    </row>
    <row r="38" ht="15" customHeight="1">
      <c r="A38" t="inlineStr">
        <is>
          <t>A 63584-2025</t>
        </is>
      </c>
      <c r="B38" s="1" t="n">
        <v>46013.77002314815</v>
      </c>
      <c r="C38" s="1" t="n">
        <v>46141</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14485-2026</t>
        </is>
      </c>
      <c r="B39" s="1" t="n">
        <v>46100.59055555556</v>
      </c>
      <c r="C39" s="1" t="n">
        <v>46141</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44970-2021</t>
        </is>
      </c>
      <c r="B40" s="1" t="n">
        <v>44438.74399305556</v>
      </c>
      <c r="C40" s="1" t="n">
        <v>46141</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46141</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37166-2024</t>
        </is>
      </c>
      <c r="B42" s="1" t="n">
        <v>45539</v>
      </c>
      <c r="C42" s="1" t="n">
        <v>46141</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46141</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7731-2023</t>
        </is>
      </c>
      <c r="B44" s="1" t="n">
        <v>44973</v>
      </c>
      <c r="C44" s="1" t="n">
        <v>46141</v>
      </c>
      <c r="D44" t="inlineStr">
        <is>
          <t>VÄSTMANLANDS LÄN</t>
        </is>
      </c>
      <c r="E44" t="inlineStr">
        <is>
          <t>SALA</t>
        </is>
      </c>
      <c r="F44" t="inlineStr">
        <is>
          <t>Bergvik skog öst AB</t>
        </is>
      </c>
      <c r="G44" t="n">
        <v>1.7</v>
      </c>
      <c r="H44" t="n">
        <v>1</v>
      </c>
      <c r="I44" t="n">
        <v>0</v>
      </c>
      <c r="J44" t="n">
        <v>1</v>
      </c>
      <c r="K44" t="n">
        <v>0</v>
      </c>
      <c r="L44" t="n">
        <v>0</v>
      </c>
      <c r="M44" t="n">
        <v>0</v>
      </c>
      <c r="N44" t="n">
        <v>0</v>
      </c>
      <c r="O44" t="n">
        <v>1</v>
      </c>
      <c r="P44" t="n">
        <v>0</v>
      </c>
      <c r="Q44" t="n">
        <v>1</v>
      </c>
      <c r="R44" s="2" t="inlineStr">
        <is>
          <t>Ävjepilört</t>
        </is>
      </c>
      <c r="S44">
        <f>HYPERLINK("https://klasma.github.io/Logging_1981/artfynd/A 7731-2023 artfynd.xlsx", "A 7731-2023")</f>
        <v/>
      </c>
      <c r="T44">
        <f>HYPERLINK("https://klasma.github.io/Logging_1981/kartor/A 7731-2023 karta.png", "A 7731-2023")</f>
        <v/>
      </c>
      <c r="V44">
        <f>HYPERLINK("https://klasma.github.io/Logging_1981/klagomål/A 7731-2023 FSC-klagomål.docx", "A 7731-2023")</f>
        <v/>
      </c>
      <c r="W44">
        <f>HYPERLINK("https://klasma.github.io/Logging_1981/klagomålsmail/A 7731-2023 FSC-klagomål mail.docx", "A 7731-2023")</f>
        <v/>
      </c>
      <c r="X44">
        <f>HYPERLINK("https://klasma.github.io/Logging_1981/tillsyn/A 7731-2023 tillsynsbegäran.docx", "A 7731-2023")</f>
        <v/>
      </c>
      <c r="Y44">
        <f>HYPERLINK("https://klasma.github.io/Logging_1981/tillsynsmail/A 7731-2023 tillsynsbegäran mail.docx", "A 7731-2023")</f>
        <v/>
      </c>
    </row>
    <row r="45" ht="15" customHeight="1">
      <c r="A45" t="inlineStr">
        <is>
          <t>A 60852-2024</t>
        </is>
      </c>
      <c r="B45" s="1" t="n">
        <v>45644</v>
      </c>
      <c r="C45" s="1" t="n">
        <v>46141</v>
      </c>
      <c r="D45" t="inlineStr">
        <is>
          <t>VÄSTMANLANDS LÄN</t>
        </is>
      </c>
      <c r="E45" t="inlineStr">
        <is>
          <t>SALA</t>
        </is>
      </c>
      <c r="G45" t="n">
        <v>7.6</v>
      </c>
      <c r="H45" t="n">
        <v>1</v>
      </c>
      <c r="I45" t="n">
        <v>0</v>
      </c>
      <c r="J45" t="n">
        <v>0</v>
      </c>
      <c r="K45" t="n">
        <v>0</v>
      </c>
      <c r="L45" t="n">
        <v>0</v>
      </c>
      <c r="M45" t="n">
        <v>0</v>
      </c>
      <c r="N45" t="n">
        <v>0</v>
      </c>
      <c r="O45" t="n">
        <v>0</v>
      </c>
      <c r="P45" t="n">
        <v>0</v>
      </c>
      <c r="Q45" t="n">
        <v>1</v>
      </c>
      <c r="R45" s="2" t="inlineStr">
        <is>
          <t>Blåsippa</t>
        </is>
      </c>
      <c r="S45">
        <f>HYPERLINK("https://klasma.github.io/Logging_1981/artfynd/A 60852-2024 artfynd.xlsx", "A 60852-2024")</f>
        <v/>
      </c>
      <c r="T45">
        <f>HYPERLINK("https://klasma.github.io/Logging_1981/kartor/A 60852-2024 karta.png", "A 60852-2024")</f>
        <v/>
      </c>
      <c r="V45">
        <f>HYPERLINK("https://klasma.github.io/Logging_1981/klagomål/A 60852-2024 FSC-klagomål.docx", "A 60852-2024")</f>
        <v/>
      </c>
      <c r="W45">
        <f>HYPERLINK("https://klasma.github.io/Logging_1981/klagomålsmail/A 60852-2024 FSC-klagomål mail.docx", "A 60852-2024")</f>
        <v/>
      </c>
      <c r="X45">
        <f>HYPERLINK("https://klasma.github.io/Logging_1981/tillsyn/A 60852-2024 tillsynsbegäran.docx", "A 60852-2024")</f>
        <v/>
      </c>
      <c r="Y45">
        <f>HYPERLINK("https://klasma.github.io/Logging_1981/tillsynsmail/A 60852-2024 tillsynsbegäran mail.docx", "A 60852-2024")</f>
        <v/>
      </c>
    </row>
    <row r="46" ht="15" customHeight="1">
      <c r="A46" t="inlineStr">
        <is>
          <t>A 56704-2022</t>
        </is>
      </c>
      <c r="B46" s="1" t="n">
        <v>44893.78075231481</v>
      </c>
      <c r="C46" s="1" t="n">
        <v>46141</v>
      </c>
      <c r="D46" t="inlineStr">
        <is>
          <t>VÄSTMANLANDS LÄN</t>
        </is>
      </c>
      <c r="E46" t="inlineStr">
        <is>
          <t>SALA</t>
        </is>
      </c>
      <c r="G46" t="n">
        <v>3.2</v>
      </c>
      <c r="H46" t="n">
        <v>1</v>
      </c>
      <c r="I46" t="n">
        <v>0</v>
      </c>
      <c r="J46" t="n">
        <v>0</v>
      </c>
      <c r="K46" t="n">
        <v>1</v>
      </c>
      <c r="L46" t="n">
        <v>0</v>
      </c>
      <c r="M46" t="n">
        <v>0</v>
      </c>
      <c r="N46" t="n">
        <v>0</v>
      </c>
      <c r="O46" t="n">
        <v>1</v>
      </c>
      <c r="P46" t="n">
        <v>1</v>
      </c>
      <c r="Q46" t="n">
        <v>1</v>
      </c>
      <c r="R46" s="2" t="inlineStr">
        <is>
          <t>Knärot</t>
        </is>
      </c>
      <c r="S46">
        <f>HYPERLINK("https://klasma.github.io/Logging_1981/artfynd/A 56704-2022 artfynd.xlsx", "A 56704-2022")</f>
        <v/>
      </c>
      <c r="T46">
        <f>HYPERLINK("https://klasma.github.io/Logging_1981/kartor/A 56704-2022 karta.png", "A 56704-2022")</f>
        <v/>
      </c>
      <c r="U46">
        <f>HYPERLINK("https://klasma.github.io/Logging_1981/knärot/A 56704-2022 karta knärot.png", "A 56704-2022")</f>
        <v/>
      </c>
      <c r="V46">
        <f>HYPERLINK("https://klasma.github.io/Logging_1981/klagomål/A 56704-2022 FSC-klagomål.docx", "A 56704-2022")</f>
        <v/>
      </c>
      <c r="W46">
        <f>HYPERLINK("https://klasma.github.io/Logging_1981/klagomålsmail/A 56704-2022 FSC-klagomål mail.docx", "A 56704-2022")</f>
        <v/>
      </c>
      <c r="X46">
        <f>HYPERLINK("https://klasma.github.io/Logging_1981/tillsyn/A 56704-2022 tillsynsbegäran.docx", "A 56704-2022")</f>
        <v/>
      </c>
      <c r="Y46">
        <f>HYPERLINK("https://klasma.github.io/Logging_1981/tillsynsmail/A 56704-2022 tillsynsbegäran mail.docx", "A 56704-2022")</f>
        <v/>
      </c>
    </row>
    <row r="47" ht="15" customHeight="1">
      <c r="A47" t="inlineStr">
        <is>
          <t>A 41270-2024</t>
        </is>
      </c>
      <c r="B47" s="1" t="n">
        <v>45559</v>
      </c>
      <c r="C47" s="1" t="n">
        <v>46141</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14775-2023</t>
        </is>
      </c>
      <c r="B48" s="1" t="n">
        <v>45014</v>
      </c>
      <c r="C48" s="1" t="n">
        <v>46141</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21738-2025</t>
        </is>
      </c>
      <c r="B49" s="1" t="n">
        <v>45783.59173611111</v>
      </c>
      <c r="C49" s="1" t="n">
        <v>46141</v>
      </c>
      <c r="D49" t="inlineStr">
        <is>
          <t>VÄSTMANLANDS LÄN</t>
        </is>
      </c>
      <c r="E49" t="inlineStr">
        <is>
          <t>SALA</t>
        </is>
      </c>
      <c r="G49" t="n">
        <v>2.1</v>
      </c>
      <c r="H49" t="n">
        <v>0</v>
      </c>
      <c r="I49" t="n">
        <v>0</v>
      </c>
      <c r="J49" t="n">
        <v>1</v>
      </c>
      <c r="K49" t="n">
        <v>0</v>
      </c>
      <c r="L49" t="n">
        <v>0</v>
      </c>
      <c r="M49" t="n">
        <v>0</v>
      </c>
      <c r="N49" t="n">
        <v>0</v>
      </c>
      <c r="O49" t="n">
        <v>1</v>
      </c>
      <c r="P49" t="n">
        <v>0</v>
      </c>
      <c r="Q49" t="n">
        <v>1</v>
      </c>
      <c r="R49" s="2" t="inlineStr">
        <is>
          <t>Motaggsvamp</t>
        </is>
      </c>
      <c r="S49">
        <f>HYPERLINK("https://klasma.github.io/Logging_1981/artfynd/A 21738-2025 artfynd.xlsx", "A 21738-2025")</f>
        <v/>
      </c>
      <c r="T49">
        <f>HYPERLINK("https://klasma.github.io/Logging_1981/kartor/A 21738-2025 karta.png", "A 21738-2025")</f>
        <v/>
      </c>
      <c r="V49">
        <f>HYPERLINK("https://klasma.github.io/Logging_1981/klagomål/A 21738-2025 FSC-klagomål.docx", "A 21738-2025")</f>
        <v/>
      </c>
      <c r="W49">
        <f>HYPERLINK("https://klasma.github.io/Logging_1981/klagomålsmail/A 21738-2025 FSC-klagomål mail.docx", "A 21738-2025")</f>
        <v/>
      </c>
      <c r="X49">
        <f>HYPERLINK("https://klasma.github.io/Logging_1981/tillsyn/A 21738-2025 tillsynsbegäran.docx", "A 21738-2025")</f>
        <v/>
      </c>
      <c r="Y49">
        <f>HYPERLINK("https://klasma.github.io/Logging_1981/tillsynsmail/A 21738-2025 tillsynsbegäran mail.docx", "A 21738-2025")</f>
        <v/>
      </c>
    </row>
    <row r="50" ht="15" customHeight="1">
      <c r="A50" t="inlineStr">
        <is>
          <t>A 12509-2023</t>
        </is>
      </c>
      <c r="B50" s="1" t="n">
        <v>44999.95988425926</v>
      </c>
      <c r="C50" s="1" t="n">
        <v>46141</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19361-2025</t>
        </is>
      </c>
      <c r="B51" s="1" t="n">
        <v>45769.63357638889</v>
      </c>
      <c r="C51" s="1" t="n">
        <v>46141</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46141</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48705-2025</t>
        </is>
      </c>
      <c r="B53" s="1" t="n">
        <v>45936.62290509259</v>
      </c>
      <c r="C53" s="1" t="n">
        <v>46141</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50268-2025</t>
        </is>
      </c>
      <c r="B54" s="1" t="n">
        <v>45944.35162037037</v>
      </c>
      <c r="C54" s="1" t="n">
        <v>46141</v>
      </c>
      <c r="D54" t="inlineStr">
        <is>
          <t>VÄSTMANLANDS LÄN</t>
        </is>
      </c>
      <c r="E54" t="inlineStr">
        <is>
          <t>SALA</t>
        </is>
      </c>
      <c r="G54" t="n">
        <v>0.7</v>
      </c>
      <c r="H54" t="n">
        <v>1</v>
      </c>
      <c r="I54" t="n">
        <v>0</v>
      </c>
      <c r="J54" t="n">
        <v>0</v>
      </c>
      <c r="K54" t="n">
        <v>0</v>
      </c>
      <c r="L54" t="n">
        <v>0</v>
      </c>
      <c r="M54" t="n">
        <v>0</v>
      </c>
      <c r="N54" t="n">
        <v>0</v>
      </c>
      <c r="O54" t="n">
        <v>0</v>
      </c>
      <c r="P54" t="n">
        <v>0</v>
      </c>
      <c r="Q54" t="n">
        <v>1</v>
      </c>
      <c r="R54" s="2" t="inlineStr">
        <is>
          <t>Fläcknycklar</t>
        </is>
      </c>
      <c r="S54">
        <f>HYPERLINK("https://klasma.github.io/Logging_1981/artfynd/A 50268-2025 artfynd.xlsx", "A 50268-2025")</f>
        <v/>
      </c>
      <c r="T54">
        <f>HYPERLINK("https://klasma.github.io/Logging_1981/kartor/A 50268-2025 karta.png", "A 50268-2025")</f>
        <v/>
      </c>
      <c r="V54">
        <f>HYPERLINK("https://klasma.github.io/Logging_1981/klagomål/A 50268-2025 FSC-klagomål.docx", "A 50268-2025")</f>
        <v/>
      </c>
      <c r="W54">
        <f>HYPERLINK("https://klasma.github.io/Logging_1981/klagomålsmail/A 50268-2025 FSC-klagomål mail.docx", "A 50268-2025")</f>
        <v/>
      </c>
      <c r="X54">
        <f>HYPERLINK("https://klasma.github.io/Logging_1981/tillsyn/A 50268-2025 tillsynsbegäran.docx", "A 50268-2025")</f>
        <v/>
      </c>
      <c r="Y54">
        <f>HYPERLINK("https://klasma.github.io/Logging_1981/tillsynsmail/A 50268-2025 tillsynsbegäran mail.docx", "A 50268-2025")</f>
        <v/>
      </c>
    </row>
    <row r="55" ht="15" customHeight="1">
      <c r="A55" t="inlineStr">
        <is>
          <t>A 43175-2023</t>
        </is>
      </c>
      <c r="B55" s="1" t="n">
        <v>45183</v>
      </c>
      <c r="C55" s="1" t="n">
        <v>46141</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53052-2025</t>
        </is>
      </c>
      <c r="B56" s="1" t="n">
        <v>45958.36266203703</v>
      </c>
      <c r="C56" s="1" t="n">
        <v>46141</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22950-2025</t>
        </is>
      </c>
      <c r="B57" s="1" t="n">
        <v>45790.50728009259</v>
      </c>
      <c r="C57" s="1" t="n">
        <v>46141</v>
      </c>
      <c r="D57" t="inlineStr">
        <is>
          <t>VÄSTMANLANDS LÄN</t>
        </is>
      </c>
      <c r="E57" t="inlineStr">
        <is>
          <t>SALA</t>
        </is>
      </c>
      <c r="G57" t="n">
        <v>6.2</v>
      </c>
      <c r="H57" t="n">
        <v>1</v>
      </c>
      <c r="I57" t="n">
        <v>0</v>
      </c>
      <c r="J57" t="n">
        <v>1</v>
      </c>
      <c r="K57" t="n">
        <v>0</v>
      </c>
      <c r="L57" t="n">
        <v>0</v>
      </c>
      <c r="M57" t="n">
        <v>0</v>
      </c>
      <c r="N57" t="n">
        <v>0</v>
      </c>
      <c r="O57" t="n">
        <v>1</v>
      </c>
      <c r="P57" t="n">
        <v>0</v>
      </c>
      <c r="Q57" t="n">
        <v>1</v>
      </c>
      <c r="R57" s="2" t="inlineStr">
        <is>
          <t>Svartvit flugsnappare</t>
        </is>
      </c>
      <c r="S57">
        <f>HYPERLINK("https://klasma.github.io/Logging_1981/artfynd/A 22950-2025 artfynd.xlsx", "A 22950-2025")</f>
        <v/>
      </c>
      <c r="T57">
        <f>HYPERLINK("https://klasma.github.io/Logging_1981/kartor/A 22950-2025 karta.png", "A 22950-2025")</f>
        <v/>
      </c>
      <c r="V57">
        <f>HYPERLINK("https://klasma.github.io/Logging_1981/klagomål/A 22950-2025 FSC-klagomål.docx", "A 22950-2025")</f>
        <v/>
      </c>
      <c r="W57">
        <f>HYPERLINK("https://klasma.github.io/Logging_1981/klagomålsmail/A 22950-2025 FSC-klagomål mail.docx", "A 22950-2025")</f>
        <v/>
      </c>
      <c r="X57">
        <f>HYPERLINK("https://klasma.github.io/Logging_1981/tillsyn/A 22950-2025 tillsynsbegäran.docx", "A 22950-2025")</f>
        <v/>
      </c>
      <c r="Y57">
        <f>HYPERLINK("https://klasma.github.io/Logging_1981/tillsynsmail/A 22950-2025 tillsynsbegäran mail.docx", "A 22950-2025")</f>
        <v/>
      </c>
      <c r="Z57">
        <f>HYPERLINK("https://klasma.github.io/Logging_1981/fåglar/A 22950-2025 prioriterade fågelarter.docx", "A 22950-2025")</f>
        <v/>
      </c>
    </row>
    <row r="58" ht="15" customHeight="1">
      <c r="A58" t="inlineStr">
        <is>
          <t>A 55995-2025</t>
        </is>
      </c>
      <c r="B58" s="1" t="n">
        <v>45973.56733796297</v>
      </c>
      <c r="C58" s="1" t="n">
        <v>46141</v>
      </c>
      <c r="D58" t="inlineStr">
        <is>
          <t>VÄSTMANLANDS LÄN</t>
        </is>
      </c>
      <c r="E58" t="inlineStr">
        <is>
          <t>SALA</t>
        </is>
      </c>
      <c r="F58" t="inlineStr">
        <is>
          <t>Sveaskog</t>
        </is>
      </c>
      <c r="G58" t="n">
        <v>4.5</v>
      </c>
      <c r="H58" t="n">
        <v>1</v>
      </c>
      <c r="I58" t="n">
        <v>0</v>
      </c>
      <c r="J58" t="n">
        <v>0</v>
      </c>
      <c r="K58" t="n">
        <v>0</v>
      </c>
      <c r="L58" t="n">
        <v>0</v>
      </c>
      <c r="M58" t="n">
        <v>0</v>
      </c>
      <c r="N58" t="n">
        <v>0</v>
      </c>
      <c r="O58" t="n">
        <v>0</v>
      </c>
      <c r="P58" t="n">
        <v>0</v>
      </c>
      <c r="Q58" t="n">
        <v>1</v>
      </c>
      <c r="R58" s="2" t="inlineStr">
        <is>
          <t>Fläcknycklar</t>
        </is>
      </c>
      <c r="S58">
        <f>HYPERLINK("https://klasma.github.io/Logging_1981/artfynd/A 55995-2025 artfynd.xlsx", "A 55995-2025")</f>
        <v/>
      </c>
      <c r="T58">
        <f>HYPERLINK("https://klasma.github.io/Logging_1981/kartor/A 55995-2025 karta.png", "A 55995-2025")</f>
        <v/>
      </c>
      <c r="V58">
        <f>HYPERLINK("https://klasma.github.io/Logging_1981/klagomål/A 55995-2025 FSC-klagomål.docx", "A 55995-2025")</f>
        <v/>
      </c>
      <c r="W58">
        <f>HYPERLINK("https://klasma.github.io/Logging_1981/klagomålsmail/A 55995-2025 FSC-klagomål mail.docx", "A 55995-2025")</f>
        <v/>
      </c>
      <c r="X58">
        <f>HYPERLINK("https://klasma.github.io/Logging_1981/tillsyn/A 55995-2025 tillsynsbegäran.docx", "A 55995-2025")</f>
        <v/>
      </c>
      <c r="Y58">
        <f>HYPERLINK("https://klasma.github.io/Logging_1981/tillsynsmail/A 55995-2025 tillsynsbegäran mail.docx", "A 55995-2025")</f>
        <v/>
      </c>
    </row>
    <row r="59" ht="15" customHeight="1">
      <c r="A59" t="inlineStr">
        <is>
          <t>A 43068-2024</t>
        </is>
      </c>
      <c r="B59" s="1" t="n">
        <v>45567</v>
      </c>
      <c r="C59" s="1" t="n">
        <v>46141</v>
      </c>
      <c r="D59" t="inlineStr">
        <is>
          <t>VÄSTMANLANDS LÄN</t>
        </is>
      </c>
      <c r="E59" t="inlineStr">
        <is>
          <t>SALA</t>
        </is>
      </c>
      <c r="G59" t="n">
        <v>1.1</v>
      </c>
      <c r="H59" t="n">
        <v>0</v>
      </c>
      <c r="I59" t="n">
        <v>1</v>
      </c>
      <c r="J59" t="n">
        <v>0</v>
      </c>
      <c r="K59" t="n">
        <v>0</v>
      </c>
      <c r="L59" t="n">
        <v>0</v>
      </c>
      <c r="M59" t="n">
        <v>0</v>
      </c>
      <c r="N59" t="n">
        <v>0</v>
      </c>
      <c r="O59" t="n">
        <v>0</v>
      </c>
      <c r="P59" t="n">
        <v>0</v>
      </c>
      <c r="Q59" t="n">
        <v>1</v>
      </c>
      <c r="R59" s="2" t="inlineStr">
        <is>
          <t>Vedticka</t>
        </is>
      </c>
      <c r="S59">
        <f>HYPERLINK("https://klasma.github.io/Logging_1981/artfynd/A 43068-2024 artfynd.xlsx", "A 43068-2024")</f>
        <v/>
      </c>
      <c r="T59">
        <f>HYPERLINK("https://klasma.github.io/Logging_1981/kartor/A 43068-2024 karta.png", "A 43068-2024")</f>
        <v/>
      </c>
      <c r="V59">
        <f>HYPERLINK("https://klasma.github.io/Logging_1981/klagomål/A 43068-2024 FSC-klagomål.docx", "A 43068-2024")</f>
        <v/>
      </c>
      <c r="W59">
        <f>HYPERLINK("https://klasma.github.io/Logging_1981/klagomålsmail/A 43068-2024 FSC-klagomål mail.docx", "A 43068-2024")</f>
        <v/>
      </c>
      <c r="X59">
        <f>HYPERLINK("https://klasma.github.io/Logging_1981/tillsyn/A 43068-2024 tillsynsbegäran.docx", "A 43068-2024")</f>
        <v/>
      </c>
      <c r="Y59">
        <f>HYPERLINK("https://klasma.github.io/Logging_1981/tillsynsmail/A 43068-2024 tillsynsbegäran mail.docx", "A 43068-2024")</f>
        <v/>
      </c>
    </row>
    <row r="60" ht="15" customHeight="1">
      <c r="A60" t="inlineStr">
        <is>
          <t>A 55550-2023</t>
        </is>
      </c>
      <c r="B60" s="1" t="n">
        <v>45232</v>
      </c>
      <c r="C60" s="1" t="n">
        <v>46141</v>
      </c>
      <c r="D60" t="inlineStr">
        <is>
          <t>VÄSTMANLANDS LÄN</t>
        </is>
      </c>
      <c r="E60" t="inlineStr">
        <is>
          <t>SALA</t>
        </is>
      </c>
      <c r="G60" t="n">
        <v>9.9</v>
      </c>
      <c r="H60" t="n">
        <v>1</v>
      </c>
      <c r="I60" t="n">
        <v>0</v>
      </c>
      <c r="J60" t="n">
        <v>0</v>
      </c>
      <c r="K60" t="n">
        <v>1</v>
      </c>
      <c r="L60" t="n">
        <v>0</v>
      </c>
      <c r="M60" t="n">
        <v>0</v>
      </c>
      <c r="N60" t="n">
        <v>0</v>
      </c>
      <c r="O60" t="n">
        <v>1</v>
      </c>
      <c r="P60" t="n">
        <v>1</v>
      </c>
      <c r="Q60" t="n">
        <v>1</v>
      </c>
      <c r="R60" s="2" t="inlineStr">
        <is>
          <t>Knärot</t>
        </is>
      </c>
      <c r="S60">
        <f>HYPERLINK("https://klasma.github.io/Logging_1981/artfynd/A 55550-2023 artfynd.xlsx", "A 55550-2023")</f>
        <v/>
      </c>
      <c r="T60">
        <f>HYPERLINK("https://klasma.github.io/Logging_1981/kartor/A 55550-2023 karta.png", "A 55550-2023")</f>
        <v/>
      </c>
      <c r="U60">
        <f>HYPERLINK("https://klasma.github.io/Logging_1981/knärot/A 55550-2023 karta knärot.png", "A 55550-2023")</f>
        <v/>
      </c>
      <c r="V60">
        <f>HYPERLINK("https://klasma.github.io/Logging_1981/klagomål/A 55550-2023 FSC-klagomål.docx", "A 55550-2023")</f>
        <v/>
      </c>
      <c r="W60">
        <f>HYPERLINK("https://klasma.github.io/Logging_1981/klagomålsmail/A 55550-2023 FSC-klagomål mail.docx", "A 55550-2023")</f>
        <v/>
      </c>
      <c r="X60">
        <f>HYPERLINK("https://klasma.github.io/Logging_1981/tillsyn/A 55550-2023 tillsynsbegäran.docx", "A 55550-2023")</f>
        <v/>
      </c>
      <c r="Y60">
        <f>HYPERLINK("https://klasma.github.io/Logging_1981/tillsynsmail/A 55550-2023 tillsynsbegäran mail.docx", "A 55550-2023")</f>
        <v/>
      </c>
    </row>
    <row r="61" ht="15" customHeight="1">
      <c r="A61" t="inlineStr">
        <is>
          <t>A 7919-2022</t>
        </is>
      </c>
      <c r="B61" s="1" t="n">
        <v>44608</v>
      </c>
      <c r="C61" s="1" t="n">
        <v>46141</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46141</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32594-2025</t>
        </is>
      </c>
      <c r="B63" s="1" t="n">
        <v>45838</v>
      </c>
      <c r="C63" s="1" t="n">
        <v>46141</v>
      </c>
      <c r="D63" t="inlineStr">
        <is>
          <t>VÄSTMANLANDS LÄN</t>
        </is>
      </c>
      <c r="E63" t="inlineStr">
        <is>
          <t>SALA</t>
        </is>
      </c>
      <c r="F63" t="inlineStr">
        <is>
          <t>Bergvik skog öst AB</t>
        </is>
      </c>
      <c r="G63" t="n">
        <v>0.9</v>
      </c>
      <c r="H63" t="n">
        <v>1</v>
      </c>
      <c r="I63" t="n">
        <v>0</v>
      </c>
      <c r="J63" t="n">
        <v>0</v>
      </c>
      <c r="K63" t="n">
        <v>0</v>
      </c>
      <c r="L63" t="n">
        <v>0</v>
      </c>
      <c r="M63" t="n">
        <v>0</v>
      </c>
      <c r="N63" t="n">
        <v>0</v>
      </c>
      <c r="O63" t="n">
        <v>0</v>
      </c>
      <c r="P63" t="n">
        <v>0</v>
      </c>
      <c r="Q63" t="n">
        <v>1</v>
      </c>
      <c r="R63" s="2" t="inlineStr">
        <is>
          <t>Blåsippa</t>
        </is>
      </c>
      <c r="S63">
        <f>HYPERLINK("https://klasma.github.io/Logging_1981/artfynd/A 32594-2025 artfynd.xlsx", "A 32594-2025")</f>
        <v/>
      </c>
      <c r="T63">
        <f>HYPERLINK("https://klasma.github.io/Logging_1981/kartor/A 32594-2025 karta.png", "A 32594-2025")</f>
        <v/>
      </c>
      <c r="V63">
        <f>HYPERLINK("https://klasma.github.io/Logging_1981/klagomål/A 32594-2025 FSC-klagomål.docx", "A 32594-2025")</f>
        <v/>
      </c>
      <c r="W63">
        <f>HYPERLINK("https://klasma.github.io/Logging_1981/klagomålsmail/A 32594-2025 FSC-klagomål mail.docx", "A 32594-2025")</f>
        <v/>
      </c>
      <c r="X63">
        <f>HYPERLINK("https://klasma.github.io/Logging_1981/tillsyn/A 32594-2025 tillsynsbegäran.docx", "A 32594-2025")</f>
        <v/>
      </c>
      <c r="Y63">
        <f>HYPERLINK("https://klasma.github.io/Logging_1981/tillsynsmail/A 32594-2025 tillsynsbegäran mail.docx", "A 32594-2025")</f>
        <v/>
      </c>
    </row>
    <row r="64" ht="15" customHeight="1">
      <c r="A64" t="inlineStr">
        <is>
          <t>A 22350-2024</t>
        </is>
      </c>
      <c r="B64" s="1" t="n">
        <v>45446</v>
      </c>
      <c r="C64" s="1" t="n">
        <v>46141</v>
      </c>
      <c r="D64" t="inlineStr">
        <is>
          <t>VÄSTMANLANDS LÄN</t>
        </is>
      </c>
      <c r="E64" t="inlineStr">
        <is>
          <t>SALA</t>
        </is>
      </c>
      <c r="G64" t="n">
        <v>1.2</v>
      </c>
      <c r="H64" t="n">
        <v>1</v>
      </c>
      <c r="I64" t="n">
        <v>0</v>
      </c>
      <c r="J64" t="n">
        <v>0</v>
      </c>
      <c r="K64" t="n">
        <v>0</v>
      </c>
      <c r="L64" t="n">
        <v>0</v>
      </c>
      <c r="M64" t="n">
        <v>0</v>
      </c>
      <c r="N64" t="n">
        <v>0</v>
      </c>
      <c r="O64" t="n">
        <v>0</v>
      </c>
      <c r="P64" t="n">
        <v>0</v>
      </c>
      <c r="Q64" t="n">
        <v>1</v>
      </c>
      <c r="R64" s="2" t="inlineStr">
        <is>
          <t>Blåsippa</t>
        </is>
      </c>
      <c r="S64">
        <f>HYPERLINK("https://klasma.github.io/Logging_1981/artfynd/A 22350-2024 artfynd.xlsx", "A 22350-2024")</f>
        <v/>
      </c>
      <c r="T64">
        <f>HYPERLINK("https://klasma.github.io/Logging_1981/kartor/A 22350-2024 karta.png", "A 22350-2024")</f>
        <v/>
      </c>
      <c r="V64">
        <f>HYPERLINK("https://klasma.github.io/Logging_1981/klagomål/A 22350-2024 FSC-klagomål.docx", "A 22350-2024")</f>
        <v/>
      </c>
      <c r="W64">
        <f>HYPERLINK("https://klasma.github.io/Logging_1981/klagomålsmail/A 22350-2024 FSC-klagomål mail.docx", "A 22350-2024")</f>
        <v/>
      </c>
      <c r="X64">
        <f>HYPERLINK("https://klasma.github.io/Logging_1981/tillsyn/A 22350-2024 tillsynsbegäran.docx", "A 22350-2024")</f>
        <v/>
      </c>
      <c r="Y64">
        <f>HYPERLINK("https://klasma.github.io/Logging_1981/tillsynsmail/A 22350-2024 tillsynsbegäran mail.docx", "A 22350-2024")</f>
        <v/>
      </c>
    </row>
    <row r="65" ht="15" customHeight="1">
      <c r="A65" t="inlineStr">
        <is>
          <t>A 14488-2026</t>
        </is>
      </c>
      <c r="B65" s="1" t="n">
        <v>46100.59216435185</v>
      </c>
      <c r="C65" s="1" t="n">
        <v>46141</v>
      </c>
      <c r="D65" t="inlineStr">
        <is>
          <t>VÄSTMANLANDS LÄN</t>
        </is>
      </c>
      <c r="E65" t="inlineStr">
        <is>
          <t>SALA</t>
        </is>
      </c>
      <c r="F65" t="inlineStr">
        <is>
          <t>Sveaskog</t>
        </is>
      </c>
      <c r="G65" t="n">
        <v>1.5</v>
      </c>
      <c r="H65" t="n">
        <v>1</v>
      </c>
      <c r="I65" t="n">
        <v>0</v>
      </c>
      <c r="J65" t="n">
        <v>0</v>
      </c>
      <c r="K65" t="n">
        <v>0</v>
      </c>
      <c r="L65" t="n">
        <v>0</v>
      </c>
      <c r="M65" t="n">
        <v>0</v>
      </c>
      <c r="N65" t="n">
        <v>0</v>
      </c>
      <c r="O65" t="n">
        <v>0</v>
      </c>
      <c r="P65" t="n">
        <v>0</v>
      </c>
      <c r="Q65" t="n">
        <v>1</v>
      </c>
      <c r="R65" s="2" t="inlineStr">
        <is>
          <t>Mattlummer</t>
        </is>
      </c>
      <c r="S65">
        <f>HYPERLINK("https://klasma.github.io/Logging_1981/artfynd/A 14488-2026 artfynd.xlsx", "A 14488-2026")</f>
        <v/>
      </c>
      <c r="T65">
        <f>HYPERLINK("https://klasma.github.io/Logging_1981/kartor/A 14488-2026 karta.png", "A 14488-2026")</f>
        <v/>
      </c>
      <c r="V65">
        <f>HYPERLINK("https://klasma.github.io/Logging_1981/klagomål/A 14488-2026 FSC-klagomål.docx", "A 14488-2026")</f>
        <v/>
      </c>
      <c r="W65">
        <f>HYPERLINK("https://klasma.github.io/Logging_1981/klagomålsmail/A 14488-2026 FSC-klagomål mail.docx", "A 14488-2026")</f>
        <v/>
      </c>
      <c r="X65">
        <f>HYPERLINK("https://klasma.github.io/Logging_1981/tillsyn/A 14488-2026 tillsynsbegäran.docx", "A 14488-2026")</f>
        <v/>
      </c>
      <c r="Y65">
        <f>HYPERLINK("https://klasma.github.io/Logging_1981/tillsynsmail/A 14488-2026 tillsynsbegäran mail.docx", "A 14488-2026")</f>
        <v/>
      </c>
    </row>
    <row r="66" ht="15" customHeight="1">
      <c r="A66" t="inlineStr">
        <is>
          <t>A 14487-2026</t>
        </is>
      </c>
      <c r="B66" s="1" t="n">
        <v>46100.59162037037</v>
      </c>
      <c r="C66" s="1" t="n">
        <v>46141</v>
      </c>
      <c r="D66" t="inlineStr">
        <is>
          <t>VÄSTMANLANDS LÄN</t>
        </is>
      </c>
      <c r="E66" t="inlineStr">
        <is>
          <t>SALA</t>
        </is>
      </c>
      <c r="F66" t="inlineStr">
        <is>
          <t>Sveaskog</t>
        </is>
      </c>
      <c r="G66" t="n">
        <v>6.7</v>
      </c>
      <c r="H66" t="n">
        <v>0</v>
      </c>
      <c r="I66" t="n">
        <v>0</v>
      </c>
      <c r="J66" t="n">
        <v>1</v>
      </c>
      <c r="K66" t="n">
        <v>0</v>
      </c>
      <c r="L66" t="n">
        <v>0</v>
      </c>
      <c r="M66" t="n">
        <v>0</v>
      </c>
      <c r="N66" t="n">
        <v>0</v>
      </c>
      <c r="O66" t="n">
        <v>1</v>
      </c>
      <c r="P66" t="n">
        <v>0</v>
      </c>
      <c r="Q66" t="n">
        <v>1</v>
      </c>
      <c r="R66" s="2" t="inlineStr">
        <is>
          <t>Motaggsvamp</t>
        </is>
      </c>
      <c r="S66">
        <f>HYPERLINK("https://klasma.github.io/Logging_1981/artfynd/A 14487-2026 artfynd.xlsx", "A 14487-2026")</f>
        <v/>
      </c>
      <c r="T66">
        <f>HYPERLINK("https://klasma.github.io/Logging_1981/kartor/A 14487-2026 karta.png", "A 14487-2026")</f>
        <v/>
      </c>
      <c r="V66">
        <f>HYPERLINK("https://klasma.github.io/Logging_1981/klagomål/A 14487-2026 FSC-klagomål.docx", "A 14487-2026")</f>
        <v/>
      </c>
      <c r="W66">
        <f>HYPERLINK("https://klasma.github.io/Logging_1981/klagomålsmail/A 14487-2026 FSC-klagomål mail.docx", "A 14487-2026")</f>
        <v/>
      </c>
      <c r="X66">
        <f>HYPERLINK("https://klasma.github.io/Logging_1981/tillsyn/A 14487-2026 tillsynsbegäran.docx", "A 14487-2026")</f>
        <v/>
      </c>
      <c r="Y66">
        <f>HYPERLINK("https://klasma.github.io/Logging_1981/tillsynsmail/A 14487-2026 tillsynsbegäran mail.docx", "A 14487-2026")</f>
        <v/>
      </c>
    </row>
    <row r="67" ht="15" customHeight="1">
      <c r="A67" t="inlineStr">
        <is>
          <t>A 7672-2026</t>
        </is>
      </c>
      <c r="B67" s="1" t="n">
        <v>46062.42077546296</v>
      </c>
      <c r="C67" s="1" t="n">
        <v>46141</v>
      </c>
      <c r="D67" t="inlineStr">
        <is>
          <t>VÄSTMANLANDS LÄN</t>
        </is>
      </c>
      <c r="E67" t="inlineStr">
        <is>
          <t>SALA</t>
        </is>
      </c>
      <c r="G67" t="n">
        <v>2.9</v>
      </c>
      <c r="H67" t="n">
        <v>1</v>
      </c>
      <c r="I67" t="n">
        <v>0</v>
      </c>
      <c r="J67" t="n">
        <v>0</v>
      </c>
      <c r="K67" t="n">
        <v>0</v>
      </c>
      <c r="L67" t="n">
        <v>0</v>
      </c>
      <c r="M67" t="n">
        <v>0</v>
      </c>
      <c r="N67" t="n">
        <v>0</v>
      </c>
      <c r="O67" t="n">
        <v>0</v>
      </c>
      <c r="P67" t="n">
        <v>0</v>
      </c>
      <c r="Q67" t="n">
        <v>1</v>
      </c>
      <c r="R67" s="2" t="inlineStr">
        <is>
          <t>Nattviol</t>
        </is>
      </c>
      <c r="S67">
        <f>HYPERLINK("https://klasma.github.io/Logging_1981/artfynd/A 7672-2026 artfynd.xlsx", "A 7672-2026")</f>
        <v/>
      </c>
      <c r="T67">
        <f>HYPERLINK("https://klasma.github.io/Logging_1981/kartor/A 7672-2026 karta.png", "A 7672-2026")</f>
        <v/>
      </c>
      <c r="V67">
        <f>HYPERLINK("https://klasma.github.io/Logging_1981/klagomål/A 7672-2026 FSC-klagomål.docx", "A 7672-2026")</f>
        <v/>
      </c>
      <c r="W67">
        <f>HYPERLINK("https://klasma.github.io/Logging_1981/klagomålsmail/A 7672-2026 FSC-klagomål mail.docx", "A 7672-2026")</f>
        <v/>
      </c>
      <c r="X67">
        <f>HYPERLINK("https://klasma.github.io/Logging_1981/tillsyn/A 7672-2026 tillsynsbegäran.docx", "A 7672-2026")</f>
        <v/>
      </c>
      <c r="Y67">
        <f>HYPERLINK("https://klasma.github.io/Logging_1981/tillsynsmail/A 7672-2026 tillsynsbegäran mail.docx", "A 7672-2026")</f>
        <v/>
      </c>
    </row>
    <row r="68" ht="15" customHeight="1">
      <c r="A68" t="inlineStr">
        <is>
          <t>A 38255-2025</t>
        </is>
      </c>
      <c r="B68" s="1" t="n">
        <v>45883.38020833334</v>
      </c>
      <c r="C68" s="1" t="n">
        <v>46141</v>
      </c>
      <c r="D68" t="inlineStr">
        <is>
          <t>VÄSTMANLANDS LÄN</t>
        </is>
      </c>
      <c r="E68" t="inlineStr">
        <is>
          <t>SALA</t>
        </is>
      </c>
      <c r="G68" t="n">
        <v>0.9</v>
      </c>
      <c r="H68" t="n">
        <v>1</v>
      </c>
      <c r="I68" t="n">
        <v>0</v>
      </c>
      <c r="J68" t="n">
        <v>0</v>
      </c>
      <c r="K68" t="n">
        <v>1</v>
      </c>
      <c r="L68" t="n">
        <v>0</v>
      </c>
      <c r="M68" t="n">
        <v>0</v>
      </c>
      <c r="N68" t="n">
        <v>0</v>
      </c>
      <c r="O68" t="n">
        <v>1</v>
      </c>
      <c r="P68" t="n">
        <v>1</v>
      </c>
      <c r="Q68" t="n">
        <v>1</v>
      </c>
      <c r="R68" s="2" t="inlineStr">
        <is>
          <t>Knärot</t>
        </is>
      </c>
      <c r="S68">
        <f>HYPERLINK("https://klasma.github.io/Logging_1981/artfynd/A 38255-2025 artfynd.xlsx", "A 38255-2025")</f>
        <v/>
      </c>
      <c r="T68">
        <f>HYPERLINK("https://klasma.github.io/Logging_1981/kartor/A 38255-2025 karta.png", "A 38255-2025")</f>
        <v/>
      </c>
      <c r="U68">
        <f>HYPERLINK("https://klasma.github.io/Logging_1981/knärot/A 38255-2025 karta knärot.png", "A 38255-2025")</f>
        <v/>
      </c>
      <c r="V68">
        <f>HYPERLINK("https://klasma.github.io/Logging_1981/klagomål/A 38255-2025 FSC-klagomål.docx", "A 38255-2025")</f>
        <v/>
      </c>
      <c r="W68">
        <f>HYPERLINK("https://klasma.github.io/Logging_1981/klagomålsmail/A 38255-2025 FSC-klagomål mail.docx", "A 38255-2025")</f>
        <v/>
      </c>
      <c r="X68">
        <f>HYPERLINK("https://klasma.github.io/Logging_1981/tillsyn/A 38255-2025 tillsynsbegäran.docx", "A 38255-2025")</f>
        <v/>
      </c>
      <c r="Y68">
        <f>HYPERLINK("https://klasma.github.io/Logging_1981/tillsynsmail/A 38255-2025 tillsynsbegäran mail.docx", "A 38255-2025")</f>
        <v/>
      </c>
    </row>
    <row r="69" ht="15" customHeight="1">
      <c r="A69" t="inlineStr">
        <is>
          <t>A 18896-2026</t>
        </is>
      </c>
      <c r="B69" s="1" t="n">
        <v>46129</v>
      </c>
      <c r="C69" s="1" t="n">
        <v>46141</v>
      </c>
      <c r="D69" t="inlineStr">
        <is>
          <t>VÄSTMANLANDS LÄN</t>
        </is>
      </c>
      <c r="E69" t="inlineStr">
        <is>
          <t>SALA</t>
        </is>
      </c>
      <c r="F69" t="inlineStr">
        <is>
          <t>Kommuner</t>
        </is>
      </c>
      <c r="G69" t="n">
        <v>1.1</v>
      </c>
      <c r="H69" t="n">
        <v>0</v>
      </c>
      <c r="I69" t="n">
        <v>0</v>
      </c>
      <c r="J69" t="n">
        <v>1</v>
      </c>
      <c r="K69" t="n">
        <v>0</v>
      </c>
      <c r="L69" t="n">
        <v>0</v>
      </c>
      <c r="M69" t="n">
        <v>0</v>
      </c>
      <c r="N69" t="n">
        <v>0</v>
      </c>
      <c r="O69" t="n">
        <v>1</v>
      </c>
      <c r="P69" t="n">
        <v>0</v>
      </c>
      <c r="Q69" t="n">
        <v>1</v>
      </c>
      <c r="R69" s="2" t="inlineStr">
        <is>
          <t>Ullticka</t>
        </is>
      </c>
      <c r="S69">
        <f>HYPERLINK("https://klasma.github.io/Logging_1981/artfynd/A 18896-2026 artfynd.xlsx", "A 18896-2026")</f>
        <v/>
      </c>
      <c r="T69">
        <f>HYPERLINK("https://klasma.github.io/Logging_1981/kartor/A 18896-2026 karta.png", "A 18896-2026")</f>
        <v/>
      </c>
      <c r="V69">
        <f>HYPERLINK("https://klasma.github.io/Logging_1981/klagomål/A 18896-2026 FSC-klagomål.docx", "A 18896-2026")</f>
        <v/>
      </c>
      <c r="W69">
        <f>HYPERLINK("https://klasma.github.io/Logging_1981/klagomålsmail/A 18896-2026 FSC-klagomål mail.docx", "A 18896-2026")</f>
        <v/>
      </c>
      <c r="X69">
        <f>HYPERLINK("https://klasma.github.io/Logging_1981/tillsyn/A 18896-2026 tillsynsbegäran.docx", "A 18896-2026")</f>
        <v/>
      </c>
      <c r="Y69">
        <f>HYPERLINK("https://klasma.github.io/Logging_1981/tillsynsmail/A 18896-2026 tillsynsbegäran mail.docx", "A 18896-2026")</f>
        <v/>
      </c>
    </row>
    <row r="70" ht="15" customHeight="1">
      <c r="A70" t="inlineStr">
        <is>
          <t>A 66561-2021</t>
        </is>
      </c>
      <c r="B70" s="1" t="n">
        <v>44519.41648148148</v>
      </c>
      <c r="C70" s="1" t="n">
        <v>46141</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73124-2021</t>
        </is>
      </c>
      <c r="B71" s="1" t="n">
        <v>44550</v>
      </c>
      <c r="C71" s="1" t="n">
        <v>46141</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46141</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43292-2021</t>
        </is>
      </c>
      <c r="B73" s="1" t="n">
        <v>44432</v>
      </c>
      <c r="C73" s="1" t="n">
        <v>46141</v>
      </c>
      <c r="D73" t="inlineStr">
        <is>
          <t>VÄSTMANLANDS LÄN</t>
        </is>
      </c>
      <c r="E73" t="inlineStr">
        <is>
          <t>SALA</t>
        </is>
      </c>
      <c r="G73" t="n">
        <v>15</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46141</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46141</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47683-2021</t>
        </is>
      </c>
      <c r="B76" s="1" t="n">
        <v>44448</v>
      </c>
      <c r="C76" s="1" t="n">
        <v>46141</v>
      </c>
      <c r="D76" t="inlineStr">
        <is>
          <t>VÄSTMANLANDS LÄN</t>
        </is>
      </c>
      <c r="E76" t="inlineStr">
        <is>
          <t>SALA</t>
        </is>
      </c>
      <c r="G76" t="n">
        <v>0.7</v>
      </c>
      <c r="H76" t="n">
        <v>0</v>
      </c>
      <c r="I76" t="n">
        <v>0</v>
      </c>
      <c r="J76" t="n">
        <v>0</v>
      </c>
      <c r="K76" t="n">
        <v>0</v>
      </c>
      <c r="L76" t="n">
        <v>0</v>
      </c>
      <c r="M76" t="n">
        <v>0</v>
      </c>
      <c r="N76" t="n">
        <v>0</v>
      </c>
      <c r="O76" t="n">
        <v>0</v>
      </c>
      <c r="P76" t="n">
        <v>0</v>
      </c>
      <c r="Q76" t="n">
        <v>0</v>
      </c>
      <c r="R76" s="2" t="inlineStr"/>
    </row>
    <row r="77" ht="15" customHeight="1">
      <c r="A77" t="inlineStr">
        <is>
          <t>A 54520-2021</t>
        </is>
      </c>
      <c r="B77" s="1" t="n">
        <v>44473</v>
      </c>
      <c r="C77" s="1" t="n">
        <v>46141</v>
      </c>
      <c r="D77" t="inlineStr">
        <is>
          <t>VÄSTMANLANDS LÄN</t>
        </is>
      </c>
      <c r="E77" t="inlineStr">
        <is>
          <t>SALA</t>
        </is>
      </c>
      <c r="G77" t="n">
        <v>5.8</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46141</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46141</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46141</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46141</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46141</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46141</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46141</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46141</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46141</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46141</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46141</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46141</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46141</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46141</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46141</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46141</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46141</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46141</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46141</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46141</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46141</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46141</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46141</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46141</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46141</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46141</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46141</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46141</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46141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46141</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46141</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46141</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46141</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46141</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46141</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46141</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46141</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46141</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46141</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44217-2022</t>
        </is>
      </c>
      <c r="B117" s="1" t="n">
        <v>44839.49953703704</v>
      </c>
      <c r="C117" s="1" t="n">
        <v>46141</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61897-2021</t>
        </is>
      </c>
      <c r="B118" s="1" t="n">
        <v>44502</v>
      </c>
      <c r="C118" s="1" t="n">
        <v>46141</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46141</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67962-2021</t>
        </is>
      </c>
      <c r="B120" s="1" t="n">
        <v>44525</v>
      </c>
      <c r="C120" s="1" t="n">
        <v>46141</v>
      </c>
      <c r="D120" t="inlineStr">
        <is>
          <t>VÄSTMANLANDS LÄN</t>
        </is>
      </c>
      <c r="E120" t="inlineStr">
        <is>
          <t>SALA</t>
        </is>
      </c>
      <c r="G120" t="n">
        <v>1.4</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46141</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46141</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53630-2022</t>
        </is>
      </c>
      <c r="B123" s="1" t="n">
        <v>44879.87533564815</v>
      </c>
      <c r="C123" s="1" t="n">
        <v>46141</v>
      </c>
      <c r="D123" t="inlineStr">
        <is>
          <t>VÄSTMANLANDS LÄN</t>
        </is>
      </c>
      <c r="E123" t="inlineStr">
        <is>
          <t>SALA</t>
        </is>
      </c>
      <c r="G123" t="n">
        <v>0.7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46141</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65856-2021</t>
        </is>
      </c>
      <c r="B125" s="1" t="n">
        <v>44517</v>
      </c>
      <c r="C125" s="1" t="n">
        <v>46141</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72405-2021</t>
        </is>
      </c>
      <c r="B126" s="1" t="n">
        <v>44545</v>
      </c>
      <c r="C126" s="1" t="n">
        <v>46141</v>
      </c>
      <c r="D126" t="inlineStr">
        <is>
          <t>VÄSTMANLANDS LÄN</t>
        </is>
      </c>
      <c r="E126" t="inlineStr">
        <is>
          <t>SALA</t>
        </is>
      </c>
      <c r="G126" t="n">
        <v>1</v>
      </c>
      <c r="H126" t="n">
        <v>0</v>
      </c>
      <c r="I126" t="n">
        <v>0</v>
      </c>
      <c r="J126" t="n">
        <v>0</v>
      </c>
      <c r="K126" t="n">
        <v>0</v>
      </c>
      <c r="L126" t="n">
        <v>0</v>
      </c>
      <c r="M126" t="n">
        <v>0</v>
      </c>
      <c r="N126" t="n">
        <v>0</v>
      </c>
      <c r="O126" t="n">
        <v>0</v>
      </c>
      <c r="P126" t="n">
        <v>0</v>
      </c>
      <c r="Q126" t="n">
        <v>0</v>
      </c>
      <c r="R126" s="2" t="inlineStr"/>
    </row>
    <row r="127" ht="15" customHeight="1">
      <c r="A127" t="inlineStr">
        <is>
          <t>A 24882-2022</t>
        </is>
      </c>
      <c r="B127" s="1" t="n">
        <v>44728.56488425926</v>
      </c>
      <c r="C127" s="1" t="n">
        <v>46141</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63290-2021</t>
        </is>
      </c>
      <c r="B128" s="1" t="n">
        <v>44505</v>
      </c>
      <c r="C128" s="1" t="n">
        <v>46141</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44224-2022</t>
        </is>
      </c>
      <c r="B129" s="1" t="n">
        <v>44839.506875</v>
      </c>
      <c r="C129" s="1" t="n">
        <v>46141</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25603-2022</t>
        </is>
      </c>
      <c r="B130" s="1" t="n">
        <v>44732</v>
      </c>
      <c r="C130" s="1" t="n">
        <v>46141</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73519-2021</t>
        </is>
      </c>
      <c r="B131" s="1" t="n">
        <v>44551</v>
      </c>
      <c r="C131" s="1" t="n">
        <v>46141</v>
      </c>
      <c r="D131" t="inlineStr">
        <is>
          <t>VÄSTMANLANDS LÄN</t>
        </is>
      </c>
      <c r="E131" t="inlineStr">
        <is>
          <t>SALA</t>
        </is>
      </c>
      <c r="G131" t="n">
        <v>0.3</v>
      </c>
      <c r="H131" t="n">
        <v>0</v>
      </c>
      <c r="I131" t="n">
        <v>0</v>
      </c>
      <c r="J131" t="n">
        <v>0</v>
      </c>
      <c r="K131" t="n">
        <v>0</v>
      </c>
      <c r="L131" t="n">
        <v>0</v>
      </c>
      <c r="M131" t="n">
        <v>0</v>
      </c>
      <c r="N131" t="n">
        <v>0</v>
      </c>
      <c r="O131" t="n">
        <v>0</v>
      </c>
      <c r="P131" t="n">
        <v>0</v>
      </c>
      <c r="Q131" t="n">
        <v>0</v>
      </c>
      <c r="R131" s="2" t="inlineStr"/>
    </row>
    <row r="132" ht="15" customHeight="1">
      <c r="A132" t="inlineStr">
        <is>
          <t>A 37881-2021</t>
        </is>
      </c>
      <c r="B132" s="1" t="n">
        <v>44403</v>
      </c>
      <c r="C132" s="1" t="n">
        <v>46141</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72805-2021</t>
        </is>
      </c>
      <c r="B133" s="1" t="n">
        <v>44546</v>
      </c>
      <c r="C133" s="1" t="n">
        <v>46141</v>
      </c>
      <c r="D133" t="inlineStr">
        <is>
          <t>VÄSTMANLANDS LÄN</t>
        </is>
      </c>
      <c r="E133" t="inlineStr">
        <is>
          <t>SALA</t>
        </is>
      </c>
      <c r="G133" t="n">
        <v>7.8</v>
      </c>
      <c r="H133" t="n">
        <v>0</v>
      </c>
      <c r="I133" t="n">
        <v>0</v>
      </c>
      <c r="J133" t="n">
        <v>0</v>
      </c>
      <c r="K133" t="n">
        <v>0</v>
      </c>
      <c r="L133" t="n">
        <v>0</v>
      </c>
      <c r="M133" t="n">
        <v>0</v>
      </c>
      <c r="N133" t="n">
        <v>0</v>
      </c>
      <c r="O133" t="n">
        <v>0</v>
      </c>
      <c r="P133" t="n">
        <v>0</v>
      </c>
      <c r="Q133" t="n">
        <v>0</v>
      </c>
      <c r="R133" s="2" t="inlineStr"/>
    </row>
    <row r="134" ht="15" customHeight="1">
      <c r="A134" t="inlineStr">
        <is>
          <t>A 72808-2021</t>
        </is>
      </c>
      <c r="B134" s="1" t="n">
        <v>44546</v>
      </c>
      <c r="C134" s="1" t="n">
        <v>46141</v>
      </c>
      <c r="D134" t="inlineStr">
        <is>
          <t>VÄSTMANLANDS LÄN</t>
        </is>
      </c>
      <c r="E134" t="inlineStr">
        <is>
          <t>SALA</t>
        </is>
      </c>
      <c r="G134" t="n">
        <v>0.7</v>
      </c>
      <c r="H134" t="n">
        <v>0</v>
      </c>
      <c r="I134" t="n">
        <v>0</v>
      </c>
      <c r="J134" t="n">
        <v>0</v>
      </c>
      <c r="K134" t="n">
        <v>0</v>
      </c>
      <c r="L134" t="n">
        <v>0</v>
      </c>
      <c r="M134" t="n">
        <v>0</v>
      </c>
      <c r="N134" t="n">
        <v>0</v>
      </c>
      <c r="O134" t="n">
        <v>0</v>
      </c>
      <c r="P134" t="n">
        <v>0</v>
      </c>
      <c r="Q134" t="n">
        <v>0</v>
      </c>
      <c r="R134" s="2" t="inlineStr"/>
    </row>
    <row r="135" ht="15" customHeight="1">
      <c r="A135" t="inlineStr">
        <is>
          <t>A 53628-2022</t>
        </is>
      </c>
      <c r="B135" s="1" t="n">
        <v>44879.87171296297</v>
      </c>
      <c r="C135" s="1" t="n">
        <v>46141</v>
      </c>
      <c r="D135" t="inlineStr">
        <is>
          <t>VÄSTMANLANDS LÄN</t>
        </is>
      </c>
      <c r="E135" t="inlineStr">
        <is>
          <t>SALA</t>
        </is>
      </c>
      <c r="G135" t="n">
        <v>2.7</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46141</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23847-2022</t>
        </is>
      </c>
      <c r="B137" s="1" t="n">
        <v>44722</v>
      </c>
      <c r="C137" s="1" t="n">
        <v>46141</v>
      </c>
      <c r="D137" t="inlineStr">
        <is>
          <t>VÄSTMANLANDS LÄN</t>
        </is>
      </c>
      <c r="E137" t="inlineStr">
        <is>
          <t>SALA</t>
        </is>
      </c>
      <c r="G137" t="n">
        <v>1</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46141</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40113-2022</t>
        </is>
      </c>
      <c r="B139" s="1" t="n">
        <v>44819</v>
      </c>
      <c r="C139" s="1" t="n">
        <v>46141</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46141</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30915-2021</t>
        </is>
      </c>
      <c r="B141" s="1" t="n">
        <v>44365</v>
      </c>
      <c r="C141" s="1" t="n">
        <v>46141</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30918-2021</t>
        </is>
      </c>
      <c r="B142" s="1" t="n">
        <v>44365.60569444444</v>
      </c>
      <c r="C142" s="1" t="n">
        <v>46141</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22562-2022</t>
        </is>
      </c>
      <c r="B143" s="1" t="n">
        <v>44713</v>
      </c>
      <c r="C143" s="1" t="n">
        <v>46141</v>
      </c>
      <c r="D143" t="inlineStr">
        <is>
          <t>VÄSTMANLANDS LÄN</t>
        </is>
      </c>
      <c r="E143" t="inlineStr">
        <is>
          <t>SALA</t>
        </is>
      </c>
      <c r="G143" t="n">
        <v>0.8</v>
      </c>
      <c r="H143" t="n">
        <v>0</v>
      </c>
      <c r="I143" t="n">
        <v>0</v>
      </c>
      <c r="J143" t="n">
        <v>0</v>
      </c>
      <c r="K143" t="n">
        <v>0</v>
      </c>
      <c r="L143" t="n">
        <v>0</v>
      </c>
      <c r="M143" t="n">
        <v>0</v>
      </c>
      <c r="N143" t="n">
        <v>0</v>
      </c>
      <c r="O143" t="n">
        <v>0</v>
      </c>
      <c r="P143" t="n">
        <v>0</v>
      </c>
      <c r="Q143" t="n">
        <v>0</v>
      </c>
      <c r="R143" s="2" t="inlineStr"/>
    </row>
    <row r="144" ht="15" customHeight="1">
      <c r="A144" t="inlineStr">
        <is>
          <t>A 30904-2021</t>
        </is>
      </c>
      <c r="B144" s="1" t="n">
        <v>44365.5983449074</v>
      </c>
      <c r="C144" s="1" t="n">
        <v>46141</v>
      </c>
      <c r="D144" t="inlineStr">
        <is>
          <t>VÄSTMANLANDS LÄN</t>
        </is>
      </c>
      <c r="E144" t="inlineStr">
        <is>
          <t>SALA</t>
        </is>
      </c>
      <c r="G144" t="n">
        <v>1.9</v>
      </c>
      <c r="H144" t="n">
        <v>0</v>
      </c>
      <c r="I144" t="n">
        <v>0</v>
      </c>
      <c r="J144" t="n">
        <v>0</v>
      </c>
      <c r="K144" t="n">
        <v>0</v>
      </c>
      <c r="L144" t="n">
        <v>0</v>
      </c>
      <c r="M144" t="n">
        <v>0</v>
      </c>
      <c r="N144" t="n">
        <v>0</v>
      </c>
      <c r="O144" t="n">
        <v>0</v>
      </c>
      <c r="P144" t="n">
        <v>0</v>
      </c>
      <c r="Q144" t="n">
        <v>0</v>
      </c>
      <c r="R144" s="2" t="inlineStr"/>
    </row>
    <row r="145" ht="15" customHeight="1">
      <c r="A145" t="inlineStr">
        <is>
          <t>A 29233-2022</t>
        </is>
      </c>
      <c r="B145" s="1" t="n">
        <v>44750</v>
      </c>
      <c r="C145" s="1" t="n">
        <v>46141</v>
      </c>
      <c r="D145" t="inlineStr">
        <is>
          <t>VÄSTMANLANDS LÄN</t>
        </is>
      </c>
      <c r="E145" t="inlineStr">
        <is>
          <t>SALA</t>
        </is>
      </c>
      <c r="G145" t="n">
        <v>2.4</v>
      </c>
      <c r="H145" t="n">
        <v>0</v>
      </c>
      <c r="I145" t="n">
        <v>0</v>
      </c>
      <c r="J145" t="n">
        <v>0</v>
      </c>
      <c r="K145" t="n">
        <v>0</v>
      </c>
      <c r="L145" t="n">
        <v>0</v>
      </c>
      <c r="M145" t="n">
        <v>0</v>
      </c>
      <c r="N145" t="n">
        <v>0</v>
      </c>
      <c r="O145" t="n">
        <v>0</v>
      </c>
      <c r="P145" t="n">
        <v>0</v>
      </c>
      <c r="Q145" t="n">
        <v>0</v>
      </c>
      <c r="R145" s="2" t="inlineStr"/>
    </row>
    <row r="146" ht="15" customHeight="1">
      <c r="A146" t="inlineStr">
        <is>
          <t>A 26570-2021</t>
        </is>
      </c>
      <c r="B146" s="1" t="n">
        <v>44348</v>
      </c>
      <c r="C146" s="1" t="n">
        <v>46141</v>
      </c>
      <c r="D146" t="inlineStr">
        <is>
          <t>VÄSTMANLANDS LÄN</t>
        </is>
      </c>
      <c r="E146" t="inlineStr">
        <is>
          <t>SALA</t>
        </is>
      </c>
      <c r="G146" t="n">
        <v>2.5</v>
      </c>
      <c r="H146" t="n">
        <v>0</v>
      </c>
      <c r="I146" t="n">
        <v>0</v>
      </c>
      <c r="J146" t="n">
        <v>0</v>
      </c>
      <c r="K146" t="n">
        <v>0</v>
      </c>
      <c r="L146" t="n">
        <v>0</v>
      </c>
      <c r="M146" t="n">
        <v>0</v>
      </c>
      <c r="N146" t="n">
        <v>0</v>
      </c>
      <c r="O146" t="n">
        <v>0</v>
      </c>
      <c r="P146" t="n">
        <v>0</v>
      </c>
      <c r="Q146" t="n">
        <v>0</v>
      </c>
      <c r="R146" s="2" t="inlineStr"/>
    </row>
    <row r="147" ht="15" customHeight="1">
      <c r="A147" t="inlineStr">
        <is>
          <t>A 51596-2022</t>
        </is>
      </c>
      <c r="B147" s="1" t="n">
        <v>44871</v>
      </c>
      <c r="C147" s="1" t="n">
        <v>46141</v>
      </c>
      <c r="D147" t="inlineStr">
        <is>
          <t>VÄSTMANLANDS LÄN</t>
        </is>
      </c>
      <c r="E147" t="inlineStr">
        <is>
          <t>SALA</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66508-2021</t>
        </is>
      </c>
      <c r="B148" s="1" t="n">
        <v>44519.33401620371</v>
      </c>
      <c r="C148" s="1" t="n">
        <v>46141</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31452-2021</t>
        </is>
      </c>
      <c r="B149" s="1" t="n">
        <v>44369</v>
      </c>
      <c r="C149" s="1" t="n">
        <v>46141</v>
      </c>
      <c r="D149" t="inlineStr">
        <is>
          <t>VÄSTMANLANDS LÄN</t>
        </is>
      </c>
      <c r="E149" t="inlineStr">
        <is>
          <t>SALA</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46141</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22811-2022</t>
        </is>
      </c>
      <c r="B151" s="1" t="n">
        <v>44715</v>
      </c>
      <c r="C151" s="1" t="n">
        <v>46141</v>
      </c>
      <c r="D151" t="inlineStr">
        <is>
          <t>VÄSTMANLANDS LÄN</t>
        </is>
      </c>
      <c r="E151" t="inlineStr">
        <is>
          <t>SALA</t>
        </is>
      </c>
      <c r="G151" t="n">
        <v>5</v>
      </c>
      <c r="H151" t="n">
        <v>0</v>
      </c>
      <c r="I151" t="n">
        <v>0</v>
      </c>
      <c r="J151" t="n">
        <v>0</v>
      </c>
      <c r="K151" t="n">
        <v>0</v>
      </c>
      <c r="L151" t="n">
        <v>0</v>
      </c>
      <c r="M151" t="n">
        <v>0</v>
      </c>
      <c r="N151" t="n">
        <v>0</v>
      </c>
      <c r="O151" t="n">
        <v>0</v>
      </c>
      <c r="P151" t="n">
        <v>0</v>
      </c>
      <c r="Q151" t="n">
        <v>0</v>
      </c>
      <c r="R151" s="2" t="inlineStr"/>
    </row>
    <row r="152" ht="15" customHeight="1">
      <c r="A152" t="inlineStr">
        <is>
          <t>A 65213-2021</t>
        </is>
      </c>
      <c r="B152" s="1" t="n">
        <v>44515</v>
      </c>
      <c r="C152" s="1" t="n">
        <v>46141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41876-2022</t>
        </is>
      </c>
      <c r="B153" s="1" t="n">
        <v>44829.97008101852</v>
      </c>
      <c r="C153" s="1" t="n">
        <v>46141</v>
      </c>
      <c r="D153" t="inlineStr">
        <is>
          <t>VÄSTMANLANDS LÄN</t>
        </is>
      </c>
      <c r="E153" t="inlineStr">
        <is>
          <t>SALA</t>
        </is>
      </c>
      <c r="G153" t="n">
        <v>3.6</v>
      </c>
      <c r="H153" t="n">
        <v>0</v>
      </c>
      <c r="I153" t="n">
        <v>0</v>
      </c>
      <c r="J153" t="n">
        <v>0</v>
      </c>
      <c r="K153" t="n">
        <v>0</v>
      </c>
      <c r="L153" t="n">
        <v>0</v>
      </c>
      <c r="M153" t="n">
        <v>0</v>
      </c>
      <c r="N153" t="n">
        <v>0</v>
      </c>
      <c r="O153" t="n">
        <v>0</v>
      </c>
      <c r="P153" t="n">
        <v>0</v>
      </c>
      <c r="Q153" t="n">
        <v>0</v>
      </c>
      <c r="R153" s="2" t="inlineStr"/>
    </row>
    <row r="154" ht="15" customHeight="1">
      <c r="A154" t="inlineStr">
        <is>
          <t>A 67958-2021</t>
        </is>
      </c>
      <c r="B154" s="1" t="n">
        <v>44525</v>
      </c>
      <c r="C154" s="1" t="n">
        <v>46141</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67965-2021</t>
        </is>
      </c>
      <c r="B155" s="1" t="n">
        <v>44525</v>
      </c>
      <c r="C155" s="1" t="n">
        <v>46141</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22575-2022</t>
        </is>
      </c>
      <c r="B156" s="1" t="n">
        <v>44713</v>
      </c>
      <c r="C156" s="1" t="n">
        <v>46141</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23181-2022</t>
        </is>
      </c>
      <c r="B157" s="1" t="n">
        <v>44719.79537037037</v>
      </c>
      <c r="C157" s="1" t="n">
        <v>46141</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65860-2021</t>
        </is>
      </c>
      <c r="B158" s="1" t="n">
        <v>44517.38163194444</v>
      </c>
      <c r="C158" s="1" t="n">
        <v>46141</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45015-2022</t>
        </is>
      </c>
      <c r="B159" s="1" t="n">
        <v>44841.63766203704</v>
      </c>
      <c r="C159" s="1" t="n">
        <v>46141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46141</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9075-2022</t>
        </is>
      </c>
      <c r="B161" s="1" t="n">
        <v>44615.47800925926</v>
      </c>
      <c r="C161" s="1" t="n">
        <v>46141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10168-2022</t>
        </is>
      </c>
      <c r="B162" s="1" t="n">
        <v>44622.37693287037</v>
      </c>
      <c r="C162" s="1" t="n">
        <v>46141</v>
      </c>
      <c r="D162" t="inlineStr">
        <is>
          <t>VÄSTMANLANDS LÄN</t>
        </is>
      </c>
      <c r="E162" t="inlineStr">
        <is>
          <t>SALA</t>
        </is>
      </c>
      <c r="G162" t="n">
        <v>2.1</v>
      </c>
      <c r="H162" t="n">
        <v>0</v>
      </c>
      <c r="I162" t="n">
        <v>0</v>
      </c>
      <c r="J162" t="n">
        <v>0</v>
      </c>
      <c r="K162" t="n">
        <v>0</v>
      </c>
      <c r="L162" t="n">
        <v>0</v>
      </c>
      <c r="M162" t="n">
        <v>0</v>
      </c>
      <c r="N162" t="n">
        <v>0</v>
      </c>
      <c r="O162" t="n">
        <v>0</v>
      </c>
      <c r="P162" t="n">
        <v>0</v>
      </c>
      <c r="Q162" t="n">
        <v>0</v>
      </c>
      <c r="R162" s="2" t="inlineStr"/>
    </row>
    <row r="163" ht="15" customHeight="1">
      <c r="A163" t="inlineStr">
        <is>
          <t>A 8130-2022</t>
        </is>
      </c>
      <c r="B163" s="1" t="n">
        <v>44609.5984837963</v>
      </c>
      <c r="C163" s="1" t="n">
        <v>46141</v>
      </c>
      <c r="D163" t="inlineStr">
        <is>
          <t>VÄSTMANLANDS LÄN</t>
        </is>
      </c>
      <c r="E163" t="inlineStr">
        <is>
          <t>SALA</t>
        </is>
      </c>
      <c r="G163" t="n">
        <v>3.5</v>
      </c>
      <c r="H163" t="n">
        <v>0</v>
      </c>
      <c r="I163" t="n">
        <v>0</v>
      </c>
      <c r="J163" t="n">
        <v>0</v>
      </c>
      <c r="K163" t="n">
        <v>0</v>
      </c>
      <c r="L163" t="n">
        <v>0</v>
      </c>
      <c r="M163" t="n">
        <v>0</v>
      </c>
      <c r="N163" t="n">
        <v>0</v>
      </c>
      <c r="O163" t="n">
        <v>0</v>
      </c>
      <c r="P163" t="n">
        <v>0</v>
      </c>
      <c r="Q163" t="n">
        <v>0</v>
      </c>
      <c r="R163" s="2" t="inlineStr"/>
    </row>
    <row r="164" ht="15" customHeight="1">
      <c r="A164" t="inlineStr">
        <is>
          <t>A 15972-2024</t>
        </is>
      </c>
      <c r="B164" s="1" t="n">
        <v>45405.56498842593</v>
      </c>
      <c r="C164" s="1" t="n">
        <v>46141</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65818-2021</t>
        </is>
      </c>
      <c r="B165" s="1" t="n">
        <v>44517</v>
      </c>
      <c r="C165" s="1" t="n">
        <v>46141</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29002-2022</t>
        </is>
      </c>
      <c r="B166" s="1" t="n">
        <v>44749</v>
      </c>
      <c r="C166" s="1" t="n">
        <v>46141</v>
      </c>
      <c r="D166" t="inlineStr">
        <is>
          <t>VÄSTMANLANDS LÄN</t>
        </is>
      </c>
      <c r="E166" t="inlineStr">
        <is>
          <t>SALA</t>
        </is>
      </c>
      <c r="G166" t="n">
        <v>5.4</v>
      </c>
      <c r="H166" t="n">
        <v>0</v>
      </c>
      <c r="I166" t="n">
        <v>0</v>
      </c>
      <c r="J166" t="n">
        <v>0</v>
      </c>
      <c r="K166" t="n">
        <v>0</v>
      </c>
      <c r="L166" t="n">
        <v>0</v>
      </c>
      <c r="M166" t="n">
        <v>0</v>
      </c>
      <c r="N166" t="n">
        <v>0</v>
      </c>
      <c r="O166" t="n">
        <v>0</v>
      </c>
      <c r="P166" t="n">
        <v>0</v>
      </c>
      <c r="Q166" t="n">
        <v>0</v>
      </c>
      <c r="R166" s="2" t="inlineStr"/>
    </row>
    <row r="167" ht="15" customHeight="1">
      <c r="A167" t="inlineStr">
        <is>
          <t>A 37958-2024</t>
        </is>
      </c>
      <c r="B167" s="1" t="n">
        <v>45544</v>
      </c>
      <c r="C167" s="1" t="n">
        <v>46141</v>
      </c>
      <c r="D167" t="inlineStr">
        <is>
          <t>VÄSTMANLANDS LÄN</t>
        </is>
      </c>
      <c r="E167" t="inlineStr">
        <is>
          <t>SALA</t>
        </is>
      </c>
      <c r="G167" t="n">
        <v>5.6</v>
      </c>
      <c r="H167" t="n">
        <v>0</v>
      </c>
      <c r="I167" t="n">
        <v>0</v>
      </c>
      <c r="J167" t="n">
        <v>0</v>
      </c>
      <c r="K167" t="n">
        <v>0</v>
      </c>
      <c r="L167" t="n">
        <v>0</v>
      </c>
      <c r="M167" t="n">
        <v>0</v>
      </c>
      <c r="N167" t="n">
        <v>0</v>
      </c>
      <c r="O167" t="n">
        <v>0</v>
      </c>
      <c r="P167" t="n">
        <v>0</v>
      </c>
      <c r="Q167" t="n">
        <v>0</v>
      </c>
      <c r="R167" s="2" t="inlineStr"/>
    </row>
    <row r="168" ht="15" customHeight="1">
      <c r="A168" t="inlineStr">
        <is>
          <t>A 57000-2021</t>
        </is>
      </c>
      <c r="B168" s="1" t="n">
        <v>44482.46760416667</v>
      </c>
      <c r="C168" s="1" t="n">
        <v>46141</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9050-2022</t>
        </is>
      </c>
      <c r="B169" s="1" t="n">
        <v>44615.45451388889</v>
      </c>
      <c r="C169" s="1" t="n">
        <v>46141</v>
      </c>
      <c r="D169" t="inlineStr">
        <is>
          <t>VÄSTMANLANDS LÄN</t>
        </is>
      </c>
      <c r="E169" t="inlineStr">
        <is>
          <t>SALA</t>
        </is>
      </c>
      <c r="G169" t="n">
        <v>3.1</v>
      </c>
      <c r="H169" t="n">
        <v>0</v>
      </c>
      <c r="I169" t="n">
        <v>0</v>
      </c>
      <c r="J169" t="n">
        <v>0</v>
      </c>
      <c r="K169" t="n">
        <v>0</v>
      </c>
      <c r="L169" t="n">
        <v>0</v>
      </c>
      <c r="M169" t="n">
        <v>0</v>
      </c>
      <c r="N169" t="n">
        <v>0</v>
      </c>
      <c r="O169" t="n">
        <v>0</v>
      </c>
      <c r="P169" t="n">
        <v>0</v>
      </c>
      <c r="Q169" t="n">
        <v>0</v>
      </c>
      <c r="R169" s="2" t="inlineStr"/>
    </row>
    <row r="170" ht="15" customHeight="1">
      <c r="A170" t="inlineStr">
        <is>
          <t>A 26579-2021</t>
        </is>
      </c>
      <c r="B170" s="1" t="n">
        <v>44348</v>
      </c>
      <c r="C170" s="1" t="n">
        <v>46141</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1555-2024</t>
        </is>
      </c>
      <c r="B171" s="1" t="n">
        <v>45306</v>
      </c>
      <c r="C171" s="1" t="n">
        <v>46141</v>
      </c>
      <c r="D171" t="inlineStr">
        <is>
          <t>VÄSTMANLANDS LÄN</t>
        </is>
      </c>
      <c r="E171" t="inlineStr">
        <is>
          <t>SALA</t>
        </is>
      </c>
      <c r="G171" t="n">
        <v>1.3</v>
      </c>
      <c r="H171" t="n">
        <v>0</v>
      </c>
      <c r="I171" t="n">
        <v>0</v>
      </c>
      <c r="J171" t="n">
        <v>0</v>
      </c>
      <c r="K171" t="n">
        <v>0</v>
      </c>
      <c r="L171" t="n">
        <v>0</v>
      </c>
      <c r="M171" t="n">
        <v>0</v>
      </c>
      <c r="N171" t="n">
        <v>0</v>
      </c>
      <c r="O171" t="n">
        <v>0</v>
      </c>
      <c r="P171" t="n">
        <v>0</v>
      </c>
      <c r="Q171" t="n">
        <v>0</v>
      </c>
      <c r="R171" s="2" t="inlineStr"/>
    </row>
    <row r="172" ht="15" customHeight="1">
      <c r="A172" t="inlineStr">
        <is>
          <t>A 49254-2022</t>
        </is>
      </c>
      <c r="B172" s="1" t="n">
        <v>44861</v>
      </c>
      <c r="C172" s="1" t="n">
        <v>46141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11370-2022</t>
        </is>
      </c>
      <c r="B173" s="1" t="n">
        <v>44630</v>
      </c>
      <c r="C173" s="1" t="n">
        <v>46141</v>
      </c>
      <c r="D173" t="inlineStr">
        <is>
          <t>VÄSTMANLANDS LÄN</t>
        </is>
      </c>
      <c r="E173" t="inlineStr">
        <is>
          <t>SALA</t>
        </is>
      </c>
      <c r="G173" t="n">
        <v>4.3</v>
      </c>
      <c r="H173" t="n">
        <v>0</v>
      </c>
      <c r="I173" t="n">
        <v>0</v>
      </c>
      <c r="J173" t="n">
        <v>0</v>
      </c>
      <c r="K173" t="n">
        <v>0</v>
      </c>
      <c r="L173" t="n">
        <v>0</v>
      </c>
      <c r="M173" t="n">
        <v>0</v>
      </c>
      <c r="N173" t="n">
        <v>0</v>
      </c>
      <c r="O173" t="n">
        <v>0</v>
      </c>
      <c r="P173" t="n">
        <v>0</v>
      </c>
      <c r="Q173" t="n">
        <v>0</v>
      </c>
      <c r="R173" s="2" t="inlineStr"/>
    </row>
    <row r="174" ht="15" customHeight="1">
      <c r="A174" t="inlineStr">
        <is>
          <t>A 64932-2021</t>
        </is>
      </c>
      <c r="B174" s="1" t="n">
        <v>44512</v>
      </c>
      <c r="C174" s="1" t="n">
        <v>46141</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43176-2023</t>
        </is>
      </c>
      <c r="B175" s="1" t="n">
        <v>45183</v>
      </c>
      <c r="C175" s="1" t="n">
        <v>46141</v>
      </c>
      <c r="D175" t="inlineStr">
        <is>
          <t>VÄSTMANLANDS LÄN</t>
        </is>
      </c>
      <c r="E175" t="inlineStr">
        <is>
          <t>SALA</t>
        </is>
      </c>
      <c r="G175" t="n">
        <v>1.2</v>
      </c>
      <c r="H175" t="n">
        <v>0</v>
      </c>
      <c r="I175" t="n">
        <v>0</v>
      </c>
      <c r="J175" t="n">
        <v>0</v>
      </c>
      <c r="K175" t="n">
        <v>0</v>
      </c>
      <c r="L175" t="n">
        <v>0</v>
      </c>
      <c r="M175" t="n">
        <v>0</v>
      </c>
      <c r="N175" t="n">
        <v>0</v>
      </c>
      <c r="O175" t="n">
        <v>0</v>
      </c>
      <c r="P175" t="n">
        <v>0</v>
      </c>
      <c r="Q175" t="n">
        <v>0</v>
      </c>
      <c r="R175" s="2" t="inlineStr"/>
    </row>
    <row r="176" ht="15" customHeight="1">
      <c r="A176" t="inlineStr">
        <is>
          <t>A 37624-2024</t>
        </is>
      </c>
      <c r="B176" s="1" t="n">
        <v>45541</v>
      </c>
      <c r="C176" s="1" t="n">
        <v>46141</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57895-2024</t>
        </is>
      </c>
      <c r="B177" s="1" t="n">
        <v>45631</v>
      </c>
      <c r="C177" s="1" t="n">
        <v>46141</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47086-2022</t>
        </is>
      </c>
      <c r="B178" s="1" t="n">
        <v>44852</v>
      </c>
      <c r="C178" s="1" t="n">
        <v>46141</v>
      </c>
      <c r="D178" t="inlineStr">
        <is>
          <t>VÄSTMANLANDS LÄN</t>
        </is>
      </c>
      <c r="E178" t="inlineStr">
        <is>
          <t>SALA</t>
        </is>
      </c>
      <c r="G178" t="n">
        <v>12.5</v>
      </c>
      <c r="H178" t="n">
        <v>0</v>
      </c>
      <c r="I178" t="n">
        <v>0</v>
      </c>
      <c r="J178" t="n">
        <v>0</v>
      </c>
      <c r="K178" t="n">
        <v>0</v>
      </c>
      <c r="L178" t="n">
        <v>0</v>
      </c>
      <c r="M178" t="n">
        <v>0</v>
      </c>
      <c r="N178" t="n">
        <v>0</v>
      </c>
      <c r="O178" t="n">
        <v>0</v>
      </c>
      <c r="P178" t="n">
        <v>0</v>
      </c>
      <c r="Q178" t="n">
        <v>0</v>
      </c>
      <c r="R178" s="2" t="inlineStr"/>
    </row>
    <row r="179" ht="15" customHeight="1">
      <c r="A179" t="inlineStr">
        <is>
          <t>A 15756-2025</t>
        </is>
      </c>
      <c r="B179" s="1" t="n">
        <v>45748.56810185185</v>
      </c>
      <c r="C179" s="1" t="n">
        <v>46141</v>
      </c>
      <c r="D179" t="inlineStr">
        <is>
          <t>VÄSTMANLANDS LÄN</t>
        </is>
      </c>
      <c r="E179" t="inlineStr">
        <is>
          <t>SALA</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66830-2021</t>
        </is>
      </c>
      <c r="B180" s="1" t="n">
        <v>44522.40886574074</v>
      </c>
      <c r="C180" s="1" t="n">
        <v>46141</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31000-2022</t>
        </is>
      </c>
      <c r="B181" s="1" t="n">
        <v>44768</v>
      </c>
      <c r="C181" s="1" t="n">
        <v>46141</v>
      </c>
      <c r="D181" t="inlineStr">
        <is>
          <t>VÄSTMANLANDS LÄN</t>
        </is>
      </c>
      <c r="E181" t="inlineStr">
        <is>
          <t>SALA</t>
        </is>
      </c>
      <c r="G181" t="n">
        <v>5.7</v>
      </c>
      <c r="H181" t="n">
        <v>0</v>
      </c>
      <c r="I181" t="n">
        <v>0</v>
      </c>
      <c r="J181" t="n">
        <v>0</v>
      </c>
      <c r="K181" t="n">
        <v>0</v>
      </c>
      <c r="L181" t="n">
        <v>0</v>
      </c>
      <c r="M181" t="n">
        <v>0</v>
      </c>
      <c r="N181" t="n">
        <v>0</v>
      </c>
      <c r="O181" t="n">
        <v>0</v>
      </c>
      <c r="P181" t="n">
        <v>0</v>
      </c>
      <c r="Q181" t="n">
        <v>0</v>
      </c>
      <c r="R181" s="2" t="inlineStr"/>
    </row>
    <row r="182" ht="15" customHeight="1">
      <c r="A182" t="inlineStr">
        <is>
          <t>A 37183-2024</t>
        </is>
      </c>
      <c r="B182" s="1" t="n">
        <v>45539</v>
      </c>
      <c r="C182" s="1" t="n">
        <v>46141</v>
      </c>
      <c r="D182" t="inlineStr">
        <is>
          <t>VÄSTMANLANDS LÄN</t>
        </is>
      </c>
      <c r="E182" t="inlineStr">
        <is>
          <t>SALA</t>
        </is>
      </c>
      <c r="G182" t="n">
        <v>1.2</v>
      </c>
      <c r="H182" t="n">
        <v>0</v>
      </c>
      <c r="I182" t="n">
        <v>0</v>
      </c>
      <c r="J182" t="n">
        <v>0</v>
      </c>
      <c r="K182" t="n">
        <v>0</v>
      </c>
      <c r="L182" t="n">
        <v>0</v>
      </c>
      <c r="M182" t="n">
        <v>0</v>
      </c>
      <c r="N182" t="n">
        <v>0</v>
      </c>
      <c r="O182" t="n">
        <v>0</v>
      </c>
      <c r="P182" t="n">
        <v>0</v>
      </c>
      <c r="Q182" t="n">
        <v>0</v>
      </c>
      <c r="R182" s="2" t="inlineStr"/>
    </row>
    <row r="183" ht="15" customHeight="1">
      <c r="A183" t="inlineStr">
        <is>
          <t>A 58107-2021</t>
        </is>
      </c>
      <c r="B183" s="1" t="n">
        <v>44487</v>
      </c>
      <c r="C183" s="1" t="n">
        <v>46141</v>
      </c>
      <c r="D183" t="inlineStr">
        <is>
          <t>VÄSTMANLANDS LÄN</t>
        </is>
      </c>
      <c r="E183" t="inlineStr">
        <is>
          <t>SALA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56687-2024</t>
        </is>
      </c>
      <c r="B184" s="1" t="n">
        <v>45627.63271990741</v>
      </c>
      <c r="C184" s="1" t="n">
        <v>46141</v>
      </c>
      <c r="D184" t="inlineStr">
        <is>
          <t>VÄSTMANLANDS LÄN</t>
        </is>
      </c>
      <c r="E184" t="inlineStr">
        <is>
          <t>SALA</t>
        </is>
      </c>
      <c r="G184" t="n">
        <v>1.2</v>
      </c>
      <c r="H184" t="n">
        <v>0</v>
      </c>
      <c r="I184" t="n">
        <v>0</v>
      </c>
      <c r="J184" t="n">
        <v>0</v>
      </c>
      <c r="K184" t="n">
        <v>0</v>
      </c>
      <c r="L184" t="n">
        <v>0</v>
      </c>
      <c r="M184" t="n">
        <v>0</v>
      </c>
      <c r="N184" t="n">
        <v>0</v>
      </c>
      <c r="O184" t="n">
        <v>0</v>
      </c>
      <c r="P184" t="n">
        <v>0</v>
      </c>
      <c r="Q184" t="n">
        <v>0</v>
      </c>
      <c r="R184" s="2" t="inlineStr"/>
    </row>
    <row r="185" ht="15" customHeight="1">
      <c r="A185" t="inlineStr">
        <is>
          <t>A 27229-2022</t>
        </is>
      </c>
      <c r="B185" s="1" t="n">
        <v>44741</v>
      </c>
      <c r="C185" s="1" t="n">
        <v>46141</v>
      </c>
      <c r="D185" t="inlineStr">
        <is>
          <t>VÄSTMANLANDS LÄN</t>
        </is>
      </c>
      <c r="E185" t="inlineStr">
        <is>
          <t>SALA</t>
        </is>
      </c>
      <c r="F185" t="inlineStr">
        <is>
          <t>Kommuner</t>
        </is>
      </c>
      <c r="G185" t="n">
        <v>1.4</v>
      </c>
      <c r="H185" t="n">
        <v>0</v>
      </c>
      <c r="I185" t="n">
        <v>0</v>
      </c>
      <c r="J185" t="n">
        <v>0</v>
      </c>
      <c r="K185" t="n">
        <v>0</v>
      </c>
      <c r="L185" t="n">
        <v>0</v>
      </c>
      <c r="M185" t="n">
        <v>0</v>
      </c>
      <c r="N185" t="n">
        <v>0</v>
      </c>
      <c r="O185" t="n">
        <v>0</v>
      </c>
      <c r="P185" t="n">
        <v>0</v>
      </c>
      <c r="Q185" t="n">
        <v>0</v>
      </c>
      <c r="R185" s="2" t="inlineStr"/>
    </row>
    <row r="186" ht="15" customHeight="1">
      <c r="A186" t="inlineStr">
        <is>
          <t>A 54347-2024</t>
        </is>
      </c>
      <c r="B186" s="1" t="n">
        <v>45617.39325231482</v>
      </c>
      <c r="C186" s="1" t="n">
        <v>46141</v>
      </c>
      <c r="D186" t="inlineStr">
        <is>
          <t>VÄSTMANLANDS LÄN</t>
        </is>
      </c>
      <c r="E186" t="inlineStr">
        <is>
          <t>SALA</t>
        </is>
      </c>
      <c r="G186" t="n">
        <v>2</v>
      </c>
      <c r="H186" t="n">
        <v>0</v>
      </c>
      <c r="I186" t="n">
        <v>0</v>
      </c>
      <c r="J186" t="n">
        <v>0</v>
      </c>
      <c r="K186" t="n">
        <v>0</v>
      </c>
      <c r="L186" t="n">
        <v>0</v>
      </c>
      <c r="M186" t="n">
        <v>0</v>
      </c>
      <c r="N186" t="n">
        <v>0</v>
      </c>
      <c r="O186" t="n">
        <v>0</v>
      </c>
      <c r="P186" t="n">
        <v>0</v>
      </c>
      <c r="Q186" t="n">
        <v>0</v>
      </c>
      <c r="R186" s="2" t="inlineStr"/>
    </row>
    <row r="187" ht="15" customHeight="1">
      <c r="A187" t="inlineStr">
        <is>
          <t>A 35462-2024</t>
        </is>
      </c>
      <c r="B187" s="1" t="n">
        <v>45531</v>
      </c>
      <c r="C187" s="1" t="n">
        <v>46141</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14024-2025</t>
        </is>
      </c>
      <c r="B188" s="1" t="n">
        <v>45740.34650462963</v>
      </c>
      <c r="C188" s="1" t="n">
        <v>46141</v>
      </c>
      <c r="D188" t="inlineStr">
        <is>
          <t>VÄSTMANLANDS LÄN</t>
        </is>
      </c>
      <c r="E188" t="inlineStr">
        <is>
          <t>SALA</t>
        </is>
      </c>
      <c r="G188" t="n">
        <v>1.1</v>
      </c>
      <c r="H188" t="n">
        <v>0</v>
      </c>
      <c r="I188" t="n">
        <v>0</v>
      </c>
      <c r="J188" t="n">
        <v>0</v>
      </c>
      <c r="K188" t="n">
        <v>0</v>
      </c>
      <c r="L188" t="n">
        <v>0</v>
      </c>
      <c r="M188" t="n">
        <v>0</v>
      </c>
      <c r="N188" t="n">
        <v>0</v>
      </c>
      <c r="O188" t="n">
        <v>0</v>
      </c>
      <c r="P188" t="n">
        <v>0</v>
      </c>
      <c r="Q188" t="n">
        <v>0</v>
      </c>
      <c r="R188" s="2" t="inlineStr"/>
    </row>
    <row r="189" ht="15" customHeight="1">
      <c r="A189" t="inlineStr">
        <is>
          <t>A 28402-2022</t>
        </is>
      </c>
      <c r="B189" s="1" t="n">
        <v>44747</v>
      </c>
      <c r="C189" s="1" t="n">
        <v>46141</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26692-2023</t>
        </is>
      </c>
      <c r="B190" s="1" t="n">
        <v>45093.360625</v>
      </c>
      <c r="C190" s="1" t="n">
        <v>46141</v>
      </c>
      <c r="D190" t="inlineStr">
        <is>
          <t>VÄSTMANLANDS LÄN</t>
        </is>
      </c>
      <c r="E190" t="inlineStr">
        <is>
          <t>SALA</t>
        </is>
      </c>
      <c r="G190" t="n">
        <v>1.8</v>
      </c>
      <c r="H190" t="n">
        <v>0</v>
      </c>
      <c r="I190" t="n">
        <v>0</v>
      </c>
      <c r="J190" t="n">
        <v>0</v>
      </c>
      <c r="K190" t="n">
        <v>0</v>
      </c>
      <c r="L190" t="n">
        <v>0</v>
      </c>
      <c r="M190" t="n">
        <v>0</v>
      </c>
      <c r="N190" t="n">
        <v>0</v>
      </c>
      <c r="O190" t="n">
        <v>0</v>
      </c>
      <c r="P190" t="n">
        <v>0</v>
      </c>
      <c r="Q190" t="n">
        <v>0</v>
      </c>
      <c r="R190" s="2" t="inlineStr"/>
    </row>
    <row r="191" ht="15" customHeight="1">
      <c r="A191" t="inlineStr">
        <is>
          <t>A 64693-2023</t>
        </is>
      </c>
      <c r="B191" s="1" t="n">
        <v>45281.63850694444</v>
      </c>
      <c r="C191" s="1" t="n">
        <v>46141</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64695-2023</t>
        </is>
      </c>
      <c r="B192" s="1" t="n">
        <v>45281.64099537037</v>
      </c>
      <c r="C192" s="1" t="n">
        <v>46141</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1793-2023</t>
        </is>
      </c>
      <c r="B193" s="1" t="n">
        <v>44937</v>
      </c>
      <c r="C193" s="1" t="n">
        <v>46141</v>
      </c>
      <c r="D193" t="inlineStr">
        <is>
          <t>VÄSTMANLANDS LÄN</t>
        </is>
      </c>
      <c r="E193" t="inlineStr">
        <is>
          <t>SALA</t>
        </is>
      </c>
      <c r="G193" t="n">
        <v>2.6</v>
      </c>
      <c r="H193" t="n">
        <v>0</v>
      </c>
      <c r="I193" t="n">
        <v>0</v>
      </c>
      <c r="J193" t="n">
        <v>0</v>
      </c>
      <c r="K193" t="n">
        <v>0</v>
      </c>
      <c r="L193" t="n">
        <v>0</v>
      </c>
      <c r="M193" t="n">
        <v>0</v>
      </c>
      <c r="N193" t="n">
        <v>0</v>
      </c>
      <c r="O193" t="n">
        <v>0</v>
      </c>
      <c r="P193" t="n">
        <v>0</v>
      </c>
      <c r="Q193" t="n">
        <v>0</v>
      </c>
      <c r="R193" s="2" t="inlineStr"/>
    </row>
    <row r="194" ht="15" customHeight="1">
      <c r="A194" t="inlineStr">
        <is>
          <t>A 54910-2023</t>
        </is>
      </c>
      <c r="B194" s="1" t="n">
        <v>45229</v>
      </c>
      <c r="C194" s="1" t="n">
        <v>46141</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27486-2022</t>
        </is>
      </c>
      <c r="B195" s="1" t="n">
        <v>44742.60846064815</v>
      </c>
      <c r="C195" s="1" t="n">
        <v>46141</v>
      </c>
      <c r="D195" t="inlineStr">
        <is>
          <t>VÄSTMANLANDS LÄN</t>
        </is>
      </c>
      <c r="E195" t="inlineStr">
        <is>
          <t>SALA</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29248-2022</t>
        </is>
      </c>
      <c r="B196" s="1" t="n">
        <v>44750</v>
      </c>
      <c r="C196" s="1" t="n">
        <v>46141</v>
      </c>
      <c r="D196" t="inlineStr">
        <is>
          <t>VÄSTMANLANDS LÄN</t>
        </is>
      </c>
      <c r="E196" t="inlineStr">
        <is>
          <t>SALA</t>
        </is>
      </c>
      <c r="G196" t="n">
        <v>1.6</v>
      </c>
      <c r="H196" t="n">
        <v>0</v>
      </c>
      <c r="I196" t="n">
        <v>0</v>
      </c>
      <c r="J196" t="n">
        <v>0</v>
      </c>
      <c r="K196" t="n">
        <v>0</v>
      </c>
      <c r="L196" t="n">
        <v>0</v>
      </c>
      <c r="M196" t="n">
        <v>0</v>
      </c>
      <c r="N196" t="n">
        <v>0</v>
      </c>
      <c r="O196" t="n">
        <v>0</v>
      </c>
      <c r="P196" t="n">
        <v>0</v>
      </c>
      <c r="Q196" t="n">
        <v>0</v>
      </c>
      <c r="R196" s="2" t="inlineStr"/>
    </row>
    <row r="197" ht="15" customHeight="1">
      <c r="A197" t="inlineStr">
        <is>
          <t>A 62449-2023</t>
        </is>
      </c>
      <c r="B197" s="1" t="n">
        <v>45268.49008101852</v>
      </c>
      <c r="C197" s="1" t="n">
        <v>46141</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17458-2024</t>
        </is>
      </c>
      <c r="B198" s="1" t="n">
        <v>45415</v>
      </c>
      <c r="C198" s="1" t="n">
        <v>46141</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35003-2024</t>
        </is>
      </c>
      <c r="B199" s="1" t="n">
        <v>45527.56790509259</v>
      </c>
      <c r="C199" s="1" t="n">
        <v>46141</v>
      </c>
      <c r="D199" t="inlineStr">
        <is>
          <t>VÄSTMANLANDS LÄN</t>
        </is>
      </c>
      <c r="E199" t="inlineStr">
        <is>
          <t>SALA</t>
        </is>
      </c>
      <c r="G199" t="n">
        <v>0.7</v>
      </c>
      <c r="H199" t="n">
        <v>0</v>
      </c>
      <c r="I199" t="n">
        <v>0</v>
      </c>
      <c r="J199" t="n">
        <v>0</v>
      </c>
      <c r="K199" t="n">
        <v>0</v>
      </c>
      <c r="L199" t="n">
        <v>0</v>
      </c>
      <c r="M199" t="n">
        <v>0</v>
      </c>
      <c r="N199" t="n">
        <v>0</v>
      </c>
      <c r="O199" t="n">
        <v>0</v>
      </c>
      <c r="P199" t="n">
        <v>0</v>
      </c>
      <c r="Q199" t="n">
        <v>0</v>
      </c>
      <c r="R199" s="2" t="inlineStr"/>
    </row>
    <row r="200" ht="15" customHeight="1">
      <c r="A200" t="inlineStr">
        <is>
          <t>A 22397-2022</t>
        </is>
      </c>
      <c r="B200" s="1" t="n">
        <v>44713</v>
      </c>
      <c r="C200" s="1" t="n">
        <v>46141</v>
      </c>
      <c r="D200" t="inlineStr">
        <is>
          <t>VÄSTMANLANDS LÄN</t>
        </is>
      </c>
      <c r="E200" t="inlineStr">
        <is>
          <t>SALA</t>
        </is>
      </c>
      <c r="G200" t="n">
        <v>2.1</v>
      </c>
      <c r="H200" t="n">
        <v>0</v>
      </c>
      <c r="I200" t="n">
        <v>0</v>
      </c>
      <c r="J200" t="n">
        <v>0</v>
      </c>
      <c r="K200" t="n">
        <v>0</v>
      </c>
      <c r="L200" t="n">
        <v>0</v>
      </c>
      <c r="M200" t="n">
        <v>0</v>
      </c>
      <c r="N200" t="n">
        <v>0</v>
      </c>
      <c r="O200" t="n">
        <v>0</v>
      </c>
      <c r="P200" t="n">
        <v>0</v>
      </c>
      <c r="Q200" t="n">
        <v>0</v>
      </c>
      <c r="R200" s="2" t="inlineStr"/>
    </row>
    <row r="201" ht="15" customHeight="1">
      <c r="A201" t="inlineStr">
        <is>
          <t>A 28863-2022</t>
        </is>
      </c>
      <c r="B201" s="1" t="n">
        <v>44749.50649305555</v>
      </c>
      <c r="C201" s="1" t="n">
        <v>46141</v>
      </c>
      <c r="D201" t="inlineStr">
        <is>
          <t>VÄSTMANLANDS LÄN</t>
        </is>
      </c>
      <c r="E201" t="inlineStr">
        <is>
          <t>SALA</t>
        </is>
      </c>
      <c r="G201" t="n">
        <v>1.6</v>
      </c>
      <c r="H201" t="n">
        <v>0</v>
      </c>
      <c r="I201" t="n">
        <v>0</v>
      </c>
      <c r="J201" t="n">
        <v>0</v>
      </c>
      <c r="K201" t="n">
        <v>0</v>
      </c>
      <c r="L201" t="n">
        <v>0</v>
      </c>
      <c r="M201" t="n">
        <v>0</v>
      </c>
      <c r="N201" t="n">
        <v>0</v>
      </c>
      <c r="O201" t="n">
        <v>0</v>
      </c>
      <c r="P201" t="n">
        <v>0</v>
      </c>
      <c r="Q201" t="n">
        <v>0</v>
      </c>
      <c r="R201" s="2" t="inlineStr"/>
    </row>
    <row r="202" ht="15" customHeight="1">
      <c r="A202" t="inlineStr">
        <is>
          <t>A 73606-2021</t>
        </is>
      </c>
      <c r="B202" s="1" t="n">
        <v>44552</v>
      </c>
      <c r="C202" s="1" t="n">
        <v>46141</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56543-2024</t>
        </is>
      </c>
      <c r="B203" s="1" t="n">
        <v>45625</v>
      </c>
      <c r="C203" s="1" t="n">
        <v>46141</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31950-2023</t>
        </is>
      </c>
      <c r="B204" s="1" t="n">
        <v>45107</v>
      </c>
      <c r="C204" s="1" t="n">
        <v>46141</v>
      </c>
      <c r="D204" t="inlineStr">
        <is>
          <t>VÄSTMANLANDS LÄN</t>
        </is>
      </c>
      <c r="E204" t="inlineStr">
        <is>
          <t>SALA</t>
        </is>
      </c>
      <c r="G204" t="n">
        <v>1.9</v>
      </c>
      <c r="H204" t="n">
        <v>0</v>
      </c>
      <c r="I204" t="n">
        <v>0</v>
      </c>
      <c r="J204" t="n">
        <v>0</v>
      </c>
      <c r="K204" t="n">
        <v>0</v>
      </c>
      <c r="L204" t="n">
        <v>0</v>
      </c>
      <c r="M204" t="n">
        <v>0</v>
      </c>
      <c r="N204" t="n">
        <v>0</v>
      </c>
      <c r="O204" t="n">
        <v>0</v>
      </c>
      <c r="P204" t="n">
        <v>0</v>
      </c>
      <c r="Q204" t="n">
        <v>0</v>
      </c>
      <c r="R204" s="2" t="inlineStr"/>
    </row>
    <row r="205" ht="15" customHeight="1">
      <c r="A205" t="inlineStr">
        <is>
          <t>A 48688-2024</t>
        </is>
      </c>
      <c r="B205" s="1" t="n">
        <v>45593.50541666667</v>
      </c>
      <c r="C205" s="1" t="n">
        <v>46141</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63933-2023</t>
        </is>
      </c>
      <c r="B206" s="1" t="n">
        <v>45278</v>
      </c>
      <c r="C206" s="1" t="n">
        <v>46141</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14919-2025</t>
        </is>
      </c>
      <c r="B207" s="1" t="n">
        <v>45743.54256944444</v>
      </c>
      <c r="C207" s="1" t="n">
        <v>46141</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14920-2025</t>
        </is>
      </c>
      <c r="B208" s="1" t="n">
        <v>45743</v>
      </c>
      <c r="C208" s="1" t="n">
        <v>46141</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40398-2021</t>
        </is>
      </c>
      <c r="B209" s="1" t="n">
        <v>44419</v>
      </c>
      <c r="C209" s="1" t="n">
        <v>46141</v>
      </c>
      <c r="D209" t="inlineStr">
        <is>
          <t>VÄSTMANLANDS LÄN</t>
        </is>
      </c>
      <c r="E209" t="inlineStr">
        <is>
          <t>SALA</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44746-2024</t>
        </is>
      </c>
      <c r="B210" s="1" t="n">
        <v>45574.59813657407</v>
      </c>
      <c r="C210" s="1" t="n">
        <v>46141</v>
      </c>
      <c r="D210" t="inlineStr">
        <is>
          <t>VÄSTMANLANDS LÄN</t>
        </is>
      </c>
      <c r="E210" t="inlineStr">
        <is>
          <t>SALA</t>
        </is>
      </c>
      <c r="G210" t="n">
        <v>6.7</v>
      </c>
      <c r="H210" t="n">
        <v>0</v>
      </c>
      <c r="I210" t="n">
        <v>0</v>
      </c>
      <c r="J210" t="n">
        <v>0</v>
      </c>
      <c r="K210" t="n">
        <v>0</v>
      </c>
      <c r="L210" t="n">
        <v>0</v>
      </c>
      <c r="M210" t="n">
        <v>0</v>
      </c>
      <c r="N210" t="n">
        <v>0</v>
      </c>
      <c r="O210" t="n">
        <v>0</v>
      </c>
      <c r="P210" t="n">
        <v>0</v>
      </c>
      <c r="Q210" t="n">
        <v>0</v>
      </c>
      <c r="R210" s="2" t="inlineStr"/>
    </row>
    <row r="211" ht="15" customHeight="1">
      <c r="A211" t="inlineStr">
        <is>
          <t>A 16767-2024</t>
        </is>
      </c>
      <c r="B211" s="1" t="n">
        <v>45411.38171296296</v>
      </c>
      <c r="C211" s="1" t="n">
        <v>46141</v>
      </c>
      <c r="D211" t="inlineStr">
        <is>
          <t>VÄSTMANLANDS LÄN</t>
        </is>
      </c>
      <c r="E211" t="inlineStr">
        <is>
          <t>SALA</t>
        </is>
      </c>
      <c r="G211" t="n">
        <v>2.5</v>
      </c>
      <c r="H211" t="n">
        <v>0</v>
      </c>
      <c r="I211" t="n">
        <v>0</v>
      </c>
      <c r="J211" t="n">
        <v>0</v>
      </c>
      <c r="K211" t="n">
        <v>0</v>
      </c>
      <c r="L211" t="n">
        <v>0</v>
      </c>
      <c r="M211" t="n">
        <v>0</v>
      </c>
      <c r="N211" t="n">
        <v>0</v>
      </c>
      <c r="O211" t="n">
        <v>0</v>
      </c>
      <c r="P211" t="n">
        <v>0</v>
      </c>
      <c r="Q211" t="n">
        <v>0</v>
      </c>
      <c r="R211" s="2" t="inlineStr"/>
    </row>
    <row r="212" ht="15" customHeight="1">
      <c r="A212" t="inlineStr">
        <is>
          <t>A 33273-2023</t>
        </is>
      </c>
      <c r="B212" s="1" t="n">
        <v>45127</v>
      </c>
      <c r="C212" s="1" t="n">
        <v>46141</v>
      </c>
      <c r="D212" t="inlineStr">
        <is>
          <t>VÄSTMANLANDS LÄN</t>
        </is>
      </c>
      <c r="E212" t="inlineStr">
        <is>
          <t>SALA</t>
        </is>
      </c>
      <c r="G212" t="n">
        <v>2.6</v>
      </c>
      <c r="H212" t="n">
        <v>0</v>
      </c>
      <c r="I212" t="n">
        <v>0</v>
      </c>
      <c r="J212" t="n">
        <v>0</v>
      </c>
      <c r="K212" t="n">
        <v>0</v>
      </c>
      <c r="L212" t="n">
        <v>0</v>
      </c>
      <c r="M212" t="n">
        <v>0</v>
      </c>
      <c r="N212" t="n">
        <v>0</v>
      </c>
      <c r="O212" t="n">
        <v>0</v>
      </c>
      <c r="P212" t="n">
        <v>0</v>
      </c>
      <c r="Q212" t="n">
        <v>0</v>
      </c>
      <c r="R212" s="2" t="inlineStr"/>
    </row>
    <row r="213" ht="15" customHeight="1">
      <c r="A213" t="inlineStr">
        <is>
          <t>A 11696-2025</t>
        </is>
      </c>
      <c r="B213" s="1" t="n">
        <v>45727</v>
      </c>
      <c r="C213" s="1" t="n">
        <v>46141</v>
      </c>
      <c r="D213" t="inlineStr">
        <is>
          <t>VÄSTMANLANDS LÄN</t>
        </is>
      </c>
      <c r="E213" t="inlineStr">
        <is>
          <t>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6097-2022</t>
        </is>
      </c>
      <c r="B214" s="1" t="n">
        <v>44599</v>
      </c>
      <c r="C214" s="1" t="n">
        <v>46141</v>
      </c>
      <c r="D214" t="inlineStr">
        <is>
          <t>VÄSTMANLANDS LÄN</t>
        </is>
      </c>
      <c r="E214" t="inlineStr">
        <is>
          <t>SALA</t>
        </is>
      </c>
      <c r="G214" t="n">
        <v>0.6</v>
      </c>
      <c r="H214" t="n">
        <v>0</v>
      </c>
      <c r="I214" t="n">
        <v>0</v>
      </c>
      <c r="J214" t="n">
        <v>0</v>
      </c>
      <c r="K214" t="n">
        <v>0</v>
      </c>
      <c r="L214" t="n">
        <v>0</v>
      </c>
      <c r="M214" t="n">
        <v>0</v>
      </c>
      <c r="N214" t="n">
        <v>0</v>
      </c>
      <c r="O214" t="n">
        <v>0</v>
      </c>
      <c r="P214" t="n">
        <v>0</v>
      </c>
      <c r="Q214" t="n">
        <v>0</v>
      </c>
      <c r="R214" s="2" t="inlineStr"/>
    </row>
    <row r="215" ht="15" customHeight="1">
      <c r="A215" t="inlineStr">
        <is>
          <t>A 43362-2023</t>
        </is>
      </c>
      <c r="B215" s="1" t="n">
        <v>45183</v>
      </c>
      <c r="C215" s="1" t="n">
        <v>46141</v>
      </c>
      <c r="D215" t="inlineStr">
        <is>
          <t>VÄSTMANLANDS LÄN</t>
        </is>
      </c>
      <c r="E215" t="inlineStr">
        <is>
          <t>SALA</t>
        </is>
      </c>
      <c r="G215" t="n">
        <v>2</v>
      </c>
      <c r="H215" t="n">
        <v>0</v>
      </c>
      <c r="I215" t="n">
        <v>0</v>
      </c>
      <c r="J215" t="n">
        <v>0</v>
      </c>
      <c r="K215" t="n">
        <v>0</v>
      </c>
      <c r="L215" t="n">
        <v>0</v>
      </c>
      <c r="M215" t="n">
        <v>0</v>
      </c>
      <c r="N215" t="n">
        <v>0</v>
      </c>
      <c r="O215" t="n">
        <v>0</v>
      </c>
      <c r="P215" t="n">
        <v>0</v>
      </c>
      <c r="Q215" t="n">
        <v>0</v>
      </c>
      <c r="R215" s="2" t="inlineStr"/>
    </row>
    <row r="216" ht="15" customHeight="1">
      <c r="A216" t="inlineStr">
        <is>
          <t>A 2900-2023</t>
        </is>
      </c>
      <c r="B216" s="1" t="n">
        <v>44943</v>
      </c>
      <c r="C216" s="1" t="n">
        <v>46141</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6030-2024</t>
        </is>
      </c>
      <c r="B217" s="1" t="n">
        <v>45336.62782407407</v>
      </c>
      <c r="C217" s="1" t="n">
        <v>46141</v>
      </c>
      <c r="D217" t="inlineStr">
        <is>
          <t>VÄSTMANLANDS LÄN</t>
        </is>
      </c>
      <c r="E217" t="inlineStr">
        <is>
          <t>SALA</t>
        </is>
      </c>
      <c r="G217" t="n">
        <v>3.9</v>
      </c>
      <c r="H217" t="n">
        <v>0</v>
      </c>
      <c r="I217" t="n">
        <v>0</v>
      </c>
      <c r="J217" t="n">
        <v>0</v>
      </c>
      <c r="K217" t="n">
        <v>0</v>
      </c>
      <c r="L217" t="n">
        <v>0</v>
      </c>
      <c r="M217" t="n">
        <v>0</v>
      </c>
      <c r="N217" t="n">
        <v>0</v>
      </c>
      <c r="O217" t="n">
        <v>0</v>
      </c>
      <c r="P217" t="n">
        <v>0</v>
      </c>
      <c r="Q217" t="n">
        <v>0</v>
      </c>
      <c r="R217" s="2" t="inlineStr"/>
    </row>
    <row r="218" ht="15" customHeight="1">
      <c r="A218" t="inlineStr">
        <is>
          <t>A 13022-2023</t>
        </is>
      </c>
      <c r="B218" s="1" t="n">
        <v>45002.33291666667</v>
      </c>
      <c r="C218" s="1" t="n">
        <v>46141</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52630-2022</t>
        </is>
      </c>
      <c r="B219" s="1" t="n">
        <v>44874</v>
      </c>
      <c r="C219" s="1" t="n">
        <v>46141</v>
      </c>
      <c r="D219" t="inlineStr">
        <is>
          <t>VÄSTMANLANDS LÄN</t>
        </is>
      </c>
      <c r="E219" t="inlineStr">
        <is>
          <t>SALA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4853-2023</t>
        </is>
      </c>
      <c r="B220" s="1" t="n">
        <v>44957.73234953704</v>
      </c>
      <c r="C220" s="1" t="n">
        <v>46141</v>
      </c>
      <c r="D220" t="inlineStr">
        <is>
          <t>VÄSTMANLANDS LÄN</t>
        </is>
      </c>
      <c r="E220" t="inlineStr">
        <is>
          <t>SALA</t>
        </is>
      </c>
      <c r="G220" t="n">
        <v>2.7</v>
      </c>
      <c r="H220" t="n">
        <v>0</v>
      </c>
      <c r="I220" t="n">
        <v>0</v>
      </c>
      <c r="J220" t="n">
        <v>0</v>
      </c>
      <c r="K220" t="n">
        <v>0</v>
      </c>
      <c r="L220" t="n">
        <v>0</v>
      </c>
      <c r="M220" t="n">
        <v>0</v>
      </c>
      <c r="N220" t="n">
        <v>0</v>
      </c>
      <c r="O220" t="n">
        <v>0</v>
      </c>
      <c r="P220" t="n">
        <v>0</v>
      </c>
      <c r="Q220" t="n">
        <v>0</v>
      </c>
      <c r="R220" s="2" t="inlineStr"/>
    </row>
    <row r="221" ht="15" customHeight="1">
      <c r="A221" t="inlineStr">
        <is>
          <t>A 53735-2022</t>
        </is>
      </c>
      <c r="B221" s="1" t="n">
        <v>44880.42752314815</v>
      </c>
      <c r="C221" s="1" t="n">
        <v>46141</v>
      </c>
      <c r="D221" t="inlineStr">
        <is>
          <t>VÄSTMANLANDS LÄN</t>
        </is>
      </c>
      <c r="E221" t="inlineStr">
        <is>
          <t>SALA</t>
        </is>
      </c>
      <c r="F221" t="inlineStr">
        <is>
          <t>Bergvik skog öst AB</t>
        </is>
      </c>
      <c r="G221" t="n">
        <v>1.8</v>
      </c>
      <c r="H221" t="n">
        <v>0</v>
      </c>
      <c r="I221" t="n">
        <v>0</v>
      </c>
      <c r="J221" t="n">
        <v>0</v>
      </c>
      <c r="K221" t="n">
        <v>0</v>
      </c>
      <c r="L221" t="n">
        <v>0</v>
      </c>
      <c r="M221" t="n">
        <v>0</v>
      </c>
      <c r="N221" t="n">
        <v>0</v>
      </c>
      <c r="O221" t="n">
        <v>0</v>
      </c>
      <c r="P221" t="n">
        <v>0</v>
      </c>
      <c r="Q221" t="n">
        <v>0</v>
      </c>
      <c r="R221" s="2" t="inlineStr"/>
    </row>
    <row r="222" ht="15" customHeight="1">
      <c r="A222" t="inlineStr">
        <is>
          <t>A 60545-2024</t>
        </is>
      </c>
      <c r="B222" s="1" t="n">
        <v>45643</v>
      </c>
      <c r="C222" s="1" t="n">
        <v>46141</v>
      </c>
      <c r="D222" t="inlineStr">
        <is>
          <t>VÄSTMANLANDS LÄN</t>
        </is>
      </c>
      <c r="E222" t="inlineStr">
        <is>
          <t>SALA</t>
        </is>
      </c>
      <c r="G222" t="n">
        <v>3.3</v>
      </c>
      <c r="H222" t="n">
        <v>0</v>
      </c>
      <c r="I222" t="n">
        <v>0</v>
      </c>
      <c r="J222" t="n">
        <v>0</v>
      </c>
      <c r="K222" t="n">
        <v>0</v>
      </c>
      <c r="L222" t="n">
        <v>0</v>
      </c>
      <c r="M222" t="n">
        <v>0</v>
      </c>
      <c r="N222" t="n">
        <v>0</v>
      </c>
      <c r="O222" t="n">
        <v>0</v>
      </c>
      <c r="P222" t="n">
        <v>0</v>
      </c>
      <c r="Q222" t="n">
        <v>0</v>
      </c>
      <c r="R222" s="2" t="inlineStr"/>
    </row>
    <row r="223" ht="15" customHeight="1">
      <c r="A223" t="inlineStr">
        <is>
          <t>A 60547-2024</t>
        </is>
      </c>
      <c r="B223" s="1" t="n">
        <v>45643</v>
      </c>
      <c r="C223" s="1" t="n">
        <v>46141</v>
      </c>
      <c r="D223" t="inlineStr">
        <is>
          <t>VÄSTMANLANDS LÄN</t>
        </is>
      </c>
      <c r="E223" t="inlineStr">
        <is>
          <t>SALA</t>
        </is>
      </c>
      <c r="G223" t="n">
        <v>0.6</v>
      </c>
      <c r="H223" t="n">
        <v>0</v>
      </c>
      <c r="I223" t="n">
        <v>0</v>
      </c>
      <c r="J223" t="n">
        <v>0</v>
      </c>
      <c r="K223" t="n">
        <v>0</v>
      </c>
      <c r="L223" t="n">
        <v>0</v>
      </c>
      <c r="M223" t="n">
        <v>0</v>
      </c>
      <c r="N223" t="n">
        <v>0</v>
      </c>
      <c r="O223" t="n">
        <v>0</v>
      </c>
      <c r="P223" t="n">
        <v>0</v>
      </c>
      <c r="Q223" t="n">
        <v>0</v>
      </c>
      <c r="R223" s="2" t="inlineStr"/>
    </row>
    <row r="224" ht="15" customHeight="1">
      <c r="A224" t="inlineStr">
        <is>
          <t>A 12246-2023</t>
        </is>
      </c>
      <c r="B224" s="1" t="n">
        <v>44995</v>
      </c>
      <c r="C224" s="1" t="n">
        <v>46141</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14690-2025</t>
        </is>
      </c>
      <c r="B225" s="1" t="n">
        <v>45742.58212962963</v>
      </c>
      <c r="C225" s="1" t="n">
        <v>46141</v>
      </c>
      <c r="D225" t="inlineStr">
        <is>
          <t>VÄSTMANLANDS LÄN</t>
        </is>
      </c>
      <c r="E225" t="inlineStr">
        <is>
          <t>SALA</t>
        </is>
      </c>
      <c r="G225" t="n">
        <v>3.4</v>
      </c>
      <c r="H225" t="n">
        <v>0</v>
      </c>
      <c r="I225" t="n">
        <v>0</v>
      </c>
      <c r="J225" t="n">
        <v>0</v>
      </c>
      <c r="K225" t="n">
        <v>0</v>
      </c>
      <c r="L225" t="n">
        <v>0</v>
      </c>
      <c r="M225" t="n">
        <v>0</v>
      </c>
      <c r="N225" t="n">
        <v>0</v>
      </c>
      <c r="O225" t="n">
        <v>0</v>
      </c>
      <c r="P225" t="n">
        <v>0</v>
      </c>
      <c r="Q225" t="n">
        <v>0</v>
      </c>
      <c r="R225" s="2" t="inlineStr"/>
    </row>
    <row r="226" ht="15" customHeight="1">
      <c r="A226" t="inlineStr">
        <is>
          <t>A 1985-2022</t>
        </is>
      </c>
      <c r="B226" s="1" t="n">
        <v>44575</v>
      </c>
      <c r="C226" s="1" t="n">
        <v>46141</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2521-2025</t>
        </is>
      </c>
      <c r="B227" s="1" t="n">
        <v>45674</v>
      </c>
      <c r="C227" s="1" t="n">
        <v>46141</v>
      </c>
      <c r="D227" t="inlineStr">
        <is>
          <t>VÄSTMANLANDS LÄN</t>
        </is>
      </c>
      <c r="E227" t="inlineStr">
        <is>
          <t>SALA</t>
        </is>
      </c>
      <c r="G227" t="n">
        <v>3.5</v>
      </c>
      <c r="H227" t="n">
        <v>0</v>
      </c>
      <c r="I227" t="n">
        <v>0</v>
      </c>
      <c r="J227" t="n">
        <v>0</v>
      </c>
      <c r="K227" t="n">
        <v>0</v>
      </c>
      <c r="L227" t="n">
        <v>0</v>
      </c>
      <c r="M227" t="n">
        <v>0</v>
      </c>
      <c r="N227" t="n">
        <v>0</v>
      </c>
      <c r="O227" t="n">
        <v>0</v>
      </c>
      <c r="P227" t="n">
        <v>0</v>
      </c>
      <c r="Q227" t="n">
        <v>0</v>
      </c>
      <c r="R227" s="2" t="inlineStr"/>
    </row>
    <row r="228" ht="15" customHeight="1">
      <c r="A228" t="inlineStr">
        <is>
          <t>A 27261-2024</t>
        </is>
      </c>
      <c r="B228" s="1" t="n">
        <v>45471</v>
      </c>
      <c r="C228" s="1" t="n">
        <v>46141</v>
      </c>
      <c r="D228" t="inlineStr">
        <is>
          <t>VÄSTMANLANDS LÄN</t>
        </is>
      </c>
      <c r="E228" t="inlineStr">
        <is>
          <t>SALA</t>
        </is>
      </c>
      <c r="G228" t="n">
        <v>6.1</v>
      </c>
      <c r="H228" t="n">
        <v>0</v>
      </c>
      <c r="I228" t="n">
        <v>0</v>
      </c>
      <c r="J228" t="n">
        <v>0</v>
      </c>
      <c r="K228" t="n">
        <v>0</v>
      </c>
      <c r="L228" t="n">
        <v>0</v>
      </c>
      <c r="M228" t="n">
        <v>0</v>
      </c>
      <c r="N228" t="n">
        <v>0</v>
      </c>
      <c r="O228" t="n">
        <v>0</v>
      </c>
      <c r="P228" t="n">
        <v>0</v>
      </c>
      <c r="Q228" t="n">
        <v>0</v>
      </c>
      <c r="R228" s="2" t="inlineStr"/>
    </row>
    <row r="229" ht="15" customHeight="1">
      <c r="A229" t="inlineStr">
        <is>
          <t>A 42447-2022</t>
        </is>
      </c>
      <c r="B229" s="1" t="n">
        <v>44831</v>
      </c>
      <c r="C229" s="1" t="n">
        <v>46141</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33732-2023</t>
        </is>
      </c>
      <c r="B230" s="1" t="n">
        <v>45133.32409722222</v>
      </c>
      <c r="C230" s="1" t="n">
        <v>46141</v>
      </c>
      <c r="D230" t="inlineStr">
        <is>
          <t>VÄSTMANLANDS LÄN</t>
        </is>
      </c>
      <c r="E230" t="inlineStr">
        <is>
          <t>SALA</t>
        </is>
      </c>
      <c r="G230" t="n">
        <v>2</v>
      </c>
      <c r="H230" t="n">
        <v>0</v>
      </c>
      <c r="I230" t="n">
        <v>0</v>
      </c>
      <c r="J230" t="n">
        <v>0</v>
      </c>
      <c r="K230" t="n">
        <v>0</v>
      </c>
      <c r="L230" t="n">
        <v>0</v>
      </c>
      <c r="M230" t="n">
        <v>0</v>
      </c>
      <c r="N230" t="n">
        <v>0</v>
      </c>
      <c r="O230" t="n">
        <v>0</v>
      </c>
      <c r="P230" t="n">
        <v>0</v>
      </c>
      <c r="Q230" t="n">
        <v>0</v>
      </c>
      <c r="R230" s="2" t="inlineStr"/>
    </row>
    <row r="231" ht="15" customHeight="1">
      <c r="A231" t="inlineStr">
        <is>
          <t>A 59909-2024</t>
        </is>
      </c>
      <c r="B231" s="1" t="n">
        <v>45641</v>
      </c>
      <c r="C231" s="1" t="n">
        <v>46141</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60548-2024</t>
        </is>
      </c>
      <c r="B232" s="1" t="n">
        <v>45643.80978009259</v>
      </c>
      <c r="C232" s="1" t="n">
        <v>46141</v>
      </c>
      <c r="D232" t="inlineStr">
        <is>
          <t>VÄSTMANLANDS LÄN</t>
        </is>
      </c>
      <c r="E232" t="inlineStr">
        <is>
          <t>SALA</t>
        </is>
      </c>
      <c r="G232" t="n">
        <v>1.6</v>
      </c>
      <c r="H232" t="n">
        <v>0</v>
      </c>
      <c r="I232" t="n">
        <v>0</v>
      </c>
      <c r="J232" t="n">
        <v>0</v>
      </c>
      <c r="K232" t="n">
        <v>0</v>
      </c>
      <c r="L232" t="n">
        <v>0</v>
      </c>
      <c r="M232" t="n">
        <v>0</v>
      </c>
      <c r="N232" t="n">
        <v>0</v>
      </c>
      <c r="O232" t="n">
        <v>0</v>
      </c>
      <c r="P232" t="n">
        <v>0</v>
      </c>
      <c r="Q232" t="n">
        <v>0</v>
      </c>
      <c r="R232" s="2" t="inlineStr"/>
    </row>
    <row r="233" ht="15" customHeight="1">
      <c r="A233" t="inlineStr">
        <is>
          <t>A 35976-2024</t>
        </is>
      </c>
      <c r="B233" s="1" t="n">
        <v>45533.49555555556</v>
      </c>
      <c r="C233" s="1" t="n">
        <v>46141</v>
      </c>
      <c r="D233" t="inlineStr">
        <is>
          <t>VÄSTMANLANDS LÄN</t>
        </is>
      </c>
      <c r="E233" t="inlineStr">
        <is>
          <t>SALA</t>
        </is>
      </c>
      <c r="G233" t="n">
        <v>2.3</v>
      </c>
      <c r="H233" t="n">
        <v>0</v>
      </c>
      <c r="I233" t="n">
        <v>0</v>
      </c>
      <c r="J233" t="n">
        <v>0</v>
      </c>
      <c r="K233" t="n">
        <v>0</v>
      </c>
      <c r="L233" t="n">
        <v>0</v>
      </c>
      <c r="M233" t="n">
        <v>0</v>
      </c>
      <c r="N233" t="n">
        <v>0</v>
      </c>
      <c r="O233" t="n">
        <v>0</v>
      </c>
      <c r="P233" t="n">
        <v>0</v>
      </c>
      <c r="Q233" t="n">
        <v>0</v>
      </c>
      <c r="R233" s="2" t="inlineStr"/>
    </row>
    <row r="234" ht="15" customHeight="1">
      <c r="A234" t="inlineStr">
        <is>
          <t>A 41292-2021</t>
        </is>
      </c>
      <c r="B234" s="1" t="n">
        <v>44424</v>
      </c>
      <c r="C234" s="1" t="n">
        <v>46141</v>
      </c>
      <c r="D234" t="inlineStr">
        <is>
          <t>VÄSTMANLANDS LÄN</t>
        </is>
      </c>
      <c r="E234" t="inlineStr">
        <is>
          <t>SALA</t>
        </is>
      </c>
      <c r="G234" t="n">
        <v>0.3</v>
      </c>
      <c r="H234" t="n">
        <v>0</v>
      </c>
      <c r="I234" t="n">
        <v>0</v>
      </c>
      <c r="J234" t="n">
        <v>0</v>
      </c>
      <c r="K234" t="n">
        <v>0</v>
      </c>
      <c r="L234" t="n">
        <v>0</v>
      </c>
      <c r="M234" t="n">
        <v>0</v>
      </c>
      <c r="N234" t="n">
        <v>0</v>
      </c>
      <c r="O234" t="n">
        <v>0</v>
      </c>
      <c r="P234" t="n">
        <v>0</v>
      </c>
      <c r="Q234" t="n">
        <v>0</v>
      </c>
      <c r="R234" s="2" t="inlineStr"/>
    </row>
    <row r="235" ht="15" customHeight="1">
      <c r="A235" t="inlineStr">
        <is>
          <t>A 55556-2023</t>
        </is>
      </c>
      <c r="B235" s="1" t="n">
        <v>45232</v>
      </c>
      <c r="C235" s="1" t="n">
        <v>46141</v>
      </c>
      <c r="D235" t="inlineStr">
        <is>
          <t>VÄSTMANLANDS LÄN</t>
        </is>
      </c>
      <c r="E235" t="inlineStr">
        <is>
          <t>SALA</t>
        </is>
      </c>
      <c r="G235" t="n">
        <v>1.3</v>
      </c>
      <c r="H235" t="n">
        <v>0</v>
      </c>
      <c r="I235" t="n">
        <v>0</v>
      </c>
      <c r="J235" t="n">
        <v>0</v>
      </c>
      <c r="K235" t="n">
        <v>0</v>
      </c>
      <c r="L235" t="n">
        <v>0</v>
      </c>
      <c r="M235" t="n">
        <v>0</v>
      </c>
      <c r="N235" t="n">
        <v>0</v>
      </c>
      <c r="O235" t="n">
        <v>0</v>
      </c>
      <c r="P235" t="n">
        <v>0</v>
      </c>
      <c r="Q235" t="n">
        <v>0</v>
      </c>
      <c r="R235" s="2" t="inlineStr"/>
    </row>
    <row r="236" ht="15" customHeight="1">
      <c r="A236" t="inlineStr">
        <is>
          <t>A 57650-2024</t>
        </is>
      </c>
      <c r="B236" s="1" t="n">
        <v>45630</v>
      </c>
      <c r="C236" s="1" t="n">
        <v>46141</v>
      </c>
      <c r="D236" t="inlineStr">
        <is>
          <t>VÄSTMANLANDS LÄN</t>
        </is>
      </c>
      <c r="E236" t="inlineStr">
        <is>
          <t>SALA</t>
        </is>
      </c>
      <c r="G236" t="n">
        <v>0.6</v>
      </c>
      <c r="H236" t="n">
        <v>0</v>
      </c>
      <c r="I236" t="n">
        <v>0</v>
      </c>
      <c r="J236" t="n">
        <v>0</v>
      </c>
      <c r="K236" t="n">
        <v>0</v>
      </c>
      <c r="L236" t="n">
        <v>0</v>
      </c>
      <c r="M236" t="n">
        <v>0</v>
      </c>
      <c r="N236" t="n">
        <v>0</v>
      </c>
      <c r="O236" t="n">
        <v>0</v>
      </c>
      <c r="P236" t="n">
        <v>0</v>
      </c>
      <c r="Q236" t="n">
        <v>0</v>
      </c>
      <c r="R236" s="2" t="inlineStr"/>
    </row>
    <row r="237" ht="15" customHeight="1">
      <c r="A237" t="inlineStr">
        <is>
          <t>A 50479-2022</t>
        </is>
      </c>
      <c r="B237" s="1" t="n">
        <v>44861</v>
      </c>
      <c r="C237" s="1" t="n">
        <v>46141</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26761-2023</t>
        </is>
      </c>
      <c r="B238" s="1" t="n">
        <v>45093</v>
      </c>
      <c r="C238" s="1" t="n">
        <v>46141</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45790-2023</t>
        </is>
      </c>
      <c r="B239" s="1" t="n">
        <v>45195.45958333334</v>
      </c>
      <c r="C239" s="1" t="n">
        <v>46141</v>
      </c>
      <c r="D239" t="inlineStr">
        <is>
          <t>VÄSTMANLANDS LÄN</t>
        </is>
      </c>
      <c r="E239" t="inlineStr">
        <is>
          <t>SALA</t>
        </is>
      </c>
      <c r="G239" t="n">
        <v>5.7</v>
      </c>
      <c r="H239" t="n">
        <v>0</v>
      </c>
      <c r="I239" t="n">
        <v>0</v>
      </c>
      <c r="J239" t="n">
        <v>0</v>
      </c>
      <c r="K239" t="n">
        <v>0</v>
      </c>
      <c r="L239" t="n">
        <v>0</v>
      </c>
      <c r="M239" t="n">
        <v>0</v>
      </c>
      <c r="N239" t="n">
        <v>0</v>
      </c>
      <c r="O239" t="n">
        <v>0</v>
      </c>
      <c r="P239" t="n">
        <v>0</v>
      </c>
      <c r="Q239" t="n">
        <v>0</v>
      </c>
      <c r="R239" s="2" t="inlineStr"/>
    </row>
    <row r="240" ht="15" customHeight="1">
      <c r="A240" t="inlineStr">
        <is>
          <t>A 51464-2024</t>
        </is>
      </c>
      <c r="B240" s="1" t="n">
        <v>45604.49768518518</v>
      </c>
      <c r="C240" s="1" t="n">
        <v>46141</v>
      </c>
      <c r="D240" t="inlineStr">
        <is>
          <t>VÄSTMANLANDS LÄN</t>
        </is>
      </c>
      <c r="E240" t="inlineStr">
        <is>
          <t>SALA</t>
        </is>
      </c>
      <c r="G240" t="n">
        <v>3.9</v>
      </c>
      <c r="H240" t="n">
        <v>0</v>
      </c>
      <c r="I240" t="n">
        <v>0</v>
      </c>
      <c r="J240" t="n">
        <v>0</v>
      </c>
      <c r="K240" t="n">
        <v>0</v>
      </c>
      <c r="L240" t="n">
        <v>0</v>
      </c>
      <c r="M240" t="n">
        <v>0</v>
      </c>
      <c r="N240" t="n">
        <v>0</v>
      </c>
      <c r="O240" t="n">
        <v>0</v>
      </c>
      <c r="P240" t="n">
        <v>0</v>
      </c>
      <c r="Q240" t="n">
        <v>0</v>
      </c>
      <c r="R240" s="2" t="inlineStr"/>
    </row>
    <row r="241" ht="15" customHeight="1">
      <c r="A241" t="inlineStr">
        <is>
          <t>A 54603-2024</t>
        </is>
      </c>
      <c r="B241" s="1" t="n">
        <v>45617.68224537037</v>
      </c>
      <c r="C241" s="1" t="n">
        <v>46141</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55035-2023</t>
        </is>
      </c>
      <c r="B242" s="1" t="n">
        <v>45229</v>
      </c>
      <c r="C242" s="1" t="n">
        <v>46141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69232-2021</t>
        </is>
      </c>
      <c r="B243" s="1" t="n">
        <v>44531.39696759259</v>
      </c>
      <c r="C243" s="1" t="n">
        <v>46141</v>
      </c>
      <c r="D243" t="inlineStr">
        <is>
          <t>VÄSTMANLANDS LÄN</t>
        </is>
      </c>
      <c r="E243" t="inlineStr">
        <is>
          <t>SALA</t>
        </is>
      </c>
      <c r="G243" t="n">
        <v>2.3</v>
      </c>
      <c r="H243" t="n">
        <v>0</v>
      </c>
      <c r="I243" t="n">
        <v>0</v>
      </c>
      <c r="J243" t="n">
        <v>0</v>
      </c>
      <c r="K243" t="n">
        <v>0</v>
      </c>
      <c r="L243" t="n">
        <v>0</v>
      </c>
      <c r="M243" t="n">
        <v>0</v>
      </c>
      <c r="N243" t="n">
        <v>0</v>
      </c>
      <c r="O243" t="n">
        <v>0</v>
      </c>
      <c r="P243" t="n">
        <v>0</v>
      </c>
      <c r="Q243" t="n">
        <v>0</v>
      </c>
      <c r="R243" s="2" t="inlineStr"/>
    </row>
    <row r="244" ht="15" customHeight="1">
      <c r="A244" t="inlineStr">
        <is>
          <t>A 60249-2023</t>
        </is>
      </c>
      <c r="B244" s="1" t="n">
        <v>45258</v>
      </c>
      <c r="C244" s="1" t="n">
        <v>46141</v>
      </c>
      <c r="D244" t="inlineStr">
        <is>
          <t>VÄSTMANLANDS LÄN</t>
        </is>
      </c>
      <c r="E244" t="inlineStr">
        <is>
          <t>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2928-2024</t>
        </is>
      </c>
      <c r="B245" s="1" t="n">
        <v>45315.59041666667</v>
      </c>
      <c r="C245" s="1" t="n">
        <v>46141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73673-2021</t>
        </is>
      </c>
      <c r="B246" s="1" t="n">
        <v>44552.46501157407</v>
      </c>
      <c r="C246" s="1" t="n">
        <v>46141</v>
      </c>
      <c r="D246" t="inlineStr">
        <is>
          <t>VÄSTMANLANDS LÄN</t>
        </is>
      </c>
      <c r="E246" t="inlineStr">
        <is>
          <t>SALA</t>
        </is>
      </c>
      <c r="G246" t="n">
        <v>11.4</v>
      </c>
      <c r="H246" t="n">
        <v>0</v>
      </c>
      <c r="I246" t="n">
        <v>0</v>
      </c>
      <c r="J246" t="n">
        <v>0</v>
      </c>
      <c r="K246" t="n">
        <v>0</v>
      </c>
      <c r="L246" t="n">
        <v>0</v>
      </c>
      <c r="M246" t="n">
        <v>0</v>
      </c>
      <c r="N246" t="n">
        <v>0</v>
      </c>
      <c r="O246" t="n">
        <v>0</v>
      </c>
      <c r="P246" t="n">
        <v>0</v>
      </c>
      <c r="Q246" t="n">
        <v>0</v>
      </c>
      <c r="R246" s="2" t="inlineStr"/>
    </row>
    <row r="247" ht="15" customHeight="1">
      <c r="A247" t="inlineStr">
        <is>
          <t>A 19398-2025</t>
        </is>
      </c>
      <c r="B247" s="1" t="n">
        <v>45769</v>
      </c>
      <c r="C247" s="1" t="n">
        <v>46141</v>
      </c>
      <c r="D247" t="inlineStr">
        <is>
          <t>VÄSTMANLANDS LÄN</t>
        </is>
      </c>
      <c r="E247" t="inlineStr">
        <is>
          <t>SALA</t>
        </is>
      </c>
      <c r="G247" t="n">
        <v>0.4</v>
      </c>
      <c r="H247" t="n">
        <v>0</v>
      </c>
      <c r="I247" t="n">
        <v>0</v>
      </c>
      <c r="J247" t="n">
        <v>0</v>
      </c>
      <c r="K247" t="n">
        <v>0</v>
      </c>
      <c r="L247" t="n">
        <v>0</v>
      </c>
      <c r="M247" t="n">
        <v>0</v>
      </c>
      <c r="N247" t="n">
        <v>0</v>
      </c>
      <c r="O247" t="n">
        <v>0</v>
      </c>
      <c r="P247" t="n">
        <v>0</v>
      </c>
      <c r="Q247" t="n">
        <v>0</v>
      </c>
      <c r="R247" s="2" t="inlineStr"/>
    </row>
    <row r="248" ht="15" customHeight="1">
      <c r="A248" t="inlineStr">
        <is>
          <t>A 4797-2023</t>
        </is>
      </c>
      <c r="B248" s="1" t="n">
        <v>44957</v>
      </c>
      <c r="C248" s="1" t="n">
        <v>46141</v>
      </c>
      <c r="D248" t="inlineStr">
        <is>
          <t>VÄSTMANLANDS LÄN</t>
        </is>
      </c>
      <c r="E248" t="inlineStr">
        <is>
          <t>SALA</t>
        </is>
      </c>
      <c r="G248" t="n">
        <v>5.7</v>
      </c>
      <c r="H248" t="n">
        <v>0</v>
      </c>
      <c r="I248" t="n">
        <v>0</v>
      </c>
      <c r="J248" t="n">
        <v>0</v>
      </c>
      <c r="K248" t="n">
        <v>0</v>
      </c>
      <c r="L248" t="n">
        <v>0</v>
      </c>
      <c r="M248" t="n">
        <v>0</v>
      </c>
      <c r="N248" t="n">
        <v>0</v>
      </c>
      <c r="O248" t="n">
        <v>0</v>
      </c>
      <c r="P248" t="n">
        <v>0</v>
      </c>
      <c r="Q248" t="n">
        <v>0</v>
      </c>
      <c r="R248" s="2" t="inlineStr"/>
    </row>
    <row r="249" ht="15" customHeight="1">
      <c r="A249" t="inlineStr">
        <is>
          <t>A 61517-2024</t>
        </is>
      </c>
      <c r="B249" s="1" t="n">
        <v>45645</v>
      </c>
      <c r="C249" s="1" t="n">
        <v>46141</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1638-2023</t>
        </is>
      </c>
      <c r="B250" s="1" t="n">
        <v>44937</v>
      </c>
      <c r="C250" s="1" t="n">
        <v>46141</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40871-2021</t>
        </is>
      </c>
      <c r="B251" s="1" t="n">
        <v>44421</v>
      </c>
      <c r="C251" s="1" t="n">
        <v>46141</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14271-2025</t>
        </is>
      </c>
      <c r="B252" s="1" t="n">
        <v>45740.64129629629</v>
      </c>
      <c r="C252" s="1" t="n">
        <v>46141</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10250-2025</t>
        </is>
      </c>
      <c r="B253" s="1" t="n">
        <v>45720.36165509259</v>
      </c>
      <c r="C253" s="1" t="n">
        <v>46141</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31597-2024</t>
        </is>
      </c>
      <c r="B254" s="1" t="n">
        <v>45506</v>
      </c>
      <c r="C254" s="1" t="n">
        <v>46141</v>
      </c>
      <c r="D254" t="inlineStr">
        <is>
          <t>VÄSTMANLANDS LÄN</t>
        </is>
      </c>
      <c r="E254" t="inlineStr">
        <is>
          <t>SALA</t>
        </is>
      </c>
      <c r="G254" t="n">
        <v>2.4</v>
      </c>
      <c r="H254" t="n">
        <v>0</v>
      </c>
      <c r="I254" t="n">
        <v>0</v>
      </c>
      <c r="J254" t="n">
        <v>0</v>
      </c>
      <c r="K254" t="n">
        <v>0</v>
      </c>
      <c r="L254" t="n">
        <v>0</v>
      </c>
      <c r="M254" t="n">
        <v>0</v>
      </c>
      <c r="N254" t="n">
        <v>0</v>
      </c>
      <c r="O254" t="n">
        <v>0</v>
      </c>
      <c r="P254" t="n">
        <v>0</v>
      </c>
      <c r="Q254" t="n">
        <v>0</v>
      </c>
      <c r="R254" s="2" t="inlineStr"/>
    </row>
    <row r="255" ht="15" customHeight="1">
      <c r="A255" t="inlineStr">
        <is>
          <t>A 31599-2024</t>
        </is>
      </c>
      <c r="B255" s="1" t="n">
        <v>45506</v>
      </c>
      <c r="C255" s="1" t="n">
        <v>46141</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31601-2024</t>
        </is>
      </c>
      <c r="B256" s="1" t="n">
        <v>45506</v>
      </c>
      <c r="C256" s="1" t="n">
        <v>46141</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46279-2021</t>
        </is>
      </c>
      <c r="B257" s="1" t="n">
        <v>44442.57797453704</v>
      </c>
      <c r="C257" s="1" t="n">
        <v>46141</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31608-2024</t>
        </is>
      </c>
      <c r="B258" s="1" t="n">
        <v>45506</v>
      </c>
      <c r="C258" s="1" t="n">
        <v>46141</v>
      </c>
      <c r="D258" t="inlineStr">
        <is>
          <t>VÄSTMANLANDS LÄN</t>
        </is>
      </c>
      <c r="E258" t="inlineStr">
        <is>
          <t>SALA</t>
        </is>
      </c>
      <c r="G258" t="n">
        <v>1.7</v>
      </c>
      <c r="H258" t="n">
        <v>0</v>
      </c>
      <c r="I258" t="n">
        <v>0</v>
      </c>
      <c r="J258" t="n">
        <v>0</v>
      </c>
      <c r="K258" t="n">
        <v>0</v>
      </c>
      <c r="L258" t="n">
        <v>0</v>
      </c>
      <c r="M258" t="n">
        <v>0</v>
      </c>
      <c r="N258" t="n">
        <v>0</v>
      </c>
      <c r="O258" t="n">
        <v>0</v>
      </c>
      <c r="P258" t="n">
        <v>0</v>
      </c>
      <c r="Q258" t="n">
        <v>0</v>
      </c>
      <c r="R258" s="2" t="inlineStr"/>
    </row>
    <row r="259" ht="15" customHeight="1">
      <c r="A259" t="inlineStr">
        <is>
          <t>A 31612-2024</t>
        </is>
      </c>
      <c r="B259" s="1" t="n">
        <v>45506</v>
      </c>
      <c r="C259" s="1" t="n">
        <v>46141</v>
      </c>
      <c r="D259" t="inlineStr">
        <is>
          <t>VÄSTMANLANDS LÄN</t>
        </is>
      </c>
      <c r="E259" t="inlineStr">
        <is>
          <t>SALA</t>
        </is>
      </c>
      <c r="G259" t="n">
        <v>3.2</v>
      </c>
      <c r="H259" t="n">
        <v>0</v>
      </c>
      <c r="I259" t="n">
        <v>0</v>
      </c>
      <c r="J259" t="n">
        <v>0</v>
      </c>
      <c r="K259" t="n">
        <v>0</v>
      </c>
      <c r="L259" t="n">
        <v>0</v>
      </c>
      <c r="M259" t="n">
        <v>0</v>
      </c>
      <c r="N259" t="n">
        <v>0</v>
      </c>
      <c r="O259" t="n">
        <v>0</v>
      </c>
      <c r="P259" t="n">
        <v>0</v>
      </c>
      <c r="Q259" t="n">
        <v>0</v>
      </c>
      <c r="R259" s="2" t="inlineStr"/>
    </row>
    <row r="260" ht="15" customHeight="1">
      <c r="A260" t="inlineStr">
        <is>
          <t>A 49512-2024</t>
        </is>
      </c>
      <c r="B260" s="1" t="n">
        <v>45591</v>
      </c>
      <c r="C260" s="1" t="n">
        <v>46141</v>
      </c>
      <c r="D260" t="inlineStr">
        <is>
          <t>VÄSTMANLANDS LÄN</t>
        </is>
      </c>
      <c r="E260" t="inlineStr">
        <is>
          <t>SALA</t>
        </is>
      </c>
      <c r="G260" t="n">
        <v>8.1</v>
      </c>
      <c r="H260" t="n">
        <v>0</v>
      </c>
      <c r="I260" t="n">
        <v>0</v>
      </c>
      <c r="J260" t="n">
        <v>0</v>
      </c>
      <c r="K260" t="n">
        <v>0</v>
      </c>
      <c r="L260" t="n">
        <v>0</v>
      </c>
      <c r="M260" t="n">
        <v>0</v>
      </c>
      <c r="N260" t="n">
        <v>0</v>
      </c>
      <c r="O260" t="n">
        <v>0</v>
      </c>
      <c r="P260" t="n">
        <v>0</v>
      </c>
      <c r="Q260" t="n">
        <v>0</v>
      </c>
      <c r="R260" s="2" t="inlineStr"/>
    </row>
    <row r="261" ht="15" customHeight="1">
      <c r="A261" t="inlineStr">
        <is>
          <t>A 52500-2024</t>
        </is>
      </c>
      <c r="B261" s="1" t="n">
        <v>45609</v>
      </c>
      <c r="C261" s="1" t="n">
        <v>46141</v>
      </c>
      <c r="D261" t="inlineStr">
        <is>
          <t>VÄSTMANLANDS LÄN</t>
        </is>
      </c>
      <c r="E261" t="inlineStr">
        <is>
          <t>SALA</t>
        </is>
      </c>
      <c r="G261" t="n">
        <v>1.3</v>
      </c>
      <c r="H261" t="n">
        <v>0</v>
      </c>
      <c r="I261" t="n">
        <v>0</v>
      </c>
      <c r="J261" t="n">
        <v>0</v>
      </c>
      <c r="K261" t="n">
        <v>0</v>
      </c>
      <c r="L261" t="n">
        <v>0</v>
      </c>
      <c r="M261" t="n">
        <v>0</v>
      </c>
      <c r="N261" t="n">
        <v>0</v>
      </c>
      <c r="O261" t="n">
        <v>0</v>
      </c>
      <c r="P261" t="n">
        <v>0</v>
      </c>
      <c r="Q261" t="n">
        <v>0</v>
      </c>
      <c r="R261" s="2" t="inlineStr"/>
    </row>
    <row r="262" ht="15" customHeight="1">
      <c r="A262" t="inlineStr">
        <is>
          <t>A 42416-2022</t>
        </is>
      </c>
      <c r="B262" s="1" t="n">
        <v>44831</v>
      </c>
      <c r="C262" s="1" t="n">
        <v>46141</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54199-2024</t>
        </is>
      </c>
      <c r="B263" s="1" t="n">
        <v>45616.64703703704</v>
      </c>
      <c r="C263" s="1" t="n">
        <v>46141</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6312-2025</t>
        </is>
      </c>
      <c r="B264" s="1" t="n">
        <v>45698</v>
      </c>
      <c r="C264" s="1" t="n">
        <v>46141</v>
      </c>
      <c r="D264" t="inlineStr">
        <is>
          <t>VÄSTMANLANDS LÄN</t>
        </is>
      </c>
      <c r="E264" t="inlineStr">
        <is>
          <t>SALA</t>
        </is>
      </c>
      <c r="G264" t="n">
        <v>1.2</v>
      </c>
      <c r="H264" t="n">
        <v>0</v>
      </c>
      <c r="I264" t="n">
        <v>0</v>
      </c>
      <c r="J264" t="n">
        <v>0</v>
      </c>
      <c r="K264" t="n">
        <v>0</v>
      </c>
      <c r="L264" t="n">
        <v>0</v>
      </c>
      <c r="M264" t="n">
        <v>0</v>
      </c>
      <c r="N264" t="n">
        <v>0</v>
      </c>
      <c r="O264" t="n">
        <v>0</v>
      </c>
      <c r="P264" t="n">
        <v>0</v>
      </c>
      <c r="Q264" t="n">
        <v>0</v>
      </c>
      <c r="R264" s="2" t="inlineStr"/>
    </row>
    <row r="265" ht="15" customHeight="1">
      <c r="A265" t="inlineStr">
        <is>
          <t>A 6135-2023</t>
        </is>
      </c>
      <c r="B265" s="1" t="n">
        <v>44964.62628472222</v>
      </c>
      <c r="C265" s="1" t="n">
        <v>46141</v>
      </c>
      <c r="D265" t="inlineStr">
        <is>
          <t>VÄSTMANLANDS LÄN</t>
        </is>
      </c>
      <c r="E265" t="inlineStr">
        <is>
          <t>SALA</t>
        </is>
      </c>
      <c r="G265" t="n">
        <v>0.5</v>
      </c>
      <c r="H265" t="n">
        <v>0</v>
      </c>
      <c r="I265" t="n">
        <v>0</v>
      </c>
      <c r="J265" t="n">
        <v>0</v>
      </c>
      <c r="K265" t="n">
        <v>0</v>
      </c>
      <c r="L265" t="n">
        <v>0</v>
      </c>
      <c r="M265" t="n">
        <v>0</v>
      </c>
      <c r="N265" t="n">
        <v>0</v>
      </c>
      <c r="O265" t="n">
        <v>0</v>
      </c>
      <c r="P265" t="n">
        <v>0</v>
      </c>
      <c r="Q265" t="n">
        <v>0</v>
      </c>
      <c r="R265" s="2" t="inlineStr"/>
    </row>
    <row r="266" ht="15" customHeight="1">
      <c r="A266" t="inlineStr">
        <is>
          <t>A 56949-2023</t>
        </is>
      </c>
      <c r="B266" s="1" t="n">
        <v>45244.61589120371</v>
      </c>
      <c r="C266" s="1" t="n">
        <v>46141</v>
      </c>
      <c r="D266" t="inlineStr">
        <is>
          <t>VÄSTMANLANDS LÄN</t>
        </is>
      </c>
      <c r="E266" t="inlineStr">
        <is>
          <t>SALA</t>
        </is>
      </c>
      <c r="G266" t="n">
        <v>4.7</v>
      </c>
      <c r="H266" t="n">
        <v>0</v>
      </c>
      <c r="I266" t="n">
        <v>0</v>
      </c>
      <c r="J266" t="n">
        <v>0</v>
      </c>
      <c r="K266" t="n">
        <v>0</v>
      </c>
      <c r="L266" t="n">
        <v>0</v>
      </c>
      <c r="M266" t="n">
        <v>0</v>
      </c>
      <c r="N266" t="n">
        <v>0</v>
      </c>
      <c r="O266" t="n">
        <v>0</v>
      </c>
      <c r="P266" t="n">
        <v>0</v>
      </c>
      <c r="Q266" t="n">
        <v>0</v>
      </c>
      <c r="R266" s="2" t="inlineStr"/>
    </row>
    <row r="267" ht="15" customHeight="1">
      <c r="A267" t="inlineStr">
        <is>
          <t>A 16693-2023</t>
        </is>
      </c>
      <c r="B267" s="1" t="n">
        <v>45028</v>
      </c>
      <c r="C267" s="1" t="n">
        <v>46141</v>
      </c>
      <c r="D267" t="inlineStr">
        <is>
          <t>VÄSTMANLANDS LÄN</t>
        </is>
      </c>
      <c r="E267" t="inlineStr">
        <is>
          <t>SALA</t>
        </is>
      </c>
      <c r="G267" t="n">
        <v>1.5</v>
      </c>
      <c r="H267" t="n">
        <v>0</v>
      </c>
      <c r="I267" t="n">
        <v>0</v>
      </c>
      <c r="J267" t="n">
        <v>0</v>
      </c>
      <c r="K267" t="n">
        <v>0</v>
      </c>
      <c r="L267" t="n">
        <v>0</v>
      </c>
      <c r="M267" t="n">
        <v>0</v>
      </c>
      <c r="N267" t="n">
        <v>0</v>
      </c>
      <c r="O267" t="n">
        <v>0</v>
      </c>
      <c r="P267" t="n">
        <v>0</v>
      </c>
      <c r="Q267" t="n">
        <v>0</v>
      </c>
      <c r="R267" s="2" t="inlineStr"/>
    </row>
    <row r="268" ht="15" customHeight="1">
      <c r="A268" t="inlineStr">
        <is>
          <t>A 8285-2025</t>
        </is>
      </c>
      <c r="B268" s="1" t="n">
        <v>45708</v>
      </c>
      <c r="C268" s="1" t="n">
        <v>46141</v>
      </c>
      <c r="D268" t="inlineStr">
        <is>
          <t>VÄSTMANLANDS LÄN</t>
        </is>
      </c>
      <c r="E268" t="inlineStr">
        <is>
          <t>SALA</t>
        </is>
      </c>
      <c r="G268" t="n">
        <v>5.7</v>
      </c>
      <c r="H268" t="n">
        <v>0</v>
      </c>
      <c r="I268" t="n">
        <v>0</v>
      </c>
      <c r="J268" t="n">
        <v>0</v>
      </c>
      <c r="K268" t="n">
        <v>0</v>
      </c>
      <c r="L268" t="n">
        <v>0</v>
      </c>
      <c r="M268" t="n">
        <v>0</v>
      </c>
      <c r="N268" t="n">
        <v>0</v>
      </c>
      <c r="O268" t="n">
        <v>0</v>
      </c>
      <c r="P268" t="n">
        <v>0</v>
      </c>
      <c r="Q268" t="n">
        <v>0</v>
      </c>
      <c r="R268" s="2" t="inlineStr"/>
    </row>
    <row r="269" ht="15" customHeight="1">
      <c r="A269" t="inlineStr">
        <is>
          <t>A 44857-2023</t>
        </is>
      </c>
      <c r="B269" s="1" t="n">
        <v>45190.58479166667</v>
      </c>
      <c r="C269" s="1" t="n">
        <v>46141</v>
      </c>
      <c r="D269" t="inlineStr">
        <is>
          <t>VÄSTMANLANDS LÄN</t>
        </is>
      </c>
      <c r="E269" t="inlineStr">
        <is>
          <t>SALA</t>
        </is>
      </c>
      <c r="G269" t="n">
        <v>1</v>
      </c>
      <c r="H269" t="n">
        <v>0</v>
      </c>
      <c r="I269" t="n">
        <v>0</v>
      </c>
      <c r="J269" t="n">
        <v>0</v>
      </c>
      <c r="K269" t="n">
        <v>0</v>
      </c>
      <c r="L269" t="n">
        <v>0</v>
      </c>
      <c r="M269" t="n">
        <v>0</v>
      </c>
      <c r="N269" t="n">
        <v>0</v>
      </c>
      <c r="O269" t="n">
        <v>0</v>
      </c>
      <c r="P269" t="n">
        <v>0</v>
      </c>
      <c r="Q269" t="n">
        <v>0</v>
      </c>
      <c r="R269" s="2" t="inlineStr"/>
    </row>
    <row r="270" ht="15" customHeight="1">
      <c r="A270" t="inlineStr">
        <is>
          <t>A 96-2024</t>
        </is>
      </c>
      <c r="B270" s="1" t="n">
        <v>45293.85872685185</v>
      </c>
      <c r="C270" s="1" t="n">
        <v>46141</v>
      </c>
      <c r="D270" t="inlineStr">
        <is>
          <t>VÄSTMANLANDS LÄN</t>
        </is>
      </c>
      <c r="E270" t="inlineStr">
        <is>
          <t>SALA</t>
        </is>
      </c>
      <c r="G270" t="n">
        <v>1.1</v>
      </c>
      <c r="H270" t="n">
        <v>0</v>
      </c>
      <c r="I270" t="n">
        <v>0</v>
      </c>
      <c r="J270" t="n">
        <v>0</v>
      </c>
      <c r="K270" t="n">
        <v>0</v>
      </c>
      <c r="L270" t="n">
        <v>0</v>
      </c>
      <c r="M270" t="n">
        <v>0</v>
      </c>
      <c r="N270" t="n">
        <v>0</v>
      </c>
      <c r="O270" t="n">
        <v>0</v>
      </c>
      <c r="P270" t="n">
        <v>0</v>
      </c>
      <c r="Q270" t="n">
        <v>0</v>
      </c>
      <c r="R270" s="2" t="inlineStr"/>
    </row>
    <row r="271" ht="15" customHeight="1">
      <c r="A271" t="inlineStr">
        <is>
          <t>A 54118-2023</t>
        </is>
      </c>
      <c r="B271" s="1" t="n">
        <v>45232</v>
      </c>
      <c r="C271" s="1" t="n">
        <v>46141</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62654-2022</t>
        </is>
      </c>
      <c r="B272" s="1" t="n">
        <v>44917</v>
      </c>
      <c r="C272" s="1" t="n">
        <v>46141</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43188-2023</t>
        </is>
      </c>
      <c r="B273" s="1" t="n">
        <v>45183</v>
      </c>
      <c r="C273" s="1" t="n">
        <v>46141</v>
      </c>
      <c r="D273" t="inlineStr">
        <is>
          <t>VÄSTMANLANDS LÄN</t>
        </is>
      </c>
      <c r="E273" t="inlineStr">
        <is>
          <t>SALA</t>
        </is>
      </c>
      <c r="G273" t="n">
        <v>1.2</v>
      </c>
      <c r="H273" t="n">
        <v>0</v>
      </c>
      <c r="I273" t="n">
        <v>0</v>
      </c>
      <c r="J273" t="n">
        <v>0</v>
      </c>
      <c r="K273" t="n">
        <v>0</v>
      </c>
      <c r="L273" t="n">
        <v>0</v>
      </c>
      <c r="M273" t="n">
        <v>0</v>
      </c>
      <c r="N273" t="n">
        <v>0</v>
      </c>
      <c r="O273" t="n">
        <v>0</v>
      </c>
      <c r="P273" t="n">
        <v>0</v>
      </c>
      <c r="Q273" t="n">
        <v>0</v>
      </c>
      <c r="R273" s="2" t="inlineStr"/>
    </row>
    <row r="274" ht="15" customHeight="1">
      <c r="A274" t="inlineStr">
        <is>
          <t>A 43205-2023</t>
        </is>
      </c>
      <c r="B274" s="1" t="n">
        <v>45183</v>
      </c>
      <c r="C274" s="1" t="n">
        <v>46141</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61892-2021</t>
        </is>
      </c>
      <c r="B275" s="1" t="n">
        <v>44502</v>
      </c>
      <c r="C275" s="1" t="n">
        <v>46141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29213-2022</t>
        </is>
      </c>
      <c r="B276" s="1" t="n">
        <v>44750.57474537037</v>
      </c>
      <c r="C276" s="1" t="n">
        <v>46141</v>
      </c>
      <c r="D276" t="inlineStr">
        <is>
          <t>VÄSTMANLANDS LÄN</t>
        </is>
      </c>
      <c r="E276" t="inlineStr">
        <is>
          <t>SALA</t>
        </is>
      </c>
      <c r="G276" t="n">
        <v>1</v>
      </c>
      <c r="H276" t="n">
        <v>0</v>
      </c>
      <c r="I276" t="n">
        <v>0</v>
      </c>
      <c r="J276" t="n">
        <v>0</v>
      </c>
      <c r="K276" t="n">
        <v>0</v>
      </c>
      <c r="L276" t="n">
        <v>0</v>
      </c>
      <c r="M276" t="n">
        <v>0</v>
      </c>
      <c r="N276" t="n">
        <v>0</v>
      </c>
      <c r="O276" t="n">
        <v>0</v>
      </c>
      <c r="P276" t="n">
        <v>0</v>
      </c>
      <c r="Q276" t="n">
        <v>0</v>
      </c>
      <c r="R276" s="2" t="inlineStr"/>
    </row>
    <row r="277" ht="15" customHeight="1">
      <c r="A277" t="inlineStr">
        <is>
          <t>A 59483-2022</t>
        </is>
      </c>
      <c r="B277" s="1" t="n">
        <v>44907.45679398148</v>
      </c>
      <c r="C277" s="1" t="n">
        <v>46141</v>
      </c>
      <c r="D277" t="inlineStr">
        <is>
          <t>VÄSTMANLANDS LÄN</t>
        </is>
      </c>
      <c r="E277" t="inlineStr">
        <is>
          <t>SALA</t>
        </is>
      </c>
      <c r="G277" t="n">
        <v>5.2</v>
      </c>
      <c r="H277" t="n">
        <v>0</v>
      </c>
      <c r="I277" t="n">
        <v>0</v>
      </c>
      <c r="J277" t="n">
        <v>0</v>
      </c>
      <c r="K277" t="n">
        <v>0</v>
      </c>
      <c r="L277" t="n">
        <v>0</v>
      </c>
      <c r="M277" t="n">
        <v>0</v>
      </c>
      <c r="N277" t="n">
        <v>0</v>
      </c>
      <c r="O277" t="n">
        <v>0</v>
      </c>
      <c r="P277" t="n">
        <v>0</v>
      </c>
      <c r="Q277" t="n">
        <v>0</v>
      </c>
      <c r="R277" s="2" t="inlineStr"/>
    </row>
    <row r="278" ht="15" customHeight="1">
      <c r="A278" t="inlineStr">
        <is>
          <t>A 73673-2021</t>
        </is>
      </c>
      <c r="B278" s="1" t="n">
        <v>44552.46501157407</v>
      </c>
      <c r="C278" s="1" t="n">
        <v>46141</v>
      </c>
      <c r="D278" t="inlineStr">
        <is>
          <t>VÄSTMANLANDS LÄN</t>
        </is>
      </c>
      <c r="E278" t="inlineStr">
        <is>
          <t>SALA</t>
        </is>
      </c>
      <c r="G278" t="n">
        <v>11.4</v>
      </c>
      <c r="H278" t="n">
        <v>0</v>
      </c>
      <c r="I278" t="n">
        <v>0</v>
      </c>
      <c r="J278" t="n">
        <v>0</v>
      </c>
      <c r="K278" t="n">
        <v>0</v>
      </c>
      <c r="L278" t="n">
        <v>0</v>
      </c>
      <c r="M278" t="n">
        <v>0</v>
      </c>
      <c r="N278" t="n">
        <v>0</v>
      </c>
      <c r="O278" t="n">
        <v>0</v>
      </c>
      <c r="P278" t="n">
        <v>0</v>
      </c>
      <c r="Q278" t="n">
        <v>0</v>
      </c>
      <c r="R278" s="2" t="inlineStr"/>
    </row>
    <row r="279" ht="15" customHeight="1">
      <c r="A279" t="inlineStr">
        <is>
          <t>A 34814-2021</t>
        </is>
      </c>
      <c r="B279" s="1" t="n">
        <v>44383</v>
      </c>
      <c r="C279" s="1" t="n">
        <v>46141</v>
      </c>
      <c r="D279" t="inlineStr">
        <is>
          <t>VÄSTMANLANDS LÄN</t>
        </is>
      </c>
      <c r="E279" t="inlineStr">
        <is>
          <t>SALA</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25748-2022</t>
        </is>
      </c>
      <c r="B280" s="1" t="n">
        <v>44732</v>
      </c>
      <c r="C280" s="1" t="n">
        <v>46141</v>
      </c>
      <c r="D280" t="inlineStr">
        <is>
          <t>VÄSTMANLANDS LÄN</t>
        </is>
      </c>
      <c r="E280" t="inlineStr">
        <is>
          <t>SALA</t>
        </is>
      </c>
      <c r="G280" t="n">
        <v>7.7</v>
      </c>
      <c r="H280" t="n">
        <v>0</v>
      </c>
      <c r="I280" t="n">
        <v>0</v>
      </c>
      <c r="J280" t="n">
        <v>0</v>
      </c>
      <c r="K280" t="n">
        <v>0</v>
      </c>
      <c r="L280" t="n">
        <v>0</v>
      </c>
      <c r="M280" t="n">
        <v>0</v>
      </c>
      <c r="N280" t="n">
        <v>0</v>
      </c>
      <c r="O280" t="n">
        <v>0</v>
      </c>
      <c r="P280" t="n">
        <v>0</v>
      </c>
      <c r="Q280" t="n">
        <v>0</v>
      </c>
      <c r="R280" s="2" t="inlineStr"/>
    </row>
    <row r="281" ht="15" customHeight="1">
      <c r="A281" t="inlineStr">
        <is>
          <t>A 16160-2024</t>
        </is>
      </c>
      <c r="B281" s="1" t="n">
        <v>45406</v>
      </c>
      <c r="C281" s="1" t="n">
        <v>46141</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3733-2023</t>
        </is>
      </c>
      <c r="B282" s="1" t="n">
        <v>44951.42501157407</v>
      </c>
      <c r="C282" s="1" t="n">
        <v>46141</v>
      </c>
      <c r="D282" t="inlineStr">
        <is>
          <t>VÄSTMANLANDS LÄN</t>
        </is>
      </c>
      <c r="E282" t="inlineStr">
        <is>
          <t>SALA</t>
        </is>
      </c>
      <c r="G282" t="n">
        <v>3.1</v>
      </c>
      <c r="H282" t="n">
        <v>0</v>
      </c>
      <c r="I282" t="n">
        <v>0</v>
      </c>
      <c r="J282" t="n">
        <v>0</v>
      </c>
      <c r="K282" t="n">
        <v>0</v>
      </c>
      <c r="L282" t="n">
        <v>0</v>
      </c>
      <c r="M282" t="n">
        <v>0</v>
      </c>
      <c r="N282" t="n">
        <v>0</v>
      </c>
      <c r="O282" t="n">
        <v>0</v>
      </c>
      <c r="P282" t="n">
        <v>0</v>
      </c>
      <c r="Q282" t="n">
        <v>0</v>
      </c>
      <c r="R282" s="2" t="inlineStr"/>
    </row>
    <row r="283" ht="15" customHeight="1">
      <c r="A283" t="inlineStr">
        <is>
          <t>A 6136-2025</t>
        </is>
      </c>
      <c r="B283" s="1" t="n">
        <v>45698.37601851852</v>
      </c>
      <c r="C283" s="1" t="n">
        <v>46141</v>
      </c>
      <c r="D283" t="inlineStr">
        <is>
          <t>VÄSTMANLANDS LÄN</t>
        </is>
      </c>
      <c r="E283" t="inlineStr">
        <is>
          <t>SALA</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6190-2025</t>
        </is>
      </c>
      <c r="B284" s="1" t="n">
        <v>45698</v>
      </c>
      <c r="C284" s="1" t="n">
        <v>46141</v>
      </c>
      <c r="D284" t="inlineStr">
        <is>
          <t>VÄSTMANLANDS LÄN</t>
        </is>
      </c>
      <c r="E284" t="inlineStr">
        <is>
          <t>SALA</t>
        </is>
      </c>
      <c r="F284" t="inlineStr">
        <is>
          <t>Bergvik skog öst AB</t>
        </is>
      </c>
      <c r="G284" t="n">
        <v>4.6</v>
      </c>
      <c r="H284" t="n">
        <v>0</v>
      </c>
      <c r="I284" t="n">
        <v>0</v>
      </c>
      <c r="J284" t="n">
        <v>0</v>
      </c>
      <c r="K284" t="n">
        <v>0</v>
      </c>
      <c r="L284" t="n">
        <v>0</v>
      </c>
      <c r="M284" t="n">
        <v>0</v>
      </c>
      <c r="N284" t="n">
        <v>0</v>
      </c>
      <c r="O284" t="n">
        <v>0</v>
      </c>
      <c r="P284" t="n">
        <v>0</v>
      </c>
      <c r="Q284" t="n">
        <v>0</v>
      </c>
      <c r="R284" s="2" t="inlineStr"/>
    </row>
    <row r="285" ht="15" customHeight="1">
      <c r="A285" t="inlineStr">
        <is>
          <t>A 16760-2024</t>
        </is>
      </c>
      <c r="B285" s="1" t="n">
        <v>45411</v>
      </c>
      <c r="C285" s="1" t="n">
        <v>46141</v>
      </c>
      <c r="D285" t="inlineStr">
        <is>
          <t>VÄSTMANLANDS LÄN</t>
        </is>
      </c>
      <c r="E285" t="inlineStr">
        <is>
          <t>SALA</t>
        </is>
      </c>
      <c r="G285" t="n">
        <v>2.6</v>
      </c>
      <c r="H285" t="n">
        <v>0</v>
      </c>
      <c r="I285" t="n">
        <v>0</v>
      </c>
      <c r="J285" t="n">
        <v>0</v>
      </c>
      <c r="K285" t="n">
        <v>0</v>
      </c>
      <c r="L285" t="n">
        <v>0</v>
      </c>
      <c r="M285" t="n">
        <v>0</v>
      </c>
      <c r="N285" t="n">
        <v>0</v>
      </c>
      <c r="O285" t="n">
        <v>0</v>
      </c>
      <c r="P285" t="n">
        <v>0</v>
      </c>
      <c r="Q285" t="n">
        <v>0</v>
      </c>
      <c r="R285" s="2" t="inlineStr"/>
    </row>
    <row r="286" ht="15" customHeight="1">
      <c r="A286" t="inlineStr">
        <is>
          <t>A 39597-2022</t>
        </is>
      </c>
      <c r="B286" s="1" t="n">
        <v>44818</v>
      </c>
      <c r="C286" s="1" t="n">
        <v>46141</v>
      </c>
      <c r="D286" t="inlineStr">
        <is>
          <t>VÄSTMANLANDS LÄN</t>
        </is>
      </c>
      <c r="E286" t="inlineStr">
        <is>
          <t>SALA</t>
        </is>
      </c>
      <c r="G286" t="n">
        <v>2.3</v>
      </c>
      <c r="H286" t="n">
        <v>0</v>
      </c>
      <c r="I286" t="n">
        <v>0</v>
      </c>
      <c r="J286" t="n">
        <v>0</v>
      </c>
      <c r="K286" t="n">
        <v>0</v>
      </c>
      <c r="L286" t="n">
        <v>0</v>
      </c>
      <c r="M286" t="n">
        <v>0</v>
      </c>
      <c r="N286" t="n">
        <v>0</v>
      </c>
      <c r="O286" t="n">
        <v>0</v>
      </c>
      <c r="P286" t="n">
        <v>0</v>
      </c>
      <c r="Q286" t="n">
        <v>0</v>
      </c>
      <c r="R286" s="2" t="inlineStr"/>
    </row>
    <row r="287" ht="15" customHeight="1">
      <c r="A287" t="inlineStr">
        <is>
          <t>A 6127-2025</t>
        </is>
      </c>
      <c r="B287" s="1" t="n">
        <v>45698</v>
      </c>
      <c r="C287" s="1" t="n">
        <v>46141</v>
      </c>
      <c r="D287" t="inlineStr">
        <is>
          <t>VÄSTMANLANDS LÄN</t>
        </is>
      </c>
      <c r="E287" t="inlineStr">
        <is>
          <t>SALA</t>
        </is>
      </c>
      <c r="F287" t="inlineStr">
        <is>
          <t>Bergvik skog öst AB</t>
        </is>
      </c>
      <c r="G287" t="n">
        <v>4.3</v>
      </c>
      <c r="H287" t="n">
        <v>0</v>
      </c>
      <c r="I287" t="n">
        <v>0</v>
      </c>
      <c r="J287" t="n">
        <v>0</v>
      </c>
      <c r="K287" t="n">
        <v>0</v>
      </c>
      <c r="L287" t="n">
        <v>0</v>
      </c>
      <c r="M287" t="n">
        <v>0</v>
      </c>
      <c r="N287" t="n">
        <v>0</v>
      </c>
      <c r="O287" t="n">
        <v>0</v>
      </c>
      <c r="P287" t="n">
        <v>0</v>
      </c>
      <c r="Q287" t="n">
        <v>0</v>
      </c>
      <c r="R287" s="2" t="inlineStr"/>
    </row>
    <row r="288" ht="15" customHeight="1">
      <c r="A288" t="inlineStr">
        <is>
          <t>A 22921-2023</t>
        </is>
      </c>
      <c r="B288" s="1" t="n">
        <v>45070</v>
      </c>
      <c r="C288" s="1" t="n">
        <v>46141</v>
      </c>
      <c r="D288" t="inlineStr">
        <is>
          <t>VÄSTMANLANDS LÄN</t>
        </is>
      </c>
      <c r="E288" t="inlineStr">
        <is>
          <t>SALA</t>
        </is>
      </c>
      <c r="G288" t="n">
        <v>1.3</v>
      </c>
      <c r="H288" t="n">
        <v>0</v>
      </c>
      <c r="I288" t="n">
        <v>0</v>
      </c>
      <c r="J288" t="n">
        <v>0</v>
      </c>
      <c r="K288" t="n">
        <v>0</v>
      </c>
      <c r="L288" t="n">
        <v>0</v>
      </c>
      <c r="M288" t="n">
        <v>0</v>
      </c>
      <c r="N288" t="n">
        <v>0</v>
      </c>
      <c r="O288" t="n">
        <v>0</v>
      </c>
      <c r="P288" t="n">
        <v>0</v>
      </c>
      <c r="Q288" t="n">
        <v>0</v>
      </c>
      <c r="R288" s="2" t="inlineStr"/>
    </row>
    <row r="289" ht="15" customHeight="1">
      <c r="A289" t="inlineStr">
        <is>
          <t>A 18340-2025</t>
        </is>
      </c>
      <c r="B289" s="1" t="n">
        <v>45762</v>
      </c>
      <c r="C289" s="1" t="n">
        <v>46141</v>
      </c>
      <c r="D289" t="inlineStr">
        <is>
          <t>VÄSTMANLANDS LÄN</t>
        </is>
      </c>
      <c r="E289" t="inlineStr">
        <is>
          <t>SALA</t>
        </is>
      </c>
      <c r="G289" t="n">
        <v>2.1</v>
      </c>
      <c r="H289" t="n">
        <v>0</v>
      </c>
      <c r="I289" t="n">
        <v>0</v>
      </c>
      <c r="J289" t="n">
        <v>0</v>
      </c>
      <c r="K289" t="n">
        <v>0</v>
      </c>
      <c r="L289" t="n">
        <v>0</v>
      </c>
      <c r="M289" t="n">
        <v>0</v>
      </c>
      <c r="N289" t="n">
        <v>0</v>
      </c>
      <c r="O289" t="n">
        <v>0</v>
      </c>
      <c r="P289" t="n">
        <v>0</v>
      </c>
      <c r="Q289" t="n">
        <v>0</v>
      </c>
      <c r="R289" s="2" t="inlineStr"/>
    </row>
    <row r="290" ht="15" customHeight="1">
      <c r="A290" t="inlineStr">
        <is>
          <t>A 988-2025</t>
        </is>
      </c>
      <c r="B290" s="1" t="n">
        <v>45666.44038194444</v>
      </c>
      <c r="C290" s="1" t="n">
        <v>46141</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36858-2023</t>
        </is>
      </c>
      <c r="B291" s="1" t="n">
        <v>45154.55184027777</v>
      </c>
      <c r="C291" s="1" t="n">
        <v>46141</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55024-2023</t>
        </is>
      </c>
      <c r="B292" s="1" t="n">
        <v>45229</v>
      </c>
      <c r="C292" s="1" t="n">
        <v>46141</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55032-2023</t>
        </is>
      </c>
      <c r="B293" s="1" t="n">
        <v>45229</v>
      </c>
      <c r="C293" s="1" t="n">
        <v>46141</v>
      </c>
      <c r="D293" t="inlineStr">
        <is>
          <t>VÄSTMANLANDS LÄN</t>
        </is>
      </c>
      <c r="E293" t="inlineStr">
        <is>
          <t>SALA</t>
        </is>
      </c>
      <c r="G293" t="n">
        <v>1.5</v>
      </c>
      <c r="H293" t="n">
        <v>0</v>
      </c>
      <c r="I293" t="n">
        <v>0</v>
      </c>
      <c r="J293" t="n">
        <v>0</v>
      </c>
      <c r="K293" t="n">
        <v>0</v>
      </c>
      <c r="L293" t="n">
        <v>0</v>
      </c>
      <c r="M293" t="n">
        <v>0</v>
      </c>
      <c r="N293" t="n">
        <v>0</v>
      </c>
      <c r="O293" t="n">
        <v>0</v>
      </c>
      <c r="P293" t="n">
        <v>0</v>
      </c>
      <c r="Q293" t="n">
        <v>0</v>
      </c>
      <c r="R293" s="2" t="inlineStr"/>
    </row>
    <row r="294" ht="15" customHeight="1">
      <c r="A294" t="inlineStr">
        <is>
          <t>A 56706-2022</t>
        </is>
      </c>
      <c r="B294" s="1" t="n">
        <v>44893.78893518518</v>
      </c>
      <c r="C294" s="1" t="n">
        <v>46141</v>
      </c>
      <c r="D294" t="inlineStr">
        <is>
          <t>VÄSTMANLANDS LÄN</t>
        </is>
      </c>
      <c r="E294" t="inlineStr">
        <is>
          <t>SALA</t>
        </is>
      </c>
      <c r="G294" t="n">
        <v>4.5</v>
      </c>
      <c r="H294" t="n">
        <v>0</v>
      </c>
      <c r="I294" t="n">
        <v>0</v>
      </c>
      <c r="J294" t="n">
        <v>0</v>
      </c>
      <c r="K294" t="n">
        <v>0</v>
      </c>
      <c r="L294" t="n">
        <v>0</v>
      </c>
      <c r="M294" t="n">
        <v>0</v>
      </c>
      <c r="N294" t="n">
        <v>0</v>
      </c>
      <c r="O294" t="n">
        <v>0</v>
      </c>
      <c r="P294" t="n">
        <v>0</v>
      </c>
      <c r="Q294" t="n">
        <v>0</v>
      </c>
      <c r="R294" s="2" t="inlineStr"/>
    </row>
    <row r="295" ht="15" customHeight="1">
      <c r="A295" t="inlineStr">
        <is>
          <t>A 56707-2022</t>
        </is>
      </c>
      <c r="B295" s="1" t="n">
        <v>44893.79412037037</v>
      </c>
      <c r="C295" s="1" t="n">
        <v>46141</v>
      </c>
      <c r="D295" t="inlineStr">
        <is>
          <t>VÄSTMANLANDS LÄN</t>
        </is>
      </c>
      <c r="E295" t="inlineStr">
        <is>
          <t>SALA</t>
        </is>
      </c>
      <c r="G295" t="n">
        <v>1</v>
      </c>
      <c r="H295" t="n">
        <v>0</v>
      </c>
      <c r="I295" t="n">
        <v>0</v>
      </c>
      <c r="J295" t="n">
        <v>0</v>
      </c>
      <c r="K295" t="n">
        <v>0</v>
      </c>
      <c r="L295" t="n">
        <v>0</v>
      </c>
      <c r="M295" t="n">
        <v>0</v>
      </c>
      <c r="N295" t="n">
        <v>0</v>
      </c>
      <c r="O295" t="n">
        <v>0</v>
      </c>
      <c r="P295" t="n">
        <v>0</v>
      </c>
      <c r="Q295" t="n">
        <v>0</v>
      </c>
      <c r="R295" s="2" t="inlineStr"/>
    </row>
    <row r="296" ht="15" customHeight="1">
      <c r="A296" t="inlineStr">
        <is>
          <t>A 60328-2024</t>
        </is>
      </c>
      <c r="B296" s="1" t="n">
        <v>45643.38416666666</v>
      </c>
      <c r="C296" s="1" t="n">
        <v>46141</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20352-2022</t>
        </is>
      </c>
      <c r="B297" s="1" t="n">
        <v>44699.37318287037</v>
      </c>
      <c r="C297" s="1" t="n">
        <v>46141</v>
      </c>
      <c r="D297" t="inlineStr">
        <is>
          <t>VÄSTMANLANDS LÄN</t>
        </is>
      </c>
      <c r="E297" t="inlineStr">
        <is>
          <t>SALA</t>
        </is>
      </c>
      <c r="G297" t="n">
        <v>1.3</v>
      </c>
      <c r="H297" t="n">
        <v>0</v>
      </c>
      <c r="I297" t="n">
        <v>0</v>
      </c>
      <c r="J297" t="n">
        <v>0</v>
      </c>
      <c r="K297" t="n">
        <v>0</v>
      </c>
      <c r="L297" t="n">
        <v>0</v>
      </c>
      <c r="M297" t="n">
        <v>0</v>
      </c>
      <c r="N297" t="n">
        <v>0</v>
      </c>
      <c r="O297" t="n">
        <v>0</v>
      </c>
      <c r="P297" t="n">
        <v>0</v>
      </c>
      <c r="Q297" t="n">
        <v>0</v>
      </c>
      <c r="R297" s="2" t="inlineStr"/>
    </row>
    <row r="298" ht="15" customHeight="1">
      <c r="A298" t="inlineStr">
        <is>
          <t>A 5032-2025</t>
        </is>
      </c>
      <c r="B298" s="1" t="n">
        <v>45691</v>
      </c>
      <c r="C298" s="1" t="n">
        <v>46141</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35016-2024</t>
        </is>
      </c>
      <c r="B299" s="1" t="n">
        <v>45527.59115740741</v>
      </c>
      <c r="C299" s="1" t="n">
        <v>46141</v>
      </c>
      <c r="D299" t="inlineStr">
        <is>
          <t>VÄSTMANLANDS LÄN</t>
        </is>
      </c>
      <c r="E299" t="inlineStr">
        <is>
          <t>SALA</t>
        </is>
      </c>
      <c r="G299" t="n">
        <v>0.4</v>
      </c>
      <c r="H299" t="n">
        <v>0</v>
      </c>
      <c r="I299" t="n">
        <v>0</v>
      </c>
      <c r="J299" t="n">
        <v>0</v>
      </c>
      <c r="K299" t="n">
        <v>0</v>
      </c>
      <c r="L299" t="n">
        <v>0</v>
      </c>
      <c r="M299" t="n">
        <v>0</v>
      </c>
      <c r="N299" t="n">
        <v>0</v>
      </c>
      <c r="O299" t="n">
        <v>0</v>
      </c>
      <c r="P299" t="n">
        <v>0</v>
      </c>
      <c r="Q299" t="n">
        <v>0</v>
      </c>
      <c r="R299" s="2" t="inlineStr"/>
    </row>
    <row r="300" ht="15" customHeight="1">
      <c r="A300" t="inlineStr">
        <is>
          <t>A 17117-2023</t>
        </is>
      </c>
      <c r="B300" s="1" t="n">
        <v>45034</v>
      </c>
      <c r="C300" s="1" t="n">
        <v>46141</v>
      </c>
      <c r="D300" t="inlineStr">
        <is>
          <t>VÄSTMANLANDS LÄN</t>
        </is>
      </c>
      <c r="E300" t="inlineStr">
        <is>
          <t>SALA</t>
        </is>
      </c>
      <c r="G300" t="n">
        <v>0.4</v>
      </c>
      <c r="H300" t="n">
        <v>0</v>
      </c>
      <c r="I300" t="n">
        <v>0</v>
      </c>
      <c r="J300" t="n">
        <v>0</v>
      </c>
      <c r="K300" t="n">
        <v>0</v>
      </c>
      <c r="L300" t="n">
        <v>0</v>
      </c>
      <c r="M300" t="n">
        <v>0</v>
      </c>
      <c r="N300" t="n">
        <v>0</v>
      </c>
      <c r="O300" t="n">
        <v>0</v>
      </c>
      <c r="P300" t="n">
        <v>0</v>
      </c>
      <c r="Q300" t="n">
        <v>0</v>
      </c>
      <c r="R300" s="2" t="inlineStr"/>
    </row>
    <row r="301" ht="15" customHeight="1">
      <c r="A301" t="inlineStr">
        <is>
          <t>A 25897-2024</t>
        </is>
      </c>
      <c r="B301" s="1" t="n">
        <v>45467.54435185185</v>
      </c>
      <c r="C301" s="1" t="n">
        <v>46141</v>
      </c>
      <c r="D301" t="inlineStr">
        <is>
          <t>VÄSTMANLANDS LÄN</t>
        </is>
      </c>
      <c r="E301" t="inlineStr">
        <is>
          <t>SALA</t>
        </is>
      </c>
      <c r="G301" t="n">
        <v>9.9</v>
      </c>
      <c r="H301" t="n">
        <v>0</v>
      </c>
      <c r="I301" t="n">
        <v>0</v>
      </c>
      <c r="J301" t="n">
        <v>0</v>
      </c>
      <c r="K301" t="n">
        <v>0</v>
      </c>
      <c r="L301" t="n">
        <v>0</v>
      </c>
      <c r="M301" t="n">
        <v>0</v>
      </c>
      <c r="N301" t="n">
        <v>0</v>
      </c>
      <c r="O301" t="n">
        <v>0</v>
      </c>
      <c r="P301" t="n">
        <v>0</v>
      </c>
      <c r="Q301" t="n">
        <v>0</v>
      </c>
      <c r="R301" s="2" t="inlineStr"/>
    </row>
    <row r="302" ht="15" customHeight="1">
      <c r="A302" t="inlineStr">
        <is>
          <t>A 31072-2021</t>
        </is>
      </c>
      <c r="B302" s="1" t="n">
        <v>44368</v>
      </c>
      <c r="C302" s="1" t="n">
        <v>46141</v>
      </c>
      <c r="D302" t="inlineStr">
        <is>
          <t>VÄSTMANLANDS LÄN</t>
        </is>
      </c>
      <c r="E302" t="inlineStr">
        <is>
          <t>SALA</t>
        </is>
      </c>
      <c r="G302" t="n">
        <v>1.1</v>
      </c>
      <c r="H302" t="n">
        <v>0</v>
      </c>
      <c r="I302" t="n">
        <v>0</v>
      </c>
      <c r="J302" t="n">
        <v>0</v>
      </c>
      <c r="K302" t="n">
        <v>0</v>
      </c>
      <c r="L302" t="n">
        <v>0</v>
      </c>
      <c r="M302" t="n">
        <v>0</v>
      </c>
      <c r="N302" t="n">
        <v>0</v>
      </c>
      <c r="O302" t="n">
        <v>0</v>
      </c>
      <c r="P302" t="n">
        <v>0</v>
      </c>
      <c r="Q302" t="n">
        <v>0</v>
      </c>
      <c r="R302" s="2" t="inlineStr"/>
    </row>
    <row r="303" ht="15" customHeight="1">
      <c r="A303" t="inlineStr">
        <is>
          <t>A 38574-2025</t>
        </is>
      </c>
      <c r="B303" s="1" t="n">
        <v>45884.46390046296</v>
      </c>
      <c r="C303" s="1" t="n">
        <v>46141</v>
      </c>
      <c r="D303" t="inlineStr">
        <is>
          <t>VÄSTMANLANDS LÄN</t>
        </is>
      </c>
      <c r="E303" t="inlineStr">
        <is>
          <t>SALA</t>
        </is>
      </c>
      <c r="G303" t="n">
        <v>2.1</v>
      </c>
      <c r="H303" t="n">
        <v>0</v>
      </c>
      <c r="I303" t="n">
        <v>0</v>
      </c>
      <c r="J303" t="n">
        <v>0</v>
      </c>
      <c r="K303" t="n">
        <v>0</v>
      </c>
      <c r="L303" t="n">
        <v>0</v>
      </c>
      <c r="M303" t="n">
        <v>0</v>
      </c>
      <c r="N303" t="n">
        <v>0</v>
      </c>
      <c r="O303" t="n">
        <v>0</v>
      </c>
      <c r="P303" t="n">
        <v>0</v>
      </c>
      <c r="Q303" t="n">
        <v>0</v>
      </c>
      <c r="R303" s="2" t="inlineStr"/>
    </row>
    <row r="304" ht="15" customHeight="1">
      <c r="A304" t="inlineStr">
        <is>
          <t>A 19243-2025</t>
        </is>
      </c>
      <c r="B304" s="1" t="n">
        <v>45769</v>
      </c>
      <c r="C304" s="1" t="n">
        <v>46141</v>
      </c>
      <c r="D304" t="inlineStr">
        <is>
          <t>VÄSTMANLANDS LÄN</t>
        </is>
      </c>
      <c r="E304" t="inlineStr">
        <is>
          <t>SALA</t>
        </is>
      </c>
      <c r="F304" t="inlineStr">
        <is>
          <t>Bergvik skog öst AB</t>
        </is>
      </c>
      <c r="G304" t="n">
        <v>1.5</v>
      </c>
      <c r="H304" t="n">
        <v>0</v>
      </c>
      <c r="I304" t="n">
        <v>0</v>
      </c>
      <c r="J304" t="n">
        <v>0</v>
      </c>
      <c r="K304" t="n">
        <v>0</v>
      </c>
      <c r="L304" t="n">
        <v>0</v>
      </c>
      <c r="M304" t="n">
        <v>0</v>
      </c>
      <c r="N304" t="n">
        <v>0</v>
      </c>
      <c r="O304" t="n">
        <v>0</v>
      </c>
      <c r="P304" t="n">
        <v>0</v>
      </c>
      <c r="Q304" t="n">
        <v>0</v>
      </c>
      <c r="R304" s="2" t="inlineStr"/>
    </row>
    <row r="305" ht="15" customHeight="1">
      <c r="A305" t="inlineStr">
        <is>
          <t>A 57371-2022</t>
        </is>
      </c>
      <c r="B305" s="1" t="n">
        <v>44896.43832175926</v>
      </c>
      <c r="C305" s="1" t="n">
        <v>46141</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22019-2021</t>
        </is>
      </c>
      <c r="B306" s="1" t="n">
        <v>44323</v>
      </c>
      <c r="C306" s="1" t="n">
        <v>46141</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55784-2024</t>
        </is>
      </c>
      <c r="B307" s="1" t="n">
        <v>45623</v>
      </c>
      <c r="C307" s="1" t="n">
        <v>46141</v>
      </c>
      <c r="D307" t="inlineStr">
        <is>
          <t>VÄSTMANLANDS LÄN</t>
        </is>
      </c>
      <c r="E307" t="inlineStr">
        <is>
          <t>SALA</t>
        </is>
      </c>
      <c r="F307" t="inlineStr">
        <is>
          <t>Bergvik skog öst AB</t>
        </is>
      </c>
      <c r="G307" t="n">
        <v>28.4</v>
      </c>
      <c r="H307" t="n">
        <v>0</v>
      </c>
      <c r="I307" t="n">
        <v>0</v>
      </c>
      <c r="J307" t="n">
        <v>0</v>
      </c>
      <c r="K307" t="n">
        <v>0</v>
      </c>
      <c r="L307" t="n">
        <v>0</v>
      </c>
      <c r="M307" t="n">
        <v>0</v>
      </c>
      <c r="N307" t="n">
        <v>0</v>
      </c>
      <c r="O307" t="n">
        <v>0</v>
      </c>
      <c r="P307" t="n">
        <v>0</v>
      </c>
      <c r="Q307" t="n">
        <v>0</v>
      </c>
      <c r="R307" s="2" t="inlineStr"/>
    </row>
    <row r="308" ht="15" customHeight="1">
      <c r="A308" t="inlineStr">
        <is>
          <t>A 31864-2025</t>
        </is>
      </c>
      <c r="B308" s="1" t="n">
        <v>45834.63819444444</v>
      </c>
      <c r="C308" s="1" t="n">
        <v>46141</v>
      </c>
      <c r="D308" t="inlineStr">
        <is>
          <t>VÄSTMANLANDS LÄN</t>
        </is>
      </c>
      <c r="E308" t="inlineStr">
        <is>
          <t>SALA</t>
        </is>
      </c>
      <c r="G308" t="n">
        <v>6.3</v>
      </c>
      <c r="H308" t="n">
        <v>0</v>
      </c>
      <c r="I308" t="n">
        <v>0</v>
      </c>
      <c r="J308" t="n">
        <v>0</v>
      </c>
      <c r="K308" t="n">
        <v>0</v>
      </c>
      <c r="L308" t="n">
        <v>0</v>
      </c>
      <c r="M308" t="n">
        <v>0</v>
      </c>
      <c r="N308" t="n">
        <v>0</v>
      </c>
      <c r="O308" t="n">
        <v>0</v>
      </c>
      <c r="P308" t="n">
        <v>0</v>
      </c>
      <c r="Q308" t="n">
        <v>0</v>
      </c>
      <c r="R308" s="2" t="inlineStr"/>
    </row>
    <row r="309" ht="15" customHeight="1">
      <c r="A309" t="inlineStr">
        <is>
          <t>A 19803-2024</t>
        </is>
      </c>
      <c r="B309" s="1" t="n">
        <v>45432</v>
      </c>
      <c r="C309" s="1" t="n">
        <v>46141</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48571-2024</t>
        </is>
      </c>
      <c r="B310" s="1" t="n">
        <v>45591</v>
      </c>
      <c r="C310" s="1" t="n">
        <v>46141</v>
      </c>
      <c r="D310" t="inlineStr">
        <is>
          <t>VÄSTMANLANDS LÄN</t>
        </is>
      </c>
      <c r="E310" t="inlineStr">
        <is>
          <t>SALA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7166-2025</t>
        </is>
      </c>
      <c r="B311" s="1" t="n">
        <v>45702</v>
      </c>
      <c r="C311" s="1" t="n">
        <v>46141</v>
      </c>
      <c r="D311" t="inlineStr">
        <is>
          <t>VÄSTMANLANDS LÄN</t>
        </is>
      </c>
      <c r="E311" t="inlineStr">
        <is>
          <t>SALA</t>
        </is>
      </c>
      <c r="G311" t="n">
        <v>6.1</v>
      </c>
      <c r="H311" t="n">
        <v>0</v>
      </c>
      <c r="I311" t="n">
        <v>0</v>
      </c>
      <c r="J311" t="n">
        <v>0</v>
      </c>
      <c r="K311" t="n">
        <v>0</v>
      </c>
      <c r="L311" t="n">
        <v>0</v>
      </c>
      <c r="M311" t="n">
        <v>0</v>
      </c>
      <c r="N311" t="n">
        <v>0</v>
      </c>
      <c r="O311" t="n">
        <v>0</v>
      </c>
      <c r="P311" t="n">
        <v>0</v>
      </c>
      <c r="Q311" t="n">
        <v>0</v>
      </c>
      <c r="R311" s="2" t="inlineStr"/>
    </row>
    <row r="312" ht="15" customHeight="1">
      <c r="A312" t="inlineStr">
        <is>
          <t>A 36393-2023</t>
        </is>
      </c>
      <c r="B312" s="1" t="n">
        <v>45152</v>
      </c>
      <c r="C312" s="1" t="n">
        <v>46141</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26416-2023</t>
        </is>
      </c>
      <c r="B313" s="1" t="n">
        <v>45092.38087962963</v>
      </c>
      <c r="C313" s="1" t="n">
        <v>46141</v>
      </c>
      <c r="D313" t="inlineStr">
        <is>
          <t>VÄSTMANLANDS LÄN</t>
        </is>
      </c>
      <c r="E313" t="inlineStr">
        <is>
          <t>SALA</t>
        </is>
      </c>
      <c r="G313" t="n">
        <v>2.9</v>
      </c>
      <c r="H313" t="n">
        <v>0</v>
      </c>
      <c r="I313" t="n">
        <v>0</v>
      </c>
      <c r="J313" t="n">
        <v>0</v>
      </c>
      <c r="K313" t="n">
        <v>0</v>
      </c>
      <c r="L313" t="n">
        <v>0</v>
      </c>
      <c r="M313" t="n">
        <v>0</v>
      </c>
      <c r="N313" t="n">
        <v>0</v>
      </c>
      <c r="O313" t="n">
        <v>0</v>
      </c>
      <c r="P313" t="n">
        <v>0</v>
      </c>
      <c r="Q313" t="n">
        <v>0</v>
      </c>
      <c r="R313" s="2" t="inlineStr"/>
    </row>
    <row r="314" ht="15" customHeight="1">
      <c r="A314" t="inlineStr">
        <is>
          <t>A 7196-2025</t>
        </is>
      </c>
      <c r="B314" s="1" t="n">
        <v>45702</v>
      </c>
      <c r="C314" s="1" t="n">
        <v>46141</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39167-2025</t>
        </is>
      </c>
      <c r="B315" s="1" t="n">
        <v>45888</v>
      </c>
      <c r="C315" s="1" t="n">
        <v>46141</v>
      </c>
      <c r="D315" t="inlineStr">
        <is>
          <t>VÄSTMANLANDS LÄN</t>
        </is>
      </c>
      <c r="E315" t="inlineStr">
        <is>
          <t>SALA</t>
        </is>
      </c>
      <c r="G315" t="n">
        <v>5.5</v>
      </c>
      <c r="H315" t="n">
        <v>0</v>
      </c>
      <c r="I315" t="n">
        <v>0</v>
      </c>
      <c r="J315" t="n">
        <v>0</v>
      </c>
      <c r="K315" t="n">
        <v>0</v>
      </c>
      <c r="L315" t="n">
        <v>0</v>
      </c>
      <c r="M315" t="n">
        <v>0</v>
      </c>
      <c r="N315" t="n">
        <v>0</v>
      </c>
      <c r="O315" t="n">
        <v>0</v>
      </c>
      <c r="P315" t="n">
        <v>0</v>
      </c>
      <c r="Q315" t="n">
        <v>0</v>
      </c>
      <c r="R315" s="2" t="inlineStr"/>
    </row>
    <row r="316" ht="15" customHeight="1">
      <c r="A316" t="inlineStr">
        <is>
          <t>A 39182-2025</t>
        </is>
      </c>
      <c r="B316" s="1" t="n">
        <v>45888.66204861111</v>
      </c>
      <c r="C316" s="1" t="n">
        <v>46141</v>
      </c>
      <c r="D316" t="inlineStr">
        <is>
          <t>VÄSTMANLANDS LÄN</t>
        </is>
      </c>
      <c r="E316" t="inlineStr">
        <is>
          <t>SALA</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40597-2022</t>
        </is>
      </c>
      <c r="B317" s="1" t="n">
        <v>44823.84862268518</v>
      </c>
      <c r="C317" s="1" t="n">
        <v>46141</v>
      </c>
      <c r="D317" t="inlineStr">
        <is>
          <t>VÄSTMANLANDS LÄN</t>
        </is>
      </c>
      <c r="E317" t="inlineStr">
        <is>
          <t>SALA</t>
        </is>
      </c>
      <c r="G317" t="n">
        <v>3.5</v>
      </c>
      <c r="H317" t="n">
        <v>0</v>
      </c>
      <c r="I317" t="n">
        <v>0</v>
      </c>
      <c r="J317" t="n">
        <v>0</v>
      </c>
      <c r="K317" t="n">
        <v>0</v>
      </c>
      <c r="L317" t="n">
        <v>0</v>
      </c>
      <c r="M317" t="n">
        <v>0</v>
      </c>
      <c r="N317" t="n">
        <v>0</v>
      </c>
      <c r="O317" t="n">
        <v>0</v>
      </c>
      <c r="P317" t="n">
        <v>0</v>
      </c>
      <c r="Q317" t="n">
        <v>0</v>
      </c>
      <c r="R317" s="2" t="inlineStr"/>
    </row>
    <row r="318" ht="15" customHeight="1">
      <c r="A318" t="inlineStr">
        <is>
          <t>A 13188-2025</t>
        </is>
      </c>
      <c r="B318" s="1" t="n">
        <v>45735.39246527778</v>
      </c>
      <c r="C318" s="1" t="n">
        <v>46141</v>
      </c>
      <c r="D318" t="inlineStr">
        <is>
          <t>VÄSTMANLANDS LÄN</t>
        </is>
      </c>
      <c r="E318" t="inlineStr">
        <is>
          <t>SALA</t>
        </is>
      </c>
      <c r="F318" t="inlineStr">
        <is>
          <t>Naturvårdsverket</t>
        </is>
      </c>
      <c r="G318" t="n">
        <v>18.4</v>
      </c>
      <c r="H318" t="n">
        <v>0</v>
      </c>
      <c r="I318" t="n">
        <v>0</v>
      </c>
      <c r="J318" t="n">
        <v>0</v>
      </c>
      <c r="K318" t="n">
        <v>0</v>
      </c>
      <c r="L318" t="n">
        <v>0</v>
      </c>
      <c r="M318" t="n">
        <v>0</v>
      </c>
      <c r="N318" t="n">
        <v>0</v>
      </c>
      <c r="O318" t="n">
        <v>0</v>
      </c>
      <c r="P318" t="n">
        <v>0</v>
      </c>
      <c r="Q318" t="n">
        <v>0</v>
      </c>
      <c r="R318" s="2" t="inlineStr"/>
    </row>
    <row r="319" ht="15" customHeight="1">
      <c r="A319" t="inlineStr">
        <is>
          <t>A 28661-2024</t>
        </is>
      </c>
      <c r="B319" s="1" t="n">
        <v>45478</v>
      </c>
      <c r="C319" s="1" t="n">
        <v>46141</v>
      </c>
      <c r="D319" t="inlineStr">
        <is>
          <t>VÄSTMANLANDS LÄN</t>
        </is>
      </c>
      <c r="E319" t="inlineStr">
        <is>
          <t>SALA</t>
        </is>
      </c>
      <c r="G319" t="n">
        <v>0.6</v>
      </c>
      <c r="H319" t="n">
        <v>0</v>
      </c>
      <c r="I319" t="n">
        <v>0</v>
      </c>
      <c r="J319" t="n">
        <v>0</v>
      </c>
      <c r="K319" t="n">
        <v>0</v>
      </c>
      <c r="L319" t="n">
        <v>0</v>
      </c>
      <c r="M319" t="n">
        <v>0</v>
      </c>
      <c r="N319" t="n">
        <v>0</v>
      </c>
      <c r="O319" t="n">
        <v>0</v>
      </c>
      <c r="P319" t="n">
        <v>0</v>
      </c>
      <c r="Q319" t="n">
        <v>0</v>
      </c>
      <c r="R319" s="2" t="inlineStr"/>
    </row>
    <row r="320" ht="15" customHeight="1">
      <c r="A320" t="inlineStr">
        <is>
          <t>A 27255-2023</t>
        </is>
      </c>
      <c r="B320" s="1" t="n">
        <v>45096</v>
      </c>
      <c r="C320" s="1" t="n">
        <v>46141</v>
      </c>
      <c r="D320" t="inlineStr">
        <is>
          <t>VÄSTMANLANDS LÄN</t>
        </is>
      </c>
      <c r="E320" t="inlineStr">
        <is>
          <t>SALA</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64925-2023</t>
        </is>
      </c>
      <c r="B321" s="1" t="n">
        <v>45282</v>
      </c>
      <c r="C321" s="1" t="n">
        <v>46141</v>
      </c>
      <c r="D321" t="inlineStr">
        <is>
          <t>VÄSTMANLANDS LÄN</t>
        </is>
      </c>
      <c r="E321" t="inlineStr">
        <is>
          <t>SALA</t>
        </is>
      </c>
      <c r="G321" t="n">
        <v>2.5</v>
      </c>
      <c r="H321" t="n">
        <v>0</v>
      </c>
      <c r="I321" t="n">
        <v>0</v>
      </c>
      <c r="J321" t="n">
        <v>0</v>
      </c>
      <c r="K321" t="n">
        <v>0</v>
      </c>
      <c r="L321" t="n">
        <v>0</v>
      </c>
      <c r="M321" t="n">
        <v>0</v>
      </c>
      <c r="N321" t="n">
        <v>0</v>
      </c>
      <c r="O321" t="n">
        <v>0</v>
      </c>
      <c r="P321" t="n">
        <v>0</v>
      </c>
      <c r="Q321" t="n">
        <v>0</v>
      </c>
      <c r="R321" s="2" t="inlineStr"/>
    </row>
    <row r="322" ht="15" customHeight="1">
      <c r="A322" t="inlineStr">
        <is>
          <t>A 23406-2024</t>
        </is>
      </c>
      <c r="B322" s="1" t="n">
        <v>45453.58296296297</v>
      </c>
      <c r="C322" s="1" t="n">
        <v>46141</v>
      </c>
      <c r="D322" t="inlineStr">
        <is>
          <t>VÄSTMANLANDS LÄN</t>
        </is>
      </c>
      <c r="E322" t="inlineStr">
        <is>
          <t>SALA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52498-2022</t>
        </is>
      </c>
      <c r="B323" s="1" t="n">
        <v>44874.50152777778</v>
      </c>
      <c r="C323" s="1" t="n">
        <v>46141</v>
      </c>
      <c r="D323" t="inlineStr">
        <is>
          <t>VÄSTMANLANDS LÄN</t>
        </is>
      </c>
      <c r="E323" t="inlineStr">
        <is>
          <t>SALA</t>
        </is>
      </c>
      <c r="G323" t="n">
        <v>2.1</v>
      </c>
      <c r="H323" t="n">
        <v>0</v>
      </c>
      <c r="I323" t="n">
        <v>0</v>
      </c>
      <c r="J323" t="n">
        <v>0</v>
      </c>
      <c r="K323" t="n">
        <v>0</v>
      </c>
      <c r="L323" t="n">
        <v>0</v>
      </c>
      <c r="M323" t="n">
        <v>0</v>
      </c>
      <c r="N323" t="n">
        <v>0</v>
      </c>
      <c r="O323" t="n">
        <v>0</v>
      </c>
      <c r="P323" t="n">
        <v>0</v>
      </c>
      <c r="Q323" t="n">
        <v>0</v>
      </c>
      <c r="R323" s="2" t="inlineStr"/>
    </row>
    <row r="324" ht="15" customHeight="1">
      <c r="A324" t="inlineStr">
        <is>
          <t>A 16133-2025</t>
        </is>
      </c>
      <c r="B324" s="1" t="n">
        <v>45750</v>
      </c>
      <c r="C324" s="1" t="n">
        <v>46141</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15099-2025</t>
        </is>
      </c>
      <c r="B325" s="1" t="n">
        <v>45744.3434837963</v>
      </c>
      <c r="C325" s="1" t="n">
        <v>46141</v>
      </c>
      <c r="D325" t="inlineStr">
        <is>
          <t>VÄSTMANLANDS LÄN</t>
        </is>
      </c>
      <c r="E325" t="inlineStr">
        <is>
          <t>SALA</t>
        </is>
      </c>
      <c r="F325" t="inlineStr">
        <is>
          <t>Sveaskog</t>
        </is>
      </c>
      <c r="G325" t="n">
        <v>14.4</v>
      </c>
      <c r="H325" t="n">
        <v>0</v>
      </c>
      <c r="I325" t="n">
        <v>0</v>
      </c>
      <c r="J325" t="n">
        <v>0</v>
      </c>
      <c r="K325" t="n">
        <v>0</v>
      </c>
      <c r="L325" t="n">
        <v>0</v>
      </c>
      <c r="M325" t="n">
        <v>0</v>
      </c>
      <c r="N325" t="n">
        <v>0</v>
      </c>
      <c r="O325" t="n">
        <v>0</v>
      </c>
      <c r="P325" t="n">
        <v>0</v>
      </c>
      <c r="Q325" t="n">
        <v>0</v>
      </c>
      <c r="R325" s="2" t="inlineStr"/>
    </row>
    <row r="326" ht="15" customHeight="1">
      <c r="A326" t="inlineStr">
        <is>
          <t>A 7197-2025</t>
        </is>
      </c>
      <c r="B326" s="1" t="n">
        <v>45702</v>
      </c>
      <c r="C326" s="1" t="n">
        <v>46141</v>
      </c>
      <c r="D326" t="inlineStr">
        <is>
          <t>VÄSTMANLANDS LÄN</t>
        </is>
      </c>
      <c r="E326" t="inlineStr">
        <is>
          <t>SALA</t>
        </is>
      </c>
      <c r="G326" t="n">
        <v>0.5</v>
      </c>
      <c r="H326" t="n">
        <v>0</v>
      </c>
      <c r="I326" t="n">
        <v>0</v>
      </c>
      <c r="J326" t="n">
        <v>0</v>
      </c>
      <c r="K326" t="n">
        <v>0</v>
      </c>
      <c r="L326" t="n">
        <v>0</v>
      </c>
      <c r="M326" t="n">
        <v>0</v>
      </c>
      <c r="N326" t="n">
        <v>0</v>
      </c>
      <c r="O326" t="n">
        <v>0</v>
      </c>
      <c r="P326" t="n">
        <v>0</v>
      </c>
      <c r="Q326" t="n">
        <v>0</v>
      </c>
      <c r="R326" s="2" t="inlineStr"/>
    </row>
    <row r="327" ht="15" customHeight="1">
      <c r="A327" t="inlineStr">
        <is>
          <t>A 60036-2024</t>
        </is>
      </c>
      <c r="B327" s="1" t="n">
        <v>45642.46434027778</v>
      </c>
      <c r="C327" s="1" t="n">
        <v>46141</v>
      </c>
      <c r="D327" t="inlineStr">
        <is>
          <t>VÄSTMANLANDS LÄN</t>
        </is>
      </c>
      <c r="E327" t="inlineStr">
        <is>
          <t>SALA</t>
        </is>
      </c>
      <c r="G327" t="n">
        <v>2.5</v>
      </c>
      <c r="H327" t="n">
        <v>0</v>
      </c>
      <c r="I327" t="n">
        <v>0</v>
      </c>
      <c r="J327" t="n">
        <v>0</v>
      </c>
      <c r="K327" t="n">
        <v>0</v>
      </c>
      <c r="L327" t="n">
        <v>0</v>
      </c>
      <c r="M327" t="n">
        <v>0</v>
      </c>
      <c r="N327" t="n">
        <v>0</v>
      </c>
      <c r="O327" t="n">
        <v>0</v>
      </c>
      <c r="P327" t="n">
        <v>0</v>
      </c>
      <c r="Q327" t="n">
        <v>0</v>
      </c>
      <c r="R327" s="2" t="inlineStr"/>
    </row>
    <row r="328" ht="15" customHeight="1">
      <c r="A328" t="inlineStr">
        <is>
          <t>A 52827-2024</t>
        </is>
      </c>
      <c r="B328" s="1" t="n">
        <v>45610</v>
      </c>
      <c r="C328" s="1" t="n">
        <v>46141</v>
      </c>
      <c r="D328" t="inlineStr">
        <is>
          <t>VÄSTMANLANDS LÄN</t>
        </is>
      </c>
      <c r="E328" t="inlineStr">
        <is>
          <t>SALA</t>
        </is>
      </c>
      <c r="G328" t="n">
        <v>0.2</v>
      </c>
      <c r="H328" t="n">
        <v>0</v>
      </c>
      <c r="I328" t="n">
        <v>0</v>
      </c>
      <c r="J328" t="n">
        <v>0</v>
      </c>
      <c r="K328" t="n">
        <v>0</v>
      </c>
      <c r="L328" t="n">
        <v>0</v>
      </c>
      <c r="M328" t="n">
        <v>0</v>
      </c>
      <c r="N328" t="n">
        <v>0</v>
      </c>
      <c r="O328" t="n">
        <v>0</v>
      </c>
      <c r="P328" t="n">
        <v>0</v>
      </c>
      <c r="Q328" t="n">
        <v>0</v>
      </c>
      <c r="R328" s="2" t="inlineStr"/>
    </row>
    <row r="329" ht="15" customHeight="1">
      <c r="A329" t="inlineStr">
        <is>
          <t>A 40559-2025</t>
        </is>
      </c>
      <c r="B329" s="1" t="n">
        <v>45896.45037037037</v>
      </c>
      <c r="C329" s="1" t="n">
        <v>46141</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40556-2025</t>
        </is>
      </c>
      <c r="B330" s="1" t="n">
        <v>45896.44944444444</v>
      </c>
      <c r="C330" s="1" t="n">
        <v>46141</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40620-2025</t>
        </is>
      </c>
      <c r="B331" s="1" t="n">
        <v>45896.58609953704</v>
      </c>
      <c r="C331" s="1" t="n">
        <v>46141</v>
      </c>
      <c r="D331" t="inlineStr">
        <is>
          <t>VÄSTMANLANDS LÄN</t>
        </is>
      </c>
      <c r="E331" t="inlineStr">
        <is>
          <t>SALA</t>
        </is>
      </c>
      <c r="G331" t="n">
        <v>6.7</v>
      </c>
      <c r="H331" t="n">
        <v>0</v>
      </c>
      <c r="I331" t="n">
        <v>0</v>
      </c>
      <c r="J331" t="n">
        <v>0</v>
      </c>
      <c r="K331" t="n">
        <v>0</v>
      </c>
      <c r="L331" t="n">
        <v>0</v>
      </c>
      <c r="M331" t="n">
        <v>0</v>
      </c>
      <c r="N331" t="n">
        <v>0</v>
      </c>
      <c r="O331" t="n">
        <v>0</v>
      </c>
      <c r="P331" t="n">
        <v>0</v>
      </c>
      <c r="Q331" t="n">
        <v>0</v>
      </c>
      <c r="R331" s="2" t="inlineStr"/>
    </row>
    <row r="332" ht="15" customHeight="1">
      <c r="A332" t="inlineStr">
        <is>
          <t>A 16328-2025</t>
        </is>
      </c>
      <c r="B332" s="1" t="n">
        <v>45751</v>
      </c>
      <c r="C332" s="1" t="n">
        <v>46141</v>
      </c>
      <c r="D332" t="inlineStr">
        <is>
          <t>VÄSTMANLANDS LÄN</t>
        </is>
      </c>
      <c r="E332" t="inlineStr">
        <is>
          <t>SALA</t>
        </is>
      </c>
      <c r="G332" t="n">
        <v>2.9</v>
      </c>
      <c r="H332" t="n">
        <v>0</v>
      </c>
      <c r="I332" t="n">
        <v>0</v>
      </c>
      <c r="J332" t="n">
        <v>0</v>
      </c>
      <c r="K332" t="n">
        <v>0</v>
      </c>
      <c r="L332" t="n">
        <v>0</v>
      </c>
      <c r="M332" t="n">
        <v>0</v>
      </c>
      <c r="N332" t="n">
        <v>0</v>
      </c>
      <c r="O332" t="n">
        <v>0</v>
      </c>
      <c r="P332" t="n">
        <v>0</v>
      </c>
      <c r="Q332" t="n">
        <v>0</v>
      </c>
      <c r="R332" s="2" t="inlineStr"/>
    </row>
    <row r="333" ht="15" customHeight="1">
      <c r="A333" t="inlineStr">
        <is>
          <t>A 23431-2024</t>
        </is>
      </c>
      <c r="B333" s="1" t="n">
        <v>45453</v>
      </c>
      <c r="C333" s="1" t="n">
        <v>46141</v>
      </c>
      <c r="D333" t="inlineStr">
        <is>
          <t>VÄSTMANLANDS LÄN</t>
        </is>
      </c>
      <c r="E333" t="inlineStr">
        <is>
          <t>SALA</t>
        </is>
      </c>
      <c r="G333" t="n">
        <v>1.6</v>
      </c>
      <c r="H333" t="n">
        <v>0</v>
      </c>
      <c r="I333" t="n">
        <v>0</v>
      </c>
      <c r="J333" t="n">
        <v>0</v>
      </c>
      <c r="K333" t="n">
        <v>0</v>
      </c>
      <c r="L333" t="n">
        <v>0</v>
      </c>
      <c r="M333" t="n">
        <v>0</v>
      </c>
      <c r="N333" t="n">
        <v>0</v>
      </c>
      <c r="O333" t="n">
        <v>0</v>
      </c>
      <c r="P333" t="n">
        <v>0</v>
      </c>
      <c r="Q333" t="n">
        <v>0</v>
      </c>
      <c r="R333" s="2" t="inlineStr"/>
    </row>
    <row r="334" ht="15" customHeight="1">
      <c r="A334" t="inlineStr">
        <is>
          <t>A 13752-2025</t>
        </is>
      </c>
      <c r="B334" s="1" t="n">
        <v>45737.41416666667</v>
      </c>
      <c r="C334" s="1" t="n">
        <v>46141</v>
      </c>
      <c r="D334" t="inlineStr">
        <is>
          <t>VÄSTMANLANDS LÄN</t>
        </is>
      </c>
      <c r="E334" t="inlineStr">
        <is>
          <t>SALA</t>
        </is>
      </c>
      <c r="G334" t="n">
        <v>0.4</v>
      </c>
      <c r="H334" t="n">
        <v>0</v>
      </c>
      <c r="I334" t="n">
        <v>0</v>
      </c>
      <c r="J334" t="n">
        <v>0</v>
      </c>
      <c r="K334" t="n">
        <v>0</v>
      </c>
      <c r="L334" t="n">
        <v>0</v>
      </c>
      <c r="M334" t="n">
        <v>0</v>
      </c>
      <c r="N334" t="n">
        <v>0</v>
      </c>
      <c r="O334" t="n">
        <v>0</v>
      </c>
      <c r="P334" t="n">
        <v>0</v>
      </c>
      <c r="Q334" t="n">
        <v>0</v>
      </c>
      <c r="R334" s="2" t="inlineStr"/>
    </row>
    <row r="335" ht="15" customHeight="1">
      <c r="A335" t="inlineStr">
        <is>
          <t>A 2927-2024</t>
        </is>
      </c>
      <c r="B335" s="1" t="n">
        <v>45315.58989583333</v>
      </c>
      <c r="C335" s="1" t="n">
        <v>46141</v>
      </c>
      <c r="D335" t="inlineStr">
        <is>
          <t>VÄSTMANLANDS LÄN</t>
        </is>
      </c>
      <c r="E335" t="inlineStr">
        <is>
          <t>SALA</t>
        </is>
      </c>
      <c r="G335" t="n">
        <v>2.5</v>
      </c>
      <c r="H335" t="n">
        <v>0</v>
      </c>
      <c r="I335" t="n">
        <v>0</v>
      </c>
      <c r="J335" t="n">
        <v>0</v>
      </c>
      <c r="K335" t="n">
        <v>0</v>
      </c>
      <c r="L335" t="n">
        <v>0</v>
      </c>
      <c r="M335" t="n">
        <v>0</v>
      </c>
      <c r="N335" t="n">
        <v>0</v>
      </c>
      <c r="O335" t="n">
        <v>0</v>
      </c>
      <c r="P335" t="n">
        <v>0</v>
      </c>
      <c r="Q335" t="n">
        <v>0</v>
      </c>
      <c r="R335" s="2" t="inlineStr"/>
    </row>
    <row r="336" ht="15" customHeight="1">
      <c r="A336" t="inlineStr">
        <is>
          <t>A 26854-2024</t>
        </is>
      </c>
      <c r="B336" s="1" t="n">
        <v>45470</v>
      </c>
      <c r="C336" s="1" t="n">
        <v>46141</v>
      </c>
      <c r="D336" t="inlineStr">
        <is>
          <t>VÄSTMANLANDS LÄN</t>
        </is>
      </c>
      <c r="E336" t="inlineStr">
        <is>
          <t>SALA</t>
        </is>
      </c>
      <c r="G336" t="n">
        <v>1.4</v>
      </c>
      <c r="H336" t="n">
        <v>0</v>
      </c>
      <c r="I336" t="n">
        <v>0</v>
      </c>
      <c r="J336" t="n">
        <v>0</v>
      </c>
      <c r="K336" t="n">
        <v>0</v>
      </c>
      <c r="L336" t="n">
        <v>0</v>
      </c>
      <c r="M336" t="n">
        <v>0</v>
      </c>
      <c r="N336" t="n">
        <v>0</v>
      </c>
      <c r="O336" t="n">
        <v>0</v>
      </c>
      <c r="P336" t="n">
        <v>0</v>
      </c>
      <c r="Q336" t="n">
        <v>0</v>
      </c>
      <c r="R336" s="2" t="inlineStr"/>
    </row>
    <row r="337" ht="15" customHeight="1">
      <c r="A337" t="inlineStr">
        <is>
          <t>A 41230-2025</t>
        </is>
      </c>
      <c r="B337" s="1" t="n">
        <v>45898</v>
      </c>
      <c r="C337" s="1" t="n">
        <v>46141</v>
      </c>
      <c r="D337" t="inlineStr">
        <is>
          <t>VÄSTMANLANDS LÄN</t>
        </is>
      </c>
      <c r="E337" t="inlineStr">
        <is>
          <t>SALA</t>
        </is>
      </c>
      <c r="G337" t="n">
        <v>2.3</v>
      </c>
      <c r="H337" t="n">
        <v>0</v>
      </c>
      <c r="I337" t="n">
        <v>0</v>
      </c>
      <c r="J337" t="n">
        <v>0</v>
      </c>
      <c r="K337" t="n">
        <v>0</v>
      </c>
      <c r="L337" t="n">
        <v>0</v>
      </c>
      <c r="M337" t="n">
        <v>0</v>
      </c>
      <c r="N337" t="n">
        <v>0</v>
      </c>
      <c r="O337" t="n">
        <v>0</v>
      </c>
      <c r="P337" t="n">
        <v>0</v>
      </c>
      <c r="Q337" t="n">
        <v>0</v>
      </c>
      <c r="R337" s="2" t="inlineStr"/>
    </row>
    <row r="338" ht="15" customHeight="1">
      <c r="A338" t="inlineStr">
        <is>
          <t>A 66908-2021</t>
        </is>
      </c>
      <c r="B338" s="1" t="n">
        <v>44522</v>
      </c>
      <c r="C338" s="1" t="n">
        <v>46141</v>
      </c>
      <c r="D338" t="inlineStr">
        <is>
          <t>VÄSTMANLANDS LÄN</t>
        </is>
      </c>
      <c r="E338" t="inlineStr">
        <is>
          <t>SALA</t>
        </is>
      </c>
      <c r="G338" t="n">
        <v>2.6</v>
      </c>
      <c r="H338" t="n">
        <v>0</v>
      </c>
      <c r="I338" t="n">
        <v>0</v>
      </c>
      <c r="J338" t="n">
        <v>0</v>
      </c>
      <c r="K338" t="n">
        <v>0</v>
      </c>
      <c r="L338" t="n">
        <v>0</v>
      </c>
      <c r="M338" t="n">
        <v>0</v>
      </c>
      <c r="N338" t="n">
        <v>0</v>
      </c>
      <c r="O338" t="n">
        <v>0</v>
      </c>
      <c r="P338" t="n">
        <v>0</v>
      </c>
      <c r="Q338" t="n">
        <v>0</v>
      </c>
      <c r="R338" s="2" t="inlineStr"/>
    </row>
    <row r="339" ht="15" customHeight="1">
      <c r="A339" t="inlineStr">
        <is>
          <t>A 73835-2021</t>
        </is>
      </c>
      <c r="B339" s="1" t="n">
        <v>44552.92112268518</v>
      </c>
      <c r="C339" s="1" t="n">
        <v>46141</v>
      </c>
      <c r="D339" t="inlineStr">
        <is>
          <t>VÄSTMANLANDS LÄN</t>
        </is>
      </c>
      <c r="E339" t="inlineStr">
        <is>
          <t>SALA</t>
        </is>
      </c>
      <c r="G339" t="n">
        <v>2</v>
      </c>
      <c r="H339" t="n">
        <v>0</v>
      </c>
      <c r="I339" t="n">
        <v>0</v>
      </c>
      <c r="J339" t="n">
        <v>0</v>
      </c>
      <c r="K339" t="n">
        <v>0</v>
      </c>
      <c r="L339" t="n">
        <v>0</v>
      </c>
      <c r="M339" t="n">
        <v>0</v>
      </c>
      <c r="N339" t="n">
        <v>0</v>
      </c>
      <c r="O339" t="n">
        <v>0</v>
      </c>
      <c r="P339" t="n">
        <v>0</v>
      </c>
      <c r="Q339" t="n">
        <v>0</v>
      </c>
      <c r="R339" s="2" t="inlineStr"/>
    </row>
    <row r="340" ht="15" customHeight="1">
      <c r="A340" t="inlineStr">
        <is>
          <t>A 21168-2025</t>
        </is>
      </c>
      <c r="B340" s="1" t="n">
        <v>45777</v>
      </c>
      <c r="C340" s="1" t="n">
        <v>46141</v>
      </c>
      <c r="D340" t="inlineStr">
        <is>
          <t>VÄSTMANLANDS LÄN</t>
        </is>
      </c>
      <c r="E340" t="inlineStr">
        <is>
          <t>SALA</t>
        </is>
      </c>
      <c r="G340" t="n">
        <v>4.5</v>
      </c>
      <c r="H340" t="n">
        <v>0</v>
      </c>
      <c r="I340" t="n">
        <v>0</v>
      </c>
      <c r="J340" t="n">
        <v>0</v>
      </c>
      <c r="K340" t="n">
        <v>0</v>
      </c>
      <c r="L340" t="n">
        <v>0</v>
      </c>
      <c r="M340" t="n">
        <v>0</v>
      </c>
      <c r="N340" t="n">
        <v>0</v>
      </c>
      <c r="O340" t="n">
        <v>0</v>
      </c>
      <c r="P340" t="n">
        <v>0</v>
      </c>
      <c r="Q340" t="n">
        <v>0</v>
      </c>
      <c r="R340" s="2" t="inlineStr"/>
    </row>
    <row r="341" ht="15" customHeight="1">
      <c r="A341" t="inlineStr">
        <is>
          <t>A 3810-2023</t>
        </is>
      </c>
      <c r="B341" s="1" t="n">
        <v>44951.60454861111</v>
      </c>
      <c r="C341" s="1" t="n">
        <v>46141</v>
      </c>
      <c r="D341" t="inlineStr">
        <is>
          <t>VÄSTMANLANDS LÄN</t>
        </is>
      </c>
      <c r="E341" t="inlineStr">
        <is>
          <t>SALA</t>
        </is>
      </c>
      <c r="G341" t="n">
        <v>4.2</v>
      </c>
      <c r="H341" t="n">
        <v>0</v>
      </c>
      <c r="I341" t="n">
        <v>0</v>
      </c>
      <c r="J341" t="n">
        <v>0</v>
      </c>
      <c r="K341" t="n">
        <v>0</v>
      </c>
      <c r="L341" t="n">
        <v>0</v>
      </c>
      <c r="M341" t="n">
        <v>0</v>
      </c>
      <c r="N341" t="n">
        <v>0</v>
      </c>
      <c r="O341" t="n">
        <v>0</v>
      </c>
      <c r="P341" t="n">
        <v>0</v>
      </c>
      <c r="Q341" t="n">
        <v>0</v>
      </c>
      <c r="R341" s="2" t="inlineStr"/>
    </row>
    <row r="342" ht="15" customHeight="1">
      <c r="A342" t="inlineStr">
        <is>
          <t>A 41414-2025</t>
        </is>
      </c>
      <c r="B342" s="1" t="n">
        <v>45901.360625</v>
      </c>
      <c r="C342" s="1" t="n">
        <v>46141</v>
      </c>
      <c r="D342" t="inlineStr">
        <is>
          <t>VÄSTMANLANDS LÄN</t>
        </is>
      </c>
      <c r="E342" t="inlineStr">
        <is>
          <t>SALA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61717-2024</t>
        </is>
      </c>
      <c r="B343" s="1" t="n">
        <v>45648</v>
      </c>
      <c r="C343" s="1" t="n">
        <v>46141</v>
      </c>
      <c r="D343" t="inlineStr">
        <is>
          <t>VÄSTMANLANDS LÄN</t>
        </is>
      </c>
      <c r="E343" t="inlineStr">
        <is>
          <t>SALA</t>
        </is>
      </c>
      <c r="G343" t="n">
        <v>3.7</v>
      </c>
      <c r="H343" t="n">
        <v>0</v>
      </c>
      <c r="I343" t="n">
        <v>0</v>
      </c>
      <c r="J343" t="n">
        <v>0</v>
      </c>
      <c r="K343" t="n">
        <v>0</v>
      </c>
      <c r="L343" t="n">
        <v>0</v>
      </c>
      <c r="M343" t="n">
        <v>0</v>
      </c>
      <c r="N343" t="n">
        <v>0</v>
      </c>
      <c r="O343" t="n">
        <v>0</v>
      </c>
      <c r="P343" t="n">
        <v>0</v>
      </c>
      <c r="Q343" t="n">
        <v>0</v>
      </c>
      <c r="R343" s="2" t="inlineStr"/>
    </row>
    <row r="344" ht="15" customHeight="1">
      <c r="A344" t="inlineStr">
        <is>
          <t>A 53164-2024</t>
        </is>
      </c>
      <c r="B344" s="1" t="n">
        <v>45611.64887731482</v>
      </c>
      <c r="C344" s="1" t="n">
        <v>46141</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41431-2025</t>
        </is>
      </c>
      <c r="B345" s="1" t="n">
        <v>45901.39347222223</v>
      </c>
      <c r="C345" s="1" t="n">
        <v>46141</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48570-2024</t>
        </is>
      </c>
      <c r="B346" s="1" t="n">
        <v>45591</v>
      </c>
      <c r="C346" s="1" t="n">
        <v>46141</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57883-2024</t>
        </is>
      </c>
      <c r="B347" s="1" t="n">
        <v>45630</v>
      </c>
      <c r="C347" s="1" t="n">
        <v>46141</v>
      </c>
      <c r="D347" t="inlineStr">
        <is>
          <t>VÄSTMANLANDS LÄN</t>
        </is>
      </c>
      <c r="E347" t="inlineStr">
        <is>
          <t>SALA</t>
        </is>
      </c>
      <c r="G347" t="n">
        <v>5.4</v>
      </c>
      <c r="H347" t="n">
        <v>0</v>
      </c>
      <c r="I347" t="n">
        <v>0</v>
      </c>
      <c r="J347" t="n">
        <v>0</v>
      </c>
      <c r="K347" t="n">
        <v>0</v>
      </c>
      <c r="L347" t="n">
        <v>0</v>
      </c>
      <c r="M347" t="n">
        <v>0</v>
      </c>
      <c r="N347" t="n">
        <v>0</v>
      </c>
      <c r="O347" t="n">
        <v>0</v>
      </c>
      <c r="P347" t="n">
        <v>0</v>
      </c>
      <c r="Q347" t="n">
        <v>0</v>
      </c>
      <c r="R347" s="2" t="inlineStr"/>
    </row>
    <row r="348" ht="15" customHeight="1">
      <c r="A348" t="inlineStr">
        <is>
          <t>A 16769-2024</t>
        </is>
      </c>
      <c r="B348" s="1" t="n">
        <v>45411.38738425926</v>
      </c>
      <c r="C348" s="1" t="n">
        <v>46141</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12252-2023</t>
        </is>
      </c>
      <c r="B349" s="1" t="n">
        <v>44995</v>
      </c>
      <c r="C349" s="1" t="n">
        <v>46141</v>
      </c>
      <c r="D349" t="inlineStr">
        <is>
          <t>VÄSTMANLANDS LÄN</t>
        </is>
      </c>
      <c r="E349" t="inlineStr">
        <is>
          <t>SALA</t>
        </is>
      </c>
      <c r="G349" t="n">
        <v>2.6</v>
      </c>
      <c r="H349" t="n">
        <v>0</v>
      </c>
      <c r="I349" t="n">
        <v>0</v>
      </c>
      <c r="J349" t="n">
        <v>0</v>
      </c>
      <c r="K349" t="n">
        <v>0</v>
      </c>
      <c r="L349" t="n">
        <v>0</v>
      </c>
      <c r="M349" t="n">
        <v>0</v>
      </c>
      <c r="N349" t="n">
        <v>0</v>
      </c>
      <c r="O349" t="n">
        <v>0</v>
      </c>
      <c r="P349" t="n">
        <v>0</v>
      </c>
      <c r="Q349" t="n">
        <v>0</v>
      </c>
      <c r="R349" s="2" t="inlineStr"/>
    </row>
    <row r="350" ht="15" customHeight="1">
      <c r="A350" t="inlineStr">
        <is>
          <t>A 18877-2023</t>
        </is>
      </c>
      <c r="B350" s="1" t="n">
        <v>45044</v>
      </c>
      <c r="C350" s="1" t="n">
        <v>46141</v>
      </c>
      <c r="D350" t="inlineStr">
        <is>
          <t>VÄSTMANLANDS LÄN</t>
        </is>
      </c>
      <c r="E350" t="inlineStr">
        <is>
          <t>SALA</t>
        </is>
      </c>
      <c r="F350" t="inlineStr">
        <is>
          <t>Kommuner</t>
        </is>
      </c>
      <c r="G350" t="n">
        <v>4.4</v>
      </c>
      <c r="H350" t="n">
        <v>0</v>
      </c>
      <c r="I350" t="n">
        <v>0</v>
      </c>
      <c r="J350" t="n">
        <v>0</v>
      </c>
      <c r="K350" t="n">
        <v>0</v>
      </c>
      <c r="L350" t="n">
        <v>0</v>
      </c>
      <c r="M350" t="n">
        <v>0</v>
      </c>
      <c r="N350" t="n">
        <v>0</v>
      </c>
      <c r="O350" t="n">
        <v>0</v>
      </c>
      <c r="P350" t="n">
        <v>0</v>
      </c>
      <c r="Q350" t="n">
        <v>0</v>
      </c>
      <c r="R350" s="2" t="inlineStr"/>
    </row>
    <row r="351" ht="15" customHeight="1">
      <c r="A351" t="inlineStr">
        <is>
          <t>A 44544-2024</t>
        </is>
      </c>
      <c r="B351" s="1" t="n">
        <v>45574.46119212963</v>
      </c>
      <c r="C351" s="1" t="n">
        <v>46141</v>
      </c>
      <c r="D351" t="inlineStr">
        <is>
          <t>VÄSTMANLANDS LÄN</t>
        </is>
      </c>
      <c r="E351" t="inlineStr">
        <is>
          <t>SALA</t>
        </is>
      </c>
      <c r="G351" t="n">
        <v>3.3</v>
      </c>
      <c r="H351" t="n">
        <v>0</v>
      </c>
      <c r="I351" t="n">
        <v>0</v>
      </c>
      <c r="J351" t="n">
        <v>0</v>
      </c>
      <c r="K351" t="n">
        <v>0</v>
      </c>
      <c r="L351" t="n">
        <v>0</v>
      </c>
      <c r="M351" t="n">
        <v>0</v>
      </c>
      <c r="N351" t="n">
        <v>0</v>
      </c>
      <c r="O351" t="n">
        <v>0</v>
      </c>
      <c r="P351" t="n">
        <v>0</v>
      </c>
      <c r="Q351" t="n">
        <v>0</v>
      </c>
      <c r="R351" s="2" t="inlineStr"/>
    </row>
    <row r="352" ht="15" customHeight="1">
      <c r="A352" t="inlineStr">
        <is>
          <t>A 60379-2022</t>
        </is>
      </c>
      <c r="B352" s="1" t="n">
        <v>44910</v>
      </c>
      <c r="C352" s="1" t="n">
        <v>46141</v>
      </c>
      <c r="D352" t="inlineStr">
        <is>
          <t>VÄSTMANLANDS LÄN</t>
        </is>
      </c>
      <c r="E352" t="inlineStr">
        <is>
          <t>SALA</t>
        </is>
      </c>
      <c r="F352" t="inlineStr">
        <is>
          <t>Kyrkan</t>
        </is>
      </c>
      <c r="G352" t="n">
        <v>2.5</v>
      </c>
      <c r="H352" t="n">
        <v>0</v>
      </c>
      <c r="I352" t="n">
        <v>0</v>
      </c>
      <c r="J352" t="n">
        <v>0</v>
      </c>
      <c r="K352" t="n">
        <v>0</v>
      </c>
      <c r="L352" t="n">
        <v>0</v>
      </c>
      <c r="M352" t="n">
        <v>0</v>
      </c>
      <c r="N352" t="n">
        <v>0</v>
      </c>
      <c r="O352" t="n">
        <v>0</v>
      </c>
      <c r="P352" t="n">
        <v>0</v>
      </c>
      <c r="Q352" t="n">
        <v>0</v>
      </c>
      <c r="R352" s="2" t="inlineStr"/>
    </row>
    <row r="353" ht="15" customHeight="1">
      <c r="A353" t="inlineStr">
        <is>
          <t>A 56547-2022</t>
        </is>
      </c>
      <c r="B353" s="1" t="n">
        <v>44893.48284722222</v>
      </c>
      <c r="C353" s="1" t="n">
        <v>46141</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29542-2023</t>
        </is>
      </c>
      <c r="B354" s="1" t="n">
        <v>45098</v>
      </c>
      <c r="C354" s="1" t="n">
        <v>46141</v>
      </c>
      <c r="D354" t="inlineStr">
        <is>
          <t>VÄSTMANLANDS LÄN</t>
        </is>
      </c>
      <c r="E354" t="inlineStr">
        <is>
          <t>SALA</t>
        </is>
      </c>
      <c r="G354" t="n">
        <v>4.8</v>
      </c>
      <c r="H354" t="n">
        <v>0</v>
      </c>
      <c r="I354" t="n">
        <v>0</v>
      </c>
      <c r="J354" t="n">
        <v>0</v>
      </c>
      <c r="K354" t="n">
        <v>0</v>
      </c>
      <c r="L354" t="n">
        <v>0</v>
      </c>
      <c r="M354" t="n">
        <v>0</v>
      </c>
      <c r="N354" t="n">
        <v>0</v>
      </c>
      <c r="O354" t="n">
        <v>0</v>
      </c>
      <c r="P354" t="n">
        <v>0</v>
      </c>
      <c r="Q354" t="n">
        <v>0</v>
      </c>
      <c r="R354" s="2" t="inlineStr"/>
    </row>
    <row r="355" ht="15" customHeight="1">
      <c r="A355" t="inlineStr">
        <is>
          <t>A 25260-2023</t>
        </is>
      </c>
      <c r="B355" s="1" t="n">
        <v>45086</v>
      </c>
      <c r="C355" s="1" t="n">
        <v>46141</v>
      </c>
      <c r="D355" t="inlineStr">
        <is>
          <t>VÄSTMANLANDS LÄN</t>
        </is>
      </c>
      <c r="E355" t="inlineStr">
        <is>
          <t>SALA</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21968-2024</t>
        </is>
      </c>
      <c r="B356" s="1" t="n">
        <v>45443</v>
      </c>
      <c r="C356" s="1" t="n">
        <v>46141</v>
      </c>
      <c r="D356" t="inlineStr">
        <is>
          <t>VÄSTMANLANDS LÄN</t>
        </is>
      </c>
      <c r="E356" t="inlineStr">
        <is>
          <t>SALA</t>
        </is>
      </c>
      <c r="G356" t="n">
        <v>1.9</v>
      </c>
      <c r="H356" t="n">
        <v>0</v>
      </c>
      <c r="I356" t="n">
        <v>0</v>
      </c>
      <c r="J356" t="n">
        <v>0</v>
      </c>
      <c r="K356" t="n">
        <v>0</v>
      </c>
      <c r="L356" t="n">
        <v>0</v>
      </c>
      <c r="M356" t="n">
        <v>0</v>
      </c>
      <c r="N356" t="n">
        <v>0</v>
      </c>
      <c r="O356" t="n">
        <v>0</v>
      </c>
      <c r="P356" t="n">
        <v>0</v>
      </c>
      <c r="Q356" t="n">
        <v>0</v>
      </c>
      <c r="R356" s="2" t="inlineStr"/>
    </row>
    <row r="357" ht="15" customHeight="1">
      <c r="A357" t="inlineStr">
        <is>
          <t>A 57404-2024</t>
        </is>
      </c>
      <c r="B357" s="1" t="n">
        <v>45629.71967592592</v>
      </c>
      <c r="C357" s="1" t="n">
        <v>46141</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42421-2025</t>
        </is>
      </c>
      <c r="B358" s="1" t="n">
        <v>45905.40067129629</v>
      </c>
      <c r="C358" s="1" t="n">
        <v>46141</v>
      </c>
      <c r="D358" t="inlineStr">
        <is>
          <t>VÄSTMANLANDS LÄN</t>
        </is>
      </c>
      <c r="E358" t="inlineStr">
        <is>
          <t>SALA</t>
        </is>
      </c>
      <c r="G358" t="n">
        <v>1.3</v>
      </c>
      <c r="H358" t="n">
        <v>0</v>
      </c>
      <c r="I358" t="n">
        <v>0</v>
      </c>
      <c r="J358" t="n">
        <v>0</v>
      </c>
      <c r="K358" t="n">
        <v>0</v>
      </c>
      <c r="L358" t="n">
        <v>0</v>
      </c>
      <c r="M358" t="n">
        <v>0</v>
      </c>
      <c r="N358" t="n">
        <v>0</v>
      </c>
      <c r="O358" t="n">
        <v>0</v>
      </c>
      <c r="P358" t="n">
        <v>0</v>
      </c>
      <c r="Q358" t="n">
        <v>0</v>
      </c>
      <c r="R358" s="2" t="inlineStr"/>
    </row>
    <row r="359" ht="15" customHeight="1">
      <c r="A359" t="inlineStr">
        <is>
          <t>A 21754-2025</t>
        </is>
      </c>
      <c r="B359" s="1" t="n">
        <v>45783.61837962963</v>
      </c>
      <c r="C359" s="1" t="n">
        <v>46141</v>
      </c>
      <c r="D359" t="inlineStr">
        <is>
          <t>VÄSTMANLANDS LÄN</t>
        </is>
      </c>
      <c r="E359" t="inlineStr">
        <is>
          <t>SALA</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21751-2025</t>
        </is>
      </c>
      <c r="B360" s="1" t="n">
        <v>45783.61372685185</v>
      </c>
      <c r="C360" s="1" t="n">
        <v>46141</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13128-2023</t>
        </is>
      </c>
      <c r="B361" s="1" t="n">
        <v>45002</v>
      </c>
      <c r="C361" s="1" t="n">
        <v>46141</v>
      </c>
      <c r="D361" t="inlineStr">
        <is>
          <t>VÄSTMANLANDS LÄN</t>
        </is>
      </c>
      <c r="E361" t="inlineStr">
        <is>
          <t>SALA</t>
        </is>
      </c>
      <c r="G361" t="n">
        <v>7.9</v>
      </c>
      <c r="H361" t="n">
        <v>0</v>
      </c>
      <c r="I361" t="n">
        <v>0</v>
      </c>
      <c r="J361" t="n">
        <v>0</v>
      </c>
      <c r="K361" t="n">
        <v>0</v>
      </c>
      <c r="L361" t="n">
        <v>0</v>
      </c>
      <c r="M361" t="n">
        <v>0</v>
      </c>
      <c r="N361" t="n">
        <v>0</v>
      </c>
      <c r="O361" t="n">
        <v>0</v>
      </c>
      <c r="P361" t="n">
        <v>0</v>
      </c>
      <c r="Q361" t="n">
        <v>0</v>
      </c>
      <c r="R361" s="2" t="inlineStr"/>
    </row>
    <row r="362" ht="15" customHeight="1">
      <c r="A362" t="inlineStr">
        <is>
          <t>A 17495-2024</t>
        </is>
      </c>
      <c r="B362" s="1" t="n">
        <v>45415</v>
      </c>
      <c r="C362" s="1" t="n">
        <v>46141</v>
      </c>
      <c r="D362" t="inlineStr">
        <is>
          <t>VÄSTMANLANDS LÄN</t>
        </is>
      </c>
      <c r="E362" t="inlineStr">
        <is>
          <t>SALA</t>
        </is>
      </c>
      <c r="G362" t="n">
        <v>3.1</v>
      </c>
      <c r="H362" t="n">
        <v>0</v>
      </c>
      <c r="I362" t="n">
        <v>0</v>
      </c>
      <c r="J362" t="n">
        <v>0</v>
      </c>
      <c r="K362" t="n">
        <v>0</v>
      </c>
      <c r="L362" t="n">
        <v>0</v>
      </c>
      <c r="M362" t="n">
        <v>0</v>
      </c>
      <c r="N362" t="n">
        <v>0</v>
      </c>
      <c r="O362" t="n">
        <v>0</v>
      </c>
      <c r="P362" t="n">
        <v>0</v>
      </c>
      <c r="Q362" t="n">
        <v>0</v>
      </c>
      <c r="R362" s="2" t="inlineStr"/>
    </row>
    <row r="363" ht="15" customHeight="1">
      <c r="A363" t="inlineStr">
        <is>
          <t>A 37263-2025</t>
        </is>
      </c>
      <c r="B363" s="1" t="n">
        <v>45876.4584837963</v>
      </c>
      <c r="C363" s="1" t="n">
        <v>46141</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43127-2025</t>
        </is>
      </c>
      <c r="B364" s="1" t="n">
        <v>45909</v>
      </c>
      <c r="C364" s="1" t="n">
        <v>46141</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16638-2023</t>
        </is>
      </c>
      <c r="B365" s="1" t="n">
        <v>45027</v>
      </c>
      <c r="C365" s="1" t="n">
        <v>46141</v>
      </c>
      <c r="D365" t="inlineStr">
        <is>
          <t>VÄSTMANLANDS LÄN</t>
        </is>
      </c>
      <c r="E365" t="inlineStr">
        <is>
          <t>SALA</t>
        </is>
      </c>
      <c r="G365" t="n">
        <v>14.8</v>
      </c>
      <c r="H365" t="n">
        <v>0</v>
      </c>
      <c r="I365" t="n">
        <v>0</v>
      </c>
      <c r="J365" t="n">
        <v>0</v>
      </c>
      <c r="K365" t="n">
        <v>0</v>
      </c>
      <c r="L365" t="n">
        <v>0</v>
      </c>
      <c r="M365" t="n">
        <v>0</v>
      </c>
      <c r="N365" t="n">
        <v>0</v>
      </c>
      <c r="O365" t="n">
        <v>0</v>
      </c>
      <c r="P365" t="n">
        <v>0</v>
      </c>
      <c r="Q365" t="n">
        <v>0</v>
      </c>
      <c r="R365" s="2" t="inlineStr"/>
    </row>
    <row r="366" ht="15" customHeight="1">
      <c r="A366" t="inlineStr">
        <is>
          <t>A 37190-2024</t>
        </is>
      </c>
      <c r="B366" s="1" t="n">
        <v>45539</v>
      </c>
      <c r="C366" s="1" t="n">
        <v>46141</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43128-2025</t>
        </is>
      </c>
      <c r="B367" s="1" t="n">
        <v>45909</v>
      </c>
      <c r="C367" s="1" t="n">
        <v>46141</v>
      </c>
      <c r="D367" t="inlineStr">
        <is>
          <t>VÄSTMANLANDS LÄN</t>
        </is>
      </c>
      <c r="E367" t="inlineStr">
        <is>
          <t>SALA</t>
        </is>
      </c>
      <c r="G367" t="n">
        <v>0.7</v>
      </c>
      <c r="H367" t="n">
        <v>0</v>
      </c>
      <c r="I367" t="n">
        <v>0</v>
      </c>
      <c r="J367" t="n">
        <v>0</v>
      </c>
      <c r="K367" t="n">
        <v>0</v>
      </c>
      <c r="L367" t="n">
        <v>0</v>
      </c>
      <c r="M367" t="n">
        <v>0</v>
      </c>
      <c r="N367" t="n">
        <v>0</v>
      </c>
      <c r="O367" t="n">
        <v>0</v>
      </c>
      <c r="P367" t="n">
        <v>0</v>
      </c>
      <c r="Q367" t="n">
        <v>0</v>
      </c>
      <c r="R367" s="2" t="inlineStr"/>
    </row>
    <row r="368" ht="15" customHeight="1">
      <c r="A368" t="inlineStr">
        <is>
          <t>A 40554-2025</t>
        </is>
      </c>
      <c r="B368" s="1" t="n">
        <v>45896.44506944445</v>
      </c>
      <c r="C368" s="1" t="n">
        <v>46141</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43129-2025</t>
        </is>
      </c>
      <c r="B369" s="1" t="n">
        <v>45909</v>
      </c>
      <c r="C369" s="1" t="n">
        <v>46141</v>
      </c>
      <c r="D369" t="inlineStr">
        <is>
          <t>VÄSTMANLANDS LÄN</t>
        </is>
      </c>
      <c r="E369" t="inlineStr">
        <is>
          <t>SALA</t>
        </is>
      </c>
      <c r="G369" t="n">
        <v>2.4</v>
      </c>
      <c r="H369" t="n">
        <v>0</v>
      </c>
      <c r="I369" t="n">
        <v>0</v>
      </c>
      <c r="J369" t="n">
        <v>0</v>
      </c>
      <c r="K369" t="n">
        <v>0</v>
      </c>
      <c r="L369" t="n">
        <v>0</v>
      </c>
      <c r="M369" t="n">
        <v>0</v>
      </c>
      <c r="N369" t="n">
        <v>0</v>
      </c>
      <c r="O369" t="n">
        <v>0</v>
      </c>
      <c r="P369" t="n">
        <v>0</v>
      </c>
      <c r="Q369" t="n">
        <v>0</v>
      </c>
      <c r="R369" s="2" t="inlineStr"/>
    </row>
    <row r="370" ht="15" customHeight="1">
      <c r="A370" t="inlineStr">
        <is>
          <t>A 43130-2025</t>
        </is>
      </c>
      <c r="B370" s="1" t="n">
        <v>45909</v>
      </c>
      <c r="C370" s="1" t="n">
        <v>46141</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43028-2025</t>
        </is>
      </c>
      <c r="B371" s="1" t="n">
        <v>45909.53472222222</v>
      </c>
      <c r="C371" s="1" t="n">
        <v>46141</v>
      </c>
      <c r="D371" t="inlineStr">
        <is>
          <t>VÄSTMANLANDS LÄN</t>
        </is>
      </c>
      <c r="E371" t="inlineStr">
        <is>
          <t>SALA</t>
        </is>
      </c>
      <c r="G371" t="n">
        <v>3.8</v>
      </c>
      <c r="H371" t="n">
        <v>0</v>
      </c>
      <c r="I371" t="n">
        <v>0</v>
      </c>
      <c r="J371" t="n">
        <v>0</v>
      </c>
      <c r="K371" t="n">
        <v>0</v>
      </c>
      <c r="L371" t="n">
        <v>0</v>
      </c>
      <c r="M371" t="n">
        <v>0</v>
      </c>
      <c r="N371" t="n">
        <v>0</v>
      </c>
      <c r="O371" t="n">
        <v>0</v>
      </c>
      <c r="P371" t="n">
        <v>0</v>
      </c>
      <c r="Q371" t="n">
        <v>0</v>
      </c>
      <c r="R371" s="2" t="inlineStr"/>
    </row>
    <row r="372" ht="15" customHeight="1">
      <c r="A372" t="inlineStr">
        <is>
          <t>A 24864-2024</t>
        </is>
      </c>
      <c r="B372" s="1" t="n">
        <v>45461.48888888889</v>
      </c>
      <c r="C372" s="1" t="n">
        <v>46141</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43031-2025</t>
        </is>
      </c>
      <c r="B373" s="1" t="n">
        <v>45909.53856481481</v>
      </c>
      <c r="C373" s="1" t="n">
        <v>46141</v>
      </c>
      <c r="D373" t="inlineStr">
        <is>
          <t>VÄSTMANLANDS LÄN</t>
        </is>
      </c>
      <c r="E373" t="inlineStr">
        <is>
          <t>SALA</t>
        </is>
      </c>
      <c r="G373" t="n">
        <v>0.2</v>
      </c>
      <c r="H373" t="n">
        <v>0</v>
      </c>
      <c r="I373" t="n">
        <v>0</v>
      </c>
      <c r="J373" t="n">
        <v>0</v>
      </c>
      <c r="K373" t="n">
        <v>0</v>
      </c>
      <c r="L373" t="n">
        <v>0</v>
      </c>
      <c r="M373" t="n">
        <v>0</v>
      </c>
      <c r="N373" t="n">
        <v>0</v>
      </c>
      <c r="O373" t="n">
        <v>0</v>
      </c>
      <c r="P373" t="n">
        <v>0</v>
      </c>
      <c r="Q373" t="n">
        <v>0</v>
      </c>
      <c r="R373" s="2" t="inlineStr"/>
    </row>
    <row r="374" ht="15" customHeight="1">
      <c r="A374" t="inlineStr">
        <is>
          <t>A 23222-2023</t>
        </is>
      </c>
      <c r="B374" s="1" t="n">
        <v>45075</v>
      </c>
      <c r="C374" s="1" t="n">
        <v>46141</v>
      </c>
      <c r="D374" t="inlineStr">
        <is>
          <t>VÄSTMANLANDS LÄN</t>
        </is>
      </c>
      <c r="E374" t="inlineStr">
        <is>
          <t>SALA</t>
        </is>
      </c>
      <c r="G374" t="n">
        <v>0.8</v>
      </c>
      <c r="H374" t="n">
        <v>0</v>
      </c>
      <c r="I374" t="n">
        <v>0</v>
      </c>
      <c r="J374" t="n">
        <v>0</v>
      </c>
      <c r="K374" t="n">
        <v>0</v>
      </c>
      <c r="L374" t="n">
        <v>0</v>
      </c>
      <c r="M374" t="n">
        <v>0</v>
      </c>
      <c r="N374" t="n">
        <v>0</v>
      </c>
      <c r="O374" t="n">
        <v>0</v>
      </c>
      <c r="P374" t="n">
        <v>0</v>
      </c>
      <c r="Q374" t="n">
        <v>0</v>
      </c>
      <c r="R374" s="2" t="inlineStr"/>
    </row>
    <row r="375" ht="15" customHeight="1">
      <c r="A375" t="inlineStr">
        <is>
          <t>A 23224-2023</t>
        </is>
      </c>
      <c r="B375" s="1" t="n">
        <v>45075.65040509259</v>
      </c>
      <c r="C375" s="1" t="n">
        <v>46141</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43328-2025</t>
        </is>
      </c>
      <c r="B376" s="1" t="n">
        <v>45910</v>
      </c>
      <c r="C376" s="1" t="n">
        <v>46141</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24755-2021</t>
        </is>
      </c>
      <c r="B377" s="1" t="n">
        <v>44340</v>
      </c>
      <c r="C377" s="1" t="n">
        <v>46141</v>
      </c>
      <c r="D377" t="inlineStr">
        <is>
          <t>VÄSTMANLANDS LÄN</t>
        </is>
      </c>
      <c r="E377" t="inlineStr">
        <is>
          <t>SALA</t>
        </is>
      </c>
      <c r="G377" t="n">
        <v>1.2</v>
      </c>
      <c r="H377" t="n">
        <v>0</v>
      </c>
      <c r="I377" t="n">
        <v>0</v>
      </c>
      <c r="J377" t="n">
        <v>0</v>
      </c>
      <c r="K377" t="n">
        <v>0</v>
      </c>
      <c r="L377" t="n">
        <v>0</v>
      </c>
      <c r="M377" t="n">
        <v>0</v>
      </c>
      <c r="N377" t="n">
        <v>0</v>
      </c>
      <c r="O377" t="n">
        <v>0</v>
      </c>
      <c r="P377" t="n">
        <v>0</v>
      </c>
      <c r="Q377" t="n">
        <v>0</v>
      </c>
      <c r="R377" s="2" t="inlineStr"/>
    </row>
    <row r="378" ht="15" customHeight="1">
      <c r="A378" t="inlineStr">
        <is>
          <t>A 22026-2021</t>
        </is>
      </c>
      <c r="B378" s="1" t="n">
        <v>44323</v>
      </c>
      <c r="C378" s="1" t="n">
        <v>46141</v>
      </c>
      <c r="D378" t="inlineStr">
        <is>
          <t>VÄSTMANLANDS LÄN</t>
        </is>
      </c>
      <c r="E378" t="inlineStr">
        <is>
          <t>SALA</t>
        </is>
      </c>
      <c r="G378" t="n">
        <v>2.9</v>
      </c>
      <c r="H378" t="n">
        <v>0</v>
      </c>
      <c r="I378" t="n">
        <v>0</v>
      </c>
      <c r="J378" t="n">
        <v>0</v>
      </c>
      <c r="K378" t="n">
        <v>0</v>
      </c>
      <c r="L378" t="n">
        <v>0</v>
      </c>
      <c r="M378" t="n">
        <v>0</v>
      </c>
      <c r="N378" t="n">
        <v>0</v>
      </c>
      <c r="O378" t="n">
        <v>0</v>
      </c>
      <c r="P378" t="n">
        <v>0</v>
      </c>
      <c r="Q378" t="n">
        <v>0</v>
      </c>
      <c r="R378" s="2" t="inlineStr"/>
    </row>
    <row r="379" ht="15" customHeight="1">
      <c r="A379" t="inlineStr">
        <is>
          <t>A 68864-2021</t>
        </is>
      </c>
      <c r="B379" s="1" t="n">
        <v>44530</v>
      </c>
      <c r="C379" s="1" t="n">
        <v>46141</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19065-2022</t>
        </is>
      </c>
      <c r="B380" s="1" t="n">
        <v>44691.44309027777</v>
      </c>
      <c r="C380" s="1" t="n">
        <v>46141</v>
      </c>
      <c r="D380" t="inlineStr">
        <is>
          <t>VÄSTMANLANDS LÄN</t>
        </is>
      </c>
      <c r="E380" t="inlineStr">
        <is>
          <t>SALA</t>
        </is>
      </c>
      <c r="G380" t="n">
        <v>3.4</v>
      </c>
      <c r="H380" t="n">
        <v>0</v>
      </c>
      <c r="I380" t="n">
        <v>0</v>
      </c>
      <c r="J380" t="n">
        <v>0</v>
      </c>
      <c r="K380" t="n">
        <v>0</v>
      </c>
      <c r="L380" t="n">
        <v>0</v>
      </c>
      <c r="M380" t="n">
        <v>0</v>
      </c>
      <c r="N380" t="n">
        <v>0</v>
      </c>
      <c r="O380" t="n">
        <v>0</v>
      </c>
      <c r="P380" t="n">
        <v>0</v>
      </c>
      <c r="Q380" t="n">
        <v>0</v>
      </c>
      <c r="R380" s="2" t="inlineStr"/>
    </row>
    <row r="381" ht="15" customHeight="1">
      <c r="A381" t="inlineStr">
        <is>
          <t>A 44100-2025</t>
        </is>
      </c>
      <c r="B381" s="1" t="n">
        <v>45915.56707175926</v>
      </c>
      <c r="C381" s="1" t="n">
        <v>46141</v>
      </c>
      <c r="D381" t="inlineStr">
        <is>
          <t>VÄSTMANLANDS LÄN</t>
        </is>
      </c>
      <c r="E381" t="inlineStr">
        <is>
          <t>SALA</t>
        </is>
      </c>
      <c r="G381" t="n">
        <v>0.8</v>
      </c>
      <c r="H381" t="n">
        <v>0</v>
      </c>
      <c r="I381" t="n">
        <v>0</v>
      </c>
      <c r="J381" t="n">
        <v>0</v>
      </c>
      <c r="K381" t="n">
        <v>0</v>
      </c>
      <c r="L381" t="n">
        <v>0</v>
      </c>
      <c r="M381" t="n">
        <v>0</v>
      </c>
      <c r="N381" t="n">
        <v>0</v>
      </c>
      <c r="O381" t="n">
        <v>0</v>
      </c>
      <c r="P381" t="n">
        <v>0</v>
      </c>
      <c r="Q381" t="n">
        <v>0</v>
      </c>
      <c r="R381" s="2" t="inlineStr"/>
    </row>
    <row r="382" ht="15" customHeight="1">
      <c r="A382" t="inlineStr">
        <is>
          <t>A 37612-2024</t>
        </is>
      </c>
      <c r="B382" s="1" t="n">
        <v>45541</v>
      </c>
      <c r="C382" s="1" t="n">
        <v>46141</v>
      </c>
      <c r="D382" t="inlineStr">
        <is>
          <t>VÄSTMANLANDS LÄN</t>
        </is>
      </c>
      <c r="E382" t="inlineStr">
        <is>
          <t>SALA</t>
        </is>
      </c>
      <c r="G382" t="n">
        <v>2.2</v>
      </c>
      <c r="H382" t="n">
        <v>0</v>
      </c>
      <c r="I382" t="n">
        <v>0</v>
      </c>
      <c r="J382" t="n">
        <v>0</v>
      </c>
      <c r="K382" t="n">
        <v>0</v>
      </c>
      <c r="L382" t="n">
        <v>0</v>
      </c>
      <c r="M382" t="n">
        <v>0</v>
      </c>
      <c r="N382" t="n">
        <v>0</v>
      </c>
      <c r="O382" t="n">
        <v>0</v>
      </c>
      <c r="P382" t="n">
        <v>0</v>
      </c>
      <c r="Q382" t="n">
        <v>0</v>
      </c>
      <c r="R382" s="2" t="inlineStr"/>
    </row>
    <row r="383" ht="15" customHeight="1">
      <c r="A383" t="inlineStr">
        <is>
          <t>A 37615-2024</t>
        </is>
      </c>
      <c r="B383" s="1" t="n">
        <v>45541.50673611111</v>
      </c>
      <c r="C383" s="1" t="n">
        <v>46141</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18158-2025</t>
        </is>
      </c>
      <c r="B384" s="1" t="n">
        <v>45761</v>
      </c>
      <c r="C384" s="1" t="n">
        <v>46141</v>
      </c>
      <c r="D384" t="inlineStr">
        <is>
          <t>VÄSTMANLANDS LÄN</t>
        </is>
      </c>
      <c r="E384" t="inlineStr">
        <is>
          <t>SALA</t>
        </is>
      </c>
      <c r="F384" t="inlineStr">
        <is>
          <t>Bergvik skog öst AB</t>
        </is>
      </c>
      <c r="G384" t="n">
        <v>1.6</v>
      </c>
      <c r="H384" t="n">
        <v>0</v>
      </c>
      <c r="I384" t="n">
        <v>0</v>
      </c>
      <c r="J384" t="n">
        <v>0</v>
      </c>
      <c r="K384" t="n">
        <v>0</v>
      </c>
      <c r="L384" t="n">
        <v>0</v>
      </c>
      <c r="M384" t="n">
        <v>0</v>
      </c>
      <c r="N384" t="n">
        <v>0</v>
      </c>
      <c r="O384" t="n">
        <v>0</v>
      </c>
      <c r="P384" t="n">
        <v>0</v>
      </c>
      <c r="Q384" t="n">
        <v>0</v>
      </c>
      <c r="R384" s="2" t="inlineStr"/>
    </row>
    <row r="385" ht="15" customHeight="1">
      <c r="A385" t="inlineStr">
        <is>
          <t>A 37587-2024</t>
        </is>
      </c>
      <c r="B385" s="1" t="n">
        <v>45541</v>
      </c>
      <c r="C385" s="1" t="n">
        <v>46141</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9962-2025</t>
        </is>
      </c>
      <c r="B386" s="1" t="n">
        <v>45719.37072916667</v>
      </c>
      <c r="C386" s="1" t="n">
        <v>46141</v>
      </c>
      <c r="D386" t="inlineStr">
        <is>
          <t>VÄSTMANLANDS LÄN</t>
        </is>
      </c>
      <c r="E386" t="inlineStr">
        <is>
          <t>SALA</t>
        </is>
      </c>
      <c r="G386" t="n">
        <v>4.5</v>
      </c>
      <c r="H386" t="n">
        <v>0</v>
      </c>
      <c r="I386" t="n">
        <v>0</v>
      </c>
      <c r="J386" t="n">
        <v>0</v>
      </c>
      <c r="K386" t="n">
        <v>0</v>
      </c>
      <c r="L386" t="n">
        <v>0</v>
      </c>
      <c r="M386" t="n">
        <v>0</v>
      </c>
      <c r="N386" t="n">
        <v>0</v>
      </c>
      <c r="O386" t="n">
        <v>0</v>
      </c>
      <c r="P386" t="n">
        <v>0</v>
      </c>
      <c r="Q386" t="n">
        <v>0</v>
      </c>
      <c r="R386" s="2" t="inlineStr"/>
    </row>
    <row r="387" ht="15" customHeight="1">
      <c r="A387" t="inlineStr">
        <is>
          <t>A 28696-2023</t>
        </is>
      </c>
      <c r="B387" s="1" t="n">
        <v>45103.71759259259</v>
      </c>
      <c r="C387" s="1" t="n">
        <v>46141</v>
      </c>
      <c r="D387" t="inlineStr">
        <is>
          <t>VÄSTMANLANDS LÄN</t>
        </is>
      </c>
      <c r="E387" t="inlineStr">
        <is>
          <t>SALA</t>
        </is>
      </c>
      <c r="F387" t="inlineStr">
        <is>
          <t>Kommuner</t>
        </is>
      </c>
      <c r="G387" t="n">
        <v>5.9</v>
      </c>
      <c r="H387" t="n">
        <v>0</v>
      </c>
      <c r="I387" t="n">
        <v>0</v>
      </c>
      <c r="J387" t="n">
        <v>0</v>
      </c>
      <c r="K387" t="n">
        <v>0</v>
      </c>
      <c r="L387" t="n">
        <v>0</v>
      </c>
      <c r="M387" t="n">
        <v>0</v>
      </c>
      <c r="N387" t="n">
        <v>0</v>
      </c>
      <c r="O387" t="n">
        <v>0</v>
      </c>
      <c r="P387" t="n">
        <v>0</v>
      </c>
      <c r="Q387" t="n">
        <v>0</v>
      </c>
      <c r="R387" s="2" t="inlineStr"/>
    </row>
    <row r="388" ht="15" customHeight="1">
      <c r="A388" t="inlineStr">
        <is>
          <t>A 37602-2024</t>
        </is>
      </c>
      <c r="B388" s="1" t="n">
        <v>45541</v>
      </c>
      <c r="C388" s="1" t="n">
        <v>46141</v>
      </c>
      <c r="D388" t="inlineStr">
        <is>
          <t>VÄSTMANLANDS LÄN</t>
        </is>
      </c>
      <c r="E388" t="inlineStr">
        <is>
          <t>SALA</t>
        </is>
      </c>
      <c r="G388" t="n">
        <v>1.5</v>
      </c>
      <c r="H388" t="n">
        <v>0</v>
      </c>
      <c r="I388" t="n">
        <v>0</v>
      </c>
      <c r="J388" t="n">
        <v>0</v>
      </c>
      <c r="K388" t="n">
        <v>0</v>
      </c>
      <c r="L388" t="n">
        <v>0</v>
      </c>
      <c r="M388" t="n">
        <v>0</v>
      </c>
      <c r="N388" t="n">
        <v>0</v>
      </c>
      <c r="O388" t="n">
        <v>0</v>
      </c>
      <c r="P388" t="n">
        <v>0</v>
      </c>
      <c r="Q388" t="n">
        <v>0</v>
      </c>
      <c r="R388" s="2" t="inlineStr"/>
    </row>
    <row r="389" ht="15" customHeight="1">
      <c r="A389" t="inlineStr">
        <is>
          <t>A 44524-2025</t>
        </is>
      </c>
      <c r="B389" s="1" t="n">
        <v>45916.72920138889</v>
      </c>
      <c r="C389" s="1" t="n">
        <v>46141</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44486-2025</t>
        </is>
      </c>
      <c r="B390" s="1" t="n">
        <v>45916.65517361111</v>
      </c>
      <c r="C390" s="1" t="n">
        <v>46141</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6691-2025</t>
        </is>
      </c>
      <c r="B391" s="1" t="n">
        <v>45700.50625</v>
      </c>
      <c r="C391" s="1" t="n">
        <v>46141</v>
      </c>
      <c r="D391" t="inlineStr">
        <is>
          <t>VÄSTMANLANDS LÄN</t>
        </is>
      </c>
      <c r="E391" t="inlineStr">
        <is>
          <t>SALA</t>
        </is>
      </c>
      <c r="G391" t="n">
        <v>2.1</v>
      </c>
      <c r="H391" t="n">
        <v>0</v>
      </c>
      <c r="I391" t="n">
        <v>0</v>
      </c>
      <c r="J391" t="n">
        <v>0</v>
      </c>
      <c r="K391" t="n">
        <v>0</v>
      </c>
      <c r="L391" t="n">
        <v>0</v>
      </c>
      <c r="M391" t="n">
        <v>0</v>
      </c>
      <c r="N391" t="n">
        <v>0</v>
      </c>
      <c r="O391" t="n">
        <v>0</v>
      </c>
      <c r="P391" t="n">
        <v>0</v>
      </c>
      <c r="Q391" t="n">
        <v>0</v>
      </c>
      <c r="R391" s="2" t="inlineStr"/>
    </row>
    <row r="392" ht="15" customHeight="1">
      <c r="A392" t="inlineStr">
        <is>
          <t>A 1934-2023</t>
        </is>
      </c>
      <c r="B392" s="1" t="n">
        <v>44939.43024305555</v>
      </c>
      <c r="C392" s="1" t="n">
        <v>46141</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35519-2024</t>
        </is>
      </c>
      <c r="B393" s="1" t="n">
        <v>45531</v>
      </c>
      <c r="C393" s="1" t="n">
        <v>46141</v>
      </c>
      <c r="D393" t="inlineStr">
        <is>
          <t>VÄSTMANLANDS LÄN</t>
        </is>
      </c>
      <c r="E393" t="inlineStr">
        <is>
          <t>SALA</t>
        </is>
      </c>
      <c r="G393" t="n">
        <v>1.8</v>
      </c>
      <c r="H393" t="n">
        <v>0</v>
      </c>
      <c r="I393" t="n">
        <v>0</v>
      </c>
      <c r="J393" t="n">
        <v>0</v>
      </c>
      <c r="K393" t="n">
        <v>0</v>
      </c>
      <c r="L393" t="n">
        <v>0</v>
      </c>
      <c r="M393" t="n">
        <v>0</v>
      </c>
      <c r="N393" t="n">
        <v>0</v>
      </c>
      <c r="O393" t="n">
        <v>0</v>
      </c>
      <c r="P393" t="n">
        <v>0</v>
      </c>
      <c r="Q393" t="n">
        <v>0</v>
      </c>
      <c r="R393" s="2" t="inlineStr"/>
    </row>
    <row r="394" ht="15" customHeight="1">
      <c r="A394" t="inlineStr">
        <is>
          <t>A 45177-2025</t>
        </is>
      </c>
      <c r="B394" s="1" t="n">
        <v>45919.52444444445</v>
      </c>
      <c r="C394" s="1" t="n">
        <v>46141</v>
      </c>
      <c r="D394" t="inlineStr">
        <is>
          <t>VÄSTMANLANDS LÄN</t>
        </is>
      </c>
      <c r="E394" t="inlineStr">
        <is>
          <t>SALA</t>
        </is>
      </c>
      <c r="G394" t="n">
        <v>2.4</v>
      </c>
      <c r="H394" t="n">
        <v>0</v>
      </c>
      <c r="I394" t="n">
        <v>0</v>
      </c>
      <c r="J394" t="n">
        <v>0</v>
      </c>
      <c r="K394" t="n">
        <v>0</v>
      </c>
      <c r="L394" t="n">
        <v>0</v>
      </c>
      <c r="M394" t="n">
        <v>0</v>
      </c>
      <c r="N394" t="n">
        <v>0</v>
      </c>
      <c r="O394" t="n">
        <v>0</v>
      </c>
      <c r="P394" t="n">
        <v>0</v>
      </c>
      <c r="Q394" t="n">
        <v>0</v>
      </c>
      <c r="R394" s="2" t="inlineStr"/>
    </row>
    <row r="395" ht="15" customHeight="1">
      <c r="A395" t="inlineStr">
        <is>
          <t>A 18762-2024</t>
        </is>
      </c>
      <c r="B395" s="1" t="n">
        <v>45426.55240740741</v>
      </c>
      <c r="C395" s="1" t="n">
        <v>46141</v>
      </c>
      <c r="D395" t="inlineStr">
        <is>
          <t>VÄSTMANLANDS LÄN</t>
        </is>
      </c>
      <c r="E395" t="inlineStr">
        <is>
          <t>SALA</t>
        </is>
      </c>
      <c r="G395" t="n">
        <v>6.2</v>
      </c>
      <c r="H395" t="n">
        <v>0</v>
      </c>
      <c r="I395" t="n">
        <v>0</v>
      </c>
      <c r="J395" t="n">
        <v>0</v>
      </c>
      <c r="K395" t="n">
        <v>0</v>
      </c>
      <c r="L395" t="n">
        <v>0</v>
      </c>
      <c r="M395" t="n">
        <v>0</v>
      </c>
      <c r="N395" t="n">
        <v>0</v>
      </c>
      <c r="O395" t="n">
        <v>0</v>
      </c>
      <c r="P395" t="n">
        <v>0</v>
      </c>
      <c r="Q395" t="n">
        <v>0</v>
      </c>
      <c r="R395" s="2" t="inlineStr"/>
    </row>
    <row r="396" ht="15" customHeight="1">
      <c r="A396" t="inlineStr">
        <is>
          <t>A 39011-2023</t>
        </is>
      </c>
      <c r="B396" s="1" t="n">
        <v>45162</v>
      </c>
      <c r="C396" s="1" t="n">
        <v>46141</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50241-2023</t>
        </is>
      </c>
      <c r="B397" s="1" t="n">
        <v>45216</v>
      </c>
      <c r="C397" s="1" t="n">
        <v>46141</v>
      </c>
      <c r="D397" t="inlineStr">
        <is>
          <t>VÄSTMANLANDS LÄN</t>
        </is>
      </c>
      <c r="E397" t="inlineStr">
        <is>
          <t>SALA</t>
        </is>
      </c>
      <c r="G397" t="n">
        <v>1.9</v>
      </c>
      <c r="H397" t="n">
        <v>0</v>
      </c>
      <c r="I397" t="n">
        <v>0</v>
      </c>
      <c r="J397" t="n">
        <v>0</v>
      </c>
      <c r="K397" t="n">
        <v>0</v>
      </c>
      <c r="L397" t="n">
        <v>0</v>
      </c>
      <c r="M397" t="n">
        <v>0</v>
      </c>
      <c r="N397" t="n">
        <v>0</v>
      </c>
      <c r="O397" t="n">
        <v>0</v>
      </c>
      <c r="P397" t="n">
        <v>0</v>
      </c>
      <c r="Q397" t="n">
        <v>0</v>
      </c>
      <c r="R397" s="2" t="inlineStr"/>
    </row>
    <row r="398" ht="15" customHeight="1">
      <c r="A398" t="inlineStr">
        <is>
          <t>A 43122-2025</t>
        </is>
      </c>
      <c r="B398" s="1" t="n">
        <v>45909</v>
      </c>
      <c r="C398" s="1" t="n">
        <v>46141</v>
      </c>
      <c r="D398" t="inlineStr">
        <is>
          <t>VÄSTMANLANDS LÄN</t>
        </is>
      </c>
      <c r="E398" t="inlineStr">
        <is>
          <t>SALA</t>
        </is>
      </c>
      <c r="G398" t="n">
        <v>3.2</v>
      </c>
      <c r="H398" t="n">
        <v>0</v>
      </c>
      <c r="I398" t="n">
        <v>0</v>
      </c>
      <c r="J398" t="n">
        <v>0</v>
      </c>
      <c r="K398" t="n">
        <v>0</v>
      </c>
      <c r="L398" t="n">
        <v>0</v>
      </c>
      <c r="M398" t="n">
        <v>0</v>
      </c>
      <c r="N398" t="n">
        <v>0</v>
      </c>
      <c r="O398" t="n">
        <v>0</v>
      </c>
      <c r="P398" t="n">
        <v>0</v>
      </c>
      <c r="Q398" t="n">
        <v>0</v>
      </c>
      <c r="R398" s="2" t="inlineStr"/>
    </row>
    <row r="399" ht="15" customHeight="1">
      <c r="A399" t="inlineStr">
        <is>
          <t>A 46352-2023</t>
        </is>
      </c>
      <c r="B399" s="1" t="n">
        <v>45192</v>
      </c>
      <c r="C399" s="1" t="n">
        <v>46141</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30971-2022</t>
        </is>
      </c>
      <c r="B400" s="1" t="n">
        <v>44768.46725694444</v>
      </c>
      <c r="C400" s="1" t="n">
        <v>46141</v>
      </c>
      <c r="D400" t="inlineStr">
        <is>
          <t>VÄSTMANLANDS LÄN</t>
        </is>
      </c>
      <c r="E400" t="inlineStr">
        <is>
          <t>SALA</t>
        </is>
      </c>
      <c r="G400" t="n">
        <v>2.4</v>
      </c>
      <c r="H400" t="n">
        <v>0</v>
      </c>
      <c r="I400" t="n">
        <v>0</v>
      </c>
      <c r="J400" t="n">
        <v>0</v>
      </c>
      <c r="K400" t="n">
        <v>0</v>
      </c>
      <c r="L400" t="n">
        <v>0</v>
      </c>
      <c r="M400" t="n">
        <v>0</v>
      </c>
      <c r="N400" t="n">
        <v>0</v>
      </c>
      <c r="O400" t="n">
        <v>0</v>
      </c>
      <c r="P400" t="n">
        <v>0</v>
      </c>
      <c r="Q400" t="n">
        <v>0</v>
      </c>
      <c r="R400" s="2" t="inlineStr"/>
    </row>
    <row r="401" ht="15" customHeight="1">
      <c r="A401" t="inlineStr">
        <is>
          <t>A 43751-2021</t>
        </is>
      </c>
      <c r="B401" s="1" t="n">
        <v>44433</v>
      </c>
      <c r="C401" s="1" t="n">
        <v>46141</v>
      </c>
      <c r="D401" t="inlineStr">
        <is>
          <t>VÄSTMANLANDS LÄN</t>
        </is>
      </c>
      <c r="E401" t="inlineStr">
        <is>
          <t>SALA</t>
        </is>
      </c>
      <c r="G401" t="n">
        <v>1.5</v>
      </c>
      <c r="H401" t="n">
        <v>0</v>
      </c>
      <c r="I401" t="n">
        <v>0</v>
      </c>
      <c r="J401" t="n">
        <v>0</v>
      </c>
      <c r="K401" t="n">
        <v>0</v>
      </c>
      <c r="L401" t="n">
        <v>0</v>
      </c>
      <c r="M401" t="n">
        <v>0</v>
      </c>
      <c r="N401" t="n">
        <v>0</v>
      </c>
      <c r="O401" t="n">
        <v>0</v>
      </c>
      <c r="P401" t="n">
        <v>0</v>
      </c>
      <c r="Q401" t="n">
        <v>0</v>
      </c>
      <c r="R401" s="2" t="inlineStr"/>
    </row>
    <row r="402" ht="15" customHeight="1">
      <c r="A402" t="inlineStr">
        <is>
          <t>A 35637-2022</t>
        </is>
      </c>
      <c r="B402" s="1" t="n">
        <v>44799.55194444444</v>
      </c>
      <c r="C402" s="1" t="n">
        <v>46141</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19304-2025</t>
        </is>
      </c>
      <c r="B403" s="1" t="n">
        <v>45769</v>
      </c>
      <c r="C403" s="1" t="n">
        <v>46141</v>
      </c>
      <c r="D403" t="inlineStr">
        <is>
          <t>VÄSTMANLANDS LÄN</t>
        </is>
      </c>
      <c r="E403" t="inlineStr">
        <is>
          <t>SALA</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1128-2025</t>
        </is>
      </c>
      <c r="B404" s="1" t="n">
        <v>45666.68469907407</v>
      </c>
      <c r="C404" s="1" t="n">
        <v>46141</v>
      </c>
      <c r="D404" t="inlineStr">
        <is>
          <t>VÄSTMANLANDS LÄN</t>
        </is>
      </c>
      <c r="E404" t="inlineStr">
        <is>
          <t>SALA</t>
        </is>
      </c>
      <c r="G404" t="n">
        <v>2.5</v>
      </c>
      <c r="H404" t="n">
        <v>0</v>
      </c>
      <c r="I404" t="n">
        <v>0</v>
      </c>
      <c r="J404" t="n">
        <v>0</v>
      </c>
      <c r="K404" t="n">
        <v>0</v>
      </c>
      <c r="L404" t="n">
        <v>0</v>
      </c>
      <c r="M404" t="n">
        <v>0</v>
      </c>
      <c r="N404" t="n">
        <v>0</v>
      </c>
      <c r="O404" t="n">
        <v>0</v>
      </c>
      <c r="P404" t="n">
        <v>0</v>
      </c>
      <c r="Q404" t="n">
        <v>0</v>
      </c>
      <c r="R404" s="2" t="inlineStr"/>
    </row>
    <row r="405" ht="15" customHeight="1">
      <c r="A405" t="inlineStr">
        <is>
          <t>A 27038-2023</t>
        </is>
      </c>
      <c r="B405" s="1" t="n">
        <v>45095</v>
      </c>
      <c r="C405" s="1" t="n">
        <v>46141</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23182-2022</t>
        </is>
      </c>
      <c r="B406" s="1" t="n">
        <v>44719.79707175926</v>
      </c>
      <c r="C406" s="1" t="n">
        <v>46141</v>
      </c>
      <c r="D406" t="inlineStr">
        <is>
          <t>VÄSTMANLANDS LÄN</t>
        </is>
      </c>
      <c r="E406" t="inlineStr">
        <is>
          <t>SALA</t>
        </is>
      </c>
      <c r="G406" t="n">
        <v>1.2</v>
      </c>
      <c r="H406" t="n">
        <v>0</v>
      </c>
      <c r="I406" t="n">
        <v>0</v>
      </c>
      <c r="J406" t="n">
        <v>0</v>
      </c>
      <c r="K406" t="n">
        <v>0</v>
      </c>
      <c r="L406" t="n">
        <v>0</v>
      </c>
      <c r="M406" t="n">
        <v>0</v>
      </c>
      <c r="N406" t="n">
        <v>0</v>
      </c>
      <c r="O406" t="n">
        <v>0</v>
      </c>
      <c r="P406" t="n">
        <v>0</v>
      </c>
      <c r="Q406" t="n">
        <v>0</v>
      </c>
      <c r="R406" s="2" t="inlineStr"/>
    </row>
    <row r="407" ht="15" customHeight="1">
      <c r="A407" t="inlineStr">
        <is>
          <t>A 45371-2025</t>
        </is>
      </c>
      <c r="B407" s="1" t="n">
        <v>45922.39001157408</v>
      </c>
      <c r="C407" s="1" t="n">
        <v>46141</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31950-2023</t>
        </is>
      </c>
      <c r="B408" s="1" t="n">
        <v>45107</v>
      </c>
      <c r="C408" s="1" t="n">
        <v>46141</v>
      </c>
      <c r="D408" t="inlineStr">
        <is>
          <t>VÄSTMANLANDS LÄN</t>
        </is>
      </c>
      <c r="E408" t="inlineStr">
        <is>
          <t>SALA</t>
        </is>
      </c>
      <c r="G408" t="n">
        <v>0.1</v>
      </c>
      <c r="H408" t="n">
        <v>0</v>
      </c>
      <c r="I408" t="n">
        <v>0</v>
      </c>
      <c r="J408" t="n">
        <v>0</v>
      </c>
      <c r="K408" t="n">
        <v>0</v>
      </c>
      <c r="L408" t="n">
        <v>0</v>
      </c>
      <c r="M408" t="n">
        <v>0</v>
      </c>
      <c r="N408" t="n">
        <v>0</v>
      </c>
      <c r="O408" t="n">
        <v>0</v>
      </c>
      <c r="P408" t="n">
        <v>0</v>
      </c>
      <c r="Q408" t="n">
        <v>0</v>
      </c>
      <c r="R408" s="2" t="inlineStr"/>
    </row>
    <row r="409" ht="15" customHeight="1">
      <c r="A409" t="inlineStr">
        <is>
          <t>A 31859-2023</t>
        </is>
      </c>
      <c r="B409" s="1" t="n">
        <v>45118</v>
      </c>
      <c r="C409" s="1" t="n">
        <v>46141</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c r="U409">
        <f>HYPERLINK("https://klasma.github.io/Logging_1981/knärot/A 31859-2023 karta knärot.png", "A 31859-2023")</f>
        <v/>
      </c>
      <c r="V409">
        <f>HYPERLINK("https://klasma.github.io/Logging_1981/klagomål/A 31859-2023 FSC-klagomål.docx", "A 31859-2023")</f>
        <v/>
      </c>
      <c r="W409">
        <f>HYPERLINK("https://klasma.github.io/Logging_1981/klagomålsmail/A 31859-2023 FSC-klagomål mail.docx", "A 31859-2023")</f>
        <v/>
      </c>
      <c r="X409">
        <f>HYPERLINK("https://klasma.github.io/Logging_1981/tillsyn/A 31859-2023 tillsynsbegäran.docx", "A 31859-2023")</f>
        <v/>
      </c>
      <c r="Y409">
        <f>HYPERLINK("https://klasma.github.io/Logging_1981/tillsynsmail/A 31859-2023 tillsynsbegäran mail.docx", "A 31859-2023")</f>
        <v/>
      </c>
    </row>
    <row r="410" ht="15" customHeight="1">
      <c r="A410" t="inlineStr">
        <is>
          <t>A 7469-2025</t>
        </is>
      </c>
      <c r="B410" s="1" t="n">
        <v>45705</v>
      </c>
      <c r="C410" s="1" t="n">
        <v>46141</v>
      </c>
      <c r="D410" t="inlineStr">
        <is>
          <t>VÄSTMANLANDS LÄN</t>
        </is>
      </c>
      <c r="E410" t="inlineStr">
        <is>
          <t>SALA</t>
        </is>
      </c>
      <c r="G410" t="n">
        <v>2.1</v>
      </c>
      <c r="H410" t="n">
        <v>0</v>
      </c>
      <c r="I410" t="n">
        <v>0</v>
      </c>
      <c r="J410" t="n">
        <v>0</v>
      </c>
      <c r="K410" t="n">
        <v>0</v>
      </c>
      <c r="L410" t="n">
        <v>0</v>
      </c>
      <c r="M410" t="n">
        <v>0</v>
      </c>
      <c r="N410" t="n">
        <v>0</v>
      </c>
      <c r="O410" t="n">
        <v>0</v>
      </c>
      <c r="P410" t="n">
        <v>0</v>
      </c>
      <c r="Q410" t="n">
        <v>0</v>
      </c>
      <c r="R410" s="2" t="inlineStr"/>
    </row>
    <row r="411" ht="15" customHeight="1">
      <c r="A411" t="inlineStr">
        <is>
          <t>A 56540-2024</t>
        </is>
      </c>
      <c r="B411" s="1" t="n">
        <v>45625</v>
      </c>
      <c r="C411" s="1" t="n">
        <v>46141</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6116-2023</t>
        </is>
      </c>
      <c r="B412" s="1" t="n">
        <v>44964</v>
      </c>
      <c r="C412" s="1" t="n">
        <v>46141</v>
      </c>
      <c r="D412" t="inlineStr">
        <is>
          <t>VÄSTMANLANDS LÄN</t>
        </is>
      </c>
      <c r="E412" t="inlineStr">
        <is>
          <t>SALA</t>
        </is>
      </c>
      <c r="G412" t="n">
        <v>1.9</v>
      </c>
      <c r="H412" t="n">
        <v>0</v>
      </c>
      <c r="I412" t="n">
        <v>0</v>
      </c>
      <c r="J412" t="n">
        <v>0</v>
      </c>
      <c r="K412" t="n">
        <v>0</v>
      </c>
      <c r="L412" t="n">
        <v>0</v>
      </c>
      <c r="M412" t="n">
        <v>0</v>
      </c>
      <c r="N412" t="n">
        <v>0</v>
      </c>
      <c r="O412" t="n">
        <v>0</v>
      </c>
      <c r="P412" t="n">
        <v>0</v>
      </c>
      <c r="Q412" t="n">
        <v>0</v>
      </c>
      <c r="R412" s="2" t="inlineStr"/>
    </row>
    <row r="413" ht="15" customHeight="1">
      <c r="A413" t="inlineStr">
        <is>
          <t>A 45914-2025</t>
        </is>
      </c>
      <c r="B413" s="1" t="n">
        <v>45923.82582175926</v>
      </c>
      <c r="C413" s="1" t="n">
        <v>46141</v>
      </c>
      <c r="D413" t="inlineStr">
        <is>
          <t>VÄSTMANLANDS LÄN</t>
        </is>
      </c>
      <c r="E413" t="inlineStr">
        <is>
          <t>SALA</t>
        </is>
      </c>
      <c r="F413" t="inlineStr">
        <is>
          <t>Kommuner</t>
        </is>
      </c>
      <c r="G413" t="n">
        <v>18.2</v>
      </c>
      <c r="H413" t="n">
        <v>0</v>
      </c>
      <c r="I413" t="n">
        <v>0</v>
      </c>
      <c r="J413" t="n">
        <v>0</v>
      </c>
      <c r="K413" t="n">
        <v>0</v>
      </c>
      <c r="L413" t="n">
        <v>0</v>
      </c>
      <c r="M413" t="n">
        <v>0</v>
      </c>
      <c r="N413" t="n">
        <v>0</v>
      </c>
      <c r="O413" t="n">
        <v>0</v>
      </c>
      <c r="P413" t="n">
        <v>0</v>
      </c>
      <c r="Q413" t="n">
        <v>0</v>
      </c>
      <c r="R413" s="2" t="inlineStr"/>
      <c r="U413">
        <f>HYPERLINK("https://klasma.github.io/Logging_1981/knärot/A 45914-2025 karta knärot.png", "A 45914-2025")</f>
        <v/>
      </c>
      <c r="V413">
        <f>HYPERLINK("https://klasma.github.io/Logging_1981/klagomål/A 45914-2025 FSC-klagomål.docx", "A 45914-2025")</f>
        <v/>
      </c>
      <c r="W413">
        <f>HYPERLINK("https://klasma.github.io/Logging_1981/klagomålsmail/A 45914-2025 FSC-klagomål mail.docx", "A 45914-2025")</f>
        <v/>
      </c>
      <c r="X413">
        <f>HYPERLINK("https://klasma.github.io/Logging_1981/tillsyn/A 45914-2025 tillsynsbegäran.docx", "A 45914-2025")</f>
        <v/>
      </c>
      <c r="Y413">
        <f>HYPERLINK("https://klasma.github.io/Logging_1981/tillsynsmail/A 45914-2025 tillsynsbegäran mail.docx", "A 45914-2025")</f>
        <v/>
      </c>
    </row>
    <row r="414" ht="15" customHeight="1">
      <c r="A414" t="inlineStr">
        <is>
          <t>A 60034-2024</t>
        </is>
      </c>
      <c r="B414" s="1" t="n">
        <v>45642.46261574074</v>
      </c>
      <c r="C414" s="1" t="n">
        <v>46141</v>
      </c>
      <c r="D414" t="inlineStr">
        <is>
          <t>VÄSTMANLANDS LÄN</t>
        </is>
      </c>
      <c r="E414" t="inlineStr">
        <is>
          <t>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25860-2024</t>
        </is>
      </c>
      <c r="B415" s="1" t="n">
        <v>45467.46278935186</v>
      </c>
      <c r="C415" s="1" t="n">
        <v>46141</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45909-2025</t>
        </is>
      </c>
      <c r="B416" s="1" t="n">
        <v>45923.75078703704</v>
      </c>
      <c r="C416" s="1" t="n">
        <v>46141</v>
      </c>
      <c r="D416" t="inlineStr">
        <is>
          <t>VÄSTMANLANDS LÄN</t>
        </is>
      </c>
      <c r="E416" t="inlineStr">
        <is>
          <t>SALA</t>
        </is>
      </c>
      <c r="G416" t="n">
        <v>1.4</v>
      </c>
      <c r="H416" t="n">
        <v>0</v>
      </c>
      <c r="I416" t="n">
        <v>0</v>
      </c>
      <c r="J416" t="n">
        <v>0</v>
      </c>
      <c r="K416" t="n">
        <v>0</v>
      </c>
      <c r="L416" t="n">
        <v>0</v>
      </c>
      <c r="M416" t="n">
        <v>0</v>
      </c>
      <c r="N416" t="n">
        <v>0</v>
      </c>
      <c r="O416" t="n">
        <v>0</v>
      </c>
      <c r="P416" t="n">
        <v>0</v>
      </c>
      <c r="Q416" t="n">
        <v>0</v>
      </c>
      <c r="R416" s="2" t="inlineStr"/>
    </row>
    <row r="417" ht="15" customHeight="1">
      <c r="A417" t="inlineStr">
        <is>
          <t>A 56916-2022</t>
        </is>
      </c>
      <c r="B417" s="1" t="n">
        <v>44888</v>
      </c>
      <c r="C417" s="1" t="n">
        <v>46141</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34867-2023</t>
        </is>
      </c>
      <c r="B418" s="1" t="n">
        <v>45142.33481481481</v>
      </c>
      <c r="C418" s="1" t="n">
        <v>46141</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46915-2025</t>
        </is>
      </c>
      <c r="B419" s="1" t="n">
        <v>45929.42114583333</v>
      </c>
      <c r="C419" s="1" t="n">
        <v>46141</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11631-2023</t>
        </is>
      </c>
      <c r="B420" s="1" t="n">
        <v>44994.44001157407</v>
      </c>
      <c r="C420" s="1" t="n">
        <v>46141</v>
      </c>
      <c r="D420" t="inlineStr">
        <is>
          <t>VÄSTMANLANDS LÄN</t>
        </is>
      </c>
      <c r="E420" t="inlineStr">
        <is>
          <t>SALA</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46597-2025</t>
        </is>
      </c>
      <c r="B421" s="1" t="n">
        <v>45926.40113425926</v>
      </c>
      <c r="C421" s="1" t="n">
        <v>46141</v>
      </c>
      <c r="D421" t="inlineStr">
        <is>
          <t>VÄSTMANLANDS LÄN</t>
        </is>
      </c>
      <c r="E421" t="inlineStr">
        <is>
          <t>SALA</t>
        </is>
      </c>
      <c r="G421" t="n">
        <v>3.4</v>
      </c>
      <c r="H421" t="n">
        <v>0</v>
      </c>
      <c r="I421" t="n">
        <v>0</v>
      </c>
      <c r="J421" t="n">
        <v>0</v>
      </c>
      <c r="K421" t="n">
        <v>0</v>
      </c>
      <c r="L421" t="n">
        <v>0</v>
      </c>
      <c r="M421" t="n">
        <v>0</v>
      </c>
      <c r="N421" t="n">
        <v>0</v>
      </c>
      <c r="O421" t="n">
        <v>0</v>
      </c>
      <c r="P421" t="n">
        <v>0</v>
      </c>
      <c r="Q421" t="n">
        <v>0</v>
      </c>
      <c r="R421" s="2" t="inlineStr"/>
    </row>
    <row r="422" ht="15" customHeight="1">
      <c r="A422" t="inlineStr">
        <is>
          <t>A 71471-2021</t>
        </is>
      </c>
      <c r="B422" s="1" t="n">
        <v>44540.53421296296</v>
      </c>
      <c r="C422" s="1" t="n">
        <v>46141</v>
      </c>
      <c r="D422" t="inlineStr">
        <is>
          <t>VÄSTMANLANDS LÄN</t>
        </is>
      </c>
      <c r="E422" t="inlineStr">
        <is>
          <t>SALA</t>
        </is>
      </c>
      <c r="G422" t="n">
        <v>13</v>
      </c>
      <c r="H422" t="n">
        <v>0</v>
      </c>
      <c r="I422" t="n">
        <v>0</v>
      </c>
      <c r="J422" t="n">
        <v>0</v>
      </c>
      <c r="K422" t="n">
        <v>0</v>
      </c>
      <c r="L422" t="n">
        <v>0</v>
      </c>
      <c r="M422" t="n">
        <v>0</v>
      </c>
      <c r="N422" t="n">
        <v>0</v>
      </c>
      <c r="O422" t="n">
        <v>0</v>
      </c>
      <c r="P422" t="n">
        <v>0</v>
      </c>
      <c r="Q422" t="n">
        <v>0</v>
      </c>
      <c r="R422" s="2" t="inlineStr"/>
    </row>
    <row r="423" ht="15" customHeight="1">
      <c r="A423" t="inlineStr">
        <is>
          <t>A 8775-2024</t>
        </is>
      </c>
      <c r="B423" s="1" t="n">
        <v>45356</v>
      </c>
      <c r="C423" s="1" t="n">
        <v>46141</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48710-2024</t>
        </is>
      </c>
      <c r="B424" s="1" t="n">
        <v>45593.53636574074</v>
      </c>
      <c r="C424" s="1" t="n">
        <v>46141</v>
      </c>
      <c r="D424" t="inlineStr">
        <is>
          <t>VÄSTMANLANDS LÄN</t>
        </is>
      </c>
      <c r="E424" t="inlineStr">
        <is>
          <t>SALA</t>
        </is>
      </c>
      <c r="G424" t="n">
        <v>6.5</v>
      </c>
      <c r="H424" t="n">
        <v>0</v>
      </c>
      <c r="I424" t="n">
        <v>0</v>
      </c>
      <c r="J424" t="n">
        <v>0</v>
      </c>
      <c r="K424" t="n">
        <v>0</v>
      </c>
      <c r="L424" t="n">
        <v>0</v>
      </c>
      <c r="M424" t="n">
        <v>0</v>
      </c>
      <c r="N424" t="n">
        <v>0</v>
      </c>
      <c r="O424" t="n">
        <v>0</v>
      </c>
      <c r="P424" t="n">
        <v>0</v>
      </c>
      <c r="Q424" t="n">
        <v>0</v>
      </c>
      <c r="R424" s="2" t="inlineStr"/>
    </row>
    <row r="425" ht="15" customHeight="1">
      <c r="A425" t="inlineStr">
        <is>
          <t>A 16404-2022</t>
        </is>
      </c>
      <c r="B425" s="1" t="n">
        <v>44671</v>
      </c>
      <c r="C425" s="1" t="n">
        <v>46141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64724-2023</t>
        </is>
      </c>
      <c r="B426" s="1" t="n">
        <v>45281.7602662037</v>
      </c>
      <c r="C426" s="1" t="n">
        <v>46141</v>
      </c>
      <c r="D426" t="inlineStr">
        <is>
          <t>VÄSTMANLANDS LÄN</t>
        </is>
      </c>
      <c r="E426" t="inlineStr">
        <is>
          <t>SALA</t>
        </is>
      </c>
      <c r="G426" t="n">
        <v>2.3</v>
      </c>
      <c r="H426" t="n">
        <v>0</v>
      </c>
      <c r="I426" t="n">
        <v>0</v>
      </c>
      <c r="J426" t="n">
        <v>0</v>
      </c>
      <c r="K426" t="n">
        <v>0</v>
      </c>
      <c r="L426" t="n">
        <v>0</v>
      </c>
      <c r="M426" t="n">
        <v>0</v>
      </c>
      <c r="N426" t="n">
        <v>0</v>
      </c>
      <c r="O426" t="n">
        <v>0</v>
      </c>
      <c r="P426" t="n">
        <v>0</v>
      </c>
      <c r="Q426" t="n">
        <v>0</v>
      </c>
      <c r="R426" s="2" t="inlineStr"/>
    </row>
    <row r="427" ht="15" customHeight="1">
      <c r="A427" t="inlineStr">
        <is>
          <t>A 47577-2025</t>
        </is>
      </c>
      <c r="B427" s="1" t="n">
        <v>45931.4047337963</v>
      </c>
      <c r="C427" s="1" t="n">
        <v>46141</v>
      </c>
      <c r="D427" t="inlineStr">
        <is>
          <t>VÄSTMANLANDS LÄN</t>
        </is>
      </c>
      <c r="E427" t="inlineStr">
        <is>
          <t>SALA</t>
        </is>
      </c>
      <c r="G427" t="n">
        <v>3.7</v>
      </c>
      <c r="H427" t="n">
        <v>0</v>
      </c>
      <c r="I427" t="n">
        <v>0</v>
      </c>
      <c r="J427" t="n">
        <v>0</v>
      </c>
      <c r="K427" t="n">
        <v>0</v>
      </c>
      <c r="L427" t="n">
        <v>0</v>
      </c>
      <c r="M427" t="n">
        <v>0</v>
      </c>
      <c r="N427" t="n">
        <v>0</v>
      </c>
      <c r="O427" t="n">
        <v>0</v>
      </c>
      <c r="P427" t="n">
        <v>0</v>
      </c>
      <c r="Q427" t="n">
        <v>0</v>
      </c>
      <c r="R427" s="2" t="inlineStr"/>
    </row>
    <row r="428" ht="15" customHeight="1">
      <c r="A428" t="inlineStr">
        <is>
          <t>A 13987-2023</t>
        </is>
      </c>
      <c r="B428" s="1" t="n">
        <v>45007</v>
      </c>
      <c r="C428" s="1" t="n">
        <v>46141</v>
      </c>
      <c r="D428" t="inlineStr">
        <is>
          <t>VÄSTMANLANDS LÄN</t>
        </is>
      </c>
      <c r="E428" t="inlineStr">
        <is>
          <t>SALA</t>
        </is>
      </c>
      <c r="G428" t="n">
        <v>3.2</v>
      </c>
      <c r="H428" t="n">
        <v>0</v>
      </c>
      <c r="I428" t="n">
        <v>0</v>
      </c>
      <c r="J428" t="n">
        <v>0</v>
      </c>
      <c r="K428" t="n">
        <v>0</v>
      </c>
      <c r="L428" t="n">
        <v>0</v>
      </c>
      <c r="M428" t="n">
        <v>0</v>
      </c>
      <c r="N428" t="n">
        <v>0</v>
      </c>
      <c r="O428" t="n">
        <v>0</v>
      </c>
      <c r="P428" t="n">
        <v>0</v>
      </c>
      <c r="Q428" t="n">
        <v>0</v>
      </c>
      <c r="R428" s="2" t="inlineStr"/>
    </row>
    <row r="429" ht="15" customHeight="1">
      <c r="A429" t="inlineStr">
        <is>
          <t>A 13990-2023</t>
        </is>
      </c>
      <c r="B429" s="1" t="n">
        <v>45007</v>
      </c>
      <c r="C429" s="1" t="n">
        <v>46141</v>
      </c>
      <c r="D429" t="inlineStr">
        <is>
          <t>VÄSTMANLANDS LÄN</t>
        </is>
      </c>
      <c r="E429" t="inlineStr">
        <is>
          <t>SALA</t>
        </is>
      </c>
      <c r="G429" t="n">
        <v>2.6</v>
      </c>
      <c r="H429" t="n">
        <v>0</v>
      </c>
      <c r="I429" t="n">
        <v>0</v>
      </c>
      <c r="J429" t="n">
        <v>0</v>
      </c>
      <c r="K429" t="n">
        <v>0</v>
      </c>
      <c r="L429" t="n">
        <v>0</v>
      </c>
      <c r="M429" t="n">
        <v>0</v>
      </c>
      <c r="N429" t="n">
        <v>0</v>
      </c>
      <c r="O429" t="n">
        <v>0</v>
      </c>
      <c r="P429" t="n">
        <v>0</v>
      </c>
      <c r="Q429" t="n">
        <v>0</v>
      </c>
      <c r="R429" s="2" t="inlineStr"/>
    </row>
    <row r="430" ht="15" customHeight="1">
      <c r="A430" t="inlineStr">
        <is>
          <t>A 46661-2025</t>
        </is>
      </c>
      <c r="B430" s="1" t="n">
        <v>45926</v>
      </c>
      <c r="C430" s="1" t="n">
        <v>46141</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24248-2023</t>
        </is>
      </c>
      <c r="B431" s="1" t="n">
        <v>45079</v>
      </c>
      <c r="C431" s="1" t="n">
        <v>46141</v>
      </c>
      <c r="D431" t="inlineStr">
        <is>
          <t>VÄSTMANLANDS LÄN</t>
        </is>
      </c>
      <c r="E431" t="inlineStr">
        <is>
          <t>SALA</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1993-2022</t>
        </is>
      </c>
      <c r="B432" s="1" t="n">
        <v>44575</v>
      </c>
      <c r="C432" s="1" t="n">
        <v>46141</v>
      </c>
      <c r="D432" t="inlineStr">
        <is>
          <t>VÄSTMANLANDS LÄN</t>
        </is>
      </c>
      <c r="E432" t="inlineStr">
        <is>
          <t>SALA</t>
        </is>
      </c>
      <c r="G432" t="n">
        <v>1.6</v>
      </c>
      <c r="H432" t="n">
        <v>0</v>
      </c>
      <c r="I432" t="n">
        <v>0</v>
      </c>
      <c r="J432" t="n">
        <v>0</v>
      </c>
      <c r="K432" t="n">
        <v>0</v>
      </c>
      <c r="L432" t="n">
        <v>0</v>
      </c>
      <c r="M432" t="n">
        <v>0</v>
      </c>
      <c r="N432" t="n">
        <v>0</v>
      </c>
      <c r="O432" t="n">
        <v>0</v>
      </c>
      <c r="P432" t="n">
        <v>0</v>
      </c>
      <c r="Q432" t="n">
        <v>0</v>
      </c>
      <c r="R432" s="2" t="inlineStr"/>
    </row>
    <row r="433" ht="15" customHeight="1">
      <c r="A433" t="inlineStr">
        <is>
          <t>A 17051-2025</t>
        </is>
      </c>
      <c r="B433" s="1" t="n">
        <v>45755</v>
      </c>
      <c r="C433" s="1" t="n">
        <v>46141</v>
      </c>
      <c r="D433" t="inlineStr">
        <is>
          <t>VÄSTMANLANDS LÄN</t>
        </is>
      </c>
      <c r="E433" t="inlineStr">
        <is>
          <t>SALA</t>
        </is>
      </c>
      <c r="G433" t="n">
        <v>2.9</v>
      </c>
      <c r="H433" t="n">
        <v>0</v>
      </c>
      <c r="I433" t="n">
        <v>0</v>
      </c>
      <c r="J433" t="n">
        <v>0</v>
      </c>
      <c r="K433" t="n">
        <v>0</v>
      </c>
      <c r="L433" t="n">
        <v>0</v>
      </c>
      <c r="M433" t="n">
        <v>0</v>
      </c>
      <c r="N433" t="n">
        <v>0</v>
      </c>
      <c r="O433" t="n">
        <v>0</v>
      </c>
      <c r="P433" t="n">
        <v>0</v>
      </c>
      <c r="Q433" t="n">
        <v>0</v>
      </c>
      <c r="R433" s="2" t="inlineStr"/>
    </row>
    <row r="434" ht="15" customHeight="1">
      <c r="A434" t="inlineStr">
        <is>
          <t>A 43509-2021</t>
        </is>
      </c>
      <c r="B434" s="1" t="n">
        <v>44433</v>
      </c>
      <c r="C434" s="1" t="n">
        <v>46141</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54959-2024</t>
        </is>
      </c>
      <c r="B435" s="1" t="n">
        <v>45619</v>
      </c>
      <c r="C435" s="1" t="n">
        <v>46141</v>
      </c>
      <c r="D435" t="inlineStr">
        <is>
          <t>VÄSTMANLANDS LÄN</t>
        </is>
      </c>
      <c r="E435" t="inlineStr">
        <is>
          <t>SALA</t>
        </is>
      </c>
      <c r="G435" t="n">
        <v>1.3</v>
      </c>
      <c r="H435" t="n">
        <v>0</v>
      </c>
      <c r="I435" t="n">
        <v>0</v>
      </c>
      <c r="J435" t="n">
        <v>0</v>
      </c>
      <c r="K435" t="n">
        <v>0</v>
      </c>
      <c r="L435" t="n">
        <v>0</v>
      </c>
      <c r="M435" t="n">
        <v>0</v>
      </c>
      <c r="N435" t="n">
        <v>0</v>
      </c>
      <c r="O435" t="n">
        <v>0</v>
      </c>
      <c r="P435" t="n">
        <v>0</v>
      </c>
      <c r="Q435" t="n">
        <v>0</v>
      </c>
      <c r="R435" s="2" t="inlineStr"/>
    </row>
    <row r="436" ht="15" customHeight="1">
      <c r="A436" t="inlineStr">
        <is>
          <t>A 56964-2023</t>
        </is>
      </c>
      <c r="B436" s="1" t="n">
        <v>45244.63140046296</v>
      </c>
      <c r="C436" s="1" t="n">
        <v>46141</v>
      </c>
      <c r="D436" t="inlineStr">
        <is>
          <t>VÄSTMANLANDS LÄN</t>
        </is>
      </c>
      <c r="E436" t="inlineStr">
        <is>
          <t>SALA</t>
        </is>
      </c>
      <c r="G436" t="n">
        <v>4.6</v>
      </c>
      <c r="H436" t="n">
        <v>0</v>
      </c>
      <c r="I436" t="n">
        <v>0</v>
      </c>
      <c r="J436" t="n">
        <v>0</v>
      </c>
      <c r="K436" t="n">
        <v>0</v>
      </c>
      <c r="L436" t="n">
        <v>0</v>
      </c>
      <c r="M436" t="n">
        <v>0</v>
      </c>
      <c r="N436" t="n">
        <v>0</v>
      </c>
      <c r="O436" t="n">
        <v>0</v>
      </c>
      <c r="P436" t="n">
        <v>0</v>
      </c>
      <c r="Q436" t="n">
        <v>0</v>
      </c>
      <c r="R436" s="2" t="inlineStr"/>
    </row>
    <row r="437" ht="15" customHeight="1">
      <c r="A437" t="inlineStr">
        <is>
          <t>A 10559-2024</t>
        </is>
      </c>
      <c r="B437" s="1" t="n">
        <v>45366</v>
      </c>
      <c r="C437" s="1" t="n">
        <v>46141</v>
      </c>
      <c r="D437" t="inlineStr">
        <is>
          <t>VÄSTMANLANDS LÄN</t>
        </is>
      </c>
      <c r="E437" t="inlineStr">
        <is>
          <t>SALA</t>
        </is>
      </c>
      <c r="G437" t="n">
        <v>0.3</v>
      </c>
      <c r="H437" t="n">
        <v>0</v>
      </c>
      <c r="I437" t="n">
        <v>0</v>
      </c>
      <c r="J437" t="n">
        <v>0</v>
      </c>
      <c r="K437" t="n">
        <v>0</v>
      </c>
      <c r="L437" t="n">
        <v>0</v>
      </c>
      <c r="M437" t="n">
        <v>0</v>
      </c>
      <c r="N437" t="n">
        <v>0</v>
      </c>
      <c r="O437" t="n">
        <v>0</v>
      </c>
      <c r="P437" t="n">
        <v>0</v>
      </c>
      <c r="Q437" t="n">
        <v>0</v>
      </c>
      <c r="R437" s="2" t="inlineStr"/>
    </row>
    <row r="438" ht="15" customHeight="1">
      <c r="A438" t="inlineStr">
        <is>
          <t>A 37337-2024</t>
        </is>
      </c>
      <c r="B438" s="1" t="n">
        <v>45540</v>
      </c>
      <c r="C438" s="1" t="n">
        <v>46141</v>
      </c>
      <c r="D438" t="inlineStr">
        <is>
          <t>VÄSTMANLANDS LÄN</t>
        </is>
      </c>
      <c r="E438" t="inlineStr">
        <is>
          <t>SALA</t>
        </is>
      </c>
      <c r="G438" t="n">
        <v>6.5</v>
      </c>
      <c r="H438" t="n">
        <v>0</v>
      </c>
      <c r="I438" t="n">
        <v>0</v>
      </c>
      <c r="J438" t="n">
        <v>0</v>
      </c>
      <c r="K438" t="n">
        <v>0</v>
      </c>
      <c r="L438" t="n">
        <v>0</v>
      </c>
      <c r="M438" t="n">
        <v>0</v>
      </c>
      <c r="N438" t="n">
        <v>0</v>
      </c>
      <c r="O438" t="n">
        <v>0</v>
      </c>
      <c r="P438" t="n">
        <v>0</v>
      </c>
      <c r="Q438" t="n">
        <v>0</v>
      </c>
      <c r="R438" s="2" t="inlineStr"/>
    </row>
    <row r="439" ht="15" customHeight="1">
      <c r="A439" t="inlineStr">
        <is>
          <t>A 40214-2023</t>
        </is>
      </c>
      <c r="B439" s="1" t="n">
        <v>45169.45173611111</v>
      </c>
      <c r="C439" s="1" t="n">
        <v>46141</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17120-2023</t>
        </is>
      </c>
      <c r="B440" s="1" t="n">
        <v>45034</v>
      </c>
      <c r="C440" s="1" t="n">
        <v>46141</v>
      </c>
      <c r="D440" t="inlineStr">
        <is>
          <t>VÄSTMANLANDS LÄN</t>
        </is>
      </c>
      <c r="E440" t="inlineStr">
        <is>
          <t>SALA</t>
        </is>
      </c>
      <c r="G440" t="n">
        <v>0.1</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46141</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18100-2023</t>
        </is>
      </c>
      <c r="B442" s="1" t="n">
        <v>45040</v>
      </c>
      <c r="C442" s="1" t="n">
        <v>46141</v>
      </c>
      <c r="D442" t="inlineStr">
        <is>
          <t>VÄSTMANLANDS LÄN</t>
        </is>
      </c>
      <c r="E442" t="inlineStr">
        <is>
          <t>SALA</t>
        </is>
      </c>
      <c r="G442" t="n">
        <v>1.8</v>
      </c>
      <c r="H442" t="n">
        <v>0</v>
      </c>
      <c r="I442" t="n">
        <v>0</v>
      </c>
      <c r="J442" t="n">
        <v>0</v>
      </c>
      <c r="K442" t="n">
        <v>0</v>
      </c>
      <c r="L442" t="n">
        <v>0</v>
      </c>
      <c r="M442" t="n">
        <v>0</v>
      </c>
      <c r="N442" t="n">
        <v>0</v>
      </c>
      <c r="O442" t="n">
        <v>0</v>
      </c>
      <c r="P442" t="n">
        <v>0</v>
      </c>
      <c r="Q442" t="n">
        <v>0</v>
      </c>
      <c r="R442" s="2" t="inlineStr"/>
    </row>
    <row r="443" ht="15" customHeight="1">
      <c r="A443" t="inlineStr">
        <is>
          <t>A 34494-2023</t>
        </is>
      </c>
      <c r="B443" s="1" t="n">
        <v>45133</v>
      </c>
      <c r="C443" s="1" t="n">
        <v>46141</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48057-2025</t>
        </is>
      </c>
      <c r="B444" s="1" t="n">
        <v>45932.67947916667</v>
      </c>
      <c r="C444" s="1" t="n">
        <v>46141</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23374-2023</t>
        </is>
      </c>
      <c r="B445" s="1" t="n">
        <v>45076.4399537037</v>
      </c>
      <c r="C445" s="1" t="n">
        <v>46141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46141</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9335-2022</t>
        </is>
      </c>
      <c r="B447" s="1" t="n">
        <v>44616.56579861111</v>
      </c>
      <c r="C447" s="1" t="n">
        <v>46141</v>
      </c>
      <c r="D447" t="inlineStr">
        <is>
          <t>VÄSTMANLANDS LÄN</t>
        </is>
      </c>
      <c r="E447" t="inlineStr">
        <is>
          <t>SALA</t>
        </is>
      </c>
      <c r="G447" t="n">
        <v>1.5</v>
      </c>
      <c r="H447" t="n">
        <v>0</v>
      </c>
      <c r="I447" t="n">
        <v>0</v>
      </c>
      <c r="J447" t="n">
        <v>0</v>
      </c>
      <c r="K447" t="n">
        <v>0</v>
      </c>
      <c r="L447" t="n">
        <v>0</v>
      </c>
      <c r="M447" t="n">
        <v>0</v>
      </c>
      <c r="N447" t="n">
        <v>0</v>
      </c>
      <c r="O447" t="n">
        <v>0</v>
      </c>
      <c r="P447" t="n">
        <v>0</v>
      </c>
      <c r="Q447" t="n">
        <v>0</v>
      </c>
      <c r="R447" s="2" t="inlineStr"/>
    </row>
    <row r="448" ht="15" customHeight="1">
      <c r="A448" t="inlineStr">
        <is>
          <t>A 48710-2025</t>
        </is>
      </c>
      <c r="B448" s="1" t="n">
        <v>45936.63184027778</v>
      </c>
      <c r="C448" s="1" t="n">
        <v>46141</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45313-2024</t>
        </is>
      </c>
      <c r="B449" s="1" t="n">
        <v>45576</v>
      </c>
      <c r="C449" s="1" t="n">
        <v>46141</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6134-2024</t>
        </is>
      </c>
      <c r="B450" s="1" t="n">
        <v>45337</v>
      </c>
      <c r="C450" s="1" t="n">
        <v>46141</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48117-2024</t>
        </is>
      </c>
      <c r="B451" s="1" t="n">
        <v>45589</v>
      </c>
      <c r="C451" s="1" t="n">
        <v>46141</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23119-2022</t>
        </is>
      </c>
      <c r="B452" s="1" t="n">
        <v>44719.56697916667</v>
      </c>
      <c r="C452" s="1" t="n">
        <v>46141</v>
      </c>
      <c r="D452" t="inlineStr">
        <is>
          <t>VÄSTMANLANDS LÄN</t>
        </is>
      </c>
      <c r="E452" t="inlineStr">
        <is>
          <t>SALA</t>
        </is>
      </c>
      <c r="G452" t="n">
        <v>7</v>
      </c>
      <c r="H452" t="n">
        <v>0</v>
      </c>
      <c r="I452" t="n">
        <v>0</v>
      </c>
      <c r="J452" t="n">
        <v>0</v>
      </c>
      <c r="K452" t="n">
        <v>0</v>
      </c>
      <c r="L452" t="n">
        <v>0</v>
      </c>
      <c r="M452" t="n">
        <v>0</v>
      </c>
      <c r="N452" t="n">
        <v>0</v>
      </c>
      <c r="O452" t="n">
        <v>0</v>
      </c>
      <c r="P452" t="n">
        <v>0</v>
      </c>
      <c r="Q452" t="n">
        <v>0</v>
      </c>
      <c r="R452" s="2" t="inlineStr"/>
    </row>
    <row r="453" ht="15" customHeight="1">
      <c r="A453" t="inlineStr">
        <is>
          <t>A 48910-2025</t>
        </is>
      </c>
      <c r="B453" s="1" t="n">
        <v>45937.48649305556</v>
      </c>
      <c r="C453" s="1" t="n">
        <v>46141</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31082-2021</t>
        </is>
      </c>
      <c r="B454" s="1" t="n">
        <v>44368</v>
      </c>
      <c r="C454" s="1" t="n">
        <v>46141</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49585-2025</t>
        </is>
      </c>
      <c r="B455" s="1" t="n">
        <v>45939.5043287037</v>
      </c>
      <c r="C455" s="1" t="n">
        <v>46141</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1196-2023</t>
        </is>
      </c>
      <c r="B456" s="1" t="n">
        <v>44935.82290509259</v>
      </c>
      <c r="C456" s="1" t="n">
        <v>46141</v>
      </c>
      <c r="D456" t="inlineStr">
        <is>
          <t>VÄSTMANLANDS LÄN</t>
        </is>
      </c>
      <c r="E456" t="inlineStr">
        <is>
          <t>SALA</t>
        </is>
      </c>
      <c r="G456" t="n">
        <v>4.1</v>
      </c>
      <c r="H456" t="n">
        <v>0</v>
      </c>
      <c r="I456" t="n">
        <v>0</v>
      </c>
      <c r="J456" t="n">
        <v>0</v>
      </c>
      <c r="K456" t="n">
        <v>0</v>
      </c>
      <c r="L456" t="n">
        <v>0</v>
      </c>
      <c r="M456" t="n">
        <v>0</v>
      </c>
      <c r="N456" t="n">
        <v>0</v>
      </c>
      <c r="O456" t="n">
        <v>0</v>
      </c>
      <c r="P456" t="n">
        <v>0</v>
      </c>
      <c r="Q456" t="n">
        <v>0</v>
      </c>
      <c r="R456" s="2" t="inlineStr"/>
    </row>
    <row r="457" ht="15" customHeight="1">
      <c r="A457" t="inlineStr">
        <is>
          <t>A 31470-2021</t>
        </is>
      </c>
      <c r="B457" s="1" t="n">
        <v>44369</v>
      </c>
      <c r="C457" s="1" t="n">
        <v>46141</v>
      </c>
      <c r="D457" t="inlineStr">
        <is>
          <t>VÄSTMANLANDS LÄN</t>
        </is>
      </c>
      <c r="E457" t="inlineStr">
        <is>
          <t>SALA</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24175-2024</t>
        </is>
      </c>
      <c r="B458" s="1" t="n">
        <v>45456</v>
      </c>
      <c r="C458" s="1" t="n">
        <v>46141</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28328-2023</t>
        </is>
      </c>
      <c r="B459" s="1" t="n">
        <v>45099.71063657408</v>
      </c>
      <c r="C459" s="1" t="n">
        <v>46141</v>
      </c>
      <c r="D459" t="inlineStr">
        <is>
          <t>VÄSTMANLANDS LÄN</t>
        </is>
      </c>
      <c r="E459" t="inlineStr">
        <is>
          <t>SALA</t>
        </is>
      </c>
      <c r="G459" t="n">
        <v>1.8</v>
      </c>
      <c r="H459" t="n">
        <v>0</v>
      </c>
      <c r="I459" t="n">
        <v>0</v>
      </c>
      <c r="J459" t="n">
        <v>0</v>
      </c>
      <c r="K459" t="n">
        <v>0</v>
      </c>
      <c r="L459" t="n">
        <v>0</v>
      </c>
      <c r="M459" t="n">
        <v>0</v>
      </c>
      <c r="N459" t="n">
        <v>0</v>
      </c>
      <c r="O459" t="n">
        <v>0</v>
      </c>
      <c r="P459" t="n">
        <v>0</v>
      </c>
      <c r="Q459" t="n">
        <v>0</v>
      </c>
      <c r="R459" s="2" t="inlineStr"/>
    </row>
    <row r="460" ht="15" customHeight="1">
      <c r="A460" t="inlineStr">
        <is>
          <t>A 52503-2024</t>
        </is>
      </c>
      <c r="B460" s="1" t="n">
        <v>45609.58806712963</v>
      </c>
      <c r="C460" s="1" t="n">
        <v>46141</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49640-2025</t>
        </is>
      </c>
      <c r="B461" s="1" t="n">
        <v>45939.61459490741</v>
      </c>
      <c r="C461" s="1" t="n">
        <v>46141</v>
      </c>
      <c r="D461" t="inlineStr">
        <is>
          <t>VÄSTMANLANDS LÄN</t>
        </is>
      </c>
      <c r="E461" t="inlineStr">
        <is>
          <t>SALA</t>
        </is>
      </c>
      <c r="F461" t="inlineStr">
        <is>
          <t>Kommuner</t>
        </is>
      </c>
      <c r="G461" t="n">
        <v>18.8</v>
      </c>
      <c r="H461" t="n">
        <v>0</v>
      </c>
      <c r="I461" t="n">
        <v>0</v>
      </c>
      <c r="J461" t="n">
        <v>0</v>
      </c>
      <c r="K461" t="n">
        <v>0</v>
      </c>
      <c r="L461" t="n">
        <v>0</v>
      </c>
      <c r="M461" t="n">
        <v>0</v>
      </c>
      <c r="N461" t="n">
        <v>0</v>
      </c>
      <c r="O461" t="n">
        <v>0</v>
      </c>
      <c r="P461" t="n">
        <v>0</v>
      </c>
      <c r="Q461" t="n">
        <v>0</v>
      </c>
      <c r="R461" s="2" t="inlineStr"/>
    </row>
    <row r="462" ht="15" customHeight="1">
      <c r="A462" t="inlineStr">
        <is>
          <t>A 61715-2024</t>
        </is>
      </c>
      <c r="B462" s="1" t="n">
        <v>45648.89519675926</v>
      </c>
      <c r="C462" s="1" t="n">
        <v>46141</v>
      </c>
      <c r="D462" t="inlineStr">
        <is>
          <t>VÄSTMANLANDS LÄN</t>
        </is>
      </c>
      <c r="E462" t="inlineStr">
        <is>
          <t>SALA</t>
        </is>
      </c>
      <c r="G462" t="n">
        <v>2.5</v>
      </c>
      <c r="H462" t="n">
        <v>0</v>
      </c>
      <c r="I462" t="n">
        <v>0</v>
      </c>
      <c r="J462" t="n">
        <v>0</v>
      </c>
      <c r="K462" t="n">
        <v>0</v>
      </c>
      <c r="L462" t="n">
        <v>0</v>
      </c>
      <c r="M462" t="n">
        <v>0</v>
      </c>
      <c r="N462" t="n">
        <v>0</v>
      </c>
      <c r="O462" t="n">
        <v>0</v>
      </c>
      <c r="P462" t="n">
        <v>0</v>
      </c>
      <c r="Q462" t="n">
        <v>0</v>
      </c>
      <c r="R462" s="2" t="inlineStr"/>
    </row>
    <row r="463" ht="15" customHeight="1">
      <c r="A463" t="inlineStr">
        <is>
          <t>A 38195-2021</t>
        </is>
      </c>
      <c r="B463" s="1" t="n">
        <v>44405</v>
      </c>
      <c r="C463" s="1" t="n">
        <v>46141</v>
      </c>
      <c r="D463" t="inlineStr">
        <is>
          <t>VÄSTMANLANDS LÄN</t>
        </is>
      </c>
      <c r="E463" t="inlineStr">
        <is>
          <t>SALA</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6132-2025</t>
        </is>
      </c>
      <c r="B464" s="1" t="n">
        <v>45698</v>
      </c>
      <c r="C464" s="1" t="n">
        <v>46141</v>
      </c>
      <c r="D464" t="inlineStr">
        <is>
          <t>VÄSTMANLANDS LÄN</t>
        </is>
      </c>
      <c r="E464" t="inlineStr">
        <is>
          <t>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21777-2022</t>
        </is>
      </c>
      <c r="B465" s="1" t="n">
        <v>44708.48194444444</v>
      </c>
      <c r="C465" s="1" t="n">
        <v>46141</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7953-2024</t>
        </is>
      </c>
      <c r="B466" s="1" t="n">
        <v>45350</v>
      </c>
      <c r="C466" s="1" t="n">
        <v>46141</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50128-2025</t>
        </is>
      </c>
      <c r="B467" s="1" t="n">
        <v>45943.55318287037</v>
      </c>
      <c r="C467" s="1" t="n">
        <v>46141</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30028-2024</t>
        </is>
      </c>
      <c r="B468" s="1" t="n">
        <v>45485</v>
      </c>
      <c r="C468" s="1" t="n">
        <v>46141</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7950-2025</t>
        </is>
      </c>
      <c r="B469" s="1" t="n">
        <v>45707.41799768519</v>
      </c>
      <c r="C469" s="1" t="n">
        <v>46141</v>
      </c>
      <c r="D469" t="inlineStr">
        <is>
          <t>VÄSTMANLANDS LÄN</t>
        </is>
      </c>
      <c r="E469" t="inlineStr">
        <is>
          <t>SALA</t>
        </is>
      </c>
      <c r="G469" t="n">
        <v>3.2</v>
      </c>
      <c r="H469" t="n">
        <v>0</v>
      </c>
      <c r="I469" t="n">
        <v>0</v>
      </c>
      <c r="J469" t="n">
        <v>0</v>
      </c>
      <c r="K469" t="n">
        <v>0</v>
      </c>
      <c r="L469" t="n">
        <v>0</v>
      </c>
      <c r="M469" t="n">
        <v>0</v>
      </c>
      <c r="N469" t="n">
        <v>0</v>
      </c>
      <c r="O469" t="n">
        <v>0</v>
      </c>
      <c r="P469" t="n">
        <v>0</v>
      </c>
      <c r="Q469" t="n">
        <v>0</v>
      </c>
      <c r="R469" s="2" t="inlineStr"/>
    </row>
    <row r="470" ht="15" customHeight="1">
      <c r="A470" t="inlineStr">
        <is>
          <t>A 50119-2025</t>
        </is>
      </c>
      <c r="B470" s="1" t="n">
        <v>45943.54883101852</v>
      </c>
      <c r="C470" s="1" t="n">
        <v>46141</v>
      </c>
      <c r="D470" t="inlineStr">
        <is>
          <t>VÄSTMANLANDS LÄN</t>
        </is>
      </c>
      <c r="E470" t="inlineStr">
        <is>
          <t>SALA</t>
        </is>
      </c>
      <c r="G470" t="n">
        <v>3.3</v>
      </c>
      <c r="H470" t="n">
        <v>0</v>
      </c>
      <c r="I470" t="n">
        <v>0</v>
      </c>
      <c r="J470" t="n">
        <v>0</v>
      </c>
      <c r="K470" t="n">
        <v>0</v>
      </c>
      <c r="L470" t="n">
        <v>0</v>
      </c>
      <c r="M470" t="n">
        <v>0</v>
      </c>
      <c r="N470" t="n">
        <v>0</v>
      </c>
      <c r="O470" t="n">
        <v>0</v>
      </c>
      <c r="P470" t="n">
        <v>0</v>
      </c>
      <c r="Q470" t="n">
        <v>0</v>
      </c>
      <c r="R470" s="2" t="inlineStr"/>
    </row>
    <row r="471" ht="15" customHeight="1">
      <c r="A471" t="inlineStr">
        <is>
          <t>A 11389-2024</t>
        </is>
      </c>
      <c r="B471" s="1" t="n">
        <v>45372.45016203704</v>
      </c>
      <c r="C471" s="1" t="n">
        <v>46141</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50059-2025</t>
        </is>
      </c>
      <c r="B472" s="1" t="n">
        <v>45943.44125</v>
      </c>
      <c r="C472" s="1" t="n">
        <v>46141</v>
      </c>
      <c r="D472" t="inlineStr">
        <is>
          <t>VÄSTMANLANDS LÄN</t>
        </is>
      </c>
      <c r="E472" t="inlineStr">
        <is>
          <t>SALA</t>
        </is>
      </c>
      <c r="G472" t="n">
        <v>4.4</v>
      </c>
      <c r="H472" t="n">
        <v>0</v>
      </c>
      <c r="I472" t="n">
        <v>0</v>
      </c>
      <c r="J472" t="n">
        <v>0</v>
      </c>
      <c r="K472" t="n">
        <v>0</v>
      </c>
      <c r="L472" t="n">
        <v>0</v>
      </c>
      <c r="M472" t="n">
        <v>0</v>
      </c>
      <c r="N472" t="n">
        <v>0</v>
      </c>
      <c r="O472" t="n">
        <v>0</v>
      </c>
      <c r="P472" t="n">
        <v>0</v>
      </c>
      <c r="Q472" t="n">
        <v>0</v>
      </c>
      <c r="R472" s="2" t="inlineStr"/>
    </row>
    <row r="473" ht="15" customHeight="1">
      <c r="A473" t="inlineStr">
        <is>
          <t>A 27657-2023</t>
        </is>
      </c>
      <c r="B473" s="1" t="n">
        <v>45097.76631944445</v>
      </c>
      <c r="C473" s="1" t="n">
        <v>46141</v>
      </c>
      <c r="D473" t="inlineStr">
        <is>
          <t>VÄSTMANLANDS LÄN</t>
        </is>
      </c>
      <c r="E473" t="inlineStr">
        <is>
          <t>SALA</t>
        </is>
      </c>
      <c r="G473" t="n">
        <v>0.1</v>
      </c>
      <c r="H473" t="n">
        <v>0</v>
      </c>
      <c r="I473" t="n">
        <v>0</v>
      </c>
      <c r="J473" t="n">
        <v>0</v>
      </c>
      <c r="K473" t="n">
        <v>0</v>
      </c>
      <c r="L473" t="n">
        <v>0</v>
      </c>
      <c r="M473" t="n">
        <v>0</v>
      </c>
      <c r="N473" t="n">
        <v>0</v>
      </c>
      <c r="O473" t="n">
        <v>0</v>
      </c>
      <c r="P473" t="n">
        <v>0</v>
      </c>
      <c r="Q473" t="n">
        <v>0</v>
      </c>
      <c r="R473" s="2" t="inlineStr"/>
    </row>
    <row r="474" ht="15" customHeight="1">
      <c r="A474" t="inlineStr">
        <is>
          <t>A 50249-2025</t>
        </is>
      </c>
      <c r="B474" s="1" t="n">
        <v>45944.31508101852</v>
      </c>
      <c r="C474" s="1" t="n">
        <v>46141</v>
      </c>
      <c r="D474" t="inlineStr">
        <is>
          <t>VÄSTMANLANDS LÄN</t>
        </is>
      </c>
      <c r="E474" t="inlineStr">
        <is>
          <t>SALA</t>
        </is>
      </c>
      <c r="G474" t="n">
        <v>2.3</v>
      </c>
      <c r="H474" t="n">
        <v>0</v>
      </c>
      <c r="I474" t="n">
        <v>0</v>
      </c>
      <c r="J474" t="n">
        <v>0</v>
      </c>
      <c r="K474" t="n">
        <v>0</v>
      </c>
      <c r="L474" t="n">
        <v>0</v>
      </c>
      <c r="M474" t="n">
        <v>0</v>
      </c>
      <c r="N474" t="n">
        <v>0</v>
      </c>
      <c r="O474" t="n">
        <v>0</v>
      </c>
      <c r="P474" t="n">
        <v>0</v>
      </c>
      <c r="Q474" t="n">
        <v>0</v>
      </c>
      <c r="R474" s="2" t="inlineStr"/>
    </row>
    <row r="475" ht="15" customHeight="1">
      <c r="A475" t="inlineStr">
        <is>
          <t>A 13855-2023</t>
        </is>
      </c>
      <c r="B475" s="1" t="n">
        <v>45007</v>
      </c>
      <c r="C475" s="1" t="n">
        <v>46141</v>
      </c>
      <c r="D475" t="inlineStr">
        <is>
          <t>VÄSTMANLANDS LÄN</t>
        </is>
      </c>
      <c r="E475" t="inlineStr">
        <is>
          <t>SALA</t>
        </is>
      </c>
      <c r="G475" t="n">
        <v>2.9</v>
      </c>
      <c r="H475" t="n">
        <v>0</v>
      </c>
      <c r="I475" t="n">
        <v>0</v>
      </c>
      <c r="J475" t="n">
        <v>0</v>
      </c>
      <c r="K475" t="n">
        <v>0</v>
      </c>
      <c r="L475" t="n">
        <v>0</v>
      </c>
      <c r="M475" t="n">
        <v>0</v>
      </c>
      <c r="N475" t="n">
        <v>0</v>
      </c>
      <c r="O475" t="n">
        <v>0</v>
      </c>
      <c r="P475" t="n">
        <v>0</v>
      </c>
      <c r="Q475" t="n">
        <v>0</v>
      </c>
      <c r="R475" s="2" t="inlineStr"/>
    </row>
    <row r="476" ht="15" customHeight="1">
      <c r="A476" t="inlineStr">
        <is>
          <t>A 2925-2024</t>
        </is>
      </c>
      <c r="B476" s="1" t="n">
        <v>45315.58909722222</v>
      </c>
      <c r="C476" s="1" t="n">
        <v>46141</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33309-2022</t>
        </is>
      </c>
      <c r="B477" s="1" t="n">
        <v>44788.40986111111</v>
      </c>
      <c r="C477" s="1" t="n">
        <v>46141</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47909-2022</t>
        </is>
      </c>
      <c r="B478" s="1" t="n">
        <v>44855</v>
      </c>
      <c r="C478" s="1" t="n">
        <v>46141</v>
      </c>
      <c r="D478" t="inlineStr">
        <is>
          <t>VÄSTMANLANDS LÄN</t>
        </is>
      </c>
      <c r="E478" t="inlineStr">
        <is>
          <t>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39439-2021</t>
        </is>
      </c>
      <c r="B479" s="1" t="n">
        <v>44414</v>
      </c>
      <c r="C479" s="1" t="n">
        <v>46141</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7176-2023</t>
        </is>
      </c>
      <c r="B480" s="1" t="n">
        <v>44970</v>
      </c>
      <c r="C480" s="1" t="n">
        <v>46141</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3332-2024</t>
        </is>
      </c>
      <c r="B481" s="1" t="n">
        <v>45317</v>
      </c>
      <c r="C481" s="1" t="n">
        <v>46141</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15272-2025</t>
        </is>
      </c>
      <c r="B482" s="1" t="n">
        <v>45744</v>
      </c>
      <c r="C482" s="1" t="n">
        <v>46141</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2529-2022</t>
        </is>
      </c>
      <c r="B483" s="1" t="n">
        <v>44579.86452546297</v>
      </c>
      <c r="C483" s="1" t="n">
        <v>46141</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11183-2023</t>
        </is>
      </c>
      <c r="B484" s="1" t="n">
        <v>44992.57782407408</v>
      </c>
      <c r="C484" s="1" t="n">
        <v>46141</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11190-2023</t>
        </is>
      </c>
      <c r="B485" s="1" t="n">
        <v>44992</v>
      </c>
      <c r="C485" s="1" t="n">
        <v>46141</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51764-2025</t>
        </is>
      </c>
      <c r="B486" s="1" t="n">
        <v>45951.63636574074</v>
      </c>
      <c r="C486" s="1" t="n">
        <v>46141</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13471-2025</t>
        </is>
      </c>
      <c r="B487" s="1" t="n">
        <v>45736.40579861111</v>
      </c>
      <c r="C487" s="1" t="n">
        <v>46141</v>
      </c>
      <c r="D487" t="inlineStr">
        <is>
          <t>VÄSTMANLANDS LÄN</t>
        </is>
      </c>
      <c r="E487" t="inlineStr">
        <is>
          <t>SALA</t>
        </is>
      </c>
      <c r="G487" t="n">
        <v>1.1</v>
      </c>
      <c r="H487" t="n">
        <v>0</v>
      </c>
      <c r="I487" t="n">
        <v>0</v>
      </c>
      <c r="J487" t="n">
        <v>0</v>
      </c>
      <c r="K487" t="n">
        <v>0</v>
      </c>
      <c r="L487" t="n">
        <v>0</v>
      </c>
      <c r="M487" t="n">
        <v>0</v>
      </c>
      <c r="N487" t="n">
        <v>0</v>
      </c>
      <c r="O487" t="n">
        <v>0</v>
      </c>
      <c r="P487" t="n">
        <v>0</v>
      </c>
      <c r="Q487" t="n">
        <v>0</v>
      </c>
      <c r="R487" s="2" t="inlineStr"/>
    </row>
    <row r="488" ht="15" customHeight="1">
      <c r="A488" t="inlineStr">
        <is>
          <t>A 15681-2025</t>
        </is>
      </c>
      <c r="B488" s="1" t="n">
        <v>45748.45454861111</v>
      </c>
      <c r="C488" s="1" t="n">
        <v>46141</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53838-2022</t>
        </is>
      </c>
      <c r="B489" s="1" t="n">
        <v>44880.59363425926</v>
      </c>
      <c r="C489" s="1" t="n">
        <v>46141</v>
      </c>
      <c r="D489" t="inlineStr">
        <is>
          <t>VÄSTMANLANDS LÄN</t>
        </is>
      </c>
      <c r="E489" t="inlineStr">
        <is>
          <t>SALA</t>
        </is>
      </c>
      <c r="G489" t="n">
        <v>3.9</v>
      </c>
      <c r="H489" t="n">
        <v>0</v>
      </c>
      <c r="I489" t="n">
        <v>0</v>
      </c>
      <c r="J489" t="n">
        <v>0</v>
      </c>
      <c r="K489" t="n">
        <v>0</v>
      </c>
      <c r="L489" t="n">
        <v>0</v>
      </c>
      <c r="M489" t="n">
        <v>0</v>
      </c>
      <c r="N489" t="n">
        <v>0</v>
      </c>
      <c r="O489" t="n">
        <v>0</v>
      </c>
      <c r="P489" t="n">
        <v>0</v>
      </c>
      <c r="Q489" t="n">
        <v>0</v>
      </c>
      <c r="R489" s="2" t="inlineStr"/>
    </row>
    <row r="490" ht="15" customHeight="1">
      <c r="A490" t="inlineStr">
        <is>
          <t>A 43600-2024</t>
        </is>
      </c>
      <c r="B490" s="1" t="n">
        <v>45569</v>
      </c>
      <c r="C490" s="1" t="n">
        <v>46141</v>
      </c>
      <c r="D490" t="inlineStr">
        <is>
          <t>VÄSTMANLANDS LÄN</t>
        </is>
      </c>
      <c r="E490" t="inlineStr">
        <is>
          <t>SALA</t>
        </is>
      </c>
      <c r="G490" t="n">
        <v>0.9</v>
      </c>
      <c r="H490" t="n">
        <v>0</v>
      </c>
      <c r="I490" t="n">
        <v>0</v>
      </c>
      <c r="J490" t="n">
        <v>0</v>
      </c>
      <c r="K490" t="n">
        <v>0</v>
      </c>
      <c r="L490" t="n">
        <v>0</v>
      </c>
      <c r="M490" t="n">
        <v>0</v>
      </c>
      <c r="N490" t="n">
        <v>0</v>
      </c>
      <c r="O490" t="n">
        <v>0</v>
      </c>
      <c r="P490" t="n">
        <v>0</v>
      </c>
      <c r="Q490" t="n">
        <v>0</v>
      </c>
      <c r="R490" s="2" t="inlineStr"/>
    </row>
    <row r="491" ht="15" customHeight="1">
      <c r="A491" t="inlineStr">
        <is>
          <t>A 18431-2023</t>
        </is>
      </c>
      <c r="B491" s="1" t="n">
        <v>45042</v>
      </c>
      <c r="C491" s="1" t="n">
        <v>46141</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51626-2025</t>
        </is>
      </c>
      <c r="B492" s="1" t="n">
        <v>45951.41769675926</v>
      </c>
      <c r="C492" s="1" t="n">
        <v>46141</v>
      </c>
      <c r="D492" t="inlineStr">
        <is>
          <t>VÄSTMANLANDS LÄN</t>
        </is>
      </c>
      <c r="E492" t="inlineStr">
        <is>
          <t>SALA</t>
        </is>
      </c>
      <c r="G492" t="n">
        <v>2.6</v>
      </c>
      <c r="H492" t="n">
        <v>0</v>
      </c>
      <c r="I492" t="n">
        <v>0</v>
      </c>
      <c r="J492" t="n">
        <v>0</v>
      </c>
      <c r="K492" t="n">
        <v>0</v>
      </c>
      <c r="L492" t="n">
        <v>0</v>
      </c>
      <c r="M492" t="n">
        <v>0</v>
      </c>
      <c r="N492" t="n">
        <v>0</v>
      </c>
      <c r="O492" t="n">
        <v>0</v>
      </c>
      <c r="P492" t="n">
        <v>0</v>
      </c>
      <c r="Q492" t="n">
        <v>0</v>
      </c>
      <c r="R492" s="2" t="inlineStr"/>
    </row>
    <row r="493" ht="15" customHeight="1">
      <c r="A493" t="inlineStr">
        <is>
          <t>A 27424-2023</t>
        </is>
      </c>
      <c r="B493" s="1" t="n">
        <v>45097.37690972222</v>
      </c>
      <c r="C493" s="1" t="n">
        <v>46141</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31405-2024</t>
        </is>
      </c>
      <c r="B494" s="1" t="n">
        <v>45505.5490625</v>
      </c>
      <c r="C494" s="1" t="n">
        <v>46141</v>
      </c>
      <c r="D494" t="inlineStr">
        <is>
          <t>VÄSTMANLANDS LÄN</t>
        </is>
      </c>
      <c r="E494" t="inlineStr">
        <is>
          <t>SALA</t>
        </is>
      </c>
      <c r="G494" t="n">
        <v>5.2</v>
      </c>
      <c r="H494" t="n">
        <v>0</v>
      </c>
      <c r="I494" t="n">
        <v>0</v>
      </c>
      <c r="J494" t="n">
        <v>0</v>
      </c>
      <c r="K494" t="n">
        <v>0</v>
      </c>
      <c r="L494" t="n">
        <v>0</v>
      </c>
      <c r="M494" t="n">
        <v>0</v>
      </c>
      <c r="N494" t="n">
        <v>0</v>
      </c>
      <c r="O494" t="n">
        <v>0</v>
      </c>
      <c r="P494" t="n">
        <v>0</v>
      </c>
      <c r="Q494" t="n">
        <v>0</v>
      </c>
      <c r="R494" s="2" t="inlineStr"/>
    </row>
    <row r="495" ht="15" customHeight="1">
      <c r="A495" t="inlineStr">
        <is>
          <t>A 58701-2021</t>
        </is>
      </c>
      <c r="B495" s="1" t="n">
        <v>44489.46454861111</v>
      </c>
      <c r="C495" s="1" t="n">
        <v>46141</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51690-2025</t>
        </is>
      </c>
      <c r="B496" s="1" t="n">
        <v>45951.53462962963</v>
      </c>
      <c r="C496" s="1" t="n">
        <v>46141</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22616-2025</t>
        </is>
      </c>
      <c r="B497" s="1" t="n">
        <v>45789.42752314815</v>
      </c>
      <c r="C497" s="1" t="n">
        <v>46141</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53166-2024</t>
        </is>
      </c>
      <c r="B498" s="1" t="n">
        <v>45611</v>
      </c>
      <c r="C498" s="1" t="n">
        <v>46141</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22353-2025</t>
        </is>
      </c>
      <c r="B499" s="1" t="n">
        <v>45786</v>
      </c>
      <c r="C499" s="1" t="n">
        <v>46141</v>
      </c>
      <c r="D499" t="inlineStr">
        <is>
          <t>VÄSTMANLANDS LÄN</t>
        </is>
      </c>
      <c r="E499" t="inlineStr">
        <is>
          <t>SALA</t>
        </is>
      </c>
      <c r="G499" t="n">
        <v>2.5</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44749.45561342593</v>
      </c>
      <c r="C500" s="1" t="n">
        <v>46141</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11244-2024</t>
        </is>
      </c>
      <c r="B501" s="1" t="n">
        <v>45371</v>
      </c>
      <c r="C501" s="1" t="n">
        <v>46141</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17866-2025</t>
        </is>
      </c>
      <c r="B502" s="1" t="n">
        <v>45758</v>
      </c>
      <c r="C502" s="1" t="n">
        <v>46141</v>
      </c>
      <c r="D502" t="inlineStr">
        <is>
          <t>VÄSTMANLANDS LÄN</t>
        </is>
      </c>
      <c r="E502" t="inlineStr">
        <is>
          <t>SALA</t>
        </is>
      </c>
      <c r="F502" t="inlineStr">
        <is>
          <t>Bergvik skog öst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54836-2024</t>
        </is>
      </c>
      <c r="B503" s="1" t="n">
        <v>45618</v>
      </c>
      <c r="C503" s="1" t="n">
        <v>46141</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12225-2023</t>
        </is>
      </c>
      <c r="B504" s="1" t="n">
        <v>44995</v>
      </c>
      <c r="C504" s="1" t="n">
        <v>46141</v>
      </c>
      <c r="D504" t="inlineStr">
        <is>
          <t>VÄSTMANLANDS LÄN</t>
        </is>
      </c>
      <c r="E504" t="inlineStr">
        <is>
          <t>SALA</t>
        </is>
      </c>
      <c r="G504" t="n">
        <v>0.9</v>
      </c>
      <c r="H504" t="n">
        <v>0</v>
      </c>
      <c r="I504" t="n">
        <v>0</v>
      </c>
      <c r="J504" t="n">
        <v>0</v>
      </c>
      <c r="K504" t="n">
        <v>0</v>
      </c>
      <c r="L504" t="n">
        <v>0</v>
      </c>
      <c r="M504" t="n">
        <v>0</v>
      </c>
      <c r="N504" t="n">
        <v>0</v>
      </c>
      <c r="O504" t="n">
        <v>0</v>
      </c>
      <c r="P504" t="n">
        <v>0</v>
      </c>
      <c r="Q504" t="n">
        <v>0</v>
      </c>
      <c r="R504" s="2" t="inlineStr"/>
    </row>
    <row r="505" ht="15" customHeight="1">
      <c r="A505" t="inlineStr">
        <is>
          <t>A 64729-2023</t>
        </is>
      </c>
      <c r="B505" s="1" t="n">
        <v>45281</v>
      </c>
      <c r="C505" s="1" t="n">
        <v>46141</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51804-2025</t>
        </is>
      </c>
      <c r="B506" s="1" t="n">
        <v>45951.77697916667</v>
      </c>
      <c r="C506" s="1" t="n">
        <v>46141</v>
      </c>
      <c r="D506" t="inlineStr">
        <is>
          <t>VÄSTMANLANDS LÄN</t>
        </is>
      </c>
      <c r="E506" t="inlineStr">
        <is>
          <t>SALA</t>
        </is>
      </c>
      <c r="F506" t="inlineStr">
        <is>
          <t>Kommuner</t>
        </is>
      </c>
      <c r="G506" t="n">
        <v>2</v>
      </c>
      <c r="H506" t="n">
        <v>0</v>
      </c>
      <c r="I506" t="n">
        <v>0</v>
      </c>
      <c r="J506" t="n">
        <v>0</v>
      </c>
      <c r="K506" t="n">
        <v>0</v>
      </c>
      <c r="L506" t="n">
        <v>0</v>
      </c>
      <c r="M506" t="n">
        <v>0</v>
      </c>
      <c r="N506" t="n">
        <v>0</v>
      </c>
      <c r="O506" t="n">
        <v>0</v>
      </c>
      <c r="P506" t="n">
        <v>0</v>
      </c>
      <c r="Q506" t="n">
        <v>0</v>
      </c>
      <c r="R506" s="2" t="inlineStr"/>
    </row>
    <row r="507" ht="15" customHeight="1">
      <c r="A507" t="inlineStr">
        <is>
          <t>A 51808-2025</t>
        </is>
      </c>
      <c r="B507" s="1" t="n">
        <v>45951.79302083333</v>
      </c>
      <c r="C507" s="1" t="n">
        <v>46141</v>
      </c>
      <c r="D507" t="inlineStr">
        <is>
          <t>VÄSTMANLANDS LÄN</t>
        </is>
      </c>
      <c r="E507" t="inlineStr">
        <is>
          <t>SALA</t>
        </is>
      </c>
      <c r="F507" t="inlineStr">
        <is>
          <t>Kommuner</t>
        </is>
      </c>
      <c r="G507" t="n">
        <v>3</v>
      </c>
      <c r="H507" t="n">
        <v>0</v>
      </c>
      <c r="I507" t="n">
        <v>0</v>
      </c>
      <c r="J507" t="n">
        <v>0</v>
      </c>
      <c r="K507" t="n">
        <v>0</v>
      </c>
      <c r="L507" t="n">
        <v>0</v>
      </c>
      <c r="M507" t="n">
        <v>0</v>
      </c>
      <c r="N507" t="n">
        <v>0</v>
      </c>
      <c r="O507" t="n">
        <v>0</v>
      </c>
      <c r="P507" t="n">
        <v>0</v>
      </c>
      <c r="Q507" t="n">
        <v>0</v>
      </c>
      <c r="R507" s="2" t="inlineStr"/>
    </row>
    <row r="508" ht="15" customHeight="1">
      <c r="A508" t="inlineStr">
        <is>
          <t>A 22383-2025</t>
        </is>
      </c>
      <c r="B508" s="1" t="n">
        <v>45786</v>
      </c>
      <c r="C508" s="1" t="n">
        <v>46141</v>
      </c>
      <c r="D508" t="inlineStr">
        <is>
          <t>VÄSTMANLANDS LÄN</t>
        </is>
      </c>
      <c r="E508" t="inlineStr">
        <is>
          <t>SALA</t>
        </is>
      </c>
      <c r="G508" t="n">
        <v>2.2</v>
      </c>
      <c r="H508" t="n">
        <v>0</v>
      </c>
      <c r="I508" t="n">
        <v>0</v>
      </c>
      <c r="J508" t="n">
        <v>0</v>
      </c>
      <c r="K508" t="n">
        <v>0</v>
      </c>
      <c r="L508" t="n">
        <v>0</v>
      </c>
      <c r="M508" t="n">
        <v>0</v>
      </c>
      <c r="N508" t="n">
        <v>0</v>
      </c>
      <c r="O508" t="n">
        <v>0</v>
      </c>
      <c r="P508" t="n">
        <v>0</v>
      </c>
      <c r="Q508" t="n">
        <v>0</v>
      </c>
      <c r="R508" s="2" t="inlineStr"/>
    </row>
    <row r="509" ht="15" customHeight="1">
      <c r="A509" t="inlineStr">
        <is>
          <t>A 10585-2022</t>
        </is>
      </c>
      <c r="B509" s="1" t="n">
        <v>44624</v>
      </c>
      <c r="C509" s="1" t="n">
        <v>46141</v>
      </c>
      <c r="D509" t="inlineStr">
        <is>
          <t>VÄSTMANLANDS LÄN</t>
        </is>
      </c>
      <c r="E509" t="inlineStr">
        <is>
          <t>SALA</t>
        </is>
      </c>
      <c r="G509" t="n">
        <v>2</v>
      </c>
      <c r="H509" t="n">
        <v>0</v>
      </c>
      <c r="I509" t="n">
        <v>0</v>
      </c>
      <c r="J509" t="n">
        <v>0</v>
      </c>
      <c r="K509" t="n">
        <v>0</v>
      </c>
      <c r="L509" t="n">
        <v>0</v>
      </c>
      <c r="M509" t="n">
        <v>0</v>
      </c>
      <c r="N509" t="n">
        <v>0</v>
      </c>
      <c r="O509" t="n">
        <v>0</v>
      </c>
      <c r="P509" t="n">
        <v>0</v>
      </c>
      <c r="Q509" t="n">
        <v>0</v>
      </c>
      <c r="R509" s="2" t="inlineStr"/>
    </row>
    <row r="510" ht="15" customHeight="1">
      <c r="A510" t="inlineStr">
        <is>
          <t>A 51803-2025</t>
        </is>
      </c>
      <c r="B510" s="1" t="n">
        <v>45951.76818287037</v>
      </c>
      <c r="C510" s="1" t="n">
        <v>46141</v>
      </c>
      <c r="D510" t="inlineStr">
        <is>
          <t>VÄSTMANLANDS LÄN</t>
        </is>
      </c>
      <c r="E510" t="inlineStr">
        <is>
          <t>SALA</t>
        </is>
      </c>
      <c r="F510" t="inlineStr">
        <is>
          <t>Kommuner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51805-2025</t>
        </is>
      </c>
      <c r="B511" s="1" t="n">
        <v>45951.78359953704</v>
      </c>
      <c r="C511" s="1" t="n">
        <v>46141</v>
      </c>
      <c r="D511" t="inlineStr">
        <is>
          <t>VÄSTMANLANDS LÄN</t>
        </is>
      </c>
      <c r="E511" t="inlineStr">
        <is>
          <t>SALA</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51809-2025</t>
        </is>
      </c>
      <c r="B512" s="1" t="n">
        <v>45951.80116898148</v>
      </c>
      <c r="C512" s="1" t="n">
        <v>46141</v>
      </c>
      <c r="D512" t="inlineStr">
        <is>
          <t>VÄSTMANLANDS LÄN</t>
        </is>
      </c>
      <c r="E512" t="inlineStr">
        <is>
          <t>SALA</t>
        </is>
      </c>
      <c r="F512" t="inlineStr">
        <is>
          <t>Kommuner</t>
        </is>
      </c>
      <c r="G512" t="n">
        <v>3.5</v>
      </c>
      <c r="H512" t="n">
        <v>0</v>
      </c>
      <c r="I512" t="n">
        <v>0</v>
      </c>
      <c r="J512" t="n">
        <v>0</v>
      </c>
      <c r="K512" t="n">
        <v>0</v>
      </c>
      <c r="L512" t="n">
        <v>0</v>
      </c>
      <c r="M512" t="n">
        <v>0</v>
      </c>
      <c r="N512" t="n">
        <v>0</v>
      </c>
      <c r="O512" t="n">
        <v>0</v>
      </c>
      <c r="P512" t="n">
        <v>0</v>
      </c>
      <c r="Q512" t="n">
        <v>0</v>
      </c>
      <c r="R512" s="2" t="inlineStr"/>
    </row>
    <row r="513" ht="15" customHeight="1">
      <c r="A513" t="inlineStr">
        <is>
          <t>A 22523-2023</t>
        </is>
      </c>
      <c r="B513" s="1" t="n">
        <v>45069</v>
      </c>
      <c r="C513" s="1" t="n">
        <v>46141</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61874-2021</t>
        </is>
      </c>
      <c r="B514" s="1" t="n">
        <v>44502</v>
      </c>
      <c r="C514" s="1" t="n">
        <v>46141</v>
      </c>
      <c r="D514" t="inlineStr">
        <is>
          <t>VÄSTMANLANDS LÄN</t>
        </is>
      </c>
      <c r="E514" t="inlineStr">
        <is>
          <t>SALA</t>
        </is>
      </c>
      <c r="F514" t="inlineStr">
        <is>
          <t>Kyrkan</t>
        </is>
      </c>
      <c r="G514" t="n">
        <v>1.3</v>
      </c>
      <c r="H514" t="n">
        <v>0</v>
      </c>
      <c r="I514" t="n">
        <v>0</v>
      </c>
      <c r="J514" t="n">
        <v>0</v>
      </c>
      <c r="K514" t="n">
        <v>0</v>
      </c>
      <c r="L514" t="n">
        <v>0</v>
      </c>
      <c r="M514" t="n">
        <v>0</v>
      </c>
      <c r="N514" t="n">
        <v>0</v>
      </c>
      <c r="O514" t="n">
        <v>0</v>
      </c>
      <c r="P514" t="n">
        <v>0</v>
      </c>
      <c r="Q514" t="n">
        <v>0</v>
      </c>
      <c r="R514" s="2" t="inlineStr"/>
    </row>
    <row r="515" ht="15" customHeight="1">
      <c r="A515" t="inlineStr">
        <is>
          <t>A 31609-2024</t>
        </is>
      </c>
      <c r="B515" s="1" t="n">
        <v>45506</v>
      </c>
      <c r="C515" s="1" t="n">
        <v>46141</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56057-2023</t>
        </is>
      </c>
      <c r="B516" s="1" t="n">
        <v>45233</v>
      </c>
      <c r="C516" s="1" t="n">
        <v>46141</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62651-2022</t>
        </is>
      </c>
      <c r="B517" s="1" t="n">
        <v>44917</v>
      </c>
      <c r="C517" s="1" t="n">
        <v>46141</v>
      </c>
      <c r="D517" t="inlineStr">
        <is>
          <t>VÄSTMANLANDS LÄN</t>
        </is>
      </c>
      <c r="E517" t="inlineStr">
        <is>
          <t>SALA</t>
        </is>
      </c>
      <c r="G517" t="n">
        <v>0.4</v>
      </c>
      <c r="H517" t="n">
        <v>0</v>
      </c>
      <c r="I517" t="n">
        <v>0</v>
      </c>
      <c r="J517" t="n">
        <v>0</v>
      </c>
      <c r="K517" t="n">
        <v>0</v>
      </c>
      <c r="L517" t="n">
        <v>0</v>
      </c>
      <c r="M517" t="n">
        <v>0</v>
      </c>
      <c r="N517" t="n">
        <v>0</v>
      </c>
      <c r="O517" t="n">
        <v>0</v>
      </c>
      <c r="P517" t="n">
        <v>0</v>
      </c>
      <c r="Q517" t="n">
        <v>0</v>
      </c>
      <c r="R517" s="2" t="inlineStr"/>
    </row>
    <row r="518" ht="15" customHeight="1">
      <c r="A518" t="inlineStr">
        <is>
          <t>A 22624-2025</t>
        </is>
      </c>
      <c r="B518" s="1" t="n">
        <v>45789.43327546296</v>
      </c>
      <c r="C518" s="1" t="n">
        <v>46141</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15968-2024</t>
        </is>
      </c>
      <c r="B519" s="1" t="n">
        <v>45405.56021990741</v>
      </c>
      <c r="C519" s="1" t="n">
        <v>46141</v>
      </c>
      <c r="D519" t="inlineStr">
        <is>
          <t>VÄSTMANLANDS LÄN</t>
        </is>
      </c>
      <c r="E519" t="inlineStr">
        <is>
          <t>SALA</t>
        </is>
      </c>
      <c r="G519" t="n">
        <v>0.7</v>
      </c>
      <c r="H519" t="n">
        <v>0</v>
      </c>
      <c r="I519" t="n">
        <v>0</v>
      </c>
      <c r="J519" t="n">
        <v>0</v>
      </c>
      <c r="K519" t="n">
        <v>0</v>
      </c>
      <c r="L519" t="n">
        <v>0</v>
      </c>
      <c r="M519" t="n">
        <v>0</v>
      </c>
      <c r="N519" t="n">
        <v>0</v>
      </c>
      <c r="O519" t="n">
        <v>0</v>
      </c>
      <c r="P519" t="n">
        <v>0</v>
      </c>
      <c r="Q519" t="n">
        <v>0</v>
      </c>
      <c r="R519" s="2" t="inlineStr"/>
    </row>
    <row r="520" ht="15" customHeight="1">
      <c r="A520" t="inlineStr">
        <is>
          <t>A 60730-2023</t>
        </is>
      </c>
      <c r="B520" s="1" t="n">
        <v>45260</v>
      </c>
      <c r="C520" s="1" t="n">
        <v>46141</v>
      </c>
      <c r="D520" t="inlineStr">
        <is>
          <t>VÄSTMANLANDS LÄN</t>
        </is>
      </c>
      <c r="E520" t="inlineStr">
        <is>
          <t>SALA</t>
        </is>
      </c>
      <c r="G520" t="n">
        <v>1.3</v>
      </c>
      <c r="H520" t="n">
        <v>0</v>
      </c>
      <c r="I520" t="n">
        <v>0</v>
      </c>
      <c r="J520" t="n">
        <v>0</v>
      </c>
      <c r="K520" t="n">
        <v>0</v>
      </c>
      <c r="L520" t="n">
        <v>0</v>
      </c>
      <c r="M520" t="n">
        <v>0</v>
      </c>
      <c r="N520" t="n">
        <v>0</v>
      </c>
      <c r="O520" t="n">
        <v>0</v>
      </c>
      <c r="P520" t="n">
        <v>0</v>
      </c>
      <c r="Q520" t="n">
        <v>0</v>
      </c>
      <c r="R520" s="2" t="inlineStr"/>
    </row>
    <row r="521" ht="15" customHeight="1">
      <c r="A521" t="inlineStr">
        <is>
          <t>A 60731-2023</t>
        </is>
      </c>
      <c r="B521" s="1" t="n">
        <v>45260</v>
      </c>
      <c r="C521" s="1" t="n">
        <v>46141</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22370-2025</t>
        </is>
      </c>
      <c r="B522" s="1" t="n">
        <v>45786</v>
      </c>
      <c r="C522" s="1" t="n">
        <v>46141</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18461-2024</t>
        </is>
      </c>
      <c r="B523" s="1" t="n">
        <v>45425.47435185185</v>
      </c>
      <c r="C523" s="1" t="n">
        <v>46141</v>
      </c>
      <c r="D523" t="inlineStr">
        <is>
          <t>VÄSTMANLANDS LÄN</t>
        </is>
      </c>
      <c r="E523" t="inlineStr">
        <is>
          <t>SALA</t>
        </is>
      </c>
      <c r="G523" t="n">
        <v>1.7</v>
      </c>
      <c r="H523" t="n">
        <v>0</v>
      </c>
      <c r="I523" t="n">
        <v>0</v>
      </c>
      <c r="J523" t="n">
        <v>0</v>
      </c>
      <c r="K523" t="n">
        <v>0</v>
      </c>
      <c r="L523" t="n">
        <v>0</v>
      </c>
      <c r="M523" t="n">
        <v>0</v>
      </c>
      <c r="N523" t="n">
        <v>0</v>
      </c>
      <c r="O523" t="n">
        <v>0</v>
      </c>
      <c r="P523" t="n">
        <v>0</v>
      </c>
      <c r="Q523" t="n">
        <v>0</v>
      </c>
      <c r="R523" s="2" t="inlineStr"/>
    </row>
    <row r="524" ht="15" customHeight="1">
      <c r="A524" t="inlineStr">
        <is>
          <t>A 4663-2022</t>
        </is>
      </c>
      <c r="B524" s="1" t="n">
        <v>44592.45429398148</v>
      </c>
      <c r="C524" s="1" t="n">
        <v>46141</v>
      </c>
      <c r="D524" t="inlineStr">
        <is>
          <t>VÄSTMANLANDS LÄN</t>
        </is>
      </c>
      <c r="E524" t="inlineStr">
        <is>
          <t>SALA</t>
        </is>
      </c>
      <c r="G524" t="n">
        <v>2.5</v>
      </c>
      <c r="H524" t="n">
        <v>0</v>
      </c>
      <c r="I524" t="n">
        <v>0</v>
      </c>
      <c r="J524" t="n">
        <v>0</v>
      </c>
      <c r="K524" t="n">
        <v>0</v>
      </c>
      <c r="L524" t="n">
        <v>0</v>
      </c>
      <c r="M524" t="n">
        <v>0</v>
      </c>
      <c r="N524" t="n">
        <v>0</v>
      </c>
      <c r="O524" t="n">
        <v>0</v>
      </c>
      <c r="P524" t="n">
        <v>0</v>
      </c>
      <c r="Q524" t="n">
        <v>0</v>
      </c>
      <c r="R524" s="2" t="inlineStr"/>
    </row>
    <row r="525" ht="15" customHeight="1">
      <c r="A525" t="inlineStr">
        <is>
          <t>A 62635-2022</t>
        </is>
      </c>
      <c r="B525" s="1" t="n">
        <v>44917</v>
      </c>
      <c r="C525" s="1" t="n">
        <v>46141</v>
      </c>
      <c r="D525" t="inlineStr">
        <is>
          <t>VÄSTMANLANDS LÄN</t>
        </is>
      </c>
      <c r="E525" t="inlineStr">
        <is>
          <t>SALA</t>
        </is>
      </c>
      <c r="G525" t="n">
        <v>0.4</v>
      </c>
      <c r="H525" t="n">
        <v>0</v>
      </c>
      <c r="I525" t="n">
        <v>0</v>
      </c>
      <c r="J525" t="n">
        <v>0</v>
      </c>
      <c r="K525" t="n">
        <v>0</v>
      </c>
      <c r="L525" t="n">
        <v>0</v>
      </c>
      <c r="M525" t="n">
        <v>0</v>
      </c>
      <c r="N525" t="n">
        <v>0</v>
      </c>
      <c r="O525" t="n">
        <v>0</v>
      </c>
      <c r="P525" t="n">
        <v>0</v>
      </c>
      <c r="Q525" t="n">
        <v>0</v>
      </c>
      <c r="R525" s="2" t="inlineStr"/>
    </row>
    <row r="526" ht="15" customHeight="1">
      <c r="A526" t="inlineStr">
        <is>
          <t>A 4852-2023</t>
        </is>
      </c>
      <c r="B526" s="1" t="n">
        <v>44957.72496527778</v>
      </c>
      <c r="C526" s="1" t="n">
        <v>46141</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39714-2023</t>
        </is>
      </c>
      <c r="B527" s="1" t="n">
        <v>45167.62133101852</v>
      </c>
      <c r="C527" s="1" t="n">
        <v>46141</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13130-2025</t>
        </is>
      </c>
      <c r="B528" s="1" t="n">
        <v>45734</v>
      </c>
      <c r="C528" s="1" t="n">
        <v>46141</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6032-2025</t>
        </is>
      </c>
      <c r="B529" s="1" t="n">
        <v>45695.6371875</v>
      </c>
      <c r="C529" s="1" t="n">
        <v>46141</v>
      </c>
      <c r="D529" t="inlineStr">
        <is>
          <t>VÄSTMANLANDS LÄN</t>
        </is>
      </c>
      <c r="E529" t="inlineStr">
        <is>
          <t>SALA</t>
        </is>
      </c>
      <c r="F529" t="inlineStr">
        <is>
          <t>Bergvik skog öst AB</t>
        </is>
      </c>
      <c r="G529" t="n">
        <v>8.1</v>
      </c>
      <c r="H529" t="n">
        <v>0</v>
      </c>
      <c r="I529" t="n">
        <v>0</v>
      </c>
      <c r="J529" t="n">
        <v>0</v>
      </c>
      <c r="K529" t="n">
        <v>0</v>
      </c>
      <c r="L529" t="n">
        <v>0</v>
      </c>
      <c r="M529" t="n">
        <v>0</v>
      </c>
      <c r="N529" t="n">
        <v>0</v>
      </c>
      <c r="O529" t="n">
        <v>0</v>
      </c>
      <c r="P529" t="n">
        <v>0</v>
      </c>
      <c r="Q529" t="n">
        <v>0</v>
      </c>
      <c r="R529" s="2" t="inlineStr"/>
    </row>
    <row r="530" ht="15" customHeight="1">
      <c r="A530" t="inlineStr">
        <is>
          <t>A 42984-2023</t>
        </is>
      </c>
      <c r="B530" s="1" t="n">
        <v>45179</v>
      </c>
      <c r="C530" s="1" t="n">
        <v>46141</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53725-2025</t>
        </is>
      </c>
      <c r="B531" s="1" t="n">
        <v>45960.63394675926</v>
      </c>
      <c r="C531" s="1" t="n">
        <v>46141</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38636-2024</t>
        </is>
      </c>
      <c r="B532" s="1" t="n">
        <v>45546</v>
      </c>
      <c r="C532" s="1" t="n">
        <v>46141</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53744-2025</t>
        </is>
      </c>
      <c r="B533" s="1" t="n">
        <v>45960.64863425926</v>
      </c>
      <c r="C533" s="1" t="n">
        <v>46141</v>
      </c>
      <c r="D533" t="inlineStr">
        <is>
          <t>VÄSTMANLANDS LÄN</t>
        </is>
      </c>
      <c r="E533" t="inlineStr">
        <is>
          <t>SALA</t>
        </is>
      </c>
      <c r="G533" t="n">
        <v>2</v>
      </c>
      <c r="H533" t="n">
        <v>0</v>
      </c>
      <c r="I533" t="n">
        <v>0</v>
      </c>
      <c r="J533" t="n">
        <v>0</v>
      </c>
      <c r="K533" t="n">
        <v>0</v>
      </c>
      <c r="L533" t="n">
        <v>0</v>
      </c>
      <c r="M533" t="n">
        <v>0</v>
      </c>
      <c r="N533" t="n">
        <v>0</v>
      </c>
      <c r="O533" t="n">
        <v>0</v>
      </c>
      <c r="P533" t="n">
        <v>0</v>
      </c>
      <c r="Q533" t="n">
        <v>0</v>
      </c>
      <c r="R533" s="2" t="inlineStr"/>
    </row>
    <row r="534" ht="15" customHeight="1">
      <c r="A534" t="inlineStr">
        <is>
          <t>A 53724-2025</t>
        </is>
      </c>
      <c r="B534" s="1" t="n">
        <v>45960.63174768518</v>
      </c>
      <c r="C534" s="1" t="n">
        <v>46141</v>
      </c>
      <c r="D534" t="inlineStr">
        <is>
          <t>VÄSTMANLANDS LÄN</t>
        </is>
      </c>
      <c r="E534" t="inlineStr">
        <is>
          <t>SALA</t>
        </is>
      </c>
      <c r="G534" t="n">
        <v>2.8</v>
      </c>
      <c r="H534" t="n">
        <v>0</v>
      </c>
      <c r="I534" t="n">
        <v>0</v>
      </c>
      <c r="J534" t="n">
        <v>0</v>
      </c>
      <c r="K534" t="n">
        <v>0</v>
      </c>
      <c r="L534" t="n">
        <v>0</v>
      </c>
      <c r="M534" t="n">
        <v>0</v>
      </c>
      <c r="N534" t="n">
        <v>0</v>
      </c>
      <c r="O534" t="n">
        <v>0</v>
      </c>
      <c r="P534" t="n">
        <v>0</v>
      </c>
      <c r="Q534" t="n">
        <v>0</v>
      </c>
      <c r="R534" s="2" t="inlineStr"/>
    </row>
    <row r="535" ht="15" customHeight="1">
      <c r="A535" t="inlineStr">
        <is>
          <t>A 2766-2024</t>
        </is>
      </c>
      <c r="B535" s="1" t="n">
        <v>45314.60950231482</v>
      </c>
      <c r="C535" s="1" t="n">
        <v>46141</v>
      </c>
      <c r="D535" t="inlineStr">
        <is>
          <t>VÄSTMANLANDS LÄN</t>
        </is>
      </c>
      <c r="E535" t="inlineStr">
        <is>
          <t>SALA</t>
        </is>
      </c>
      <c r="G535" t="n">
        <v>2.8</v>
      </c>
      <c r="H535" t="n">
        <v>0</v>
      </c>
      <c r="I535" t="n">
        <v>0</v>
      </c>
      <c r="J535" t="n">
        <v>0</v>
      </c>
      <c r="K535" t="n">
        <v>0</v>
      </c>
      <c r="L535" t="n">
        <v>0</v>
      </c>
      <c r="M535" t="n">
        <v>0</v>
      </c>
      <c r="N535" t="n">
        <v>0</v>
      </c>
      <c r="O535" t="n">
        <v>0</v>
      </c>
      <c r="P535" t="n">
        <v>0</v>
      </c>
      <c r="Q535" t="n">
        <v>0</v>
      </c>
      <c r="R535" s="2" t="inlineStr"/>
    </row>
    <row r="536" ht="15" customHeight="1">
      <c r="A536" t="inlineStr">
        <is>
          <t>A 56535-2022</t>
        </is>
      </c>
      <c r="B536" s="1" t="n">
        <v>44893.47173611111</v>
      </c>
      <c r="C536" s="1" t="n">
        <v>46141</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6351-2023</t>
        </is>
      </c>
      <c r="B537" s="1" t="n">
        <v>44965</v>
      </c>
      <c r="C537" s="1" t="n">
        <v>46141</v>
      </c>
      <c r="D537" t="inlineStr">
        <is>
          <t>VÄSTMANLANDS LÄN</t>
        </is>
      </c>
      <c r="E537" t="inlineStr">
        <is>
          <t>SALA</t>
        </is>
      </c>
      <c r="F537" t="inlineStr">
        <is>
          <t>Kommuner</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45187-2024</t>
        </is>
      </c>
      <c r="B538" s="1" t="n">
        <v>45575</v>
      </c>
      <c r="C538" s="1" t="n">
        <v>46141</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54344-2025</t>
        </is>
      </c>
      <c r="B539" s="1" t="n">
        <v>45965.36462962963</v>
      </c>
      <c r="C539" s="1" t="n">
        <v>46141</v>
      </c>
      <c r="D539" t="inlineStr">
        <is>
          <t>VÄSTMANLANDS LÄN</t>
        </is>
      </c>
      <c r="E539" t="inlineStr">
        <is>
          <t>SALA</t>
        </is>
      </c>
      <c r="G539" t="n">
        <v>2</v>
      </c>
      <c r="H539" t="n">
        <v>0</v>
      </c>
      <c r="I539" t="n">
        <v>0</v>
      </c>
      <c r="J539" t="n">
        <v>0</v>
      </c>
      <c r="K539" t="n">
        <v>0</v>
      </c>
      <c r="L539" t="n">
        <v>0</v>
      </c>
      <c r="M539" t="n">
        <v>0</v>
      </c>
      <c r="N539" t="n">
        <v>0</v>
      </c>
      <c r="O539" t="n">
        <v>0</v>
      </c>
      <c r="P539" t="n">
        <v>0</v>
      </c>
      <c r="Q539" t="n">
        <v>0</v>
      </c>
      <c r="R539" s="2" t="inlineStr"/>
    </row>
    <row r="540" ht="15" customHeight="1">
      <c r="A540" t="inlineStr">
        <is>
          <t>A 54590-2025</t>
        </is>
      </c>
      <c r="B540" s="1" t="n">
        <v>45965.74199074074</v>
      </c>
      <c r="C540" s="1" t="n">
        <v>46141</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60550-2024</t>
        </is>
      </c>
      <c r="B541" s="1" t="n">
        <v>45643</v>
      </c>
      <c r="C541" s="1" t="n">
        <v>46141</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54201-2025</t>
        </is>
      </c>
      <c r="B542" s="1" t="n">
        <v>45964.58055555556</v>
      </c>
      <c r="C542" s="1" t="n">
        <v>46141</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33527-2023</t>
        </is>
      </c>
      <c r="B543" s="1" t="n">
        <v>45131</v>
      </c>
      <c r="C543" s="1" t="n">
        <v>46141</v>
      </c>
      <c r="D543" t="inlineStr">
        <is>
          <t>VÄSTMANLANDS LÄN</t>
        </is>
      </c>
      <c r="E543" t="inlineStr">
        <is>
          <t>SALA</t>
        </is>
      </c>
      <c r="G543" t="n">
        <v>1</v>
      </c>
      <c r="H543" t="n">
        <v>0</v>
      </c>
      <c r="I543" t="n">
        <v>0</v>
      </c>
      <c r="J543" t="n">
        <v>0</v>
      </c>
      <c r="K543" t="n">
        <v>0</v>
      </c>
      <c r="L543" t="n">
        <v>0</v>
      </c>
      <c r="M543" t="n">
        <v>0</v>
      </c>
      <c r="N543" t="n">
        <v>0</v>
      </c>
      <c r="O543" t="n">
        <v>0</v>
      </c>
      <c r="P543" t="n">
        <v>0</v>
      </c>
      <c r="Q543" t="n">
        <v>0</v>
      </c>
      <c r="R543" s="2" t="inlineStr"/>
    </row>
    <row r="544" ht="15" customHeight="1">
      <c r="A544" t="inlineStr">
        <is>
          <t>A 7377-2023</t>
        </is>
      </c>
      <c r="B544" s="1" t="n">
        <v>44971</v>
      </c>
      <c r="C544" s="1" t="n">
        <v>46141</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21159-2022</t>
        </is>
      </c>
      <c r="B545" s="1" t="n">
        <v>44704</v>
      </c>
      <c r="C545" s="1" t="n">
        <v>46141</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13746-2025</t>
        </is>
      </c>
      <c r="B546" s="1" t="n">
        <v>45737.40944444444</v>
      </c>
      <c r="C546" s="1" t="n">
        <v>46141</v>
      </c>
      <c r="D546" t="inlineStr">
        <is>
          <t>VÄSTMANLANDS LÄN</t>
        </is>
      </c>
      <c r="E546" t="inlineStr">
        <is>
          <t>SALA</t>
        </is>
      </c>
      <c r="G546" t="n">
        <v>2.1</v>
      </c>
      <c r="H546" t="n">
        <v>0</v>
      </c>
      <c r="I546" t="n">
        <v>0</v>
      </c>
      <c r="J546" t="n">
        <v>0</v>
      </c>
      <c r="K546" t="n">
        <v>0</v>
      </c>
      <c r="L546" t="n">
        <v>0</v>
      </c>
      <c r="M546" t="n">
        <v>0</v>
      </c>
      <c r="N546" t="n">
        <v>0</v>
      </c>
      <c r="O546" t="n">
        <v>0</v>
      </c>
      <c r="P546" t="n">
        <v>0</v>
      </c>
      <c r="Q546" t="n">
        <v>0</v>
      </c>
      <c r="R546" s="2" t="inlineStr"/>
    </row>
    <row r="547" ht="15" customHeight="1">
      <c r="A547" t="inlineStr">
        <is>
          <t>A 54893-2025</t>
        </is>
      </c>
      <c r="B547" s="1" t="n">
        <v>45967.36383101852</v>
      </c>
      <c r="C547" s="1" t="n">
        <v>46141</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29230-2022</t>
        </is>
      </c>
      <c r="B548" s="1" t="n">
        <v>44750</v>
      </c>
      <c r="C548" s="1" t="n">
        <v>46141</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59175-2022</t>
        </is>
      </c>
      <c r="B549" s="1" t="n">
        <v>44904.48502314815</v>
      </c>
      <c r="C549" s="1" t="n">
        <v>46141</v>
      </c>
      <c r="D549" t="inlineStr">
        <is>
          <t>VÄSTMANLANDS LÄN</t>
        </is>
      </c>
      <c r="E549" t="inlineStr">
        <is>
          <t>SALA</t>
        </is>
      </c>
      <c r="G549" t="n">
        <v>2.1</v>
      </c>
      <c r="H549" t="n">
        <v>0</v>
      </c>
      <c r="I549" t="n">
        <v>0</v>
      </c>
      <c r="J549" t="n">
        <v>0</v>
      </c>
      <c r="K549" t="n">
        <v>0</v>
      </c>
      <c r="L549" t="n">
        <v>0</v>
      </c>
      <c r="M549" t="n">
        <v>0</v>
      </c>
      <c r="N549" t="n">
        <v>0</v>
      </c>
      <c r="O549" t="n">
        <v>0</v>
      </c>
      <c r="P549" t="n">
        <v>0</v>
      </c>
      <c r="Q549" t="n">
        <v>0</v>
      </c>
      <c r="R549" s="2" t="inlineStr"/>
    </row>
    <row r="550" ht="15" customHeight="1">
      <c r="A550" t="inlineStr">
        <is>
          <t>A 23804-2025</t>
        </is>
      </c>
      <c r="B550" s="1" t="n">
        <v>45793.55995370371</v>
      </c>
      <c r="C550" s="1" t="n">
        <v>46141</v>
      </c>
      <c r="D550" t="inlineStr">
        <is>
          <t>VÄSTMANLANDS LÄN</t>
        </is>
      </c>
      <c r="E550" t="inlineStr">
        <is>
          <t>SALA</t>
        </is>
      </c>
      <c r="G550" t="n">
        <v>1.9</v>
      </c>
      <c r="H550" t="n">
        <v>0</v>
      </c>
      <c r="I550" t="n">
        <v>0</v>
      </c>
      <c r="J550" t="n">
        <v>0</v>
      </c>
      <c r="K550" t="n">
        <v>0</v>
      </c>
      <c r="L550" t="n">
        <v>0</v>
      </c>
      <c r="M550" t="n">
        <v>0</v>
      </c>
      <c r="N550" t="n">
        <v>0</v>
      </c>
      <c r="O550" t="n">
        <v>0</v>
      </c>
      <c r="P550" t="n">
        <v>0</v>
      </c>
      <c r="Q550" t="n">
        <v>0</v>
      </c>
      <c r="R550" s="2" t="inlineStr"/>
    </row>
    <row r="551" ht="15" customHeight="1">
      <c r="A551" t="inlineStr">
        <is>
          <t>A 19381-2025</t>
        </is>
      </c>
      <c r="B551" s="1" t="n">
        <v>45769</v>
      </c>
      <c r="C551" s="1" t="n">
        <v>46141</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22126-2025</t>
        </is>
      </c>
      <c r="B552" s="1" t="n">
        <v>45785</v>
      </c>
      <c r="C552" s="1" t="n">
        <v>46141</v>
      </c>
      <c r="D552" t="inlineStr">
        <is>
          <t>VÄSTMANLANDS LÄN</t>
        </is>
      </c>
      <c r="E552" t="inlineStr">
        <is>
          <t>SALA</t>
        </is>
      </c>
      <c r="G552" t="n">
        <v>10.6</v>
      </c>
      <c r="H552" t="n">
        <v>0</v>
      </c>
      <c r="I552" t="n">
        <v>0</v>
      </c>
      <c r="J552" t="n">
        <v>0</v>
      </c>
      <c r="K552" t="n">
        <v>0</v>
      </c>
      <c r="L552" t="n">
        <v>0</v>
      </c>
      <c r="M552" t="n">
        <v>0</v>
      </c>
      <c r="N552" t="n">
        <v>0</v>
      </c>
      <c r="O552" t="n">
        <v>0</v>
      </c>
      <c r="P552" t="n">
        <v>0</v>
      </c>
      <c r="Q552" t="n">
        <v>0</v>
      </c>
      <c r="R552" s="2" t="inlineStr"/>
    </row>
    <row r="553" ht="15" customHeight="1">
      <c r="A553" t="inlineStr">
        <is>
          <t>A 42938-2023</t>
        </is>
      </c>
      <c r="B553" s="1" t="n">
        <v>45179</v>
      </c>
      <c r="C553" s="1" t="n">
        <v>46141</v>
      </c>
      <c r="D553" t="inlineStr">
        <is>
          <t>VÄSTMANLANDS LÄN</t>
        </is>
      </c>
      <c r="E553" t="inlineStr">
        <is>
          <t>SALA</t>
        </is>
      </c>
      <c r="G553" t="n">
        <v>10.9</v>
      </c>
      <c r="H553" t="n">
        <v>0</v>
      </c>
      <c r="I553" t="n">
        <v>0</v>
      </c>
      <c r="J553" t="n">
        <v>0</v>
      </c>
      <c r="K553" t="n">
        <v>0</v>
      </c>
      <c r="L553" t="n">
        <v>0</v>
      </c>
      <c r="M553" t="n">
        <v>0</v>
      </c>
      <c r="N553" t="n">
        <v>0</v>
      </c>
      <c r="O553" t="n">
        <v>0</v>
      </c>
      <c r="P553" t="n">
        <v>0</v>
      </c>
      <c r="Q553" t="n">
        <v>0</v>
      </c>
      <c r="R553" s="2" t="inlineStr"/>
    </row>
    <row r="554" ht="15" customHeight="1">
      <c r="A554" t="inlineStr">
        <is>
          <t>A 19297-2025</t>
        </is>
      </c>
      <c r="B554" s="1" t="n">
        <v>45769.56261574074</v>
      </c>
      <c r="C554" s="1" t="n">
        <v>46141</v>
      </c>
      <c r="D554" t="inlineStr">
        <is>
          <t>VÄSTMANLANDS LÄN</t>
        </is>
      </c>
      <c r="E554" t="inlineStr">
        <is>
          <t>SALA</t>
        </is>
      </c>
      <c r="G554" t="n">
        <v>0.8</v>
      </c>
      <c r="H554" t="n">
        <v>0</v>
      </c>
      <c r="I554" t="n">
        <v>0</v>
      </c>
      <c r="J554" t="n">
        <v>0</v>
      </c>
      <c r="K554" t="n">
        <v>0</v>
      </c>
      <c r="L554" t="n">
        <v>0</v>
      </c>
      <c r="M554" t="n">
        <v>0</v>
      </c>
      <c r="N554" t="n">
        <v>0</v>
      </c>
      <c r="O554" t="n">
        <v>0</v>
      </c>
      <c r="P554" t="n">
        <v>0</v>
      </c>
      <c r="Q554" t="n">
        <v>0</v>
      </c>
      <c r="R554" s="2" t="inlineStr"/>
    </row>
    <row r="555" ht="15" customHeight="1">
      <c r="A555" t="inlineStr">
        <is>
          <t>A 19222-2025</t>
        </is>
      </c>
      <c r="B555" s="1" t="n">
        <v>45769</v>
      </c>
      <c r="C555" s="1" t="n">
        <v>46141</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19241-2025</t>
        </is>
      </c>
      <c r="B556" s="1" t="n">
        <v>45769</v>
      </c>
      <c r="C556" s="1" t="n">
        <v>46141</v>
      </c>
      <c r="D556" t="inlineStr">
        <is>
          <t>VÄSTMANLANDS LÄN</t>
        </is>
      </c>
      <c r="E556" t="inlineStr">
        <is>
          <t>SALA</t>
        </is>
      </c>
      <c r="G556" t="n">
        <v>3.6</v>
      </c>
      <c r="H556" t="n">
        <v>0</v>
      </c>
      <c r="I556" t="n">
        <v>0</v>
      </c>
      <c r="J556" t="n">
        <v>0</v>
      </c>
      <c r="K556" t="n">
        <v>0</v>
      </c>
      <c r="L556" t="n">
        <v>0</v>
      </c>
      <c r="M556" t="n">
        <v>0</v>
      </c>
      <c r="N556" t="n">
        <v>0</v>
      </c>
      <c r="O556" t="n">
        <v>0</v>
      </c>
      <c r="P556" t="n">
        <v>0</v>
      </c>
      <c r="Q556" t="n">
        <v>0</v>
      </c>
      <c r="R556" s="2" t="inlineStr"/>
    </row>
    <row r="557" ht="15" customHeight="1">
      <c r="A557" t="inlineStr">
        <is>
          <t>A 23810-2025</t>
        </is>
      </c>
      <c r="B557" s="1" t="n">
        <v>45793.56989583333</v>
      </c>
      <c r="C557" s="1" t="n">
        <v>46141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56688-2024</t>
        </is>
      </c>
      <c r="B558" s="1" t="n">
        <v>45627.66478009259</v>
      </c>
      <c r="C558" s="1" t="n">
        <v>46141</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19033-2025</t>
        </is>
      </c>
      <c r="B559" s="1" t="n">
        <v>45764.65796296296</v>
      </c>
      <c r="C559" s="1" t="n">
        <v>46141</v>
      </c>
      <c r="D559" t="inlineStr">
        <is>
          <t>VÄSTMANLANDS LÄN</t>
        </is>
      </c>
      <c r="E559" t="inlineStr">
        <is>
          <t>SALA</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60823-2024</t>
        </is>
      </c>
      <c r="B560" s="1" t="n">
        <v>45644</v>
      </c>
      <c r="C560" s="1" t="n">
        <v>46141</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16159-2024</t>
        </is>
      </c>
      <c r="B561" s="1" t="n">
        <v>45406</v>
      </c>
      <c r="C561" s="1" t="n">
        <v>46141</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61681-2024</t>
        </is>
      </c>
      <c r="B562" s="1" t="n">
        <v>45647</v>
      </c>
      <c r="C562" s="1" t="n">
        <v>46141</v>
      </c>
      <c r="D562" t="inlineStr">
        <is>
          <t>VÄSTMANLANDS LÄN</t>
        </is>
      </c>
      <c r="E562" t="inlineStr">
        <is>
          <t>SALA</t>
        </is>
      </c>
      <c r="F562" t="inlineStr">
        <is>
          <t>Kommuner</t>
        </is>
      </c>
      <c r="G562" t="n">
        <v>1</v>
      </c>
      <c r="H562" t="n">
        <v>0</v>
      </c>
      <c r="I562" t="n">
        <v>0</v>
      </c>
      <c r="J562" t="n">
        <v>0</v>
      </c>
      <c r="K562" t="n">
        <v>0</v>
      </c>
      <c r="L562" t="n">
        <v>0</v>
      </c>
      <c r="M562" t="n">
        <v>0</v>
      </c>
      <c r="N562" t="n">
        <v>0</v>
      </c>
      <c r="O562" t="n">
        <v>0</v>
      </c>
      <c r="P562" t="n">
        <v>0</v>
      </c>
      <c r="Q562" t="n">
        <v>0</v>
      </c>
      <c r="R562" s="2" t="inlineStr"/>
    </row>
    <row r="563" ht="15" customHeight="1">
      <c r="A563" t="inlineStr">
        <is>
          <t>A 66307-2021</t>
        </is>
      </c>
      <c r="B563" s="1" t="n">
        <v>44518.48670138889</v>
      </c>
      <c r="C563" s="1" t="n">
        <v>46141</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55997-2025</t>
        </is>
      </c>
      <c r="B564" s="1" t="n">
        <v>45973.56833333334</v>
      </c>
      <c r="C564" s="1" t="n">
        <v>46141</v>
      </c>
      <c r="D564" t="inlineStr">
        <is>
          <t>VÄSTMANLANDS LÄN</t>
        </is>
      </c>
      <c r="E564" t="inlineStr">
        <is>
          <t>SALA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27262-2024</t>
        </is>
      </c>
      <c r="B565" s="1" t="n">
        <v>45471</v>
      </c>
      <c r="C565" s="1" t="n">
        <v>46141</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10913-2025</t>
        </is>
      </c>
      <c r="B566" s="1" t="n">
        <v>45722.73423611111</v>
      </c>
      <c r="C566" s="1" t="n">
        <v>46141</v>
      </c>
      <c r="D566" t="inlineStr">
        <is>
          <t>VÄSTMANLANDS LÄN</t>
        </is>
      </c>
      <c r="E566" t="inlineStr">
        <is>
          <t>SALA</t>
        </is>
      </c>
      <c r="G566" t="n">
        <v>7.6</v>
      </c>
      <c r="H566" t="n">
        <v>0</v>
      </c>
      <c r="I566" t="n">
        <v>0</v>
      </c>
      <c r="J566" t="n">
        <v>0</v>
      </c>
      <c r="K566" t="n">
        <v>0</v>
      </c>
      <c r="L566" t="n">
        <v>0</v>
      </c>
      <c r="M566" t="n">
        <v>0</v>
      </c>
      <c r="N566" t="n">
        <v>0</v>
      </c>
      <c r="O566" t="n">
        <v>0</v>
      </c>
      <c r="P566" t="n">
        <v>0</v>
      </c>
      <c r="Q566" t="n">
        <v>0</v>
      </c>
      <c r="R566" s="2" t="inlineStr"/>
    </row>
    <row r="567" ht="15" customHeight="1">
      <c r="A567" t="inlineStr">
        <is>
          <t>A 55714-2025</t>
        </is>
      </c>
      <c r="B567" s="1" t="n">
        <v>45972.49131944445</v>
      </c>
      <c r="C567" s="1" t="n">
        <v>46141</v>
      </c>
      <c r="D567" t="inlineStr">
        <is>
          <t>VÄSTMANLANDS LÄN</t>
        </is>
      </c>
      <c r="E567" t="inlineStr">
        <is>
          <t>SALA</t>
        </is>
      </c>
      <c r="G567" t="n">
        <v>6.6</v>
      </c>
      <c r="H567" t="n">
        <v>0</v>
      </c>
      <c r="I567" t="n">
        <v>0</v>
      </c>
      <c r="J567" t="n">
        <v>0</v>
      </c>
      <c r="K567" t="n">
        <v>0</v>
      </c>
      <c r="L567" t="n">
        <v>0</v>
      </c>
      <c r="M567" t="n">
        <v>0</v>
      </c>
      <c r="N567" t="n">
        <v>0</v>
      </c>
      <c r="O567" t="n">
        <v>0</v>
      </c>
      <c r="P567" t="n">
        <v>0</v>
      </c>
      <c r="Q567" t="n">
        <v>0</v>
      </c>
      <c r="R567" s="2" t="inlineStr"/>
    </row>
    <row r="568" ht="15" customHeight="1">
      <c r="A568" t="inlineStr">
        <is>
          <t>A 49661-2024</t>
        </is>
      </c>
      <c r="B568" s="1" t="n">
        <v>45596</v>
      </c>
      <c r="C568" s="1" t="n">
        <v>46141</v>
      </c>
      <c r="D568" t="inlineStr">
        <is>
          <t>VÄSTMANLANDS LÄN</t>
        </is>
      </c>
      <c r="E568" t="inlineStr">
        <is>
          <t>SALA</t>
        </is>
      </c>
      <c r="G568" t="n">
        <v>6.7</v>
      </c>
      <c r="H568" t="n">
        <v>0</v>
      </c>
      <c r="I568" t="n">
        <v>0</v>
      </c>
      <c r="J568" t="n">
        <v>0</v>
      </c>
      <c r="K568" t="n">
        <v>0</v>
      </c>
      <c r="L568" t="n">
        <v>0</v>
      </c>
      <c r="M568" t="n">
        <v>0</v>
      </c>
      <c r="N568" t="n">
        <v>0</v>
      </c>
      <c r="O568" t="n">
        <v>0</v>
      </c>
      <c r="P568" t="n">
        <v>0</v>
      </c>
      <c r="Q568" t="n">
        <v>0</v>
      </c>
      <c r="R568" s="2" t="inlineStr"/>
    </row>
    <row r="569" ht="15" customHeight="1">
      <c r="A569" t="inlineStr">
        <is>
          <t>A 59297-2023</t>
        </is>
      </c>
      <c r="B569" s="1" t="n">
        <v>45253</v>
      </c>
      <c r="C569" s="1" t="n">
        <v>46141</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24169-2025</t>
        </is>
      </c>
      <c r="B570" s="1" t="n">
        <v>45796</v>
      </c>
      <c r="C570" s="1" t="n">
        <v>46141</v>
      </c>
      <c r="D570" t="inlineStr">
        <is>
          <t>VÄSTMANLANDS LÄN</t>
        </is>
      </c>
      <c r="E570" t="inlineStr">
        <is>
          <t>SALA</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35410-2022</t>
        </is>
      </c>
      <c r="B571" s="1" t="n">
        <v>44798.62576388889</v>
      </c>
      <c r="C571" s="1" t="n">
        <v>46141</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11210-2025</t>
        </is>
      </c>
      <c r="B572" s="1" t="n">
        <v>45726</v>
      </c>
      <c r="C572" s="1" t="n">
        <v>46141</v>
      </c>
      <c r="D572" t="inlineStr">
        <is>
          <t>VÄSTMANLANDS LÄN</t>
        </is>
      </c>
      <c r="E572" t="inlineStr">
        <is>
          <t>SALA</t>
        </is>
      </c>
      <c r="G572" t="n">
        <v>4.1</v>
      </c>
      <c r="H572" t="n">
        <v>0</v>
      </c>
      <c r="I572" t="n">
        <v>0</v>
      </c>
      <c r="J572" t="n">
        <v>0</v>
      </c>
      <c r="K572" t="n">
        <v>0</v>
      </c>
      <c r="L572" t="n">
        <v>0</v>
      </c>
      <c r="M572" t="n">
        <v>0</v>
      </c>
      <c r="N572" t="n">
        <v>0</v>
      </c>
      <c r="O572" t="n">
        <v>0</v>
      </c>
      <c r="P572" t="n">
        <v>0</v>
      </c>
      <c r="Q572" t="n">
        <v>0</v>
      </c>
      <c r="R572" s="2" t="inlineStr"/>
    </row>
    <row r="573" ht="15" customHeight="1">
      <c r="A573" t="inlineStr">
        <is>
          <t>A 56593-2025</t>
        </is>
      </c>
      <c r="B573" s="1" t="n">
        <v>45975</v>
      </c>
      <c r="C573" s="1" t="n">
        <v>46141</v>
      </c>
      <c r="D573" t="inlineStr">
        <is>
          <t>VÄSTMANLANDS LÄN</t>
        </is>
      </c>
      <c r="E573" t="inlineStr">
        <is>
          <t>SALA</t>
        </is>
      </c>
      <c r="F573" t="inlineStr">
        <is>
          <t>Kyrkan</t>
        </is>
      </c>
      <c r="G573" t="n">
        <v>0.1</v>
      </c>
      <c r="H573" t="n">
        <v>0</v>
      </c>
      <c r="I573" t="n">
        <v>0</v>
      </c>
      <c r="J573" t="n">
        <v>0</v>
      </c>
      <c r="K573" t="n">
        <v>0</v>
      </c>
      <c r="L573" t="n">
        <v>0</v>
      </c>
      <c r="M573" t="n">
        <v>0</v>
      </c>
      <c r="N573" t="n">
        <v>0</v>
      </c>
      <c r="O573" t="n">
        <v>0</v>
      </c>
      <c r="P573" t="n">
        <v>0</v>
      </c>
      <c r="Q573" t="n">
        <v>0</v>
      </c>
      <c r="R573" s="2" t="inlineStr"/>
    </row>
    <row r="574" ht="15" customHeight="1">
      <c r="A574" t="inlineStr">
        <is>
          <t>A 1118-2024</t>
        </is>
      </c>
      <c r="B574" s="1" t="n">
        <v>45302</v>
      </c>
      <c r="C574" s="1" t="n">
        <v>46141</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56645-2025</t>
        </is>
      </c>
      <c r="B575" s="1" t="n">
        <v>45975.63063657407</v>
      </c>
      <c r="C575" s="1" t="n">
        <v>46141</v>
      </c>
      <c r="D575" t="inlineStr">
        <is>
          <t>VÄSTMANLANDS LÄN</t>
        </is>
      </c>
      <c r="E575" t="inlineStr">
        <is>
          <t>SALA</t>
        </is>
      </c>
      <c r="F575" t="inlineStr">
        <is>
          <t>Bergvik skog öst AB</t>
        </is>
      </c>
      <c r="G575" t="n">
        <v>5.3</v>
      </c>
      <c r="H575" t="n">
        <v>0</v>
      </c>
      <c r="I575" t="n">
        <v>0</v>
      </c>
      <c r="J575" t="n">
        <v>0</v>
      </c>
      <c r="K575" t="n">
        <v>0</v>
      </c>
      <c r="L575" t="n">
        <v>0</v>
      </c>
      <c r="M575" t="n">
        <v>0</v>
      </c>
      <c r="N575" t="n">
        <v>0</v>
      </c>
      <c r="O575" t="n">
        <v>0</v>
      </c>
      <c r="P575" t="n">
        <v>0</v>
      </c>
      <c r="Q575" t="n">
        <v>0</v>
      </c>
      <c r="R575" s="2" t="inlineStr"/>
    </row>
    <row r="576" ht="15" customHeight="1">
      <c r="A576" t="inlineStr">
        <is>
          <t>A 56502-2025</t>
        </is>
      </c>
      <c r="B576" s="1" t="n">
        <v>45975</v>
      </c>
      <c r="C576" s="1" t="n">
        <v>46141</v>
      </c>
      <c r="D576" t="inlineStr">
        <is>
          <t>VÄSTMANLANDS LÄN</t>
        </is>
      </c>
      <c r="E576" t="inlineStr">
        <is>
          <t>SALA</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56614-2025</t>
        </is>
      </c>
      <c r="B577" s="1" t="n">
        <v>45975.59288194445</v>
      </c>
      <c r="C577" s="1" t="n">
        <v>46141</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15965-2024</t>
        </is>
      </c>
      <c r="B578" s="1" t="n">
        <v>45405.55740740741</v>
      </c>
      <c r="C578" s="1" t="n">
        <v>46141</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53864-2022</t>
        </is>
      </c>
      <c r="B579" s="1" t="n">
        <v>44880.64016203704</v>
      </c>
      <c r="C579" s="1" t="n">
        <v>46141</v>
      </c>
      <c r="D579" t="inlineStr">
        <is>
          <t>VÄSTMANLANDS LÄN</t>
        </is>
      </c>
      <c r="E579" t="inlineStr">
        <is>
          <t>SALA</t>
        </is>
      </c>
      <c r="G579" t="n">
        <v>5.9</v>
      </c>
      <c r="H579" t="n">
        <v>0</v>
      </c>
      <c r="I579" t="n">
        <v>0</v>
      </c>
      <c r="J579" t="n">
        <v>0</v>
      </c>
      <c r="K579" t="n">
        <v>0</v>
      </c>
      <c r="L579" t="n">
        <v>0</v>
      </c>
      <c r="M579" t="n">
        <v>0</v>
      </c>
      <c r="N579" t="n">
        <v>0</v>
      </c>
      <c r="O579" t="n">
        <v>0</v>
      </c>
      <c r="P579" t="n">
        <v>0</v>
      </c>
      <c r="Q579" t="n">
        <v>0</v>
      </c>
      <c r="R579" s="2" t="inlineStr"/>
    </row>
    <row r="580" ht="15" customHeight="1">
      <c r="A580" t="inlineStr">
        <is>
          <t>A 56611-2025</t>
        </is>
      </c>
      <c r="B580" s="1" t="n">
        <v>45975</v>
      </c>
      <c r="C580" s="1" t="n">
        <v>46141</v>
      </c>
      <c r="D580" t="inlineStr">
        <is>
          <t>VÄSTMANLANDS LÄN</t>
        </is>
      </c>
      <c r="E580" t="inlineStr">
        <is>
          <t>SALA</t>
        </is>
      </c>
      <c r="G580" t="n">
        <v>2.8</v>
      </c>
      <c r="H580" t="n">
        <v>0</v>
      </c>
      <c r="I580" t="n">
        <v>0</v>
      </c>
      <c r="J580" t="n">
        <v>0</v>
      </c>
      <c r="K580" t="n">
        <v>0</v>
      </c>
      <c r="L580" t="n">
        <v>0</v>
      </c>
      <c r="M580" t="n">
        <v>0</v>
      </c>
      <c r="N580" t="n">
        <v>0</v>
      </c>
      <c r="O580" t="n">
        <v>0</v>
      </c>
      <c r="P580" t="n">
        <v>0</v>
      </c>
      <c r="Q580" t="n">
        <v>0</v>
      </c>
      <c r="R580" s="2" t="inlineStr"/>
    </row>
    <row r="581" ht="15" customHeight="1">
      <c r="A581" t="inlineStr">
        <is>
          <t>A 24944-2023</t>
        </is>
      </c>
      <c r="B581" s="1" t="n">
        <v>45085</v>
      </c>
      <c r="C581" s="1" t="n">
        <v>46141</v>
      </c>
      <c r="D581" t="inlineStr">
        <is>
          <t>VÄSTMANLANDS LÄN</t>
        </is>
      </c>
      <c r="E581" t="inlineStr">
        <is>
          <t>SALA</t>
        </is>
      </c>
      <c r="G581" t="n">
        <v>3.8</v>
      </c>
      <c r="H581" t="n">
        <v>0</v>
      </c>
      <c r="I581" t="n">
        <v>0</v>
      </c>
      <c r="J581" t="n">
        <v>0</v>
      </c>
      <c r="K581" t="n">
        <v>0</v>
      </c>
      <c r="L581" t="n">
        <v>0</v>
      </c>
      <c r="M581" t="n">
        <v>0</v>
      </c>
      <c r="N581" t="n">
        <v>0</v>
      </c>
      <c r="O581" t="n">
        <v>0</v>
      </c>
      <c r="P581" t="n">
        <v>0</v>
      </c>
      <c r="Q581" t="n">
        <v>0</v>
      </c>
      <c r="R581" s="2" t="inlineStr"/>
    </row>
    <row r="582" ht="15" customHeight="1">
      <c r="A582" t="inlineStr">
        <is>
          <t>A 40085-2024</t>
        </is>
      </c>
      <c r="B582" s="1" t="n">
        <v>45554</v>
      </c>
      <c r="C582" s="1" t="n">
        <v>46141</v>
      </c>
      <c r="D582" t="inlineStr">
        <is>
          <t>VÄSTMANLANDS LÄN</t>
        </is>
      </c>
      <c r="E582" t="inlineStr">
        <is>
          <t>SALA</t>
        </is>
      </c>
      <c r="G582" t="n">
        <v>2.8</v>
      </c>
      <c r="H582" t="n">
        <v>0</v>
      </c>
      <c r="I582" t="n">
        <v>0</v>
      </c>
      <c r="J582" t="n">
        <v>0</v>
      </c>
      <c r="K582" t="n">
        <v>0</v>
      </c>
      <c r="L582" t="n">
        <v>0</v>
      </c>
      <c r="M582" t="n">
        <v>0</v>
      </c>
      <c r="N582" t="n">
        <v>0</v>
      </c>
      <c r="O582" t="n">
        <v>0</v>
      </c>
      <c r="P582" t="n">
        <v>0</v>
      </c>
      <c r="Q582" t="n">
        <v>0</v>
      </c>
      <c r="R582" s="2" t="inlineStr"/>
    </row>
    <row r="583" ht="15" customHeight="1">
      <c r="A583" t="inlineStr">
        <is>
          <t>A 3551-2024</t>
        </is>
      </c>
      <c r="B583" s="1" t="n">
        <v>45320.61099537037</v>
      </c>
      <c r="C583" s="1" t="n">
        <v>46141</v>
      </c>
      <c r="D583" t="inlineStr">
        <is>
          <t>VÄSTMANLANDS LÄN</t>
        </is>
      </c>
      <c r="E583" t="inlineStr">
        <is>
          <t>SALA</t>
        </is>
      </c>
      <c r="F583" t="inlineStr">
        <is>
          <t>Kommuner</t>
        </is>
      </c>
      <c r="G583" t="n">
        <v>6</v>
      </c>
      <c r="H583" t="n">
        <v>0</v>
      </c>
      <c r="I583" t="n">
        <v>0</v>
      </c>
      <c r="J583" t="n">
        <v>0</v>
      </c>
      <c r="K583" t="n">
        <v>0</v>
      </c>
      <c r="L583" t="n">
        <v>0</v>
      </c>
      <c r="M583" t="n">
        <v>0</v>
      </c>
      <c r="N583" t="n">
        <v>0</v>
      </c>
      <c r="O583" t="n">
        <v>0</v>
      </c>
      <c r="P583" t="n">
        <v>0</v>
      </c>
      <c r="Q583" t="n">
        <v>0</v>
      </c>
      <c r="R583" s="2" t="inlineStr"/>
    </row>
    <row r="584" ht="15" customHeight="1">
      <c r="A584" t="inlineStr">
        <is>
          <t>A 23180-2022</t>
        </is>
      </c>
      <c r="B584" s="1" t="n">
        <v>44719.79344907407</v>
      </c>
      <c r="C584" s="1" t="n">
        <v>46141</v>
      </c>
      <c r="D584" t="inlineStr">
        <is>
          <t>VÄSTMANLANDS LÄN</t>
        </is>
      </c>
      <c r="E584" t="inlineStr">
        <is>
          <t>SALA</t>
        </is>
      </c>
      <c r="G584" t="n">
        <v>1.2</v>
      </c>
      <c r="H584" t="n">
        <v>0</v>
      </c>
      <c r="I584" t="n">
        <v>0</v>
      </c>
      <c r="J584" t="n">
        <v>0</v>
      </c>
      <c r="K584" t="n">
        <v>0</v>
      </c>
      <c r="L584" t="n">
        <v>0</v>
      </c>
      <c r="M584" t="n">
        <v>0</v>
      </c>
      <c r="N584" t="n">
        <v>0</v>
      </c>
      <c r="O584" t="n">
        <v>0</v>
      </c>
      <c r="P584" t="n">
        <v>0</v>
      </c>
      <c r="Q584" t="n">
        <v>0</v>
      </c>
      <c r="R584" s="2" t="inlineStr"/>
    </row>
    <row r="585" ht="15" customHeight="1">
      <c r="A585" t="inlineStr">
        <is>
          <t>A 21455-2023</t>
        </is>
      </c>
      <c r="B585" s="1" t="n">
        <v>45058</v>
      </c>
      <c r="C585" s="1" t="n">
        <v>46141</v>
      </c>
      <c r="D585" t="inlineStr">
        <is>
          <t>VÄSTMANLANDS LÄN</t>
        </is>
      </c>
      <c r="E585" t="inlineStr">
        <is>
          <t>SALA</t>
        </is>
      </c>
      <c r="G585" t="n">
        <v>6.4</v>
      </c>
      <c r="H585" t="n">
        <v>0</v>
      </c>
      <c r="I585" t="n">
        <v>0</v>
      </c>
      <c r="J585" t="n">
        <v>0</v>
      </c>
      <c r="K585" t="n">
        <v>0</v>
      </c>
      <c r="L585" t="n">
        <v>0</v>
      </c>
      <c r="M585" t="n">
        <v>0</v>
      </c>
      <c r="N585" t="n">
        <v>0</v>
      </c>
      <c r="O585" t="n">
        <v>0</v>
      </c>
      <c r="P585" t="n">
        <v>0</v>
      </c>
      <c r="Q585" t="n">
        <v>0</v>
      </c>
      <c r="R585" s="2" t="inlineStr"/>
    </row>
    <row r="586" ht="15" customHeight="1">
      <c r="A586" t="inlineStr">
        <is>
          <t>A 57014-2025</t>
        </is>
      </c>
      <c r="B586" s="1" t="n">
        <v>45978</v>
      </c>
      <c r="C586" s="1" t="n">
        <v>46141</v>
      </c>
      <c r="D586" t="inlineStr">
        <is>
          <t>VÄSTMANLANDS LÄN</t>
        </is>
      </c>
      <c r="E586" t="inlineStr">
        <is>
          <t>SALA</t>
        </is>
      </c>
      <c r="G586" t="n">
        <v>2.2</v>
      </c>
      <c r="H586" t="n">
        <v>0</v>
      </c>
      <c r="I586" t="n">
        <v>0</v>
      </c>
      <c r="J586" t="n">
        <v>0</v>
      </c>
      <c r="K586" t="n">
        <v>0</v>
      </c>
      <c r="L586" t="n">
        <v>0</v>
      </c>
      <c r="M586" t="n">
        <v>0</v>
      </c>
      <c r="N586" t="n">
        <v>0</v>
      </c>
      <c r="O586" t="n">
        <v>0</v>
      </c>
      <c r="P586" t="n">
        <v>0</v>
      </c>
      <c r="Q586" t="n">
        <v>0</v>
      </c>
      <c r="R586" s="2" t="inlineStr"/>
    </row>
    <row r="587" ht="15" customHeight="1">
      <c r="A587" t="inlineStr">
        <is>
          <t>A 21053-2022</t>
        </is>
      </c>
      <c r="B587" s="1" t="n">
        <v>44704</v>
      </c>
      <c r="C587" s="1" t="n">
        <v>46141</v>
      </c>
      <c r="D587" t="inlineStr">
        <is>
          <t>VÄSTMANLANDS LÄN</t>
        </is>
      </c>
      <c r="E587" t="inlineStr">
        <is>
          <t>SALA</t>
        </is>
      </c>
      <c r="G587" t="n">
        <v>2</v>
      </c>
      <c r="H587" t="n">
        <v>0</v>
      </c>
      <c r="I587" t="n">
        <v>0</v>
      </c>
      <c r="J587" t="n">
        <v>0</v>
      </c>
      <c r="K587" t="n">
        <v>0</v>
      </c>
      <c r="L587" t="n">
        <v>0</v>
      </c>
      <c r="M587" t="n">
        <v>0</v>
      </c>
      <c r="N587" t="n">
        <v>0</v>
      </c>
      <c r="O587" t="n">
        <v>0</v>
      </c>
      <c r="P587" t="n">
        <v>0</v>
      </c>
      <c r="Q587" t="n">
        <v>0</v>
      </c>
      <c r="R587" s="2" t="inlineStr"/>
    </row>
    <row r="588" ht="15" customHeight="1">
      <c r="A588" t="inlineStr">
        <is>
          <t>A 22961-2023</t>
        </is>
      </c>
      <c r="B588" s="1" t="n">
        <v>45072</v>
      </c>
      <c r="C588" s="1" t="n">
        <v>46141</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22963-2023</t>
        </is>
      </c>
      <c r="B589" s="1" t="n">
        <v>45072</v>
      </c>
      <c r="C589" s="1" t="n">
        <v>46141</v>
      </c>
      <c r="D589" t="inlineStr">
        <is>
          <t>VÄSTMANLANDS LÄN</t>
        </is>
      </c>
      <c r="E589" t="inlineStr">
        <is>
          <t>SALA</t>
        </is>
      </c>
      <c r="G589" t="n">
        <v>1.2</v>
      </c>
      <c r="H589" t="n">
        <v>0</v>
      </c>
      <c r="I589" t="n">
        <v>0</v>
      </c>
      <c r="J589" t="n">
        <v>0</v>
      </c>
      <c r="K589" t="n">
        <v>0</v>
      </c>
      <c r="L589" t="n">
        <v>0</v>
      </c>
      <c r="M589" t="n">
        <v>0</v>
      </c>
      <c r="N589" t="n">
        <v>0</v>
      </c>
      <c r="O589" t="n">
        <v>0</v>
      </c>
      <c r="P589" t="n">
        <v>0</v>
      </c>
      <c r="Q589" t="n">
        <v>0</v>
      </c>
      <c r="R589" s="2" t="inlineStr"/>
    </row>
    <row r="590" ht="15" customHeight="1">
      <c r="A590" t="inlineStr">
        <is>
          <t>A 54960-2024</t>
        </is>
      </c>
      <c r="B590" s="1" t="n">
        <v>45619.85208333333</v>
      </c>
      <c r="C590" s="1" t="n">
        <v>46141</v>
      </c>
      <c r="D590" t="inlineStr">
        <is>
          <t>VÄSTMANLANDS LÄN</t>
        </is>
      </c>
      <c r="E590" t="inlineStr">
        <is>
          <t>SALA</t>
        </is>
      </c>
      <c r="G590" t="n">
        <v>2.6</v>
      </c>
      <c r="H590" t="n">
        <v>0</v>
      </c>
      <c r="I590" t="n">
        <v>0</v>
      </c>
      <c r="J590" t="n">
        <v>0</v>
      </c>
      <c r="K590" t="n">
        <v>0</v>
      </c>
      <c r="L590" t="n">
        <v>0</v>
      </c>
      <c r="M590" t="n">
        <v>0</v>
      </c>
      <c r="N590" t="n">
        <v>0</v>
      </c>
      <c r="O590" t="n">
        <v>0</v>
      </c>
      <c r="P590" t="n">
        <v>0</v>
      </c>
      <c r="Q590" t="n">
        <v>0</v>
      </c>
      <c r="R590" s="2" t="inlineStr"/>
    </row>
    <row r="591" ht="15" customHeight="1">
      <c r="A591" t="inlineStr">
        <is>
          <t>A 57414-2025</t>
        </is>
      </c>
      <c r="B591" s="1" t="n">
        <v>45980.45003472222</v>
      </c>
      <c r="C591" s="1" t="n">
        <v>46141</v>
      </c>
      <c r="D591" t="inlineStr">
        <is>
          <t>VÄSTMANLANDS LÄN</t>
        </is>
      </c>
      <c r="E591" t="inlineStr">
        <is>
          <t>SALA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57415-2025</t>
        </is>
      </c>
      <c r="B592" s="1" t="n">
        <v>45980.45099537037</v>
      </c>
      <c r="C592" s="1" t="n">
        <v>46141</v>
      </c>
      <c r="D592" t="inlineStr">
        <is>
          <t>VÄSTMANLANDS LÄN</t>
        </is>
      </c>
      <c r="E592" t="inlineStr">
        <is>
          <t>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57412-2025</t>
        </is>
      </c>
      <c r="B593" s="1" t="n">
        <v>45980.44883101852</v>
      </c>
      <c r="C593" s="1" t="n">
        <v>46141</v>
      </c>
      <c r="D593" t="inlineStr">
        <is>
          <t>VÄSTMANLANDS LÄN</t>
        </is>
      </c>
      <c r="E593" t="inlineStr">
        <is>
          <t>SALA</t>
        </is>
      </c>
      <c r="F593" t="inlineStr">
        <is>
          <t>Bergvik skog öst AB</t>
        </is>
      </c>
      <c r="G593" t="n">
        <v>4.5</v>
      </c>
      <c r="H593" t="n">
        <v>0</v>
      </c>
      <c r="I593" t="n">
        <v>0</v>
      </c>
      <c r="J593" t="n">
        <v>0</v>
      </c>
      <c r="K593" t="n">
        <v>0</v>
      </c>
      <c r="L593" t="n">
        <v>0</v>
      </c>
      <c r="M593" t="n">
        <v>0</v>
      </c>
      <c r="N593" t="n">
        <v>0</v>
      </c>
      <c r="O593" t="n">
        <v>0</v>
      </c>
      <c r="P593" t="n">
        <v>0</v>
      </c>
      <c r="Q593" t="n">
        <v>0</v>
      </c>
      <c r="R593" s="2" t="inlineStr"/>
    </row>
    <row r="594" ht="15" customHeight="1">
      <c r="A594" t="inlineStr">
        <is>
          <t>A 11927-2025</t>
        </is>
      </c>
      <c r="B594" s="1" t="n">
        <v>45728.5137962963</v>
      </c>
      <c r="C594" s="1" t="n">
        <v>46141</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58359-2025</t>
        </is>
      </c>
      <c r="B595" s="1" t="n">
        <v>45985.51594907408</v>
      </c>
      <c r="C595" s="1" t="n">
        <v>46141</v>
      </c>
      <c r="D595" t="inlineStr">
        <is>
          <t>VÄSTMANLANDS LÄN</t>
        </is>
      </c>
      <c r="E595" t="inlineStr">
        <is>
          <t>SALA</t>
        </is>
      </c>
      <c r="G595" t="n">
        <v>3.7</v>
      </c>
      <c r="H595" t="n">
        <v>0</v>
      </c>
      <c r="I595" t="n">
        <v>0</v>
      </c>
      <c r="J595" t="n">
        <v>0</v>
      </c>
      <c r="K595" t="n">
        <v>0</v>
      </c>
      <c r="L595" t="n">
        <v>0</v>
      </c>
      <c r="M595" t="n">
        <v>0</v>
      </c>
      <c r="N595" t="n">
        <v>0</v>
      </c>
      <c r="O595" t="n">
        <v>0</v>
      </c>
      <c r="P595" t="n">
        <v>0</v>
      </c>
      <c r="Q595" t="n">
        <v>0</v>
      </c>
      <c r="R595" s="2" t="inlineStr"/>
    </row>
    <row r="596" ht="15" customHeight="1">
      <c r="A596" t="inlineStr">
        <is>
          <t>A 58364-2025</t>
        </is>
      </c>
      <c r="B596" s="1" t="n">
        <v>45985.5228125</v>
      </c>
      <c r="C596" s="1" t="n">
        <v>46141</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27228-2023</t>
        </is>
      </c>
      <c r="B597" s="1" t="n">
        <v>45096.59189814814</v>
      </c>
      <c r="C597" s="1" t="n">
        <v>46141</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58282-2025</t>
        </is>
      </c>
      <c r="B598" s="1" t="n">
        <v>45985.44309027777</v>
      </c>
      <c r="C598" s="1" t="n">
        <v>46141</v>
      </c>
      <c r="D598" t="inlineStr">
        <is>
          <t>VÄSTMANLANDS LÄN</t>
        </is>
      </c>
      <c r="E598" t="inlineStr">
        <is>
          <t>SALA</t>
        </is>
      </c>
      <c r="G598" t="n">
        <v>8.9</v>
      </c>
      <c r="H598" t="n">
        <v>0</v>
      </c>
      <c r="I598" t="n">
        <v>0</v>
      </c>
      <c r="J598" t="n">
        <v>0</v>
      </c>
      <c r="K598" t="n">
        <v>0</v>
      </c>
      <c r="L598" t="n">
        <v>0</v>
      </c>
      <c r="M598" t="n">
        <v>0</v>
      </c>
      <c r="N598" t="n">
        <v>0</v>
      </c>
      <c r="O598" t="n">
        <v>0</v>
      </c>
      <c r="P598" t="n">
        <v>0</v>
      </c>
      <c r="Q598" t="n">
        <v>0</v>
      </c>
      <c r="R598" s="2" t="inlineStr"/>
    </row>
    <row r="599" ht="15" customHeight="1">
      <c r="A599" t="inlineStr">
        <is>
          <t>A 26507-2023</t>
        </is>
      </c>
      <c r="B599" s="1" t="n">
        <v>45092</v>
      </c>
      <c r="C599" s="1" t="n">
        <v>46141</v>
      </c>
      <c r="D599" t="inlineStr">
        <is>
          <t>VÄSTMANLANDS LÄN</t>
        </is>
      </c>
      <c r="E599" t="inlineStr">
        <is>
          <t>SALA</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55760-2025</t>
        </is>
      </c>
      <c r="B600" s="1" t="n">
        <v>45972</v>
      </c>
      <c r="C600" s="1" t="n">
        <v>46141</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58357-2025</t>
        </is>
      </c>
      <c r="B601" s="1" t="n">
        <v>45985.51518518518</v>
      </c>
      <c r="C601" s="1" t="n">
        <v>46141</v>
      </c>
      <c r="D601" t="inlineStr">
        <is>
          <t>VÄSTMANLANDS LÄN</t>
        </is>
      </c>
      <c r="E601" t="inlineStr">
        <is>
          <t>SALA</t>
        </is>
      </c>
      <c r="G601" t="n">
        <v>3</v>
      </c>
      <c r="H601" t="n">
        <v>0</v>
      </c>
      <c r="I601" t="n">
        <v>0</v>
      </c>
      <c r="J601" t="n">
        <v>0</v>
      </c>
      <c r="K601" t="n">
        <v>0</v>
      </c>
      <c r="L601" t="n">
        <v>0</v>
      </c>
      <c r="M601" t="n">
        <v>0</v>
      </c>
      <c r="N601" t="n">
        <v>0</v>
      </c>
      <c r="O601" t="n">
        <v>0</v>
      </c>
      <c r="P601" t="n">
        <v>0</v>
      </c>
      <c r="Q601" t="n">
        <v>0</v>
      </c>
      <c r="R601" s="2" t="inlineStr"/>
    </row>
    <row r="602" ht="15" customHeight="1">
      <c r="A602" t="inlineStr">
        <is>
          <t>A 58365-2025</t>
        </is>
      </c>
      <c r="B602" s="1" t="n">
        <v>45985.52288194445</v>
      </c>
      <c r="C602" s="1" t="n">
        <v>46141</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6183-2025</t>
        </is>
      </c>
      <c r="B603" s="1" t="n">
        <v>45698</v>
      </c>
      <c r="C603" s="1" t="n">
        <v>46141</v>
      </c>
      <c r="D603" t="inlineStr">
        <is>
          <t>VÄSTMANLANDS LÄN</t>
        </is>
      </c>
      <c r="E603" t="inlineStr">
        <is>
          <t>SALA</t>
        </is>
      </c>
      <c r="F603" t="inlineStr">
        <is>
          <t>Bergvik skog öst AB</t>
        </is>
      </c>
      <c r="G603" t="n">
        <v>2.3</v>
      </c>
      <c r="H603" t="n">
        <v>0</v>
      </c>
      <c r="I603" t="n">
        <v>0</v>
      </c>
      <c r="J603" t="n">
        <v>0</v>
      </c>
      <c r="K603" t="n">
        <v>0</v>
      </c>
      <c r="L603" t="n">
        <v>0</v>
      </c>
      <c r="M603" t="n">
        <v>0</v>
      </c>
      <c r="N603" t="n">
        <v>0</v>
      </c>
      <c r="O603" t="n">
        <v>0</v>
      </c>
      <c r="P603" t="n">
        <v>0</v>
      </c>
      <c r="Q603" t="n">
        <v>0</v>
      </c>
      <c r="R603" s="2" t="inlineStr"/>
    </row>
    <row r="604" ht="15" customHeight="1">
      <c r="A604" t="inlineStr">
        <is>
          <t>A 50876-2023</t>
        </is>
      </c>
      <c r="B604" s="1" t="n">
        <v>45211</v>
      </c>
      <c r="C604" s="1" t="n">
        <v>46141</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16543-2023</t>
        </is>
      </c>
      <c r="B605" s="1" t="n">
        <v>45029</v>
      </c>
      <c r="C605" s="1" t="n">
        <v>46141</v>
      </c>
      <c r="D605" t="inlineStr">
        <is>
          <t>VÄSTMANLANDS LÄN</t>
        </is>
      </c>
      <c r="E605" t="inlineStr">
        <is>
          <t>SALA</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10255-2024</t>
        </is>
      </c>
      <c r="B606" s="1" t="n">
        <v>45365</v>
      </c>
      <c r="C606" s="1" t="n">
        <v>46141</v>
      </c>
      <c r="D606" t="inlineStr">
        <is>
          <t>VÄSTMANLANDS LÄN</t>
        </is>
      </c>
      <c r="E606" t="inlineStr">
        <is>
          <t>SALA</t>
        </is>
      </c>
      <c r="F606" t="inlineStr">
        <is>
          <t>Kommuner</t>
        </is>
      </c>
      <c r="G606" t="n">
        <v>0.8</v>
      </c>
      <c r="H606" t="n">
        <v>0</v>
      </c>
      <c r="I606" t="n">
        <v>0</v>
      </c>
      <c r="J606" t="n">
        <v>0</v>
      </c>
      <c r="K606" t="n">
        <v>0</v>
      </c>
      <c r="L606" t="n">
        <v>0</v>
      </c>
      <c r="M606" t="n">
        <v>0</v>
      </c>
      <c r="N606" t="n">
        <v>0</v>
      </c>
      <c r="O606" t="n">
        <v>0</v>
      </c>
      <c r="P606" t="n">
        <v>0</v>
      </c>
      <c r="Q606" t="n">
        <v>0</v>
      </c>
      <c r="R606" s="2" t="inlineStr"/>
    </row>
    <row r="607" ht="15" customHeight="1">
      <c r="A607" t="inlineStr">
        <is>
          <t>A 62648-2022</t>
        </is>
      </c>
      <c r="B607" s="1" t="n">
        <v>44917</v>
      </c>
      <c r="C607" s="1" t="n">
        <v>46141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56548-2024</t>
        </is>
      </c>
      <c r="B608" s="1" t="n">
        <v>45625</v>
      </c>
      <c r="C608" s="1" t="n">
        <v>46141</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24460-2025</t>
        </is>
      </c>
      <c r="B609" s="1" t="n">
        <v>45798</v>
      </c>
      <c r="C609" s="1" t="n">
        <v>46141</v>
      </c>
      <c r="D609" t="inlineStr">
        <is>
          <t>VÄSTMANLANDS LÄN</t>
        </is>
      </c>
      <c r="E609" t="inlineStr">
        <is>
          <t>SALA</t>
        </is>
      </c>
      <c r="F609" t="inlineStr">
        <is>
          <t>Bergvik skog öst AB</t>
        </is>
      </c>
      <c r="G609" t="n">
        <v>2.6</v>
      </c>
      <c r="H609" t="n">
        <v>0</v>
      </c>
      <c r="I609" t="n">
        <v>0</v>
      </c>
      <c r="J609" t="n">
        <v>0</v>
      </c>
      <c r="K609" t="n">
        <v>0</v>
      </c>
      <c r="L609" t="n">
        <v>0</v>
      </c>
      <c r="M609" t="n">
        <v>0</v>
      </c>
      <c r="N609" t="n">
        <v>0</v>
      </c>
      <c r="O609" t="n">
        <v>0</v>
      </c>
      <c r="P609" t="n">
        <v>0</v>
      </c>
      <c r="Q609" t="n">
        <v>0</v>
      </c>
      <c r="R609" s="2" t="inlineStr"/>
    </row>
    <row r="610" ht="15" customHeight="1">
      <c r="A610" t="inlineStr">
        <is>
          <t>A 5477-2024</t>
        </is>
      </c>
      <c r="B610" s="1" t="n">
        <v>45333.67833333334</v>
      </c>
      <c r="C610" s="1" t="n">
        <v>46141</v>
      </c>
      <c r="D610" t="inlineStr">
        <is>
          <t>VÄSTMANLANDS LÄN</t>
        </is>
      </c>
      <c r="E610" t="inlineStr">
        <is>
          <t>SALA</t>
        </is>
      </c>
      <c r="G610" t="n">
        <v>2.3</v>
      </c>
      <c r="H610" t="n">
        <v>0</v>
      </c>
      <c r="I610" t="n">
        <v>0</v>
      </c>
      <c r="J610" t="n">
        <v>0</v>
      </c>
      <c r="K610" t="n">
        <v>0</v>
      </c>
      <c r="L610" t="n">
        <v>0</v>
      </c>
      <c r="M610" t="n">
        <v>0</v>
      </c>
      <c r="N610" t="n">
        <v>0</v>
      </c>
      <c r="O610" t="n">
        <v>0</v>
      </c>
      <c r="P610" t="n">
        <v>0</v>
      </c>
      <c r="Q610" t="n">
        <v>0</v>
      </c>
      <c r="R610" s="2" t="inlineStr"/>
    </row>
    <row r="611" ht="15" customHeight="1">
      <c r="A611" t="inlineStr">
        <is>
          <t>A 39451-2022</t>
        </is>
      </c>
      <c r="B611" s="1" t="n">
        <v>44818.36606481481</v>
      </c>
      <c r="C611" s="1" t="n">
        <v>46141</v>
      </c>
      <c r="D611" t="inlineStr">
        <is>
          <t>VÄSTMANLANDS LÄN</t>
        </is>
      </c>
      <c r="E611" t="inlineStr">
        <is>
          <t>SALA</t>
        </is>
      </c>
      <c r="G611" t="n">
        <v>9.4</v>
      </c>
      <c r="H611" t="n">
        <v>0</v>
      </c>
      <c r="I611" t="n">
        <v>0</v>
      </c>
      <c r="J611" t="n">
        <v>0</v>
      </c>
      <c r="K611" t="n">
        <v>0</v>
      </c>
      <c r="L611" t="n">
        <v>0</v>
      </c>
      <c r="M611" t="n">
        <v>0</v>
      </c>
      <c r="N611" t="n">
        <v>0</v>
      </c>
      <c r="O611" t="n">
        <v>0</v>
      </c>
      <c r="P611" t="n">
        <v>0</v>
      </c>
      <c r="Q611" t="n">
        <v>0</v>
      </c>
      <c r="R611" s="2" t="inlineStr"/>
    </row>
    <row r="612" ht="15" customHeight="1">
      <c r="A612" t="inlineStr">
        <is>
          <t>A 59385-2025</t>
        </is>
      </c>
      <c r="B612" s="1" t="n">
        <v>45989.45746527778</v>
      </c>
      <c r="C612" s="1" t="n">
        <v>46141</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24463-2025</t>
        </is>
      </c>
      <c r="B613" s="1" t="n">
        <v>45798</v>
      </c>
      <c r="C613" s="1" t="n">
        <v>46141</v>
      </c>
      <c r="D613" t="inlineStr">
        <is>
          <t>VÄSTMANLANDS LÄN</t>
        </is>
      </c>
      <c r="E613" t="inlineStr">
        <is>
          <t>SALA</t>
        </is>
      </c>
      <c r="F613" t="inlineStr">
        <is>
          <t>Bergvik skog öst AB</t>
        </is>
      </c>
      <c r="G613" t="n">
        <v>1.5</v>
      </c>
      <c r="H613" t="n">
        <v>0</v>
      </c>
      <c r="I613" t="n">
        <v>0</v>
      </c>
      <c r="J613" t="n">
        <v>0</v>
      </c>
      <c r="K613" t="n">
        <v>0</v>
      </c>
      <c r="L613" t="n">
        <v>0</v>
      </c>
      <c r="M613" t="n">
        <v>0</v>
      </c>
      <c r="N613" t="n">
        <v>0</v>
      </c>
      <c r="O613" t="n">
        <v>0</v>
      </c>
      <c r="P613" t="n">
        <v>0</v>
      </c>
      <c r="Q613" t="n">
        <v>0</v>
      </c>
      <c r="R613" s="2" t="inlineStr"/>
    </row>
    <row r="614" ht="15" customHeight="1">
      <c r="A614" t="inlineStr">
        <is>
          <t>A 59390-2025</t>
        </is>
      </c>
      <c r="B614" s="1" t="n">
        <v>45989.4640162037</v>
      </c>
      <c r="C614" s="1" t="n">
        <v>46141</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51247-2025</t>
        </is>
      </c>
      <c r="B615" s="1" t="n">
        <v>45947.86487268518</v>
      </c>
      <c r="C615" s="1" t="n">
        <v>46141</v>
      </c>
      <c r="D615" t="inlineStr">
        <is>
          <t>VÄSTMANLANDS LÄN</t>
        </is>
      </c>
      <c r="E615" t="inlineStr">
        <is>
          <t>SALA</t>
        </is>
      </c>
      <c r="G615" t="n">
        <v>10.4</v>
      </c>
      <c r="H615" t="n">
        <v>0</v>
      </c>
      <c r="I615" t="n">
        <v>0</v>
      </c>
      <c r="J615" t="n">
        <v>0</v>
      </c>
      <c r="K615" t="n">
        <v>0</v>
      </c>
      <c r="L615" t="n">
        <v>0</v>
      </c>
      <c r="M615" t="n">
        <v>0</v>
      </c>
      <c r="N615" t="n">
        <v>0</v>
      </c>
      <c r="O615" t="n">
        <v>0</v>
      </c>
      <c r="P615" t="n">
        <v>0</v>
      </c>
      <c r="Q615" t="n">
        <v>0</v>
      </c>
      <c r="R615" s="2" t="inlineStr"/>
    </row>
    <row r="616" ht="15" customHeight="1">
      <c r="A616" t="inlineStr">
        <is>
          <t>A 7772-2023</t>
        </is>
      </c>
      <c r="B616" s="1" t="n">
        <v>44973.40076388889</v>
      </c>
      <c r="C616" s="1" t="n">
        <v>46141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59817-2025</t>
        </is>
      </c>
      <c r="B617" s="1" t="n">
        <v>45992.63711805556</v>
      </c>
      <c r="C617" s="1" t="n">
        <v>46141</v>
      </c>
      <c r="D617" t="inlineStr">
        <is>
          <t>VÄSTMANLANDS LÄN</t>
        </is>
      </c>
      <c r="E617" t="inlineStr">
        <is>
          <t>SALA</t>
        </is>
      </c>
      <c r="G617" t="n">
        <v>6.9</v>
      </c>
      <c r="H617" t="n">
        <v>0</v>
      </c>
      <c r="I617" t="n">
        <v>0</v>
      </c>
      <c r="J617" t="n">
        <v>0</v>
      </c>
      <c r="K617" t="n">
        <v>0</v>
      </c>
      <c r="L617" t="n">
        <v>0</v>
      </c>
      <c r="M617" t="n">
        <v>0</v>
      </c>
      <c r="N617" t="n">
        <v>0</v>
      </c>
      <c r="O617" t="n">
        <v>0</v>
      </c>
      <c r="P617" t="n">
        <v>0</v>
      </c>
      <c r="Q617" t="n">
        <v>0</v>
      </c>
      <c r="R617" s="2" t="inlineStr"/>
    </row>
    <row r="618" ht="15" customHeight="1">
      <c r="A618" t="inlineStr">
        <is>
          <t>A 59870-2025</t>
        </is>
      </c>
      <c r="B618" s="1" t="n">
        <v>45992.92226851852</v>
      </c>
      <c r="C618" s="1" t="n">
        <v>46141</v>
      </c>
      <c r="D618" t="inlineStr">
        <is>
          <t>VÄSTMANLANDS LÄN</t>
        </is>
      </c>
      <c r="E618" t="inlineStr">
        <is>
          <t>SALA</t>
        </is>
      </c>
      <c r="G618" t="n">
        <v>3.4</v>
      </c>
      <c r="H618" t="n">
        <v>0</v>
      </c>
      <c r="I618" t="n">
        <v>0</v>
      </c>
      <c r="J618" t="n">
        <v>0</v>
      </c>
      <c r="K618" t="n">
        <v>0</v>
      </c>
      <c r="L618" t="n">
        <v>0</v>
      </c>
      <c r="M618" t="n">
        <v>0</v>
      </c>
      <c r="N618" t="n">
        <v>0</v>
      </c>
      <c r="O618" t="n">
        <v>0</v>
      </c>
      <c r="P618" t="n">
        <v>0</v>
      </c>
      <c r="Q618" t="n">
        <v>0</v>
      </c>
      <c r="R618" s="2" t="inlineStr"/>
    </row>
    <row r="619" ht="15" customHeight="1">
      <c r="A619" t="inlineStr">
        <is>
          <t>A 59926-2025</t>
        </is>
      </c>
      <c r="B619" s="1" t="n">
        <v>45993.39221064815</v>
      </c>
      <c r="C619" s="1" t="n">
        <v>46141</v>
      </c>
      <c r="D619" t="inlineStr">
        <is>
          <t>VÄSTMANLANDS LÄN</t>
        </is>
      </c>
      <c r="E619" t="inlineStr">
        <is>
          <t>SALA</t>
        </is>
      </c>
      <c r="G619" t="n">
        <v>7.1</v>
      </c>
      <c r="H619" t="n">
        <v>0</v>
      </c>
      <c r="I619" t="n">
        <v>0</v>
      </c>
      <c r="J619" t="n">
        <v>0</v>
      </c>
      <c r="K619" t="n">
        <v>0</v>
      </c>
      <c r="L619" t="n">
        <v>0</v>
      </c>
      <c r="M619" t="n">
        <v>0</v>
      </c>
      <c r="N619" t="n">
        <v>0</v>
      </c>
      <c r="O619" t="n">
        <v>0</v>
      </c>
      <c r="P619" t="n">
        <v>0</v>
      </c>
      <c r="Q619" t="n">
        <v>0</v>
      </c>
      <c r="R619" s="2" t="inlineStr"/>
    </row>
    <row r="620" ht="15" customHeight="1">
      <c r="A620" t="inlineStr">
        <is>
          <t>A 19751-2022</t>
        </is>
      </c>
      <c r="B620" s="1" t="n">
        <v>44694</v>
      </c>
      <c r="C620" s="1" t="n">
        <v>46141</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60017-2025</t>
        </is>
      </c>
      <c r="B621" s="1" t="n">
        <v>45993.59998842593</v>
      </c>
      <c r="C621" s="1" t="n">
        <v>46141</v>
      </c>
      <c r="D621" t="inlineStr">
        <is>
          <t>VÄSTMANLANDS LÄN</t>
        </is>
      </c>
      <c r="E621" t="inlineStr">
        <is>
          <t>SALA</t>
        </is>
      </c>
      <c r="G621" t="n">
        <v>4.4</v>
      </c>
      <c r="H621" t="n">
        <v>0</v>
      </c>
      <c r="I621" t="n">
        <v>0</v>
      </c>
      <c r="J621" t="n">
        <v>0</v>
      </c>
      <c r="K621" t="n">
        <v>0</v>
      </c>
      <c r="L621" t="n">
        <v>0</v>
      </c>
      <c r="M621" t="n">
        <v>0</v>
      </c>
      <c r="N621" t="n">
        <v>0</v>
      </c>
      <c r="O621" t="n">
        <v>0</v>
      </c>
      <c r="P621" t="n">
        <v>0</v>
      </c>
      <c r="Q621" t="n">
        <v>0</v>
      </c>
      <c r="R621" s="2" t="inlineStr"/>
    </row>
    <row r="622" ht="15" customHeight="1">
      <c r="A622" t="inlineStr">
        <is>
          <t>A 44713-2023</t>
        </is>
      </c>
      <c r="B622" s="1" t="n">
        <v>45184</v>
      </c>
      <c r="C622" s="1" t="n">
        <v>46141</v>
      </c>
      <c r="D622" t="inlineStr">
        <is>
          <t>VÄSTMANLANDS LÄN</t>
        </is>
      </c>
      <c r="E622" t="inlineStr">
        <is>
          <t>SALA</t>
        </is>
      </c>
      <c r="F622" t="inlineStr">
        <is>
          <t>Kyrkan</t>
        </is>
      </c>
      <c r="G622" t="n">
        <v>7.6</v>
      </c>
      <c r="H622" t="n">
        <v>0</v>
      </c>
      <c r="I622" t="n">
        <v>0</v>
      </c>
      <c r="J622" t="n">
        <v>0</v>
      </c>
      <c r="K622" t="n">
        <v>0</v>
      </c>
      <c r="L622" t="n">
        <v>0</v>
      </c>
      <c r="M622" t="n">
        <v>0</v>
      </c>
      <c r="N622" t="n">
        <v>0</v>
      </c>
      <c r="O622" t="n">
        <v>0</v>
      </c>
      <c r="P622" t="n">
        <v>0</v>
      </c>
      <c r="Q622" t="n">
        <v>0</v>
      </c>
      <c r="R622" s="2" t="inlineStr"/>
    </row>
    <row r="623" ht="15" customHeight="1">
      <c r="A623" t="inlineStr">
        <is>
          <t>A 18713-2025</t>
        </is>
      </c>
      <c r="B623" s="1" t="n">
        <v>45763</v>
      </c>
      <c r="C623" s="1" t="n">
        <v>46141</v>
      </c>
      <c r="D623" t="inlineStr">
        <is>
          <t>VÄSTMANLANDS LÄN</t>
        </is>
      </c>
      <c r="E623" t="inlineStr">
        <is>
          <t>SALA</t>
        </is>
      </c>
      <c r="F623" t="inlineStr">
        <is>
          <t>Bergvik skog öst AB</t>
        </is>
      </c>
      <c r="G623" t="n">
        <v>11.6</v>
      </c>
      <c r="H623" t="n">
        <v>0</v>
      </c>
      <c r="I623" t="n">
        <v>0</v>
      </c>
      <c r="J623" t="n">
        <v>0</v>
      </c>
      <c r="K623" t="n">
        <v>0</v>
      </c>
      <c r="L623" t="n">
        <v>0</v>
      </c>
      <c r="M623" t="n">
        <v>0</v>
      </c>
      <c r="N623" t="n">
        <v>0</v>
      </c>
      <c r="O623" t="n">
        <v>0</v>
      </c>
      <c r="P623" t="n">
        <v>0</v>
      </c>
      <c r="Q623" t="n">
        <v>0</v>
      </c>
      <c r="R623" s="2" t="inlineStr"/>
    </row>
    <row r="624" ht="15" customHeight="1">
      <c r="A624" t="inlineStr">
        <is>
          <t>A 47479-2024</t>
        </is>
      </c>
      <c r="B624" s="1" t="n">
        <v>45587</v>
      </c>
      <c r="C624" s="1" t="n">
        <v>46141</v>
      </c>
      <c r="D624" t="inlineStr">
        <is>
          <t>VÄSTMANLANDS LÄN</t>
        </is>
      </c>
      <c r="E624" t="inlineStr">
        <is>
          <t>SALA</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60254-2025</t>
        </is>
      </c>
      <c r="B625" s="1" t="n">
        <v>45994.60146990741</v>
      </c>
      <c r="C625" s="1" t="n">
        <v>46141</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60259-2025</t>
        </is>
      </c>
      <c r="B626" s="1" t="n">
        <v>45994.60913194445</v>
      </c>
      <c r="C626" s="1" t="n">
        <v>46141</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60241-2025</t>
        </is>
      </c>
      <c r="B627" s="1" t="n">
        <v>45994.58454861111</v>
      </c>
      <c r="C627" s="1" t="n">
        <v>46141</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69236-2021</t>
        </is>
      </c>
      <c r="B628" s="1" t="n">
        <v>44531.4047337963</v>
      </c>
      <c r="C628" s="1" t="n">
        <v>46141</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55065-2024</t>
        </is>
      </c>
      <c r="B629" s="1" t="n">
        <v>45618</v>
      </c>
      <c r="C629" s="1" t="n">
        <v>46141</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25541-2024</t>
        </is>
      </c>
      <c r="B630" s="1" t="n">
        <v>45463.56337962963</v>
      </c>
      <c r="C630" s="1" t="n">
        <v>46141</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60258-2025</t>
        </is>
      </c>
      <c r="B631" s="1" t="n">
        <v>45994.6064699074</v>
      </c>
      <c r="C631" s="1" t="n">
        <v>46141</v>
      </c>
      <c r="D631" t="inlineStr">
        <is>
          <t>VÄSTMANLANDS LÄN</t>
        </is>
      </c>
      <c r="E631" t="inlineStr">
        <is>
          <t>SALA</t>
        </is>
      </c>
      <c r="G631" t="n">
        <v>2.2</v>
      </c>
      <c r="H631" t="n">
        <v>0</v>
      </c>
      <c r="I631" t="n">
        <v>0</v>
      </c>
      <c r="J631" t="n">
        <v>0</v>
      </c>
      <c r="K631" t="n">
        <v>0</v>
      </c>
      <c r="L631" t="n">
        <v>0</v>
      </c>
      <c r="M631" t="n">
        <v>0</v>
      </c>
      <c r="N631" t="n">
        <v>0</v>
      </c>
      <c r="O631" t="n">
        <v>0</v>
      </c>
      <c r="P631" t="n">
        <v>0</v>
      </c>
      <c r="Q631" t="n">
        <v>0</v>
      </c>
      <c r="R631" s="2" t="inlineStr"/>
    </row>
    <row r="632" ht="15" customHeight="1">
      <c r="A632" t="inlineStr">
        <is>
          <t>A 60246-2025</t>
        </is>
      </c>
      <c r="B632" s="1" t="n">
        <v>45994.58931712963</v>
      </c>
      <c r="C632" s="1" t="n">
        <v>46141</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60629-2025</t>
        </is>
      </c>
      <c r="B633" s="1" t="n">
        <v>45996.41972222222</v>
      </c>
      <c r="C633" s="1" t="n">
        <v>46141</v>
      </c>
      <c r="D633" t="inlineStr">
        <is>
          <t>VÄSTMANLANDS LÄN</t>
        </is>
      </c>
      <c r="E633" t="inlineStr">
        <is>
          <t>SALA</t>
        </is>
      </c>
      <c r="G633" t="n">
        <v>4.3</v>
      </c>
      <c r="H633" t="n">
        <v>0</v>
      </c>
      <c r="I633" t="n">
        <v>0</v>
      </c>
      <c r="J633" t="n">
        <v>0</v>
      </c>
      <c r="K633" t="n">
        <v>0</v>
      </c>
      <c r="L633" t="n">
        <v>0</v>
      </c>
      <c r="M633" t="n">
        <v>0</v>
      </c>
      <c r="N633" t="n">
        <v>0</v>
      </c>
      <c r="O633" t="n">
        <v>0</v>
      </c>
      <c r="P633" t="n">
        <v>0</v>
      </c>
      <c r="Q633" t="n">
        <v>0</v>
      </c>
      <c r="R633" s="2" t="inlineStr"/>
    </row>
    <row r="634" ht="15" customHeight="1">
      <c r="A634" t="inlineStr">
        <is>
          <t>A 24907-2025</t>
        </is>
      </c>
      <c r="B634" s="1" t="n">
        <v>45799</v>
      </c>
      <c r="C634" s="1" t="n">
        <v>46141</v>
      </c>
      <c r="D634" t="inlineStr">
        <is>
          <t>VÄSTMANLANDS LÄN</t>
        </is>
      </c>
      <c r="E634" t="inlineStr">
        <is>
          <t>SALA</t>
        </is>
      </c>
      <c r="G634" t="n">
        <v>3.5</v>
      </c>
      <c r="H634" t="n">
        <v>0</v>
      </c>
      <c r="I634" t="n">
        <v>0</v>
      </c>
      <c r="J634" t="n">
        <v>0</v>
      </c>
      <c r="K634" t="n">
        <v>0</v>
      </c>
      <c r="L634" t="n">
        <v>0</v>
      </c>
      <c r="M634" t="n">
        <v>0</v>
      </c>
      <c r="N634" t="n">
        <v>0</v>
      </c>
      <c r="O634" t="n">
        <v>0</v>
      </c>
      <c r="P634" t="n">
        <v>0</v>
      </c>
      <c r="Q634" t="n">
        <v>0</v>
      </c>
      <c r="R634" s="2" t="inlineStr"/>
    </row>
    <row r="635" ht="15" customHeight="1">
      <c r="A635" t="inlineStr">
        <is>
          <t>A 24910-2025</t>
        </is>
      </c>
      <c r="B635" s="1" t="n">
        <v>45799.53775462963</v>
      </c>
      <c r="C635" s="1" t="n">
        <v>46141</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5728-2022</t>
        </is>
      </c>
      <c r="B636" s="1" t="n">
        <v>44596.42082175926</v>
      </c>
      <c r="C636" s="1" t="n">
        <v>46141</v>
      </c>
      <c r="D636" t="inlineStr">
        <is>
          <t>VÄSTMANLANDS LÄN</t>
        </is>
      </c>
      <c r="E636" t="inlineStr">
        <is>
          <t>SALA</t>
        </is>
      </c>
      <c r="G636" t="n">
        <v>1.7</v>
      </c>
      <c r="H636" t="n">
        <v>0</v>
      </c>
      <c r="I636" t="n">
        <v>0</v>
      </c>
      <c r="J636" t="n">
        <v>0</v>
      </c>
      <c r="K636" t="n">
        <v>0</v>
      </c>
      <c r="L636" t="n">
        <v>0</v>
      </c>
      <c r="M636" t="n">
        <v>0</v>
      </c>
      <c r="N636" t="n">
        <v>0</v>
      </c>
      <c r="O636" t="n">
        <v>0</v>
      </c>
      <c r="P636" t="n">
        <v>0</v>
      </c>
      <c r="Q636" t="n">
        <v>0</v>
      </c>
      <c r="R636" s="2" t="inlineStr"/>
    </row>
    <row r="637" ht="15" customHeight="1">
      <c r="A637" t="inlineStr">
        <is>
          <t>A 61522-2025</t>
        </is>
      </c>
      <c r="B637" s="1" t="n">
        <v>46001.68684027778</v>
      </c>
      <c r="C637" s="1" t="n">
        <v>46141</v>
      </c>
      <c r="D637" t="inlineStr">
        <is>
          <t>VÄSTMANLANDS LÄN</t>
        </is>
      </c>
      <c r="E637" t="inlineStr">
        <is>
          <t>SALA</t>
        </is>
      </c>
      <c r="G637" t="n">
        <v>5.7</v>
      </c>
      <c r="H637" t="n">
        <v>0</v>
      </c>
      <c r="I637" t="n">
        <v>0</v>
      </c>
      <c r="J637" t="n">
        <v>0</v>
      </c>
      <c r="K637" t="n">
        <v>0</v>
      </c>
      <c r="L637" t="n">
        <v>0</v>
      </c>
      <c r="M637" t="n">
        <v>0</v>
      </c>
      <c r="N637" t="n">
        <v>0</v>
      </c>
      <c r="O637" t="n">
        <v>0</v>
      </c>
      <c r="P637" t="n">
        <v>0</v>
      </c>
      <c r="Q637" t="n">
        <v>0</v>
      </c>
      <c r="R637" s="2" t="inlineStr"/>
    </row>
    <row r="638" ht="15" customHeight="1">
      <c r="A638" t="inlineStr">
        <is>
          <t>A 10909-2024</t>
        </is>
      </c>
      <c r="B638" s="1" t="n">
        <v>45370</v>
      </c>
      <c r="C638" s="1" t="n">
        <v>46141</v>
      </c>
      <c r="D638" t="inlineStr">
        <is>
          <t>VÄSTMANLANDS LÄN</t>
        </is>
      </c>
      <c r="E638" t="inlineStr">
        <is>
          <t>SALA</t>
        </is>
      </c>
      <c r="G638" t="n">
        <v>3.3</v>
      </c>
      <c r="H638" t="n">
        <v>0</v>
      </c>
      <c r="I638" t="n">
        <v>0</v>
      </c>
      <c r="J638" t="n">
        <v>0</v>
      </c>
      <c r="K638" t="n">
        <v>0</v>
      </c>
      <c r="L638" t="n">
        <v>0</v>
      </c>
      <c r="M638" t="n">
        <v>0</v>
      </c>
      <c r="N638" t="n">
        <v>0</v>
      </c>
      <c r="O638" t="n">
        <v>0</v>
      </c>
      <c r="P638" t="n">
        <v>0</v>
      </c>
      <c r="Q638" t="n">
        <v>0</v>
      </c>
      <c r="R638" s="2" t="inlineStr"/>
    </row>
    <row r="639" ht="15" customHeight="1">
      <c r="A639" t="inlineStr">
        <is>
          <t>A 62523-2025</t>
        </is>
      </c>
      <c r="B639" s="1" t="n">
        <v>46007.61512731481</v>
      </c>
      <c r="C639" s="1" t="n">
        <v>46141</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63055-2025</t>
        </is>
      </c>
      <c r="B640" s="1" t="n">
        <v>46009.63619212963</v>
      </c>
      <c r="C640" s="1" t="n">
        <v>46141</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63051-2025</t>
        </is>
      </c>
      <c r="B641" s="1" t="n">
        <v>46009.63134259259</v>
      </c>
      <c r="C641" s="1" t="n">
        <v>46141</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63046-2025</t>
        </is>
      </c>
      <c r="B642" s="1" t="n">
        <v>46009.62373842593</v>
      </c>
      <c r="C642" s="1" t="n">
        <v>46141</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63353-2025</t>
        </is>
      </c>
      <c r="B643" s="1" t="n">
        <v>46010.66670138889</v>
      </c>
      <c r="C643" s="1" t="n">
        <v>46141</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63269-2025</t>
        </is>
      </c>
      <c r="B644" s="1" t="n">
        <v>46010</v>
      </c>
      <c r="C644" s="1" t="n">
        <v>46141</v>
      </c>
      <c r="D644" t="inlineStr">
        <is>
          <t>VÄSTMANLANDS LÄN</t>
        </is>
      </c>
      <c r="E644" t="inlineStr">
        <is>
          <t>SALA</t>
        </is>
      </c>
      <c r="G644" t="n">
        <v>6.4</v>
      </c>
      <c r="H644" t="n">
        <v>0</v>
      </c>
      <c r="I644" t="n">
        <v>0</v>
      </c>
      <c r="J644" t="n">
        <v>0</v>
      </c>
      <c r="K644" t="n">
        <v>0</v>
      </c>
      <c r="L644" t="n">
        <v>0</v>
      </c>
      <c r="M644" t="n">
        <v>0</v>
      </c>
      <c r="N644" t="n">
        <v>0</v>
      </c>
      <c r="O644" t="n">
        <v>0</v>
      </c>
      <c r="P644" t="n">
        <v>0</v>
      </c>
      <c r="Q644" t="n">
        <v>0</v>
      </c>
      <c r="R644" s="2" t="inlineStr"/>
    </row>
    <row r="645" ht="15" customHeight="1">
      <c r="A645" t="inlineStr">
        <is>
          <t>A 26661-2025</t>
        </is>
      </c>
      <c r="B645" s="1" t="n">
        <v>45810</v>
      </c>
      <c r="C645" s="1" t="n">
        <v>46141</v>
      </c>
      <c r="D645" t="inlineStr">
        <is>
          <t>VÄSTMANLANDS LÄN</t>
        </is>
      </c>
      <c r="E645" t="inlineStr">
        <is>
          <t>SALA</t>
        </is>
      </c>
      <c r="G645" t="n">
        <v>3.5</v>
      </c>
      <c r="H645" t="n">
        <v>0</v>
      </c>
      <c r="I645" t="n">
        <v>0</v>
      </c>
      <c r="J645" t="n">
        <v>0</v>
      </c>
      <c r="K645" t="n">
        <v>0</v>
      </c>
      <c r="L645" t="n">
        <v>0</v>
      </c>
      <c r="M645" t="n">
        <v>0</v>
      </c>
      <c r="N645" t="n">
        <v>0</v>
      </c>
      <c r="O645" t="n">
        <v>0</v>
      </c>
      <c r="P645" t="n">
        <v>0</v>
      </c>
      <c r="Q645" t="n">
        <v>0</v>
      </c>
      <c r="R645" s="2" t="inlineStr"/>
    </row>
    <row r="646" ht="15" customHeight="1">
      <c r="A646" t="inlineStr">
        <is>
          <t>A 17722-2025</t>
        </is>
      </c>
      <c r="B646" s="1" t="n">
        <v>45758</v>
      </c>
      <c r="C646" s="1" t="n">
        <v>46141</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63749-2025</t>
        </is>
      </c>
      <c r="B647" s="1" t="n">
        <v>46017.75243055556</v>
      </c>
      <c r="C647" s="1" t="n">
        <v>46141</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63748-2025</t>
        </is>
      </c>
      <c r="B648" s="1" t="n">
        <v>46017.71640046296</v>
      </c>
      <c r="C648" s="1" t="n">
        <v>46141</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27989-2025</t>
        </is>
      </c>
      <c r="B649" s="1" t="n">
        <v>45817.58716435185</v>
      </c>
      <c r="C649" s="1" t="n">
        <v>46141</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27981-2025</t>
        </is>
      </c>
      <c r="B650" s="1" t="n">
        <v>45817.57471064815</v>
      </c>
      <c r="C650" s="1" t="n">
        <v>46141</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28193-2025</t>
        </is>
      </c>
      <c r="B651" s="1" t="n">
        <v>45818.425625</v>
      </c>
      <c r="C651" s="1" t="n">
        <v>46141</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28284-2025</t>
        </is>
      </c>
      <c r="B652" s="1" t="n">
        <v>45818.58893518519</v>
      </c>
      <c r="C652" s="1" t="n">
        <v>46141</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910-2026</t>
        </is>
      </c>
      <c r="B653" s="1" t="n">
        <v>46030.4771412037</v>
      </c>
      <c r="C653" s="1" t="n">
        <v>46141</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914-2026</t>
        </is>
      </c>
      <c r="B654" s="1" t="n">
        <v>46030.47952546296</v>
      </c>
      <c r="C654" s="1" t="n">
        <v>46141</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28278-2025</t>
        </is>
      </c>
      <c r="B655" s="1" t="n">
        <v>45818.58454861111</v>
      </c>
      <c r="C655" s="1" t="n">
        <v>46141</v>
      </c>
      <c r="D655" t="inlineStr">
        <is>
          <t>VÄSTMANLANDS LÄN</t>
        </is>
      </c>
      <c r="E655" t="inlineStr">
        <is>
          <t>SALA</t>
        </is>
      </c>
      <c r="G655" t="n">
        <v>7.6</v>
      </c>
      <c r="H655" t="n">
        <v>0</v>
      </c>
      <c r="I655" t="n">
        <v>0</v>
      </c>
      <c r="J655" t="n">
        <v>0</v>
      </c>
      <c r="K655" t="n">
        <v>0</v>
      </c>
      <c r="L655" t="n">
        <v>0</v>
      </c>
      <c r="M655" t="n">
        <v>0</v>
      </c>
      <c r="N655" t="n">
        <v>0</v>
      </c>
      <c r="O655" t="n">
        <v>0</v>
      </c>
      <c r="P655" t="n">
        <v>0</v>
      </c>
      <c r="Q655" t="n">
        <v>0</v>
      </c>
      <c r="R655" s="2" t="inlineStr"/>
    </row>
    <row r="656" ht="15" customHeight="1">
      <c r="A656" t="inlineStr">
        <is>
          <t>A 948-2026</t>
        </is>
      </c>
      <c r="B656" s="1" t="n">
        <v>46030.53986111111</v>
      </c>
      <c r="C656" s="1" t="n">
        <v>46141</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28628-2025</t>
        </is>
      </c>
      <c r="B657" s="1" t="n">
        <v>45819.62158564815</v>
      </c>
      <c r="C657" s="1" t="n">
        <v>46141</v>
      </c>
      <c r="D657" t="inlineStr">
        <is>
          <t>VÄSTMANLANDS LÄN</t>
        </is>
      </c>
      <c r="E657" t="inlineStr">
        <is>
          <t>SALA</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28632-2025</t>
        </is>
      </c>
      <c r="B658" s="1" t="n">
        <v>45819.62344907408</v>
      </c>
      <c r="C658" s="1" t="n">
        <v>46141</v>
      </c>
      <c r="D658" t="inlineStr">
        <is>
          <t>VÄSTMANLANDS LÄN</t>
        </is>
      </c>
      <c r="E658" t="inlineStr">
        <is>
          <t>SALA</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28630-2025</t>
        </is>
      </c>
      <c r="B659" s="1" t="n">
        <v>45819.62274305556</v>
      </c>
      <c r="C659" s="1" t="n">
        <v>46141</v>
      </c>
      <c r="D659" t="inlineStr">
        <is>
          <t>VÄSTMANLANDS LÄN</t>
        </is>
      </c>
      <c r="E659" t="inlineStr">
        <is>
          <t>SALA</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28837-2025</t>
        </is>
      </c>
      <c r="B660" s="1" t="n">
        <v>45820.56243055555</v>
      </c>
      <c r="C660" s="1" t="n">
        <v>46141</v>
      </c>
      <c r="D660" t="inlineStr">
        <is>
          <t>VÄSTMANLANDS LÄN</t>
        </is>
      </c>
      <c r="E660" t="inlineStr">
        <is>
          <t>SALA</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28849-2025</t>
        </is>
      </c>
      <c r="B661" s="1" t="n">
        <v>45820</v>
      </c>
      <c r="C661" s="1" t="n">
        <v>46141</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29085-2025</t>
        </is>
      </c>
      <c r="B662" s="1" t="n">
        <v>45821</v>
      </c>
      <c r="C662" s="1" t="n">
        <v>46141</v>
      </c>
      <c r="D662" t="inlineStr">
        <is>
          <t>VÄSTMANLANDS LÄN</t>
        </is>
      </c>
      <c r="E662" t="inlineStr">
        <is>
          <t>SALA</t>
        </is>
      </c>
      <c r="G662" t="n">
        <v>3.5</v>
      </c>
      <c r="H662" t="n">
        <v>0</v>
      </c>
      <c r="I662" t="n">
        <v>0</v>
      </c>
      <c r="J662" t="n">
        <v>0</v>
      </c>
      <c r="K662" t="n">
        <v>0</v>
      </c>
      <c r="L662" t="n">
        <v>0</v>
      </c>
      <c r="M662" t="n">
        <v>0</v>
      </c>
      <c r="N662" t="n">
        <v>0</v>
      </c>
      <c r="O662" t="n">
        <v>0</v>
      </c>
      <c r="P662" t="n">
        <v>0</v>
      </c>
      <c r="Q662" t="n">
        <v>0</v>
      </c>
      <c r="R662" s="2" t="inlineStr"/>
    </row>
    <row r="663" ht="15" customHeight="1">
      <c r="A663" t="inlineStr">
        <is>
          <t>A 1705-2026</t>
        </is>
      </c>
      <c r="B663" s="1" t="n">
        <v>46034.59930555556</v>
      </c>
      <c r="C663" s="1" t="n">
        <v>46141</v>
      </c>
      <c r="D663" t="inlineStr">
        <is>
          <t>VÄSTMANLANDS LÄN</t>
        </is>
      </c>
      <c r="E663" t="inlineStr">
        <is>
          <t>SALA</t>
        </is>
      </c>
      <c r="G663" t="n">
        <v>0.4</v>
      </c>
      <c r="H663" t="n">
        <v>0</v>
      </c>
      <c r="I663" t="n">
        <v>0</v>
      </c>
      <c r="J663" t="n">
        <v>0</v>
      </c>
      <c r="K663" t="n">
        <v>0</v>
      </c>
      <c r="L663" t="n">
        <v>0</v>
      </c>
      <c r="M663" t="n">
        <v>0</v>
      </c>
      <c r="N663" t="n">
        <v>0</v>
      </c>
      <c r="O663" t="n">
        <v>0</v>
      </c>
      <c r="P663" t="n">
        <v>0</v>
      </c>
      <c r="Q663" t="n">
        <v>0</v>
      </c>
      <c r="R663" s="2" t="inlineStr"/>
    </row>
    <row r="664" ht="15" customHeight="1">
      <c r="A664" t="inlineStr">
        <is>
          <t>A 29691-2025</t>
        </is>
      </c>
      <c r="B664" s="1" t="n">
        <v>45825.53645833334</v>
      </c>
      <c r="C664" s="1" t="n">
        <v>46141</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60541-2024</t>
        </is>
      </c>
      <c r="B665" s="1" t="n">
        <v>45643</v>
      </c>
      <c r="C665" s="1" t="n">
        <v>46141</v>
      </c>
      <c r="D665" t="inlineStr">
        <is>
          <t>VÄSTMANLANDS LÄN</t>
        </is>
      </c>
      <c r="E665" t="inlineStr">
        <is>
          <t>SALA</t>
        </is>
      </c>
      <c r="G665" t="n">
        <v>10.6</v>
      </c>
      <c r="H665" t="n">
        <v>0</v>
      </c>
      <c r="I665" t="n">
        <v>0</v>
      </c>
      <c r="J665" t="n">
        <v>0</v>
      </c>
      <c r="K665" t="n">
        <v>0</v>
      </c>
      <c r="L665" t="n">
        <v>0</v>
      </c>
      <c r="M665" t="n">
        <v>0</v>
      </c>
      <c r="N665" t="n">
        <v>0</v>
      </c>
      <c r="O665" t="n">
        <v>0</v>
      </c>
      <c r="P665" t="n">
        <v>0</v>
      </c>
      <c r="Q665" t="n">
        <v>0</v>
      </c>
      <c r="R665" s="2" t="inlineStr"/>
    </row>
    <row r="666" ht="15" customHeight="1">
      <c r="A666" t="inlineStr">
        <is>
          <t>A 29826-2025</t>
        </is>
      </c>
      <c r="B666" s="1" t="n">
        <v>45825.85761574074</v>
      </c>
      <c r="C666" s="1" t="n">
        <v>46141</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31608-2025</t>
        </is>
      </c>
      <c r="B667" s="1" t="n">
        <v>45833</v>
      </c>
      <c r="C667" s="1" t="n">
        <v>46141</v>
      </c>
      <c r="D667" t="inlineStr">
        <is>
          <t>VÄSTMANLANDS LÄN</t>
        </is>
      </c>
      <c r="E667" t="inlineStr">
        <is>
          <t>SALA</t>
        </is>
      </c>
      <c r="G667" t="n">
        <v>6.1</v>
      </c>
      <c r="H667" t="n">
        <v>0</v>
      </c>
      <c r="I667" t="n">
        <v>0</v>
      </c>
      <c r="J667" t="n">
        <v>0</v>
      </c>
      <c r="K667" t="n">
        <v>0</v>
      </c>
      <c r="L667" t="n">
        <v>0</v>
      </c>
      <c r="M667" t="n">
        <v>0</v>
      </c>
      <c r="N667" t="n">
        <v>0</v>
      </c>
      <c r="O667" t="n">
        <v>0</v>
      </c>
      <c r="P667" t="n">
        <v>0</v>
      </c>
      <c r="Q667" t="n">
        <v>0</v>
      </c>
      <c r="R667" s="2" t="inlineStr"/>
    </row>
    <row r="668" ht="15" customHeight="1">
      <c r="A668" t="inlineStr">
        <is>
          <t>A 30866-2025</t>
        </is>
      </c>
      <c r="B668" s="1" t="n">
        <v>45832.3246875</v>
      </c>
      <c r="C668" s="1" t="n">
        <v>46141</v>
      </c>
      <c r="D668" t="inlineStr">
        <is>
          <t>VÄSTMANLANDS LÄN</t>
        </is>
      </c>
      <c r="E668" t="inlineStr">
        <is>
          <t>SALA</t>
        </is>
      </c>
      <c r="G668" t="n">
        <v>14.3</v>
      </c>
      <c r="H668" t="n">
        <v>0</v>
      </c>
      <c r="I668" t="n">
        <v>0</v>
      </c>
      <c r="J668" t="n">
        <v>0</v>
      </c>
      <c r="K668" t="n">
        <v>0</v>
      </c>
      <c r="L668" t="n">
        <v>0</v>
      </c>
      <c r="M668" t="n">
        <v>0</v>
      </c>
      <c r="N668" t="n">
        <v>0</v>
      </c>
      <c r="O668" t="n">
        <v>0</v>
      </c>
      <c r="P668" t="n">
        <v>0</v>
      </c>
      <c r="Q668" t="n">
        <v>0</v>
      </c>
      <c r="R668" s="2" t="inlineStr"/>
    </row>
    <row r="669" ht="15" customHeight="1">
      <c r="A669" t="inlineStr">
        <is>
          <t>A 30874-2025</t>
        </is>
      </c>
      <c r="B669" s="1" t="n">
        <v>45832.34430555555</v>
      </c>
      <c r="C669" s="1" t="n">
        <v>46141</v>
      </c>
      <c r="D669" t="inlineStr">
        <is>
          <t>VÄSTMANLANDS LÄN</t>
        </is>
      </c>
      <c r="E669" t="inlineStr">
        <is>
          <t>SALA</t>
        </is>
      </c>
      <c r="G669" t="n">
        <v>8.4</v>
      </c>
      <c r="H669" t="n">
        <v>0</v>
      </c>
      <c r="I669" t="n">
        <v>0</v>
      </c>
      <c r="J669" t="n">
        <v>0</v>
      </c>
      <c r="K669" t="n">
        <v>0</v>
      </c>
      <c r="L669" t="n">
        <v>0</v>
      </c>
      <c r="M669" t="n">
        <v>0</v>
      </c>
      <c r="N669" t="n">
        <v>0</v>
      </c>
      <c r="O669" t="n">
        <v>0</v>
      </c>
      <c r="P669" t="n">
        <v>0</v>
      </c>
      <c r="Q669" t="n">
        <v>0</v>
      </c>
      <c r="R669" s="2" t="inlineStr"/>
    </row>
    <row r="670" ht="15" customHeight="1">
      <c r="A670" t="inlineStr">
        <is>
          <t>A 31573-2025</t>
        </is>
      </c>
      <c r="B670" s="1" t="n">
        <v>45833</v>
      </c>
      <c r="C670" s="1" t="n">
        <v>46141</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31288-2025</t>
        </is>
      </c>
      <c r="B671" s="1" t="n">
        <v>45833</v>
      </c>
      <c r="C671" s="1" t="n">
        <v>46141</v>
      </c>
      <c r="D671" t="inlineStr">
        <is>
          <t>VÄSTMANLANDS LÄN</t>
        </is>
      </c>
      <c r="E671" t="inlineStr">
        <is>
          <t>SALA</t>
        </is>
      </c>
      <c r="G671" t="n">
        <v>3.1</v>
      </c>
      <c r="H671" t="n">
        <v>0</v>
      </c>
      <c r="I671" t="n">
        <v>0</v>
      </c>
      <c r="J671" t="n">
        <v>0</v>
      </c>
      <c r="K671" t="n">
        <v>0</v>
      </c>
      <c r="L671" t="n">
        <v>0</v>
      </c>
      <c r="M671" t="n">
        <v>0</v>
      </c>
      <c r="N671" t="n">
        <v>0</v>
      </c>
      <c r="O671" t="n">
        <v>0</v>
      </c>
      <c r="P671" t="n">
        <v>0</v>
      </c>
      <c r="Q671" t="n">
        <v>0</v>
      </c>
      <c r="R671" s="2" t="inlineStr"/>
    </row>
    <row r="672" ht="15" customHeight="1">
      <c r="A672" t="inlineStr">
        <is>
          <t>A 31554-2025</t>
        </is>
      </c>
      <c r="B672" s="1" t="n">
        <v>45833</v>
      </c>
      <c r="C672" s="1" t="n">
        <v>46141</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30899-2025</t>
        </is>
      </c>
      <c r="B673" s="1" t="n">
        <v>45832.35767361111</v>
      </c>
      <c r="C673" s="1" t="n">
        <v>46141</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31065-2025</t>
        </is>
      </c>
      <c r="B674" s="1" t="n">
        <v>45832.57571759259</v>
      </c>
      <c r="C674" s="1" t="n">
        <v>46141</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4214-2026</t>
        </is>
      </c>
      <c r="B675" s="1" t="n">
        <v>46044.76459490741</v>
      </c>
      <c r="C675" s="1" t="n">
        <v>46141</v>
      </c>
      <c r="D675" t="inlineStr">
        <is>
          <t>VÄSTMANLANDS LÄN</t>
        </is>
      </c>
      <c r="E675" t="inlineStr">
        <is>
          <t>SALA</t>
        </is>
      </c>
      <c r="G675" t="n">
        <v>1.7</v>
      </c>
      <c r="H675" t="n">
        <v>0</v>
      </c>
      <c r="I675" t="n">
        <v>0</v>
      </c>
      <c r="J675" t="n">
        <v>0</v>
      </c>
      <c r="K675" t="n">
        <v>0</v>
      </c>
      <c r="L675" t="n">
        <v>0</v>
      </c>
      <c r="M675" t="n">
        <v>0</v>
      </c>
      <c r="N675" t="n">
        <v>0</v>
      </c>
      <c r="O675" t="n">
        <v>0</v>
      </c>
      <c r="P675" t="n">
        <v>0</v>
      </c>
      <c r="Q675" t="n">
        <v>0</v>
      </c>
      <c r="R675" s="2" t="inlineStr"/>
    </row>
    <row r="676" ht="15" customHeight="1">
      <c r="A676" t="inlineStr">
        <is>
          <t>A 4712-2026</t>
        </is>
      </c>
      <c r="B676" s="1" t="n">
        <v>46048.46082175926</v>
      </c>
      <c r="C676" s="1" t="n">
        <v>46141</v>
      </c>
      <c r="D676" t="inlineStr">
        <is>
          <t>VÄSTMANLANDS LÄN</t>
        </is>
      </c>
      <c r="E676" t="inlineStr">
        <is>
          <t>SALA</t>
        </is>
      </c>
      <c r="G676" t="n">
        <v>4.1</v>
      </c>
      <c r="H676" t="n">
        <v>0</v>
      </c>
      <c r="I676" t="n">
        <v>0</v>
      </c>
      <c r="J676" t="n">
        <v>0</v>
      </c>
      <c r="K676" t="n">
        <v>0</v>
      </c>
      <c r="L676" t="n">
        <v>0</v>
      </c>
      <c r="M676" t="n">
        <v>0</v>
      </c>
      <c r="N676" t="n">
        <v>0</v>
      </c>
      <c r="O676" t="n">
        <v>0</v>
      </c>
      <c r="P676" t="n">
        <v>0</v>
      </c>
      <c r="Q676" t="n">
        <v>0</v>
      </c>
      <c r="R676" s="2" t="inlineStr"/>
    </row>
    <row r="677" ht="15" customHeight="1">
      <c r="A677" t="inlineStr">
        <is>
          <t>A 31296-2025</t>
        </is>
      </c>
      <c r="B677" s="1" t="n">
        <v>45833.36765046296</v>
      </c>
      <c r="C677" s="1" t="n">
        <v>46141</v>
      </c>
      <c r="D677" t="inlineStr">
        <is>
          <t>VÄSTMANLANDS LÄN</t>
        </is>
      </c>
      <c r="E677" t="inlineStr">
        <is>
          <t>SALA</t>
        </is>
      </c>
      <c r="G677" t="n">
        <v>3.7</v>
      </c>
      <c r="H677" t="n">
        <v>0</v>
      </c>
      <c r="I677" t="n">
        <v>0</v>
      </c>
      <c r="J677" t="n">
        <v>0</v>
      </c>
      <c r="K677" t="n">
        <v>0</v>
      </c>
      <c r="L677" t="n">
        <v>0</v>
      </c>
      <c r="M677" t="n">
        <v>0</v>
      </c>
      <c r="N677" t="n">
        <v>0</v>
      </c>
      <c r="O677" t="n">
        <v>0</v>
      </c>
      <c r="P677" t="n">
        <v>0</v>
      </c>
      <c r="Q677" t="n">
        <v>0</v>
      </c>
      <c r="R677" s="2" t="inlineStr"/>
    </row>
    <row r="678" ht="15" customHeight="1">
      <c r="A678" t="inlineStr">
        <is>
          <t>A 4664-2026</t>
        </is>
      </c>
      <c r="B678" s="1" t="n">
        <v>46048.41061342593</v>
      </c>
      <c r="C678" s="1" t="n">
        <v>46141</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31748-2025</t>
        </is>
      </c>
      <c r="B679" s="1" t="n">
        <v>45834</v>
      </c>
      <c r="C679" s="1" t="n">
        <v>46141</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4683-2026</t>
        </is>
      </c>
      <c r="B680" s="1" t="n">
        <v>46048.43489583334</v>
      </c>
      <c r="C680" s="1" t="n">
        <v>46141</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4681-2026</t>
        </is>
      </c>
      <c r="B681" s="1" t="n">
        <v>46048.43016203704</v>
      </c>
      <c r="C681" s="1" t="n">
        <v>46141</v>
      </c>
      <c r="D681" t="inlineStr">
        <is>
          <t>VÄSTMANLANDS LÄN</t>
        </is>
      </c>
      <c r="E681" t="inlineStr">
        <is>
          <t>SALA</t>
        </is>
      </c>
      <c r="G681" t="n">
        <v>2.5</v>
      </c>
      <c r="H681" t="n">
        <v>0</v>
      </c>
      <c r="I681" t="n">
        <v>0</v>
      </c>
      <c r="J681" t="n">
        <v>0</v>
      </c>
      <c r="K681" t="n">
        <v>0</v>
      </c>
      <c r="L681" t="n">
        <v>0</v>
      </c>
      <c r="M681" t="n">
        <v>0</v>
      </c>
      <c r="N681" t="n">
        <v>0</v>
      </c>
      <c r="O681" t="n">
        <v>0</v>
      </c>
      <c r="P681" t="n">
        <v>0</v>
      </c>
      <c r="Q681" t="n">
        <v>0</v>
      </c>
      <c r="R681" s="2" t="inlineStr"/>
    </row>
    <row r="682" ht="15" customHeight="1">
      <c r="A682" t="inlineStr">
        <is>
          <t>A 32210-2025</t>
        </is>
      </c>
      <c r="B682" s="1" t="n">
        <v>45835</v>
      </c>
      <c r="C682" s="1" t="n">
        <v>46141</v>
      </c>
      <c r="D682" t="inlineStr">
        <is>
          <t>VÄSTMANLANDS LÄN</t>
        </is>
      </c>
      <c r="E682" t="inlineStr">
        <is>
          <t>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31610-2025</t>
        </is>
      </c>
      <c r="B683" s="1" t="n">
        <v>45833.78650462963</v>
      </c>
      <c r="C683" s="1" t="n">
        <v>46141</v>
      </c>
      <c r="D683" t="inlineStr">
        <is>
          <t>VÄSTMANLANDS LÄN</t>
        </is>
      </c>
      <c r="E683" t="inlineStr">
        <is>
          <t>SALA</t>
        </is>
      </c>
      <c r="G683" t="n">
        <v>8</v>
      </c>
      <c r="H683" t="n">
        <v>0</v>
      </c>
      <c r="I683" t="n">
        <v>0</v>
      </c>
      <c r="J683" t="n">
        <v>0</v>
      </c>
      <c r="K683" t="n">
        <v>0</v>
      </c>
      <c r="L683" t="n">
        <v>0</v>
      </c>
      <c r="M683" t="n">
        <v>0</v>
      </c>
      <c r="N683" t="n">
        <v>0</v>
      </c>
      <c r="O683" t="n">
        <v>0</v>
      </c>
      <c r="P683" t="n">
        <v>0</v>
      </c>
      <c r="Q683" t="n">
        <v>0</v>
      </c>
      <c r="R683" s="2" t="inlineStr"/>
    </row>
    <row r="684" ht="15" customHeight="1">
      <c r="A684" t="inlineStr">
        <is>
          <t>A 4624-2026</t>
        </is>
      </c>
      <c r="B684" s="1" t="n">
        <v>46048.38107638889</v>
      </c>
      <c r="C684" s="1" t="n">
        <v>46141</v>
      </c>
      <c r="D684" t="inlineStr">
        <is>
          <t>VÄSTMANLANDS LÄN</t>
        </is>
      </c>
      <c r="E684" t="inlineStr">
        <is>
          <t>SALA</t>
        </is>
      </c>
      <c r="G684" t="n">
        <v>12.3</v>
      </c>
      <c r="H684" t="n">
        <v>0</v>
      </c>
      <c r="I684" t="n">
        <v>0</v>
      </c>
      <c r="J684" t="n">
        <v>0</v>
      </c>
      <c r="K684" t="n">
        <v>0</v>
      </c>
      <c r="L684" t="n">
        <v>0</v>
      </c>
      <c r="M684" t="n">
        <v>0</v>
      </c>
      <c r="N684" t="n">
        <v>0</v>
      </c>
      <c r="O684" t="n">
        <v>0</v>
      </c>
      <c r="P684" t="n">
        <v>0</v>
      </c>
      <c r="Q684" t="n">
        <v>0</v>
      </c>
      <c r="R684" s="2" t="inlineStr"/>
    </row>
    <row r="685" ht="15" customHeight="1">
      <c r="A685" t="inlineStr">
        <is>
          <t>A 32201-2025</t>
        </is>
      </c>
      <c r="B685" s="1" t="n">
        <v>45835</v>
      </c>
      <c r="C685" s="1" t="n">
        <v>46141</v>
      </c>
      <c r="D685" t="inlineStr">
        <is>
          <t>VÄSTMANLANDS LÄN</t>
        </is>
      </c>
      <c r="E685" t="inlineStr">
        <is>
          <t>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31612-2025</t>
        </is>
      </c>
      <c r="B686" s="1" t="n">
        <v>45833.80056712963</v>
      </c>
      <c r="C686" s="1" t="n">
        <v>46141</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32207-2025</t>
        </is>
      </c>
      <c r="B687" s="1" t="n">
        <v>45835</v>
      </c>
      <c r="C687" s="1" t="n">
        <v>46141</v>
      </c>
      <c r="D687" t="inlineStr">
        <is>
          <t>VÄSTMANLANDS LÄN</t>
        </is>
      </c>
      <c r="E687" t="inlineStr">
        <is>
          <t>SALA</t>
        </is>
      </c>
      <c r="F687" t="inlineStr">
        <is>
          <t>Bergvik skog öst AB</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31762-2025</t>
        </is>
      </c>
      <c r="B688" s="1" t="n">
        <v>45834.49288194445</v>
      </c>
      <c r="C688" s="1" t="n">
        <v>46141</v>
      </c>
      <c r="D688" t="inlineStr">
        <is>
          <t>VÄSTMANLANDS LÄN</t>
        </is>
      </c>
      <c r="E688" t="inlineStr">
        <is>
          <t>SALA</t>
        </is>
      </c>
      <c r="G688" t="n">
        <v>5.9</v>
      </c>
      <c r="H688" t="n">
        <v>0</v>
      </c>
      <c r="I688" t="n">
        <v>0</v>
      </c>
      <c r="J688" t="n">
        <v>0</v>
      </c>
      <c r="K688" t="n">
        <v>0</v>
      </c>
      <c r="L688" t="n">
        <v>0</v>
      </c>
      <c r="M688" t="n">
        <v>0</v>
      </c>
      <c r="N688" t="n">
        <v>0</v>
      </c>
      <c r="O688" t="n">
        <v>0</v>
      </c>
      <c r="P688" t="n">
        <v>0</v>
      </c>
      <c r="Q688" t="n">
        <v>0</v>
      </c>
      <c r="R688" s="2" t="inlineStr"/>
    </row>
    <row r="689" ht="15" customHeight="1">
      <c r="A689" t="inlineStr">
        <is>
          <t>A 31771-2025</t>
        </is>
      </c>
      <c r="B689" s="1" t="n">
        <v>45834.50910879629</v>
      </c>
      <c r="C689" s="1" t="n">
        <v>46141</v>
      </c>
      <c r="D689" t="inlineStr">
        <is>
          <t>VÄSTMANLANDS LÄN</t>
        </is>
      </c>
      <c r="E689" t="inlineStr">
        <is>
          <t>SALA</t>
        </is>
      </c>
      <c r="G689" t="n">
        <v>5.1</v>
      </c>
      <c r="H689" t="n">
        <v>0</v>
      </c>
      <c r="I689" t="n">
        <v>0</v>
      </c>
      <c r="J689" t="n">
        <v>0</v>
      </c>
      <c r="K689" t="n">
        <v>0</v>
      </c>
      <c r="L689" t="n">
        <v>0</v>
      </c>
      <c r="M689" t="n">
        <v>0</v>
      </c>
      <c r="N689" t="n">
        <v>0</v>
      </c>
      <c r="O689" t="n">
        <v>0</v>
      </c>
      <c r="P689" t="n">
        <v>0</v>
      </c>
      <c r="Q689" t="n">
        <v>0</v>
      </c>
      <c r="R689" s="2" t="inlineStr"/>
    </row>
    <row r="690" ht="15" customHeight="1">
      <c r="A690" t="inlineStr">
        <is>
          <t>A 5525-2026</t>
        </is>
      </c>
      <c r="B690" s="1" t="n">
        <v>46050.65055555556</v>
      </c>
      <c r="C690" s="1" t="n">
        <v>46141</v>
      </c>
      <c r="D690" t="inlineStr">
        <is>
          <t>VÄSTMANLANDS LÄN</t>
        </is>
      </c>
      <c r="E690" t="inlineStr">
        <is>
          <t>SALA</t>
        </is>
      </c>
      <c r="G690" t="n">
        <v>13.1</v>
      </c>
      <c r="H690" t="n">
        <v>0</v>
      </c>
      <c r="I690" t="n">
        <v>0</v>
      </c>
      <c r="J690" t="n">
        <v>0</v>
      </c>
      <c r="K690" t="n">
        <v>0</v>
      </c>
      <c r="L690" t="n">
        <v>0</v>
      </c>
      <c r="M690" t="n">
        <v>0</v>
      </c>
      <c r="N690" t="n">
        <v>0</v>
      </c>
      <c r="O690" t="n">
        <v>0</v>
      </c>
      <c r="P690" t="n">
        <v>0</v>
      </c>
      <c r="Q690" t="n">
        <v>0</v>
      </c>
      <c r="R690" s="2" t="inlineStr"/>
    </row>
    <row r="691" ht="15" customHeight="1">
      <c r="A691" t="inlineStr">
        <is>
          <t>A 32205-2025</t>
        </is>
      </c>
      <c r="B691" s="1" t="n">
        <v>45835</v>
      </c>
      <c r="C691" s="1" t="n">
        <v>46141</v>
      </c>
      <c r="D691" t="inlineStr">
        <is>
          <t>VÄSTMANLANDS LÄN</t>
        </is>
      </c>
      <c r="E691" t="inlineStr">
        <is>
          <t>SALA</t>
        </is>
      </c>
      <c r="F691" t="inlineStr">
        <is>
          <t>Bergvik skog öst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32286-2025</t>
        </is>
      </c>
      <c r="B692" s="1" t="n">
        <v>45835</v>
      </c>
      <c r="C692" s="1" t="n">
        <v>46141</v>
      </c>
      <c r="D692" t="inlineStr">
        <is>
          <t>VÄSTMANLANDS LÄN</t>
        </is>
      </c>
      <c r="E692" t="inlineStr">
        <is>
          <t>SALA</t>
        </is>
      </c>
      <c r="G692" t="n">
        <v>6.4</v>
      </c>
      <c r="H692" t="n">
        <v>0</v>
      </c>
      <c r="I692" t="n">
        <v>0</v>
      </c>
      <c r="J692" t="n">
        <v>0</v>
      </c>
      <c r="K692" t="n">
        <v>0</v>
      </c>
      <c r="L692" t="n">
        <v>0</v>
      </c>
      <c r="M692" t="n">
        <v>0</v>
      </c>
      <c r="N692" t="n">
        <v>0</v>
      </c>
      <c r="O692" t="n">
        <v>0</v>
      </c>
      <c r="P692" t="n">
        <v>0</v>
      </c>
      <c r="Q692" t="n">
        <v>0</v>
      </c>
      <c r="R692" s="2" t="inlineStr"/>
    </row>
    <row r="693" ht="15" customHeight="1">
      <c r="A693" t="inlineStr">
        <is>
          <t>A 32902-2025</t>
        </is>
      </c>
      <c r="B693" s="1" t="n">
        <v>45839</v>
      </c>
      <c r="C693" s="1" t="n">
        <v>46141</v>
      </c>
      <c r="D693" t="inlineStr">
        <is>
          <t>VÄSTMANLANDS LÄN</t>
        </is>
      </c>
      <c r="E693" t="inlineStr">
        <is>
          <t>SALA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5219-2026</t>
        </is>
      </c>
      <c r="B694" s="1" t="n">
        <v>46049.76225694444</v>
      </c>
      <c r="C694" s="1" t="n">
        <v>46141</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5418-2026</t>
        </is>
      </c>
      <c r="B695" s="1" t="n">
        <v>46050.53740740741</v>
      </c>
      <c r="C695" s="1" t="n">
        <v>46141</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5894-2026</t>
        </is>
      </c>
      <c r="B696" s="1" t="n">
        <v>46052.42412037037</v>
      </c>
      <c r="C696" s="1" t="n">
        <v>46141</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34069-2025</t>
        </is>
      </c>
      <c r="B697" s="1" t="n">
        <v>45845.43560185185</v>
      </c>
      <c r="C697" s="1" t="n">
        <v>46141</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c r="U697">
        <f>HYPERLINK("https://klasma.github.io/Logging_1981/knärot/A 34069-2025 karta knärot.png", "A 34069-2025")</f>
        <v/>
      </c>
      <c r="V697">
        <f>HYPERLINK("https://klasma.github.io/Logging_1981/klagomål/A 34069-2025 FSC-klagomål.docx", "A 34069-2025")</f>
        <v/>
      </c>
      <c r="W697">
        <f>HYPERLINK("https://klasma.github.io/Logging_1981/klagomålsmail/A 34069-2025 FSC-klagomål mail.docx", "A 34069-2025")</f>
        <v/>
      </c>
      <c r="X697">
        <f>HYPERLINK("https://klasma.github.io/Logging_1981/tillsyn/A 34069-2025 tillsynsbegäran.docx", "A 34069-2025")</f>
        <v/>
      </c>
      <c r="Y697">
        <f>HYPERLINK("https://klasma.github.io/Logging_1981/tillsynsmail/A 34069-2025 tillsynsbegäran mail.docx", "A 34069-2025")</f>
        <v/>
      </c>
    </row>
    <row r="698" ht="15" customHeight="1">
      <c r="A698" t="inlineStr">
        <is>
          <t>A 6021-2026</t>
        </is>
      </c>
      <c r="B698" s="1" t="n">
        <v>46050</v>
      </c>
      <c r="C698" s="1" t="n">
        <v>46141</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15744-2025</t>
        </is>
      </c>
      <c r="B699" s="1" t="n">
        <v>45748</v>
      </c>
      <c r="C699" s="1" t="n">
        <v>46141</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14490-2026</t>
        </is>
      </c>
      <c r="B700" s="1" t="n">
        <v>46100.59277777778</v>
      </c>
      <c r="C700" s="1" t="n">
        <v>46141</v>
      </c>
      <c r="D700" t="inlineStr">
        <is>
          <t>VÄSTMANLANDS LÄN</t>
        </is>
      </c>
      <c r="E700" t="inlineStr">
        <is>
          <t>SALA</t>
        </is>
      </c>
      <c r="F700" t="inlineStr">
        <is>
          <t>Sveaskog</t>
        </is>
      </c>
      <c r="G700" t="n">
        <v>2.6</v>
      </c>
      <c r="H700" t="n">
        <v>0</v>
      </c>
      <c r="I700" t="n">
        <v>0</v>
      </c>
      <c r="J700" t="n">
        <v>0</v>
      </c>
      <c r="K700" t="n">
        <v>0</v>
      </c>
      <c r="L700" t="n">
        <v>0</v>
      </c>
      <c r="M700" t="n">
        <v>0</v>
      </c>
      <c r="N700" t="n">
        <v>0</v>
      </c>
      <c r="O700" t="n">
        <v>0</v>
      </c>
      <c r="P700" t="n">
        <v>0</v>
      </c>
      <c r="Q700" t="n">
        <v>0</v>
      </c>
      <c r="R700" s="2" t="inlineStr"/>
    </row>
    <row r="701" ht="15" customHeight="1">
      <c r="A701" t="inlineStr">
        <is>
          <t>A 14481-2026</t>
        </is>
      </c>
      <c r="B701" s="1" t="n">
        <v>46100.58707175926</v>
      </c>
      <c r="C701" s="1" t="n">
        <v>46141</v>
      </c>
      <c r="D701" t="inlineStr">
        <is>
          <t>VÄSTMANLANDS LÄN</t>
        </is>
      </c>
      <c r="E701" t="inlineStr">
        <is>
          <t>SALA</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14482-2026</t>
        </is>
      </c>
      <c r="B702" s="1" t="n">
        <v>46100.588125</v>
      </c>
      <c r="C702" s="1" t="n">
        <v>46141</v>
      </c>
      <c r="D702" t="inlineStr">
        <is>
          <t>VÄSTMANLANDS LÄN</t>
        </is>
      </c>
      <c r="E702" t="inlineStr">
        <is>
          <t>SALA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14484-2026</t>
        </is>
      </c>
      <c r="B703" s="1" t="n">
        <v>46100.5887962963</v>
      </c>
      <c r="C703" s="1" t="n">
        <v>46141</v>
      </c>
      <c r="D703" t="inlineStr">
        <is>
          <t>VÄSTMANLANDS LÄN</t>
        </is>
      </c>
      <c r="E703" t="inlineStr">
        <is>
          <t>SALA</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7327-2026</t>
        </is>
      </c>
      <c r="B704" s="1" t="n">
        <v>46058.68371527778</v>
      </c>
      <c r="C704" s="1" t="n">
        <v>46141</v>
      </c>
      <c r="D704" t="inlineStr">
        <is>
          <t>VÄSTMANLANDS LÄN</t>
        </is>
      </c>
      <c r="E704" t="inlineStr">
        <is>
          <t>SALA</t>
        </is>
      </c>
      <c r="G704" t="n">
        <v>5.8</v>
      </c>
      <c r="H704" t="n">
        <v>0</v>
      </c>
      <c r="I704" t="n">
        <v>0</v>
      </c>
      <c r="J704" t="n">
        <v>0</v>
      </c>
      <c r="K704" t="n">
        <v>0</v>
      </c>
      <c r="L704" t="n">
        <v>0</v>
      </c>
      <c r="M704" t="n">
        <v>0</v>
      </c>
      <c r="N704" t="n">
        <v>0</v>
      </c>
      <c r="O704" t="n">
        <v>0</v>
      </c>
      <c r="P704" t="n">
        <v>0</v>
      </c>
      <c r="Q704" t="n">
        <v>0</v>
      </c>
      <c r="R704" s="2" t="inlineStr"/>
    </row>
    <row r="705" ht="15" customHeight="1">
      <c r="A705" t="inlineStr">
        <is>
          <t>A 7332-2026</t>
        </is>
      </c>
      <c r="B705" s="1" t="n">
        <v>46058.68884259259</v>
      </c>
      <c r="C705" s="1" t="n">
        <v>46141</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11617-2026</t>
        </is>
      </c>
      <c r="B706" s="1" t="n">
        <v>46084</v>
      </c>
      <c r="C706" s="1" t="n">
        <v>46141</v>
      </c>
      <c r="D706" t="inlineStr">
        <is>
          <t>VÄSTMANLANDS LÄN</t>
        </is>
      </c>
      <c r="E706" t="inlineStr">
        <is>
          <t>SALA</t>
        </is>
      </c>
      <c r="F706" t="inlineStr">
        <is>
          <t>Kyrkan</t>
        </is>
      </c>
      <c r="G706" t="n">
        <v>3.7</v>
      </c>
      <c r="H706" t="n">
        <v>0</v>
      </c>
      <c r="I706" t="n">
        <v>0</v>
      </c>
      <c r="J706" t="n">
        <v>0</v>
      </c>
      <c r="K706" t="n">
        <v>0</v>
      </c>
      <c r="L706" t="n">
        <v>0</v>
      </c>
      <c r="M706" t="n">
        <v>0</v>
      </c>
      <c r="N706" t="n">
        <v>0</v>
      </c>
      <c r="O706" t="n">
        <v>0</v>
      </c>
      <c r="P706" t="n">
        <v>0</v>
      </c>
      <c r="Q706" t="n">
        <v>0</v>
      </c>
      <c r="R706" s="2" t="inlineStr"/>
    </row>
    <row r="707" ht="15" customHeight="1">
      <c r="A707" t="inlineStr">
        <is>
          <t>A 7324-2026</t>
        </is>
      </c>
      <c r="B707" s="1" t="n">
        <v>46058.68023148148</v>
      </c>
      <c r="C707" s="1" t="n">
        <v>46141</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7329-2026</t>
        </is>
      </c>
      <c r="B708" s="1" t="n">
        <v>46058.68678240741</v>
      </c>
      <c r="C708" s="1" t="n">
        <v>46141</v>
      </c>
      <c r="D708" t="inlineStr">
        <is>
          <t>VÄSTMANLANDS LÄN</t>
        </is>
      </c>
      <c r="E708" t="inlineStr">
        <is>
          <t>SALA</t>
        </is>
      </c>
      <c r="G708" t="n">
        <v>3.1</v>
      </c>
      <c r="H708" t="n">
        <v>0</v>
      </c>
      <c r="I708" t="n">
        <v>0</v>
      </c>
      <c r="J708" t="n">
        <v>0</v>
      </c>
      <c r="K708" t="n">
        <v>0</v>
      </c>
      <c r="L708" t="n">
        <v>0</v>
      </c>
      <c r="M708" t="n">
        <v>0</v>
      </c>
      <c r="N708" t="n">
        <v>0</v>
      </c>
      <c r="O708" t="n">
        <v>0</v>
      </c>
      <c r="P708" t="n">
        <v>0</v>
      </c>
      <c r="Q708" t="n">
        <v>0</v>
      </c>
      <c r="R708" s="2" t="inlineStr"/>
    </row>
    <row r="709" ht="15" customHeight="1">
      <c r="A709" t="inlineStr">
        <is>
          <t>A 7654-2026</t>
        </is>
      </c>
      <c r="B709" s="1" t="n">
        <v>46062.38828703704</v>
      </c>
      <c r="C709" s="1" t="n">
        <v>46141</v>
      </c>
      <c r="D709" t="inlineStr">
        <is>
          <t>VÄSTMANLANDS LÄN</t>
        </is>
      </c>
      <c r="E709" t="inlineStr">
        <is>
          <t>SALA</t>
        </is>
      </c>
      <c r="G709" t="n">
        <v>4.5</v>
      </c>
      <c r="H709" t="n">
        <v>0</v>
      </c>
      <c r="I709" t="n">
        <v>0</v>
      </c>
      <c r="J709" t="n">
        <v>0</v>
      </c>
      <c r="K709" t="n">
        <v>0</v>
      </c>
      <c r="L709" t="n">
        <v>0</v>
      </c>
      <c r="M709" t="n">
        <v>0</v>
      </c>
      <c r="N709" t="n">
        <v>0</v>
      </c>
      <c r="O709" t="n">
        <v>0</v>
      </c>
      <c r="P709" t="n">
        <v>0</v>
      </c>
      <c r="Q709" t="n">
        <v>0</v>
      </c>
      <c r="R709" s="2" t="inlineStr"/>
    </row>
    <row r="710" ht="15" customHeight="1">
      <c r="A710" t="inlineStr">
        <is>
          <t>A 7588-2026</t>
        </is>
      </c>
      <c r="B710" s="1" t="n">
        <v>46061.83528935185</v>
      </c>
      <c r="C710" s="1" t="n">
        <v>46141</v>
      </c>
      <c r="D710" t="inlineStr">
        <is>
          <t>VÄSTMANLANDS LÄN</t>
        </is>
      </c>
      <c r="E710" t="inlineStr">
        <is>
          <t>SALA</t>
        </is>
      </c>
      <c r="G710" t="n">
        <v>2.8</v>
      </c>
      <c r="H710" t="n">
        <v>0</v>
      </c>
      <c r="I710" t="n">
        <v>0</v>
      </c>
      <c r="J710" t="n">
        <v>0</v>
      </c>
      <c r="K710" t="n">
        <v>0</v>
      </c>
      <c r="L710" t="n">
        <v>0</v>
      </c>
      <c r="M710" t="n">
        <v>0</v>
      </c>
      <c r="N710" t="n">
        <v>0</v>
      </c>
      <c r="O710" t="n">
        <v>0</v>
      </c>
      <c r="P710" t="n">
        <v>0</v>
      </c>
      <c r="Q710" t="n">
        <v>0</v>
      </c>
      <c r="R710" s="2" t="inlineStr"/>
    </row>
    <row r="711" ht="15" customHeight="1">
      <c r="A711" t="inlineStr">
        <is>
          <t>A 7611-2026</t>
        </is>
      </c>
      <c r="B711" s="1" t="n">
        <v>46062.32387731481</v>
      </c>
      <c r="C711" s="1" t="n">
        <v>46141</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7676-2026</t>
        </is>
      </c>
      <c r="B712" s="1" t="n">
        <v>46062.42498842593</v>
      </c>
      <c r="C712" s="1" t="n">
        <v>46141</v>
      </c>
      <c r="D712" t="inlineStr">
        <is>
          <t>VÄSTMANLANDS LÄN</t>
        </is>
      </c>
      <c r="E712" t="inlineStr">
        <is>
          <t>SALA</t>
        </is>
      </c>
      <c r="G712" t="n">
        <v>2.1</v>
      </c>
      <c r="H712" t="n">
        <v>0</v>
      </c>
      <c r="I712" t="n">
        <v>0</v>
      </c>
      <c r="J712" t="n">
        <v>0</v>
      </c>
      <c r="K712" t="n">
        <v>0</v>
      </c>
      <c r="L712" t="n">
        <v>0</v>
      </c>
      <c r="M712" t="n">
        <v>0</v>
      </c>
      <c r="N712" t="n">
        <v>0</v>
      </c>
      <c r="O712" t="n">
        <v>0</v>
      </c>
      <c r="P712" t="n">
        <v>0</v>
      </c>
      <c r="Q712" t="n">
        <v>0</v>
      </c>
      <c r="R712" s="2" t="inlineStr"/>
    </row>
    <row r="713" ht="15" customHeight="1">
      <c r="A713" t="inlineStr">
        <is>
          <t>A 7593-2026</t>
        </is>
      </c>
      <c r="B713" s="1" t="n">
        <v>46061.88057870371</v>
      </c>
      <c r="C713" s="1" t="n">
        <v>46141</v>
      </c>
      <c r="D713" t="inlineStr">
        <is>
          <t>VÄSTMANLANDS LÄN</t>
        </is>
      </c>
      <c r="E713" t="inlineStr">
        <is>
          <t>SALA</t>
        </is>
      </c>
      <c r="G713" t="n">
        <v>7.5</v>
      </c>
      <c r="H713" t="n">
        <v>0</v>
      </c>
      <c r="I713" t="n">
        <v>0</v>
      </c>
      <c r="J713" t="n">
        <v>0</v>
      </c>
      <c r="K713" t="n">
        <v>0</v>
      </c>
      <c r="L713" t="n">
        <v>0</v>
      </c>
      <c r="M713" t="n">
        <v>0</v>
      </c>
      <c r="N713" t="n">
        <v>0</v>
      </c>
      <c r="O713" t="n">
        <v>0</v>
      </c>
      <c r="P713" t="n">
        <v>0</v>
      </c>
      <c r="Q713" t="n">
        <v>0</v>
      </c>
      <c r="R713" s="2" t="inlineStr"/>
    </row>
    <row r="714" ht="15" customHeight="1">
      <c r="A714" t="inlineStr">
        <is>
          <t>A 7597-2026</t>
        </is>
      </c>
      <c r="B714" s="1" t="n">
        <v>46061.91765046296</v>
      </c>
      <c r="C714" s="1" t="n">
        <v>46141</v>
      </c>
      <c r="D714" t="inlineStr">
        <is>
          <t>VÄSTMANLANDS LÄN</t>
        </is>
      </c>
      <c r="E714" t="inlineStr">
        <is>
          <t>SALA</t>
        </is>
      </c>
      <c r="G714" t="n">
        <v>0.6</v>
      </c>
      <c r="H714" t="n">
        <v>0</v>
      </c>
      <c r="I714" t="n">
        <v>0</v>
      </c>
      <c r="J714" t="n">
        <v>0</v>
      </c>
      <c r="K714" t="n">
        <v>0</v>
      </c>
      <c r="L714" t="n">
        <v>0</v>
      </c>
      <c r="M714" t="n">
        <v>0</v>
      </c>
      <c r="N714" t="n">
        <v>0</v>
      </c>
      <c r="O714" t="n">
        <v>0</v>
      </c>
      <c r="P714" t="n">
        <v>0</v>
      </c>
      <c r="Q714" t="n">
        <v>0</v>
      </c>
      <c r="R714" s="2" t="inlineStr"/>
    </row>
    <row r="715" ht="15" customHeight="1">
      <c r="A715" t="inlineStr">
        <is>
          <t>A 35775-2025</t>
        </is>
      </c>
      <c r="B715" s="1" t="n">
        <v>45860</v>
      </c>
      <c r="C715" s="1" t="n">
        <v>46141</v>
      </c>
      <c r="D715" t="inlineStr">
        <is>
          <t>VÄSTMANLANDS LÄN</t>
        </is>
      </c>
      <c r="E715" t="inlineStr">
        <is>
          <t>SALA</t>
        </is>
      </c>
      <c r="G715" t="n">
        <v>2.6</v>
      </c>
      <c r="H715" t="n">
        <v>0</v>
      </c>
      <c r="I715" t="n">
        <v>0</v>
      </c>
      <c r="J715" t="n">
        <v>0</v>
      </c>
      <c r="K715" t="n">
        <v>0</v>
      </c>
      <c r="L715" t="n">
        <v>0</v>
      </c>
      <c r="M715" t="n">
        <v>0</v>
      </c>
      <c r="N715" t="n">
        <v>0</v>
      </c>
      <c r="O715" t="n">
        <v>0</v>
      </c>
      <c r="P715" t="n">
        <v>0</v>
      </c>
      <c r="Q715" t="n">
        <v>0</v>
      </c>
      <c r="R715" s="2" t="inlineStr"/>
    </row>
    <row r="716" ht="15" customHeight="1">
      <c r="A716" t="inlineStr">
        <is>
          <t>A 35779-2025</t>
        </is>
      </c>
      <c r="B716" s="1" t="n">
        <v>45860.69495370371</v>
      </c>
      <c r="C716" s="1" t="n">
        <v>46141</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35776-2025</t>
        </is>
      </c>
      <c r="B717" s="1" t="n">
        <v>45860.69211805556</v>
      </c>
      <c r="C717" s="1" t="n">
        <v>46141</v>
      </c>
      <c r="D717" t="inlineStr">
        <is>
          <t>VÄSTMANLANDS LÄN</t>
        </is>
      </c>
      <c r="E717" t="inlineStr">
        <is>
          <t>SALA</t>
        </is>
      </c>
      <c r="G717" t="n">
        <v>14.2</v>
      </c>
      <c r="H717" t="n">
        <v>0</v>
      </c>
      <c r="I717" t="n">
        <v>0</v>
      </c>
      <c r="J717" t="n">
        <v>0</v>
      </c>
      <c r="K717" t="n">
        <v>0</v>
      </c>
      <c r="L717" t="n">
        <v>0</v>
      </c>
      <c r="M717" t="n">
        <v>0</v>
      </c>
      <c r="N717" t="n">
        <v>0</v>
      </c>
      <c r="O717" t="n">
        <v>0</v>
      </c>
      <c r="P717" t="n">
        <v>0</v>
      </c>
      <c r="Q717" t="n">
        <v>0</v>
      </c>
      <c r="R717" s="2" t="inlineStr"/>
    </row>
    <row r="718" ht="15" customHeight="1">
      <c r="A718" t="inlineStr">
        <is>
          <t>A 35715-2025</t>
        </is>
      </c>
      <c r="B718" s="1" t="n">
        <v>45860.42148148148</v>
      </c>
      <c r="C718" s="1" t="n">
        <v>46141</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7661-2026</t>
        </is>
      </c>
      <c r="B719" s="1" t="n">
        <v>46062.39614583334</v>
      </c>
      <c r="C719" s="1" t="n">
        <v>46141</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7584-2026</t>
        </is>
      </c>
      <c r="B720" s="1" t="n">
        <v>46061.81653935185</v>
      </c>
      <c r="C720" s="1" t="n">
        <v>46141</v>
      </c>
      <c r="D720" t="inlineStr">
        <is>
          <t>VÄSTMANLANDS LÄN</t>
        </is>
      </c>
      <c r="E720" t="inlineStr">
        <is>
          <t>SALA</t>
        </is>
      </c>
      <c r="G720" t="n">
        <v>16.7</v>
      </c>
      <c r="H720" t="n">
        <v>0</v>
      </c>
      <c r="I720" t="n">
        <v>0</v>
      </c>
      <c r="J720" t="n">
        <v>0</v>
      </c>
      <c r="K720" t="n">
        <v>0</v>
      </c>
      <c r="L720" t="n">
        <v>0</v>
      </c>
      <c r="M720" t="n">
        <v>0</v>
      </c>
      <c r="N720" t="n">
        <v>0</v>
      </c>
      <c r="O720" t="n">
        <v>0</v>
      </c>
      <c r="P720" t="n">
        <v>0</v>
      </c>
      <c r="Q720" t="n">
        <v>0</v>
      </c>
      <c r="R720" s="2" t="inlineStr"/>
    </row>
    <row r="721" ht="15" customHeight="1">
      <c r="A721" t="inlineStr">
        <is>
          <t>A 7590-2026</t>
        </is>
      </c>
      <c r="B721" s="1" t="n">
        <v>46061.85252314815</v>
      </c>
      <c r="C721" s="1" t="n">
        <v>46141</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7596-2026</t>
        </is>
      </c>
      <c r="B722" s="1" t="n">
        <v>46061.90922453703</v>
      </c>
      <c r="C722" s="1" t="n">
        <v>46141</v>
      </c>
      <c r="D722" t="inlineStr">
        <is>
          <t>VÄSTMANLANDS LÄN</t>
        </is>
      </c>
      <c r="E722" t="inlineStr">
        <is>
          <t>SALA</t>
        </is>
      </c>
      <c r="G722" t="n">
        <v>3.1</v>
      </c>
      <c r="H722" t="n">
        <v>0</v>
      </c>
      <c r="I722" t="n">
        <v>0</v>
      </c>
      <c r="J722" t="n">
        <v>0</v>
      </c>
      <c r="K722" t="n">
        <v>0</v>
      </c>
      <c r="L722" t="n">
        <v>0</v>
      </c>
      <c r="M722" t="n">
        <v>0</v>
      </c>
      <c r="N722" t="n">
        <v>0</v>
      </c>
      <c r="O722" t="n">
        <v>0</v>
      </c>
      <c r="P722" t="n">
        <v>0</v>
      </c>
      <c r="Q722" t="n">
        <v>0</v>
      </c>
      <c r="R722" s="2" t="inlineStr"/>
    </row>
    <row r="723" ht="15" customHeight="1">
      <c r="A723" t="inlineStr">
        <is>
          <t>A 7850-2026</t>
        </is>
      </c>
      <c r="B723" s="1" t="n">
        <v>46062.66236111111</v>
      </c>
      <c r="C723" s="1" t="n">
        <v>46141</v>
      </c>
      <c r="D723" t="inlineStr">
        <is>
          <t>VÄSTMANLANDS LÄN</t>
        </is>
      </c>
      <c r="E723" t="inlineStr">
        <is>
          <t>SALA</t>
        </is>
      </c>
      <c r="G723" t="n">
        <v>2.3</v>
      </c>
      <c r="H723" t="n">
        <v>0</v>
      </c>
      <c r="I723" t="n">
        <v>0</v>
      </c>
      <c r="J723" t="n">
        <v>0</v>
      </c>
      <c r="K723" t="n">
        <v>0</v>
      </c>
      <c r="L723" t="n">
        <v>0</v>
      </c>
      <c r="M723" t="n">
        <v>0</v>
      </c>
      <c r="N723" t="n">
        <v>0</v>
      </c>
      <c r="O723" t="n">
        <v>0</v>
      </c>
      <c r="P723" t="n">
        <v>0</v>
      </c>
      <c r="Q723" t="n">
        <v>0</v>
      </c>
      <c r="R723" s="2" t="inlineStr"/>
    </row>
    <row r="724" ht="15" customHeight="1">
      <c r="A724" t="inlineStr">
        <is>
          <t>A 35651-2025</t>
        </is>
      </c>
      <c r="B724" s="1" t="n">
        <v>45859.52435185185</v>
      </c>
      <c r="C724" s="1" t="n">
        <v>46141</v>
      </c>
      <c r="D724" t="inlineStr">
        <is>
          <t>VÄSTMANLANDS LÄN</t>
        </is>
      </c>
      <c r="E724" t="inlineStr">
        <is>
          <t>SALA</t>
        </is>
      </c>
      <c r="G724" t="n">
        <v>6.3</v>
      </c>
      <c r="H724" t="n">
        <v>0</v>
      </c>
      <c r="I724" t="n">
        <v>0</v>
      </c>
      <c r="J724" t="n">
        <v>0</v>
      </c>
      <c r="K724" t="n">
        <v>0</v>
      </c>
      <c r="L724" t="n">
        <v>0</v>
      </c>
      <c r="M724" t="n">
        <v>0</v>
      </c>
      <c r="N724" t="n">
        <v>0</v>
      </c>
      <c r="O724" t="n">
        <v>0</v>
      </c>
      <c r="P724" t="n">
        <v>0</v>
      </c>
      <c r="Q724" t="n">
        <v>0</v>
      </c>
      <c r="R724" s="2" t="inlineStr"/>
    </row>
    <row r="725" ht="15" customHeight="1">
      <c r="A725" t="inlineStr">
        <is>
          <t>A 35774-2025</t>
        </is>
      </c>
      <c r="B725" s="1" t="n">
        <v>45860.68780092592</v>
      </c>
      <c r="C725" s="1" t="n">
        <v>46141</v>
      </c>
      <c r="D725" t="inlineStr">
        <is>
          <t>VÄSTMANLANDS LÄN</t>
        </is>
      </c>
      <c r="E725" t="inlineStr">
        <is>
          <t>SALA</t>
        </is>
      </c>
      <c r="G725" t="n">
        <v>6.5</v>
      </c>
      <c r="H725" t="n">
        <v>0</v>
      </c>
      <c r="I725" t="n">
        <v>0</v>
      </c>
      <c r="J725" t="n">
        <v>0</v>
      </c>
      <c r="K725" t="n">
        <v>0</v>
      </c>
      <c r="L725" t="n">
        <v>0</v>
      </c>
      <c r="M725" t="n">
        <v>0</v>
      </c>
      <c r="N725" t="n">
        <v>0</v>
      </c>
      <c r="O725" t="n">
        <v>0</v>
      </c>
      <c r="P725" t="n">
        <v>0</v>
      </c>
      <c r="Q725" t="n">
        <v>0</v>
      </c>
      <c r="R725" s="2" t="inlineStr"/>
    </row>
    <row r="726" ht="15" customHeight="1">
      <c r="A726" t="inlineStr">
        <is>
          <t>A 7595-2026</t>
        </is>
      </c>
      <c r="B726" s="1" t="n">
        <v>46061.90009259259</v>
      </c>
      <c r="C726" s="1" t="n">
        <v>46141</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7680-2026</t>
        </is>
      </c>
      <c r="B727" s="1" t="n">
        <v>46062.43087962963</v>
      </c>
      <c r="C727" s="1" t="n">
        <v>46141</v>
      </c>
      <c r="D727" t="inlineStr">
        <is>
          <t>VÄSTMANLANDS LÄN</t>
        </is>
      </c>
      <c r="E727" t="inlineStr">
        <is>
          <t>SALA</t>
        </is>
      </c>
      <c r="G727" t="n">
        <v>2.7</v>
      </c>
      <c r="H727" t="n">
        <v>0</v>
      </c>
      <c r="I727" t="n">
        <v>0</v>
      </c>
      <c r="J727" t="n">
        <v>0</v>
      </c>
      <c r="K727" t="n">
        <v>0</v>
      </c>
      <c r="L727" t="n">
        <v>0</v>
      </c>
      <c r="M727" t="n">
        <v>0</v>
      </c>
      <c r="N727" t="n">
        <v>0</v>
      </c>
      <c r="O727" t="n">
        <v>0</v>
      </c>
      <c r="P727" t="n">
        <v>0</v>
      </c>
      <c r="Q727" t="n">
        <v>0</v>
      </c>
      <c r="R727" s="2" t="inlineStr"/>
    </row>
    <row r="728" ht="15" customHeight="1">
      <c r="A728" t="inlineStr">
        <is>
          <t>A 36060-2025</t>
        </is>
      </c>
      <c r="B728" s="1" t="n">
        <v>45866.39469907407</v>
      </c>
      <c r="C728" s="1" t="n">
        <v>46141</v>
      </c>
      <c r="D728" t="inlineStr">
        <is>
          <t>VÄSTMANLANDS LÄN</t>
        </is>
      </c>
      <c r="E728" t="inlineStr">
        <is>
          <t>SALA</t>
        </is>
      </c>
      <c r="F728" t="inlineStr">
        <is>
          <t>Kommuner</t>
        </is>
      </c>
      <c r="G728" t="n">
        <v>4.3</v>
      </c>
      <c r="H728" t="n">
        <v>0</v>
      </c>
      <c r="I728" t="n">
        <v>0</v>
      </c>
      <c r="J728" t="n">
        <v>0</v>
      </c>
      <c r="K728" t="n">
        <v>0</v>
      </c>
      <c r="L728" t="n">
        <v>0</v>
      </c>
      <c r="M728" t="n">
        <v>0</v>
      </c>
      <c r="N728" t="n">
        <v>0</v>
      </c>
      <c r="O728" t="n">
        <v>0</v>
      </c>
      <c r="P728" t="n">
        <v>0</v>
      </c>
      <c r="Q728" t="n">
        <v>0</v>
      </c>
      <c r="R728" s="2" t="inlineStr"/>
    </row>
    <row r="729" ht="15" customHeight="1">
      <c r="A729" t="inlineStr">
        <is>
          <t>A 15630-2026</t>
        </is>
      </c>
      <c r="B729" s="1" t="n">
        <v>46106.62283564815</v>
      </c>
      <c r="C729" s="1" t="n">
        <v>46141</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36031-2025</t>
        </is>
      </c>
      <c r="B730" s="1" t="n">
        <v>45865.46111111111</v>
      </c>
      <c r="C730" s="1" t="n">
        <v>46141</v>
      </c>
      <c r="D730" t="inlineStr">
        <is>
          <t>VÄSTMANLANDS LÄN</t>
        </is>
      </c>
      <c r="E730" t="inlineStr">
        <is>
          <t>SALA</t>
        </is>
      </c>
      <c r="G730" t="n">
        <v>7.2</v>
      </c>
      <c r="H730" t="n">
        <v>0</v>
      </c>
      <c r="I730" t="n">
        <v>0</v>
      </c>
      <c r="J730" t="n">
        <v>0</v>
      </c>
      <c r="K730" t="n">
        <v>0</v>
      </c>
      <c r="L730" t="n">
        <v>0</v>
      </c>
      <c r="M730" t="n">
        <v>0</v>
      </c>
      <c r="N730" t="n">
        <v>0</v>
      </c>
      <c r="O730" t="n">
        <v>0</v>
      </c>
      <c r="P730" t="n">
        <v>0</v>
      </c>
      <c r="Q730" t="n">
        <v>0</v>
      </c>
      <c r="R730" s="2" t="inlineStr"/>
    </row>
    <row r="731" ht="15" customHeight="1">
      <c r="A731" t="inlineStr">
        <is>
          <t>A 36043-2025</t>
        </is>
      </c>
      <c r="B731" s="1" t="n">
        <v>45866.35333333333</v>
      </c>
      <c r="C731" s="1" t="n">
        <v>46141</v>
      </c>
      <c r="D731" t="inlineStr">
        <is>
          <t>VÄSTMANLANDS LÄN</t>
        </is>
      </c>
      <c r="E731" t="inlineStr">
        <is>
          <t>SALA</t>
        </is>
      </c>
      <c r="F731" t="inlineStr">
        <is>
          <t>Kommuner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36032-2025</t>
        </is>
      </c>
      <c r="B732" s="1" t="n">
        <v>45865.48740740741</v>
      </c>
      <c r="C732" s="1" t="n">
        <v>46141</v>
      </c>
      <c r="D732" t="inlineStr">
        <is>
          <t>VÄSTMANLANDS LÄN</t>
        </is>
      </c>
      <c r="E732" t="inlineStr">
        <is>
          <t>SALA</t>
        </is>
      </c>
      <c r="G732" t="n">
        <v>0.7</v>
      </c>
      <c r="H732" t="n">
        <v>0</v>
      </c>
      <c r="I732" t="n">
        <v>0</v>
      </c>
      <c r="J732" t="n">
        <v>0</v>
      </c>
      <c r="K732" t="n">
        <v>0</v>
      </c>
      <c r="L732" t="n">
        <v>0</v>
      </c>
      <c r="M732" t="n">
        <v>0</v>
      </c>
      <c r="N732" t="n">
        <v>0</v>
      </c>
      <c r="O732" t="n">
        <v>0</v>
      </c>
      <c r="P732" t="n">
        <v>0</v>
      </c>
      <c r="Q732" t="n">
        <v>0</v>
      </c>
      <c r="R732" s="2" t="inlineStr"/>
    </row>
    <row r="733" ht="15" customHeight="1">
      <c r="A733" t="inlineStr">
        <is>
          <t>A 36049-2025</t>
        </is>
      </c>
      <c r="B733" s="1" t="n">
        <v>45866.37065972222</v>
      </c>
      <c r="C733" s="1" t="n">
        <v>46141</v>
      </c>
      <c r="D733" t="inlineStr">
        <is>
          <t>VÄSTMANLANDS LÄN</t>
        </is>
      </c>
      <c r="E733" t="inlineStr">
        <is>
          <t>SALA</t>
        </is>
      </c>
      <c r="F733" t="inlineStr">
        <is>
          <t>Kommuner</t>
        </is>
      </c>
      <c r="G733" t="n">
        <v>1.9</v>
      </c>
      <c r="H733" t="n">
        <v>0</v>
      </c>
      <c r="I733" t="n">
        <v>0</v>
      </c>
      <c r="J733" t="n">
        <v>0</v>
      </c>
      <c r="K733" t="n">
        <v>0</v>
      </c>
      <c r="L733" t="n">
        <v>0</v>
      </c>
      <c r="M733" t="n">
        <v>0</v>
      </c>
      <c r="N733" t="n">
        <v>0</v>
      </c>
      <c r="O733" t="n">
        <v>0</v>
      </c>
      <c r="P733" t="n">
        <v>0</v>
      </c>
      <c r="Q733" t="n">
        <v>0</v>
      </c>
      <c r="R733" s="2" t="inlineStr"/>
    </row>
    <row r="734" ht="15" customHeight="1">
      <c r="A734" t="inlineStr">
        <is>
          <t>A 36045-2025</t>
        </is>
      </c>
      <c r="B734" s="1" t="n">
        <v>45866.36200231482</v>
      </c>
      <c r="C734" s="1" t="n">
        <v>46141</v>
      </c>
      <c r="D734" t="inlineStr">
        <is>
          <t>VÄSTMANLANDS LÄN</t>
        </is>
      </c>
      <c r="E734" t="inlineStr">
        <is>
          <t>SALA</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15823-2026</t>
        </is>
      </c>
      <c r="B735" s="1" t="n">
        <v>46107.54096064815</v>
      </c>
      <c r="C735" s="1" t="n">
        <v>46141</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17766-2025</t>
        </is>
      </c>
      <c r="B736" s="1" t="n">
        <v>45758</v>
      </c>
      <c r="C736" s="1" t="n">
        <v>46141</v>
      </c>
      <c r="D736" t="inlineStr">
        <is>
          <t>VÄSTMANLANDS LÄN</t>
        </is>
      </c>
      <c r="E736" t="inlineStr">
        <is>
          <t>SALA</t>
        </is>
      </c>
      <c r="G736" t="n">
        <v>16.5</v>
      </c>
      <c r="H736" t="n">
        <v>0</v>
      </c>
      <c r="I736" t="n">
        <v>0</v>
      </c>
      <c r="J736" t="n">
        <v>0</v>
      </c>
      <c r="K736" t="n">
        <v>0</v>
      </c>
      <c r="L736" t="n">
        <v>0</v>
      </c>
      <c r="M736" t="n">
        <v>0</v>
      </c>
      <c r="N736" t="n">
        <v>0</v>
      </c>
      <c r="O736" t="n">
        <v>0</v>
      </c>
      <c r="P736" t="n">
        <v>0</v>
      </c>
      <c r="Q736" t="n">
        <v>0</v>
      </c>
      <c r="R736" s="2" t="inlineStr"/>
    </row>
    <row r="737" ht="15" customHeight="1">
      <c r="A737" t="inlineStr">
        <is>
          <t>A 31863-2025</t>
        </is>
      </c>
      <c r="B737" s="1" t="n">
        <v>45834.63303240741</v>
      </c>
      <c r="C737" s="1" t="n">
        <v>46141</v>
      </c>
      <c r="D737" t="inlineStr">
        <is>
          <t>VÄSTMANLANDS LÄN</t>
        </is>
      </c>
      <c r="E737" t="inlineStr">
        <is>
          <t>SALA</t>
        </is>
      </c>
      <c r="G737" t="n">
        <v>2.5</v>
      </c>
      <c r="H737" t="n">
        <v>0</v>
      </c>
      <c r="I737" t="n">
        <v>0</v>
      </c>
      <c r="J737" t="n">
        <v>0</v>
      </c>
      <c r="K737" t="n">
        <v>0</v>
      </c>
      <c r="L737" t="n">
        <v>0</v>
      </c>
      <c r="M737" t="n">
        <v>0</v>
      </c>
      <c r="N737" t="n">
        <v>0</v>
      </c>
      <c r="O737" t="n">
        <v>0</v>
      </c>
      <c r="P737" t="n">
        <v>0</v>
      </c>
      <c r="Q737" t="n">
        <v>0</v>
      </c>
      <c r="R737" s="2" t="inlineStr"/>
    </row>
    <row r="738" ht="15" customHeight="1">
      <c r="A738" t="inlineStr">
        <is>
          <t>A 3546-2025</t>
        </is>
      </c>
      <c r="B738" s="1" t="n">
        <v>45680</v>
      </c>
      <c r="C738" s="1" t="n">
        <v>46141</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16364-2026</t>
        </is>
      </c>
      <c r="B739" s="1" t="n">
        <v>46111.6115625</v>
      </c>
      <c r="C739" s="1" t="n">
        <v>46141</v>
      </c>
      <c r="D739" t="inlineStr">
        <is>
          <t>VÄSTMANLANDS LÄN</t>
        </is>
      </c>
      <c r="E739" t="inlineStr">
        <is>
          <t>SALA</t>
        </is>
      </c>
      <c r="G739" t="n">
        <v>4.7</v>
      </c>
      <c r="H739" t="n">
        <v>0</v>
      </c>
      <c r="I739" t="n">
        <v>0</v>
      </c>
      <c r="J739" t="n">
        <v>0</v>
      </c>
      <c r="K739" t="n">
        <v>0</v>
      </c>
      <c r="L739" t="n">
        <v>0</v>
      </c>
      <c r="M739" t="n">
        <v>0</v>
      </c>
      <c r="N739" t="n">
        <v>0</v>
      </c>
      <c r="O739" t="n">
        <v>0</v>
      </c>
      <c r="P739" t="n">
        <v>0</v>
      </c>
      <c r="Q739" t="n">
        <v>0</v>
      </c>
      <c r="R739" s="2" t="inlineStr"/>
    </row>
    <row r="740" ht="15" customHeight="1">
      <c r="A740" t="inlineStr">
        <is>
          <t>A 31869-2025</t>
        </is>
      </c>
      <c r="B740" s="1" t="n">
        <v>45834.64555555556</v>
      </c>
      <c r="C740" s="1" t="n">
        <v>46141</v>
      </c>
      <c r="D740" t="inlineStr">
        <is>
          <t>VÄSTMANLANDS LÄN</t>
        </is>
      </c>
      <c r="E740" t="inlineStr">
        <is>
          <t>SALA</t>
        </is>
      </c>
      <c r="G740" t="n">
        <v>17.5</v>
      </c>
      <c r="H740" t="n">
        <v>0</v>
      </c>
      <c r="I740" t="n">
        <v>0</v>
      </c>
      <c r="J740" t="n">
        <v>0</v>
      </c>
      <c r="K740" t="n">
        <v>0</v>
      </c>
      <c r="L740" t="n">
        <v>0</v>
      </c>
      <c r="M740" t="n">
        <v>0</v>
      </c>
      <c r="N740" t="n">
        <v>0</v>
      </c>
      <c r="O740" t="n">
        <v>0</v>
      </c>
      <c r="P740" t="n">
        <v>0</v>
      </c>
      <c r="Q740" t="n">
        <v>0</v>
      </c>
      <c r="R740" s="2" t="inlineStr"/>
    </row>
    <row r="741" ht="15" customHeight="1">
      <c r="A741" t="inlineStr">
        <is>
          <t>A 7664-2023</t>
        </is>
      </c>
      <c r="B741" s="1" t="n">
        <v>44972</v>
      </c>
      <c r="C741" s="1" t="n">
        <v>46141</v>
      </c>
      <c r="D741" t="inlineStr">
        <is>
          <t>VÄSTMANLANDS LÄN</t>
        </is>
      </c>
      <c r="E741" t="inlineStr">
        <is>
          <t>SALA</t>
        </is>
      </c>
      <c r="G741" t="n">
        <v>1.4</v>
      </c>
      <c r="H741" t="n">
        <v>0</v>
      </c>
      <c r="I741" t="n">
        <v>0</v>
      </c>
      <c r="J741" t="n">
        <v>0</v>
      </c>
      <c r="K741" t="n">
        <v>0</v>
      </c>
      <c r="L741" t="n">
        <v>0</v>
      </c>
      <c r="M741" t="n">
        <v>0</v>
      </c>
      <c r="N741" t="n">
        <v>0</v>
      </c>
      <c r="O741" t="n">
        <v>0</v>
      </c>
      <c r="P741" t="n">
        <v>0</v>
      </c>
      <c r="Q741" t="n">
        <v>0</v>
      </c>
      <c r="R741" s="2" t="inlineStr"/>
    </row>
    <row r="742" ht="15" customHeight="1">
      <c r="A742" t="inlineStr">
        <is>
          <t>A 16354-2026</t>
        </is>
      </c>
      <c r="B742" s="1" t="n">
        <v>46111.5968287037</v>
      </c>
      <c r="C742" s="1" t="n">
        <v>46141</v>
      </c>
      <c r="D742" t="inlineStr">
        <is>
          <t>VÄSTMANLANDS LÄN</t>
        </is>
      </c>
      <c r="E742" t="inlineStr">
        <is>
          <t>SALA</t>
        </is>
      </c>
      <c r="G742" t="n">
        <v>5.2</v>
      </c>
      <c r="H742" t="n">
        <v>0</v>
      </c>
      <c r="I742" t="n">
        <v>0</v>
      </c>
      <c r="J742" t="n">
        <v>0</v>
      </c>
      <c r="K742" t="n">
        <v>0</v>
      </c>
      <c r="L742" t="n">
        <v>0</v>
      </c>
      <c r="M742" t="n">
        <v>0</v>
      </c>
      <c r="N742" t="n">
        <v>0</v>
      </c>
      <c r="O742" t="n">
        <v>0</v>
      </c>
      <c r="P742" t="n">
        <v>0</v>
      </c>
      <c r="Q742" t="n">
        <v>0</v>
      </c>
      <c r="R742" s="2" t="inlineStr"/>
    </row>
    <row r="743" ht="15" customHeight="1">
      <c r="A743" t="inlineStr">
        <is>
          <t>A 17985-2025</t>
        </is>
      </c>
      <c r="B743" s="1" t="n">
        <v>45761</v>
      </c>
      <c r="C743" s="1" t="n">
        <v>46141</v>
      </c>
      <c r="D743" t="inlineStr">
        <is>
          <t>VÄSTMANLANDS LÄN</t>
        </is>
      </c>
      <c r="E743" t="inlineStr">
        <is>
          <t>SALA</t>
        </is>
      </c>
      <c r="G743" t="n">
        <v>12.5</v>
      </c>
      <c r="H743" t="n">
        <v>0</v>
      </c>
      <c r="I743" t="n">
        <v>0</v>
      </c>
      <c r="J743" t="n">
        <v>0</v>
      </c>
      <c r="K743" t="n">
        <v>0</v>
      </c>
      <c r="L743" t="n">
        <v>0</v>
      </c>
      <c r="M743" t="n">
        <v>0</v>
      </c>
      <c r="N743" t="n">
        <v>0</v>
      </c>
      <c r="O743" t="n">
        <v>0</v>
      </c>
      <c r="P743" t="n">
        <v>0</v>
      </c>
      <c r="Q743" t="n">
        <v>0</v>
      </c>
      <c r="R743" s="2" t="inlineStr"/>
    </row>
    <row r="744" ht="15" customHeight="1">
      <c r="A744" t="inlineStr">
        <is>
          <t>A 16367-2026</t>
        </is>
      </c>
      <c r="B744" s="1" t="n">
        <v>46111.61380787037</v>
      </c>
      <c r="C744" s="1" t="n">
        <v>46141</v>
      </c>
      <c r="D744" t="inlineStr">
        <is>
          <t>VÄSTMANLANDS LÄN</t>
        </is>
      </c>
      <c r="E744" t="inlineStr">
        <is>
          <t>SALA</t>
        </is>
      </c>
      <c r="G744" t="n">
        <v>1</v>
      </c>
      <c r="H744" t="n">
        <v>0</v>
      </c>
      <c r="I744" t="n">
        <v>0</v>
      </c>
      <c r="J744" t="n">
        <v>0</v>
      </c>
      <c r="K744" t="n">
        <v>0</v>
      </c>
      <c r="L744" t="n">
        <v>0</v>
      </c>
      <c r="M744" t="n">
        <v>0</v>
      </c>
      <c r="N744" t="n">
        <v>0</v>
      </c>
      <c r="O744" t="n">
        <v>0</v>
      </c>
      <c r="P744" t="n">
        <v>0</v>
      </c>
      <c r="Q744" t="n">
        <v>0</v>
      </c>
      <c r="R744" s="2" t="inlineStr"/>
    </row>
    <row r="745" ht="15" customHeight="1">
      <c r="A745" t="inlineStr">
        <is>
          <t>A 37103-2025</t>
        </is>
      </c>
      <c r="B745" s="1" t="n">
        <v>45875.47743055555</v>
      </c>
      <c r="C745" s="1" t="n">
        <v>46141</v>
      </c>
      <c r="D745" t="inlineStr">
        <is>
          <t>VÄSTMANLANDS LÄN</t>
        </is>
      </c>
      <c r="E745" t="inlineStr">
        <is>
          <t>SALA</t>
        </is>
      </c>
      <c r="G745" t="n">
        <v>1.9</v>
      </c>
      <c r="H745" t="n">
        <v>0</v>
      </c>
      <c r="I745" t="n">
        <v>0</v>
      </c>
      <c r="J745" t="n">
        <v>0</v>
      </c>
      <c r="K745" t="n">
        <v>0</v>
      </c>
      <c r="L745" t="n">
        <v>0</v>
      </c>
      <c r="M745" t="n">
        <v>0</v>
      </c>
      <c r="N745" t="n">
        <v>0</v>
      </c>
      <c r="O745" t="n">
        <v>0</v>
      </c>
      <c r="P745" t="n">
        <v>0</v>
      </c>
      <c r="Q745" t="n">
        <v>0</v>
      </c>
      <c r="R745" s="2" t="inlineStr"/>
    </row>
    <row r="746" ht="15" customHeight="1">
      <c r="A746" t="inlineStr">
        <is>
          <t>A 16598-2026</t>
        </is>
      </c>
      <c r="B746" s="1" t="n">
        <v>46112.59598379629</v>
      </c>
      <c r="C746" s="1" t="n">
        <v>46141</v>
      </c>
      <c r="D746" t="inlineStr">
        <is>
          <t>VÄSTMANLANDS LÄN</t>
        </is>
      </c>
      <c r="E746" t="inlineStr">
        <is>
          <t>SALA</t>
        </is>
      </c>
      <c r="G746" t="n">
        <v>1.5</v>
      </c>
      <c r="H746" t="n">
        <v>0</v>
      </c>
      <c r="I746" t="n">
        <v>0</v>
      </c>
      <c r="J746" t="n">
        <v>0</v>
      </c>
      <c r="K746" t="n">
        <v>0</v>
      </c>
      <c r="L746" t="n">
        <v>0</v>
      </c>
      <c r="M746" t="n">
        <v>0</v>
      </c>
      <c r="N746" t="n">
        <v>0</v>
      </c>
      <c r="O746" t="n">
        <v>0</v>
      </c>
      <c r="P746" t="n">
        <v>0</v>
      </c>
      <c r="Q746" t="n">
        <v>0</v>
      </c>
      <c r="R746" s="2" t="inlineStr"/>
    </row>
    <row r="747" ht="15" customHeight="1">
      <c r="A747" t="inlineStr">
        <is>
          <t>A 16369-2026</t>
        </is>
      </c>
      <c r="B747" s="1" t="n">
        <v>46111</v>
      </c>
      <c r="C747" s="1" t="n">
        <v>46141</v>
      </c>
      <c r="D747" t="inlineStr">
        <is>
          <t>VÄSTMANLANDS LÄN</t>
        </is>
      </c>
      <c r="E747" t="inlineStr">
        <is>
          <t>SALA</t>
        </is>
      </c>
      <c r="G747" t="n">
        <v>1.4</v>
      </c>
      <c r="H747" t="n">
        <v>0</v>
      </c>
      <c r="I747" t="n">
        <v>0</v>
      </c>
      <c r="J747" t="n">
        <v>0</v>
      </c>
      <c r="K747" t="n">
        <v>0</v>
      </c>
      <c r="L747" t="n">
        <v>0</v>
      </c>
      <c r="M747" t="n">
        <v>0</v>
      </c>
      <c r="N747" t="n">
        <v>0</v>
      </c>
      <c r="O747" t="n">
        <v>0</v>
      </c>
      <c r="P747" t="n">
        <v>0</v>
      </c>
      <c r="Q747" t="n">
        <v>0</v>
      </c>
      <c r="R747" s="2" t="inlineStr"/>
    </row>
    <row r="748" ht="15" customHeight="1">
      <c r="A748" t="inlineStr">
        <is>
          <t>A 37017-2025</t>
        </is>
      </c>
      <c r="B748" s="1" t="n">
        <v>45874</v>
      </c>
      <c r="C748" s="1" t="n">
        <v>46141</v>
      </c>
      <c r="D748" t="inlineStr">
        <is>
          <t>VÄSTMANLANDS LÄN</t>
        </is>
      </c>
      <c r="E748" t="inlineStr">
        <is>
          <t>SALA</t>
        </is>
      </c>
      <c r="G748" t="n">
        <v>11.1</v>
      </c>
      <c r="H748" t="n">
        <v>0</v>
      </c>
      <c r="I748" t="n">
        <v>0</v>
      </c>
      <c r="J748" t="n">
        <v>0</v>
      </c>
      <c r="K748" t="n">
        <v>0</v>
      </c>
      <c r="L748" t="n">
        <v>0</v>
      </c>
      <c r="M748" t="n">
        <v>0</v>
      </c>
      <c r="N748" t="n">
        <v>0</v>
      </c>
      <c r="O748" t="n">
        <v>0</v>
      </c>
      <c r="P748" t="n">
        <v>0</v>
      </c>
      <c r="Q748" t="n">
        <v>0</v>
      </c>
      <c r="R748" s="2" t="inlineStr"/>
    </row>
    <row r="749" ht="15" customHeight="1">
      <c r="A749" t="inlineStr">
        <is>
          <t>A 37246-2025</t>
        </is>
      </c>
      <c r="B749" s="1" t="n">
        <v>45876.39435185185</v>
      </c>
      <c r="C749" s="1" t="n">
        <v>46141</v>
      </c>
      <c r="D749" t="inlineStr">
        <is>
          <t>VÄSTMANLANDS LÄN</t>
        </is>
      </c>
      <c r="E749" t="inlineStr">
        <is>
          <t>SALA</t>
        </is>
      </c>
      <c r="G749" t="n">
        <v>2.3</v>
      </c>
      <c r="H749" t="n">
        <v>0</v>
      </c>
      <c r="I749" t="n">
        <v>0</v>
      </c>
      <c r="J749" t="n">
        <v>0</v>
      </c>
      <c r="K749" t="n">
        <v>0</v>
      </c>
      <c r="L749" t="n">
        <v>0</v>
      </c>
      <c r="M749" t="n">
        <v>0</v>
      </c>
      <c r="N749" t="n">
        <v>0</v>
      </c>
      <c r="O749" t="n">
        <v>0</v>
      </c>
      <c r="P749" t="n">
        <v>0</v>
      </c>
      <c r="Q749" t="n">
        <v>0</v>
      </c>
      <c r="R749" s="2" t="inlineStr"/>
    </row>
    <row r="750" ht="15" customHeight="1">
      <c r="A750" t="inlineStr">
        <is>
          <t>A 37590-2025</t>
        </is>
      </c>
      <c r="B750" s="1" t="n">
        <v>45880.41138888889</v>
      </c>
      <c r="C750" s="1" t="n">
        <v>46141</v>
      </c>
      <c r="D750" t="inlineStr">
        <is>
          <t>VÄSTMANLANDS LÄN</t>
        </is>
      </c>
      <c r="E750" t="inlineStr">
        <is>
          <t>SALA</t>
        </is>
      </c>
      <c r="G750" t="n">
        <v>2.2</v>
      </c>
      <c r="H750" t="n">
        <v>0</v>
      </c>
      <c r="I750" t="n">
        <v>0</v>
      </c>
      <c r="J750" t="n">
        <v>0</v>
      </c>
      <c r="K750" t="n">
        <v>0</v>
      </c>
      <c r="L750" t="n">
        <v>0</v>
      </c>
      <c r="M750" t="n">
        <v>0</v>
      </c>
      <c r="N750" t="n">
        <v>0</v>
      </c>
      <c r="O750" t="n">
        <v>0</v>
      </c>
      <c r="P750" t="n">
        <v>0</v>
      </c>
      <c r="Q750" t="n">
        <v>0</v>
      </c>
      <c r="R750" s="2" t="inlineStr"/>
    </row>
    <row r="751" ht="15" customHeight="1">
      <c r="A751" t="inlineStr">
        <is>
          <t>A 37593-2025</t>
        </is>
      </c>
      <c r="B751" s="1" t="n">
        <v>45880.41325231481</v>
      </c>
      <c r="C751" s="1" t="n">
        <v>46141</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38294-2025</t>
        </is>
      </c>
      <c r="B752" s="1" t="n">
        <v>45883.44854166666</v>
      </c>
      <c r="C752" s="1" t="n">
        <v>46141</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10239-2026</t>
        </is>
      </c>
      <c r="B753" s="1" t="n">
        <v>46076.54824074074</v>
      </c>
      <c r="C753" s="1" t="n">
        <v>46141</v>
      </c>
      <c r="D753" t="inlineStr">
        <is>
          <t>VÄSTMANLANDS LÄN</t>
        </is>
      </c>
      <c r="E753" t="inlineStr">
        <is>
          <t>SALA</t>
        </is>
      </c>
      <c r="G753" t="n">
        <v>1.1</v>
      </c>
      <c r="H753" t="n">
        <v>0</v>
      </c>
      <c r="I753" t="n">
        <v>0</v>
      </c>
      <c r="J753" t="n">
        <v>0</v>
      </c>
      <c r="K753" t="n">
        <v>0</v>
      </c>
      <c r="L753" t="n">
        <v>0</v>
      </c>
      <c r="M753" t="n">
        <v>0</v>
      </c>
      <c r="N753" t="n">
        <v>0</v>
      </c>
      <c r="O753" t="n">
        <v>0</v>
      </c>
      <c r="P753" t="n">
        <v>0</v>
      </c>
      <c r="Q753" t="n">
        <v>0</v>
      </c>
      <c r="R753" s="2" t="inlineStr"/>
    </row>
    <row r="754" ht="15" customHeight="1">
      <c r="A754" t="inlineStr">
        <is>
          <t>A 43359-2024</t>
        </is>
      </c>
      <c r="B754" s="1" t="n">
        <v>45568.57724537037</v>
      </c>
      <c r="C754" s="1" t="n">
        <v>46141</v>
      </c>
      <c r="D754" t="inlineStr">
        <is>
          <t>VÄSTMANLANDS LÄN</t>
        </is>
      </c>
      <c r="E754" t="inlineStr">
        <is>
          <t>SALA</t>
        </is>
      </c>
      <c r="G754" t="n">
        <v>1.6</v>
      </c>
      <c r="H754" t="n">
        <v>0</v>
      </c>
      <c r="I754" t="n">
        <v>0</v>
      </c>
      <c r="J754" t="n">
        <v>0</v>
      </c>
      <c r="K754" t="n">
        <v>0</v>
      </c>
      <c r="L754" t="n">
        <v>0</v>
      </c>
      <c r="M754" t="n">
        <v>0</v>
      </c>
      <c r="N754" t="n">
        <v>0</v>
      </c>
      <c r="O754" t="n">
        <v>0</v>
      </c>
      <c r="P754" t="n">
        <v>0</v>
      </c>
      <c r="Q754" t="n">
        <v>0</v>
      </c>
      <c r="R754" s="2" t="inlineStr"/>
    </row>
    <row r="755" ht="15" customHeight="1">
      <c r="A755" t="inlineStr">
        <is>
          <t>A 29972-2025</t>
        </is>
      </c>
      <c r="B755" s="1" t="n">
        <v>45826</v>
      </c>
      <c r="C755" s="1" t="n">
        <v>46141</v>
      </c>
      <c r="D755" t="inlineStr">
        <is>
          <t>VÄSTMANLANDS LÄN</t>
        </is>
      </c>
      <c r="E755" t="inlineStr">
        <is>
          <t>SALA</t>
        </is>
      </c>
      <c r="G755" t="n">
        <v>2.7</v>
      </c>
      <c r="H755" t="n">
        <v>0</v>
      </c>
      <c r="I755" t="n">
        <v>0</v>
      </c>
      <c r="J755" t="n">
        <v>0</v>
      </c>
      <c r="K755" t="n">
        <v>0</v>
      </c>
      <c r="L755" t="n">
        <v>0</v>
      </c>
      <c r="M755" t="n">
        <v>0</v>
      </c>
      <c r="N755" t="n">
        <v>0</v>
      </c>
      <c r="O755" t="n">
        <v>0</v>
      </c>
      <c r="P755" t="n">
        <v>0</v>
      </c>
      <c r="Q755" t="n">
        <v>0</v>
      </c>
      <c r="R755" s="2" t="inlineStr"/>
    </row>
    <row r="756" ht="15" customHeight="1">
      <c r="A756" t="inlineStr">
        <is>
          <t>A 10245-2026</t>
        </is>
      </c>
      <c r="B756" s="1" t="n">
        <v>46076.55144675926</v>
      </c>
      <c r="C756" s="1" t="n">
        <v>46141</v>
      </c>
      <c r="D756" t="inlineStr">
        <is>
          <t>VÄSTMANLANDS LÄN</t>
        </is>
      </c>
      <c r="E756" t="inlineStr">
        <is>
          <t>SALA</t>
        </is>
      </c>
      <c r="G756" t="n">
        <v>1.4</v>
      </c>
      <c r="H756" t="n">
        <v>0</v>
      </c>
      <c r="I756" t="n">
        <v>0</v>
      </c>
      <c r="J756" t="n">
        <v>0</v>
      </c>
      <c r="K756" t="n">
        <v>0</v>
      </c>
      <c r="L756" t="n">
        <v>0</v>
      </c>
      <c r="M756" t="n">
        <v>0</v>
      </c>
      <c r="N756" t="n">
        <v>0</v>
      </c>
      <c r="O756" t="n">
        <v>0</v>
      </c>
      <c r="P756" t="n">
        <v>0</v>
      </c>
      <c r="Q756" t="n">
        <v>0</v>
      </c>
      <c r="R756" s="2" t="inlineStr"/>
    </row>
    <row r="757" ht="15" customHeight="1">
      <c r="A757" t="inlineStr">
        <is>
          <t>A 10252-2026</t>
        </is>
      </c>
      <c r="B757" s="1" t="n">
        <v>46076.55700231482</v>
      </c>
      <c r="C757" s="1" t="n">
        <v>46141</v>
      </c>
      <c r="D757" t="inlineStr">
        <is>
          <t>VÄSTMANLANDS LÄN</t>
        </is>
      </c>
      <c r="E757" t="inlineStr">
        <is>
          <t>SALA</t>
        </is>
      </c>
      <c r="G757" t="n">
        <v>1.4</v>
      </c>
      <c r="H757" t="n">
        <v>0</v>
      </c>
      <c r="I757" t="n">
        <v>0</v>
      </c>
      <c r="J757" t="n">
        <v>0</v>
      </c>
      <c r="K757" t="n">
        <v>0</v>
      </c>
      <c r="L757" t="n">
        <v>0</v>
      </c>
      <c r="M757" t="n">
        <v>0</v>
      </c>
      <c r="N757" t="n">
        <v>0</v>
      </c>
      <c r="O757" t="n">
        <v>0</v>
      </c>
      <c r="P757" t="n">
        <v>0</v>
      </c>
      <c r="Q757" t="n">
        <v>0</v>
      </c>
      <c r="R757" s="2" t="inlineStr"/>
    </row>
    <row r="758" ht="15" customHeight="1">
      <c r="A758" t="inlineStr">
        <is>
          <t>A 18382-2026</t>
        </is>
      </c>
      <c r="B758" s="1" t="n">
        <v>46126.63601851852</v>
      </c>
      <c r="C758" s="1" t="n">
        <v>46141</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12144-2026</t>
        </is>
      </c>
      <c r="B759" s="1" t="n">
        <v>46086.58008101852</v>
      </c>
      <c r="C759" s="1" t="n">
        <v>46141</v>
      </c>
      <c r="D759" t="inlineStr">
        <is>
          <t>VÄSTMANLANDS LÄN</t>
        </is>
      </c>
      <c r="E759" t="inlineStr">
        <is>
          <t>SALA</t>
        </is>
      </c>
      <c r="G759" t="n">
        <v>1</v>
      </c>
      <c r="H759" t="n">
        <v>0</v>
      </c>
      <c r="I759" t="n">
        <v>0</v>
      </c>
      <c r="J759" t="n">
        <v>0</v>
      </c>
      <c r="K759" t="n">
        <v>0</v>
      </c>
      <c r="L759" t="n">
        <v>0</v>
      </c>
      <c r="M759" t="n">
        <v>0</v>
      </c>
      <c r="N759" t="n">
        <v>0</v>
      </c>
      <c r="O759" t="n">
        <v>0</v>
      </c>
      <c r="P759" t="n">
        <v>0</v>
      </c>
      <c r="Q759" t="n">
        <v>0</v>
      </c>
      <c r="R759" s="2" t="inlineStr"/>
    </row>
    <row r="760" ht="15" customHeight="1">
      <c r="A760" t="inlineStr">
        <is>
          <t>A 18592-2026</t>
        </is>
      </c>
      <c r="B760" s="1" t="n">
        <v>46127.64232638889</v>
      </c>
      <c r="C760" s="1" t="n">
        <v>46141</v>
      </c>
      <c r="D760" t="inlineStr">
        <is>
          <t>VÄSTMANLANDS LÄN</t>
        </is>
      </c>
      <c r="E760" t="inlineStr">
        <is>
          <t>SALA</t>
        </is>
      </c>
      <c r="G760" t="n">
        <v>1.4</v>
      </c>
      <c r="H760" t="n">
        <v>0</v>
      </c>
      <c r="I760" t="n">
        <v>0</v>
      </c>
      <c r="J760" t="n">
        <v>0</v>
      </c>
      <c r="K760" t="n">
        <v>0</v>
      </c>
      <c r="L760" t="n">
        <v>0</v>
      </c>
      <c r="M760" t="n">
        <v>0</v>
      </c>
      <c r="N760" t="n">
        <v>0</v>
      </c>
      <c r="O760" t="n">
        <v>0</v>
      </c>
      <c r="P760" t="n">
        <v>0</v>
      </c>
      <c r="Q760" t="n">
        <v>0</v>
      </c>
      <c r="R760" s="2" t="inlineStr"/>
    </row>
    <row r="761" ht="15" customHeight="1">
      <c r="A761" t="inlineStr">
        <is>
          <t>A 12497-2026</t>
        </is>
      </c>
      <c r="B761" s="1" t="n">
        <v>46090.57240740741</v>
      </c>
      <c r="C761" s="1" t="n">
        <v>46141</v>
      </c>
      <c r="D761" t="inlineStr">
        <is>
          <t>VÄSTMANLANDS LÄN</t>
        </is>
      </c>
      <c r="E761" t="inlineStr">
        <is>
          <t>SALA</t>
        </is>
      </c>
      <c r="G761" t="n">
        <v>1.3</v>
      </c>
      <c r="H761" t="n">
        <v>0</v>
      </c>
      <c r="I761" t="n">
        <v>0</v>
      </c>
      <c r="J761" t="n">
        <v>0</v>
      </c>
      <c r="K761" t="n">
        <v>0</v>
      </c>
      <c r="L761" t="n">
        <v>0</v>
      </c>
      <c r="M761" t="n">
        <v>0</v>
      </c>
      <c r="N761" t="n">
        <v>0</v>
      </c>
      <c r="O761" t="n">
        <v>0</v>
      </c>
      <c r="P761" t="n">
        <v>0</v>
      </c>
      <c r="Q761" t="n">
        <v>0</v>
      </c>
      <c r="R761" s="2" t="inlineStr"/>
    </row>
    <row r="762" ht="15" customHeight="1">
      <c r="A762" t="inlineStr">
        <is>
          <t>A 19044-2026</t>
        </is>
      </c>
      <c r="B762" s="1" t="n">
        <v>46132.33789351852</v>
      </c>
      <c r="C762" s="1" t="n">
        <v>46141</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19376-2026</t>
        </is>
      </c>
      <c r="B763" s="1" t="n">
        <v>46133.54998842593</v>
      </c>
      <c r="C763" s="1" t="n">
        <v>46141</v>
      </c>
      <c r="D763" t="inlineStr">
        <is>
          <t>VÄSTMANLANDS LÄN</t>
        </is>
      </c>
      <c r="E763" t="inlineStr">
        <is>
          <t>SALA</t>
        </is>
      </c>
      <c r="G763" t="n">
        <v>3.8</v>
      </c>
      <c r="H763" t="n">
        <v>0</v>
      </c>
      <c r="I763" t="n">
        <v>0</v>
      </c>
      <c r="J763" t="n">
        <v>0</v>
      </c>
      <c r="K763" t="n">
        <v>0</v>
      </c>
      <c r="L763" t="n">
        <v>0</v>
      </c>
      <c r="M763" t="n">
        <v>0</v>
      </c>
      <c r="N763" t="n">
        <v>0</v>
      </c>
      <c r="O763" t="n">
        <v>0</v>
      </c>
      <c r="P763" t="n">
        <v>0</v>
      </c>
      <c r="Q763" t="n">
        <v>0</v>
      </c>
      <c r="R763" s="2" t="inlineStr"/>
    </row>
    <row r="764" ht="15" customHeight="1">
      <c r="A764" t="inlineStr">
        <is>
          <t>A 13032-2026</t>
        </is>
      </c>
      <c r="B764" s="1" t="n">
        <v>46092.90436342593</v>
      </c>
      <c r="C764" s="1" t="n">
        <v>46141</v>
      </c>
      <c r="D764" t="inlineStr">
        <is>
          <t>VÄSTMANLANDS LÄN</t>
        </is>
      </c>
      <c r="E764" t="inlineStr">
        <is>
          <t>SALA</t>
        </is>
      </c>
      <c r="G764" t="n">
        <v>3.4</v>
      </c>
      <c r="H764" t="n">
        <v>0</v>
      </c>
      <c r="I764" t="n">
        <v>0</v>
      </c>
      <c r="J764" t="n">
        <v>0</v>
      </c>
      <c r="K764" t="n">
        <v>0</v>
      </c>
      <c r="L764" t="n">
        <v>0</v>
      </c>
      <c r="M764" t="n">
        <v>0</v>
      </c>
      <c r="N764" t="n">
        <v>0</v>
      </c>
      <c r="O764" t="n">
        <v>0</v>
      </c>
      <c r="P764" t="n">
        <v>0</v>
      </c>
      <c r="Q764" t="n">
        <v>0</v>
      </c>
      <c r="R764" s="2" t="inlineStr"/>
    </row>
    <row r="765" ht="15" customHeight="1">
      <c r="A765" t="inlineStr">
        <is>
          <t>A 14000-2026</t>
        </is>
      </c>
      <c r="B765" s="1" t="n">
        <v>46098.64246527778</v>
      </c>
      <c r="C765" s="1" t="n">
        <v>46141</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13996-2026</t>
        </is>
      </c>
      <c r="B766" s="1" t="n">
        <v>46098.63159722222</v>
      </c>
      <c r="C766" s="1" t="n">
        <v>46141</v>
      </c>
      <c r="D766" t="inlineStr">
        <is>
          <t>VÄSTMANLANDS LÄN</t>
        </is>
      </c>
      <c r="E766" t="inlineStr">
        <is>
          <t>SALA</t>
        </is>
      </c>
      <c r="G766" t="n">
        <v>2.5</v>
      </c>
      <c r="H766" t="n">
        <v>0</v>
      </c>
      <c r="I766" t="n">
        <v>0</v>
      </c>
      <c r="J766" t="n">
        <v>0</v>
      </c>
      <c r="K766" t="n">
        <v>0</v>
      </c>
      <c r="L766" t="n">
        <v>0</v>
      </c>
      <c r="M766" t="n">
        <v>0</v>
      </c>
      <c r="N766" t="n">
        <v>0</v>
      </c>
      <c r="O766" t="n">
        <v>0</v>
      </c>
      <c r="P766" t="n">
        <v>0</v>
      </c>
      <c r="Q766" t="n">
        <v>0</v>
      </c>
      <c r="R766" s="2" t="inlineStr"/>
    </row>
    <row r="767">
      <c r="A767" t="inlineStr">
        <is>
          <t>A 13639-2026</t>
        </is>
      </c>
      <c r="B767" s="1" t="n">
        <v>46097</v>
      </c>
      <c r="C767" s="1" t="n">
        <v>46141</v>
      </c>
      <c r="D767" t="inlineStr">
        <is>
          <t>VÄSTMANLANDS LÄN</t>
        </is>
      </c>
      <c r="E767" t="inlineStr">
        <is>
          <t>SALA</t>
        </is>
      </c>
      <c r="G767" t="n">
        <v>1.4</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2026-04-29T10:48:36Z</dcterms:created>
  <dcterms:modified xmlns:dcterms="http://purl.org/dc/terms/" xmlns:xsi="http://www.w3.org/2001/XMLSchema-instance" xsi:type="dcterms:W3CDTF">2026-04-29T10:48:37Z</dcterms:modified>
</cp:coreProperties>
</file>