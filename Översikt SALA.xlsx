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46142</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46142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46142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46142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46142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46142</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46142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46142</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46142</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46142</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46142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46142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46142</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46142</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46142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46142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3930-2026</t>
        </is>
      </c>
      <c r="B19" s="1" t="n">
        <v>46043</v>
      </c>
      <c r="C19" s="1" t="n">
        <v>46142</v>
      </c>
      <c r="D19" t="inlineStr">
        <is>
          <t>VÄSTMANLANDS LÄN</t>
        </is>
      </c>
      <c r="E19" t="inlineStr">
        <is>
          <t>SALA</t>
        </is>
      </c>
      <c r="G19" t="n">
        <v>17.4</v>
      </c>
      <c r="H19" t="n">
        <v>1</v>
      </c>
      <c r="I19" t="n">
        <v>0</v>
      </c>
      <c r="J19" t="n">
        <v>2</v>
      </c>
      <c r="K19" t="n">
        <v>1</v>
      </c>
      <c r="L19" t="n">
        <v>0</v>
      </c>
      <c r="M19" t="n">
        <v>0</v>
      </c>
      <c r="N19" t="n">
        <v>0</v>
      </c>
      <c r="O19" t="n">
        <v>3</v>
      </c>
      <c r="P19" t="n">
        <v>1</v>
      </c>
      <c r="Q19" t="n">
        <v>3</v>
      </c>
      <c r="R19" s="2" t="inlineStr">
        <is>
          <t>Knärot
Gränsticka
Ullticka</t>
        </is>
      </c>
      <c r="S19">
        <f>HYPERLINK("https://klasma.github.io/Logging_1981/artfynd/A 3930-2026 artfynd.xlsx", "A 3930-2026")</f>
        <v/>
      </c>
      <c r="T19">
        <f>HYPERLINK("https://klasma.github.io/Logging_1981/kartor/A 3930-2026 karta.png", "A 3930-2026")</f>
        <v/>
      </c>
      <c r="U19">
        <f>HYPERLINK("https://klasma.github.io/Logging_1981/knärot/A 3930-2026 karta knärot.png", "A 3930-2026")</f>
        <v/>
      </c>
      <c r="V19">
        <f>HYPERLINK("https://klasma.github.io/Logging_1981/klagomål/A 3930-2026 FSC-klagomål.docx", "A 3930-2026")</f>
        <v/>
      </c>
      <c r="W19">
        <f>HYPERLINK("https://klasma.github.io/Logging_1981/klagomålsmail/A 3930-2026 FSC-klagomål mail.docx", "A 3930-2026")</f>
        <v/>
      </c>
      <c r="X19">
        <f>HYPERLINK("https://klasma.github.io/Logging_1981/tillsyn/A 3930-2026 tillsynsbegäran.docx", "A 3930-2026")</f>
        <v/>
      </c>
      <c r="Y19">
        <f>HYPERLINK("https://klasma.github.io/Logging_1981/tillsynsmail/A 3930-2026 tillsynsbegäran mail.docx", "A 3930-2026")</f>
        <v/>
      </c>
    </row>
    <row r="20" ht="15" customHeight="1">
      <c r="A20" t="inlineStr">
        <is>
          <t>A 53019-2024</t>
        </is>
      </c>
      <c r="B20" s="1" t="n">
        <v>45610</v>
      </c>
      <c r="C20" s="1" t="n">
        <v>46142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46142</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40895-2025</t>
        </is>
      </c>
      <c r="B22" s="1" t="n">
        <v>45897.61241898148</v>
      </c>
      <c r="C22" s="1" t="n">
        <v>46142</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47475-2024</t>
        </is>
      </c>
      <c r="B23" s="1" t="n">
        <v>45587.57552083334</v>
      </c>
      <c r="C23" s="1" t="n">
        <v>46142</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46142</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46142</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46142</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46142</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46142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46142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46142</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46142</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14485-2026</t>
        </is>
      </c>
      <c r="B32" s="1" t="n">
        <v>46100.59055555556</v>
      </c>
      <c r="C32" s="1" t="n">
        <v>46142</v>
      </c>
      <c r="D32" t="inlineStr">
        <is>
          <t>VÄSTMANLANDS LÄN</t>
        </is>
      </c>
      <c r="E32" t="inlineStr">
        <is>
          <t>SALA</t>
        </is>
      </c>
      <c r="F32" t="inlineStr">
        <is>
          <t>Sveaskog</t>
        </is>
      </c>
      <c r="G32" t="n">
        <v>13.6</v>
      </c>
      <c r="H32" t="n">
        <v>1</v>
      </c>
      <c r="I32" t="n">
        <v>0</v>
      </c>
      <c r="J32" t="n">
        <v>2</v>
      </c>
      <c r="K32" t="n">
        <v>0</v>
      </c>
      <c r="L32" t="n">
        <v>0</v>
      </c>
      <c r="M32" t="n">
        <v>0</v>
      </c>
      <c r="N32" t="n">
        <v>0</v>
      </c>
      <c r="O32" t="n">
        <v>2</v>
      </c>
      <c r="P32" t="n">
        <v>0</v>
      </c>
      <c r="Q32" t="n">
        <v>2</v>
      </c>
      <c r="R32" s="2" t="inlineStr">
        <is>
          <t>Motaggsvamp
Talltita</t>
        </is>
      </c>
      <c r="S32">
        <f>HYPERLINK("https://klasma.github.io/Logging_1981/artfynd/A 14485-2026 artfynd.xlsx", "A 14485-2026")</f>
        <v/>
      </c>
      <c r="T32">
        <f>HYPERLINK("https://klasma.github.io/Logging_1981/kartor/A 14485-2026 karta.png", "A 14485-2026")</f>
        <v/>
      </c>
      <c r="V32">
        <f>HYPERLINK("https://klasma.github.io/Logging_1981/klagomål/A 14485-2026 FSC-klagomål.docx", "A 14485-2026")</f>
        <v/>
      </c>
      <c r="W32">
        <f>HYPERLINK("https://klasma.github.io/Logging_1981/klagomålsmail/A 14485-2026 FSC-klagomål mail.docx", "A 14485-2026")</f>
        <v/>
      </c>
      <c r="X32">
        <f>HYPERLINK("https://klasma.github.io/Logging_1981/tillsyn/A 14485-2026 tillsynsbegäran.docx", "A 14485-2026")</f>
        <v/>
      </c>
      <c r="Y32">
        <f>HYPERLINK("https://klasma.github.io/Logging_1981/tillsynsmail/A 14485-2026 tillsynsbegäran mail.docx", "A 14485-2026")</f>
        <v/>
      </c>
      <c r="Z32">
        <f>HYPERLINK("https://klasma.github.io/Logging_1981/fåglar/A 14485-2026 prioriterade fågelarter.docx", "A 14485-2026")</f>
        <v/>
      </c>
    </row>
    <row r="33" ht="15" customHeight="1">
      <c r="A33" t="inlineStr">
        <is>
          <t>A 13029-2023</t>
        </is>
      </c>
      <c r="B33" s="1" t="n">
        <v>45001</v>
      </c>
      <c r="C33" s="1" t="n">
        <v>46142</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1500-2022</t>
        </is>
      </c>
      <c r="B34" s="1" t="n">
        <v>44573.54357638889</v>
      </c>
      <c r="C34" s="1" t="n">
        <v>46142</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53048-2025</t>
        </is>
      </c>
      <c r="B35" s="1" t="n">
        <v>45958.36018518519</v>
      </c>
      <c r="C35" s="1" t="n">
        <v>46142</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59826-2025</t>
        </is>
      </c>
      <c r="B36" s="1" t="n">
        <v>45992.65416666667</v>
      </c>
      <c r="C36" s="1" t="n">
        <v>46142</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15102-2025</t>
        </is>
      </c>
      <c r="B37" s="1" t="n">
        <v>45744.34585648148</v>
      </c>
      <c r="C37" s="1" t="n">
        <v>46142</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63584-2025</t>
        </is>
      </c>
      <c r="B38" s="1" t="n">
        <v>46013.77002314815</v>
      </c>
      <c r="C38" s="1" t="n">
        <v>46142</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24872-2025</t>
        </is>
      </c>
      <c r="B39" s="1" t="n">
        <v>45799.49038194444</v>
      </c>
      <c r="C39" s="1" t="n">
        <v>46142</v>
      </c>
      <c r="D39" t="inlineStr">
        <is>
          <t>VÄSTMANLANDS LÄN</t>
        </is>
      </c>
      <c r="E39" t="inlineStr">
        <is>
          <t>SALA</t>
        </is>
      </c>
      <c r="G39" t="n">
        <v>13.9</v>
      </c>
      <c r="H39" t="n">
        <v>1</v>
      </c>
      <c r="I39" t="n">
        <v>0</v>
      </c>
      <c r="J39" t="n">
        <v>1</v>
      </c>
      <c r="K39" t="n">
        <v>1</v>
      </c>
      <c r="L39" t="n">
        <v>0</v>
      </c>
      <c r="M39" t="n">
        <v>0</v>
      </c>
      <c r="N39" t="n">
        <v>0</v>
      </c>
      <c r="O39" t="n">
        <v>2</v>
      </c>
      <c r="P39" t="n">
        <v>1</v>
      </c>
      <c r="Q39" t="n">
        <v>2</v>
      </c>
      <c r="R39" s="2" t="inlineStr">
        <is>
          <t>Knärot
Motaggsvamp</t>
        </is>
      </c>
      <c r="S39">
        <f>HYPERLINK("https://klasma.github.io/Logging_1981/artfynd/A 24872-2025 artfynd.xlsx", "A 24872-2025")</f>
        <v/>
      </c>
      <c r="T39">
        <f>HYPERLINK("https://klasma.github.io/Logging_1981/kartor/A 24872-2025 karta.png", "A 24872-2025")</f>
        <v/>
      </c>
      <c r="U39">
        <f>HYPERLINK("https://klasma.github.io/Logging_1981/knärot/A 24872-2025 karta knärot.png", "A 24872-2025")</f>
        <v/>
      </c>
      <c r="V39">
        <f>HYPERLINK("https://klasma.github.io/Logging_1981/klagomål/A 24872-2025 FSC-klagomål.docx", "A 24872-2025")</f>
        <v/>
      </c>
      <c r="W39">
        <f>HYPERLINK("https://klasma.github.io/Logging_1981/klagomålsmail/A 24872-2025 FSC-klagomål mail.docx", "A 24872-2025")</f>
        <v/>
      </c>
      <c r="X39">
        <f>HYPERLINK("https://klasma.github.io/Logging_1981/tillsyn/A 24872-2025 tillsynsbegäran.docx", "A 24872-2025")</f>
        <v/>
      </c>
      <c r="Y39">
        <f>HYPERLINK("https://klasma.github.io/Logging_1981/tillsynsmail/A 24872-2025 tillsynsbegäran mail.docx", "A 24872-2025")</f>
        <v/>
      </c>
    </row>
    <row r="40" ht="15" customHeight="1">
      <c r="A40" t="inlineStr">
        <is>
          <t>A 44970-2021</t>
        </is>
      </c>
      <c r="B40" s="1" t="n">
        <v>44438.74399305556</v>
      </c>
      <c r="C40" s="1" t="n">
        <v>46142</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46142</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56704-2022</t>
        </is>
      </c>
      <c r="B42" s="1" t="n">
        <v>44893.78075231481</v>
      </c>
      <c r="C42" s="1" t="n">
        <v>46142</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38255-2025</t>
        </is>
      </c>
      <c r="B43" s="1" t="n">
        <v>45883.38020833334</v>
      </c>
      <c r="C43" s="1" t="n">
        <v>46142</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43175-2023</t>
        </is>
      </c>
      <c r="B44" s="1" t="n">
        <v>45183</v>
      </c>
      <c r="C44" s="1" t="n">
        <v>46142</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60852-2024</t>
        </is>
      </c>
      <c r="B45" s="1" t="n">
        <v>45644</v>
      </c>
      <c r="C45" s="1" t="n">
        <v>46142</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14487-2026</t>
        </is>
      </c>
      <c r="B46" s="1" t="n">
        <v>46100.59162037037</v>
      </c>
      <c r="C46" s="1" t="n">
        <v>46142</v>
      </c>
      <c r="D46" t="inlineStr">
        <is>
          <t>VÄSTMANLANDS LÄN</t>
        </is>
      </c>
      <c r="E46" t="inlineStr">
        <is>
          <t>SALA</t>
        </is>
      </c>
      <c r="F46" t="inlineStr">
        <is>
          <t>Sveaskog</t>
        </is>
      </c>
      <c r="G46" t="n">
        <v>6.7</v>
      </c>
      <c r="H46" t="n">
        <v>0</v>
      </c>
      <c r="I46" t="n">
        <v>0</v>
      </c>
      <c r="J46" t="n">
        <v>1</v>
      </c>
      <c r="K46" t="n">
        <v>0</v>
      </c>
      <c r="L46" t="n">
        <v>0</v>
      </c>
      <c r="M46" t="n">
        <v>0</v>
      </c>
      <c r="N46" t="n">
        <v>0</v>
      </c>
      <c r="O46" t="n">
        <v>1</v>
      </c>
      <c r="P46" t="n">
        <v>0</v>
      </c>
      <c r="Q46" t="n">
        <v>1</v>
      </c>
      <c r="R46" s="2" t="inlineStr">
        <is>
          <t>Motaggsvamp</t>
        </is>
      </c>
      <c r="S46">
        <f>HYPERLINK("https://klasma.github.io/Logging_1981/artfynd/A 14487-2026 artfynd.xlsx", "A 14487-2026")</f>
        <v/>
      </c>
      <c r="T46">
        <f>HYPERLINK("https://klasma.github.io/Logging_1981/kartor/A 14487-2026 karta.png", "A 14487-2026")</f>
        <v/>
      </c>
      <c r="V46">
        <f>HYPERLINK("https://klasma.github.io/Logging_1981/klagomål/A 14487-2026 FSC-klagomål.docx", "A 14487-2026")</f>
        <v/>
      </c>
      <c r="W46">
        <f>HYPERLINK("https://klasma.github.io/Logging_1981/klagomålsmail/A 14487-2026 FSC-klagomål mail.docx", "A 14487-2026")</f>
        <v/>
      </c>
      <c r="X46">
        <f>HYPERLINK("https://klasma.github.io/Logging_1981/tillsyn/A 14487-2026 tillsynsbegäran.docx", "A 14487-2026")</f>
        <v/>
      </c>
      <c r="Y46">
        <f>HYPERLINK("https://klasma.github.io/Logging_1981/tillsynsmail/A 14487-2026 tillsynsbegäran mail.docx", "A 14487-2026")</f>
        <v/>
      </c>
    </row>
    <row r="47" ht="15" customHeight="1">
      <c r="A47" t="inlineStr">
        <is>
          <t>A 14488-2026</t>
        </is>
      </c>
      <c r="B47" s="1" t="n">
        <v>46100.59216435185</v>
      </c>
      <c r="C47" s="1" t="n">
        <v>46142</v>
      </c>
      <c r="D47" t="inlineStr">
        <is>
          <t>VÄSTMANLANDS LÄN</t>
        </is>
      </c>
      <c r="E47" t="inlineStr">
        <is>
          <t>SALA</t>
        </is>
      </c>
      <c r="F47" t="inlineStr">
        <is>
          <t>Sveaskog</t>
        </is>
      </c>
      <c r="G47" t="n">
        <v>1.5</v>
      </c>
      <c r="H47" t="n">
        <v>1</v>
      </c>
      <c r="I47" t="n">
        <v>0</v>
      </c>
      <c r="J47" t="n">
        <v>0</v>
      </c>
      <c r="K47" t="n">
        <v>0</v>
      </c>
      <c r="L47" t="n">
        <v>0</v>
      </c>
      <c r="M47" t="n">
        <v>0</v>
      </c>
      <c r="N47" t="n">
        <v>0</v>
      </c>
      <c r="O47" t="n">
        <v>0</v>
      </c>
      <c r="P47" t="n">
        <v>0</v>
      </c>
      <c r="Q47" t="n">
        <v>1</v>
      </c>
      <c r="R47" s="2" t="inlineStr">
        <is>
          <t>Mattlummer</t>
        </is>
      </c>
      <c r="S47">
        <f>HYPERLINK("https://klasma.github.io/Logging_1981/artfynd/A 14488-2026 artfynd.xlsx", "A 14488-2026")</f>
        <v/>
      </c>
      <c r="T47">
        <f>HYPERLINK("https://klasma.github.io/Logging_1981/kartor/A 14488-2026 karta.png", "A 14488-2026")</f>
        <v/>
      </c>
      <c r="V47">
        <f>HYPERLINK("https://klasma.github.io/Logging_1981/klagomål/A 14488-2026 FSC-klagomål.docx", "A 14488-2026")</f>
        <v/>
      </c>
      <c r="W47">
        <f>HYPERLINK("https://klasma.github.io/Logging_1981/klagomålsmail/A 14488-2026 FSC-klagomål mail.docx", "A 14488-2026")</f>
        <v/>
      </c>
      <c r="X47">
        <f>HYPERLINK("https://klasma.github.io/Logging_1981/tillsyn/A 14488-2026 tillsynsbegäran.docx", "A 14488-2026")</f>
        <v/>
      </c>
      <c r="Y47">
        <f>HYPERLINK("https://klasma.github.io/Logging_1981/tillsynsmail/A 14488-2026 tillsynsbegäran mail.docx", "A 14488-2026")</f>
        <v/>
      </c>
    </row>
    <row r="48" ht="15" customHeight="1">
      <c r="A48" t="inlineStr">
        <is>
          <t>A 41270-2024</t>
        </is>
      </c>
      <c r="B48" s="1" t="n">
        <v>45559</v>
      </c>
      <c r="C48" s="1" t="n">
        <v>46142</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7672-2026</t>
        </is>
      </c>
      <c r="B49" s="1" t="n">
        <v>46062.42077546296</v>
      </c>
      <c r="C49" s="1" t="n">
        <v>46142</v>
      </c>
      <c r="D49" t="inlineStr">
        <is>
          <t>VÄSTMANLANDS LÄN</t>
        </is>
      </c>
      <c r="E49" t="inlineStr">
        <is>
          <t>SALA</t>
        </is>
      </c>
      <c r="G49" t="n">
        <v>2.9</v>
      </c>
      <c r="H49" t="n">
        <v>1</v>
      </c>
      <c r="I49" t="n">
        <v>0</v>
      </c>
      <c r="J49" t="n">
        <v>0</v>
      </c>
      <c r="K49" t="n">
        <v>0</v>
      </c>
      <c r="L49" t="n">
        <v>0</v>
      </c>
      <c r="M49" t="n">
        <v>0</v>
      </c>
      <c r="N49" t="n">
        <v>0</v>
      </c>
      <c r="O49" t="n">
        <v>0</v>
      </c>
      <c r="P49" t="n">
        <v>0</v>
      </c>
      <c r="Q49" t="n">
        <v>1</v>
      </c>
      <c r="R49" s="2" t="inlineStr">
        <is>
          <t>Nattviol</t>
        </is>
      </c>
      <c r="S49">
        <f>HYPERLINK("https://klasma.github.io/Logging_1981/artfynd/A 7672-2026 artfynd.xlsx", "A 7672-2026")</f>
        <v/>
      </c>
      <c r="T49">
        <f>HYPERLINK("https://klasma.github.io/Logging_1981/kartor/A 7672-2026 karta.png", "A 7672-2026")</f>
        <v/>
      </c>
      <c r="V49">
        <f>HYPERLINK("https://klasma.github.io/Logging_1981/klagomål/A 7672-2026 FSC-klagomål.docx", "A 7672-2026")</f>
        <v/>
      </c>
      <c r="W49">
        <f>HYPERLINK("https://klasma.github.io/Logging_1981/klagomålsmail/A 7672-2026 FSC-klagomål mail.docx", "A 7672-2026")</f>
        <v/>
      </c>
      <c r="X49">
        <f>HYPERLINK("https://klasma.github.io/Logging_1981/tillsyn/A 7672-2026 tillsynsbegäran.docx", "A 7672-2026")</f>
        <v/>
      </c>
      <c r="Y49">
        <f>HYPERLINK("https://klasma.github.io/Logging_1981/tillsynsmail/A 7672-2026 tillsynsbegäran mail.docx", "A 7672-2026")</f>
        <v/>
      </c>
    </row>
    <row r="50" ht="15" customHeight="1">
      <c r="A50" t="inlineStr">
        <is>
          <t>A 32594-2025</t>
        </is>
      </c>
      <c r="B50" s="1" t="n">
        <v>45838</v>
      </c>
      <c r="C50" s="1" t="n">
        <v>46142</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43068-2024</t>
        </is>
      </c>
      <c r="B51" s="1" t="n">
        <v>45567</v>
      </c>
      <c r="C51" s="1" t="n">
        <v>46142</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22350-2024</t>
        </is>
      </c>
      <c r="B52" s="1" t="n">
        <v>45446</v>
      </c>
      <c r="C52" s="1" t="n">
        <v>46142</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7731-2023</t>
        </is>
      </c>
      <c r="B53" s="1" t="n">
        <v>44973</v>
      </c>
      <c r="C53" s="1" t="n">
        <v>46142</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46142</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18896-2026</t>
        </is>
      </c>
      <c r="B55" s="1" t="n">
        <v>46129</v>
      </c>
      <c r="C55" s="1" t="n">
        <v>46142</v>
      </c>
      <c r="D55" t="inlineStr">
        <is>
          <t>VÄSTMANLANDS LÄN</t>
        </is>
      </c>
      <c r="E55" t="inlineStr">
        <is>
          <t>SALA</t>
        </is>
      </c>
      <c r="F55" t="inlineStr">
        <is>
          <t>Kommuner</t>
        </is>
      </c>
      <c r="G55" t="n">
        <v>1.1</v>
      </c>
      <c r="H55" t="n">
        <v>0</v>
      </c>
      <c r="I55" t="n">
        <v>0</v>
      </c>
      <c r="J55" t="n">
        <v>1</v>
      </c>
      <c r="K55" t="n">
        <v>0</v>
      </c>
      <c r="L55" t="n">
        <v>0</v>
      </c>
      <c r="M55" t="n">
        <v>0</v>
      </c>
      <c r="N55" t="n">
        <v>0</v>
      </c>
      <c r="O55" t="n">
        <v>1</v>
      </c>
      <c r="P55" t="n">
        <v>0</v>
      </c>
      <c r="Q55" t="n">
        <v>1</v>
      </c>
      <c r="R55" s="2" t="inlineStr">
        <is>
          <t>Ullticka</t>
        </is>
      </c>
      <c r="S55">
        <f>HYPERLINK("https://klasma.github.io/Logging_1981/artfynd/A 18896-2026 artfynd.xlsx", "A 18896-2026")</f>
        <v/>
      </c>
      <c r="T55">
        <f>HYPERLINK("https://klasma.github.io/Logging_1981/kartor/A 18896-2026 karta.png", "A 18896-2026")</f>
        <v/>
      </c>
      <c r="V55">
        <f>HYPERLINK("https://klasma.github.io/Logging_1981/klagomål/A 18896-2026 FSC-klagomål.docx", "A 18896-2026")</f>
        <v/>
      </c>
      <c r="W55">
        <f>HYPERLINK("https://klasma.github.io/Logging_1981/klagomålsmail/A 18896-2026 FSC-klagomål mail.docx", "A 18896-2026")</f>
        <v/>
      </c>
      <c r="X55">
        <f>HYPERLINK("https://klasma.github.io/Logging_1981/tillsyn/A 18896-2026 tillsynsbegäran.docx", "A 18896-2026")</f>
        <v/>
      </c>
      <c r="Y55">
        <f>HYPERLINK("https://klasma.github.io/Logging_1981/tillsynsmail/A 18896-2026 tillsynsbegäran mail.docx", "A 18896-2026")</f>
        <v/>
      </c>
    </row>
    <row r="56" ht="15" customHeight="1">
      <c r="A56" t="inlineStr">
        <is>
          <t>A 14775-2023</t>
        </is>
      </c>
      <c r="B56" s="1" t="n">
        <v>45014</v>
      </c>
      <c r="C56" s="1" t="n">
        <v>46142</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14775-2023 artfynd.xlsx", "A 14775-2023")</f>
        <v/>
      </c>
      <c r="T56">
        <f>HYPERLINK("https://klasma.github.io/Logging_1981/kartor/A 14775-2023 karta.png", "A 14775-2023")</f>
        <v/>
      </c>
      <c r="U56">
        <f>HYPERLINK("https://klasma.github.io/Logging_1981/knärot/A 14775-2023 karta knärot.png", "A 14775-2023")</f>
        <v/>
      </c>
      <c r="V56">
        <f>HYPERLINK("https://klasma.github.io/Logging_1981/klagomål/A 14775-2023 FSC-klagomål.docx", "A 14775-2023")</f>
        <v/>
      </c>
      <c r="W56">
        <f>HYPERLINK("https://klasma.github.io/Logging_1981/klagomålsmail/A 14775-2023 FSC-klagomål mail.docx", "A 14775-2023")</f>
        <v/>
      </c>
      <c r="X56">
        <f>HYPERLINK("https://klasma.github.io/Logging_1981/tillsyn/A 14775-2023 tillsynsbegäran.docx", "A 14775-2023")</f>
        <v/>
      </c>
      <c r="Y56">
        <f>HYPERLINK("https://klasma.github.io/Logging_1981/tillsynsmail/A 14775-2023 tillsynsbegäran mail.docx", "A 14775-2023")</f>
        <v/>
      </c>
    </row>
    <row r="57" ht="15" customHeight="1">
      <c r="A57" t="inlineStr">
        <is>
          <t>A 19361-2025</t>
        </is>
      </c>
      <c r="B57" s="1" t="n">
        <v>45769.63357638889</v>
      </c>
      <c r="C57" s="1" t="n">
        <v>46142</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46142</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37166-2024</t>
        </is>
      </c>
      <c r="B59" s="1" t="n">
        <v>45539</v>
      </c>
      <c r="C59" s="1" t="n">
        <v>46142</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37166-2024 artfynd.xlsx", "A 37166-2024")</f>
        <v/>
      </c>
      <c r="T59">
        <f>HYPERLINK("https://klasma.github.io/Logging_1981/kartor/A 37166-2024 karta.png", "A 37166-2024")</f>
        <v/>
      </c>
      <c r="U59">
        <f>HYPERLINK("https://klasma.github.io/Logging_1981/knärot/A 37166-2024 karta knärot.png", "A 37166-2024")</f>
        <v/>
      </c>
      <c r="V59">
        <f>HYPERLINK("https://klasma.github.io/Logging_1981/klagomål/A 37166-2024 FSC-klagomål.docx", "A 37166-2024")</f>
        <v/>
      </c>
      <c r="W59">
        <f>HYPERLINK("https://klasma.github.io/Logging_1981/klagomålsmail/A 37166-2024 FSC-klagomål mail.docx", "A 37166-2024")</f>
        <v/>
      </c>
      <c r="X59">
        <f>HYPERLINK("https://klasma.github.io/Logging_1981/tillsyn/A 37166-2024 tillsynsbegäran.docx", "A 37166-2024")</f>
        <v/>
      </c>
      <c r="Y59">
        <f>HYPERLINK("https://klasma.github.io/Logging_1981/tillsynsmail/A 37166-2024 tillsynsbegäran mail.docx", "A 37166-2024")</f>
        <v/>
      </c>
    </row>
    <row r="60" ht="15" customHeight="1">
      <c r="A60" t="inlineStr">
        <is>
          <t>A 48705-2025</t>
        </is>
      </c>
      <c r="B60" s="1" t="n">
        <v>45936.62290509259</v>
      </c>
      <c r="C60" s="1" t="n">
        <v>46142</v>
      </c>
      <c r="D60" t="inlineStr">
        <is>
          <t>VÄSTMANLANDS LÄN</t>
        </is>
      </c>
      <c r="E60" t="inlineStr">
        <is>
          <t>SALA</t>
        </is>
      </c>
      <c r="G60" t="n">
        <v>4.4</v>
      </c>
      <c r="H60" t="n">
        <v>1</v>
      </c>
      <c r="I60" t="n">
        <v>1</v>
      </c>
      <c r="J60" t="n">
        <v>0</v>
      </c>
      <c r="K60" t="n">
        <v>0</v>
      </c>
      <c r="L60" t="n">
        <v>0</v>
      </c>
      <c r="M60" t="n">
        <v>0</v>
      </c>
      <c r="N60" t="n">
        <v>0</v>
      </c>
      <c r="O60" t="n">
        <v>0</v>
      </c>
      <c r="P60" t="n">
        <v>0</v>
      </c>
      <c r="Q60" t="n">
        <v>1</v>
      </c>
      <c r="R60" s="2" t="inlineStr">
        <is>
          <t>Plattlummer</t>
        </is>
      </c>
      <c r="S60">
        <f>HYPERLINK("https://klasma.github.io/Logging_1981/artfynd/A 48705-2025 artfynd.xlsx", "A 48705-2025")</f>
        <v/>
      </c>
      <c r="T60">
        <f>HYPERLINK("https://klasma.github.io/Logging_1981/kartor/A 48705-2025 karta.png", "A 48705-2025")</f>
        <v/>
      </c>
      <c r="V60">
        <f>HYPERLINK("https://klasma.github.io/Logging_1981/klagomål/A 48705-2025 FSC-klagomål.docx", "A 48705-2025")</f>
        <v/>
      </c>
      <c r="W60">
        <f>HYPERLINK("https://klasma.github.io/Logging_1981/klagomålsmail/A 48705-2025 FSC-klagomål mail.docx", "A 48705-2025")</f>
        <v/>
      </c>
      <c r="X60">
        <f>HYPERLINK("https://klasma.github.io/Logging_1981/tillsyn/A 48705-2025 tillsynsbegäran.docx", "A 48705-2025")</f>
        <v/>
      </c>
      <c r="Y60">
        <f>HYPERLINK("https://klasma.github.io/Logging_1981/tillsynsmail/A 48705-2025 tillsynsbegäran mail.docx", "A 48705-2025")</f>
        <v/>
      </c>
    </row>
    <row r="61" ht="15" customHeight="1">
      <c r="A61" t="inlineStr">
        <is>
          <t>A 50268-2025</t>
        </is>
      </c>
      <c r="B61" s="1" t="n">
        <v>45944.35162037037</v>
      </c>
      <c r="C61" s="1" t="n">
        <v>46142</v>
      </c>
      <c r="D61" t="inlineStr">
        <is>
          <t>VÄSTMANLANDS LÄN</t>
        </is>
      </c>
      <c r="E61" t="inlineStr">
        <is>
          <t>SALA</t>
        </is>
      </c>
      <c r="G61" t="n">
        <v>0.7</v>
      </c>
      <c r="H61" t="n">
        <v>1</v>
      </c>
      <c r="I61" t="n">
        <v>0</v>
      </c>
      <c r="J61" t="n">
        <v>0</v>
      </c>
      <c r="K61" t="n">
        <v>0</v>
      </c>
      <c r="L61" t="n">
        <v>0</v>
      </c>
      <c r="M61" t="n">
        <v>0</v>
      </c>
      <c r="N61" t="n">
        <v>0</v>
      </c>
      <c r="O61" t="n">
        <v>0</v>
      </c>
      <c r="P61" t="n">
        <v>0</v>
      </c>
      <c r="Q61" t="n">
        <v>1</v>
      </c>
      <c r="R61" s="2" t="inlineStr">
        <is>
          <t>Fläcknycklar</t>
        </is>
      </c>
      <c r="S61">
        <f>HYPERLINK("https://klasma.github.io/Logging_1981/artfynd/A 50268-2025 artfynd.xlsx", "A 50268-2025")</f>
        <v/>
      </c>
      <c r="T61">
        <f>HYPERLINK("https://klasma.github.io/Logging_1981/kartor/A 50268-2025 karta.png", "A 50268-2025")</f>
        <v/>
      </c>
      <c r="V61">
        <f>HYPERLINK("https://klasma.github.io/Logging_1981/klagomål/A 50268-2025 FSC-klagomål.docx", "A 50268-2025")</f>
        <v/>
      </c>
      <c r="W61">
        <f>HYPERLINK("https://klasma.github.io/Logging_1981/klagomålsmail/A 50268-2025 FSC-klagomål mail.docx", "A 50268-2025")</f>
        <v/>
      </c>
      <c r="X61">
        <f>HYPERLINK("https://klasma.github.io/Logging_1981/tillsyn/A 50268-2025 tillsynsbegäran.docx", "A 50268-2025")</f>
        <v/>
      </c>
      <c r="Y61">
        <f>HYPERLINK("https://klasma.github.io/Logging_1981/tillsynsmail/A 50268-2025 tillsynsbegäran mail.docx", "A 50268-2025")</f>
        <v/>
      </c>
    </row>
    <row r="62" ht="15" customHeight="1">
      <c r="A62" t="inlineStr">
        <is>
          <t>A 53052-2025</t>
        </is>
      </c>
      <c r="B62" s="1" t="n">
        <v>45958.36266203703</v>
      </c>
      <c r="C62" s="1" t="n">
        <v>46142</v>
      </c>
      <c r="D62" t="inlineStr">
        <is>
          <t>VÄSTMANLANDS LÄN</t>
        </is>
      </c>
      <c r="E62" t="inlineStr">
        <is>
          <t>SALA</t>
        </is>
      </c>
      <c r="F62" t="inlineStr">
        <is>
          <t>Sveaskog</t>
        </is>
      </c>
      <c r="G62" t="n">
        <v>1.1</v>
      </c>
      <c r="H62" t="n">
        <v>0</v>
      </c>
      <c r="I62" t="n">
        <v>0</v>
      </c>
      <c r="J62" t="n">
        <v>1</v>
      </c>
      <c r="K62" t="n">
        <v>0</v>
      </c>
      <c r="L62" t="n">
        <v>0</v>
      </c>
      <c r="M62" t="n">
        <v>0</v>
      </c>
      <c r="N62" t="n">
        <v>0</v>
      </c>
      <c r="O62" t="n">
        <v>1</v>
      </c>
      <c r="P62" t="n">
        <v>0</v>
      </c>
      <c r="Q62" t="n">
        <v>1</v>
      </c>
      <c r="R62" s="2" t="inlineStr">
        <is>
          <t>Motaggsvamp</t>
        </is>
      </c>
      <c r="S62">
        <f>HYPERLINK("https://klasma.github.io/Logging_1981/artfynd/A 53052-2025 artfynd.xlsx", "A 53052-2025")</f>
        <v/>
      </c>
      <c r="T62">
        <f>HYPERLINK("https://klasma.github.io/Logging_1981/kartor/A 53052-2025 karta.png", "A 53052-2025")</f>
        <v/>
      </c>
      <c r="V62">
        <f>HYPERLINK("https://klasma.github.io/Logging_1981/klagomål/A 53052-2025 FSC-klagomål.docx", "A 53052-2025")</f>
        <v/>
      </c>
      <c r="W62">
        <f>HYPERLINK("https://klasma.github.io/Logging_1981/klagomålsmail/A 53052-2025 FSC-klagomål mail.docx", "A 53052-2025")</f>
        <v/>
      </c>
      <c r="X62">
        <f>HYPERLINK("https://klasma.github.io/Logging_1981/tillsyn/A 53052-2025 tillsynsbegäran.docx", "A 53052-2025")</f>
        <v/>
      </c>
      <c r="Y62">
        <f>HYPERLINK("https://klasma.github.io/Logging_1981/tillsynsmail/A 53052-2025 tillsynsbegäran mail.docx", "A 53052-2025")</f>
        <v/>
      </c>
    </row>
    <row r="63" ht="15" customHeight="1">
      <c r="A63" t="inlineStr">
        <is>
          <t>A 55995-2025</t>
        </is>
      </c>
      <c r="B63" s="1" t="n">
        <v>45973.56733796297</v>
      </c>
      <c r="C63" s="1" t="n">
        <v>46142</v>
      </c>
      <c r="D63" t="inlineStr">
        <is>
          <t>VÄSTMANLANDS LÄN</t>
        </is>
      </c>
      <c r="E63" t="inlineStr">
        <is>
          <t>SALA</t>
        </is>
      </c>
      <c r="F63" t="inlineStr">
        <is>
          <t>Sveaskog</t>
        </is>
      </c>
      <c r="G63" t="n">
        <v>4.5</v>
      </c>
      <c r="H63" t="n">
        <v>1</v>
      </c>
      <c r="I63" t="n">
        <v>0</v>
      </c>
      <c r="J63" t="n">
        <v>0</v>
      </c>
      <c r="K63" t="n">
        <v>0</v>
      </c>
      <c r="L63" t="n">
        <v>0</v>
      </c>
      <c r="M63" t="n">
        <v>0</v>
      </c>
      <c r="N63" t="n">
        <v>0</v>
      </c>
      <c r="O63" t="n">
        <v>0</v>
      </c>
      <c r="P63" t="n">
        <v>0</v>
      </c>
      <c r="Q63" t="n">
        <v>1</v>
      </c>
      <c r="R63" s="2" t="inlineStr">
        <is>
          <t>Fläcknycklar</t>
        </is>
      </c>
      <c r="S63">
        <f>HYPERLINK("https://klasma.github.io/Logging_1981/artfynd/A 55995-2025 artfynd.xlsx", "A 55995-2025")</f>
        <v/>
      </c>
      <c r="T63">
        <f>HYPERLINK("https://klasma.github.io/Logging_1981/kartor/A 55995-2025 karta.png", "A 55995-2025")</f>
        <v/>
      </c>
      <c r="V63">
        <f>HYPERLINK("https://klasma.github.io/Logging_1981/klagomål/A 55995-2025 FSC-klagomål.docx", "A 55995-2025")</f>
        <v/>
      </c>
      <c r="W63">
        <f>HYPERLINK("https://klasma.github.io/Logging_1981/klagomålsmail/A 55995-2025 FSC-klagomål mail.docx", "A 55995-2025")</f>
        <v/>
      </c>
      <c r="X63">
        <f>HYPERLINK("https://klasma.github.io/Logging_1981/tillsyn/A 55995-2025 tillsynsbegäran.docx", "A 55995-2025")</f>
        <v/>
      </c>
      <c r="Y63">
        <f>HYPERLINK("https://klasma.github.io/Logging_1981/tillsynsmail/A 55995-2025 tillsynsbegäran mail.docx", "A 55995-2025")</f>
        <v/>
      </c>
    </row>
    <row r="64" ht="15" customHeight="1">
      <c r="A64" t="inlineStr">
        <is>
          <t>A 29985-2022</t>
        </is>
      </c>
      <c r="B64" s="1" t="n">
        <v>44756</v>
      </c>
      <c r="C64" s="1" t="n">
        <v>46142</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7919-2022</t>
        </is>
      </c>
      <c r="B65" s="1" t="n">
        <v>44608</v>
      </c>
      <c r="C65" s="1" t="n">
        <v>46142</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29727-2023</t>
        </is>
      </c>
      <c r="B66" s="1" t="n">
        <v>45107</v>
      </c>
      <c r="C66" s="1" t="n">
        <v>46142</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55550-2023</t>
        </is>
      </c>
      <c r="B67" s="1" t="n">
        <v>45232</v>
      </c>
      <c r="C67" s="1" t="n">
        <v>46142</v>
      </c>
      <c r="D67" t="inlineStr">
        <is>
          <t>VÄSTMANLANDS LÄN</t>
        </is>
      </c>
      <c r="E67" t="inlineStr">
        <is>
          <t>SALA</t>
        </is>
      </c>
      <c r="G67" t="n">
        <v>9.9</v>
      </c>
      <c r="H67" t="n">
        <v>1</v>
      </c>
      <c r="I67" t="n">
        <v>0</v>
      </c>
      <c r="J67" t="n">
        <v>0</v>
      </c>
      <c r="K67" t="n">
        <v>1</v>
      </c>
      <c r="L67" t="n">
        <v>0</v>
      </c>
      <c r="M67" t="n">
        <v>0</v>
      </c>
      <c r="N67" t="n">
        <v>0</v>
      </c>
      <c r="O67" t="n">
        <v>1</v>
      </c>
      <c r="P67" t="n">
        <v>1</v>
      </c>
      <c r="Q67" t="n">
        <v>1</v>
      </c>
      <c r="R67" s="2" t="inlineStr">
        <is>
          <t>Knärot</t>
        </is>
      </c>
      <c r="S67">
        <f>HYPERLINK("https://klasma.github.io/Logging_1981/artfynd/A 55550-2023 artfynd.xlsx", "A 55550-2023")</f>
        <v/>
      </c>
      <c r="T67">
        <f>HYPERLINK("https://klasma.github.io/Logging_1981/kartor/A 55550-2023 karta.png", "A 55550-2023")</f>
        <v/>
      </c>
      <c r="U67">
        <f>HYPERLINK("https://klasma.github.io/Logging_1981/knärot/A 55550-2023 karta knärot.png", "A 55550-2023")</f>
        <v/>
      </c>
      <c r="V67">
        <f>HYPERLINK("https://klasma.github.io/Logging_1981/klagomål/A 55550-2023 FSC-klagomål.docx", "A 55550-2023")</f>
        <v/>
      </c>
      <c r="W67">
        <f>HYPERLINK("https://klasma.github.io/Logging_1981/klagomålsmail/A 55550-2023 FSC-klagomål mail.docx", "A 55550-2023")</f>
        <v/>
      </c>
      <c r="X67">
        <f>HYPERLINK("https://klasma.github.io/Logging_1981/tillsyn/A 55550-2023 tillsynsbegäran.docx", "A 55550-2023")</f>
        <v/>
      </c>
      <c r="Y67">
        <f>HYPERLINK("https://klasma.github.io/Logging_1981/tillsynsmail/A 55550-2023 tillsynsbegäran mail.docx", "A 55550-2023")</f>
        <v/>
      </c>
    </row>
    <row r="68" ht="15" customHeight="1">
      <c r="A68" t="inlineStr">
        <is>
          <t>A 21738-2025</t>
        </is>
      </c>
      <c r="B68" s="1" t="n">
        <v>45783.59173611111</v>
      </c>
      <c r="C68" s="1" t="n">
        <v>46142</v>
      </c>
      <c r="D68" t="inlineStr">
        <is>
          <t>VÄSTMANLANDS LÄN</t>
        </is>
      </c>
      <c r="E68" t="inlineStr">
        <is>
          <t>SALA</t>
        </is>
      </c>
      <c r="G68" t="n">
        <v>2.1</v>
      </c>
      <c r="H68" t="n">
        <v>0</v>
      </c>
      <c r="I68" t="n">
        <v>0</v>
      </c>
      <c r="J68" t="n">
        <v>1</v>
      </c>
      <c r="K68" t="n">
        <v>0</v>
      </c>
      <c r="L68" t="n">
        <v>0</v>
      </c>
      <c r="M68" t="n">
        <v>0</v>
      </c>
      <c r="N68" t="n">
        <v>0</v>
      </c>
      <c r="O68" t="n">
        <v>1</v>
      </c>
      <c r="P68" t="n">
        <v>0</v>
      </c>
      <c r="Q68" t="n">
        <v>1</v>
      </c>
      <c r="R68" s="2" t="inlineStr">
        <is>
          <t>Motaggsvamp</t>
        </is>
      </c>
      <c r="S68">
        <f>HYPERLINK("https://klasma.github.io/Logging_1981/artfynd/A 21738-2025 artfynd.xlsx", "A 21738-2025")</f>
        <v/>
      </c>
      <c r="T68">
        <f>HYPERLINK("https://klasma.github.io/Logging_1981/kartor/A 21738-2025 karta.png", "A 21738-2025")</f>
        <v/>
      </c>
      <c r="V68">
        <f>HYPERLINK("https://klasma.github.io/Logging_1981/klagomål/A 21738-2025 FSC-klagomål.docx", "A 21738-2025")</f>
        <v/>
      </c>
      <c r="W68">
        <f>HYPERLINK("https://klasma.github.io/Logging_1981/klagomålsmail/A 21738-2025 FSC-klagomål mail.docx", "A 21738-2025")</f>
        <v/>
      </c>
      <c r="X68">
        <f>HYPERLINK("https://klasma.github.io/Logging_1981/tillsyn/A 21738-2025 tillsynsbegäran.docx", "A 21738-2025")</f>
        <v/>
      </c>
      <c r="Y68">
        <f>HYPERLINK("https://klasma.github.io/Logging_1981/tillsynsmail/A 21738-2025 tillsynsbegäran mail.docx", "A 21738-2025")</f>
        <v/>
      </c>
    </row>
    <row r="69" ht="15" customHeight="1">
      <c r="A69" t="inlineStr">
        <is>
          <t>A 22950-2025</t>
        </is>
      </c>
      <c r="B69" s="1" t="n">
        <v>45790.50728009259</v>
      </c>
      <c r="C69" s="1" t="n">
        <v>46142</v>
      </c>
      <c r="D69" t="inlineStr">
        <is>
          <t>VÄSTMANLANDS LÄN</t>
        </is>
      </c>
      <c r="E69" t="inlineStr">
        <is>
          <t>SALA</t>
        </is>
      </c>
      <c r="G69" t="n">
        <v>6.2</v>
      </c>
      <c r="H69" t="n">
        <v>1</v>
      </c>
      <c r="I69" t="n">
        <v>0</v>
      </c>
      <c r="J69" t="n">
        <v>1</v>
      </c>
      <c r="K69" t="n">
        <v>0</v>
      </c>
      <c r="L69" t="n">
        <v>0</v>
      </c>
      <c r="M69" t="n">
        <v>0</v>
      </c>
      <c r="N69" t="n">
        <v>0</v>
      </c>
      <c r="O69" t="n">
        <v>1</v>
      </c>
      <c r="P69" t="n">
        <v>0</v>
      </c>
      <c r="Q69" t="n">
        <v>1</v>
      </c>
      <c r="R69" s="2" t="inlineStr">
        <is>
          <t>Svartvit flugsnappare</t>
        </is>
      </c>
      <c r="S69">
        <f>HYPERLINK("https://klasma.github.io/Logging_1981/artfynd/A 22950-2025 artfynd.xlsx", "A 22950-2025")</f>
        <v/>
      </c>
      <c r="T69">
        <f>HYPERLINK("https://klasma.github.io/Logging_1981/kartor/A 22950-2025 karta.png", "A 22950-2025")</f>
        <v/>
      </c>
      <c r="V69">
        <f>HYPERLINK("https://klasma.github.io/Logging_1981/klagomål/A 22950-2025 FSC-klagomål.docx", "A 22950-2025")</f>
        <v/>
      </c>
      <c r="W69">
        <f>HYPERLINK("https://klasma.github.io/Logging_1981/klagomålsmail/A 22950-2025 FSC-klagomål mail.docx", "A 22950-2025")</f>
        <v/>
      </c>
      <c r="X69">
        <f>HYPERLINK("https://klasma.github.io/Logging_1981/tillsyn/A 22950-2025 tillsynsbegäran.docx", "A 22950-2025")</f>
        <v/>
      </c>
      <c r="Y69">
        <f>HYPERLINK("https://klasma.github.io/Logging_1981/tillsynsmail/A 22950-2025 tillsynsbegäran mail.docx", "A 22950-2025")</f>
        <v/>
      </c>
      <c r="Z69">
        <f>HYPERLINK("https://klasma.github.io/Logging_1981/fåglar/A 22950-2025 prioriterade fågelarter.docx", "A 22950-2025")</f>
        <v/>
      </c>
    </row>
    <row r="70" ht="15" customHeight="1">
      <c r="A70" t="inlineStr">
        <is>
          <t>A 73124-2021</t>
        </is>
      </c>
      <c r="B70" s="1" t="n">
        <v>44550</v>
      </c>
      <c r="C70" s="1" t="n">
        <v>46142</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46142</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34110-2022</t>
        </is>
      </c>
      <c r="B72" s="1" t="n">
        <v>44791</v>
      </c>
      <c r="C72" s="1" t="n">
        <v>46142</v>
      </c>
      <c r="D72" t="inlineStr">
        <is>
          <t>VÄSTMANLANDS LÄN</t>
        </is>
      </c>
      <c r="E72" t="inlineStr">
        <is>
          <t>SALA</t>
        </is>
      </c>
      <c r="G72" t="n">
        <v>0.2</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46142</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46142</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46142</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46142</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46142</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46142</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46142</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46142</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46142</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46142</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46142</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46142</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46142</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46142</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46142</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46142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46142</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46142</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46142</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46142</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46142</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46142</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46142</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46142</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46142</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46142</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46142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46142</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46142</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46142</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46142</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46142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46142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46142</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46142</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46142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46142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46142</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46142</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46142</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46142</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46142</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31904-2021</t>
        </is>
      </c>
      <c r="B115" s="1" t="n">
        <v>44370.46853009259</v>
      </c>
      <c r="C115" s="1" t="n">
        <v>46142</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61897-2021</t>
        </is>
      </c>
      <c r="B116" s="1" t="n">
        <v>44502</v>
      </c>
      <c r="C116" s="1" t="n">
        <v>46142</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46142</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46142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46142</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46142</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46142</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46142</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46142</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46142</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46142</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66508-2021</t>
        </is>
      </c>
      <c r="B126" s="1" t="n">
        <v>44519.33401620371</v>
      </c>
      <c r="C126" s="1" t="n">
        <v>46142</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46142</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46142</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46142</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46142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46142</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46142</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46142</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46142</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46142</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46142</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46142</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46142</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46142</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46142</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46142</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46142</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46142</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46142</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46142</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46142</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46142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46142</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46142</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46142</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46142</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46142</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30904-2021</t>
        </is>
      </c>
      <c r="B153" s="1" t="n">
        <v>44365.5983449074</v>
      </c>
      <c r="C153" s="1" t="n">
        <v>46142</v>
      </c>
      <c r="D153" t="inlineStr">
        <is>
          <t>VÄSTMANLANDS LÄN</t>
        </is>
      </c>
      <c r="E153" t="inlineStr">
        <is>
          <t>SALA</t>
        </is>
      </c>
      <c r="G153" t="n">
        <v>1.9</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46142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46142</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46142</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46142</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46142</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46142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46142</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46142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46142</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46142</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46142</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46142</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46142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46142</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46142</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46142</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46142</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46142</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46142</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46142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46142</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46142</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56688-2024</t>
        </is>
      </c>
      <c r="B176" s="1" t="n">
        <v>45627.66478009259</v>
      </c>
      <c r="C176" s="1" t="n">
        <v>46142</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27486-2022</t>
        </is>
      </c>
      <c r="B177" s="1" t="n">
        <v>44742.60846064815</v>
      </c>
      <c r="C177" s="1" t="n">
        <v>46142</v>
      </c>
      <c r="D177" t="inlineStr">
        <is>
          <t>VÄSTMANLANDS LÄN</t>
        </is>
      </c>
      <c r="E177" t="inlineStr">
        <is>
          <t>SALA</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39597-2022</t>
        </is>
      </c>
      <c r="B178" s="1" t="n">
        <v>44818</v>
      </c>
      <c r="C178" s="1" t="n">
        <v>46142</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6134-2024</t>
        </is>
      </c>
      <c r="B179" s="1" t="n">
        <v>45337</v>
      </c>
      <c r="C179" s="1" t="n">
        <v>46142</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25860-2024</t>
        </is>
      </c>
      <c r="B180" s="1" t="n">
        <v>45467.46278935186</v>
      </c>
      <c r="C180" s="1" t="n">
        <v>46142</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27261-2024</t>
        </is>
      </c>
      <c r="B181" s="1" t="n">
        <v>45471</v>
      </c>
      <c r="C181" s="1" t="n">
        <v>46142</v>
      </c>
      <c r="D181" t="inlineStr">
        <is>
          <t>VÄSTMANLANDS LÄN</t>
        </is>
      </c>
      <c r="E181" t="inlineStr">
        <is>
          <t>SALA</t>
        </is>
      </c>
      <c r="G181" t="n">
        <v>6.1</v>
      </c>
      <c r="H181" t="n">
        <v>0</v>
      </c>
      <c r="I181" t="n">
        <v>0</v>
      </c>
      <c r="J181" t="n">
        <v>0</v>
      </c>
      <c r="K181" t="n">
        <v>0</v>
      </c>
      <c r="L181" t="n">
        <v>0</v>
      </c>
      <c r="M181" t="n">
        <v>0</v>
      </c>
      <c r="N181" t="n">
        <v>0</v>
      </c>
      <c r="O181" t="n">
        <v>0</v>
      </c>
      <c r="P181" t="n">
        <v>0</v>
      </c>
      <c r="Q181" t="n">
        <v>0</v>
      </c>
      <c r="R181" s="2" t="inlineStr"/>
    </row>
    <row r="182" ht="15" customHeight="1">
      <c r="A182" t="inlineStr">
        <is>
          <t>A 22026-2021</t>
        </is>
      </c>
      <c r="B182" s="1" t="n">
        <v>44323</v>
      </c>
      <c r="C182" s="1" t="n">
        <v>46142</v>
      </c>
      <c r="D182" t="inlineStr">
        <is>
          <t>VÄSTMANLANDS LÄN</t>
        </is>
      </c>
      <c r="E182" t="inlineStr">
        <is>
          <t>SALA</t>
        </is>
      </c>
      <c r="G182" t="n">
        <v>2.9</v>
      </c>
      <c r="H182" t="n">
        <v>0</v>
      </c>
      <c r="I182" t="n">
        <v>0</v>
      </c>
      <c r="J182" t="n">
        <v>0</v>
      </c>
      <c r="K182" t="n">
        <v>0</v>
      </c>
      <c r="L182" t="n">
        <v>0</v>
      </c>
      <c r="M182" t="n">
        <v>0</v>
      </c>
      <c r="N182" t="n">
        <v>0</v>
      </c>
      <c r="O182" t="n">
        <v>0</v>
      </c>
      <c r="P182" t="n">
        <v>0</v>
      </c>
      <c r="Q182" t="n">
        <v>0</v>
      </c>
      <c r="R182" s="2" t="inlineStr"/>
    </row>
    <row r="183" ht="15" customHeight="1">
      <c r="A183" t="inlineStr">
        <is>
          <t>A 40597-2022</t>
        </is>
      </c>
      <c r="B183" s="1" t="n">
        <v>44823.84862268518</v>
      </c>
      <c r="C183" s="1" t="n">
        <v>46142</v>
      </c>
      <c r="D183" t="inlineStr">
        <is>
          <t>VÄSTMANLANDS LÄN</t>
        </is>
      </c>
      <c r="E183" t="inlineStr">
        <is>
          <t>SALA</t>
        </is>
      </c>
      <c r="G183" t="n">
        <v>3.5</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46142</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16160-2024</t>
        </is>
      </c>
      <c r="B185" s="1" t="n">
        <v>45406</v>
      </c>
      <c r="C185" s="1" t="n">
        <v>46142</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19803-2024</t>
        </is>
      </c>
      <c r="B186" s="1" t="n">
        <v>45432</v>
      </c>
      <c r="C186" s="1" t="n">
        <v>46142</v>
      </c>
      <c r="D186" t="inlineStr">
        <is>
          <t>VÄSTMANLANDS LÄN</t>
        </is>
      </c>
      <c r="E186" t="inlineStr">
        <is>
          <t>SALA</t>
        </is>
      </c>
      <c r="G186" t="n">
        <v>3.1</v>
      </c>
      <c r="H186" t="n">
        <v>0</v>
      </c>
      <c r="I186" t="n">
        <v>0</v>
      </c>
      <c r="J186" t="n">
        <v>0</v>
      </c>
      <c r="K186" t="n">
        <v>0</v>
      </c>
      <c r="L186" t="n">
        <v>0</v>
      </c>
      <c r="M186" t="n">
        <v>0</v>
      </c>
      <c r="N186" t="n">
        <v>0</v>
      </c>
      <c r="O186" t="n">
        <v>0</v>
      </c>
      <c r="P186" t="n">
        <v>0</v>
      </c>
      <c r="Q186" t="n">
        <v>0</v>
      </c>
      <c r="R186" s="2" t="inlineStr"/>
    </row>
    <row r="187" ht="15" customHeight="1">
      <c r="A187" t="inlineStr">
        <is>
          <t>A 7196-2025</t>
        </is>
      </c>
      <c r="B187" s="1" t="n">
        <v>45702</v>
      </c>
      <c r="C187" s="1" t="n">
        <v>46142</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6183-2025</t>
        </is>
      </c>
      <c r="B188" s="1" t="n">
        <v>45698</v>
      </c>
      <c r="C188" s="1" t="n">
        <v>46142</v>
      </c>
      <c r="D188" t="inlineStr">
        <is>
          <t>VÄSTMANLANDS LÄN</t>
        </is>
      </c>
      <c r="E188" t="inlineStr">
        <is>
          <t>SALA</t>
        </is>
      </c>
      <c r="F188" t="inlineStr">
        <is>
          <t>Bergvik skog öst AB</t>
        </is>
      </c>
      <c r="G188" t="n">
        <v>2.3</v>
      </c>
      <c r="H188" t="n">
        <v>0</v>
      </c>
      <c r="I188" t="n">
        <v>0</v>
      </c>
      <c r="J188" t="n">
        <v>0</v>
      </c>
      <c r="K188" t="n">
        <v>0</v>
      </c>
      <c r="L188" t="n">
        <v>0</v>
      </c>
      <c r="M188" t="n">
        <v>0</v>
      </c>
      <c r="N188" t="n">
        <v>0</v>
      </c>
      <c r="O188" t="n">
        <v>0</v>
      </c>
      <c r="P188" t="n">
        <v>0</v>
      </c>
      <c r="Q188" t="n">
        <v>0</v>
      </c>
      <c r="R188" s="2" t="inlineStr"/>
    </row>
    <row r="189" ht="15" customHeight="1">
      <c r="A189" t="inlineStr">
        <is>
          <t>A 54959-2024</t>
        </is>
      </c>
      <c r="B189" s="1" t="n">
        <v>45619</v>
      </c>
      <c r="C189" s="1" t="n">
        <v>46142</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46142</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63933-2023</t>
        </is>
      </c>
      <c r="B191" s="1" t="n">
        <v>45278</v>
      </c>
      <c r="C191" s="1" t="n">
        <v>46142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24864-2024</t>
        </is>
      </c>
      <c r="B192" s="1" t="n">
        <v>45461.48888888889</v>
      </c>
      <c r="C192" s="1" t="n">
        <v>46142</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46142</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46142</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37190-2024</t>
        </is>
      </c>
      <c r="B195" s="1" t="n">
        <v>45539</v>
      </c>
      <c r="C195" s="1" t="n">
        <v>46142</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30971-2022</t>
        </is>
      </c>
      <c r="B196" s="1" t="n">
        <v>44768.46725694444</v>
      </c>
      <c r="C196" s="1" t="n">
        <v>46142</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11389-2024</t>
        </is>
      </c>
      <c r="B197" s="1" t="n">
        <v>45372.45016203704</v>
      </c>
      <c r="C197" s="1" t="n">
        <v>46142</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56706-2022</t>
        </is>
      </c>
      <c r="B198" s="1" t="n">
        <v>44893.78893518518</v>
      </c>
      <c r="C198" s="1" t="n">
        <v>46142</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56707-2022</t>
        </is>
      </c>
      <c r="B199" s="1" t="n">
        <v>44893.79412037037</v>
      </c>
      <c r="C199" s="1" t="n">
        <v>46142</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60730-2023</t>
        </is>
      </c>
      <c r="B200" s="1" t="n">
        <v>45260</v>
      </c>
      <c r="C200" s="1" t="n">
        <v>46142</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60731-2023</t>
        </is>
      </c>
      <c r="B201" s="1" t="n">
        <v>45260</v>
      </c>
      <c r="C201" s="1" t="n">
        <v>46142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2900-2023</t>
        </is>
      </c>
      <c r="B202" s="1" t="n">
        <v>44943</v>
      </c>
      <c r="C202" s="1" t="n">
        <v>46142</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35976-2024</t>
        </is>
      </c>
      <c r="B203" s="1" t="n">
        <v>45533.49555555556</v>
      </c>
      <c r="C203" s="1" t="n">
        <v>46142</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71471-2021</t>
        </is>
      </c>
      <c r="B204" s="1" t="n">
        <v>44540.53421296296</v>
      </c>
      <c r="C204" s="1" t="n">
        <v>46142</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8775-2024</t>
        </is>
      </c>
      <c r="B205" s="1" t="n">
        <v>45356</v>
      </c>
      <c r="C205" s="1" t="n">
        <v>46142</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56547-2022</t>
        </is>
      </c>
      <c r="B206" s="1" t="n">
        <v>44893.48284722222</v>
      </c>
      <c r="C206" s="1" t="n">
        <v>46142</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56916-2022</t>
        </is>
      </c>
      <c r="B207" s="1" t="n">
        <v>44888</v>
      </c>
      <c r="C207" s="1" t="n">
        <v>46142</v>
      </c>
      <c r="D207" t="inlineStr">
        <is>
          <t>VÄSTMANLANDS LÄN</t>
        </is>
      </c>
      <c r="E207" t="inlineStr">
        <is>
          <t>SALA</t>
        </is>
      </c>
      <c r="G207" t="n">
        <v>1.7</v>
      </c>
      <c r="H207" t="n">
        <v>0</v>
      </c>
      <c r="I207" t="n">
        <v>0</v>
      </c>
      <c r="J207" t="n">
        <v>0</v>
      </c>
      <c r="K207" t="n">
        <v>0</v>
      </c>
      <c r="L207" t="n">
        <v>0</v>
      </c>
      <c r="M207" t="n">
        <v>0</v>
      </c>
      <c r="N207" t="n">
        <v>0</v>
      </c>
      <c r="O207" t="n">
        <v>0</v>
      </c>
      <c r="P207" t="n">
        <v>0</v>
      </c>
      <c r="Q207" t="n">
        <v>0</v>
      </c>
      <c r="R207" s="2" t="inlineStr"/>
    </row>
    <row r="208" ht="15" customHeight="1">
      <c r="A208" t="inlineStr">
        <is>
          <t>A 39011-2023</t>
        </is>
      </c>
      <c r="B208" s="1" t="n">
        <v>45162</v>
      </c>
      <c r="C208" s="1" t="n">
        <v>46142</v>
      </c>
      <c r="D208" t="inlineStr">
        <is>
          <t>VÄSTMANLANDS LÄN</t>
        </is>
      </c>
      <c r="E208" t="inlineStr">
        <is>
          <t>SALA</t>
        </is>
      </c>
      <c r="G208" t="n">
        <v>1.6</v>
      </c>
      <c r="H208" t="n">
        <v>0</v>
      </c>
      <c r="I208" t="n">
        <v>0</v>
      </c>
      <c r="J208" t="n">
        <v>0</v>
      </c>
      <c r="K208" t="n">
        <v>0</v>
      </c>
      <c r="L208" t="n">
        <v>0</v>
      </c>
      <c r="M208" t="n">
        <v>0</v>
      </c>
      <c r="N208" t="n">
        <v>0</v>
      </c>
      <c r="O208" t="n">
        <v>0</v>
      </c>
      <c r="P208" t="n">
        <v>0</v>
      </c>
      <c r="Q208" t="n">
        <v>0</v>
      </c>
      <c r="R208" s="2" t="inlineStr"/>
    </row>
    <row r="209" ht="15" customHeight="1">
      <c r="A209" t="inlineStr">
        <is>
          <t>A 45313-2024</t>
        </is>
      </c>
      <c r="B209" s="1" t="n">
        <v>45576</v>
      </c>
      <c r="C209" s="1" t="n">
        <v>46142</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56535-2022</t>
        </is>
      </c>
      <c r="B210" s="1" t="n">
        <v>44893.47173611111</v>
      </c>
      <c r="C210" s="1" t="n">
        <v>46142</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47909-2022</t>
        </is>
      </c>
      <c r="B211" s="1" t="n">
        <v>44855</v>
      </c>
      <c r="C211" s="1" t="n">
        <v>46142</v>
      </c>
      <c r="D211" t="inlineStr">
        <is>
          <t>VÄSTMANLANDS LÄN</t>
        </is>
      </c>
      <c r="E211" t="inlineStr">
        <is>
          <t>SALA</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52630-2022</t>
        </is>
      </c>
      <c r="B212" s="1" t="n">
        <v>44874</v>
      </c>
      <c r="C212" s="1" t="n">
        <v>46142</v>
      </c>
      <c r="D212" t="inlineStr">
        <is>
          <t>VÄSTMANLANDS LÄN</t>
        </is>
      </c>
      <c r="E212" t="inlineStr">
        <is>
          <t>SALA</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38574-2025</t>
        </is>
      </c>
      <c r="B213" s="1" t="n">
        <v>45884.46390046296</v>
      </c>
      <c r="C213" s="1" t="n">
        <v>46142</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56687-2024</t>
        </is>
      </c>
      <c r="B214" s="1" t="n">
        <v>45627.63271990741</v>
      </c>
      <c r="C214" s="1" t="n">
        <v>46142</v>
      </c>
      <c r="D214" t="inlineStr">
        <is>
          <t>VÄSTMANLANDS LÄN</t>
        </is>
      </c>
      <c r="E214" t="inlineStr">
        <is>
          <t>SALA</t>
        </is>
      </c>
      <c r="G214" t="n">
        <v>1.2</v>
      </c>
      <c r="H214" t="n">
        <v>0</v>
      </c>
      <c r="I214" t="n">
        <v>0</v>
      </c>
      <c r="J214" t="n">
        <v>0</v>
      </c>
      <c r="K214" t="n">
        <v>0</v>
      </c>
      <c r="L214" t="n">
        <v>0</v>
      </c>
      <c r="M214" t="n">
        <v>0</v>
      </c>
      <c r="N214" t="n">
        <v>0</v>
      </c>
      <c r="O214" t="n">
        <v>0</v>
      </c>
      <c r="P214" t="n">
        <v>0</v>
      </c>
      <c r="Q214" t="n">
        <v>0</v>
      </c>
      <c r="R214" s="2" t="inlineStr"/>
    </row>
    <row r="215" ht="15" customHeight="1">
      <c r="A215" t="inlineStr">
        <is>
          <t>A 38294-2025</t>
        </is>
      </c>
      <c r="B215" s="1" t="n">
        <v>45883.44854166666</v>
      </c>
      <c r="C215" s="1" t="n">
        <v>46142</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61715-2024</t>
        </is>
      </c>
      <c r="B216" s="1" t="n">
        <v>45648.89519675926</v>
      </c>
      <c r="C216" s="1" t="n">
        <v>46142</v>
      </c>
      <c r="D216" t="inlineStr">
        <is>
          <t>VÄSTMANLANDS LÄN</t>
        </is>
      </c>
      <c r="E216" t="inlineStr">
        <is>
          <t>SALA</t>
        </is>
      </c>
      <c r="G216" t="n">
        <v>2.5</v>
      </c>
      <c r="H216" t="n">
        <v>0</v>
      </c>
      <c r="I216" t="n">
        <v>0</v>
      </c>
      <c r="J216" t="n">
        <v>0</v>
      </c>
      <c r="K216" t="n">
        <v>0</v>
      </c>
      <c r="L216" t="n">
        <v>0</v>
      </c>
      <c r="M216" t="n">
        <v>0</v>
      </c>
      <c r="N216" t="n">
        <v>0</v>
      </c>
      <c r="O216" t="n">
        <v>0</v>
      </c>
      <c r="P216" t="n">
        <v>0</v>
      </c>
      <c r="Q216" t="n">
        <v>0</v>
      </c>
      <c r="R216" s="2" t="inlineStr"/>
    </row>
    <row r="217" ht="15" customHeight="1">
      <c r="A217" t="inlineStr">
        <is>
          <t>A 16404-2022</t>
        </is>
      </c>
      <c r="B217" s="1" t="n">
        <v>44671</v>
      </c>
      <c r="C217" s="1" t="n">
        <v>46142</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6097-2022</t>
        </is>
      </c>
      <c r="B218" s="1" t="n">
        <v>44599</v>
      </c>
      <c r="C218" s="1" t="n">
        <v>46142</v>
      </c>
      <c r="D218" t="inlineStr">
        <is>
          <t>VÄSTMANLANDS LÄN</t>
        </is>
      </c>
      <c r="E218" t="inlineStr">
        <is>
          <t>SALA</t>
        </is>
      </c>
      <c r="G218" t="n">
        <v>0.6</v>
      </c>
      <c r="H218" t="n">
        <v>0</v>
      </c>
      <c r="I218" t="n">
        <v>0</v>
      </c>
      <c r="J218" t="n">
        <v>0</v>
      </c>
      <c r="K218" t="n">
        <v>0</v>
      </c>
      <c r="L218" t="n">
        <v>0</v>
      </c>
      <c r="M218" t="n">
        <v>0</v>
      </c>
      <c r="N218" t="n">
        <v>0</v>
      </c>
      <c r="O218" t="n">
        <v>0</v>
      </c>
      <c r="P218" t="n">
        <v>0</v>
      </c>
      <c r="Q218" t="n">
        <v>0</v>
      </c>
      <c r="R218" s="2" t="inlineStr"/>
    </row>
    <row r="219" ht="15" customHeight="1">
      <c r="A219" t="inlineStr">
        <is>
          <t>A 10559-2024</t>
        </is>
      </c>
      <c r="B219" s="1" t="n">
        <v>45366</v>
      </c>
      <c r="C219" s="1" t="n">
        <v>46142</v>
      </c>
      <c r="D219" t="inlineStr">
        <is>
          <t>VÄSTMANLANDS LÄN</t>
        </is>
      </c>
      <c r="E219" t="inlineStr">
        <is>
          <t>SALA</t>
        </is>
      </c>
      <c r="G219" t="n">
        <v>0.3</v>
      </c>
      <c r="H219" t="n">
        <v>0</v>
      </c>
      <c r="I219" t="n">
        <v>0</v>
      </c>
      <c r="J219" t="n">
        <v>0</v>
      </c>
      <c r="K219" t="n">
        <v>0</v>
      </c>
      <c r="L219" t="n">
        <v>0</v>
      </c>
      <c r="M219" t="n">
        <v>0</v>
      </c>
      <c r="N219" t="n">
        <v>0</v>
      </c>
      <c r="O219" t="n">
        <v>0</v>
      </c>
      <c r="P219" t="n">
        <v>0</v>
      </c>
      <c r="Q219" t="n">
        <v>0</v>
      </c>
      <c r="R219" s="2" t="inlineStr"/>
    </row>
    <row r="220" ht="15" customHeight="1">
      <c r="A220" t="inlineStr">
        <is>
          <t>A 26661-2025</t>
        </is>
      </c>
      <c r="B220" s="1" t="n">
        <v>45810</v>
      </c>
      <c r="C220" s="1" t="n">
        <v>46142</v>
      </c>
      <c r="D220" t="inlineStr">
        <is>
          <t>VÄSTMANLANDS LÄN</t>
        </is>
      </c>
      <c r="E220" t="inlineStr">
        <is>
          <t>SALA</t>
        </is>
      </c>
      <c r="G220" t="n">
        <v>3.5</v>
      </c>
      <c r="H220" t="n">
        <v>0</v>
      </c>
      <c r="I220" t="n">
        <v>0</v>
      </c>
      <c r="J220" t="n">
        <v>0</v>
      </c>
      <c r="K220" t="n">
        <v>0</v>
      </c>
      <c r="L220" t="n">
        <v>0</v>
      </c>
      <c r="M220" t="n">
        <v>0</v>
      </c>
      <c r="N220" t="n">
        <v>0</v>
      </c>
      <c r="O220" t="n">
        <v>0</v>
      </c>
      <c r="P220" t="n">
        <v>0</v>
      </c>
      <c r="Q220" t="n">
        <v>0</v>
      </c>
      <c r="R220" s="2" t="inlineStr"/>
    </row>
    <row r="221" ht="15" customHeight="1">
      <c r="A221" t="inlineStr">
        <is>
          <t>A 60545-2024</t>
        </is>
      </c>
      <c r="B221" s="1" t="n">
        <v>45643</v>
      </c>
      <c r="C221" s="1" t="n">
        <v>46142</v>
      </c>
      <c r="D221" t="inlineStr">
        <is>
          <t>VÄSTMANLANDS LÄN</t>
        </is>
      </c>
      <c r="E221" t="inlineStr">
        <is>
          <t>SALA</t>
        </is>
      </c>
      <c r="G221" t="n">
        <v>3.3</v>
      </c>
      <c r="H221" t="n">
        <v>0</v>
      </c>
      <c r="I221" t="n">
        <v>0</v>
      </c>
      <c r="J221" t="n">
        <v>0</v>
      </c>
      <c r="K221" t="n">
        <v>0</v>
      </c>
      <c r="L221" t="n">
        <v>0</v>
      </c>
      <c r="M221" t="n">
        <v>0</v>
      </c>
      <c r="N221" t="n">
        <v>0</v>
      </c>
      <c r="O221" t="n">
        <v>0</v>
      </c>
      <c r="P221" t="n">
        <v>0</v>
      </c>
      <c r="Q221" t="n">
        <v>0</v>
      </c>
      <c r="R221" s="2" t="inlineStr"/>
    </row>
    <row r="222" ht="15" customHeight="1">
      <c r="A222" t="inlineStr">
        <is>
          <t>A 60547-2024</t>
        </is>
      </c>
      <c r="B222" s="1" t="n">
        <v>45643</v>
      </c>
      <c r="C222" s="1" t="n">
        <v>46142</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15965-2024</t>
        </is>
      </c>
      <c r="B223" s="1" t="n">
        <v>45405.55740740741</v>
      </c>
      <c r="C223" s="1" t="n">
        <v>46142</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39182-2025</t>
        </is>
      </c>
      <c r="B224" s="1" t="n">
        <v>45888.66204861111</v>
      </c>
      <c r="C224" s="1" t="n">
        <v>46142</v>
      </c>
      <c r="D224" t="inlineStr">
        <is>
          <t>VÄSTMANLANDS LÄN</t>
        </is>
      </c>
      <c r="E224" t="inlineStr">
        <is>
          <t>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1196-2023</t>
        </is>
      </c>
      <c r="B225" s="1" t="n">
        <v>44935.82290509259</v>
      </c>
      <c r="C225" s="1" t="n">
        <v>46142</v>
      </c>
      <c r="D225" t="inlineStr">
        <is>
          <t>VÄSTMANLANDS LÄN</t>
        </is>
      </c>
      <c r="E225" t="inlineStr">
        <is>
          <t>SALA</t>
        </is>
      </c>
      <c r="G225" t="n">
        <v>4.1</v>
      </c>
      <c r="H225" t="n">
        <v>0</v>
      </c>
      <c r="I225" t="n">
        <v>0</v>
      </c>
      <c r="J225" t="n">
        <v>0</v>
      </c>
      <c r="K225" t="n">
        <v>0</v>
      </c>
      <c r="L225" t="n">
        <v>0</v>
      </c>
      <c r="M225" t="n">
        <v>0</v>
      </c>
      <c r="N225" t="n">
        <v>0</v>
      </c>
      <c r="O225" t="n">
        <v>0</v>
      </c>
      <c r="P225" t="n">
        <v>0</v>
      </c>
      <c r="Q225" t="n">
        <v>0</v>
      </c>
      <c r="R225" s="2" t="inlineStr"/>
    </row>
    <row r="226" ht="15" customHeight="1">
      <c r="A226" t="inlineStr">
        <is>
          <t>A 62651-2022</t>
        </is>
      </c>
      <c r="B226" s="1" t="n">
        <v>44917</v>
      </c>
      <c r="C226" s="1" t="n">
        <v>46142</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54836-2024</t>
        </is>
      </c>
      <c r="B227" s="1" t="n">
        <v>45618</v>
      </c>
      <c r="C227" s="1" t="n">
        <v>46142</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13987-2023</t>
        </is>
      </c>
      <c r="B228" s="1" t="n">
        <v>45007</v>
      </c>
      <c r="C228" s="1" t="n">
        <v>46142</v>
      </c>
      <c r="D228" t="inlineStr">
        <is>
          <t>VÄSTMANLANDS LÄN</t>
        </is>
      </c>
      <c r="E228" t="inlineStr">
        <is>
          <t>SALA</t>
        </is>
      </c>
      <c r="G228" t="n">
        <v>3.2</v>
      </c>
      <c r="H228" t="n">
        <v>0</v>
      </c>
      <c r="I228" t="n">
        <v>0</v>
      </c>
      <c r="J228" t="n">
        <v>0</v>
      </c>
      <c r="K228" t="n">
        <v>0</v>
      </c>
      <c r="L228" t="n">
        <v>0</v>
      </c>
      <c r="M228" t="n">
        <v>0</v>
      </c>
      <c r="N228" t="n">
        <v>0</v>
      </c>
      <c r="O228" t="n">
        <v>0</v>
      </c>
      <c r="P228" t="n">
        <v>0</v>
      </c>
      <c r="Q228" t="n">
        <v>0</v>
      </c>
      <c r="R228" s="2" t="inlineStr"/>
    </row>
    <row r="229" ht="15" customHeight="1">
      <c r="A229" t="inlineStr">
        <is>
          <t>A 13990-2023</t>
        </is>
      </c>
      <c r="B229" s="1" t="n">
        <v>45007</v>
      </c>
      <c r="C229" s="1" t="n">
        <v>46142</v>
      </c>
      <c r="D229" t="inlineStr">
        <is>
          <t>VÄSTMANLANDS LÄN</t>
        </is>
      </c>
      <c r="E229" t="inlineStr">
        <is>
          <t>SALA</t>
        </is>
      </c>
      <c r="G229" t="n">
        <v>2.6</v>
      </c>
      <c r="H229" t="n">
        <v>0</v>
      </c>
      <c r="I229" t="n">
        <v>0</v>
      </c>
      <c r="J229" t="n">
        <v>0</v>
      </c>
      <c r="K229" t="n">
        <v>0</v>
      </c>
      <c r="L229" t="n">
        <v>0</v>
      </c>
      <c r="M229" t="n">
        <v>0</v>
      </c>
      <c r="N229" t="n">
        <v>0</v>
      </c>
      <c r="O229" t="n">
        <v>0</v>
      </c>
      <c r="P229" t="n">
        <v>0</v>
      </c>
      <c r="Q229" t="n">
        <v>0</v>
      </c>
      <c r="R229" s="2" t="inlineStr"/>
    </row>
    <row r="230" ht="15" customHeight="1">
      <c r="A230" t="inlineStr">
        <is>
          <t>A 51464-2024</t>
        </is>
      </c>
      <c r="B230" s="1" t="n">
        <v>45604.49768518518</v>
      </c>
      <c r="C230" s="1" t="n">
        <v>46142</v>
      </c>
      <c r="D230" t="inlineStr">
        <is>
          <t>VÄSTMANLANDS LÄN</t>
        </is>
      </c>
      <c r="E230" t="inlineStr">
        <is>
          <t>SALA</t>
        </is>
      </c>
      <c r="G230" t="n">
        <v>3.9</v>
      </c>
      <c r="H230" t="n">
        <v>0</v>
      </c>
      <c r="I230" t="n">
        <v>0</v>
      </c>
      <c r="J230" t="n">
        <v>0</v>
      </c>
      <c r="K230" t="n">
        <v>0</v>
      </c>
      <c r="L230" t="n">
        <v>0</v>
      </c>
      <c r="M230" t="n">
        <v>0</v>
      </c>
      <c r="N230" t="n">
        <v>0</v>
      </c>
      <c r="O230" t="n">
        <v>0</v>
      </c>
      <c r="P230" t="n">
        <v>0</v>
      </c>
      <c r="Q230" t="n">
        <v>0</v>
      </c>
      <c r="R230" s="2" t="inlineStr"/>
    </row>
    <row r="231" ht="15" customHeight="1">
      <c r="A231" t="inlineStr">
        <is>
          <t>A 4681-2026</t>
        </is>
      </c>
      <c r="B231" s="1" t="n">
        <v>46048.43016203704</v>
      </c>
      <c r="C231" s="1" t="n">
        <v>46142</v>
      </c>
      <c r="D231" t="inlineStr">
        <is>
          <t>VÄSTMANLANDS LÄN</t>
        </is>
      </c>
      <c r="E231" t="inlineStr">
        <is>
          <t>SALA</t>
        </is>
      </c>
      <c r="G231" t="n">
        <v>2.5</v>
      </c>
      <c r="H231" t="n">
        <v>0</v>
      </c>
      <c r="I231" t="n">
        <v>0</v>
      </c>
      <c r="J231" t="n">
        <v>0</v>
      </c>
      <c r="K231" t="n">
        <v>0</v>
      </c>
      <c r="L231" t="n">
        <v>0</v>
      </c>
      <c r="M231" t="n">
        <v>0</v>
      </c>
      <c r="N231" t="n">
        <v>0</v>
      </c>
      <c r="O231" t="n">
        <v>0</v>
      </c>
      <c r="P231" t="n">
        <v>0</v>
      </c>
      <c r="Q231" t="n">
        <v>0</v>
      </c>
      <c r="R231" s="2" t="inlineStr"/>
    </row>
    <row r="232" ht="15" customHeight="1">
      <c r="A232" t="inlineStr">
        <is>
          <t>A 1128-2025</t>
        </is>
      </c>
      <c r="B232" s="1" t="n">
        <v>45666.68469907407</v>
      </c>
      <c r="C232" s="1" t="n">
        <v>46142</v>
      </c>
      <c r="D232" t="inlineStr">
        <is>
          <t>VÄSTMANLANDS LÄN</t>
        </is>
      </c>
      <c r="E232" t="inlineStr">
        <is>
          <t>SALA</t>
        </is>
      </c>
      <c r="G232" t="n">
        <v>2.5</v>
      </c>
      <c r="H232" t="n">
        <v>0</v>
      </c>
      <c r="I232" t="n">
        <v>0</v>
      </c>
      <c r="J232" t="n">
        <v>0</v>
      </c>
      <c r="K232" t="n">
        <v>0</v>
      </c>
      <c r="L232" t="n">
        <v>0</v>
      </c>
      <c r="M232" t="n">
        <v>0</v>
      </c>
      <c r="N232" t="n">
        <v>0</v>
      </c>
      <c r="O232" t="n">
        <v>0</v>
      </c>
      <c r="P232" t="n">
        <v>0</v>
      </c>
      <c r="Q232" t="n">
        <v>0</v>
      </c>
      <c r="R232" s="2" t="inlineStr"/>
    </row>
    <row r="233" ht="15" customHeight="1">
      <c r="A233" t="inlineStr">
        <is>
          <t>A 43176-2023</t>
        </is>
      </c>
      <c r="B233" s="1" t="n">
        <v>45183</v>
      </c>
      <c r="C233" s="1" t="n">
        <v>46142</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4664-2026</t>
        </is>
      </c>
      <c r="B234" s="1" t="n">
        <v>46048.41061342593</v>
      </c>
      <c r="C234" s="1" t="n">
        <v>46142</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73835-2021</t>
        </is>
      </c>
      <c r="B235" s="1" t="n">
        <v>44552.92112268518</v>
      </c>
      <c r="C235" s="1" t="n">
        <v>46142</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60379-2022</t>
        </is>
      </c>
      <c r="B236" s="1" t="n">
        <v>44910</v>
      </c>
      <c r="C236" s="1" t="n">
        <v>46142</v>
      </c>
      <c r="D236" t="inlineStr">
        <is>
          <t>VÄSTMANLANDS LÄN</t>
        </is>
      </c>
      <c r="E236" t="inlineStr">
        <is>
          <t>SALA</t>
        </is>
      </c>
      <c r="F236" t="inlineStr">
        <is>
          <t>Kyrkan</t>
        </is>
      </c>
      <c r="G236" t="n">
        <v>2.5</v>
      </c>
      <c r="H236" t="n">
        <v>0</v>
      </c>
      <c r="I236" t="n">
        <v>0</v>
      </c>
      <c r="J236" t="n">
        <v>0</v>
      </c>
      <c r="K236" t="n">
        <v>0</v>
      </c>
      <c r="L236" t="n">
        <v>0</v>
      </c>
      <c r="M236" t="n">
        <v>0</v>
      </c>
      <c r="N236" t="n">
        <v>0</v>
      </c>
      <c r="O236" t="n">
        <v>0</v>
      </c>
      <c r="P236" t="n">
        <v>0</v>
      </c>
      <c r="Q236" t="n">
        <v>0</v>
      </c>
      <c r="R236" s="2" t="inlineStr"/>
    </row>
    <row r="237" ht="15" customHeight="1">
      <c r="A237" t="inlineStr">
        <is>
          <t>A 4712-2026</t>
        </is>
      </c>
      <c r="B237" s="1" t="n">
        <v>46048.46082175926</v>
      </c>
      <c r="C237" s="1" t="n">
        <v>46142</v>
      </c>
      <c r="D237" t="inlineStr">
        <is>
          <t>VÄSTMANLANDS LÄN</t>
        </is>
      </c>
      <c r="E237" t="inlineStr">
        <is>
          <t>SALA</t>
        </is>
      </c>
      <c r="G237" t="n">
        <v>4.1</v>
      </c>
      <c r="H237" t="n">
        <v>0</v>
      </c>
      <c r="I237" t="n">
        <v>0</v>
      </c>
      <c r="J237" t="n">
        <v>0</v>
      </c>
      <c r="K237" t="n">
        <v>0</v>
      </c>
      <c r="L237" t="n">
        <v>0</v>
      </c>
      <c r="M237" t="n">
        <v>0</v>
      </c>
      <c r="N237" t="n">
        <v>0</v>
      </c>
      <c r="O237" t="n">
        <v>0</v>
      </c>
      <c r="P237" t="n">
        <v>0</v>
      </c>
      <c r="Q237" t="n">
        <v>0</v>
      </c>
      <c r="R237" s="2" t="inlineStr"/>
    </row>
    <row r="238" ht="15" customHeight="1">
      <c r="A238" t="inlineStr">
        <is>
          <t>A 1638-2023</t>
        </is>
      </c>
      <c r="B238" s="1" t="n">
        <v>44937</v>
      </c>
      <c r="C238" s="1" t="n">
        <v>46142</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7953-2024</t>
        </is>
      </c>
      <c r="B239" s="1" t="n">
        <v>45350</v>
      </c>
      <c r="C239" s="1" t="n">
        <v>46142</v>
      </c>
      <c r="D239" t="inlineStr">
        <is>
          <t>VÄSTMANLANDS LÄN</t>
        </is>
      </c>
      <c r="E239" t="inlineStr">
        <is>
          <t>SALA</t>
        </is>
      </c>
      <c r="G239" t="n">
        <v>2.6</v>
      </c>
      <c r="H239" t="n">
        <v>0</v>
      </c>
      <c r="I239" t="n">
        <v>0</v>
      </c>
      <c r="J239" t="n">
        <v>0</v>
      </c>
      <c r="K239" t="n">
        <v>0</v>
      </c>
      <c r="L239" t="n">
        <v>0</v>
      </c>
      <c r="M239" t="n">
        <v>0</v>
      </c>
      <c r="N239" t="n">
        <v>0</v>
      </c>
      <c r="O239" t="n">
        <v>0</v>
      </c>
      <c r="P239" t="n">
        <v>0</v>
      </c>
      <c r="Q239" t="n">
        <v>0</v>
      </c>
      <c r="R239" s="2" t="inlineStr"/>
    </row>
    <row r="240" ht="15" customHeight="1">
      <c r="A240" t="inlineStr">
        <is>
          <t>A 46279-2021</t>
        </is>
      </c>
      <c r="B240" s="1" t="n">
        <v>44442.57797453704</v>
      </c>
      <c r="C240" s="1" t="n">
        <v>46142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4624-2026</t>
        </is>
      </c>
      <c r="B241" s="1" t="n">
        <v>46048.38107638889</v>
      </c>
      <c r="C241" s="1" t="n">
        <v>46142</v>
      </c>
      <c r="D241" t="inlineStr">
        <is>
          <t>VÄSTMANLANDS LÄN</t>
        </is>
      </c>
      <c r="E241" t="inlineStr">
        <is>
          <t>SALA</t>
        </is>
      </c>
      <c r="G241" t="n">
        <v>12.3</v>
      </c>
      <c r="H241" t="n">
        <v>0</v>
      </c>
      <c r="I241" t="n">
        <v>0</v>
      </c>
      <c r="J241" t="n">
        <v>0</v>
      </c>
      <c r="K241" t="n">
        <v>0</v>
      </c>
      <c r="L241" t="n">
        <v>0</v>
      </c>
      <c r="M241" t="n">
        <v>0</v>
      </c>
      <c r="N241" t="n">
        <v>0</v>
      </c>
      <c r="O241" t="n">
        <v>0</v>
      </c>
      <c r="P241" t="n">
        <v>0</v>
      </c>
      <c r="Q241" t="n">
        <v>0</v>
      </c>
      <c r="R241" s="2" t="inlineStr"/>
    </row>
    <row r="242" ht="15" customHeight="1">
      <c r="A242" t="inlineStr">
        <is>
          <t>A 28193-2025</t>
        </is>
      </c>
      <c r="B242" s="1" t="n">
        <v>45818.425625</v>
      </c>
      <c r="C242" s="1" t="n">
        <v>46142</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27981-2025</t>
        </is>
      </c>
      <c r="B243" s="1" t="n">
        <v>45817.57471064815</v>
      </c>
      <c r="C243" s="1" t="n">
        <v>46142</v>
      </c>
      <c r="D243" t="inlineStr">
        <is>
          <t>VÄSTMANLANDS LÄN</t>
        </is>
      </c>
      <c r="E243" t="inlineStr">
        <is>
          <t>SALA</t>
        </is>
      </c>
      <c r="G243" t="n">
        <v>1.7</v>
      </c>
      <c r="H243" t="n">
        <v>0</v>
      </c>
      <c r="I243" t="n">
        <v>0</v>
      </c>
      <c r="J243" t="n">
        <v>0</v>
      </c>
      <c r="K243" t="n">
        <v>0</v>
      </c>
      <c r="L243" t="n">
        <v>0</v>
      </c>
      <c r="M243" t="n">
        <v>0</v>
      </c>
      <c r="N243" t="n">
        <v>0</v>
      </c>
      <c r="O243" t="n">
        <v>0</v>
      </c>
      <c r="P243" t="n">
        <v>0</v>
      </c>
      <c r="Q243" t="n">
        <v>0</v>
      </c>
      <c r="R243" s="2" t="inlineStr"/>
    </row>
    <row r="244" ht="15" customHeight="1">
      <c r="A244" t="inlineStr">
        <is>
          <t>A 5477-2024</t>
        </is>
      </c>
      <c r="B244" s="1" t="n">
        <v>45333.67833333334</v>
      </c>
      <c r="C244" s="1" t="n">
        <v>46142</v>
      </c>
      <c r="D244" t="inlineStr">
        <is>
          <t>VÄSTMANLANDS LÄN</t>
        </is>
      </c>
      <c r="E244" t="inlineStr">
        <is>
          <t>SALA</t>
        </is>
      </c>
      <c r="G244" t="n">
        <v>2.3</v>
      </c>
      <c r="H244" t="n">
        <v>0</v>
      </c>
      <c r="I244" t="n">
        <v>0</v>
      </c>
      <c r="J244" t="n">
        <v>0</v>
      </c>
      <c r="K244" t="n">
        <v>0</v>
      </c>
      <c r="L244" t="n">
        <v>0</v>
      </c>
      <c r="M244" t="n">
        <v>0</v>
      </c>
      <c r="N244" t="n">
        <v>0</v>
      </c>
      <c r="O244" t="n">
        <v>0</v>
      </c>
      <c r="P244" t="n">
        <v>0</v>
      </c>
      <c r="Q244" t="n">
        <v>0</v>
      </c>
      <c r="R244" s="2" t="inlineStr"/>
    </row>
    <row r="245" ht="15" customHeight="1">
      <c r="A245" t="inlineStr">
        <is>
          <t>A 4214-2026</t>
        </is>
      </c>
      <c r="B245" s="1" t="n">
        <v>46044.76459490741</v>
      </c>
      <c r="C245" s="1" t="n">
        <v>46142</v>
      </c>
      <c r="D245" t="inlineStr">
        <is>
          <t>VÄSTMANLANDS LÄN</t>
        </is>
      </c>
      <c r="E245" t="inlineStr">
        <is>
          <t>SALA</t>
        </is>
      </c>
      <c r="G245" t="n">
        <v>1.7</v>
      </c>
      <c r="H245" t="n">
        <v>0</v>
      </c>
      <c r="I245" t="n">
        <v>0</v>
      </c>
      <c r="J245" t="n">
        <v>0</v>
      </c>
      <c r="K245" t="n">
        <v>0</v>
      </c>
      <c r="L245" t="n">
        <v>0</v>
      </c>
      <c r="M245" t="n">
        <v>0</v>
      </c>
      <c r="N245" t="n">
        <v>0</v>
      </c>
      <c r="O245" t="n">
        <v>0</v>
      </c>
      <c r="P245" t="n">
        <v>0</v>
      </c>
      <c r="Q245" t="n">
        <v>0</v>
      </c>
      <c r="R245" s="2" t="inlineStr"/>
    </row>
    <row r="246" ht="15" customHeight="1">
      <c r="A246" t="inlineStr">
        <is>
          <t>A 28278-2025</t>
        </is>
      </c>
      <c r="B246" s="1" t="n">
        <v>45818.58454861111</v>
      </c>
      <c r="C246" s="1" t="n">
        <v>46142</v>
      </c>
      <c r="D246" t="inlineStr">
        <is>
          <t>VÄSTMANLANDS LÄN</t>
        </is>
      </c>
      <c r="E246" t="inlineStr">
        <is>
          <t>SALA</t>
        </is>
      </c>
      <c r="G246" t="n">
        <v>7.6</v>
      </c>
      <c r="H246" t="n">
        <v>0</v>
      </c>
      <c r="I246" t="n">
        <v>0</v>
      </c>
      <c r="J246" t="n">
        <v>0</v>
      </c>
      <c r="K246" t="n">
        <v>0</v>
      </c>
      <c r="L246" t="n">
        <v>0</v>
      </c>
      <c r="M246" t="n">
        <v>0</v>
      </c>
      <c r="N246" t="n">
        <v>0</v>
      </c>
      <c r="O246" t="n">
        <v>0</v>
      </c>
      <c r="P246" t="n">
        <v>0</v>
      </c>
      <c r="Q246" t="n">
        <v>0</v>
      </c>
      <c r="R246" s="2" t="inlineStr"/>
    </row>
    <row r="247" ht="15" customHeight="1">
      <c r="A247" t="inlineStr">
        <is>
          <t>A 4683-2026</t>
        </is>
      </c>
      <c r="B247" s="1" t="n">
        <v>46048.43489583334</v>
      </c>
      <c r="C247" s="1" t="n">
        <v>46142</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27989-2025</t>
        </is>
      </c>
      <c r="B248" s="1" t="n">
        <v>45817.58716435185</v>
      </c>
      <c r="C248" s="1" t="n">
        <v>46142</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26507-2023</t>
        </is>
      </c>
      <c r="B249" s="1" t="n">
        <v>45092</v>
      </c>
      <c r="C249" s="1" t="n">
        <v>46142</v>
      </c>
      <c r="D249" t="inlineStr">
        <is>
          <t>VÄSTMANLANDS LÄN</t>
        </is>
      </c>
      <c r="E249" t="inlineStr">
        <is>
          <t>SALA</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6032-2025</t>
        </is>
      </c>
      <c r="B250" s="1" t="n">
        <v>45695.6371875</v>
      </c>
      <c r="C250" s="1" t="n">
        <v>46142</v>
      </c>
      <c r="D250" t="inlineStr">
        <is>
          <t>VÄSTMANLANDS LÄN</t>
        </is>
      </c>
      <c r="E250" t="inlineStr">
        <is>
          <t>SALA</t>
        </is>
      </c>
      <c r="F250" t="inlineStr">
        <is>
          <t>Bergvik skog öst AB</t>
        </is>
      </c>
      <c r="G250" t="n">
        <v>8.1</v>
      </c>
      <c r="H250" t="n">
        <v>0</v>
      </c>
      <c r="I250" t="n">
        <v>0</v>
      </c>
      <c r="J250" t="n">
        <v>0</v>
      </c>
      <c r="K250" t="n">
        <v>0</v>
      </c>
      <c r="L250" t="n">
        <v>0</v>
      </c>
      <c r="M250" t="n">
        <v>0</v>
      </c>
      <c r="N250" t="n">
        <v>0</v>
      </c>
      <c r="O250" t="n">
        <v>0</v>
      </c>
      <c r="P250" t="n">
        <v>0</v>
      </c>
      <c r="Q250" t="n">
        <v>0</v>
      </c>
      <c r="R250" s="2" t="inlineStr"/>
    </row>
    <row r="251" ht="15" customHeight="1">
      <c r="A251" t="inlineStr">
        <is>
          <t>A 31864-2025</t>
        </is>
      </c>
      <c r="B251" s="1" t="n">
        <v>45834.63819444444</v>
      </c>
      <c r="C251" s="1" t="n">
        <v>46142</v>
      </c>
      <c r="D251" t="inlineStr">
        <is>
          <t>VÄSTMANLANDS LÄN</t>
        </is>
      </c>
      <c r="E251" t="inlineStr">
        <is>
          <t>SALA</t>
        </is>
      </c>
      <c r="G251" t="n">
        <v>6.3</v>
      </c>
      <c r="H251" t="n">
        <v>0</v>
      </c>
      <c r="I251" t="n">
        <v>0</v>
      </c>
      <c r="J251" t="n">
        <v>0</v>
      </c>
      <c r="K251" t="n">
        <v>0</v>
      </c>
      <c r="L251" t="n">
        <v>0</v>
      </c>
      <c r="M251" t="n">
        <v>0</v>
      </c>
      <c r="N251" t="n">
        <v>0</v>
      </c>
      <c r="O251" t="n">
        <v>0</v>
      </c>
      <c r="P251" t="n">
        <v>0</v>
      </c>
      <c r="Q251" t="n">
        <v>0</v>
      </c>
      <c r="R251" s="2" t="inlineStr"/>
    </row>
    <row r="252" ht="15" customHeight="1">
      <c r="A252" t="inlineStr">
        <is>
          <t>A 28284-2025</t>
        </is>
      </c>
      <c r="B252" s="1" t="n">
        <v>45818.58893518519</v>
      </c>
      <c r="C252" s="1" t="n">
        <v>46142</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34814-2021</t>
        </is>
      </c>
      <c r="B253" s="1" t="n">
        <v>44383</v>
      </c>
      <c r="C253" s="1" t="n">
        <v>46142</v>
      </c>
      <c r="D253" t="inlineStr">
        <is>
          <t>VÄSTMANLANDS LÄN</t>
        </is>
      </c>
      <c r="E253" t="inlineStr">
        <is>
          <t>SALA</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5418-2026</t>
        </is>
      </c>
      <c r="B254" s="1" t="n">
        <v>46050.53740740741</v>
      </c>
      <c r="C254" s="1" t="n">
        <v>46142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5525-2026</t>
        </is>
      </c>
      <c r="B255" s="1" t="n">
        <v>46050.65055555556</v>
      </c>
      <c r="C255" s="1" t="n">
        <v>46142</v>
      </c>
      <c r="D255" t="inlineStr">
        <is>
          <t>VÄSTMANLANDS LÄN</t>
        </is>
      </c>
      <c r="E255" t="inlineStr">
        <is>
          <t>SALA</t>
        </is>
      </c>
      <c r="G255" t="n">
        <v>13.1</v>
      </c>
      <c r="H255" t="n">
        <v>0</v>
      </c>
      <c r="I255" t="n">
        <v>0</v>
      </c>
      <c r="J255" t="n">
        <v>0</v>
      </c>
      <c r="K255" t="n">
        <v>0</v>
      </c>
      <c r="L255" t="n">
        <v>0</v>
      </c>
      <c r="M255" t="n">
        <v>0</v>
      </c>
      <c r="N255" t="n">
        <v>0</v>
      </c>
      <c r="O255" t="n">
        <v>0</v>
      </c>
      <c r="P255" t="n">
        <v>0</v>
      </c>
      <c r="Q255" t="n">
        <v>0</v>
      </c>
      <c r="R255" s="2" t="inlineStr"/>
    </row>
    <row r="256" ht="15" customHeight="1">
      <c r="A256" t="inlineStr">
        <is>
          <t>A 28632-2025</t>
        </is>
      </c>
      <c r="B256" s="1" t="n">
        <v>45819.62344907408</v>
      </c>
      <c r="C256" s="1" t="n">
        <v>46142</v>
      </c>
      <c r="D256" t="inlineStr">
        <is>
          <t>VÄSTMANLANDS LÄN</t>
        </is>
      </c>
      <c r="E256" t="inlineStr">
        <is>
          <t>SALA</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5219-2026</t>
        </is>
      </c>
      <c r="B257" s="1" t="n">
        <v>46049.76225694444</v>
      </c>
      <c r="C257" s="1" t="n">
        <v>46142</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54118-2023</t>
        </is>
      </c>
      <c r="B258" s="1" t="n">
        <v>45232</v>
      </c>
      <c r="C258" s="1" t="n">
        <v>46142</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28628-2025</t>
        </is>
      </c>
      <c r="B259" s="1" t="n">
        <v>45819.62158564815</v>
      </c>
      <c r="C259" s="1" t="n">
        <v>46142</v>
      </c>
      <c r="D259" t="inlineStr">
        <is>
          <t>VÄSTMANLANDS LÄN</t>
        </is>
      </c>
      <c r="E259" t="inlineStr">
        <is>
          <t>SALA</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35462-2024</t>
        </is>
      </c>
      <c r="B260" s="1" t="n">
        <v>45531</v>
      </c>
      <c r="C260" s="1" t="n">
        <v>46142</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28630-2025</t>
        </is>
      </c>
      <c r="B261" s="1" t="n">
        <v>45819.62274305556</v>
      </c>
      <c r="C261" s="1" t="n">
        <v>46142</v>
      </c>
      <c r="D261" t="inlineStr">
        <is>
          <t>VÄSTMANLANDS LÄN</t>
        </is>
      </c>
      <c r="E261" t="inlineStr">
        <is>
          <t>SALA</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28837-2025</t>
        </is>
      </c>
      <c r="B262" s="1" t="n">
        <v>45820.56243055555</v>
      </c>
      <c r="C262" s="1" t="n">
        <v>46142</v>
      </c>
      <c r="D262" t="inlineStr">
        <is>
          <t>VÄSTMANLANDS LÄN</t>
        </is>
      </c>
      <c r="E262" t="inlineStr">
        <is>
          <t>SALA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28849-2025</t>
        </is>
      </c>
      <c r="B263" s="1" t="n">
        <v>45820</v>
      </c>
      <c r="C263" s="1" t="n">
        <v>46142</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5894-2026</t>
        </is>
      </c>
      <c r="B264" s="1" t="n">
        <v>46052.42412037037</v>
      </c>
      <c r="C264" s="1" t="n">
        <v>46142</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39167-2025</t>
        </is>
      </c>
      <c r="B265" s="1" t="n">
        <v>45888</v>
      </c>
      <c r="C265" s="1" t="n">
        <v>46142</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29085-2025</t>
        </is>
      </c>
      <c r="B266" s="1" t="n">
        <v>45821</v>
      </c>
      <c r="C266" s="1" t="n">
        <v>46142</v>
      </c>
      <c r="D266" t="inlineStr">
        <is>
          <t>VÄSTMANLANDS LÄN</t>
        </is>
      </c>
      <c r="E266" t="inlineStr">
        <is>
          <t>SALA</t>
        </is>
      </c>
      <c r="G266" t="n">
        <v>3.5</v>
      </c>
      <c r="H266" t="n">
        <v>0</v>
      </c>
      <c r="I266" t="n">
        <v>0</v>
      </c>
      <c r="J266" t="n">
        <v>0</v>
      </c>
      <c r="K266" t="n">
        <v>0</v>
      </c>
      <c r="L266" t="n">
        <v>0</v>
      </c>
      <c r="M266" t="n">
        <v>0</v>
      </c>
      <c r="N266" t="n">
        <v>0</v>
      </c>
      <c r="O266" t="n">
        <v>0</v>
      </c>
      <c r="P266" t="n">
        <v>0</v>
      </c>
      <c r="Q266" t="n">
        <v>0</v>
      </c>
      <c r="R266" s="2" t="inlineStr"/>
    </row>
    <row r="267" ht="15" customHeight="1">
      <c r="A267" t="inlineStr">
        <is>
          <t>A 36393-2023</t>
        </is>
      </c>
      <c r="B267" s="1" t="n">
        <v>45152</v>
      </c>
      <c r="C267" s="1" t="n">
        <v>46142</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45790-2023</t>
        </is>
      </c>
      <c r="B268" s="1" t="n">
        <v>45195.45958333334</v>
      </c>
      <c r="C268" s="1" t="n">
        <v>46142</v>
      </c>
      <c r="D268" t="inlineStr">
        <is>
          <t>VÄSTMANLANDS LÄN</t>
        </is>
      </c>
      <c r="E268" t="inlineStr">
        <is>
          <t>SALA</t>
        </is>
      </c>
      <c r="G268" t="n">
        <v>5.7</v>
      </c>
      <c r="H268" t="n">
        <v>0</v>
      </c>
      <c r="I268" t="n">
        <v>0</v>
      </c>
      <c r="J268" t="n">
        <v>0</v>
      </c>
      <c r="K268" t="n">
        <v>0</v>
      </c>
      <c r="L268" t="n">
        <v>0</v>
      </c>
      <c r="M268" t="n">
        <v>0</v>
      </c>
      <c r="N268" t="n">
        <v>0</v>
      </c>
      <c r="O268" t="n">
        <v>0</v>
      </c>
      <c r="P268" t="n">
        <v>0</v>
      </c>
      <c r="Q268" t="n">
        <v>0</v>
      </c>
      <c r="R268" s="2" t="inlineStr"/>
    </row>
    <row r="269" ht="15" customHeight="1">
      <c r="A269" t="inlineStr">
        <is>
          <t>A 56949-2023</t>
        </is>
      </c>
      <c r="B269" s="1" t="n">
        <v>45244.61589120371</v>
      </c>
      <c r="C269" s="1" t="n">
        <v>46142</v>
      </c>
      <c r="D269" t="inlineStr">
        <is>
          <t>VÄSTMANLANDS LÄN</t>
        </is>
      </c>
      <c r="E269" t="inlineStr">
        <is>
          <t>SALA</t>
        </is>
      </c>
      <c r="G269" t="n">
        <v>4.7</v>
      </c>
      <c r="H269" t="n">
        <v>0</v>
      </c>
      <c r="I269" t="n">
        <v>0</v>
      </c>
      <c r="J269" t="n">
        <v>0</v>
      </c>
      <c r="K269" t="n">
        <v>0</v>
      </c>
      <c r="L269" t="n">
        <v>0</v>
      </c>
      <c r="M269" t="n">
        <v>0</v>
      </c>
      <c r="N269" t="n">
        <v>0</v>
      </c>
      <c r="O269" t="n">
        <v>0</v>
      </c>
      <c r="P269" t="n">
        <v>0</v>
      </c>
      <c r="Q269" t="n">
        <v>0</v>
      </c>
      <c r="R269" s="2" t="inlineStr"/>
    </row>
    <row r="270" ht="15" customHeight="1">
      <c r="A270" t="inlineStr">
        <is>
          <t>A 60541-2024</t>
        </is>
      </c>
      <c r="B270" s="1" t="n">
        <v>45643</v>
      </c>
      <c r="C270" s="1" t="n">
        <v>46142</v>
      </c>
      <c r="D270" t="inlineStr">
        <is>
          <t>VÄSTMANLANDS LÄN</t>
        </is>
      </c>
      <c r="E270" t="inlineStr">
        <is>
          <t>SALA</t>
        </is>
      </c>
      <c r="G270" t="n">
        <v>10.6</v>
      </c>
      <c r="H270" t="n">
        <v>0</v>
      </c>
      <c r="I270" t="n">
        <v>0</v>
      </c>
      <c r="J270" t="n">
        <v>0</v>
      </c>
      <c r="K270" t="n">
        <v>0</v>
      </c>
      <c r="L270" t="n">
        <v>0</v>
      </c>
      <c r="M270" t="n">
        <v>0</v>
      </c>
      <c r="N270" t="n">
        <v>0</v>
      </c>
      <c r="O270" t="n">
        <v>0</v>
      </c>
      <c r="P270" t="n">
        <v>0</v>
      </c>
      <c r="Q270" t="n">
        <v>0</v>
      </c>
      <c r="R270" s="2" t="inlineStr"/>
    </row>
    <row r="271" ht="15" customHeight="1">
      <c r="A271" t="inlineStr">
        <is>
          <t>A 29826-2025</t>
        </is>
      </c>
      <c r="B271" s="1" t="n">
        <v>45825.85761574074</v>
      </c>
      <c r="C271" s="1" t="n">
        <v>46142</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40214-2023</t>
        </is>
      </c>
      <c r="B272" s="1" t="n">
        <v>45169.45173611111</v>
      </c>
      <c r="C272" s="1" t="n">
        <v>46142</v>
      </c>
      <c r="D272" t="inlineStr">
        <is>
          <t>VÄSTMANLANDS LÄN</t>
        </is>
      </c>
      <c r="E272" t="inlineStr">
        <is>
          <t>SALA</t>
        </is>
      </c>
      <c r="G272" t="n">
        <v>5.5</v>
      </c>
      <c r="H272" t="n">
        <v>0</v>
      </c>
      <c r="I272" t="n">
        <v>0</v>
      </c>
      <c r="J272" t="n">
        <v>0</v>
      </c>
      <c r="K272" t="n">
        <v>0</v>
      </c>
      <c r="L272" t="n">
        <v>0</v>
      </c>
      <c r="M272" t="n">
        <v>0</v>
      </c>
      <c r="N272" t="n">
        <v>0</v>
      </c>
      <c r="O272" t="n">
        <v>0</v>
      </c>
      <c r="P272" t="n">
        <v>0</v>
      </c>
      <c r="Q272" t="n">
        <v>0</v>
      </c>
      <c r="R272" s="2" t="inlineStr"/>
    </row>
    <row r="273" ht="15" customHeight="1">
      <c r="A273" t="inlineStr">
        <is>
          <t>A 35016-2024</t>
        </is>
      </c>
      <c r="B273" s="1" t="n">
        <v>45527.59115740741</v>
      </c>
      <c r="C273" s="1" t="n">
        <v>46142</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6021-2026</t>
        </is>
      </c>
      <c r="B274" s="1" t="n">
        <v>46050</v>
      </c>
      <c r="C274" s="1" t="n">
        <v>46142</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37612-2024</t>
        </is>
      </c>
      <c r="B275" s="1" t="n">
        <v>45541</v>
      </c>
      <c r="C275" s="1" t="n">
        <v>46142</v>
      </c>
      <c r="D275" t="inlineStr">
        <is>
          <t>VÄSTMANLANDS LÄN</t>
        </is>
      </c>
      <c r="E275" t="inlineStr">
        <is>
          <t>SALA</t>
        </is>
      </c>
      <c r="G275" t="n">
        <v>2.2</v>
      </c>
      <c r="H275" t="n">
        <v>0</v>
      </c>
      <c r="I275" t="n">
        <v>0</v>
      </c>
      <c r="J275" t="n">
        <v>0</v>
      </c>
      <c r="K275" t="n">
        <v>0</v>
      </c>
      <c r="L275" t="n">
        <v>0</v>
      </c>
      <c r="M275" t="n">
        <v>0</v>
      </c>
      <c r="N275" t="n">
        <v>0</v>
      </c>
      <c r="O275" t="n">
        <v>0</v>
      </c>
      <c r="P275" t="n">
        <v>0</v>
      </c>
      <c r="Q275" t="n">
        <v>0</v>
      </c>
      <c r="R275" s="2" t="inlineStr"/>
    </row>
    <row r="276" ht="15" customHeight="1">
      <c r="A276" t="inlineStr">
        <is>
          <t>A 37615-2024</t>
        </is>
      </c>
      <c r="B276" s="1" t="n">
        <v>45541.50673611111</v>
      </c>
      <c r="C276" s="1" t="n">
        <v>46142</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5728-2022</t>
        </is>
      </c>
      <c r="B277" s="1" t="n">
        <v>44596.42082175926</v>
      </c>
      <c r="C277" s="1" t="n">
        <v>46142</v>
      </c>
      <c r="D277" t="inlineStr">
        <is>
          <t>VÄSTMANLANDS LÄN</t>
        </is>
      </c>
      <c r="E277" t="inlineStr">
        <is>
          <t>SALA</t>
        </is>
      </c>
      <c r="G277" t="n">
        <v>1.7</v>
      </c>
      <c r="H277" t="n">
        <v>0</v>
      </c>
      <c r="I277" t="n">
        <v>0</v>
      </c>
      <c r="J277" t="n">
        <v>0</v>
      </c>
      <c r="K277" t="n">
        <v>0</v>
      </c>
      <c r="L277" t="n">
        <v>0</v>
      </c>
      <c r="M277" t="n">
        <v>0</v>
      </c>
      <c r="N277" t="n">
        <v>0</v>
      </c>
      <c r="O277" t="n">
        <v>0</v>
      </c>
      <c r="P277" t="n">
        <v>0</v>
      </c>
      <c r="Q277" t="n">
        <v>0</v>
      </c>
      <c r="R277" s="2" t="inlineStr"/>
    </row>
    <row r="278" ht="15" customHeight="1">
      <c r="A278" t="inlineStr">
        <is>
          <t>A 29691-2025</t>
        </is>
      </c>
      <c r="B278" s="1" t="n">
        <v>45825.53645833334</v>
      </c>
      <c r="C278" s="1" t="n">
        <v>46142</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7327-2026</t>
        </is>
      </c>
      <c r="B279" s="1" t="n">
        <v>46058.68371527778</v>
      </c>
      <c r="C279" s="1" t="n">
        <v>46142</v>
      </c>
      <c r="D279" t="inlineStr">
        <is>
          <t>VÄSTMANLANDS LÄN</t>
        </is>
      </c>
      <c r="E279" t="inlineStr">
        <is>
          <t>SALA</t>
        </is>
      </c>
      <c r="G279" t="n">
        <v>5.8</v>
      </c>
      <c r="H279" t="n">
        <v>0</v>
      </c>
      <c r="I279" t="n">
        <v>0</v>
      </c>
      <c r="J279" t="n">
        <v>0</v>
      </c>
      <c r="K279" t="n">
        <v>0</v>
      </c>
      <c r="L279" t="n">
        <v>0</v>
      </c>
      <c r="M279" t="n">
        <v>0</v>
      </c>
      <c r="N279" t="n">
        <v>0</v>
      </c>
      <c r="O279" t="n">
        <v>0</v>
      </c>
      <c r="P279" t="n">
        <v>0</v>
      </c>
      <c r="Q279" t="n">
        <v>0</v>
      </c>
      <c r="R279" s="2" t="inlineStr"/>
    </row>
    <row r="280" ht="15" customHeight="1">
      <c r="A280" t="inlineStr">
        <is>
          <t>A 7332-2026</t>
        </is>
      </c>
      <c r="B280" s="1" t="n">
        <v>46058.68884259259</v>
      </c>
      <c r="C280" s="1" t="n">
        <v>46142</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14490-2026</t>
        </is>
      </c>
      <c r="B281" s="1" t="n">
        <v>46100.59277777778</v>
      </c>
      <c r="C281" s="1" t="n">
        <v>46142</v>
      </c>
      <c r="D281" t="inlineStr">
        <is>
          <t>VÄSTMANLANDS LÄN</t>
        </is>
      </c>
      <c r="E281" t="inlineStr">
        <is>
          <t>SALA</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19751-2022</t>
        </is>
      </c>
      <c r="B282" s="1" t="n">
        <v>44694</v>
      </c>
      <c r="C282" s="1" t="n">
        <v>46142</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7324-2026</t>
        </is>
      </c>
      <c r="B283" s="1" t="n">
        <v>46058.68023148148</v>
      </c>
      <c r="C283" s="1" t="n">
        <v>46142</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14481-2026</t>
        </is>
      </c>
      <c r="B284" s="1" t="n">
        <v>46100.58707175926</v>
      </c>
      <c r="C284" s="1" t="n">
        <v>46142</v>
      </c>
      <c r="D284" t="inlineStr">
        <is>
          <t>VÄSTMANLANDS LÄN</t>
        </is>
      </c>
      <c r="E284" t="inlineStr">
        <is>
          <t>SALA</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14482-2026</t>
        </is>
      </c>
      <c r="B285" s="1" t="n">
        <v>46100.588125</v>
      </c>
      <c r="C285" s="1" t="n">
        <v>46142</v>
      </c>
      <c r="D285" t="inlineStr">
        <is>
          <t>VÄSTMANLANDS LÄN</t>
        </is>
      </c>
      <c r="E285" t="inlineStr">
        <is>
          <t>SALA</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14484-2026</t>
        </is>
      </c>
      <c r="B286" s="1" t="n">
        <v>46100.5887962963</v>
      </c>
      <c r="C286" s="1" t="n">
        <v>46142</v>
      </c>
      <c r="D286" t="inlineStr">
        <is>
          <t>VÄSTMANLANDS LÄN</t>
        </is>
      </c>
      <c r="E286" t="inlineStr">
        <is>
          <t>SALA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30874-2025</t>
        </is>
      </c>
      <c r="B287" s="1" t="n">
        <v>45832.34430555555</v>
      </c>
      <c r="C287" s="1" t="n">
        <v>46142</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7329-2026</t>
        </is>
      </c>
      <c r="B288" s="1" t="n">
        <v>46058.68678240741</v>
      </c>
      <c r="C288" s="1" t="n">
        <v>46142</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30899-2025</t>
        </is>
      </c>
      <c r="B289" s="1" t="n">
        <v>45832.35767361111</v>
      </c>
      <c r="C289" s="1" t="n">
        <v>46142</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52498-2022</t>
        </is>
      </c>
      <c r="B290" s="1" t="n">
        <v>44874.50152777778</v>
      </c>
      <c r="C290" s="1" t="n">
        <v>46142</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30866-2025</t>
        </is>
      </c>
      <c r="B291" s="1" t="n">
        <v>45832.3246875</v>
      </c>
      <c r="C291" s="1" t="n">
        <v>46142</v>
      </c>
      <c r="D291" t="inlineStr">
        <is>
          <t>VÄSTMANLANDS LÄN</t>
        </is>
      </c>
      <c r="E291" t="inlineStr">
        <is>
          <t>SALA</t>
        </is>
      </c>
      <c r="G291" t="n">
        <v>14.3</v>
      </c>
      <c r="H291" t="n">
        <v>0</v>
      </c>
      <c r="I291" t="n">
        <v>0</v>
      </c>
      <c r="J291" t="n">
        <v>0</v>
      </c>
      <c r="K291" t="n">
        <v>0</v>
      </c>
      <c r="L291" t="n">
        <v>0</v>
      </c>
      <c r="M291" t="n">
        <v>0</v>
      </c>
      <c r="N291" t="n">
        <v>0</v>
      </c>
      <c r="O291" t="n">
        <v>0</v>
      </c>
      <c r="P291" t="n">
        <v>0</v>
      </c>
      <c r="Q291" t="n">
        <v>0</v>
      </c>
      <c r="R291" s="2" t="inlineStr"/>
    </row>
    <row r="292" ht="15" customHeight="1">
      <c r="A292" t="inlineStr">
        <is>
          <t>A 31065-2025</t>
        </is>
      </c>
      <c r="B292" s="1" t="n">
        <v>45832.57571759259</v>
      </c>
      <c r="C292" s="1" t="n">
        <v>46142</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6312-2025</t>
        </is>
      </c>
      <c r="B293" s="1" t="n">
        <v>45698</v>
      </c>
      <c r="C293" s="1" t="n">
        <v>46142</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7850-2026</t>
        </is>
      </c>
      <c r="B294" s="1" t="n">
        <v>46062.66236111111</v>
      </c>
      <c r="C294" s="1" t="n">
        <v>46142</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31612-2025</t>
        </is>
      </c>
      <c r="B295" s="1" t="n">
        <v>45833.80056712963</v>
      </c>
      <c r="C295" s="1" t="n">
        <v>46142</v>
      </c>
      <c r="D295" t="inlineStr">
        <is>
          <t>VÄSTMANLANDS LÄN</t>
        </is>
      </c>
      <c r="E295" t="inlineStr">
        <is>
          <t>SALA</t>
        </is>
      </c>
      <c r="G295" t="n">
        <v>6.3</v>
      </c>
      <c r="H295" t="n">
        <v>0</v>
      </c>
      <c r="I295" t="n">
        <v>0</v>
      </c>
      <c r="J295" t="n">
        <v>0</v>
      </c>
      <c r="K295" t="n">
        <v>0</v>
      </c>
      <c r="L295" t="n">
        <v>0</v>
      </c>
      <c r="M295" t="n">
        <v>0</v>
      </c>
      <c r="N295" t="n">
        <v>0</v>
      </c>
      <c r="O295" t="n">
        <v>0</v>
      </c>
      <c r="P295" t="n">
        <v>0</v>
      </c>
      <c r="Q295" t="n">
        <v>0</v>
      </c>
      <c r="R295" s="2" t="inlineStr"/>
    </row>
    <row r="296" ht="15" customHeight="1">
      <c r="A296" t="inlineStr">
        <is>
          <t>A 55035-2023</t>
        </is>
      </c>
      <c r="B296" s="1" t="n">
        <v>45229</v>
      </c>
      <c r="C296" s="1" t="n">
        <v>46142</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31748-2025</t>
        </is>
      </c>
      <c r="B297" s="1" t="n">
        <v>45834</v>
      </c>
      <c r="C297" s="1" t="n">
        <v>46142</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31288-2025</t>
        </is>
      </c>
      <c r="B298" s="1" t="n">
        <v>45833</v>
      </c>
      <c r="C298" s="1" t="n">
        <v>46142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7654-2026</t>
        </is>
      </c>
      <c r="B299" s="1" t="n">
        <v>46062.38828703704</v>
      </c>
      <c r="C299" s="1" t="n">
        <v>46142</v>
      </c>
      <c r="D299" t="inlineStr">
        <is>
          <t>VÄSTMANLANDS LÄN</t>
        </is>
      </c>
      <c r="E299" t="inlineStr">
        <is>
          <t>SALA</t>
        </is>
      </c>
      <c r="G299" t="n">
        <v>4.5</v>
      </c>
      <c r="H299" t="n">
        <v>0</v>
      </c>
      <c r="I299" t="n">
        <v>0</v>
      </c>
      <c r="J299" t="n">
        <v>0</v>
      </c>
      <c r="K299" t="n">
        <v>0</v>
      </c>
      <c r="L299" t="n">
        <v>0</v>
      </c>
      <c r="M299" t="n">
        <v>0</v>
      </c>
      <c r="N299" t="n">
        <v>0</v>
      </c>
      <c r="O299" t="n">
        <v>0</v>
      </c>
      <c r="P299" t="n">
        <v>0</v>
      </c>
      <c r="Q299" t="n">
        <v>0</v>
      </c>
      <c r="R299" s="2" t="inlineStr"/>
    </row>
    <row r="300" ht="15" customHeight="1">
      <c r="A300" t="inlineStr">
        <is>
          <t>A 7597-2026</t>
        </is>
      </c>
      <c r="B300" s="1" t="n">
        <v>46061.91765046296</v>
      </c>
      <c r="C300" s="1" t="n">
        <v>46142</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31771-2025</t>
        </is>
      </c>
      <c r="B301" s="1" t="n">
        <v>45834.50910879629</v>
      </c>
      <c r="C301" s="1" t="n">
        <v>46142</v>
      </c>
      <c r="D301" t="inlineStr">
        <is>
          <t>VÄSTMANLANDS LÄN</t>
        </is>
      </c>
      <c r="E301" t="inlineStr">
        <is>
          <t>SALA</t>
        </is>
      </c>
      <c r="G301" t="n">
        <v>5.1</v>
      </c>
      <c r="H301" t="n">
        <v>0</v>
      </c>
      <c r="I301" t="n">
        <v>0</v>
      </c>
      <c r="J301" t="n">
        <v>0</v>
      </c>
      <c r="K301" t="n">
        <v>0</v>
      </c>
      <c r="L301" t="n">
        <v>0</v>
      </c>
      <c r="M301" t="n">
        <v>0</v>
      </c>
      <c r="N301" t="n">
        <v>0</v>
      </c>
      <c r="O301" t="n">
        <v>0</v>
      </c>
      <c r="P301" t="n">
        <v>0</v>
      </c>
      <c r="Q301" t="n">
        <v>0</v>
      </c>
      <c r="R301" s="2" t="inlineStr"/>
    </row>
    <row r="302" ht="15" customHeight="1">
      <c r="A302" t="inlineStr">
        <is>
          <t>A 11617-2026</t>
        </is>
      </c>
      <c r="B302" s="1" t="n">
        <v>46084</v>
      </c>
      <c r="C302" s="1" t="n">
        <v>46142</v>
      </c>
      <c r="D302" t="inlineStr">
        <is>
          <t>VÄSTMANLANDS LÄN</t>
        </is>
      </c>
      <c r="E302" t="inlineStr">
        <is>
          <t>SALA</t>
        </is>
      </c>
      <c r="F302" t="inlineStr">
        <is>
          <t>Kyrkan</t>
        </is>
      </c>
      <c r="G302" t="n">
        <v>3.7</v>
      </c>
      <c r="H302" t="n">
        <v>0</v>
      </c>
      <c r="I302" t="n">
        <v>0</v>
      </c>
      <c r="J302" t="n">
        <v>0</v>
      </c>
      <c r="K302" t="n">
        <v>0</v>
      </c>
      <c r="L302" t="n">
        <v>0</v>
      </c>
      <c r="M302" t="n">
        <v>0</v>
      </c>
      <c r="N302" t="n">
        <v>0</v>
      </c>
      <c r="O302" t="n">
        <v>0</v>
      </c>
      <c r="P302" t="n">
        <v>0</v>
      </c>
      <c r="Q302" t="n">
        <v>0</v>
      </c>
      <c r="R302" s="2" t="inlineStr"/>
    </row>
    <row r="303" ht="15" customHeight="1">
      <c r="A303" t="inlineStr">
        <is>
          <t>A 7611-2026</t>
        </is>
      </c>
      <c r="B303" s="1" t="n">
        <v>46062.32387731481</v>
      </c>
      <c r="C303" s="1" t="n">
        <v>46142</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7676-2026</t>
        </is>
      </c>
      <c r="B304" s="1" t="n">
        <v>46062.42498842593</v>
      </c>
      <c r="C304" s="1" t="n">
        <v>46142</v>
      </c>
      <c r="D304" t="inlineStr">
        <is>
          <t>VÄSTMANLANDS LÄN</t>
        </is>
      </c>
      <c r="E304" t="inlineStr">
        <is>
          <t>SALA</t>
        </is>
      </c>
      <c r="G304" t="n">
        <v>2.1</v>
      </c>
      <c r="H304" t="n">
        <v>0</v>
      </c>
      <c r="I304" t="n">
        <v>0</v>
      </c>
      <c r="J304" t="n">
        <v>0</v>
      </c>
      <c r="K304" t="n">
        <v>0</v>
      </c>
      <c r="L304" t="n">
        <v>0</v>
      </c>
      <c r="M304" t="n">
        <v>0</v>
      </c>
      <c r="N304" t="n">
        <v>0</v>
      </c>
      <c r="O304" t="n">
        <v>0</v>
      </c>
      <c r="P304" t="n">
        <v>0</v>
      </c>
      <c r="Q304" t="n">
        <v>0</v>
      </c>
      <c r="R304" s="2" t="inlineStr"/>
    </row>
    <row r="305" ht="15" customHeight="1">
      <c r="A305" t="inlineStr">
        <is>
          <t>A 7680-2026</t>
        </is>
      </c>
      <c r="B305" s="1" t="n">
        <v>46062.43087962963</v>
      </c>
      <c r="C305" s="1" t="n">
        <v>46142</v>
      </c>
      <c r="D305" t="inlineStr">
        <is>
          <t>VÄSTMANLANDS LÄN</t>
        </is>
      </c>
      <c r="E305" t="inlineStr">
        <is>
          <t>SALA</t>
        </is>
      </c>
      <c r="G305" t="n">
        <v>2.7</v>
      </c>
      <c r="H305" t="n">
        <v>0</v>
      </c>
      <c r="I305" t="n">
        <v>0</v>
      </c>
      <c r="J305" t="n">
        <v>0</v>
      </c>
      <c r="K305" t="n">
        <v>0</v>
      </c>
      <c r="L305" t="n">
        <v>0</v>
      </c>
      <c r="M305" t="n">
        <v>0</v>
      </c>
      <c r="N305" t="n">
        <v>0</v>
      </c>
      <c r="O305" t="n">
        <v>0</v>
      </c>
      <c r="P305" t="n">
        <v>0</v>
      </c>
      <c r="Q305" t="n">
        <v>0</v>
      </c>
      <c r="R305" s="2" t="inlineStr"/>
    </row>
    <row r="306" ht="15" customHeight="1">
      <c r="A306" t="inlineStr">
        <is>
          <t>A 7584-2026</t>
        </is>
      </c>
      <c r="B306" s="1" t="n">
        <v>46061.81653935185</v>
      </c>
      <c r="C306" s="1" t="n">
        <v>46142</v>
      </c>
      <c r="D306" t="inlineStr">
        <is>
          <t>VÄSTMANLANDS LÄN</t>
        </is>
      </c>
      <c r="E306" t="inlineStr">
        <is>
          <t>SALA</t>
        </is>
      </c>
      <c r="G306" t="n">
        <v>16.7</v>
      </c>
      <c r="H306" t="n">
        <v>0</v>
      </c>
      <c r="I306" t="n">
        <v>0</v>
      </c>
      <c r="J306" t="n">
        <v>0</v>
      </c>
      <c r="K306" t="n">
        <v>0</v>
      </c>
      <c r="L306" t="n">
        <v>0</v>
      </c>
      <c r="M306" t="n">
        <v>0</v>
      </c>
      <c r="N306" t="n">
        <v>0</v>
      </c>
      <c r="O306" t="n">
        <v>0</v>
      </c>
      <c r="P306" t="n">
        <v>0</v>
      </c>
      <c r="Q306" t="n">
        <v>0</v>
      </c>
      <c r="R306" s="2" t="inlineStr"/>
    </row>
    <row r="307" ht="15" customHeight="1">
      <c r="A307" t="inlineStr">
        <is>
          <t>A 7590-2026</t>
        </is>
      </c>
      <c r="B307" s="1" t="n">
        <v>46061.85252314815</v>
      </c>
      <c r="C307" s="1" t="n">
        <v>46142</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7596-2026</t>
        </is>
      </c>
      <c r="B308" s="1" t="n">
        <v>46061.90922453703</v>
      </c>
      <c r="C308" s="1" t="n">
        <v>46142</v>
      </c>
      <c r="D308" t="inlineStr">
        <is>
          <t>VÄSTMANLANDS LÄN</t>
        </is>
      </c>
      <c r="E308" t="inlineStr">
        <is>
          <t>SALA</t>
        </is>
      </c>
      <c r="G308" t="n">
        <v>3.1</v>
      </c>
      <c r="H308" t="n">
        <v>0</v>
      </c>
      <c r="I308" t="n">
        <v>0</v>
      </c>
      <c r="J308" t="n">
        <v>0</v>
      </c>
      <c r="K308" t="n">
        <v>0</v>
      </c>
      <c r="L308" t="n">
        <v>0</v>
      </c>
      <c r="M308" t="n">
        <v>0</v>
      </c>
      <c r="N308" t="n">
        <v>0</v>
      </c>
      <c r="O308" t="n">
        <v>0</v>
      </c>
      <c r="P308" t="n">
        <v>0</v>
      </c>
      <c r="Q308" t="n">
        <v>0</v>
      </c>
      <c r="R308" s="2" t="inlineStr"/>
    </row>
    <row r="309" ht="15" customHeight="1">
      <c r="A309" t="inlineStr">
        <is>
          <t>A 31554-2025</t>
        </is>
      </c>
      <c r="B309" s="1" t="n">
        <v>45833</v>
      </c>
      <c r="C309" s="1" t="n">
        <v>46142</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31762-2025</t>
        </is>
      </c>
      <c r="B310" s="1" t="n">
        <v>45834.49288194445</v>
      </c>
      <c r="C310" s="1" t="n">
        <v>46142</v>
      </c>
      <c r="D310" t="inlineStr">
        <is>
          <t>VÄSTMANLANDS LÄN</t>
        </is>
      </c>
      <c r="E310" t="inlineStr">
        <is>
          <t>SALA</t>
        </is>
      </c>
      <c r="G310" t="n">
        <v>5.9</v>
      </c>
      <c r="H310" t="n">
        <v>0</v>
      </c>
      <c r="I310" t="n">
        <v>0</v>
      </c>
      <c r="J310" t="n">
        <v>0</v>
      </c>
      <c r="K310" t="n">
        <v>0</v>
      </c>
      <c r="L310" t="n">
        <v>0</v>
      </c>
      <c r="M310" t="n">
        <v>0</v>
      </c>
      <c r="N310" t="n">
        <v>0</v>
      </c>
      <c r="O310" t="n">
        <v>0</v>
      </c>
      <c r="P310" t="n">
        <v>0</v>
      </c>
      <c r="Q310" t="n">
        <v>0</v>
      </c>
      <c r="R310" s="2" t="inlineStr"/>
    </row>
    <row r="311" ht="15" customHeight="1">
      <c r="A311" t="inlineStr">
        <is>
          <t>A 31608-2025</t>
        </is>
      </c>
      <c r="B311" s="1" t="n">
        <v>45833</v>
      </c>
      <c r="C311" s="1" t="n">
        <v>46142</v>
      </c>
      <c r="D311" t="inlineStr">
        <is>
          <t>VÄSTMANLANDS LÄN</t>
        </is>
      </c>
      <c r="E311" t="inlineStr">
        <is>
          <t>SALA</t>
        </is>
      </c>
      <c r="G311" t="n">
        <v>6.1</v>
      </c>
      <c r="H311" t="n">
        <v>0</v>
      </c>
      <c r="I311" t="n">
        <v>0</v>
      </c>
      <c r="J311" t="n">
        <v>0</v>
      </c>
      <c r="K311" t="n">
        <v>0</v>
      </c>
      <c r="L311" t="n">
        <v>0</v>
      </c>
      <c r="M311" t="n">
        <v>0</v>
      </c>
      <c r="N311" t="n">
        <v>0</v>
      </c>
      <c r="O311" t="n">
        <v>0</v>
      </c>
      <c r="P311" t="n">
        <v>0</v>
      </c>
      <c r="Q311" t="n">
        <v>0</v>
      </c>
      <c r="R311" s="2" t="inlineStr"/>
    </row>
    <row r="312" ht="15" customHeight="1">
      <c r="A312" t="inlineStr">
        <is>
          <t>A 7661-2026</t>
        </is>
      </c>
      <c r="B312" s="1" t="n">
        <v>46062.39614583334</v>
      </c>
      <c r="C312" s="1" t="n">
        <v>46142</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31610-2025</t>
        </is>
      </c>
      <c r="B313" s="1" t="n">
        <v>45833.78650462963</v>
      </c>
      <c r="C313" s="1" t="n">
        <v>46142</v>
      </c>
      <c r="D313" t="inlineStr">
        <is>
          <t>VÄSTMANLANDS LÄN</t>
        </is>
      </c>
      <c r="E313" t="inlineStr">
        <is>
          <t>SALA</t>
        </is>
      </c>
      <c r="G313" t="n">
        <v>8</v>
      </c>
      <c r="H313" t="n">
        <v>0</v>
      </c>
      <c r="I313" t="n">
        <v>0</v>
      </c>
      <c r="J313" t="n">
        <v>0</v>
      </c>
      <c r="K313" t="n">
        <v>0</v>
      </c>
      <c r="L313" t="n">
        <v>0</v>
      </c>
      <c r="M313" t="n">
        <v>0</v>
      </c>
      <c r="N313" t="n">
        <v>0</v>
      </c>
      <c r="O313" t="n">
        <v>0</v>
      </c>
      <c r="P313" t="n">
        <v>0</v>
      </c>
      <c r="Q313" t="n">
        <v>0</v>
      </c>
      <c r="R313" s="2" t="inlineStr"/>
    </row>
    <row r="314" ht="15" customHeight="1">
      <c r="A314" t="inlineStr">
        <is>
          <t>A 7588-2026</t>
        </is>
      </c>
      <c r="B314" s="1" t="n">
        <v>46061.83528935185</v>
      </c>
      <c r="C314" s="1" t="n">
        <v>46142</v>
      </c>
      <c r="D314" t="inlineStr">
        <is>
          <t>VÄSTMANLANDS LÄN</t>
        </is>
      </c>
      <c r="E314" t="inlineStr">
        <is>
          <t>SALA</t>
        </is>
      </c>
      <c r="G314" t="n">
        <v>2.8</v>
      </c>
      <c r="H314" t="n">
        <v>0</v>
      </c>
      <c r="I314" t="n">
        <v>0</v>
      </c>
      <c r="J314" t="n">
        <v>0</v>
      </c>
      <c r="K314" t="n">
        <v>0</v>
      </c>
      <c r="L314" t="n">
        <v>0</v>
      </c>
      <c r="M314" t="n">
        <v>0</v>
      </c>
      <c r="N314" t="n">
        <v>0</v>
      </c>
      <c r="O314" t="n">
        <v>0</v>
      </c>
      <c r="P314" t="n">
        <v>0</v>
      </c>
      <c r="Q314" t="n">
        <v>0</v>
      </c>
      <c r="R314" s="2" t="inlineStr"/>
    </row>
    <row r="315" ht="15" customHeight="1">
      <c r="A315" t="inlineStr">
        <is>
          <t>A 31296-2025</t>
        </is>
      </c>
      <c r="B315" s="1" t="n">
        <v>45833.36765046296</v>
      </c>
      <c r="C315" s="1" t="n">
        <v>46142</v>
      </c>
      <c r="D315" t="inlineStr">
        <is>
          <t>VÄSTMANLANDS LÄN</t>
        </is>
      </c>
      <c r="E315" t="inlineStr">
        <is>
          <t>SALA</t>
        </is>
      </c>
      <c r="G315" t="n">
        <v>3.7</v>
      </c>
      <c r="H315" t="n">
        <v>0</v>
      </c>
      <c r="I315" t="n">
        <v>0</v>
      </c>
      <c r="J315" t="n">
        <v>0</v>
      </c>
      <c r="K315" t="n">
        <v>0</v>
      </c>
      <c r="L315" t="n">
        <v>0</v>
      </c>
      <c r="M315" t="n">
        <v>0</v>
      </c>
      <c r="N315" t="n">
        <v>0</v>
      </c>
      <c r="O315" t="n">
        <v>0</v>
      </c>
      <c r="P315" t="n">
        <v>0</v>
      </c>
      <c r="Q315" t="n">
        <v>0</v>
      </c>
      <c r="R315" s="2" t="inlineStr"/>
    </row>
    <row r="316" ht="15" customHeight="1">
      <c r="A316" t="inlineStr">
        <is>
          <t>A 52500-2024</t>
        </is>
      </c>
      <c r="B316" s="1" t="n">
        <v>45609</v>
      </c>
      <c r="C316" s="1" t="n">
        <v>46142</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7595-2026</t>
        </is>
      </c>
      <c r="B317" s="1" t="n">
        <v>46061.90009259259</v>
      </c>
      <c r="C317" s="1" t="n">
        <v>46142</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7593-2026</t>
        </is>
      </c>
      <c r="B318" s="1" t="n">
        <v>46061.88057870371</v>
      </c>
      <c r="C318" s="1" t="n">
        <v>46142</v>
      </c>
      <c r="D318" t="inlineStr">
        <is>
          <t>VÄSTMANLANDS LÄN</t>
        </is>
      </c>
      <c r="E318" t="inlineStr">
        <is>
          <t>SALA</t>
        </is>
      </c>
      <c r="G318" t="n">
        <v>7.5</v>
      </c>
      <c r="H318" t="n">
        <v>0</v>
      </c>
      <c r="I318" t="n">
        <v>0</v>
      </c>
      <c r="J318" t="n">
        <v>0</v>
      </c>
      <c r="K318" t="n">
        <v>0</v>
      </c>
      <c r="L318" t="n">
        <v>0</v>
      </c>
      <c r="M318" t="n">
        <v>0</v>
      </c>
      <c r="N318" t="n">
        <v>0</v>
      </c>
      <c r="O318" t="n">
        <v>0</v>
      </c>
      <c r="P318" t="n">
        <v>0</v>
      </c>
      <c r="Q318" t="n">
        <v>0</v>
      </c>
      <c r="R318" s="2" t="inlineStr"/>
    </row>
    <row r="319" ht="15" customHeight="1">
      <c r="A319" t="inlineStr">
        <is>
          <t>A 31573-2025</t>
        </is>
      </c>
      <c r="B319" s="1" t="n">
        <v>45833</v>
      </c>
      <c r="C319" s="1" t="n">
        <v>46142</v>
      </c>
      <c r="D319" t="inlineStr">
        <is>
          <t>VÄSTMANLANDS LÄN</t>
        </is>
      </c>
      <c r="E319" t="inlineStr">
        <is>
          <t>SALA</t>
        </is>
      </c>
      <c r="G319" t="n">
        <v>0.6</v>
      </c>
      <c r="H319" t="n">
        <v>0</v>
      </c>
      <c r="I319" t="n">
        <v>0</v>
      </c>
      <c r="J319" t="n">
        <v>0</v>
      </c>
      <c r="K319" t="n">
        <v>0</v>
      </c>
      <c r="L319" t="n">
        <v>0</v>
      </c>
      <c r="M319" t="n">
        <v>0</v>
      </c>
      <c r="N319" t="n">
        <v>0</v>
      </c>
      <c r="O319" t="n">
        <v>0</v>
      </c>
      <c r="P319" t="n">
        <v>0</v>
      </c>
      <c r="Q319" t="n">
        <v>0</v>
      </c>
      <c r="R319" s="2" t="inlineStr"/>
    </row>
    <row r="320" ht="15" customHeight="1">
      <c r="A320" t="inlineStr">
        <is>
          <t>A 32201-2025</t>
        </is>
      </c>
      <c r="B320" s="1" t="n">
        <v>45835</v>
      </c>
      <c r="C320" s="1" t="n">
        <v>46142</v>
      </c>
      <c r="D320" t="inlineStr">
        <is>
          <t>VÄSTMANLANDS LÄN</t>
        </is>
      </c>
      <c r="E320" t="inlineStr">
        <is>
          <t>SALA</t>
        </is>
      </c>
      <c r="F320" t="inlineStr">
        <is>
          <t>Bergvik skog öst AB</t>
        </is>
      </c>
      <c r="G320" t="n">
        <v>1.8</v>
      </c>
      <c r="H320" t="n">
        <v>0</v>
      </c>
      <c r="I320" t="n">
        <v>0</v>
      </c>
      <c r="J320" t="n">
        <v>0</v>
      </c>
      <c r="K320" t="n">
        <v>0</v>
      </c>
      <c r="L320" t="n">
        <v>0</v>
      </c>
      <c r="M320" t="n">
        <v>0</v>
      </c>
      <c r="N320" t="n">
        <v>0</v>
      </c>
      <c r="O320" t="n">
        <v>0</v>
      </c>
      <c r="P320" t="n">
        <v>0</v>
      </c>
      <c r="Q320" t="n">
        <v>0</v>
      </c>
      <c r="R320" s="2" t="inlineStr"/>
    </row>
    <row r="321" ht="15" customHeight="1">
      <c r="A321" t="inlineStr">
        <is>
          <t>A 32205-2025</t>
        </is>
      </c>
      <c r="B321" s="1" t="n">
        <v>45835</v>
      </c>
      <c r="C321" s="1" t="n">
        <v>46142</v>
      </c>
      <c r="D321" t="inlineStr">
        <is>
          <t>VÄSTMANLANDS LÄN</t>
        </is>
      </c>
      <c r="E321" t="inlineStr">
        <is>
          <t>SALA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32210-2025</t>
        </is>
      </c>
      <c r="B322" s="1" t="n">
        <v>45835</v>
      </c>
      <c r="C322" s="1" t="n">
        <v>46142</v>
      </c>
      <c r="D322" t="inlineStr">
        <is>
          <t>VÄSTMANLANDS LÄN</t>
        </is>
      </c>
      <c r="E322" t="inlineStr">
        <is>
          <t>SALA</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7950-2025</t>
        </is>
      </c>
      <c r="B323" s="1" t="n">
        <v>45707.41799768519</v>
      </c>
      <c r="C323" s="1" t="n">
        <v>46142</v>
      </c>
      <c r="D323" t="inlineStr">
        <is>
          <t>VÄSTMANLANDS LÄN</t>
        </is>
      </c>
      <c r="E323" t="inlineStr">
        <is>
          <t>SALA</t>
        </is>
      </c>
      <c r="G323" t="n">
        <v>3.2</v>
      </c>
      <c r="H323" t="n">
        <v>0</v>
      </c>
      <c r="I323" t="n">
        <v>0</v>
      </c>
      <c r="J323" t="n">
        <v>0</v>
      </c>
      <c r="K323" t="n">
        <v>0</v>
      </c>
      <c r="L323" t="n">
        <v>0</v>
      </c>
      <c r="M323" t="n">
        <v>0</v>
      </c>
      <c r="N323" t="n">
        <v>0</v>
      </c>
      <c r="O323" t="n">
        <v>0</v>
      </c>
      <c r="P323" t="n">
        <v>0</v>
      </c>
      <c r="Q323" t="n">
        <v>0</v>
      </c>
      <c r="R323" s="2" t="inlineStr"/>
    </row>
    <row r="324" ht="15" customHeight="1">
      <c r="A324" t="inlineStr">
        <is>
          <t>A 32286-2025</t>
        </is>
      </c>
      <c r="B324" s="1" t="n">
        <v>45835</v>
      </c>
      <c r="C324" s="1" t="n">
        <v>46142</v>
      </c>
      <c r="D324" t="inlineStr">
        <is>
          <t>VÄSTMANLANDS LÄN</t>
        </is>
      </c>
      <c r="E324" t="inlineStr">
        <is>
          <t>SALA</t>
        </is>
      </c>
      <c r="G324" t="n">
        <v>6.4</v>
      </c>
      <c r="H324" t="n">
        <v>0</v>
      </c>
      <c r="I324" t="n">
        <v>0</v>
      </c>
      <c r="J324" t="n">
        <v>0</v>
      </c>
      <c r="K324" t="n">
        <v>0</v>
      </c>
      <c r="L324" t="n">
        <v>0</v>
      </c>
      <c r="M324" t="n">
        <v>0</v>
      </c>
      <c r="N324" t="n">
        <v>0</v>
      </c>
      <c r="O324" t="n">
        <v>0</v>
      </c>
      <c r="P324" t="n">
        <v>0</v>
      </c>
      <c r="Q324" t="n">
        <v>0</v>
      </c>
      <c r="R324" s="2" t="inlineStr"/>
    </row>
    <row r="325" ht="15" customHeight="1">
      <c r="A325" t="inlineStr">
        <is>
          <t>A 32207-2025</t>
        </is>
      </c>
      <c r="B325" s="1" t="n">
        <v>45835</v>
      </c>
      <c r="C325" s="1" t="n">
        <v>46142</v>
      </c>
      <c r="D325" t="inlineStr">
        <is>
          <t>VÄSTMANLANDS LÄN</t>
        </is>
      </c>
      <c r="E325" t="inlineStr">
        <is>
          <t>SALA</t>
        </is>
      </c>
      <c r="F325" t="inlineStr">
        <is>
          <t>Bergvik skog öst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15630-2026</t>
        </is>
      </c>
      <c r="B326" s="1" t="n">
        <v>46106.62283564815</v>
      </c>
      <c r="C326" s="1" t="n">
        <v>46142</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32902-2025</t>
        </is>
      </c>
      <c r="B327" s="1" t="n">
        <v>45839</v>
      </c>
      <c r="C327" s="1" t="n">
        <v>46142</v>
      </c>
      <c r="D327" t="inlineStr">
        <is>
          <t>VÄSTMANLANDS LÄN</t>
        </is>
      </c>
      <c r="E327" t="inlineStr">
        <is>
          <t>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16328-2025</t>
        </is>
      </c>
      <c r="B328" s="1" t="n">
        <v>45751</v>
      </c>
      <c r="C328" s="1" t="n">
        <v>46142</v>
      </c>
      <c r="D328" t="inlineStr">
        <is>
          <t>VÄSTMANLANDS LÄN</t>
        </is>
      </c>
      <c r="E328" t="inlineStr">
        <is>
          <t>SALA</t>
        </is>
      </c>
      <c r="G328" t="n">
        <v>2.9</v>
      </c>
      <c r="H328" t="n">
        <v>0</v>
      </c>
      <c r="I328" t="n">
        <v>0</v>
      </c>
      <c r="J328" t="n">
        <v>0</v>
      </c>
      <c r="K328" t="n">
        <v>0</v>
      </c>
      <c r="L328" t="n">
        <v>0</v>
      </c>
      <c r="M328" t="n">
        <v>0</v>
      </c>
      <c r="N328" t="n">
        <v>0</v>
      </c>
      <c r="O328" t="n">
        <v>0</v>
      </c>
      <c r="P328" t="n">
        <v>0</v>
      </c>
      <c r="Q328" t="n">
        <v>0</v>
      </c>
      <c r="R328" s="2" t="inlineStr"/>
    </row>
    <row r="329" ht="15" customHeight="1">
      <c r="A329" t="inlineStr">
        <is>
          <t>A 31609-2024</t>
        </is>
      </c>
      <c r="B329" s="1" t="n">
        <v>45506</v>
      </c>
      <c r="C329" s="1" t="n">
        <v>46142</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15823-2026</t>
        </is>
      </c>
      <c r="B330" s="1" t="n">
        <v>46107.54096064815</v>
      </c>
      <c r="C330" s="1" t="n">
        <v>46142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34069-2025</t>
        </is>
      </c>
      <c r="B331" s="1" t="n">
        <v>45845.43560185185</v>
      </c>
      <c r="C331" s="1" t="n">
        <v>46142</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c r="U331">
        <f>HYPERLINK("https://klasma.github.io/Logging_1981/knärot/A 34069-2025 karta knärot.png", "A 34069-2025")</f>
        <v/>
      </c>
      <c r="V331">
        <f>HYPERLINK("https://klasma.github.io/Logging_1981/klagomål/A 34069-2025 FSC-klagomål.docx", "A 34069-2025")</f>
        <v/>
      </c>
      <c r="W331">
        <f>HYPERLINK("https://klasma.github.io/Logging_1981/klagomålsmail/A 34069-2025 FSC-klagomål mail.docx", "A 34069-2025")</f>
        <v/>
      </c>
      <c r="X331">
        <f>HYPERLINK("https://klasma.github.io/Logging_1981/tillsyn/A 34069-2025 tillsynsbegäran.docx", "A 34069-2025")</f>
        <v/>
      </c>
      <c r="Y331">
        <f>HYPERLINK("https://klasma.github.io/Logging_1981/tillsynsmail/A 34069-2025 tillsynsbegäran mail.docx", "A 34069-2025")</f>
        <v/>
      </c>
    </row>
    <row r="332" ht="15" customHeight="1">
      <c r="A332" t="inlineStr">
        <is>
          <t>A 35410-2022</t>
        </is>
      </c>
      <c r="B332" s="1" t="n">
        <v>44798.62576388889</v>
      </c>
      <c r="C332" s="1" t="n">
        <v>46142</v>
      </c>
      <c r="D332" t="inlineStr">
        <is>
          <t>VÄSTMANLANDS LÄN</t>
        </is>
      </c>
      <c r="E332" t="inlineStr">
        <is>
          <t>SALA</t>
        </is>
      </c>
      <c r="G332" t="n">
        <v>1.6</v>
      </c>
      <c r="H332" t="n">
        <v>0</v>
      </c>
      <c r="I332" t="n">
        <v>0</v>
      </c>
      <c r="J332" t="n">
        <v>0</v>
      </c>
      <c r="K332" t="n">
        <v>0</v>
      </c>
      <c r="L332" t="n">
        <v>0</v>
      </c>
      <c r="M332" t="n">
        <v>0</v>
      </c>
      <c r="N332" t="n">
        <v>0</v>
      </c>
      <c r="O332" t="n">
        <v>0</v>
      </c>
      <c r="P332" t="n">
        <v>0</v>
      </c>
      <c r="Q332" t="n">
        <v>0</v>
      </c>
      <c r="R332" s="2" t="inlineStr"/>
    </row>
    <row r="333" ht="15" customHeight="1">
      <c r="A333" t="inlineStr">
        <is>
          <t>A 40556-2025</t>
        </is>
      </c>
      <c r="B333" s="1" t="n">
        <v>45896.44944444444</v>
      </c>
      <c r="C333" s="1" t="n">
        <v>46142</v>
      </c>
      <c r="D333" t="inlineStr">
        <is>
          <t>VÄSTMANLANDS LÄN</t>
        </is>
      </c>
      <c r="E333" t="inlineStr">
        <is>
          <t>SALA</t>
        </is>
      </c>
      <c r="G333" t="n">
        <v>1.9</v>
      </c>
      <c r="H333" t="n">
        <v>0</v>
      </c>
      <c r="I333" t="n">
        <v>0</v>
      </c>
      <c r="J333" t="n">
        <v>0</v>
      </c>
      <c r="K333" t="n">
        <v>0</v>
      </c>
      <c r="L333" t="n">
        <v>0</v>
      </c>
      <c r="M333" t="n">
        <v>0</v>
      </c>
      <c r="N333" t="n">
        <v>0</v>
      </c>
      <c r="O333" t="n">
        <v>0</v>
      </c>
      <c r="P333" t="n">
        <v>0</v>
      </c>
      <c r="Q333" t="n">
        <v>0</v>
      </c>
      <c r="R333" s="2" t="inlineStr"/>
    </row>
    <row r="334" ht="15" customHeight="1">
      <c r="A334" t="inlineStr">
        <is>
          <t>A 16354-2026</t>
        </is>
      </c>
      <c r="B334" s="1" t="n">
        <v>46111.5968287037</v>
      </c>
      <c r="C334" s="1" t="n">
        <v>46142</v>
      </c>
      <c r="D334" t="inlineStr">
        <is>
          <t>VÄSTMANLANDS LÄN</t>
        </is>
      </c>
      <c r="E334" t="inlineStr">
        <is>
          <t>SALA</t>
        </is>
      </c>
      <c r="G334" t="n">
        <v>5.2</v>
      </c>
      <c r="H334" t="n">
        <v>0</v>
      </c>
      <c r="I334" t="n">
        <v>0</v>
      </c>
      <c r="J334" t="n">
        <v>0</v>
      </c>
      <c r="K334" t="n">
        <v>0</v>
      </c>
      <c r="L334" t="n">
        <v>0</v>
      </c>
      <c r="M334" t="n">
        <v>0</v>
      </c>
      <c r="N334" t="n">
        <v>0</v>
      </c>
      <c r="O334" t="n">
        <v>0</v>
      </c>
      <c r="P334" t="n">
        <v>0</v>
      </c>
      <c r="Q334" t="n">
        <v>0</v>
      </c>
      <c r="R334" s="2" t="inlineStr"/>
    </row>
    <row r="335" ht="15" customHeight="1">
      <c r="A335" t="inlineStr">
        <is>
          <t>A 16598-2026</t>
        </is>
      </c>
      <c r="B335" s="1" t="n">
        <v>46112.59598379629</v>
      </c>
      <c r="C335" s="1" t="n">
        <v>46142</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15744-2025</t>
        </is>
      </c>
      <c r="B336" s="1" t="n">
        <v>45748</v>
      </c>
      <c r="C336" s="1" t="n">
        <v>46142</v>
      </c>
      <c r="D336" t="inlineStr">
        <is>
          <t>VÄSTMANLANDS LÄN</t>
        </is>
      </c>
      <c r="E336" t="inlineStr">
        <is>
          <t>SALA</t>
        </is>
      </c>
      <c r="G336" t="n">
        <v>1.6</v>
      </c>
      <c r="H336" t="n">
        <v>0</v>
      </c>
      <c r="I336" t="n">
        <v>0</v>
      </c>
      <c r="J336" t="n">
        <v>0</v>
      </c>
      <c r="K336" t="n">
        <v>0</v>
      </c>
      <c r="L336" t="n">
        <v>0</v>
      </c>
      <c r="M336" t="n">
        <v>0</v>
      </c>
      <c r="N336" t="n">
        <v>0</v>
      </c>
      <c r="O336" t="n">
        <v>0</v>
      </c>
      <c r="P336" t="n">
        <v>0</v>
      </c>
      <c r="Q336" t="n">
        <v>0</v>
      </c>
      <c r="R336" s="2" t="inlineStr"/>
    </row>
    <row r="337" ht="15" customHeight="1">
      <c r="A337" t="inlineStr">
        <is>
          <t>A 40559-2025</t>
        </is>
      </c>
      <c r="B337" s="1" t="n">
        <v>45896.45037037037</v>
      </c>
      <c r="C337" s="1" t="n">
        <v>46142</v>
      </c>
      <c r="D337" t="inlineStr">
        <is>
          <t>VÄSTMANLANDS LÄN</t>
        </is>
      </c>
      <c r="E337" t="inlineStr">
        <is>
          <t>SALA</t>
        </is>
      </c>
      <c r="G337" t="n">
        <v>0.9</v>
      </c>
      <c r="H337" t="n">
        <v>0</v>
      </c>
      <c r="I337" t="n">
        <v>0</v>
      </c>
      <c r="J337" t="n">
        <v>0</v>
      </c>
      <c r="K337" t="n">
        <v>0</v>
      </c>
      <c r="L337" t="n">
        <v>0</v>
      </c>
      <c r="M337" t="n">
        <v>0</v>
      </c>
      <c r="N337" t="n">
        <v>0</v>
      </c>
      <c r="O337" t="n">
        <v>0</v>
      </c>
      <c r="P337" t="n">
        <v>0</v>
      </c>
      <c r="Q337" t="n">
        <v>0</v>
      </c>
      <c r="R337" s="2" t="inlineStr"/>
    </row>
    <row r="338" ht="15" customHeight="1">
      <c r="A338" t="inlineStr">
        <is>
          <t>A 21159-2022</t>
        </is>
      </c>
      <c r="B338" s="1" t="n">
        <v>44704</v>
      </c>
      <c r="C338" s="1" t="n">
        <v>46142</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16367-2026</t>
        </is>
      </c>
      <c r="B339" s="1" t="n">
        <v>46111.61380787037</v>
      </c>
      <c r="C339" s="1" t="n">
        <v>46142</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16369-2026</t>
        </is>
      </c>
      <c r="B340" s="1" t="n">
        <v>46111</v>
      </c>
      <c r="C340" s="1" t="n">
        <v>46142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16364-2026</t>
        </is>
      </c>
      <c r="B341" s="1" t="n">
        <v>46111.6115625</v>
      </c>
      <c r="C341" s="1" t="n">
        <v>46142</v>
      </c>
      <c r="D341" t="inlineStr">
        <is>
          <t>VÄSTMANLANDS LÄN</t>
        </is>
      </c>
      <c r="E341" t="inlineStr">
        <is>
          <t>SALA</t>
        </is>
      </c>
      <c r="G341" t="n">
        <v>4.7</v>
      </c>
      <c r="H341" t="n">
        <v>0</v>
      </c>
      <c r="I341" t="n">
        <v>0</v>
      </c>
      <c r="J341" t="n">
        <v>0</v>
      </c>
      <c r="K341" t="n">
        <v>0</v>
      </c>
      <c r="L341" t="n">
        <v>0</v>
      </c>
      <c r="M341" t="n">
        <v>0</v>
      </c>
      <c r="N341" t="n">
        <v>0</v>
      </c>
      <c r="O341" t="n">
        <v>0</v>
      </c>
      <c r="P341" t="n">
        <v>0</v>
      </c>
      <c r="Q341" t="n">
        <v>0</v>
      </c>
      <c r="R341" s="2" t="inlineStr"/>
    </row>
    <row r="342" ht="15" customHeight="1">
      <c r="A342" t="inlineStr">
        <is>
          <t>A 40620-2025</t>
        </is>
      </c>
      <c r="B342" s="1" t="n">
        <v>45896.58609953704</v>
      </c>
      <c r="C342" s="1" t="n">
        <v>46142</v>
      </c>
      <c r="D342" t="inlineStr">
        <is>
          <t>VÄSTMANLANDS LÄN</t>
        </is>
      </c>
      <c r="E342" t="inlineStr">
        <is>
          <t>SALA</t>
        </is>
      </c>
      <c r="G342" t="n">
        <v>6.7</v>
      </c>
      <c r="H342" t="n">
        <v>0</v>
      </c>
      <c r="I342" t="n">
        <v>0</v>
      </c>
      <c r="J342" t="n">
        <v>0</v>
      </c>
      <c r="K342" t="n">
        <v>0</v>
      </c>
      <c r="L342" t="n">
        <v>0</v>
      </c>
      <c r="M342" t="n">
        <v>0</v>
      </c>
      <c r="N342" t="n">
        <v>0</v>
      </c>
      <c r="O342" t="n">
        <v>0</v>
      </c>
      <c r="P342" t="n">
        <v>0</v>
      </c>
      <c r="Q342" t="n">
        <v>0</v>
      </c>
      <c r="R342" s="2" t="inlineStr"/>
    </row>
    <row r="343" ht="15" customHeight="1">
      <c r="A343" t="inlineStr">
        <is>
          <t>A 41292-2021</t>
        </is>
      </c>
      <c r="B343" s="1" t="n">
        <v>44424</v>
      </c>
      <c r="C343" s="1" t="n">
        <v>46142</v>
      </c>
      <c r="D343" t="inlineStr">
        <is>
          <t>VÄSTMANLANDS LÄN</t>
        </is>
      </c>
      <c r="E343" t="inlineStr">
        <is>
          <t>SALA</t>
        </is>
      </c>
      <c r="G343" t="n">
        <v>0.3</v>
      </c>
      <c r="H343" t="n">
        <v>0</v>
      </c>
      <c r="I343" t="n">
        <v>0</v>
      </c>
      <c r="J343" t="n">
        <v>0</v>
      </c>
      <c r="K343" t="n">
        <v>0</v>
      </c>
      <c r="L343" t="n">
        <v>0</v>
      </c>
      <c r="M343" t="n">
        <v>0</v>
      </c>
      <c r="N343" t="n">
        <v>0</v>
      </c>
      <c r="O343" t="n">
        <v>0</v>
      </c>
      <c r="P343" t="n">
        <v>0</v>
      </c>
      <c r="Q343" t="n">
        <v>0</v>
      </c>
      <c r="R343" s="2" t="inlineStr"/>
    </row>
    <row r="344" ht="15" customHeight="1">
      <c r="A344" t="inlineStr">
        <is>
          <t>A 60328-2024</t>
        </is>
      </c>
      <c r="B344" s="1" t="n">
        <v>45643.38416666666</v>
      </c>
      <c r="C344" s="1" t="n">
        <v>46142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33273-2023</t>
        </is>
      </c>
      <c r="B345" s="1" t="n">
        <v>45127</v>
      </c>
      <c r="C345" s="1" t="n">
        <v>46142</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35715-2025</t>
        </is>
      </c>
      <c r="B346" s="1" t="n">
        <v>45860.42148148148</v>
      </c>
      <c r="C346" s="1" t="n">
        <v>46142</v>
      </c>
      <c r="D346" t="inlineStr">
        <is>
          <t>VÄSTMANLANDS LÄN</t>
        </is>
      </c>
      <c r="E346" t="inlineStr">
        <is>
          <t>SALA</t>
        </is>
      </c>
      <c r="G346" t="n">
        <v>3.8</v>
      </c>
      <c r="H346" t="n">
        <v>0</v>
      </c>
      <c r="I346" t="n">
        <v>0</v>
      </c>
      <c r="J346" t="n">
        <v>0</v>
      </c>
      <c r="K346" t="n">
        <v>0</v>
      </c>
      <c r="L346" t="n">
        <v>0</v>
      </c>
      <c r="M346" t="n">
        <v>0</v>
      </c>
      <c r="N346" t="n">
        <v>0</v>
      </c>
      <c r="O346" t="n">
        <v>0</v>
      </c>
      <c r="P346" t="n">
        <v>0</v>
      </c>
      <c r="Q346" t="n">
        <v>0</v>
      </c>
      <c r="R346" s="2" t="inlineStr"/>
    </row>
    <row r="347" ht="15" customHeight="1">
      <c r="A347" t="inlineStr">
        <is>
          <t>A 35651-2025</t>
        </is>
      </c>
      <c r="B347" s="1" t="n">
        <v>45859.52435185185</v>
      </c>
      <c r="C347" s="1" t="n">
        <v>46142</v>
      </c>
      <c r="D347" t="inlineStr">
        <is>
          <t>VÄSTMANLANDS LÄN</t>
        </is>
      </c>
      <c r="E347" t="inlineStr">
        <is>
          <t>SALA</t>
        </is>
      </c>
      <c r="G347" t="n">
        <v>6.3</v>
      </c>
      <c r="H347" t="n">
        <v>0</v>
      </c>
      <c r="I347" t="n">
        <v>0</v>
      </c>
      <c r="J347" t="n">
        <v>0</v>
      </c>
      <c r="K347" t="n">
        <v>0</v>
      </c>
      <c r="L347" t="n">
        <v>0</v>
      </c>
      <c r="M347" t="n">
        <v>0</v>
      </c>
      <c r="N347" t="n">
        <v>0</v>
      </c>
      <c r="O347" t="n">
        <v>0</v>
      </c>
      <c r="P347" t="n">
        <v>0</v>
      </c>
      <c r="Q347" t="n">
        <v>0</v>
      </c>
      <c r="R347" s="2" t="inlineStr"/>
    </row>
    <row r="348" ht="15" customHeight="1">
      <c r="A348" t="inlineStr">
        <is>
          <t>A 35775-2025</t>
        </is>
      </c>
      <c r="B348" s="1" t="n">
        <v>45860</v>
      </c>
      <c r="C348" s="1" t="n">
        <v>46142</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52827-2024</t>
        </is>
      </c>
      <c r="B349" s="1" t="n">
        <v>45610</v>
      </c>
      <c r="C349" s="1" t="n">
        <v>46142</v>
      </c>
      <c r="D349" t="inlineStr">
        <is>
          <t>VÄSTMANLANDS LÄN</t>
        </is>
      </c>
      <c r="E349" t="inlineStr">
        <is>
          <t>SALA</t>
        </is>
      </c>
      <c r="G349" t="n">
        <v>0.2</v>
      </c>
      <c r="H349" t="n">
        <v>0</v>
      </c>
      <c r="I349" t="n">
        <v>0</v>
      </c>
      <c r="J349" t="n">
        <v>0</v>
      </c>
      <c r="K349" t="n">
        <v>0</v>
      </c>
      <c r="L349" t="n">
        <v>0</v>
      </c>
      <c r="M349" t="n">
        <v>0</v>
      </c>
      <c r="N349" t="n">
        <v>0</v>
      </c>
      <c r="O349" t="n">
        <v>0</v>
      </c>
      <c r="P349" t="n">
        <v>0</v>
      </c>
      <c r="Q349" t="n">
        <v>0</v>
      </c>
      <c r="R349" s="2" t="inlineStr"/>
    </row>
    <row r="350" ht="15" customHeight="1">
      <c r="A350" t="inlineStr">
        <is>
          <t>A 35774-2025</t>
        </is>
      </c>
      <c r="B350" s="1" t="n">
        <v>45860.68780092592</v>
      </c>
      <c r="C350" s="1" t="n">
        <v>46142</v>
      </c>
      <c r="D350" t="inlineStr">
        <is>
          <t>VÄSTMANLANDS LÄN</t>
        </is>
      </c>
      <c r="E350" t="inlineStr">
        <is>
          <t>SALA</t>
        </is>
      </c>
      <c r="G350" t="n">
        <v>6.5</v>
      </c>
      <c r="H350" t="n">
        <v>0</v>
      </c>
      <c r="I350" t="n">
        <v>0</v>
      </c>
      <c r="J350" t="n">
        <v>0</v>
      </c>
      <c r="K350" t="n">
        <v>0</v>
      </c>
      <c r="L350" t="n">
        <v>0</v>
      </c>
      <c r="M350" t="n">
        <v>0</v>
      </c>
      <c r="N350" t="n">
        <v>0</v>
      </c>
      <c r="O350" t="n">
        <v>0</v>
      </c>
      <c r="P350" t="n">
        <v>0</v>
      </c>
      <c r="Q350" t="n">
        <v>0</v>
      </c>
      <c r="R350" s="2" t="inlineStr"/>
    </row>
    <row r="351" ht="15" customHeight="1">
      <c r="A351" t="inlineStr">
        <is>
          <t>A 53166-2024</t>
        </is>
      </c>
      <c r="B351" s="1" t="n">
        <v>45611</v>
      </c>
      <c r="C351" s="1" t="n">
        <v>46142</v>
      </c>
      <c r="D351" t="inlineStr">
        <is>
          <t>VÄSTMANLANDS LÄN</t>
        </is>
      </c>
      <c r="E351" t="inlineStr">
        <is>
          <t>SALA</t>
        </is>
      </c>
      <c r="G351" t="n">
        <v>1.5</v>
      </c>
      <c r="H351" t="n">
        <v>0</v>
      </c>
      <c r="I351" t="n">
        <v>0</v>
      </c>
      <c r="J351" t="n">
        <v>0</v>
      </c>
      <c r="K351" t="n">
        <v>0</v>
      </c>
      <c r="L351" t="n">
        <v>0</v>
      </c>
      <c r="M351" t="n">
        <v>0</v>
      </c>
      <c r="N351" t="n">
        <v>0</v>
      </c>
      <c r="O351" t="n">
        <v>0</v>
      </c>
      <c r="P351" t="n">
        <v>0</v>
      </c>
      <c r="Q351" t="n">
        <v>0</v>
      </c>
      <c r="R351" s="2" t="inlineStr"/>
    </row>
    <row r="352" ht="15" customHeight="1">
      <c r="A352" t="inlineStr">
        <is>
          <t>A 35776-2025</t>
        </is>
      </c>
      <c r="B352" s="1" t="n">
        <v>45860.69211805556</v>
      </c>
      <c r="C352" s="1" t="n">
        <v>46142</v>
      </c>
      <c r="D352" t="inlineStr">
        <is>
          <t>VÄSTMANLANDS LÄN</t>
        </is>
      </c>
      <c r="E352" t="inlineStr">
        <is>
          <t>SALA</t>
        </is>
      </c>
      <c r="G352" t="n">
        <v>14.2</v>
      </c>
      <c r="H352" t="n">
        <v>0</v>
      </c>
      <c r="I352" t="n">
        <v>0</v>
      </c>
      <c r="J352" t="n">
        <v>0</v>
      </c>
      <c r="K352" t="n">
        <v>0</v>
      </c>
      <c r="L352" t="n">
        <v>0</v>
      </c>
      <c r="M352" t="n">
        <v>0</v>
      </c>
      <c r="N352" t="n">
        <v>0</v>
      </c>
      <c r="O352" t="n">
        <v>0</v>
      </c>
      <c r="P352" t="n">
        <v>0</v>
      </c>
      <c r="Q352" t="n">
        <v>0</v>
      </c>
      <c r="R352" s="2" t="inlineStr"/>
    </row>
    <row r="353" ht="15" customHeight="1">
      <c r="A353" t="inlineStr">
        <is>
          <t>A 35779-2025</t>
        </is>
      </c>
      <c r="B353" s="1" t="n">
        <v>45860.69495370371</v>
      </c>
      <c r="C353" s="1" t="n">
        <v>46142</v>
      </c>
      <c r="D353" t="inlineStr">
        <is>
          <t>VÄSTMANLANDS LÄN</t>
        </is>
      </c>
      <c r="E353" t="inlineStr">
        <is>
          <t>SALA</t>
        </is>
      </c>
      <c r="G353" t="n">
        <v>2.4</v>
      </c>
      <c r="H353" t="n">
        <v>0</v>
      </c>
      <c r="I353" t="n">
        <v>0</v>
      </c>
      <c r="J353" t="n">
        <v>0</v>
      </c>
      <c r="K353" t="n">
        <v>0</v>
      </c>
      <c r="L353" t="n">
        <v>0</v>
      </c>
      <c r="M353" t="n">
        <v>0</v>
      </c>
      <c r="N353" t="n">
        <v>0</v>
      </c>
      <c r="O353" t="n">
        <v>0</v>
      </c>
      <c r="P353" t="n">
        <v>0</v>
      </c>
      <c r="Q353" t="n">
        <v>0</v>
      </c>
      <c r="R353" s="2" t="inlineStr"/>
    </row>
    <row r="354" ht="15" customHeight="1">
      <c r="A354" t="inlineStr">
        <is>
          <t>A 11244-2024</t>
        </is>
      </c>
      <c r="B354" s="1" t="n">
        <v>45371</v>
      </c>
      <c r="C354" s="1" t="n">
        <v>46142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62654-2022</t>
        </is>
      </c>
      <c r="B355" s="1" t="n">
        <v>44917</v>
      </c>
      <c r="C355" s="1" t="n">
        <v>46142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6135-2023</t>
        </is>
      </c>
      <c r="B356" s="1" t="n">
        <v>44964.62628472222</v>
      </c>
      <c r="C356" s="1" t="n">
        <v>46142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53864-2022</t>
        </is>
      </c>
      <c r="B357" s="1" t="n">
        <v>44880.64016203704</v>
      </c>
      <c r="C357" s="1" t="n">
        <v>46142</v>
      </c>
      <c r="D357" t="inlineStr">
        <is>
          <t>VÄSTMANLANDS LÄN</t>
        </is>
      </c>
      <c r="E357" t="inlineStr">
        <is>
          <t>SALA</t>
        </is>
      </c>
      <c r="G357" t="n">
        <v>5.9</v>
      </c>
      <c r="H357" t="n">
        <v>0</v>
      </c>
      <c r="I357" t="n">
        <v>0</v>
      </c>
      <c r="J357" t="n">
        <v>0</v>
      </c>
      <c r="K357" t="n">
        <v>0</v>
      </c>
      <c r="L357" t="n">
        <v>0</v>
      </c>
      <c r="M357" t="n">
        <v>0</v>
      </c>
      <c r="N357" t="n">
        <v>0</v>
      </c>
      <c r="O357" t="n">
        <v>0</v>
      </c>
      <c r="P357" t="n">
        <v>0</v>
      </c>
      <c r="Q357" t="n">
        <v>0</v>
      </c>
      <c r="R357" s="2" t="inlineStr"/>
    </row>
    <row r="358" ht="15" customHeight="1">
      <c r="A358" t="inlineStr">
        <is>
          <t>A 27255-2023</t>
        </is>
      </c>
      <c r="B358" s="1" t="n">
        <v>45096</v>
      </c>
      <c r="C358" s="1" t="n">
        <v>46142</v>
      </c>
      <c r="D358" t="inlineStr">
        <is>
          <t>VÄSTMANLANDS LÄN</t>
        </is>
      </c>
      <c r="E358" t="inlineStr">
        <is>
          <t>SALA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10245-2026</t>
        </is>
      </c>
      <c r="B359" s="1" t="n">
        <v>46076.55144675926</v>
      </c>
      <c r="C359" s="1" t="n">
        <v>46142</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10252-2026</t>
        </is>
      </c>
      <c r="B360" s="1" t="n">
        <v>46076.55700231482</v>
      </c>
      <c r="C360" s="1" t="n">
        <v>46142</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41230-2025</t>
        </is>
      </c>
      <c r="B361" s="1" t="n">
        <v>45898</v>
      </c>
      <c r="C361" s="1" t="n">
        <v>46142</v>
      </c>
      <c r="D361" t="inlineStr">
        <is>
          <t>VÄSTMANLANDS LÄN</t>
        </is>
      </c>
      <c r="E361" t="inlineStr">
        <is>
          <t>SALA</t>
        </is>
      </c>
      <c r="G361" t="n">
        <v>2.3</v>
      </c>
      <c r="H361" t="n">
        <v>0</v>
      </c>
      <c r="I361" t="n">
        <v>0</v>
      </c>
      <c r="J361" t="n">
        <v>0</v>
      </c>
      <c r="K361" t="n">
        <v>0</v>
      </c>
      <c r="L361" t="n">
        <v>0</v>
      </c>
      <c r="M361" t="n">
        <v>0</v>
      </c>
      <c r="N361" t="n">
        <v>0</v>
      </c>
      <c r="O361" t="n">
        <v>0</v>
      </c>
      <c r="P361" t="n">
        <v>0</v>
      </c>
      <c r="Q361" t="n">
        <v>0</v>
      </c>
      <c r="R361" s="2" t="inlineStr"/>
    </row>
    <row r="362" ht="15" customHeight="1">
      <c r="A362" t="inlineStr">
        <is>
          <t>A 36049-2025</t>
        </is>
      </c>
      <c r="B362" s="1" t="n">
        <v>45866.37065972222</v>
      </c>
      <c r="C362" s="1" t="n">
        <v>46142</v>
      </c>
      <c r="D362" t="inlineStr">
        <is>
          <t>VÄSTMANLANDS LÄN</t>
        </is>
      </c>
      <c r="E362" t="inlineStr">
        <is>
          <t>SALA</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10239-2026</t>
        </is>
      </c>
      <c r="B363" s="1" t="n">
        <v>46076.54824074074</v>
      </c>
      <c r="C363" s="1" t="n">
        <v>46142</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36031-2025</t>
        </is>
      </c>
      <c r="B364" s="1" t="n">
        <v>45865.46111111111</v>
      </c>
      <c r="C364" s="1" t="n">
        <v>46142</v>
      </c>
      <c r="D364" t="inlineStr">
        <is>
          <t>VÄSTMANLANDS LÄN</t>
        </is>
      </c>
      <c r="E364" t="inlineStr">
        <is>
          <t>SALA</t>
        </is>
      </c>
      <c r="G364" t="n">
        <v>7.2</v>
      </c>
      <c r="H364" t="n">
        <v>0</v>
      </c>
      <c r="I364" t="n">
        <v>0</v>
      </c>
      <c r="J364" t="n">
        <v>0</v>
      </c>
      <c r="K364" t="n">
        <v>0</v>
      </c>
      <c r="L364" t="n">
        <v>0</v>
      </c>
      <c r="M364" t="n">
        <v>0</v>
      </c>
      <c r="N364" t="n">
        <v>0</v>
      </c>
      <c r="O364" t="n">
        <v>0</v>
      </c>
      <c r="P364" t="n">
        <v>0</v>
      </c>
      <c r="Q364" t="n">
        <v>0</v>
      </c>
      <c r="R364" s="2" t="inlineStr"/>
    </row>
    <row r="365" ht="15" customHeight="1">
      <c r="A365" t="inlineStr">
        <is>
          <t>A 36060-2025</t>
        </is>
      </c>
      <c r="B365" s="1" t="n">
        <v>45866.39469907407</v>
      </c>
      <c r="C365" s="1" t="n">
        <v>46142</v>
      </c>
      <c r="D365" t="inlineStr">
        <is>
          <t>VÄSTMANLANDS LÄN</t>
        </is>
      </c>
      <c r="E365" t="inlineStr">
        <is>
          <t>SALA</t>
        </is>
      </c>
      <c r="F365" t="inlineStr">
        <is>
          <t>Kommuner</t>
        </is>
      </c>
      <c r="G365" t="n">
        <v>4.3</v>
      </c>
      <c r="H365" t="n">
        <v>0</v>
      </c>
      <c r="I365" t="n">
        <v>0</v>
      </c>
      <c r="J365" t="n">
        <v>0</v>
      </c>
      <c r="K365" t="n">
        <v>0</v>
      </c>
      <c r="L365" t="n">
        <v>0</v>
      </c>
      <c r="M365" t="n">
        <v>0</v>
      </c>
      <c r="N365" t="n">
        <v>0</v>
      </c>
      <c r="O365" t="n">
        <v>0</v>
      </c>
      <c r="P365" t="n">
        <v>0</v>
      </c>
      <c r="Q365" t="n">
        <v>0</v>
      </c>
      <c r="R365" s="2" t="inlineStr"/>
    </row>
    <row r="366" ht="15" customHeight="1">
      <c r="A366" t="inlineStr">
        <is>
          <t>A 60034-2024</t>
        </is>
      </c>
      <c r="B366" s="1" t="n">
        <v>45642.46261574074</v>
      </c>
      <c r="C366" s="1" t="n">
        <v>46142</v>
      </c>
      <c r="D366" t="inlineStr">
        <is>
          <t>VÄSTMANLANDS LÄN</t>
        </is>
      </c>
      <c r="E366" t="inlineStr">
        <is>
          <t>SALA</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3810-2023</t>
        </is>
      </c>
      <c r="B367" s="1" t="n">
        <v>44951.60454861111</v>
      </c>
      <c r="C367" s="1" t="n">
        <v>46142</v>
      </c>
      <c r="D367" t="inlineStr">
        <is>
          <t>VÄSTMANLANDS LÄN</t>
        </is>
      </c>
      <c r="E367" t="inlineStr">
        <is>
          <t>SALA</t>
        </is>
      </c>
      <c r="G367" t="n">
        <v>4.2</v>
      </c>
      <c r="H367" t="n">
        <v>0</v>
      </c>
      <c r="I367" t="n">
        <v>0</v>
      </c>
      <c r="J367" t="n">
        <v>0</v>
      </c>
      <c r="K367" t="n">
        <v>0</v>
      </c>
      <c r="L367" t="n">
        <v>0</v>
      </c>
      <c r="M367" t="n">
        <v>0</v>
      </c>
      <c r="N367" t="n">
        <v>0</v>
      </c>
      <c r="O367" t="n">
        <v>0</v>
      </c>
      <c r="P367" t="n">
        <v>0</v>
      </c>
      <c r="Q367" t="n">
        <v>0</v>
      </c>
      <c r="R367" s="2" t="inlineStr"/>
    </row>
    <row r="368" ht="15" customHeight="1">
      <c r="A368" t="inlineStr">
        <is>
          <t>A 36032-2025</t>
        </is>
      </c>
      <c r="B368" s="1" t="n">
        <v>45865.48740740741</v>
      </c>
      <c r="C368" s="1" t="n">
        <v>46142</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36043-2025</t>
        </is>
      </c>
      <c r="B369" s="1" t="n">
        <v>45866.35333333333</v>
      </c>
      <c r="C369" s="1" t="n">
        <v>46142</v>
      </c>
      <c r="D369" t="inlineStr">
        <is>
          <t>VÄSTMANLANDS LÄN</t>
        </is>
      </c>
      <c r="E369" t="inlineStr">
        <is>
          <t>SALA</t>
        </is>
      </c>
      <c r="F369" t="inlineStr">
        <is>
          <t>Kommuner</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36045-2025</t>
        </is>
      </c>
      <c r="B370" s="1" t="n">
        <v>45866.36200231482</v>
      </c>
      <c r="C370" s="1" t="n">
        <v>46142</v>
      </c>
      <c r="D370" t="inlineStr">
        <is>
          <t>VÄSTMANLANDS LÄN</t>
        </is>
      </c>
      <c r="E370" t="inlineStr">
        <is>
          <t>SALA</t>
        </is>
      </c>
      <c r="F370" t="inlineStr">
        <is>
          <t>Kommuner</t>
        </is>
      </c>
      <c r="G370" t="n">
        <v>1.7</v>
      </c>
      <c r="H370" t="n">
        <v>0</v>
      </c>
      <c r="I370" t="n">
        <v>0</v>
      </c>
      <c r="J370" t="n">
        <v>0</v>
      </c>
      <c r="K370" t="n">
        <v>0</v>
      </c>
      <c r="L370" t="n">
        <v>0</v>
      </c>
      <c r="M370" t="n">
        <v>0</v>
      </c>
      <c r="N370" t="n">
        <v>0</v>
      </c>
      <c r="O370" t="n">
        <v>0</v>
      </c>
      <c r="P370" t="n">
        <v>0</v>
      </c>
      <c r="Q370" t="n">
        <v>0</v>
      </c>
      <c r="R370" s="2" t="inlineStr"/>
    </row>
    <row r="371" ht="15" customHeight="1">
      <c r="A371" t="inlineStr">
        <is>
          <t>A 52503-2024</t>
        </is>
      </c>
      <c r="B371" s="1" t="n">
        <v>45609.58806712963</v>
      </c>
      <c r="C371" s="1" t="n">
        <v>46142</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2521-2025</t>
        </is>
      </c>
      <c r="B372" s="1" t="n">
        <v>45674</v>
      </c>
      <c r="C372" s="1" t="n">
        <v>46142</v>
      </c>
      <c r="D372" t="inlineStr">
        <is>
          <t>VÄSTMANLANDS LÄN</t>
        </is>
      </c>
      <c r="E372" t="inlineStr">
        <is>
          <t>SALA</t>
        </is>
      </c>
      <c r="G372" t="n">
        <v>3.5</v>
      </c>
      <c r="H372" t="n">
        <v>0</v>
      </c>
      <c r="I372" t="n">
        <v>0</v>
      </c>
      <c r="J372" t="n">
        <v>0</v>
      </c>
      <c r="K372" t="n">
        <v>0</v>
      </c>
      <c r="L372" t="n">
        <v>0</v>
      </c>
      <c r="M372" t="n">
        <v>0</v>
      </c>
      <c r="N372" t="n">
        <v>0</v>
      </c>
      <c r="O372" t="n">
        <v>0</v>
      </c>
      <c r="P372" t="n">
        <v>0</v>
      </c>
      <c r="Q372" t="n">
        <v>0</v>
      </c>
      <c r="R372" s="2" t="inlineStr"/>
    </row>
    <row r="373" ht="15" customHeight="1">
      <c r="A373" t="inlineStr">
        <is>
          <t>A 17985-2025</t>
        </is>
      </c>
      <c r="B373" s="1" t="n">
        <v>45761</v>
      </c>
      <c r="C373" s="1" t="n">
        <v>46142</v>
      </c>
      <c r="D373" t="inlineStr">
        <is>
          <t>VÄSTMANLANDS LÄN</t>
        </is>
      </c>
      <c r="E373" t="inlineStr">
        <is>
          <t>SALA</t>
        </is>
      </c>
      <c r="G373" t="n">
        <v>12.5</v>
      </c>
      <c r="H373" t="n">
        <v>0</v>
      </c>
      <c r="I373" t="n">
        <v>0</v>
      </c>
      <c r="J373" t="n">
        <v>0</v>
      </c>
      <c r="K373" t="n">
        <v>0</v>
      </c>
      <c r="L373" t="n">
        <v>0</v>
      </c>
      <c r="M373" t="n">
        <v>0</v>
      </c>
      <c r="N373" t="n">
        <v>0</v>
      </c>
      <c r="O373" t="n">
        <v>0</v>
      </c>
      <c r="P373" t="n">
        <v>0</v>
      </c>
      <c r="Q373" t="n">
        <v>0</v>
      </c>
      <c r="R373" s="2" t="inlineStr"/>
    </row>
    <row r="374" ht="15" customHeight="1">
      <c r="A374" t="inlineStr">
        <is>
          <t>A 31869-2025</t>
        </is>
      </c>
      <c r="B374" s="1" t="n">
        <v>45834.64555555556</v>
      </c>
      <c r="C374" s="1" t="n">
        <v>46142</v>
      </c>
      <c r="D374" t="inlineStr">
        <is>
          <t>VÄSTMANLANDS LÄN</t>
        </is>
      </c>
      <c r="E374" t="inlineStr">
        <is>
          <t>SALA</t>
        </is>
      </c>
      <c r="G374" t="n">
        <v>17.5</v>
      </c>
      <c r="H374" t="n">
        <v>0</v>
      </c>
      <c r="I374" t="n">
        <v>0</v>
      </c>
      <c r="J374" t="n">
        <v>0</v>
      </c>
      <c r="K374" t="n">
        <v>0</v>
      </c>
      <c r="L374" t="n">
        <v>0</v>
      </c>
      <c r="M374" t="n">
        <v>0</v>
      </c>
      <c r="N374" t="n">
        <v>0</v>
      </c>
      <c r="O374" t="n">
        <v>0</v>
      </c>
      <c r="P374" t="n">
        <v>0</v>
      </c>
      <c r="Q374" t="n">
        <v>0</v>
      </c>
      <c r="R374" s="2" t="inlineStr"/>
    </row>
    <row r="375" ht="15" customHeight="1">
      <c r="A375" t="inlineStr">
        <is>
          <t>A 31863-2025</t>
        </is>
      </c>
      <c r="B375" s="1" t="n">
        <v>45834.63303240741</v>
      </c>
      <c r="C375" s="1" t="n">
        <v>46142</v>
      </c>
      <c r="D375" t="inlineStr">
        <is>
          <t>VÄSTMANLANDS LÄN</t>
        </is>
      </c>
      <c r="E375" t="inlineStr">
        <is>
          <t>SALA</t>
        </is>
      </c>
      <c r="G375" t="n">
        <v>2.5</v>
      </c>
      <c r="H375" t="n">
        <v>0</v>
      </c>
      <c r="I375" t="n">
        <v>0</v>
      </c>
      <c r="J375" t="n">
        <v>0</v>
      </c>
      <c r="K375" t="n">
        <v>0</v>
      </c>
      <c r="L375" t="n">
        <v>0</v>
      </c>
      <c r="M375" t="n">
        <v>0</v>
      </c>
      <c r="N375" t="n">
        <v>0</v>
      </c>
      <c r="O375" t="n">
        <v>0</v>
      </c>
      <c r="P375" t="n">
        <v>0</v>
      </c>
      <c r="Q375" t="n">
        <v>0</v>
      </c>
      <c r="R375" s="2" t="inlineStr"/>
    </row>
    <row r="376" ht="15" customHeight="1">
      <c r="A376" t="inlineStr">
        <is>
          <t>A 41431-2025</t>
        </is>
      </c>
      <c r="B376" s="1" t="n">
        <v>45901.39347222223</v>
      </c>
      <c r="C376" s="1" t="n">
        <v>46142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31000-2022</t>
        </is>
      </c>
      <c r="B377" s="1" t="n">
        <v>44768</v>
      </c>
      <c r="C377" s="1" t="n">
        <v>46142</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17766-2025</t>
        </is>
      </c>
      <c r="B378" s="1" t="n">
        <v>45758</v>
      </c>
      <c r="C378" s="1" t="n">
        <v>46142</v>
      </c>
      <c r="D378" t="inlineStr">
        <is>
          <t>VÄSTMANLANDS LÄN</t>
        </is>
      </c>
      <c r="E378" t="inlineStr">
        <is>
          <t>SALA</t>
        </is>
      </c>
      <c r="G378" t="n">
        <v>16.5</v>
      </c>
      <c r="H378" t="n">
        <v>0</v>
      </c>
      <c r="I378" t="n">
        <v>0</v>
      </c>
      <c r="J378" t="n">
        <v>0</v>
      </c>
      <c r="K378" t="n">
        <v>0</v>
      </c>
      <c r="L378" t="n">
        <v>0</v>
      </c>
      <c r="M378" t="n">
        <v>0</v>
      </c>
      <c r="N378" t="n">
        <v>0</v>
      </c>
      <c r="O378" t="n">
        <v>0</v>
      </c>
      <c r="P378" t="n">
        <v>0</v>
      </c>
      <c r="Q378" t="n">
        <v>0</v>
      </c>
      <c r="R378" s="2" t="inlineStr"/>
    </row>
    <row r="379" ht="15" customHeight="1">
      <c r="A379" t="inlineStr">
        <is>
          <t>A 7664-2023</t>
        </is>
      </c>
      <c r="B379" s="1" t="n">
        <v>44972</v>
      </c>
      <c r="C379" s="1" t="n">
        <v>46142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3546-2025</t>
        </is>
      </c>
      <c r="B380" s="1" t="n">
        <v>45680</v>
      </c>
      <c r="C380" s="1" t="n">
        <v>46142</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41414-2025</t>
        </is>
      </c>
      <c r="B381" s="1" t="n">
        <v>45901.360625</v>
      </c>
      <c r="C381" s="1" t="n">
        <v>46142</v>
      </c>
      <c r="D381" t="inlineStr">
        <is>
          <t>VÄSTMANLANDS LÄN</t>
        </is>
      </c>
      <c r="E381" t="inlineStr">
        <is>
          <t>SALA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53164-2024</t>
        </is>
      </c>
      <c r="B382" s="1" t="n">
        <v>45611.64887731482</v>
      </c>
      <c r="C382" s="1" t="n">
        <v>46142</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31950-2023</t>
        </is>
      </c>
      <c r="B383" s="1" t="n">
        <v>45107</v>
      </c>
      <c r="C383" s="1" t="n">
        <v>46142</v>
      </c>
      <c r="D383" t="inlineStr">
        <is>
          <t>VÄSTMANLANDS LÄN</t>
        </is>
      </c>
      <c r="E383" t="inlineStr">
        <is>
          <t>SALA</t>
        </is>
      </c>
      <c r="G383" t="n">
        <v>0.1</v>
      </c>
      <c r="H383" t="n">
        <v>0</v>
      </c>
      <c r="I383" t="n">
        <v>0</v>
      </c>
      <c r="J383" t="n">
        <v>0</v>
      </c>
      <c r="K383" t="n">
        <v>0</v>
      </c>
      <c r="L383" t="n">
        <v>0</v>
      </c>
      <c r="M383" t="n">
        <v>0</v>
      </c>
      <c r="N383" t="n">
        <v>0</v>
      </c>
      <c r="O383" t="n">
        <v>0</v>
      </c>
      <c r="P383" t="n">
        <v>0</v>
      </c>
      <c r="Q383" t="n">
        <v>0</v>
      </c>
      <c r="R383" s="2" t="inlineStr"/>
    </row>
    <row r="384" ht="15" customHeight="1">
      <c r="A384" t="inlineStr">
        <is>
          <t>A 61717-2024</t>
        </is>
      </c>
      <c r="B384" s="1" t="n">
        <v>45648</v>
      </c>
      <c r="C384" s="1" t="n">
        <v>46142</v>
      </c>
      <c r="D384" t="inlineStr">
        <is>
          <t>VÄSTMANLANDS LÄN</t>
        </is>
      </c>
      <c r="E384" t="inlineStr">
        <is>
          <t>SALA</t>
        </is>
      </c>
      <c r="G384" t="n">
        <v>3.7</v>
      </c>
      <c r="H384" t="n">
        <v>0</v>
      </c>
      <c r="I384" t="n">
        <v>0</v>
      </c>
      <c r="J384" t="n">
        <v>0</v>
      </c>
      <c r="K384" t="n">
        <v>0</v>
      </c>
      <c r="L384" t="n">
        <v>0</v>
      </c>
      <c r="M384" t="n">
        <v>0</v>
      </c>
      <c r="N384" t="n">
        <v>0</v>
      </c>
      <c r="O384" t="n">
        <v>0</v>
      </c>
      <c r="P384" t="n">
        <v>0</v>
      </c>
      <c r="Q384" t="n">
        <v>0</v>
      </c>
      <c r="R384" s="2" t="inlineStr"/>
    </row>
    <row r="385" ht="15" customHeight="1">
      <c r="A385" t="inlineStr">
        <is>
          <t>A 16693-2023</t>
        </is>
      </c>
      <c r="B385" s="1" t="n">
        <v>45028</v>
      </c>
      <c r="C385" s="1" t="n">
        <v>46142</v>
      </c>
      <c r="D385" t="inlineStr">
        <is>
          <t>VÄSTMANLANDS LÄN</t>
        </is>
      </c>
      <c r="E385" t="inlineStr">
        <is>
          <t>SALA</t>
        </is>
      </c>
      <c r="G385" t="n">
        <v>1.5</v>
      </c>
      <c r="H385" t="n">
        <v>0</v>
      </c>
      <c r="I385" t="n">
        <v>0</v>
      </c>
      <c r="J385" t="n">
        <v>0</v>
      </c>
      <c r="K385" t="n">
        <v>0</v>
      </c>
      <c r="L385" t="n">
        <v>0</v>
      </c>
      <c r="M385" t="n">
        <v>0</v>
      </c>
      <c r="N385" t="n">
        <v>0</v>
      </c>
      <c r="O385" t="n">
        <v>0</v>
      </c>
      <c r="P385" t="n">
        <v>0</v>
      </c>
      <c r="Q385" t="n">
        <v>0</v>
      </c>
      <c r="R385" s="2" t="inlineStr"/>
    </row>
    <row r="386" ht="15" customHeight="1">
      <c r="A386" t="inlineStr">
        <is>
          <t>A 23182-2022</t>
        </is>
      </c>
      <c r="B386" s="1" t="n">
        <v>44719.79707175926</v>
      </c>
      <c r="C386" s="1" t="n">
        <v>46142</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37017-2025</t>
        </is>
      </c>
      <c r="B387" s="1" t="n">
        <v>45874</v>
      </c>
      <c r="C387" s="1" t="n">
        <v>46142</v>
      </c>
      <c r="D387" t="inlineStr">
        <is>
          <t>VÄSTMANLANDS LÄN</t>
        </is>
      </c>
      <c r="E387" t="inlineStr">
        <is>
          <t>SALA</t>
        </is>
      </c>
      <c r="G387" t="n">
        <v>11.1</v>
      </c>
      <c r="H387" t="n">
        <v>0</v>
      </c>
      <c r="I387" t="n">
        <v>0</v>
      </c>
      <c r="J387" t="n">
        <v>0</v>
      </c>
      <c r="K387" t="n">
        <v>0</v>
      </c>
      <c r="L387" t="n">
        <v>0</v>
      </c>
      <c r="M387" t="n">
        <v>0</v>
      </c>
      <c r="N387" t="n">
        <v>0</v>
      </c>
      <c r="O387" t="n">
        <v>0</v>
      </c>
      <c r="P387" t="n">
        <v>0</v>
      </c>
      <c r="Q387" t="n">
        <v>0</v>
      </c>
      <c r="R387" s="2" t="inlineStr"/>
    </row>
    <row r="388" ht="15" customHeight="1">
      <c r="A388" t="inlineStr">
        <is>
          <t>A 37103-2025</t>
        </is>
      </c>
      <c r="B388" s="1" t="n">
        <v>45875.47743055555</v>
      </c>
      <c r="C388" s="1" t="n">
        <v>46142</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57371-2022</t>
        </is>
      </c>
      <c r="B389" s="1" t="n">
        <v>44896.43832175926</v>
      </c>
      <c r="C389" s="1" t="n">
        <v>46142</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37246-2025</t>
        </is>
      </c>
      <c r="B390" s="1" t="n">
        <v>45876.39435185185</v>
      </c>
      <c r="C390" s="1" t="n">
        <v>46142</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56548-2024</t>
        </is>
      </c>
      <c r="B391" s="1" t="n">
        <v>45625</v>
      </c>
      <c r="C391" s="1" t="n">
        <v>46142</v>
      </c>
      <c r="D391" t="inlineStr">
        <is>
          <t>VÄSTMANLANDS LÄN</t>
        </is>
      </c>
      <c r="E391" t="inlineStr">
        <is>
          <t>SALA</t>
        </is>
      </c>
      <c r="G391" t="n">
        <v>0.7</v>
      </c>
      <c r="H391" t="n">
        <v>0</v>
      </c>
      <c r="I391" t="n">
        <v>0</v>
      </c>
      <c r="J391" t="n">
        <v>0</v>
      </c>
      <c r="K391" t="n">
        <v>0</v>
      </c>
      <c r="L391" t="n">
        <v>0</v>
      </c>
      <c r="M391" t="n">
        <v>0</v>
      </c>
      <c r="N391" t="n">
        <v>0</v>
      </c>
      <c r="O391" t="n">
        <v>0</v>
      </c>
      <c r="P391" t="n">
        <v>0</v>
      </c>
      <c r="Q391" t="n">
        <v>0</v>
      </c>
      <c r="R391" s="2" t="inlineStr"/>
    </row>
    <row r="392" ht="15" customHeight="1">
      <c r="A392" t="inlineStr">
        <is>
          <t>A 47086-2022</t>
        </is>
      </c>
      <c r="B392" s="1" t="n">
        <v>44852</v>
      </c>
      <c r="C392" s="1" t="n">
        <v>46142</v>
      </c>
      <c r="D392" t="inlineStr">
        <is>
          <t>VÄSTMANLANDS LÄN</t>
        </is>
      </c>
      <c r="E392" t="inlineStr">
        <is>
          <t>SALA</t>
        </is>
      </c>
      <c r="G392" t="n">
        <v>12.5</v>
      </c>
      <c r="H392" t="n">
        <v>0</v>
      </c>
      <c r="I392" t="n">
        <v>0</v>
      </c>
      <c r="J392" t="n">
        <v>0</v>
      </c>
      <c r="K392" t="n">
        <v>0</v>
      </c>
      <c r="L392" t="n">
        <v>0</v>
      </c>
      <c r="M392" t="n">
        <v>0</v>
      </c>
      <c r="N392" t="n">
        <v>0</v>
      </c>
      <c r="O392" t="n">
        <v>0</v>
      </c>
      <c r="P392" t="n">
        <v>0</v>
      </c>
      <c r="Q392" t="n">
        <v>0</v>
      </c>
      <c r="R392" s="2" t="inlineStr"/>
    </row>
    <row r="393" ht="15" customHeight="1">
      <c r="A393" t="inlineStr">
        <is>
          <t>A 37590-2025</t>
        </is>
      </c>
      <c r="B393" s="1" t="n">
        <v>45880.41138888889</v>
      </c>
      <c r="C393" s="1" t="n">
        <v>46142</v>
      </c>
      <c r="D393" t="inlineStr">
        <is>
          <t>VÄSTMANLANDS LÄN</t>
        </is>
      </c>
      <c r="E393" t="inlineStr">
        <is>
          <t>SALA</t>
        </is>
      </c>
      <c r="G393" t="n">
        <v>2.2</v>
      </c>
      <c r="H393" t="n">
        <v>0</v>
      </c>
      <c r="I393" t="n">
        <v>0</v>
      </c>
      <c r="J393" t="n">
        <v>0</v>
      </c>
      <c r="K393" t="n">
        <v>0</v>
      </c>
      <c r="L393" t="n">
        <v>0</v>
      </c>
      <c r="M393" t="n">
        <v>0</v>
      </c>
      <c r="N393" t="n">
        <v>0</v>
      </c>
      <c r="O393" t="n">
        <v>0</v>
      </c>
      <c r="P393" t="n">
        <v>0</v>
      </c>
      <c r="Q393" t="n">
        <v>0</v>
      </c>
      <c r="R393" s="2" t="inlineStr"/>
    </row>
    <row r="394" ht="15" customHeight="1">
      <c r="A394" t="inlineStr">
        <is>
          <t>A 37593-2025</t>
        </is>
      </c>
      <c r="B394" s="1" t="n">
        <v>45880.41325231481</v>
      </c>
      <c r="C394" s="1" t="n">
        <v>46142</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18592-2026</t>
        </is>
      </c>
      <c r="B395" s="1" t="n">
        <v>46127.64232638889</v>
      </c>
      <c r="C395" s="1" t="n">
        <v>46142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43359-2024</t>
        </is>
      </c>
      <c r="B396" s="1" t="n">
        <v>45568.57724537037</v>
      </c>
      <c r="C396" s="1" t="n">
        <v>46142</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29972-2025</t>
        </is>
      </c>
      <c r="B397" s="1" t="n">
        <v>45826</v>
      </c>
      <c r="C397" s="1" t="n">
        <v>46142</v>
      </c>
      <c r="D397" t="inlineStr">
        <is>
          <t>VÄSTMANLANDS LÄN</t>
        </is>
      </c>
      <c r="E397" t="inlineStr">
        <is>
          <t>SALA</t>
        </is>
      </c>
      <c r="G397" t="n">
        <v>2.7</v>
      </c>
      <c r="H397" t="n">
        <v>0</v>
      </c>
      <c r="I397" t="n">
        <v>0</v>
      </c>
      <c r="J397" t="n">
        <v>0</v>
      </c>
      <c r="K397" t="n">
        <v>0</v>
      </c>
      <c r="L397" t="n">
        <v>0</v>
      </c>
      <c r="M397" t="n">
        <v>0</v>
      </c>
      <c r="N397" t="n">
        <v>0</v>
      </c>
      <c r="O397" t="n">
        <v>0</v>
      </c>
      <c r="P397" t="n">
        <v>0</v>
      </c>
      <c r="Q397" t="n">
        <v>0</v>
      </c>
      <c r="R397" s="2" t="inlineStr"/>
    </row>
    <row r="398" ht="15" customHeight="1">
      <c r="A398" t="inlineStr">
        <is>
          <t>A 18382-2026</t>
        </is>
      </c>
      <c r="B398" s="1" t="n">
        <v>46126.63601851852</v>
      </c>
      <c r="C398" s="1" t="n">
        <v>46142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988-2025</t>
        </is>
      </c>
      <c r="B399" s="1" t="n">
        <v>45666.44038194444</v>
      </c>
      <c r="C399" s="1" t="n">
        <v>46142</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5032-2025</t>
        </is>
      </c>
      <c r="B400" s="1" t="n">
        <v>45691</v>
      </c>
      <c r="C400" s="1" t="n">
        <v>46142</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12144-2026</t>
        </is>
      </c>
      <c r="B401" s="1" t="n">
        <v>46086.58008101852</v>
      </c>
      <c r="C401" s="1" t="n">
        <v>46142</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66908-2021</t>
        </is>
      </c>
      <c r="B402" s="1" t="n">
        <v>44522</v>
      </c>
      <c r="C402" s="1" t="n">
        <v>46142</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21968-2024</t>
        </is>
      </c>
      <c r="B403" s="1" t="n">
        <v>45443</v>
      </c>
      <c r="C403" s="1" t="n">
        <v>46142</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11696-2025</t>
        </is>
      </c>
      <c r="B404" s="1" t="n">
        <v>45727</v>
      </c>
      <c r="C404" s="1" t="n">
        <v>46142</v>
      </c>
      <c r="D404" t="inlineStr">
        <is>
          <t>VÄSTMANLANDS LÄN</t>
        </is>
      </c>
      <c r="E404" t="inlineStr">
        <is>
          <t>SALA</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43509-2021</t>
        </is>
      </c>
      <c r="B405" s="1" t="n">
        <v>44433</v>
      </c>
      <c r="C405" s="1" t="n">
        <v>46142</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19044-2026</t>
        </is>
      </c>
      <c r="B406" s="1" t="n">
        <v>46132.33789351852</v>
      </c>
      <c r="C406" s="1" t="n">
        <v>46142</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42421-2025</t>
        </is>
      </c>
      <c r="B407" s="1" t="n">
        <v>45905.40067129629</v>
      </c>
      <c r="C407" s="1" t="n">
        <v>46142</v>
      </c>
      <c r="D407" t="inlineStr">
        <is>
          <t>VÄSTMANLANDS LÄN</t>
        </is>
      </c>
      <c r="E407" t="inlineStr">
        <is>
          <t>SALA</t>
        </is>
      </c>
      <c r="G407" t="n">
        <v>1.3</v>
      </c>
      <c r="H407" t="n">
        <v>0</v>
      </c>
      <c r="I407" t="n">
        <v>0</v>
      </c>
      <c r="J407" t="n">
        <v>0</v>
      </c>
      <c r="K407" t="n">
        <v>0</v>
      </c>
      <c r="L407" t="n">
        <v>0</v>
      </c>
      <c r="M407" t="n">
        <v>0</v>
      </c>
      <c r="N407" t="n">
        <v>0</v>
      </c>
      <c r="O407" t="n">
        <v>0</v>
      </c>
      <c r="P407" t="n">
        <v>0</v>
      </c>
      <c r="Q407" t="n">
        <v>0</v>
      </c>
      <c r="R407" s="2" t="inlineStr"/>
    </row>
    <row r="408" ht="15" customHeight="1">
      <c r="A408" t="inlineStr">
        <is>
          <t>A 13746-2025</t>
        </is>
      </c>
      <c r="B408" s="1" t="n">
        <v>45737.40944444444</v>
      </c>
      <c r="C408" s="1" t="n">
        <v>46142</v>
      </c>
      <c r="D408" t="inlineStr">
        <is>
          <t>VÄSTMANLANDS LÄN</t>
        </is>
      </c>
      <c r="E408" t="inlineStr">
        <is>
          <t>SALA</t>
        </is>
      </c>
      <c r="G408" t="n">
        <v>2.1</v>
      </c>
      <c r="H408" t="n">
        <v>0</v>
      </c>
      <c r="I408" t="n">
        <v>0</v>
      </c>
      <c r="J408" t="n">
        <v>0</v>
      </c>
      <c r="K408" t="n">
        <v>0</v>
      </c>
      <c r="L408" t="n">
        <v>0</v>
      </c>
      <c r="M408" t="n">
        <v>0</v>
      </c>
      <c r="N408" t="n">
        <v>0</v>
      </c>
      <c r="O408" t="n">
        <v>0</v>
      </c>
      <c r="P408" t="n">
        <v>0</v>
      </c>
      <c r="Q408" t="n">
        <v>0</v>
      </c>
      <c r="R408" s="2" t="inlineStr"/>
    </row>
    <row r="409" ht="15" customHeight="1">
      <c r="A409" t="inlineStr">
        <is>
          <t>A 12497-2026</t>
        </is>
      </c>
      <c r="B409" s="1" t="n">
        <v>46090.57240740741</v>
      </c>
      <c r="C409" s="1" t="n">
        <v>46142</v>
      </c>
      <c r="D409" t="inlineStr">
        <is>
          <t>VÄSTMANLANDS LÄN</t>
        </is>
      </c>
      <c r="E409" t="inlineStr">
        <is>
          <t>SALA</t>
        </is>
      </c>
      <c r="G409" t="n">
        <v>1.3</v>
      </c>
      <c r="H409" t="n">
        <v>0</v>
      </c>
      <c r="I409" t="n">
        <v>0</v>
      </c>
      <c r="J409" t="n">
        <v>0</v>
      </c>
      <c r="K409" t="n">
        <v>0</v>
      </c>
      <c r="L409" t="n">
        <v>0</v>
      </c>
      <c r="M409" t="n">
        <v>0</v>
      </c>
      <c r="N409" t="n">
        <v>0</v>
      </c>
      <c r="O409" t="n">
        <v>0</v>
      </c>
      <c r="P409" t="n">
        <v>0</v>
      </c>
      <c r="Q409" t="n">
        <v>0</v>
      </c>
      <c r="R409" s="2" t="inlineStr"/>
    </row>
    <row r="410" ht="15" customHeight="1">
      <c r="A410" t="inlineStr">
        <is>
          <t>A 25897-2024</t>
        </is>
      </c>
      <c r="B410" s="1" t="n">
        <v>45467.54435185185</v>
      </c>
      <c r="C410" s="1" t="n">
        <v>46142</v>
      </c>
      <c r="D410" t="inlineStr">
        <is>
          <t>VÄSTMANLANDS LÄN</t>
        </is>
      </c>
      <c r="E410" t="inlineStr">
        <is>
          <t>SALA</t>
        </is>
      </c>
      <c r="G410" t="n">
        <v>9.9</v>
      </c>
      <c r="H410" t="n">
        <v>0</v>
      </c>
      <c r="I410" t="n">
        <v>0</v>
      </c>
      <c r="J410" t="n">
        <v>0</v>
      </c>
      <c r="K410" t="n">
        <v>0</v>
      </c>
      <c r="L410" t="n">
        <v>0</v>
      </c>
      <c r="M410" t="n">
        <v>0</v>
      </c>
      <c r="N410" t="n">
        <v>0</v>
      </c>
      <c r="O410" t="n">
        <v>0</v>
      </c>
      <c r="P410" t="n">
        <v>0</v>
      </c>
      <c r="Q410" t="n">
        <v>0</v>
      </c>
      <c r="R410" s="2" t="inlineStr"/>
    </row>
    <row r="411" ht="15" customHeight="1">
      <c r="A411" t="inlineStr">
        <is>
          <t>A 23222-2023</t>
        </is>
      </c>
      <c r="B411" s="1" t="n">
        <v>45075</v>
      </c>
      <c r="C411" s="1" t="n">
        <v>46142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23224-2023</t>
        </is>
      </c>
      <c r="B412" s="1" t="n">
        <v>45075.65040509259</v>
      </c>
      <c r="C412" s="1" t="n">
        <v>46142</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50479-2022</t>
        </is>
      </c>
      <c r="B413" s="1" t="n">
        <v>44861</v>
      </c>
      <c r="C413" s="1" t="n">
        <v>46142</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73673-2021</t>
        </is>
      </c>
      <c r="B414" s="1" t="n">
        <v>44552.46501157407</v>
      </c>
      <c r="C414" s="1" t="n">
        <v>46142</v>
      </c>
      <c r="D414" t="inlineStr">
        <is>
          <t>VÄSTMANLANDS LÄN</t>
        </is>
      </c>
      <c r="E414" t="inlineStr">
        <is>
          <t>SALA</t>
        </is>
      </c>
      <c r="G414" t="n">
        <v>11.4</v>
      </c>
      <c r="H414" t="n">
        <v>0</v>
      </c>
      <c r="I414" t="n">
        <v>0</v>
      </c>
      <c r="J414" t="n">
        <v>0</v>
      </c>
      <c r="K414" t="n">
        <v>0</v>
      </c>
      <c r="L414" t="n">
        <v>0</v>
      </c>
      <c r="M414" t="n">
        <v>0</v>
      </c>
      <c r="N414" t="n">
        <v>0</v>
      </c>
      <c r="O414" t="n">
        <v>0</v>
      </c>
      <c r="P414" t="n">
        <v>0</v>
      </c>
      <c r="Q414" t="n">
        <v>0</v>
      </c>
      <c r="R414" s="2" t="inlineStr"/>
    </row>
    <row r="415" ht="15" customHeight="1">
      <c r="A415" t="inlineStr">
        <is>
          <t>A 19376-2026</t>
        </is>
      </c>
      <c r="B415" s="1" t="n">
        <v>46133.54998842593</v>
      </c>
      <c r="C415" s="1" t="n">
        <v>46142</v>
      </c>
      <c r="D415" t="inlineStr">
        <is>
          <t>VÄSTMANLANDS LÄN</t>
        </is>
      </c>
      <c r="E415" t="inlineStr">
        <is>
          <t>SALA</t>
        </is>
      </c>
      <c r="G415" t="n">
        <v>3.8</v>
      </c>
      <c r="H415" t="n">
        <v>0</v>
      </c>
      <c r="I415" t="n">
        <v>0</v>
      </c>
      <c r="J415" t="n">
        <v>0</v>
      </c>
      <c r="K415" t="n">
        <v>0</v>
      </c>
      <c r="L415" t="n">
        <v>0</v>
      </c>
      <c r="M415" t="n">
        <v>0</v>
      </c>
      <c r="N415" t="n">
        <v>0</v>
      </c>
      <c r="O415" t="n">
        <v>0</v>
      </c>
      <c r="P415" t="n">
        <v>0</v>
      </c>
      <c r="Q415" t="n">
        <v>0</v>
      </c>
      <c r="R415" s="2" t="inlineStr"/>
    </row>
    <row r="416" ht="15" customHeight="1">
      <c r="A416" t="inlineStr">
        <is>
          <t>A 14919-2025</t>
        </is>
      </c>
      <c r="B416" s="1" t="n">
        <v>45743.54256944444</v>
      </c>
      <c r="C416" s="1" t="n">
        <v>46142</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14920-2025</t>
        </is>
      </c>
      <c r="B417" s="1" t="n">
        <v>45743</v>
      </c>
      <c r="C417" s="1" t="n">
        <v>46142</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43028-2025</t>
        </is>
      </c>
      <c r="B418" s="1" t="n">
        <v>45909.53472222222</v>
      </c>
      <c r="C418" s="1" t="n">
        <v>46142</v>
      </c>
      <c r="D418" t="inlineStr">
        <is>
          <t>VÄSTMANLANDS LÄN</t>
        </is>
      </c>
      <c r="E418" t="inlineStr">
        <is>
          <t>SALA</t>
        </is>
      </c>
      <c r="G418" t="n">
        <v>3.8</v>
      </c>
      <c r="H418" t="n">
        <v>0</v>
      </c>
      <c r="I418" t="n">
        <v>0</v>
      </c>
      <c r="J418" t="n">
        <v>0</v>
      </c>
      <c r="K418" t="n">
        <v>0</v>
      </c>
      <c r="L418" t="n">
        <v>0</v>
      </c>
      <c r="M418" t="n">
        <v>0</v>
      </c>
      <c r="N418" t="n">
        <v>0</v>
      </c>
      <c r="O418" t="n">
        <v>0</v>
      </c>
      <c r="P418" t="n">
        <v>0</v>
      </c>
      <c r="Q418" t="n">
        <v>0</v>
      </c>
      <c r="R418" s="2" t="inlineStr"/>
    </row>
    <row r="419" ht="15" customHeight="1">
      <c r="A419" t="inlineStr">
        <is>
          <t>A 43328-2025</t>
        </is>
      </c>
      <c r="B419" s="1" t="n">
        <v>45910</v>
      </c>
      <c r="C419" s="1" t="n">
        <v>46142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13855-2023</t>
        </is>
      </c>
      <c r="B420" s="1" t="n">
        <v>45007</v>
      </c>
      <c r="C420" s="1" t="n">
        <v>46142</v>
      </c>
      <c r="D420" t="inlineStr">
        <is>
          <t>VÄSTMANLANDS LÄN</t>
        </is>
      </c>
      <c r="E420" t="inlineStr">
        <is>
          <t>SALA</t>
        </is>
      </c>
      <c r="G420" t="n">
        <v>2.9</v>
      </c>
      <c r="H420" t="n">
        <v>0</v>
      </c>
      <c r="I420" t="n">
        <v>0</v>
      </c>
      <c r="J420" t="n">
        <v>0</v>
      </c>
      <c r="K420" t="n">
        <v>0</v>
      </c>
      <c r="L420" t="n">
        <v>0</v>
      </c>
      <c r="M420" t="n">
        <v>0</v>
      </c>
      <c r="N420" t="n">
        <v>0</v>
      </c>
      <c r="O420" t="n">
        <v>0</v>
      </c>
      <c r="P420" t="n">
        <v>0</v>
      </c>
      <c r="Q420" t="n">
        <v>0</v>
      </c>
      <c r="R420" s="2" t="inlineStr"/>
    </row>
    <row r="421" ht="15" customHeight="1">
      <c r="A421" t="inlineStr">
        <is>
          <t>A 43031-2025</t>
        </is>
      </c>
      <c r="B421" s="1" t="n">
        <v>45909.53856481481</v>
      </c>
      <c r="C421" s="1" t="n">
        <v>46142</v>
      </c>
      <c r="D421" t="inlineStr">
        <is>
          <t>VÄSTMANLANDS LÄN</t>
        </is>
      </c>
      <c r="E421" t="inlineStr">
        <is>
          <t>SALA</t>
        </is>
      </c>
      <c r="G421" t="n">
        <v>0.2</v>
      </c>
      <c r="H421" t="n">
        <v>0</v>
      </c>
      <c r="I421" t="n">
        <v>0</v>
      </c>
      <c r="J421" t="n">
        <v>0</v>
      </c>
      <c r="K421" t="n">
        <v>0</v>
      </c>
      <c r="L421" t="n">
        <v>0</v>
      </c>
      <c r="M421" t="n">
        <v>0</v>
      </c>
      <c r="N421" t="n">
        <v>0</v>
      </c>
      <c r="O421" t="n">
        <v>0</v>
      </c>
      <c r="P421" t="n">
        <v>0</v>
      </c>
      <c r="Q421" t="n">
        <v>0</v>
      </c>
      <c r="R421" s="2" t="inlineStr"/>
    </row>
    <row r="422" ht="15" customHeight="1">
      <c r="A422" t="inlineStr">
        <is>
          <t>A 17495-2024</t>
        </is>
      </c>
      <c r="B422" s="1" t="n">
        <v>45415</v>
      </c>
      <c r="C422" s="1" t="n">
        <v>46142</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37263-2025</t>
        </is>
      </c>
      <c r="B423" s="1" t="n">
        <v>45876.4584837963</v>
      </c>
      <c r="C423" s="1" t="n">
        <v>46142</v>
      </c>
      <c r="D423" t="inlineStr">
        <is>
          <t>VÄSTMANLANDS LÄN</t>
        </is>
      </c>
      <c r="E423" t="inlineStr">
        <is>
          <t>SALA</t>
        </is>
      </c>
      <c r="G423" t="n">
        <v>2.3</v>
      </c>
      <c r="H423" t="n">
        <v>0</v>
      </c>
      <c r="I423" t="n">
        <v>0</v>
      </c>
      <c r="J423" t="n">
        <v>0</v>
      </c>
      <c r="K423" t="n">
        <v>0</v>
      </c>
      <c r="L423" t="n">
        <v>0</v>
      </c>
      <c r="M423" t="n">
        <v>0</v>
      </c>
      <c r="N423" t="n">
        <v>0</v>
      </c>
      <c r="O423" t="n">
        <v>0</v>
      </c>
      <c r="P423" t="n">
        <v>0</v>
      </c>
      <c r="Q423" t="n">
        <v>0</v>
      </c>
      <c r="R423" s="2" t="inlineStr"/>
    </row>
    <row r="424" ht="15" customHeight="1">
      <c r="A424" t="inlineStr">
        <is>
          <t>A 40554-2025</t>
        </is>
      </c>
      <c r="B424" s="1" t="n">
        <v>45896.44506944445</v>
      </c>
      <c r="C424" s="1" t="n">
        <v>46142</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18877-2023</t>
        </is>
      </c>
      <c r="B425" s="1" t="n">
        <v>45044</v>
      </c>
      <c r="C425" s="1" t="n">
        <v>46142</v>
      </c>
      <c r="D425" t="inlineStr">
        <is>
          <t>VÄSTMANLANDS LÄN</t>
        </is>
      </c>
      <c r="E425" t="inlineStr">
        <is>
          <t>SALA</t>
        </is>
      </c>
      <c r="F425" t="inlineStr">
        <is>
          <t>Kommuner</t>
        </is>
      </c>
      <c r="G425" t="n">
        <v>4.4</v>
      </c>
      <c r="H425" t="n">
        <v>0</v>
      </c>
      <c r="I425" t="n">
        <v>0</v>
      </c>
      <c r="J425" t="n">
        <v>0</v>
      </c>
      <c r="K425" t="n">
        <v>0</v>
      </c>
      <c r="L425" t="n">
        <v>0</v>
      </c>
      <c r="M425" t="n">
        <v>0</v>
      </c>
      <c r="N425" t="n">
        <v>0</v>
      </c>
      <c r="O425" t="n">
        <v>0</v>
      </c>
      <c r="P425" t="n">
        <v>0</v>
      </c>
      <c r="Q425" t="n">
        <v>0</v>
      </c>
      <c r="R425" s="2" t="inlineStr"/>
    </row>
    <row r="426" ht="15" customHeight="1">
      <c r="A426" t="inlineStr">
        <is>
          <t>A 43129-2025</t>
        </is>
      </c>
      <c r="B426" s="1" t="n">
        <v>45909</v>
      </c>
      <c r="C426" s="1" t="n">
        <v>46142</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55556-2023</t>
        </is>
      </c>
      <c r="B427" s="1" t="n">
        <v>45232</v>
      </c>
      <c r="C427" s="1" t="n">
        <v>46142</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43130-2025</t>
        </is>
      </c>
      <c r="B428" s="1" t="n">
        <v>45909</v>
      </c>
      <c r="C428" s="1" t="n">
        <v>46142</v>
      </c>
      <c r="D428" t="inlineStr">
        <is>
          <t>VÄSTMANLANDS LÄN</t>
        </is>
      </c>
      <c r="E428" t="inlineStr">
        <is>
          <t>SALA</t>
        </is>
      </c>
      <c r="G428" t="n">
        <v>0.9</v>
      </c>
      <c r="H428" t="n">
        <v>0</v>
      </c>
      <c r="I428" t="n">
        <v>0</v>
      </c>
      <c r="J428" t="n">
        <v>0</v>
      </c>
      <c r="K428" t="n">
        <v>0</v>
      </c>
      <c r="L428" t="n">
        <v>0</v>
      </c>
      <c r="M428" t="n">
        <v>0</v>
      </c>
      <c r="N428" t="n">
        <v>0</v>
      </c>
      <c r="O428" t="n">
        <v>0</v>
      </c>
      <c r="P428" t="n">
        <v>0</v>
      </c>
      <c r="Q428" t="n">
        <v>0</v>
      </c>
      <c r="R428" s="2" t="inlineStr"/>
    </row>
    <row r="429" ht="15" customHeight="1">
      <c r="A429" t="inlineStr">
        <is>
          <t>A 34494-2023</t>
        </is>
      </c>
      <c r="B429" s="1" t="n">
        <v>45133</v>
      </c>
      <c r="C429" s="1" t="n">
        <v>46142</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43128-2025</t>
        </is>
      </c>
      <c r="B430" s="1" t="n">
        <v>45909</v>
      </c>
      <c r="C430" s="1" t="n">
        <v>46142</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43127-2025</t>
        </is>
      </c>
      <c r="B431" s="1" t="n">
        <v>45909</v>
      </c>
      <c r="C431" s="1" t="n">
        <v>46142</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13752-2025</t>
        </is>
      </c>
      <c r="B432" s="1" t="n">
        <v>45737.41416666667</v>
      </c>
      <c r="C432" s="1" t="n">
        <v>46142</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13032-2026</t>
        </is>
      </c>
      <c r="B433" s="1" t="n">
        <v>46092.90436342593</v>
      </c>
      <c r="C433" s="1" t="n">
        <v>46142</v>
      </c>
      <c r="D433" t="inlineStr">
        <is>
          <t>VÄSTMANLANDS LÄN</t>
        </is>
      </c>
      <c r="E433" t="inlineStr">
        <is>
          <t>SALA</t>
        </is>
      </c>
      <c r="G433" t="n">
        <v>3.4</v>
      </c>
      <c r="H433" t="n">
        <v>0</v>
      </c>
      <c r="I433" t="n">
        <v>0</v>
      </c>
      <c r="J433" t="n">
        <v>0</v>
      </c>
      <c r="K433" t="n">
        <v>0</v>
      </c>
      <c r="L433" t="n">
        <v>0</v>
      </c>
      <c r="M433" t="n">
        <v>0</v>
      </c>
      <c r="N433" t="n">
        <v>0</v>
      </c>
      <c r="O433" t="n">
        <v>0</v>
      </c>
      <c r="P433" t="n">
        <v>0</v>
      </c>
      <c r="Q433" t="n">
        <v>0</v>
      </c>
      <c r="R433" s="2" t="inlineStr"/>
    </row>
    <row r="434" ht="15" customHeight="1">
      <c r="A434" t="inlineStr">
        <is>
          <t>A 19398-2025</t>
        </is>
      </c>
      <c r="B434" s="1" t="n">
        <v>45769</v>
      </c>
      <c r="C434" s="1" t="n">
        <v>46142</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22921-2023</t>
        </is>
      </c>
      <c r="B435" s="1" t="n">
        <v>45070</v>
      </c>
      <c r="C435" s="1" t="n">
        <v>46142</v>
      </c>
      <c r="D435" t="inlineStr">
        <is>
          <t>VÄSTMANLANDS LÄN</t>
        </is>
      </c>
      <c r="E435" t="inlineStr">
        <is>
          <t>SALA</t>
        </is>
      </c>
      <c r="G435" t="n">
        <v>1.3</v>
      </c>
      <c r="H435" t="n">
        <v>0</v>
      </c>
      <c r="I435" t="n">
        <v>0</v>
      </c>
      <c r="J435" t="n">
        <v>0</v>
      </c>
      <c r="K435" t="n">
        <v>0</v>
      </c>
      <c r="L435" t="n">
        <v>0</v>
      </c>
      <c r="M435" t="n">
        <v>0</v>
      </c>
      <c r="N435" t="n">
        <v>0</v>
      </c>
      <c r="O435" t="n">
        <v>0</v>
      </c>
      <c r="P435" t="n">
        <v>0</v>
      </c>
      <c r="Q435" t="n">
        <v>0</v>
      </c>
      <c r="R435" s="2" t="inlineStr"/>
    </row>
    <row r="436" ht="15" customHeight="1">
      <c r="A436" t="inlineStr">
        <is>
          <t>A 16133-2025</t>
        </is>
      </c>
      <c r="B436" s="1" t="n">
        <v>45750</v>
      </c>
      <c r="C436" s="1" t="n">
        <v>46142</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6127-2025</t>
        </is>
      </c>
      <c r="B437" s="1" t="n">
        <v>45698</v>
      </c>
      <c r="C437" s="1" t="n">
        <v>46142</v>
      </c>
      <c r="D437" t="inlineStr">
        <is>
          <t>VÄSTMANLANDS LÄN</t>
        </is>
      </c>
      <c r="E437" t="inlineStr">
        <is>
          <t>SALA</t>
        </is>
      </c>
      <c r="F437" t="inlineStr">
        <is>
          <t>Bergvik skog öst AB</t>
        </is>
      </c>
      <c r="G437" t="n">
        <v>4.3</v>
      </c>
      <c r="H437" t="n">
        <v>0</v>
      </c>
      <c r="I437" t="n">
        <v>0</v>
      </c>
      <c r="J437" t="n">
        <v>0</v>
      </c>
      <c r="K437" t="n">
        <v>0</v>
      </c>
      <c r="L437" t="n">
        <v>0</v>
      </c>
      <c r="M437" t="n">
        <v>0</v>
      </c>
      <c r="N437" t="n">
        <v>0</v>
      </c>
      <c r="O437" t="n">
        <v>0</v>
      </c>
      <c r="P437" t="n">
        <v>0</v>
      </c>
      <c r="Q437" t="n">
        <v>0</v>
      </c>
      <c r="R437" s="2" t="inlineStr"/>
    </row>
    <row r="438" ht="15" customHeight="1">
      <c r="A438" t="inlineStr">
        <is>
          <t>A 15272-2025</t>
        </is>
      </c>
      <c r="B438" s="1" t="n">
        <v>45744</v>
      </c>
      <c r="C438" s="1" t="n">
        <v>46142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24248-2023</t>
        </is>
      </c>
      <c r="B439" s="1" t="n">
        <v>45079</v>
      </c>
      <c r="C439" s="1" t="n">
        <v>46142</v>
      </c>
      <c r="D439" t="inlineStr">
        <is>
          <t>VÄSTMANLANDS LÄN</t>
        </is>
      </c>
      <c r="E439" t="inlineStr">
        <is>
          <t>SALA</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38195-2021</t>
        </is>
      </c>
      <c r="B440" s="1" t="n">
        <v>44405</v>
      </c>
      <c r="C440" s="1" t="n">
        <v>46142</v>
      </c>
      <c r="D440" t="inlineStr">
        <is>
          <t>VÄSTMANLANDS LÄN</t>
        </is>
      </c>
      <c r="E440" t="inlineStr">
        <is>
          <t>SALA</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27228-2023</t>
        </is>
      </c>
      <c r="B441" s="1" t="n">
        <v>45096.59189814814</v>
      </c>
      <c r="C441" s="1" t="n">
        <v>46142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44100-2025</t>
        </is>
      </c>
      <c r="B442" s="1" t="n">
        <v>45915.56707175926</v>
      </c>
      <c r="C442" s="1" t="n">
        <v>46142</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13639-2026</t>
        </is>
      </c>
      <c r="B443" s="1" t="n">
        <v>46097</v>
      </c>
      <c r="C443" s="1" t="n">
        <v>46142</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53838-2022</t>
        </is>
      </c>
      <c r="B444" s="1" t="n">
        <v>44880.59363425926</v>
      </c>
      <c r="C444" s="1" t="n">
        <v>46142</v>
      </c>
      <c r="D444" t="inlineStr">
        <is>
          <t>VÄSTMANLANDS LÄN</t>
        </is>
      </c>
      <c r="E444" t="inlineStr">
        <is>
          <t>SALA</t>
        </is>
      </c>
      <c r="G444" t="n">
        <v>3.9</v>
      </c>
      <c r="H444" t="n">
        <v>0</v>
      </c>
      <c r="I444" t="n">
        <v>0</v>
      </c>
      <c r="J444" t="n">
        <v>0</v>
      </c>
      <c r="K444" t="n">
        <v>0</v>
      </c>
      <c r="L444" t="n">
        <v>0</v>
      </c>
      <c r="M444" t="n">
        <v>0</v>
      </c>
      <c r="N444" t="n">
        <v>0</v>
      </c>
      <c r="O444" t="n">
        <v>0</v>
      </c>
      <c r="P444" t="n">
        <v>0</v>
      </c>
      <c r="Q444" t="n">
        <v>0</v>
      </c>
      <c r="R444" s="2" t="inlineStr"/>
    </row>
    <row r="445" ht="15" customHeight="1">
      <c r="A445" t="inlineStr">
        <is>
          <t>A 44486-2025</t>
        </is>
      </c>
      <c r="B445" s="1" t="n">
        <v>45916.65517361111</v>
      </c>
      <c r="C445" s="1" t="n">
        <v>46142</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44524-2025</t>
        </is>
      </c>
      <c r="B446" s="1" t="n">
        <v>45916.72920138889</v>
      </c>
      <c r="C446" s="1" t="n">
        <v>46142</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25260-2023</t>
        </is>
      </c>
      <c r="B447" s="1" t="n">
        <v>45086</v>
      </c>
      <c r="C447" s="1" t="n">
        <v>46142</v>
      </c>
      <c r="D447" t="inlineStr">
        <is>
          <t>VÄSTMANLANDS LÄN</t>
        </is>
      </c>
      <c r="E447" t="inlineStr">
        <is>
          <t>SALA</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13996-2026</t>
        </is>
      </c>
      <c r="B448" s="1" t="n">
        <v>46098.63159722222</v>
      </c>
      <c r="C448" s="1" t="n">
        <v>46142</v>
      </c>
      <c r="D448" t="inlineStr">
        <is>
          <t>VÄSTMANLANDS LÄN</t>
        </is>
      </c>
      <c r="E448" t="inlineStr">
        <is>
          <t>SALA</t>
        </is>
      </c>
      <c r="G448" t="n">
        <v>2.5</v>
      </c>
      <c r="H448" t="n">
        <v>0</v>
      </c>
      <c r="I448" t="n">
        <v>0</v>
      </c>
      <c r="J448" t="n">
        <v>0</v>
      </c>
      <c r="K448" t="n">
        <v>0</v>
      </c>
      <c r="L448" t="n">
        <v>0</v>
      </c>
      <c r="M448" t="n">
        <v>0</v>
      </c>
      <c r="N448" t="n">
        <v>0</v>
      </c>
      <c r="O448" t="n">
        <v>0</v>
      </c>
      <c r="P448" t="n">
        <v>0</v>
      </c>
      <c r="Q448" t="n">
        <v>0</v>
      </c>
      <c r="R448" s="2" t="inlineStr"/>
    </row>
    <row r="449" ht="15" customHeight="1">
      <c r="A449" t="inlineStr">
        <is>
          <t>A 14000-2026</t>
        </is>
      </c>
      <c r="B449" s="1" t="n">
        <v>46098.64246527778</v>
      </c>
      <c r="C449" s="1" t="n">
        <v>46142</v>
      </c>
      <c r="D449" t="inlineStr">
        <is>
          <t>VÄSTMANLANDS LÄN</t>
        </is>
      </c>
      <c r="E449" t="inlineStr">
        <is>
          <t>SALA</t>
        </is>
      </c>
      <c r="G449" t="n">
        <v>0.8</v>
      </c>
      <c r="H449" t="n">
        <v>0</v>
      </c>
      <c r="I449" t="n">
        <v>0</v>
      </c>
      <c r="J449" t="n">
        <v>0</v>
      </c>
      <c r="K449" t="n">
        <v>0</v>
      </c>
      <c r="L449" t="n">
        <v>0</v>
      </c>
      <c r="M449" t="n">
        <v>0</v>
      </c>
      <c r="N449" t="n">
        <v>0</v>
      </c>
      <c r="O449" t="n">
        <v>0</v>
      </c>
      <c r="P449" t="n">
        <v>0</v>
      </c>
      <c r="Q449" t="n">
        <v>0</v>
      </c>
      <c r="R449" s="2" t="inlineStr"/>
    </row>
    <row r="450" ht="15" customHeight="1">
      <c r="A450" t="inlineStr">
        <is>
          <t>A 16769-2024</t>
        </is>
      </c>
      <c r="B450" s="1" t="n">
        <v>45411.38738425926</v>
      </c>
      <c r="C450" s="1" t="n">
        <v>46142</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43122-2025</t>
        </is>
      </c>
      <c r="B451" s="1" t="n">
        <v>45909</v>
      </c>
      <c r="C451" s="1" t="n">
        <v>46142</v>
      </c>
      <c r="D451" t="inlineStr">
        <is>
          <t>VÄSTMANLANDS LÄN</t>
        </is>
      </c>
      <c r="E451" t="inlineStr">
        <is>
          <t>SALA</t>
        </is>
      </c>
      <c r="G451" t="n">
        <v>3.2</v>
      </c>
      <c r="H451" t="n">
        <v>0</v>
      </c>
      <c r="I451" t="n">
        <v>0</v>
      </c>
      <c r="J451" t="n">
        <v>0</v>
      </c>
      <c r="K451" t="n">
        <v>0</v>
      </c>
      <c r="L451" t="n">
        <v>0</v>
      </c>
      <c r="M451" t="n">
        <v>0</v>
      </c>
      <c r="N451" t="n">
        <v>0</v>
      </c>
      <c r="O451" t="n">
        <v>0</v>
      </c>
      <c r="P451" t="n">
        <v>0</v>
      </c>
      <c r="Q451" t="n">
        <v>0</v>
      </c>
      <c r="R451" s="2" t="inlineStr"/>
    </row>
    <row r="452" ht="15" customHeight="1">
      <c r="A452" t="inlineStr">
        <is>
          <t>A 60249-2023</t>
        </is>
      </c>
      <c r="B452" s="1" t="n">
        <v>45258</v>
      </c>
      <c r="C452" s="1" t="n">
        <v>46142</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14271-2025</t>
        </is>
      </c>
      <c r="B453" s="1" t="n">
        <v>45740.64129629629</v>
      </c>
      <c r="C453" s="1" t="n">
        <v>46142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69232-2021</t>
        </is>
      </c>
      <c r="B454" s="1" t="n">
        <v>44531.39696759259</v>
      </c>
      <c r="C454" s="1" t="n">
        <v>46142</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28328-2023</t>
        </is>
      </c>
      <c r="B455" s="1" t="n">
        <v>45099.71063657408</v>
      </c>
      <c r="C455" s="1" t="n">
        <v>46142</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40085-2024</t>
        </is>
      </c>
      <c r="B456" s="1" t="n">
        <v>45554</v>
      </c>
      <c r="C456" s="1" t="n">
        <v>46142</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18158-2025</t>
        </is>
      </c>
      <c r="B457" s="1" t="n">
        <v>45761</v>
      </c>
      <c r="C457" s="1" t="n">
        <v>46142</v>
      </c>
      <c r="D457" t="inlineStr">
        <is>
          <t>VÄSTMANLANDS LÄN</t>
        </is>
      </c>
      <c r="E457" t="inlineStr">
        <is>
          <t>SALA</t>
        </is>
      </c>
      <c r="F457" t="inlineStr">
        <is>
          <t>Bergvik skog öst AB</t>
        </is>
      </c>
      <c r="G457" t="n">
        <v>1.6</v>
      </c>
      <c r="H457" t="n">
        <v>0</v>
      </c>
      <c r="I457" t="n">
        <v>0</v>
      </c>
      <c r="J457" t="n">
        <v>0</v>
      </c>
      <c r="K457" t="n">
        <v>0</v>
      </c>
      <c r="L457" t="n">
        <v>0</v>
      </c>
      <c r="M457" t="n">
        <v>0</v>
      </c>
      <c r="N457" t="n">
        <v>0</v>
      </c>
      <c r="O457" t="n">
        <v>0</v>
      </c>
      <c r="P457" t="n">
        <v>0</v>
      </c>
      <c r="Q457" t="n">
        <v>0</v>
      </c>
      <c r="R457" s="2" t="inlineStr"/>
    </row>
    <row r="458" ht="15" customHeight="1">
      <c r="A458" t="inlineStr">
        <is>
          <t>A 49661-2024</t>
        </is>
      </c>
      <c r="B458" s="1" t="n">
        <v>45596</v>
      </c>
      <c r="C458" s="1" t="n">
        <v>46142</v>
      </c>
      <c r="D458" t="inlineStr">
        <is>
          <t>VÄSTMANLANDS LÄN</t>
        </is>
      </c>
      <c r="E458" t="inlineStr">
        <is>
          <t>SALA</t>
        </is>
      </c>
      <c r="G458" t="n">
        <v>6.7</v>
      </c>
      <c r="H458" t="n">
        <v>0</v>
      </c>
      <c r="I458" t="n">
        <v>0</v>
      </c>
      <c r="J458" t="n">
        <v>0</v>
      </c>
      <c r="K458" t="n">
        <v>0</v>
      </c>
      <c r="L458" t="n">
        <v>0</v>
      </c>
      <c r="M458" t="n">
        <v>0</v>
      </c>
      <c r="N458" t="n">
        <v>0</v>
      </c>
      <c r="O458" t="n">
        <v>0</v>
      </c>
      <c r="P458" t="n">
        <v>0</v>
      </c>
      <c r="Q458" t="n">
        <v>0</v>
      </c>
      <c r="R458" s="2" t="inlineStr"/>
    </row>
    <row r="459" ht="15" customHeight="1">
      <c r="A459" t="inlineStr">
        <is>
          <t>A 45371-2025</t>
        </is>
      </c>
      <c r="B459" s="1" t="n">
        <v>45922.39001157408</v>
      </c>
      <c r="C459" s="1" t="n">
        <v>46142</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45177-2025</t>
        </is>
      </c>
      <c r="B460" s="1" t="n">
        <v>45919.52444444445</v>
      </c>
      <c r="C460" s="1" t="n">
        <v>46142</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35519-2024</t>
        </is>
      </c>
      <c r="B461" s="1" t="n">
        <v>45531</v>
      </c>
      <c r="C461" s="1" t="n">
        <v>46142</v>
      </c>
      <c r="D461" t="inlineStr">
        <is>
          <t>VÄSTMANLANDS LÄN</t>
        </is>
      </c>
      <c r="E461" t="inlineStr">
        <is>
          <t>SALA</t>
        </is>
      </c>
      <c r="G461" t="n">
        <v>1.8</v>
      </c>
      <c r="H461" t="n">
        <v>0</v>
      </c>
      <c r="I461" t="n">
        <v>0</v>
      </c>
      <c r="J461" t="n">
        <v>0</v>
      </c>
      <c r="K461" t="n">
        <v>0</v>
      </c>
      <c r="L461" t="n">
        <v>0</v>
      </c>
      <c r="M461" t="n">
        <v>0</v>
      </c>
      <c r="N461" t="n">
        <v>0</v>
      </c>
      <c r="O461" t="n">
        <v>0</v>
      </c>
      <c r="P461" t="n">
        <v>0</v>
      </c>
      <c r="Q461" t="n">
        <v>0</v>
      </c>
      <c r="R461" s="2" t="inlineStr"/>
    </row>
    <row r="462" ht="15" customHeight="1">
      <c r="A462" t="inlineStr">
        <is>
          <t>A 54347-2024</t>
        </is>
      </c>
      <c r="B462" s="1" t="n">
        <v>45617.39325231482</v>
      </c>
      <c r="C462" s="1" t="n">
        <v>46142</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13022-2023</t>
        </is>
      </c>
      <c r="B463" s="1" t="n">
        <v>45002.33291666667</v>
      </c>
      <c r="C463" s="1" t="n">
        <v>46142</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45914-2025</t>
        </is>
      </c>
      <c r="B464" s="1" t="n">
        <v>45923.82582175926</v>
      </c>
      <c r="C464" s="1" t="n">
        <v>46142</v>
      </c>
      <c r="D464" t="inlineStr">
        <is>
          <t>VÄSTMANLANDS LÄN</t>
        </is>
      </c>
      <c r="E464" t="inlineStr">
        <is>
          <t>SALA</t>
        </is>
      </c>
      <c r="F464" t="inlineStr">
        <is>
          <t>Kommuner</t>
        </is>
      </c>
      <c r="G464" t="n">
        <v>18.2</v>
      </c>
      <c r="H464" t="n">
        <v>0</v>
      </c>
      <c r="I464" t="n">
        <v>0</v>
      </c>
      <c r="J464" t="n">
        <v>0</v>
      </c>
      <c r="K464" t="n">
        <v>0</v>
      </c>
      <c r="L464" t="n">
        <v>0</v>
      </c>
      <c r="M464" t="n">
        <v>0</v>
      </c>
      <c r="N464" t="n">
        <v>0</v>
      </c>
      <c r="O464" t="n">
        <v>0</v>
      </c>
      <c r="P464" t="n">
        <v>0</v>
      </c>
      <c r="Q464" t="n">
        <v>0</v>
      </c>
      <c r="R464" s="2" t="inlineStr"/>
      <c r="U464">
        <f>HYPERLINK("https://klasma.github.io/Logging_1981/knärot/A 45914-2025 karta knärot.png", "A 45914-2025")</f>
        <v/>
      </c>
      <c r="V464">
        <f>HYPERLINK("https://klasma.github.io/Logging_1981/klagomål/A 45914-2025 FSC-klagomål.docx", "A 45914-2025")</f>
        <v/>
      </c>
      <c r="W464">
        <f>HYPERLINK("https://klasma.github.io/Logging_1981/klagomålsmail/A 45914-2025 FSC-klagomål mail.docx", "A 45914-2025")</f>
        <v/>
      </c>
      <c r="X464">
        <f>HYPERLINK("https://klasma.github.io/Logging_1981/tillsyn/A 45914-2025 tillsynsbegäran.docx", "A 45914-2025")</f>
        <v/>
      </c>
      <c r="Y464">
        <f>HYPERLINK("https://klasma.github.io/Logging_1981/tillsynsmail/A 45914-2025 tillsynsbegäran mail.docx", "A 45914-2025")</f>
        <v/>
      </c>
    </row>
    <row r="465" ht="15" customHeight="1">
      <c r="A465" t="inlineStr">
        <is>
          <t>A 35003-2024</t>
        </is>
      </c>
      <c r="B465" s="1" t="n">
        <v>45527.56790509259</v>
      </c>
      <c r="C465" s="1" t="n">
        <v>46142</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45909-2025</t>
        </is>
      </c>
      <c r="B466" s="1" t="n">
        <v>45923.75078703704</v>
      </c>
      <c r="C466" s="1" t="n">
        <v>46142</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66307-2021</t>
        </is>
      </c>
      <c r="B467" s="1" t="n">
        <v>44518.48670138889</v>
      </c>
      <c r="C467" s="1" t="n">
        <v>46142</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6030-2024</t>
        </is>
      </c>
      <c r="B468" s="1" t="n">
        <v>45336.62782407407</v>
      </c>
      <c r="C468" s="1" t="n">
        <v>46142</v>
      </c>
      <c r="D468" t="inlineStr">
        <is>
          <t>VÄSTMANLANDS LÄN</t>
        </is>
      </c>
      <c r="E468" t="inlineStr">
        <is>
          <t>SALA</t>
        </is>
      </c>
      <c r="G468" t="n">
        <v>3.9</v>
      </c>
      <c r="H468" t="n">
        <v>0</v>
      </c>
      <c r="I468" t="n">
        <v>0</v>
      </c>
      <c r="J468" t="n">
        <v>0</v>
      </c>
      <c r="K468" t="n">
        <v>0</v>
      </c>
      <c r="L468" t="n">
        <v>0</v>
      </c>
      <c r="M468" t="n">
        <v>0</v>
      </c>
      <c r="N468" t="n">
        <v>0</v>
      </c>
      <c r="O468" t="n">
        <v>0</v>
      </c>
      <c r="P468" t="n">
        <v>0</v>
      </c>
      <c r="Q468" t="n">
        <v>0</v>
      </c>
      <c r="R468" s="2" t="inlineStr"/>
    </row>
    <row r="469" ht="15" customHeight="1">
      <c r="A469" t="inlineStr">
        <is>
          <t>A 46597-2025</t>
        </is>
      </c>
      <c r="B469" s="1" t="n">
        <v>45926.40113425926</v>
      </c>
      <c r="C469" s="1" t="n">
        <v>46142</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26761-2023</t>
        </is>
      </c>
      <c r="B470" s="1" t="n">
        <v>45093</v>
      </c>
      <c r="C470" s="1" t="n">
        <v>46142</v>
      </c>
      <c r="D470" t="inlineStr">
        <is>
          <t>VÄSTMANLANDS LÄN</t>
        </is>
      </c>
      <c r="E470" t="inlineStr">
        <is>
          <t>SALA</t>
        </is>
      </c>
      <c r="G470" t="n">
        <v>4.3</v>
      </c>
      <c r="H470" t="n">
        <v>0</v>
      </c>
      <c r="I470" t="n">
        <v>0</v>
      </c>
      <c r="J470" t="n">
        <v>0</v>
      </c>
      <c r="K470" t="n">
        <v>0</v>
      </c>
      <c r="L470" t="n">
        <v>0</v>
      </c>
      <c r="M470" t="n">
        <v>0</v>
      </c>
      <c r="N470" t="n">
        <v>0</v>
      </c>
      <c r="O470" t="n">
        <v>0</v>
      </c>
      <c r="P470" t="n">
        <v>0</v>
      </c>
      <c r="Q470" t="n">
        <v>0</v>
      </c>
      <c r="R470" s="2" t="inlineStr"/>
    </row>
    <row r="471" ht="15" customHeight="1">
      <c r="A471" t="inlineStr">
        <is>
          <t>A 61892-2021</t>
        </is>
      </c>
      <c r="B471" s="1" t="n">
        <v>44502</v>
      </c>
      <c r="C471" s="1" t="n">
        <v>46142</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7772-2023</t>
        </is>
      </c>
      <c r="B472" s="1" t="n">
        <v>44973.40076388889</v>
      </c>
      <c r="C472" s="1" t="n">
        <v>46142</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46661-2025</t>
        </is>
      </c>
      <c r="B473" s="1" t="n">
        <v>45926</v>
      </c>
      <c r="C473" s="1" t="n">
        <v>46142</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42416-2022</t>
        </is>
      </c>
      <c r="B474" s="1" t="n">
        <v>44831</v>
      </c>
      <c r="C474" s="1" t="n">
        <v>46142</v>
      </c>
      <c r="D474" t="inlineStr">
        <is>
          <t>VÄSTMANLANDS LÄN</t>
        </is>
      </c>
      <c r="E474" t="inlineStr">
        <is>
          <t>SALA</t>
        </is>
      </c>
      <c r="G474" t="n">
        <v>2.2</v>
      </c>
      <c r="H474" t="n">
        <v>0</v>
      </c>
      <c r="I474" t="n">
        <v>0</v>
      </c>
      <c r="J474" t="n">
        <v>0</v>
      </c>
      <c r="K474" t="n">
        <v>0</v>
      </c>
      <c r="L474" t="n">
        <v>0</v>
      </c>
      <c r="M474" t="n">
        <v>0</v>
      </c>
      <c r="N474" t="n">
        <v>0</v>
      </c>
      <c r="O474" t="n">
        <v>0</v>
      </c>
      <c r="P474" t="n">
        <v>0</v>
      </c>
      <c r="Q474" t="n">
        <v>0</v>
      </c>
      <c r="R474" s="2" t="inlineStr"/>
    </row>
    <row r="475" ht="15" customHeight="1">
      <c r="A475" t="inlineStr">
        <is>
          <t>A 19381-2025</t>
        </is>
      </c>
      <c r="B475" s="1" t="n">
        <v>45769</v>
      </c>
      <c r="C475" s="1" t="n">
        <v>46142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48688-2024</t>
        </is>
      </c>
      <c r="B476" s="1" t="n">
        <v>45593.50541666667</v>
      </c>
      <c r="C476" s="1" t="n">
        <v>46142</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46915-2025</t>
        </is>
      </c>
      <c r="B477" s="1" t="n">
        <v>45929.42114583333</v>
      </c>
      <c r="C477" s="1" t="n">
        <v>46142</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48057-2025</t>
        </is>
      </c>
      <c r="B478" s="1" t="n">
        <v>45932.67947916667</v>
      </c>
      <c r="C478" s="1" t="n">
        <v>46142</v>
      </c>
      <c r="D478" t="inlineStr">
        <is>
          <t>VÄSTMANLANDS LÄN</t>
        </is>
      </c>
      <c r="E478" t="inlineStr">
        <is>
          <t>SALA</t>
        </is>
      </c>
      <c r="G478" t="n">
        <v>4.3</v>
      </c>
      <c r="H478" t="n">
        <v>0</v>
      </c>
      <c r="I478" t="n">
        <v>0</v>
      </c>
      <c r="J478" t="n">
        <v>0</v>
      </c>
      <c r="K478" t="n">
        <v>0</v>
      </c>
      <c r="L478" t="n">
        <v>0</v>
      </c>
      <c r="M478" t="n">
        <v>0</v>
      </c>
      <c r="N478" t="n">
        <v>0</v>
      </c>
      <c r="O478" t="n">
        <v>0</v>
      </c>
      <c r="P478" t="n">
        <v>0</v>
      </c>
      <c r="Q478" t="n">
        <v>0</v>
      </c>
      <c r="R478" s="2" t="inlineStr"/>
    </row>
    <row r="479" ht="15" customHeight="1">
      <c r="A479" t="inlineStr">
        <is>
          <t>A 45187-2024</t>
        </is>
      </c>
      <c r="B479" s="1" t="n">
        <v>45575</v>
      </c>
      <c r="C479" s="1" t="n">
        <v>46142</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15968-2024</t>
        </is>
      </c>
      <c r="B480" s="1" t="n">
        <v>45405.56021990741</v>
      </c>
      <c r="C480" s="1" t="n">
        <v>46142</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47577-2025</t>
        </is>
      </c>
      <c r="B481" s="1" t="n">
        <v>45931.4047337963</v>
      </c>
      <c r="C481" s="1" t="n">
        <v>46142</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3733-2023</t>
        </is>
      </c>
      <c r="B482" s="1" t="n">
        <v>44951.42501157407</v>
      </c>
      <c r="C482" s="1" t="n">
        <v>46142</v>
      </c>
      <c r="D482" t="inlineStr">
        <is>
          <t>VÄSTMANLANDS LÄN</t>
        </is>
      </c>
      <c r="E482" t="inlineStr">
        <is>
          <t>SALA</t>
        </is>
      </c>
      <c r="G482" t="n">
        <v>3.1</v>
      </c>
      <c r="H482" t="n">
        <v>0</v>
      </c>
      <c r="I482" t="n">
        <v>0</v>
      </c>
      <c r="J482" t="n">
        <v>0</v>
      </c>
      <c r="K482" t="n">
        <v>0</v>
      </c>
      <c r="L482" t="n">
        <v>0</v>
      </c>
      <c r="M482" t="n">
        <v>0</v>
      </c>
      <c r="N482" t="n">
        <v>0</v>
      </c>
      <c r="O482" t="n">
        <v>0</v>
      </c>
      <c r="P482" t="n">
        <v>0</v>
      </c>
      <c r="Q482" t="n">
        <v>0</v>
      </c>
      <c r="R482" s="2" t="inlineStr"/>
    </row>
    <row r="483" ht="15" customHeight="1">
      <c r="A483" t="inlineStr">
        <is>
          <t>A 44544-2024</t>
        </is>
      </c>
      <c r="B483" s="1" t="n">
        <v>45574.46119212963</v>
      </c>
      <c r="C483" s="1" t="n">
        <v>46142</v>
      </c>
      <c r="D483" t="inlineStr">
        <is>
          <t>VÄSTMANLANDS LÄN</t>
        </is>
      </c>
      <c r="E483" t="inlineStr">
        <is>
          <t>SALA</t>
        </is>
      </c>
      <c r="G483" t="n">
        <v>3.3</v>
      </c>
      <c r="H483" t="n">
        <v>0</v>
      </c>
      <c r="I483" t="n">
        <v>0</v>
      </c>
      <c r="J483" t="n">
        <v>0</v>
      </c>
      <c r="K483" t="n">
        <v>0</v>
      </c>
      <c r="L483" t="n">
        <v>0</v>
      </c>
      <c r="M483" t="n">
        <v>0</v>
      </c>
      <c r="N483" t="n">
        <v>0</v>
      </c>
      <c r="O483" t="n">
        <v>0</v>
      </c>
      <c r="P483" t="n">
        <v>0</v>
      </c>
      <c r="Q483" t="n">
        <v>0</v>
      </c>
      <c r="R483" s="2" t="inlineStr"/>
    </row>
    <row r="484" ht="15" customHeight="1">
      <c r="A484" t="inlineStr">
        <is>
          <t>A 48710-2025</t>
        </is>
      </c>
      <c r="B484" s="1" t="n">
        <v>45936.63184027778</v>
      </c>
      <c r="C484" s="1" t="n">
        <v>46142</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64729-2023</t>
        </is>
      </c>
      <c r="B485" s="1" t="n">
        <v>45281</v>
      </c>
      <c r="C485" s="1" t="n">
        <v>46142</v>
      </c>
      <c r="D485" t="inlineStr">
        <is>
          <t>VÄSTMANLANDS LÄN</t>
        </is>
      </c>
      <c r="E485" t="inlineStr">
        <is>
          <t>SALA</t>
        </is>
      </c>
      <c r="G485" t="n">
        <v>1.8</v>
      </c>
      <c r="H485" t="n">
        <v>0</v>
      </c>
      <c r="I485" t="n">
        <v>0</v>
      </c>
      <c r="J485" t="n">
        <v>0</v>
      </c>
      <c r="K485" t="n">
        <v>0</v>
      </c>
      <c r="L485" t="n">
        <v>0</v>
      </c>
      <c r="M485" t="n">
        <v>0</v>
      </c>
      <c r="N485" t="n">
        <v>0</v>
      </c>
      <c r="O485" t="n">
        <v>0</v>
      </c>
      <c r="P485" t="n">
        <v>0</v>
      </c>
      <c r="Q485" t="n">
        <v>0</v>
      </c>
      <c r="R485" s="2" t="inlineStr"/>
    </row>
    <row r="486" ht="15" customHeight="1">
      <c r="A486" t="inlineStr">
        <is>
          <t>A 68864-2021</t>
        </is>
      </c>
      <c r="B486" s="1" t="n">
        <v>44530</v>
      </c>
      <c r="C486" s="1" t="n">
        <v>46142</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64925-2023</t>
        </is>
      </c>
      <c r="B487" s="1" t="n">
        <v>45282</v>
      </c>
      <c r="C487" s="1" t="n">
        <v>46142</v>
      </c>
      <c r="D487" t="inlineStr">
        <is>
          <t>VÄSTMANLANDS LÄN</t>
        </is>
      </c>
      <c r="E487" t="inlineStr">
        <is>
          <t>SALA</t>
        </is>
      </c>
      <c r="G487" t="n">
        <v>2.5</v>
      </c>
      <c r="H487" t="n">
        <v>0</v>
      </c>
      <c r="I487" t="n">
        <v>0</v>
      </c>
      <c r="J487" t="n">
        <v>0</v>
      </c>
      <c r="K487" t="n">
        <v>0</v>
      </c>
      <c r="L487" t="n">
        <v>0</v>
      </c>
      <c r="M487" t="n">
        <v>0</v>
      </c>
      <c r="N487" t="n">
        <v>0</v>
      </c>
      <c r="O487" t="n">
        <v>0</v>
      </c>
      <c r="P487" t="n">
        <v>0</v>
      </c>
      <c r="Q487" t="n">
        <v>0</v>
      </c>
      <c r="R487" s="2" t="inlineStr"/>
    </row>
    <row r="488" ht="15" customHeight="1">
      <c r="A488" t="inlineStr">
        <is>
          <t>A 48570-2024</t>
        </is>
      </c>
      <c r="B488" s="1" t="n">
        <v>45591</v>
      </c>
      <c r="C488" s="1" t="n">
        <v>46142</v>
      </c>
      <c r="D488" t="inlineStr">
        <is>
          <t>VÄSTMANLANDS LÄN</t>
        </is>
      </c>
      <c r="E488" t="inlineStr">
        <is>
          <t>SALA</t>
        </is>
      </c>
      <c r="G488" t="n">
        <v>3</v>
      </c>
      <c r="H488" t="n">
        <v>0</v>
      </c>
      <c r="I488" t="n">
        <v>0</v>
      </c>
      <c r="J488" t="n">
        <v>0</v>
      </c>
      <c r="K488" t="n">
        <v>0</v>
      </c>
      <c r="L488" t="n">
        <v>0</v>
      </c>
      <c r="M488" t="n">
        <v>0</v>
      </c>
      <c r="N488" t="n">
        <v>0</v>
      </c>
      <c r="O488" t="n">
        <v>0</v>
      </c>
      <c r="P488" t="n">
        <v>0</v>
      </c>
      <c r="Q488" t="n">
        <v>0</v>
      </c>
      <c r="R488" s="2" t="inlineStr"/>
    </row>
    <row r="489" ht="15" customHeight="1">
      <c r="A489" t="inlineStr">
        <is>
          <t>A 61517-2024</t>
        </is>
      </c>
      <c r="B489" s="1" t="n">
        <v>45645</v>
      </c>
      <c r="C489" s="1" t="n">
        <v>46142</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48910-2025</t>
        </is>
      </c>
      <c r="B490" s="1" t="n">
        <v>45937.48649305556</v>
      </c>
      <c r="C490" s="1" t="n">
        <v>46142</v>
      </c>
      <c r="D490" t="inlineStr">
        <is>
          <t>VÄSTMANLANDS LÄN</t>
        </is>
      </c>
      <c r="E490" t="inlineStr">
        <is>
          <t>SALA</t>
        </is>
      </c>
      <c r="G490" t="n">
        <v>7.8</v>
      </c>
      <c r="H490" t="n">
        <v>0</v>
      </c>
      <c r="I490" t="n">
        <v>0</v>
      </c>
      <c r="J490" t="n">
        <v>0</v>
      </c>
      <c r="K490" t="n">
        <v>0</v>
      </c>
      <c r="L490" t="n">
        <v>0</v>
      </c>
      <c r="M490" t="n">
        <v>0</v>
      </c>
      <c r="N490" t="n">
        <v>0</v>
      </c>
      <c r="O490" t="n">
        <v>0</v>
      </c>
      <c r="P490" t="n">
        <v>0</v>
      </c>
      <c r="Q490" t="n">
        <v>0</v>
      </c>
      <c r="R490" s="2" t="inlineStr"/>
    </row>
    <row r="491" ht="15" customHeight="1">
      <c r="A491" t="inlineStr">
        <is>
          <t>A 49640-2025</t>
        </is>
      </c>
      <c r="B491" s="1" t="n">
        <v>45939.61459490741</v>
      </c>
      <c r="C491" s="1" t="n">
        <v>46142</v>
      </c>
      <c r="D491" t="inlineStr">
        <is>
          <t>VÄSTMANLANDS LÄN</t>
        </is>
      </c>
      <c r="E491" t="inlineStr">
        <is>
          <t>SALA</t>
        </is>
      </c>
      <c r="F491" t="inlineStr">
        <is>
          <t>Kommuner</t>
        </is>
      </c>
      <c r="G491" t="n">
        <v>18.8</v>
      </c>
      <c r="H491" t="n">
        <v>0</v>
      </c>
      <c r="I491" t="n">
        <v>0</v>
      </c>
      <c r="J491" t="n">
        <v>0</v>
      </c>
      <c r="K491" t="n">
        <v>0</v>
      </c>
      <c r="L491" t="n">
        <v>0</v>
      </c>
      <c r="M491" t="n">
        <v>0</v>
      </c>
      <c r="N491" t="n">
        <v>0</v>
      </c>
      <c r="O491" t="n">
        <v>0</v>
      </c>
      <c r="P491" t="n">
        <v>0</v>
      </c>
      <c r="Q491" t="n">
        <v>0</v>
      </c>
      <c r="R491" s="2" t="inlineStr"/>
    </row>
    <row r="492" ht="15" customHeight="1">
      <c r="A492" t="inlineStr">
        <is>
          <t>A 16760-2024</t>
        </is>
      </c>
      <c r="B492" s="1" t="n">
        <v>45411</v>
      </c>
      <c r="C492" s="1" t="n">
        <v>46142</v>
      </c>
      <c r="D492" t="inlineStr">
        <is>
          <t>VÄSTMANLANDS LÄN</t>
        </is>
      </c>
      <c r="E492" t="inlineStr">
        <is>
          <t>SALA</t>
        </is>
      </c>
      <c r="G492" t="n">
        <v>2.6</v>
      </c>
      <c r="H492" t="n">
        <v>0</v>
      </c>
      <c r="I492" t="n">
        <v>0</v>
      </c>
      <c r="J492" t="n">
        <v>0</v>
      </c>
      <c r="K492" t="n">
        <v>0</v>
      </c>
      <c r="L492" t="n">
        <v>0</v>
      </c>
      <c r="M492" t="n">
        <v>0</v>
      </c>
      <c r="N492" t="n">
        <v>0</v>
      </c>
      <c r="O492" t="n">
        <v>0</v>
      </c>
      <c r="P492" t="n">
        <v>0</v>
      </c>
      <c r="Q492" t="n">
        <v>0</v>
      </c>
      <c r="R492" s="2" t="inlineStr"/>
    </row>
    <row r="493" ht="15" customHeight="1">
      <c r="A493" t="inlineStr">
        <is>
          <t>A 54603-2024</t>
        </is>
      </c>
      <c r="B493" s="1" t="n">
        <v>45617.68224537037</v>
      </c>
      <c r="C493" s="1" t="n">
        <v>46142</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49585-2025</t>
        </is>
      </c>
      <c r="B494" s="1" t="n">
        <v>45939.5043287037</v>
      </c>
      <c r="C494" s="1" t="n">
        <v>46142</v>
      </c>
      <c r="D494" t="inlineStr">
        <is>
          <t>VÄSTMANLANDS LÄN</t>
        </is>
      </c>
      <c r="E494" t="inlineStr">
        <is>
          <t>SALA</t>
        </is>
      </c>
      <c r="G494" t="n">
        <v>2.2</v>
      </c>
      <c r="H494" t="n">
        <v>0</v>
      </c>
      <c r="I494" t="n">
        <v>0</v>
      </c>
      <c r="J494" t="n">
        <v>0</v>
      </c>
      <c r="K494" t="n">
        <v>0</v>
      </c>
      <c r="L494" t="n">
        <v>0</v>
      </c>
      <c r="M494" t="n">
        <v>0</v>
      </c>
      <c r="N494" t="n">
        <v>0</v>
      </c>
      <c r="O494" t="n">
        <v>0</v>
      </c>
      <c r="P494" t="n">
        <v>0</v>
      </c>
      <c r="Q494" t="n">
        <v>0</v>
      </c>
      <c r="R494" s="2" t="inlineStr"/>
    </row>
    <row r="495" ht="15" customHeight="1">
      <c r="A495" t="inlineStr">
        <is>
          <t>A 18762-2024</t>
        </is>
      </c>
      <c r="B495" s="1" t="n">
        <v>45426.55240740741</v>
      </c>
      <c r="C495" s="1" t="n">
        <v>46142</v>
      </c>
      <c r="D495" t="inlineStr">
        <is>
          <t>VÄSTMANLANDS LÄN</t>
        </is>
      </c>
      <c r="E495" t="inlineStr">
        <is>
          <t>SALA</t>
        </is>
      </c>
      <c r="G495" t="n">
        <v>6.2</v>
      </c>
      <c r="H495" t="n">
        <v>0</v>
      </c>
      <c r="I495" t="n">
        <v>0</v>
      </c>
      <c r="J495" t="n">
        <v>0</v>
      </c>
      <c r="K495" t="n">
        <v>0</v>
      </c>
      <c r="L495" t="n">
        <v>0</v>
      </c>
      <c r="M495" t="n">
        <v>0</v>
      </c>
      <c r="N495" t="n">
        <v>0</v>
      </c>
      <c r="O495" t="n">
        <v>0</v>
      </c>
      <c r="P495" t="n">
        <v>0</v>
      </c>
      <c r="Q495" t="n">
        <v>0</v>
      </c>
      <c r="R495" s="2" t="inlineStr"/>
    </row>
    <row r="496" ht="15" customHeight="1">
      <c r="A496" t="inlineStr">
        <is>
          <t>A 50128-2025</t>
        </is>
      </c>
      <c r="B496" s="1" t="n">
        <v>45943.55318287037</v>
      </c>
      <c r="C496" s="1" t="n">
        <v>46142</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17120-2023</t>
        </is>
      </c>
      <c r="B497" s="1" t="n">
        <v>45034</v>
      </c>
      <c r="C497" s="1" t="n">
        <v>46142</v>
      </c>
      <c r="D497" t="inlineStr">
        <is>
          <t>VÄSTMANLANDS LÄN</t>
        </is>
      </c>
      <c r="E497" t="inlineStr">
        <is>
          <t>SALA</t>
        </is>
      </c>
      <c r="G497" t="n">
        <v>0.1</v>
      </c>
      <c r="H497" t="n">
        <v>0</v>
      </c>
      <c r="I497" t="n">
        <v>0</v>
      </c>
      <c r="J497" t="n">
        <v>0</v>
      </c>
      <c r="K497" t="n">
        <v>0</v>
      </c>
      <c r="L497" t="n">
        <v>0</v>
      </c>
      <c r="M497" t="n">
        <v>0</v>
      </c>
      <c r="N497" t="n">
        <v>0</v>
      </c>
      <c r="O497" t="n">
        <v>0</v>
      </c>
      <c r="P497" t="n">
        <v>0</v>
      </c>
      <c r="Q497" t="n">
        <v>0</v>
      </c>
      <c r="R497" s="2" t="inlineStr"/>
    </row>
    <row r="498" ht="15" customHeight="1">
      <c r="A498" t="inlineStr">
        <is>
          <t>A 42938-2023</t>
        </is>
      </c>
      <c r="B498" s="1" t="n">
        <v>45179</v>
      </c>
      <c r="C498" s="1" t="n">
        <v>46142</v>
      </c>
      <c r="D498" t="inlineStr">
        <is>
          <t>VÄSTMANLANDS LÄN</t>
        </is>
      </c>
      <c r="E498" t="inlineStr">
        <is>
          <t>SALA</t>
        </is>
      </c>
      <c r="G498" t="n">
        <v>10.9</v>
      </c>
      <c r="H498" t="n">
        <v>0</v>
      </c>
      <c r="I498" t="n">
        <v>0</v>
      </c>
      <c r="J498" t="n">
        <v>0</v>
      </c>
      <c r="K498" t="n">
        <v>0</v>
      </c>
      <c r="L498" t="n">
        <v>0</v>
      </c>
      <c r="M498" t="n">
        <v>0</v>
      </c>
      <c r="N498" t="n">
        <v>0</v>
      </c>
      <c r="O498" t="n">
        <v>0</v>
      </c>
      <c r="P498" t="n">
        <v>0</v>
      </c>
      <c r="Q498" t="n">
        <v>0</v>
      </c>
      <c r="R498" s="2" t="inlineStr"/>
    </row>
    <row r="499" ht="15" customHeight="1">
      <c r="A499" t="inlineStr">
        <is>
          <t>A 42984-2023</t>
        </is>
      </c>
      <c r="B499" s="1" t="n">
        <v>45179</v>
      </c>
      <c r="C499" s="1" t="n">
        <v>46142</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15972-2024</t>
        </is>
      </c>
      <c r="B500" s="1" t="n">
        <v>45405.56498842593</v>
      </c>
      <c r="C500" s="1" t="n">
        <v>46142</v>
      </c>
      <c r="D500" t="inlineStr">
        <is>
          <t>VÄSTMANLANDS LÄN</t>
        </is>
      </c>
      <c r="E500" t="inlineStr">
        <is>
          <t>SALA</t>
        </is>
      </c>
      <c r="G500" t="n">
        <v>1.8</v>
      </c>
      <c r="H500" t="n">
        <v>0</v>
      </c>
      <c r="I500" t="n">
        <v>0</v>
      </c>
      <c r="J500" t="n">
        <v>0</v>
      </c>
      <c r="K500" t="n">
        <v>0</v>
      </c>
      <c r="L500" t="n">
        <v>0</v>
      </c>
      <c r="M500" t="n">
        <v>0</v>
      </c>
      <c r="N500" t="n">
        <v>0</v>
      </c>
      <c r="O500" t="n">
        <v>0</v>
      </c>
      <c r="P500" t="n">
        <v>0</v>
      </c>
      <c r="Q500" t="n">
        <v>0</v>
      </c>
      <c r="R500" s="2" t="inlineStr"/>
    </row>
    <row r="501" ht="15" customHeight="1">
      <c r="A501" t="inlineStr">
        <is>
          <t>A 39714-2023</t>
        </is>
      </c>
      <c r="B501" s="1" t="n">
        <v>45167.62133101852</v>
      </c>
      <c r="C501" s="1" t="n">
        <v>46142</v>
      </c>
      <c r="D501" t="inlineStr">
        <is>
          <t>VÄSTMANLANDS LÄN</t>
        </is>
      </c>
      <c r="E501" t="inlineStr">
        <is>
          <t>SALA</t>
        </is>
      </c>
      <c r="G501" t="n">
        <v>1.3</v>
      </c>
      <c r="H501" t="n">
        <v>0</v>
      </c>
      <c r="I501" t="n">
        <v>0</v>
      </c>
      <c r="J501" t="n">
        <v>0</v>
      </c>
      <c r="K501" t="n">
        <v>0</v>
      </c>
      <c r="L501" t="n">
        <v>0</v>
      </c>
      <c r="M501" t="n">
        <v>0</v>
      </c>
      <c r="N501" t="n">
        <v>0</v>
      </c>
      <c r="O501" t="n">
        <v>0</v>
      </c>
      <c r="P501" t="n">
        <v>0</v>
      </c>
      <c r="Q501" t="n">
        <v>0</v>
      </c>
      <c r="R501" s="2" t="inlineStr"/>
    </row>
    <row r="502" ht="15" customHeight="1">
      <c r="A502" t="inlineStr">
        <is>
          <t>A 50249-2025</t>
        </is>
      </c>
      <c r="B502" s="1" t="n">
        <v>45944.31508101852</v>
      </c>
      <c r="C502" s="1" t="n">
        <v>46142</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50119-2025</t>
        </is>
      </c>
      <c r="B503" s="1" t="n">
        <v>45943.54883101852</v>
      </c>
      <c r="C503" s="1" t="n">
        <v>46142</v>
      </c>
      <c r="D503" t="inlineStr">
        <is>
          <t>VÄSTMANLANDS LÄN</t>
        </is>
      </c>
      <c r="E503" t="inlineStr">
        <is>
          <t>SALA</t>
        </is>
      </c>
      <c r="G503" t="n">
        <v>3.3</v>
      </c>
      <c r="H503" t="n">
        <v>0</v>
      </c>
      <c r="I503" t="n">
        <v>0</v>
      </c>
      <c r="J503" t="n">
        <v>0</v>
      </c>
      <c r="K503" t="n">
        <v>0</v>
      </c>
      <c r="L503" t="n">
        <v>0</v>
      </c>
      <c r="M503" t="n">
        <v>0</v>
      </c>
      <c r="N503" t="n">
        <v>0</v>
      </c>
      <c r="O503" t="n">
        <v>0</v>
      </c>
      <c r="P503" t="n">
        <v>0</v>
      </c>
      <c r="Q503" t="n">
        <v>0</v>
      </c>
      <c r="R503" s="2" t="inlineStr"/>
    </row>
    <row r="504" ht="15" customHeight="1">
      <c r="A504" t="inlineStr">
        <is>
          <t>A 50059-2025</t>
        </is>
      </c>
      <c r="B504" s="1" t="n">
        <v>45943.44125</v>
      </c>
      <c r="C504" s="1" t="n">
        <v>46142</v>
      </c>
      <c r="D504" t="inlineStr">
        <is>
          <t>VÄSTMANLANDS LÄN</t>
        </is>
      </c>
      <c r="E504" t="inlineStr">
        <is>
          <t>SALA</t>
        </is>
      </c>
      <c r="G504" t="n">
        <v>4.4</v>
      </c>
      <c r="H504" t="n">
        <v>0</v>
      </c>
      <c r="I504" t="n">
        <v>0</v>
      </c>
      <c r="J504" t="n">
        <v>0</v>
      </c>
      <c r="K504" t="n">
        <v>0</v>
      </c>
      <c r="L504" t="n">
        <v>0</v>
      </c>
      <c r="M504" t="n">
        <v>0</v>
      </c>
      <c r="N504" t="n">
        <v>0</v>
      </c>
      <c r="O504" t="n">
        <v>0</v>
      </c>
      <c r="P504" t="n">
        <v>0</v>
      </c>
      <c r="Q504" t="n">
        <v>0</v>
      </c>
      <c r="R504" s="2" t="inlineStr"/>
    </row>
    <row r="505" ht="15" customHeight="1">
      <c r="A505" t="inlineStr">
        <is>
          <t>A 33527-2023</t>
        </is>
      </c>
      <c r="B505" s="1" t="n">
        <v>45131</v>
      </c>
      <c r="C505" s="1" t="n">
        <v>46142</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10913-2025</t>
        </is>
      </c>
      <c r="B506" s="1" t="n">
        <v>45722.73423611111</v>
      </c>
      <c r="C506" s="1" t="n">
        <v>46142</v>
      </c>
      <c r="D506" t="inlineStr">
        <is>
          <t>VÄSTMANLANDS LÄN</t>
        </is>
      </c>
      <c r="E506" t="inlineStr">
        <is>
          <t>SALA</t>
        </is>
      </c>
      <c r="G506" t="n">
        <v>7.6</v>
      </c>
      <c r="H506" t="n">
        <v>0</v>
      </c>
      <c r="I506" t="n">
        <v>0</v>
      </c>
      <c r="J506" t="n">
        <v>0</v>
      </c>
      <c r="K506" t="n">
        <v>0</v>
      </c>
      <c r="L506" t="n">
        <v>0</v>
      </c>
      <c r="M506" t="n">
        <v>0</v>
      </c>
      <c r="N506" t="n">
        <v>0</v>
      </c>
      <c r="O506" t="n">
        <v>0</v>
      </c>
      <c r="P506" t="n">
        <v>0</v>
      </c>
      <c r="Q506" t="n">
        <v>0</v>
      </c>
      <c r="R506" s="2" t="inlineStr"/>
    </row>
    <row r="507" ht="15" customHeight="1">
      <c r="A507" t="inlineStr">
        <is>
          <t>A 58107-2021</t>
        </is>
      </c>
      <c r="B507" s="1" t="n">
        <v>44487</v>
      </c>
      <c r="C507" s="1" t="n">
        <v>46142</v>
      </c>
      <c r="D507" t="inlineStr">
        <is>
          <t>VÄSTMANLANDS LÄN</t>
        </is>
      </c>
      <c r="E507" t="inlineStr">
        <is>
          <t>SALA</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2927-2024</t>
        </is>
      </c>
      <c r="B508" s="1" t="n">
        <v>45315.58989583333</v>
      </c>
      <c r="C508" s="1" t="n">
        <v>46142</v>
      </c>
      <c r="D508" t="inlineStr">
        <is>
          <t>VÄSTMANLANDS LÄN</t>
        </is>
      </c>
      <c r="E508" t="inlineStr">
        <is>
          <t>SALA</t>
        </is>
      </c>
      <c r="G508" t="n">
        <v>2.5</v>
      </c>
      <c r="H508" t="n">
        <v>0</v>
      </c>
      <c r="I508" t="n">
        <v>0</v>
      </c>
      <c r="J508" t="n">
        <v>0</v>
      </c>
      <c r="K508" t="n">
        <v>0</v>
      </c>
      <c r="L508" t="n">
        <v>0</v>
      </c>
      <c r="M508" t="n">
        <v>0</v>
      </c>
      <c r="N508" t="n">
        <v>0</v>
      </c>
      <c r="O508" t="n">
        <v>0</v>
      </c>
      <c r="P508" t="n">
        <v>0</v>
      </c>
      <c r="Q508" t="n">
        <v>0</v>
      </c>
      <c r="R508" s="2" t="inlineStr"/>
    </row>
    <row r="509" ht="15" customHeight="1">
      <c r="A509" t="inlineStr">
        <is>
          <t>A 37183-2024</t>
        </is>
      </c>
      <c r="B509" s="1" t="n">
        <v>45539</v>
      </c>
      <c r="C509" s="1" t="n">
        <v>46142</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54199-2024</t>
        </is>
      </c>
      <c r="B510" s="1" t="n">
        <v>45616.64703703704</v>
      </c>
      <c r="C510" s="1" t="n">
        <v>46142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60548-2024</t>
        </is>
      </c>
      <c r="B511" s="1" t="n">
        <v>45643.80978009259</v>
      </c>
      <c r="C511" s="1" t="n">
        <v>46142</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51626-2025</t>
        </is>
      </c>
      <c r="B512" s="1" t="n">
        <v>45951.41769675926</v>
      </c>
      <c r="C512" s="1" t="n">
        <v>46142</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51690-2025</t>
        </is>
      </c>
      <c r="B513" s="1" t="n">
        <v>45951.53462962963</v>
      </c>
      <c r="C513" s="1" t="n">
        <v>46142</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51809-2025</t>
        </is>
      </c>
      <c r="B514" s="1" t="n">
        <v>45951.80116898148</v>
      </c>
      <c r="C514" s="1" t="n">
        <v>46142</v>
      </c>
      <c r="D514" t="inlineStr">
        <is>
          <t>VÄSTMANLANDS LÄN</t>
        </is>
      </c>
      <c r="E514" t="inlineStr">
        <is>
          <t>SALA</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51803-2025</t>
        </is>
      </c>
      <c r="B515" s="1" t="n">
        <v>45951.76818287037</v>
      </c>
      <c r="C515" s="1" t="n">
        <v>46142</v>
      </c>
      <c r="D515" t="inlineStr">
        <is>
          <t>VÄSTMANLANDS LÄN</t>
        </is>
      </c>
      <c r="E515" t="inlineStr">
        <is>
          <t>SALA</t>
        </is>
      </c>
      <c r="F515" t="inlineStr">
        <is>
          <t>Kommuner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51805-2025</t>
        </is>
      </c>
      <c r="B516" s="1" t="n">
        <v>45951.78359953704</v>
      </c>
      <c r="C516" s="1" t="n">
        <v>46142</v>
      </c>
      <c r="D516" t="inlineStr">
        <is>
          <t>VÄSTMANLANDS LÄN</t>
        </is>
      </c>
      <c r="E516" t="inlineStr">
        <is>
          <t>SALA</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51804-2025</t>
        </is>
      </c>
      <c r="B517" s="1" t="n">
        <v>45951.77697916667</v>
      </c>
      <c r="C517" s="1" t="n">
        <v>46142</v>
      </c>
      <c r="D517" t="inlineStr">
        <is>
          <t>VÄSTMANLANDS LÄN</t>
        </is>
      </c>
      <c r="E517" t="inlineStr">
        <is>
          <t>SALA</t>
        </is>
      </c>
      <c r="F517" t="inlineStr">
        <is>
          <t>Kommuner</t>
        </is>
      </c>
      <c r="G517" t="n">
        <v>2</v>
      </c>
      <c r="H517" t="n">
        <v>0</v>
      </c>
      <c r="I517" t="n">
        <v>0</v>
      </c>
      <c r="J517" t="n">
        <v>0</v>
      </c>
      <c r="K517" t="n">
        <v>0</v>
      </c>
      <c r="L517" t="n">
        <v>0</v>
      </c>
      <c r="M517" t="n">
        <v>0</v>
      </c>
      <c r="N517" t="n">
        <v>0</v>
      </c>
      <c r="O517" t="n">
        <v>0</v>
      </c>
      <c r="P517" t="n">
        <v>0</v>
      </c>
      <c r="Q517" t="n">
        <v>0</v>
      </c>
      <c r="R517" s="2" t="inlineStr"/>
    </row>
    <row r="518" ht="15" customHeight="1">
      <c r="A518" t="inlineStr">
        <is>
          <t>A 51808-2025</t>
        </is>
      </c>
      <c r="B518" s="1" t="n">
        <v>45951.79302083333</v>
      </c>
      <c r="C518" s="1" t="n">
        <v>46142</v>
      </c>
      <c r="D518" t="inlineStr">
        <is>
          <t>VÄSTMANLANDS LÄN</t>
        </is>
      </c>
      <c r="E518" t="inlineStr">
        <is>
          <t>SALA</t>
        </is>
      </c>
      <c r="F518" t="inlineStr">
        <is>
          <t>Kommuner</t>
        </is>
      </c>
      <c r="G518" t="n">
        <v>3</v>
      </c>
      <c r="H518" t="n">
        <v>0</v>
      </c>
      <c r="I518" t="n">
        <v>0</v>
      </c>
      <c r="J518" t="n">
        <v>0</v>
      </c>
      <c r="K518" t="n">
        <v>0</v>
      </c>
      <c r="L518" t="n">
        <v>0</v>
      </c>
      <c r="M518" t="n">
        <v>0</v>
      </c>
      <c r="N518" t="n">
        <v>0</v>
      </c>
      <c r="O518" t="n">
        <v>0</v>
      </c>
      <c r="P518" t="n">
        <v>0</v>
      </c>
      <c r="Q518" t="n">
        <v>0</v>
      </c>
      <c r="R518" s="2" t="inlineStr"/>
    </row>
    <row r="519" ht="15" customHeight="1">
      <c r="A519" t="inlineStr">
        <is>
          <t>A 57895-2024</t>
        </is>
      </c>
      <c r="B519" s="1" t="n">
        <v>45631</v>
      </c>
      <c r="C519" s="1" t="n">
        <v>46142</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51764-2025</t>
        </is>
      </c>
      <c r="B520" s="1" t="n">
        <v>45951.63636574074</v>
      </c>
      <c r="C520" s="1" t="n">
        <v>46142</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31597-2024</t>
        </is>
      </c>
      <c r="B521" s="1" t="n">
        <v>45506</v>
      </c>
      <c r="C521" s="1" t="n">
        <v>46142</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17458-2024</t>
        </is>
      </c>
      <c r="B522" s="1" t="n">
        <v>45415</v>
      </c>
      <c r="C522" s="1" t="n">
        <v>46142</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56543-2024</t>
        </is>
      </c>
      <c r="B523" s="1" t="n">
        <v>45625</v>
      </c>
      <c r="C523" s="1" t="n">
        <v>46142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28661-2024</t>
        </is>
      </c>
      <c r="B524" s="1" t="n">
        <v>45478</v>
      </c>
      <c r="C524" s="1" t="n">
        <v>46142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2529-2022</t>
        </is>
      </c>
      <c r="B525" s="1" t="n">
        <v>44579.86452546297</v>
      </c>
      <c r="C525" s="1" t="n">
        <v>46142</v>
      </c>
      <c r="D525" t="inlineStr">
        <is>
          <t>VÄSTMANLANDS LÄN</t>
        </is>
      </c>
      <c r="E525" t="inlineStr">
        <is>
          <t>SALA</t>
        </is>
      </c>
      <c r="G525" t="n">
        <v>1.7</v>
      </c>
      <c r="H525" t="n">
        <v>0</v>
      </c>
      <c r="I525" t="n">
        <v>0</v>
      </c>
      <c r="J525" t="n">
        <v>0</v>
      </c>
      <c r="K525" t="n">
        <v>0</v>
      </c>
      <c r="L525" t="n">
        <v>0</v>
      </c>
      <c r="M525" t="n">
        <v>0</v>
      </c>
      <c r="N525" t="n">
        <v>0</v>
      </c>
      <c r="O525" t="n">
        <v>0</v>
      </c>
      <c r="P525" t="n">
        <v>0</v>
      </c>
      <c r="Q525" t="n">
        <v>0</v>
      </c>
      <c r="R525" s="2" t="inlineStr"/>
    </row>
    <row r="526" ht="15" customHeight="1">
      <c r="A526" t="inlineStr">
        <is>
          <t>A 56540-2024</t>
        </is>
      </c>
      <c r="B526" s="1" t="n">
        <v>45625</v>
      </c>
      <c r="C526" s="1" t="n">
        <v>46142</v>
      </c>
      <c r="D526" t="inlineStr">
        <is>
          <t>VÄSTMANLANDS LÄN</t>
        </is>
      </c>
      <c r="E526" t="inlineStr">
        <is>
          <t>SALA</t>
        </is>
      </c>
      <c r="G526" t="n">
        <v>1.8</v>
      </c>
      <c r="H526" t="n">
        <v>0</v>
      </c>
      <c r="I526" t="n">
        <v>0</v>
      </c>
      <c r="J526" t="n">
        <v>0</v>
      </c>
      <c r="K526" t="n">
        <v>0</v>
      </c>
      <c r="L526" t="n">
        <v>0</v>
      </c>
      <c r="M526" t="n">
        <v>0</v>
      </c>
      <c r="N526" t="n">
        <v>0</v>
      </c>
      <c r="O526" t="n">
        <v>0</v>
      </c>
      <c r="P526" t="n">
        <v>0</v>
      </c>
      <c r="Q526" t="n">
        <v>0</v>
      </c>
      <c r="R526" s="2" t="inlineStr"/>
    </row>
    <row r="527" ht="15" customHeight="1">
      <c r="A527" t="inlineStr">
        <is>
          <t>A 31599-2024</t>
        </is>
      </c>
      <c r="B527" s="1" t="n">
        <v>45506</v>
      </c>
      <c r="C527" s="1" t="n">
        <v>46142</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31601-2024</t>
        </is>
      </c>
      <c r="B528" s="1" t="n">
        <v>45506</v>
      </c>
      <c r="C528" s="1" t="n">
        <v>46142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31608-2024</t>
        </is>
      </c>
      <c r="B529" s="1" t="n">
        <v>45506</v>
      </c>
      <c r="C529" s="1" t="n">
        <v>46142</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31612-2024</t>
        </is>
      </c>
      <c r="B530" s="1" t="n">
        <v>45506</v>
      </c>
      <c r="C530" s="1" t="n">
        <v>46142</v>
      </c>
      <c r="D530" t="inlineStr">
        <is>
          <t>VÄSTMANLANDS LÄN</t>
        </is>
      </c>
      <c r="E530" t="inlineStr">
        <is>
          <t>SALA</t>
        </is>
      </c>
      <c r="G530" t="n">
        <v>3.2</v>
      </c>
      <c r="H530" t="n">
        <v>0</v>
      </c>
      <c r="I530" t="n">
        <v>0</v>
      </c>
      <c r="J530" t="n">
        <v>0</v>
      </c>
      <c r="K530" t="n">
        <v>0</v>
      </c>
      <c r="L530" t="n">
        <v>0</v>
      </c>
      <c r="M530" t="n">
        <v>0</v>
      </c>
      <c r="N530" t="n">
        <v>0</v>
      </c>
      <c r="O530" t="n">
        <v>0</v>
      </c>
      <c r="P530" t="n">
        <v>0</v>
      </c>
      <c r="Q530" t="n">
        <v>0</v>
      </c>
      <c r="R530" s="2" t="inlineStr"/>
    </row>
    <row r="531" ht="15" customHeight="1">
      <c r="A531" t="inlineStr">
        <is>
          <t>A 10579-2022</t>
        </is>
      </c>
      <c r="B531" s="1" t="n">
        <v>44624</v>
      </c>
      <c r="C531" s="1" t="n">
        <v>46142</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64693-2023</t>
        </is>
      </c>
      <c r="B532" s="1" t="n">
        <v>45281.63850694444</v>
      </c>
      <c r="C532" s="1" t="n">
        <v>46142</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64695-2023</t>
        </is>
      </c>
      <c r="B533" s="1" t="n">
        <v>45281.64099537037</v>
      </c>
      <c r="C533" s="1" t="n">
        <v>46142</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53744-2025</t>
        </is>
      </c>
      <c r="B534" s="1" t="n">
        <v>45960.64863425926</v>
      </c>
      <c r="C534" s="1" t="n">
        <v>46142</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53725-2025</t>
        </is>
      </c>
      <c r="B535" s="1" t="n">
        <v>45960.63394675926</v>
      </c>
      <c r="C535" s="1" t="n">
        <v>46142</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53724-2025</t>
        </is>
      </c>
      <c r="B536" s="1" t="n">
        <v>45960.63174768518</v>
      </c>
      <c r="C536" s="1" t="n">
        <v>46142</v>
      </c>
      <c r="D536" t="inlineStr">
        <is>
          <t>VÄSTMANLANDS LÄN</t>
        </is>
      </c>
      <c r="E536" t="inlineStr">
        <is>
          <t>SALA</t>
        </is>
      </c>
      <c r="G536" t="n">
        <v>2.8</v>
      </c>
      <c r="H536" t="n">
        <v>0</v>
      </c>
      <c r="I536" t="n">
        <v>0</v>
      </c>
      <c r="J536" t="n">
        <v>0</v>
      </c>
      <c r="K536" t="n">
        <v>0</v>
      </c>
      <c r="L536" t="n">
        <v>0</v>
      </c>
      <c r="M536" t="n">
        <v>0</v>
      </c>
      <c r="N536" t="n">
        <v>0</v>
      </c>
      <c r="O536" t="n">
        <v>0</v>
      </c>
      <c r="P536" t="n">
        <v>0</v>
      </c>
      <c r="Q536" t="n">
        <v>0</v>
      </c>
      <c r="R536" s="2" t="inlineStr"/>
    </row>
    <row r="537" ht="15" customHeight="1">
      <c r="A537" t="inlineStr">
        <is>
          <t>A 55784-2024</t>
        </is>
      </c>
      <c r="B537" s="1" t="n">
        <v>45623</v>
      </c>
      <c r="C537" s="1" t="n">
        <v>46142</v>
      </c>
      <c r="D537" t="inlineStr">
        <is>
          <t>VÄSTMANLANDS LÄN</t>
        </is>
      </c>
      <c r="E537" t="inlineStr">
        <is>
          <t>SALA</t>
        </is>
      </c>
      <c r="F537" t="inlineStr">
        <is>
          <t>Bergvik skog öst AB</t>
        </is>
      </c>
      <c r="G537" t="n">
        <v>28.4</v>
      </c>
      <c r="H537" t="n">
        <v>0</v>
      </c>
      <c r="I537" t="n">
        <v>0</v>
      </c>
      <c r="J537" t="n">
        <v>0</v>
      </c>
      <c r="K537" t="n">
        <v>0</v>
      </c>
      <c r="L537" t="n">
        <v>0</v>
      </c>
      <c r="M537" t="n">
        <v>0</v>
      </c>
      <c r="N537" t="n">
        <v>0</v>
      </c>
      <c r="O537" t="n">
        <v>0</v>
      </c>
      <c r="P537" t="n">
        <v>0</v>
      </c>
      <c r="Q537" t="n">
        <v>0</v>
      </c>
      <c r="R537" s="2" t="inlineStr"/>
    </row>
    <row r="538" ht="15" customHeight="1">
      <c r="A538" t="inlineStr">
        <is>
          <t>A 38636-2024</t>
        </is>
      </c>
      <c r="B538" s="1" t="n">
        <v>45546</v>
      </c>
      <c r="C538" s="1" t="n">
        <v>46142</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54201-2025</t>
        </is>
      </c>
      <c r="B539" s="1" t="n">
        <v>45964.58055555556</v>
      </c>
      <c r="C539" s="1" t="n">
        <v>46142</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29542-2023</t>
        </is>
      </c>
      <c r="B540" s="1" t="n">
        <v>45098</v>
      </c>
      <c r="C540" s="1" t="n">
        <v>46142</v>
      </c>
      <c r="D540" t="inlineStr">
        <is>
          <t>VÄSTMANLANDS LÄN</t>
        </is>
      </c>
      <c r="E540" t="inlineStr">
        <is>
          <t>SALA</t>
        </is>
      </c>
      <c r="G540" t="n">
        <v>4.8</v>
      </c>
      <c r="H540" t="n">
        <v>0</v>
      </c>
      <c r="I540" t="n">
        <v>0</v>
      </c>
      <c r="J540" t="n">
        <v>0</v>
      </c>
      <c r="K540" t="n">
        <v>0</v>
      </c>
      <c r="L540" t="n">
        <v>0</v>
      </c>
      <c r="M540" t="n">
        <v>0</v>
      </c>
      <c r="N540" t="n">
        <v>0</v>
      </c>
      <c r="O540" t="n">
        <v>0</v>
      </c>
      <c r="P540" t="n">
        <v>0</v>
      </c>
      <c r="Q540" t="n">
        <v>0</v>
      </c>
      <c r="R540" s="2" t="inlineStr"/>
    </row>
    <row r="541" ht="15" customHeight="1">
      <c r="A541" t="inlineStr">
        <is>
          <t>A 27038-2023</t>
        </is>
      </c>
      <c r="B541" s="1" t="n">
        <v>45095</v>
      </c>
      <c r="C541" s="1" t="n">
        <v>46142</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54344-2025</t>
        </is>
      </c>
      <c r="B542" s="1" t="n">
        <v>45965.36462962963</v>
      </c>
      <c r="C542" s="1" t="n">
        <v>46142</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17051-2025</t>
        </is>
      </c>
      <c r="B543" s="1" t="n">
        <v>45755</v>
      </c>
      <c r="C543" s="1" t="n">
        <v>46142</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54590-2025</t>
        </is>
      </c>
      <c r="B544" s="1" t="n">
        <v>45965.74199074074</v>
      </c>
      <c r="C544" s="1" t="n">
        <v>46142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8285-2025</t>
        </is>
      </c>
      <c r="B545" s="1" t="n">
        <v>45708</v>
      </c>
      <c r="C545" s="1" t="n">
        <v>46142</v>
      </c>
      <c r="D545" t="inlineStr">
        <is>
          <t>VÄSTMANLANDS LÄN</t>
        </is>
      </c>
      <c r="E545" t="inlineStr">
        <is>
          <t>SALA</t>
        </is>
      </c>
      <c r="G545" t="n">
        <v>5.7</v>
      </c>
      <c r="H545" t="n">
        <v>0</v>
      </c>
      <c r="I545" t="n">
        <v>0</v>
      </c>
      <c r="J545" t="n">
        <v>0</v>
      </c>
      <c r="K545" t="n">
        <v>0</v>
      </c>
      <c r="L545" t="n">
        <v>0</v>
      </c>
      <c r="M545" t="n">
        <v>0</v>
      </c>
      <c r="N545" t="n">
        <v>0</v>
      </c>
      <c r="O545" t="n">
        <v>0</v>
      </c>
      <c r="P545" t="n">
        <v>0</v>
      </c>
      <c r="Q545" t="n">
        <v>0</v>
      </c>
      <c r="R545" s="2" t="inlineStr"/>
    </row>
    <row r="546" ht="15" customHeight="1">
      <c r="A546" t="inlineStr">
        <is>
          <t>A 54893-2025</t>
        </is>
      </c>
      <c r="B546" s="1" t="n">
        <v>45967.36383101852</v>
      </c>
      <c r="C546" s="1" t="n">
        <v>46142</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22019-2021</t>
        </is>
      </c>
      <c r="B547" s="1" t="n">
        <v>44323</v>
      </c>
      <c r="C547" s="1" t="n">
        <v>46142</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57404-2024</t>
        </is>
      </c>
      <c r="B548" s="1" t="n">
        <v>45629.71967592592</v>
      </c>
      <c r="C548" s="1" t="n">
        <v>46142</v>
      </c>
      <c r="D548" t="inlineStr">
        <is>
          <t>VÄSTMANLANDS LÄN</t>
        </is>
      </c>
      <c r="E548" t="inlineStr">
        <is>
          <t>SALA</t>
        </is>
      </c>
      <c r="G548" t="n">
        <v>0.3</v>
      </c>
      <c r="H548" t="n">
        <v>0</v>
      </c>
      <c r="I548" t="n">
        <v>0</v>
      </c>
      <c r="J548" t="n">
        <v>0</v>
      </c>
      <c r="K548" t="n">
        <v>0</v>
      </c>
      <c r="L548" t="n">
        <v>0</v>
      </c>
      <c r="M548" t="n">
        <v>0</v>
      </c>
      <c r="N548" t="n">
        <v>0</v>
      </c>
      <c r="O548" t="n">
        <v>0</v>
      </c>
      <c r="P548" t="n">
        <v>0</v>
      </c>
      <c r="Q548" t="n">
        <v>0</v>
      </c>
      <c r="R548" s="2" t="inlineStr"/>
    </row>
    <row r="549" ht="15" customHeight="1">
      <c r="A549" t="inlineStr">
        <is>
          <t>A 19033-2025</t>
        </is>
      </c>
      <c r="B549" s="1" t="n">
        <v>45764.65796296296</v>
      </c>
      <c r="C549" s="1" t="n">
        <v>46142</v>
      </c>
      <c r="D549" t="inlineStr">
        <is>
          <t>VÄSTMANLANDS LÄN</t>
        </is>
      </c>
      <c r="E549" t="inlineStr">
        <is>
          <t>SALA</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21777-2022</t>
        </is>
      </c>
      <c r="B550" s="1" t="n">
        <v>44708.48194444444</v>
      </c>
      <c r="C550" s="1" t="n">
        <v>46142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17866-2025</t>
        </is>
      </c>
      <c r="B551" s="1" t="n">
        <v>45758</v>
      </c>
      <c r="C551" s="1" t="n">
        <v>46142</v>
      </c>
      <c r="D551" t="inlineStr">
        <is>
          <t>VÄSTMANLANDS LÄN</t>
        </is>
      </c>
      <c r="E551" t="inlineStr">
        <is>
          <t>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33732-2023</t>
        </is>
      </c>
      <c r="B552" s="1" t="n">
        <v>45133.32409722222</v>
      </c>
      <c r="C552" s="1" t="n">
        <v>46142</v>
      </c>
      <c r="D552" t="inlineStr">
        <is>
          <t>VÄSTMANLANDS LÄN</t>
        </is>
      </c>
      <c r="E552" t="inlineStr">
        <is>
          <t>SALA</t>
        </is>
      </c>
      <c r="G552" t="n">
        <v>2</v>
      </c>
      <c r="H552" t="n">
        <v>0</v>
      </c>
      <c r="I552" t="n">
        <v>0</v>
      </c>
      <c r="J552" t="n">
        <v>0</v>
      </c>
      <c r="K552" t="n">
        <v>0</v>
      </c>
      <c r="L552" t="n">
        <v>0</v>
      </c>
      <c r="M552" t="n">
        <v>0</v>
      </c>
      <c r="N552" t="n">
        <v>0</v>
      </c>
      <c r="O552" t="n">
        <v>0</v>
      </c>
      <c r="P552" t="n">
        <v>0</v>
      </c>
      <c r="Q552" t="n">
        <v>0</v>
      </c>
      <c r="R552" s="2" t="inlineStr"/>
    </row>
    <row r="553" ht="15" customHeight="1">
      <c r="A553" t="inlineStr">
        <is>
          <t>A 7166-2025</t>
        </is>
      </c>
      <c r="B553" s="1" t="n">
        <v>45702</v>
      </c>
      <c r="C553" s="1" t="n">
        <v>46142</v>
      </c>
      <c r="D553" t="inlineStr">
        <is>
          <t>VÄSTMANLANDS LÄN</t>
        </is>
      </c>
      <c r="E553" t="inlineStr">
        <is>
          <t>SALA</t>
        </is>
      </c>
      <c r="G553" t="n">
        <v>6.1</v>
      </c>
      <c r="H553" t="n">
        <v>0</v>
      </c>
      <c r="I553" t="n">
        <v>0</v>
      </c>
      <c r="J553" t="n">
        <v>0</v>
      </c>
      <c r="K553" t="n">
        <v>0</v>
      </c>
      <c r="L553" t="n">
        <v>0</v>
      </c>
      <c r="M553" t="n">
        <v>0</v>
      </c>
      <c r="N553" t="n">
        <v>0</v>
      </c>
      <c r="O553" t="n">
        <v>0</v>
      </c>
      <c r="P553" t="n">
        <v>0</v>
      </c>
      <c r="Q553" t="n">
        <v>0</v>
      </c>
      <c r="R553" s="2" t="inlineStr"/>
    </row>
    <row r="554" ht="15" customHeight="1">
      <c r="A554" t="inlineStr">
        <is>
          <t>A 44857-2023</t>
        </is>
      </c>
      <c r="B554" s="1" t="n">
        <v>45190.58479166667</v>
      </c>
      <c r="C554" s="1" t="n">
        <v>46142</v>
      </c>
      <c r="D554" t="inlineStr">
        <is>
          <t>VÄSTMANLANDS LÄN</t>
        </is>
      </c>
      <c r="E554" t="inlineStr">
        <is>
          <t>SALA</t>
        </is>
      </c>
      <c r="G554" t="n">
        <v>1</v>
      </c>
      <c r="H554" t="n">
        <v>0</v>
      </c>
      <c r="I554" t="n">
        <v>0</v>
      </c>
      <c r="J554" t="n">
        <v>0</v>
      </c>
      <c r="K554" t="n">
        <v>0</v>
      </c>
      <c r="L554" t="n">
        <v>0</v>
      </c>
      <c r="M554" t="n">
        <v>0</v>
      </c>
      <c r="N554" t="n">
        <v>0</v>
      </c>
      <c r="O554" t="n">
        <v>0</v>
      </c>
      <c r="P554" t="n">
        <v>0</v>
      </c>
      <c r="Q554" t="n">
        <v>0</v>
      </c>
      <c r="R554" s="2" t="inlineStr"/>
    </row>
    <row r="555" ht="15" customHeight="1">
      <c r="A555" t="inlineStr">
        <is>
          <t>A 46352-2023</t>
        </is>
      </c>
      <c r="B555" s="1" t="n">
        <v>45192</v>
      </c>
      <c r="C555" s="1" t="n">
        <v>46142</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55997-2025</t>
        </is>
      </c>
      <c r="B556" s="1" t="n">
        <v>45973.56833333334</v>
      </c>
      <c r="C556" s="1" t="n">
        <v>46142</v>
      </c>
      <c r="D556" t="inlineStr">
        <is>
          <t>VÄSTMANLANDS LÄN</t>
        </is>
      </c>
      <c r="E556" t="inlineStr">
        <is>
          <t>SALA</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22397-2022</t>
        </is>
      </c>
      <c r="B557" s="1" t="n">
        <v>44713</v>
      </c>
      <c r="C557" s="1" t="n">
        <v>46142</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27424-2023</t>
        </is>
      </c>
      <c r="B558" s="1" t="n">
        <v>45097.37690972222</v>
      </c>
      <c r="C558" s="1" t="n">
        <v>46142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7469-2025</t>
        </is>
      </c>
      <c r="B559" s="1" t="n">
        <v>45705</v>
      </c>
      <c r="C559" s="1" t="n">
        <v>46142</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6691-2025</t>
        </is>
      </c>
      <c r="B560" s="1" t="n">
        <v>45700.50625</v>
      </c>
      <c r="C560" s="1" t="n">
        <v>46142</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60036-2024</t>
        </is>
      </c>
      <c r="B561" s="1" t="n">
        <v>45642.46434027778</v>
      </c>
      <c r="C561" s="1" t="n">
        <v>46142</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55714-2025</t>
        </is>
      </c>
      <c r="B562" s="1" t="n">
        <v>45972.49131944445</v>
      </c>
      <c r="C562" s="1" t="n">
        <v>46142</v>
      </c>
      <c r="D562" t="inlineStr">
        <is>
          <t>VÄSTMANLANDS LÄN</t>
        </is>
      </c>
      <c r="E562" t="inlineStr">
        <is>
          <t>SALA</t>
        </is>
      </c>
      <c r="G562" t="n">
        <v>6.6</v>
      </c>
      <c r="H562" t="n">
        <v>0</v>
      </c>
      <c r="I562" t="n">
        <v>0</v>
      </c>
      <c r="J562" t="n">
        <v>0</v>
      </c>
      <c r="K562" t="n">
        <v>0</v>
      </c>
      <c r="L562" t="n">
        <v>0</v>
      </c>
      <c r="M562" t="n">
        <v>0</v>
      </c>
      <c r="N562" t="n">
        <v>0</v>
      </c>
      <c r="O562" t="n">
        <v>0</v>
      </c>
      <c r="P562" t="n">
        <v>0</v>
      </c>
      <c r="Q562" t="n">
        <v>0</v>
      </c>
      <c r="R562" s="2" t="inlineStr"/>
    </row>
    <row r="563" ht="15" customHeight="1">
      <c r="A563" t="inlineStr">
        <is>
          <t>A 56614-2025</t>
        </is>
      </c>
      <c r="B563" s="1" t="n">
        <v>45975.59288194445</v>
      </c>
      <c r="C563" s="1" t="n">
        <v>46142</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56611-2025</t>
        </is>
      </c>
      <c r="B564" s="1" t="n">
        <v>45975</v>
      </c>
      <c r="C564" s="1" t="n">
        <v>46142</v>
      </c>
      <c r="D564" t="inlineStr">
        <is>
          <t>VÄSTMANLANDS LÄN</t>
        </is>
      </c>
      <c r="E564" t="inlineStr">
        <is>
          <t>SALA</t>
        </is>
      </c>
      <c r="G564" t="n">
        <v>2.8</v>
      </c>
      <c r="H564" t="n">
        <v>0</v>
      </c>
      <c r="I564" t="n">
        <v>0</v>
      </c>
      <c r="J564" t="n">
        <v>0</v>
      </c>
      <c r="K564" t="n">
        <v>0</v>
      </c>
      <c r="L564" t="n">
        <v>0</v>
      </c>
      <c r="M564" t="n">
        <v>0</v>
      </c>
      <c r="N564" t="n">
        <v>0</v>
      </c>
      <c r="O564" t="n">
        <v>0</v>
      </c>
      <c r="P564" t="n">
        <v>0</v>
      </c>
      <c r="Q564" t="n">
        <v>0</v>
      </c>
      <c r="R564" s="2" t="inlineStr"/>
    </row>
    <row r="565" ht="15" customHeight="1">
      <c r="A565" t="inlineStr">
        <is>
          <t>A 57014-2025</t>
        </is>
      </c>
      <c r="B565" s="1" t="n">
        <v>45978</v>
      </c>
      <c r="C565" s="1" t="n">
        <v>46142</v>
      </c>
      <c r="D565" t="inlineStr">
        <is>
          <t>VÄSTMANLANDS LÄN</t>
        </is>
      </c>
      <c r="E565" t="inlineStr">
        <is>
          <t>SALA</t>
        </is>
      </c>
      <c r="G565" t="n">
        <v>2.2</v>
      </c>
      <c r="H565" t="n">
        <v>0</v>
      </c>
      <c r="I565" t="n">
        <v>0</v>
      </c>
      <c r="J565" t="n">
        <v>0</v>
      </c>
      <c r="K565" t="n">
        <v>0</v>
      </c>
      <c r="L565" t="n">
        <v>0</v>
      </c>
      <c r="M565" t="n">
        <v>0</v>
      </c>
      <c r="N565" t="n">
        <v>0</v>
      </c>
      <c r="O565" t="n">
        <v>0</v>
      </c>
      <c r="P565" t="n">
        <v>0</v>
      </c>
      <c r="Q565" t="n">
        <v>0</v>
      </c>
      <c r="R565" s="2" t="inlineStr"/>
    </row>
    <row r="566" ht="15" customHeight="1">
      <c r="A566" t="inlineStr">
        <is>
          <t>A 56502-2025</t>
        </is>
      </c>
      <c r="B566" s="1" t="n">
        <v>45975</v>
      </c>
      <c r="C566" s="1" t="n">
        <v>46142</v>
      </c>
      <c r="D566" t="inlineStr">
        <is>
          <t>VÄSTMANLANDS LÄN</t>
        </is>
      </c>
      <c r="E566" t="inlineStr">
        <is>
          <t>SALA</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56593-2025</t>
        </is>
      </c>
      <c r="B567" s="1" t="n">
        <v>45975</v>
      </c>
      <c r="C567" s="1" t="n">
        <v>46142</v>
      </c>
      <c r="D567" t="inlineStr">
        <is>
          <t>VÄSTMANLANDS LÄN</t>
        </is>
      </c>
      <c r="E567" t="inlineStr">
        <is>
          <t>SALA</t>
        </is>
      </c>
      <c r="F567" t="inlineStr">
        <is>
          <t>Kyrkan</t>
        </is>
      </c>
      <c r="G567" t="n">
        <v>0.1</v>
      </c>
      <c r="H567" t="n">
        <v>0</v>
      </c>
      <c r="I567" t="n">
        <v>0</v>
      </c>
      <c r="J567" t="n">
        <v>0</v>
      </c>
      <c r="K567" t="n">
        <v>0</v>
      </c>
      <c r="L567" t="n">
        <v>0</v>
      </c>
      <c r="M567" t="n">
        <v>0</v>
      </c>
      <c r="N567" t="n">
        <v>0</v>
      </c>
      <c r="O567" t="n">
        <v>0</v>
      </c>
      <c r="P567" t="n">
        <v>0</v>
      </c>
      <c r="Q567" t="n">
        <v>0</v>
      </c>
      <c r="R567" s="2" t="inlineStr"/>
    </row>
    <row r="568" ht="15" customHeight="1">
      <c r="A568" t="inlineStr">
        <is>
          <t>A 56645-2025</t>
        </is>
      </c>
      <c r="B568" s="1" t="n">
        <v>45975.63063657407</v>
      </c>
      <c r="C568" s="1" t="n">
        <v>46142</v>
      </c>
      <c r="D568" t="inlineStr">
        <is>
          <t>VÄSTMANLANDS LÄN</t>
        </is>
      </c>
      <c r="E568" t="inlineStr">
        <is>
          <t>SALA</t>
        </is>
      </c>
      <c r="F568" t="inlineStr">
        <is>
          <t>Bergvik skog öst AB</t>
        </is>
      </c>
      <c r="G568" t="n">
        <v>5.3</v>
      </c>
      <c r="H568" t="n">
        <v>0</v>
      </c>
      <c r="I568" t="n">
        <v>0</v>
      </c>
      <c r="J568" t="n">
        <v>0</v>
      </c>
      <c r="K568" t="n">
        <v>0</v>
      </c>
      <c r="L568" t="n">
        <v>0</v>
      </c>
      <c r="M568" t="n">
        <v>0</v>
      </c>
      <c r="N568" t="n">
        <v>0</v>
      </c>
      <c r="O568" t="n">
        <v>0</v>
      </c>
      <c r="P568" t="n">
        <v>0</v>
      </c>
      <c r="Q568" t="n">
        <v>0</v>
      </c>
      <c r="R568" s="2" t="inlineStr"/>
    </row>
    <row r="569" ht="15" customHeight="1">
      <c r="A569" t="inlineStr">
        <is>
          <t>A 43188-2023</t>
        </is>
      </c>
      <c r="B569" s="1" t="n">
        <v>45183</v>
      </c>
      <c r="C569" s="1" t="n">
        <v>46142</v>
      </c>
      <c r="D569" t="inlineStr">
        <is>
          <t>VÄSTMANLANDS LÄN</t>
        </is>
      </c>
      <c r="E569" t="inlineStr">
        <is>
          <t>SALA</t>
        </is>
      </c>
      <c r="G569" t="n">
        <v>1.2</v>
      </c>
      <c r="H569" t="n">
        <v>0</v>
      </c>
      <c r="I569" t="n">
        <v>0</v>
      </c>
      <c r="J569" t="n">
        <v>0</v>
      </c>
      <c r="K569" t="n">
        <v>0</v>
      </c>
      <c r="L569" t="n">
        <v>0</v>
      </c>
      <c r="M569" t="n">
        <v>0</v>
      </c>
      <c r="N569" t="n">
        <v>0</v>
      </c>
      <c r="O569" t="n">
        <v>0</v>
      </c>
      <c r="P569" t="n">
        <v>0</v>
      </c>
      <c r="Q569" t="n">
        <v>0</v>
      </c>
      <c r="R569" s="2" t="inlineStr"/>
    </row>
    <row r="570" ht="15" customHeight="1">
      <c r="A570" t="inlineStr">
        <is>
          <t>A 43205-2023</t>
        </is>
      </c>
      <c r="B570" s="1" t="n">
        <v>45183</v>
      </c>
      <c r="C570" s="1" t="n">
        <v>46142</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28827-2022</t>
        </is>
      </c>
      <c r="B571" s="1" t="n">
        <v>44749.45561342593</v>
      </c>
      <c r="C571" s="1" t="n">
        <v>46142</v>
      </c>
      <c r="D571" t="inlineStr">
        <is>
          <t>VÄSTMANLANDS LÄN</t>
        </is>
      </c>
      <c r="E571" t="inlineStr">
        <is>
          <t>SALA</t>
        </is>
      </c>
      <c r="F571" t="inlineStr">
        <is>
          <t>Kommuner</t>
        </is>
      </c>
      <c r="G571" t="n">
        <v>11.9</v>
      </c>
      <c r="H571" t="n">
        <v>0</v>
      </c>
      <c r="I571" t="n">
        <v>0</v>
      </c>
      <c r="J571" t="n">
        <v>0</v>
      </c>
      <c r="K571" t="n">
        <v>0</v>
      </c>
      <c r="L571" t="n">
        <v>0</v>
      </c>
      <c r="M571" t="n">
        <v>0</v>
      </c>
      <c r="N571" t="n">
        <v>0</v>
      </c>
      <c r="O571" t="n">
        <v>0</v>
      </c>
      <c r="P571" t="n">
        <v>0</v>
      </c>
      <c r="Q571" t="n">
        <v>0</v>
      </c>
      <c r="R571" s="2" t="inlineStr"/>
    </row>
    <row r="572" ht="15" customHeight="1">
      <c r="A572" t="inlineStr">
        <is>
          <t>A 57412-2025</t>
        </is>
      </c>
      <c r="B572" s="1" t="n">
        <v>45980.44883101852</v>
      </c>
      <c r="C572" s="1" t="n">
        <v>46142</v>
      </c>
      <c r="D572" t="inlineStr">
        <is>
          <t>VÄSTMANLANDS LÄN</t>
        </is>
      </c>
      <c r="E572" t="inlineStr">
        <is>
          <t>SALA</t>
        </is>
      </c>
      <c r="F572" t="inlineStr">
        <is>
          <t>Bergvik skog öst AB</t>
        </is>
      </c>
      <c r="G572" t="n">
        <v>4.5</v>
      </c>
      <c r="H572" t="n">
        <v>0</v>
      </c>
      <c r="I572" t="n">
        <v>0</v>
      </c>
      <c r="J572" t="n">
        <v>0</v>
      </c>
      <c r="K572" t="n">
        <v>0</v>
      </c>
      <c r="L572" t="n">
        <v>0</v>
      </c>
      <c r="M572" t="n">
        <v>0</v>
      </c>
      <c r="N572" t="n">
        <v>0</v>
      </c>
      <c r="O572" t="n">
        <v>0</v>
      </c>
      <c r="P572" t="n">
        <v>0</v>
      </c>
      <c r="Q572" t="n">
        <v>0</v>
      </c>
      <c r="R572" s="2" t="inlineStr"/>
    </row>
    <row r="573" ht="15" customHeight="1">
      <c r="A573" t="inlineStr">
        <is>
          <t>A 15756-2025</t>
        </is>
      </c>
      <c r="B573" s="1" t="n">
        <v>45748.56810185185</v>
      </c>
      <c r="C573" s="1" t="n">
        <v>46142</v>
      </c>
      <c r="D573" t="inlineStr">
        <is>
          <t>VÄSTMANLANDS LÄN</t>
        </is>
      </c>
      <c r="E573" t="inlineStr">
        <is>
          <t>SALA</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19243-2025</t>
        </is>
      </c>
      <c r="B574" s="1" t="n">
        <v>45769</v>
      </c>
      <c r="C574" s="1" t="n">
        <v>46142</v>
      </c>
      <c r="D574" t="inlineStr">
        <is>
          <t>VÄSTMANLANDS LÄN</t>
        </is>
      </c>
      <c r="E574" t="inlineStr">
        <is>
          <t>SALA</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59297-2023</t>
        </is>
      </c>
      <c r="B575" s="1" t="n">
        <v>45253</v>
      </c>
      <c r="C575" s="1" t="n">
        <v>46142</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6136-2025</t>
        </is>
      </c>
      <c r="B576" s="1" t="n">
        <v>45698.37601851852</v>
      </c>
      <c r="C576" s="1" t="n">
        <v>46142</v>
      </c>
      <c r="D576" t="inlineStr">
        <is>
          <t>VÄSTMANLANDS LÄN</t>
        </is>
      </c>
      <c r="E576" t="inlineStr">
        <is>
          <t>SALA</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6190-2025</t>
        </is>
      </c>
      <c r="B577" s="1" t="n">
        <v>45698</v>
      </c>
      <c r="C577" s="1" t="n">
        <v>46142</v>
      </c>
      <c r="D577" t="inlineStr">
        <is>
          <t>VÄSTMANLANDS LÄN</t>
        </is>
      </c>
      <c r="E577" t="inlineStr">
        <is>
          <t>SALA</t>
        </is>
      </c>
      <c r="F577" t="inlineStr">
        <is>
          <t>Bergvik skog öst AB</t>
        </is>
      </c>
      <c r="G577" t="n">
        <v>4.6</v>
      </c>
      <c r="H577" t="n">
        <v>0</v>
      </c>
      <c r="I577" t="n">
        <v>0</v>
      </c>
      <c r="J577" t="n">
        <v>0</v>
      </c>
      <c r="K577" t="n">
        <v>0</v>
      </c>
      <c r="L577" t="n">
        <v>0</v>
      </c>
      <c r="M577" t="n">
        <v>0</v>
      </c>
      <c r="N577" t="n">
        <v>0</v>
      </c>
      <c r="O577" t="n">
        <v>0</v>
      </c>
      <c r="P577" t="n">
        <v>0</v>
      </c>
      <c r="Q577" t="n">
        <v>0</v>
      </c>
      <c r="R577" s="2" t="inlineStr"/>
    </row>
    <row r="578" ht="15" customHeight="1">
      <c r="A578" t="inlineStr">
        <is>
          <t>A 57414-2025</t>
        </is>
      </c>
      <c r="B578" s="1" t="n">
        <v>45980.45003472222</v>
      </c>
      <c r="C578" s="1" t="n">
        <v>46142</v>
      </c>
      <c r="D578" t="inlineStr">
        <is>
          <t>VÄSTMANLANDS LÄN</t>
        </is>
      </c>
      <c r="E578" t="inlineStr">
        <is>
          <t>SALA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57415-2025</t>
        </is>
      </c>
      <c r="B579" s="1" t="n">
        <v>45980.45099537037</v>
      </c>
      <c r="C579" s="1" t="n">
        <v>46142</v>
      </c>
      <c r="D579" t="inlineStr">
        <is>
          <t>VÄSTMANLANDS LÄN</t>
        </is>
      </c>
      <c r="E579" t="inlineStr">
        <is>
          <t>SALA</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28863-2022</t>
        </is>
      </c>
      <c r="B580" s="1" t="n">
        <v>44749.50649305555</v>
      </c>
      <c r="C580" s="1" t="n">
        <v>46142</v>
      </c>
      <c r="D580" t="inlineStr">
        <is>
          <t>VÄSTMANLANDS LÄN</t>
        </is>
      </c>
      <c r="E580" t="inlineStr">
        <is>
          <t>SALA</t>
        </is>
      </c>
      <c r="G580" t="n">
        <v>1.6</v>
      </c>
      <c r="H580" t="n">
        <v>0</v>
      </c>
      <c r="I580" t="n">
        <v>0</v>
      </c>
      <c r="J580" t="n">
        <v>0</v>
      </c>
      <c r="K580" t="n">
        <v>0</v>
      </c>
      <c r="L580" t="n">
        <v>0</v>
      </c>
      <c r="M580" t="n">
        <v>0</v>
      </c>
      <c r="N580" t="n">
        <v>0</v>
      </c>
      <c r="O580" t="n">
        <v>0</v>
      </c>
      <c r="P580" t="n">
        <v>0</v>
      </c>
      <c r="Q580" t="n">
        <v>0</v>
      </c>
      <c r="R580" s="2" t="inlineStr"/>
    </row>
    <row r="581" ht="15" customHeight="1">
      <c r="A581" t="inlineStr">
        <is>
          <t>A 25541-2024</t>
        </is>
      </c>
      <c r="B581" s="1" t="n">
        <v>45463.56337962963</v>
      </c>
      <c r="C581" s="1" t="n">
        <v>46142</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58357-2025</t>
        </is>
      </c>
      <c r="B582" s="1" t="n">
        <v>45985.51518518518</v>
      </c>
      <c r="C582" s="1" t="n">
        <v>46142</v>
      </c>
      <c r="D582" t="inlineStr">
        <is>
          <t>VÄSTMANLANDS LÄN</t>
        </is>
      </c>
      <c r="E582" t="inlineStr">
        <is>
          <t>SALA</t>
        </is>
      </c>
      <c r="G582" t="n">
        <v>3</v>
      </c>
      <c r="H582" t="n">
        <v>0</v>
      </c>
      <c r="I582" t="n">
        <v>0</v>
      </c>
      <c r="J582" t="n">
        <v>0</v>
      </c>
      <c r="K582" t="n">
        <v>0</v>
      </c>
      <c r="L582" t="n">
        <v>0</v>
      </c>
      <c r="M582" t="n">
        <v>0</v>
      </c>
      <c r="N582" t="n">
        <v>0</v>
      </c>
      <c r="O582" t="n">
        <v>0</v>
      </c>
      <c r="P582" t="n">
        <v>0</v>
      </c>
      <c r="Q582" t="n">
        <v>0</v>
      </c>
      <c r="R582" s="2" t="inlineStr"/>
    </row>
    <row r="583" ht="15" customHeight="1">
      <c r="A583" t="inlineStr">
        <is>
          <t>A 55760-2025</t>
        </is>
      </c>
      <c r="B583" s="1" t="n">
        <v>45972</v>
      </c>
      <c r="C583" s="1" t="n">
        <v>46142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58365-2025</t>
        </is>
      </c>
      <c r="B584" s="1" t="n">
        <v>45985.52288194445</v>
      </c>
      <c r="C584" s="1" t="n">
        <v>46142</v>
      </c>
      <c r="D584" t="inlineStr">
        <is>
          <t>VÄSTMANLANDS LÄN</t>
        </is>
      </c>
      <c r="E584" t="inlineStr">
        <is>
          <t>SALA</t>
        </is>
      </c>
      <c r="G584" t="n">
        <v>3.9</v>
      </c>
      <c r="H584" t="n">
        <v>0</v>
      </c>
      <c r="I584" t="n">
        <v>0</v>
      </c>
      <c r="J584" t="n">
        <v>0</v>
      </c>
      <c r="K584" t="n">
        <v>0</v>
      </c>
      <c r="L584" t="n">
        <v>0</v>
      </c>
      <c r="M584" t="n">
        <v>0</v>
      </c>
      <c r="N584" t="n">
        <v>0</v>
      </c>
      <c r="O584" t="n">
        <v>0</v>
      </c>
      <c r="P584" t="n">
        <v>0</v>
      </c>
      <c r="Q584" t="n">
        <v>0</v>
      </c>
      <c r="R584" s="2" t="inlineStr"/>
    </row>
    <row r="585" ht="15" customHeight="1">
      <c r="A585" t="inlineStr">
        <is>
          <t>A 29213-2022</t>
        </is>
      </c>
      <c r="B585" s="1" t="n">
        <v>44750.57474537037</v>
      </c>
      <c r="C585" s="1" t="n">
        <v>46142</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58282-2025</t>
        </is>
      </c>
      <c r="B586" s="1" t="n">
        <v>45985.44309027777</v>
      </c>
      <c r="C586" s="1" t="n">
        <v>46142</v>
      </c>
      <c r="D586" t="inlineStr">
        <is>
          <t>VÄSTMANLANDS LÄN</t>
        </is>
      </c>
      <c r="E586" t="inlineStr">
        <is>
          <t>SALA</t>
        </is>
      </c>
      <c r="G586" t="n">
        <v>8.9</v>
      </c>
      <c r="H586" t="n">
        <v>0</v>
      </c>
      <c r="I586" t="n">
        <v>0</v>
      </c>
      <c r="J586" t="n">
        <v>0</v>
      </c>
      <c r="K586" t="n">
        <v>0</v>
      </c>
      <c r="L586" t="n">
        <v>0</v>
      </c>
      <c r="M586" t="n">
        <v>0</v>
      </c>
      <c r="N586" t="n">
        <v>0</v>
      </c>
      <c r="O586" t="n">
        <v>0</v>
      </c>
      <c r="P586" t="n">
        <v>0</v>
      </c>
      <c r="Q586" t="n">
        <v>0</v>
      </c>
      <c r="R586" s="2" t="inlineStr"/>
    </row>
    <row r="587" ht="15" customHeight="1">
      <c r="A587" t="inlineStr">
        <is>
          <t>A 58359-2025</t>
        </is>
      </c>
      <c r="B587" s="1" t="n">
        <v>45985.51594907408</v>
      </c>
      <c r="C587" s="1" t="n">
        <v>46142</v>
      </c>
      <c r="D587" t="inlineStr">
        <is>
          <t>VÄSTMANLANDS LÄN</t>
        </is>
      </c>
      <c r="E587" t="inlineStr">
        <is>
          <t>SALA</t>
        </is>
      </c>
      <c r="G587" t="n">
        <v>3.7</v>
      </c>
      <c r="H587" t="n">
        <v>0</v>
      </c>
      <c r="I587" t="n">
        <v>0</v>
      </c>
      <c r="J587" t="n">
        <v>0</v>
      </c>
      <c r="K587" t="n">
        <v>0</v>
      </c>
      <c r="L587" t="n">
        <v>0</v>
      </c>
      <c r="M587" t="n">
        <v>0</v>
      </c>
      <c r="N587" t="n">
        <v>0</v>
      </c>
      <c r="O587" t="n">
        <v>0</v>
      </c>
      <c r="P587" t="n">
        <v>0</v>
      </c>
      <c r="Q587" t="n">
        <v>0</v>
      </c>
      <c r="R587" s="2" t="inlineStr"/>
    </row>
    <row r="588" ht="15" customHeight="1">
      <c r="A588" t="inlineStr">
        <is>
          <t>A 58364-2025</t>
        </is>
      </c>
      <c r="B588" s="1" t="n">
        <v>45985.5228125</v>
      </c>
      <c r="C588" s="1" t="n">
        <v>46142</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56964-2023</t>
        </is>
      </c>
      <c r="B589" s="1" t="n">
        <v>45244.63140046296</v>
      </c>
      <c r="C589" s="1" t="n">
        <v>46142</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51247-2025</t>
        </is>
      </c>
      <c r="B590" s="1" t="n">
        <v>45947.86487268518</v>
      </c>
      <c r="C590" s="1" t="n">
        <v>46142</v>
      </c>
      <c r="D590" t="inlineStr">
        <is>
          <t>VÄSTMANLANDS LÄN</t>
        </is>
      </c>
      <c r="E590" t="inlineStr">
        <is>
          <t>SALA</t>
        </is>
      </c>
      <c r="G590" t="n">
        <v>10.4</v>
      </c>
      <c r="H590" t="n">
        <v>0</v>
      </c>
      <c r="I590" t="n">
        <v>0</v>
      </c>
      <c r="J590" t="n">
        <v>0</v>
      </c>
      <c r="K590" t="n">
        <v>0</v>
      </c>
      <c r="L590" t="n">
        <v>0</v>
      </c>
      <c r="M590" t="n">
        <v>0</v>
      </c>
      <c r="N590" t="n">
        <v>0</v>
      </c>
      <c r="O590" t="n">
        <v>0</v>
      </c>
      <c r="P590" t="n">
        <v>0</v>
      </c>
      <c r="Q590" t="n">
        <v>0</v>
      </c>
      <c r="R590" s="2" t="inlineStr"/>
    </row>
    <row r="591" ht="15" customHeight="1">
      <c r="A591" t="inlineStr">
        <is>
          <t>A 1555-2024</t>
        </is>
      </c>
      <c r="B591" s="1" t="n">
        <v>45306</v>
      </c>
      <c r="C591" s="1" t="n">
        <v>46142</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13188-2025</t>
        </is>
      </c>
      <c r="B592" s="1" t="n">
        <v>45735.39246527778</v>
      </c>
      <c r="C592" s="1" t="n">
        <v>46142</v>
      </c>
      <c r="D592" t="inlineStr">
        <is>
          <t>VÄSTMANLANDS LÄN</t>
        </is>
      </c>
      <c r="E592" t="inlineStr">
        <is>
          <t>SALA</t>
        </is>
      </c>
      <c r="F592" t="inlineStr">
        <is>
          <t>Naturvårdsverket</t>
        </is>
      </c>
      <c r="G592" t="n">
        <v>18.4</v>
      </c>
      <c r="H592" t="n">
        <v>0</v>
      </c>
      <c r="I592" t="n">
        <v>0</v>
      </c>
      <c r="J592" t="n">
        <v>0</v>
      </c>
      <c r="K592" t="n">
        <v>0</v>
      </c>
      <c r="L592" t="n">
        <v>0</v>
      </c>
      <c r="M592" t="n">
        <v>0</v>
      </c>
      <c r="N592" t="n">
        <v>0</v>
      </c>
      <c r="O592" t="n">
        <v>0</v>
      </c>
      <c r="P592" t="n">
        <v>0</v>
      </c>
      <c r="Q592" t="n">
        <v>0</v>
      </c>
      <c r="R592" s="2" t="inlineStr"/>
    </row>
    <row r="593" ht="15" customHeight="1">
      <c r="A593" t="inlineStr">
        <is>
          <t>A 7197-2025</t>
        </is>
      </c>
      <c r="B593" s="1" t="n">
        <v>45702</v>
      </c>
      <c r="C593" s="1" t="n">
        <v>46142</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15099-2025</t>
        </is>
      </c>
      <c r="B594" s="1" t="n">
        <v>45744.3434837963</v>
      </c>
      <c r="C594" s="1" t="n">
        <v>46142</v>
      </c>
      <c r="D594" t="inlineStr">
        <is>
          <t>VÄSTMANLANDS LÄN</t>
        </is>
      </c>
      <c r="E594" t="inlineStr">
        <is>
          <t>SALA</t>
        </is>
      </c>
      <c r="F594" t="inlineStr">
        <is>
          <t>Sveaskog</t>
        </is>
      </c>
      <c r="G594" t="n">
        <v>14.4</v>
      </c>
      <c r="H594" t="n">
        <v>0</v>
      </c>
      <c r="I594" t="n">
        <v>0</v>
      </c>
      <c r="J594" t="n">
        <v>0</v>
      </c>
      <c r="K594" t="n">
        <v>0</v>
      </c>
      <c r="L594" t="n">
        <v>0</v>
      </c>
      <c r="M594" t="n">
        <v>0</v>
      </c>
      <c r="N594" t="n">
        <v>0</v>
      </c>
      <c r="O594" t="n">
        <v>0</v>
      </c>
      <c r="P594" t="n">
        <v>0</v>
      </c>
      <c r="Q594" t="n">
        <v>0</v>
      </c>
      <c r="R594" s="2" t="inlineStr"/>
    </row>
    <row r="595" ht="15" customHeight="1">
      <c r="A595" t="inlineStr">
        <is>
          <t>A 2928-2024</t>
        </is>
      </c>
      <c r="B595" s="1" t="n">
        <v>45315.59041666667</v>
      </c>
      <c r="C595" s="1" t="n">
        <v>46142</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59817-2025</t>
        </is>
      </c>
      <c r="B596" s="1" t="n">
        <v>45992.63711805556</v>
      </c>
      <c r="C596" s="1" t="n">
        <v>46142</v>
      </c>
      <c r="D596" t="inlineStr">
        <is>
          <t>VÄSTMANLANDS LÄN</t>
        </is>
      </c>
      <c r="E596" t="inlineStr">
        <is>
          <t>SALA</t>
        </is>
      </c>
      <c r="G596" t="n">
        <v>6.9</v>
      </c>
      <c r="H596" t="n">
        <v>0</v>
      </c>
      <c r="I596" t="n">
        <v>0</v>
      </c>
      <c r="J596" t="n">
        <v>0</v>
      </c>
      <c r="K596" t="n">
        <v>0</v>
      </c>
      <c r="L596" t="n">
        <v>0</v>
      </c>
      <c r="M596" t="n">
        <v>0</v>
      </c>
      <c r="N596" t="n">
        <v>0</v>
      </c>
      <c r="O596" t="n">
        <v>0</v>
      </c>
      <c r="P596" t="n">
        <v>0</v>
      </c>
      <c r="Q596" t="n">
        <v>0</v>
      </c>
      <c r="R596" s="2" t="inlineStr"/>
    </row>
    <row r="597" ht="15" customHeight="1">
      <c r="A597" t="inlineStr">
        <is>
          <t>A 59390-2025</t>
        </is>
      </c>
      <c r="B597" s="1" t="n">
        <v>45989.4640162037</v>
      </c>
      <c r="C597" s="1" t="n">
        <v>46142</v>
      </c>
      <c r="D597" t="inlineStr">
        <is>
          <t>VÄSTMANLANDS LÄN</t>
        </is>
      </c>
      <c r="E597" t="inlineStr">
        <is>
          <t>SALA</t>
        </is>
      </c>
      <c r="G597" t="n">
        <v>1.8</v>
      </c>
      <c r="H597" t="n">
        <v>0</v>
      </c>
      <c r="I597" t="n">
        <v>0</v>
      </c>
      <c r="J597" t="n">
        <v>0</v>
      </c>
      <c r="K597" t="n">
        <v>0</v>
      </c>
      <c r="L597" t="n">
        <v>0</v>
      </c>
      <c r="M597" t="n">
        <v>0</v>
      </c>
      <c r="N597" t="n">
        <v>0</v>
      </c>
      <c r="O597" t="n">
        <v>0</v>
      </c>
      <c r="P597" t="n">
        <v>0</v>
      </c>
      <c r="Q597" t="n">
        <v>0</v>
      </c>
      <c r="R597" s="2" t="inlineStr"/>
    </row>
    <row r="598" ht="15" customHeight="1">
      <c r="A598" t="inlineStr">
        <is>
          <t>A 59385-2025</t>
        </is>
      </c>
      <c r="B598" s="1" t="n">
        <v>45989.45746527778</v>
      </c>
      <c r="C598" s="1" t="n">
        <v>46142</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9962-2025</t>
        </is>
      </c>
      <c r="B599" s="1" t="n">
        <v>45719.37072916667</v>
      </c>
      <c r="C599" s="1" t="n">
        <v>46142</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14024-2025</t>
        </is>
      </c>
      <c r="B600" s="1" t="n">
        <v>45740.34650462963</v>
      </c>
      <c r="C600" s="1" t="n">
        <v>46142</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60017-2025</t>
        </is>
      </c>
      <c r="B601" s="1" t="n">
        <v>45993.59998842593</v>
      </c>
      <c r="C601" s="1" t="n">
        <v>46142</v>
      </c>
      <c r="D601" t="inlineStr">
        <is>
          <t>VÄSTMANLANDS LÄN</t>
        </is>
      </c>
      <c r="E601" t="inlineStr">
        <is>
          <t>SALA</t>
        </is>
      </c>
      <c r="G601" t="n">
        <v>4.4</v>
      </c>
      <c r="H601" t="n">
        <v>0</v>
      </c>
      <c r="I601" t="n">
        <v>0</v>
      </c>
      <c r="J601" t="n">
        <v>0</v>
      </c>
      <c r="K601" t="n">
        <v>0</v>
      </c>
      <c r="L601" t="n">
        <v>0</v>
      </c>
      <c r="M601" t="n">
        <v>0</v>
      </c>
      <c r="N601" t="n">
        <v>0</v>
      </c>
      <c r="O601" t="n">
        <v>0</v>
      </c>
      <c r="P601" t="n">
        <v>0</v>
      </c>
      <c r="Q601" t="n">
        <v>0</v>
      </c>
      <c r="R601" s="2" t="inlineStr"/>
    </row>
    <row r="602" ht="15" customHeight="1">
      <c r="A602" t="inlineStr">
        <is>
          <t>A 60258-2025</t>
        </is>
      </c>
      <c r="B602" s="1" t="n">
        <v>45994.6064699074</v>
      </c>
      <c r="C602" s="1" t="n">
        <v>46142</v>
      </c>
      <c r="D602" t="inlineStr">
        <is>
          <t>VÄSTMANLANDS LÄN</t>
        </is>
      </c>
      <c r="E602" t="inlineStr">
        <is>
          <t>SALA</t>
        </is>
      </c>
      <c r="G602" t="n">
        <v>2.2</v>
      </c>
      <c r="H602" t="n">
        <v>0</v>
      </c>
      <c r="I602" t="n">
        <v>0</v>
      </c>
      <c r="J602" t="n">
        <v>0</v>
      </c>
      <c r="K602" t="n">
        <v>0</v>
      </c>
      <c r="L602" t="n">
        <v>0</v>
      </c>
      <c r="M602" t="n">
        <v>0</v>
      </c>
      <c r="N602" t="n">
        <v>0</v>
      </c>
      <c r="O602" t="n">
        <v>0</v>
      </c>
      <c r="P602" t="n">
        <v>0</v>
      </c>
      <c r="Q602" t="n">
        <v>0</v>
      </c>
      <c r="R602" s="2" t="inlineStr"/>
    </row>
    <row r="603" ht="15" customHeight="1">
      <c r="A603" t="inlineStr">
        <is>
          <t>A 3551-2024</t>
        </is>
      </c>
      <c r="B603" s="1" t="n">
        <v>45320.61099537037</v>
      </c>
      <c r="C603" s="1" t="n">
        <v>46142</v>
      </c>
      <c r="D603" t="inlineStr">
        <is>
          <t>VÄSTMANLANDS LÄN</t>
        </is>
      </c>
      <c r="E603" t="inlineStr">
        <is>
          <t>SALA</t>
        </is>
      </c>
      <c r="F603" t="inlineStr">
        <is>
          <t>Kommuner</t>
        </is>
      </c>
      <c r="G603" t="n">
        <v>6</v>
      </c>
      <c r="H603" t="n">
        <v>0</v>
      </c>
      <c r="I603" t="n">
        <v>0</v>
      </c>
      <c r="J603" t="n">
        <v>0</v>
      </c>
      <c r="K603" t="n">
        <v>0</v>
      </c>
      <c r="L603" t="n">
        <v>0</v>
      </c>
      <c r="M603" t="n">
        <v>0</v>
      </c>
      <c r="N603" t="n">
        <v>0</v>
      </c>
      <c r="O603" t="n">
        <v>0</v>
      </c>
      <c r="P603" t="n">
        <v>0</v>
      </c>
      <c r="Q603" t="n">
        <v>0</v>
      </c>
      <c r="R603" s="2" t="inlineStr"/>
    </row>
    <row r="604" ht="15" customHeight="1">
      <c r="A604" t="inlineStr">
        <is>
          <t>A 60241-2025</t>
        </is>
      </c>
      <c r="B604" s="1" t="n">
        <v>45994.58454861111</v>
      </c>
      <c r="C604" s="1" t="n">
        <v>46142</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59870-2025</t>
        </is>
      </c>
      <c r="B605" s="1" t="n">
        <v>45992.92226851852</v>
      </c>
      <c r="C605" s="1" t="n">
        <v>46142</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60259-2025</t>
        </is>
      </c>
      <c r="B606" s="1" t="n">
        <v>45994.60913194445</v>
      </c>
      <c r="C606" s="1" t="n">
        <v>46142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60246-2025</t>
        </is>
      </c>
      <c r="B607" s="1" t="n">
        <v>45994.58931712963</v>
      </c>
      <c r="C607" s="1" t="n">
        <v>46142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60254-2025</t>
        </is>
      </c>
      <c r="B608" s="1" t="n">
        <v>45994.60146990741</v>
      </c>
      <c r="C608" s="1" t="n">
        <v>46142</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59926-2025</t>
        </is>
      </c>
      <c r="B609" s="1" t="n">
        <v>45993.39221064815</v>
      </c>
      <c r="C609" s="1" t="n">
        <v>46142</v>
      </c>
      <c r="D609" t="inlineStr">
        <is>
          <t>VÄSTMANLANDS LÄN</t>
        </is>
      </c>
      <c r="E609" t="inlineStr">
        <is>
          <t>SALA</t>
        </is>
      </c>
      <c r="G609" t="n">
        <v>7.1</v>
      </c>
      <c r="H609" t="n">
        <v>0</v>
      </c>
      <c r="I609" t="n">
        <v>0</v>
      </c>
      <c r="J609" t="n">
        <v>0</v>
      </c>
      <c r="K609" t="n">
        <v>0</v>
      </c>
      <c r="L609" t="n">
        <v>0</v>
      </c>
      <c r="M609" t="n">
        <v>0</v>
      </c>
      <c r="N609" t="n">
        <v>0</v>
      </c>
      <c r="O609" t="n">
        <v>0</v>
      </c>
      <c r="P609" t="n">
        <v>0</v>
      </c>
      <c r="Q609" t="n">
        <v>0</v>
      </c>
      <c r="R609" s="2" t="inlineStr"/>
    </row>
    <row r="610" ht="15" customHeight="1">
      <c r="A610" t="inlineStr">
        <is>
          <t>A 62635-2022</t>
        </is>
      </c>
      <c r="B610" s="1" t="n">
        <v>44917</v>
      </c>
      <c r="C610" s="1" t="n">
        <v>46142</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19304-2025</t>
        </is>
      </c>
      <c r="B611" s="1" t="n">
        <v>45769</v>
      </c>
      <c r="C611" s="1" t="n">
        <v>46142</v>
      </c>
      <c r="D611" t="inlineStr">
        <is>
          <t>VÄSTMANLANDS LÄN</t>
        </is>
      </c>
      <c r="E611" t="inlineStr">
        <is>
          <t>SALA</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60629-2025</t>
        </is>
      </c>
      <c r="B612" s="1" t="n">
        <v>45996.41972222222</v>
      </c>
      <c r="C612" s="1" t="n">
        <v>46142</v>
      </c>
      <c r="D612" t="inlineStr">
        <is>
          <t>VÄSTMANLANDS LÄN</t>
        </is>
      </c>
      <c r="E612" t="inlineStr">
        <is>
          <t>SALA</t>
        </is>
      </c>
      <c r="G612" t="n">
        <v>4.3</v>
      </c>
      <c r="H612" t="n">
        <v>0</v>
      </c>
      <c r="I612" t="n">
        <v>0</v>
      </c>
      <c r="J612" t="n">
        <v>0</v>
      </c>
      <c r="K612" t="n">
        <v>0</v>
      </c>
      <c r="L612" t="n">
        <v>0</v>
      </c>
      <c r="M612" t="n">
        <v>0</v>
      </c>
      <c r="N612" t="n">
        <v>0</v>
      </c>
      <c r="O612" t="n">
        <v>0</v>
      </c>
      <c r="P612" t="n">
        <v>0</v>
      </c>
      <c r="Q612" t="n">
        <v>0</v>
      </c>
      <c r="R612" s="2" t="inlineStr"/>
    </row>
    <row r="613" ht="15" customHeight="1">
      <c r="A613" t="inlineStr">
        <is>
          <t>A 56057-2023</t>
        </is>
      </c>
      <c r="B613" s="1" t="n">
        <v>45233</v>
      </c>
      <c r="C613" s="1" t="n">
        <v>46142</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55024-2023</t>
        </is>
      </c>
      <c r="B614" s="1" t="n">
        <v>45229</v>
      </c>
      <c r="C614" s="1" t="n">
        <v>46142</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55032-2023</t>
        </is>
      </c>
      <c r="B615" s="1" t="n">
        <v>45229</v>
      </c>
      <c r="C615" s="1" t="n">
        <v>46142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29248-2022</t>
        </is>
      </c>
      <c r="B616" s="1" t="n">
        <v>44750</v>
      </c>
      <c r="C616" s="1" t="n">
        <v>46142</v>
      </c>
      <c r="D616" t="inlineStr">
        <is>
          <t>VÄSTMANLANDS LÄN</t>
        </is>
      </c>
      <c r="E616" t="inlineStr">
        <is>
          <t>SALA</t>
        </is>
      </c>
      <c r="G616" t="n">
        <v>1.6</v>
      </c>
      <c r="H616" t="n">
        <v>0</v>
      </c>
      <c r="I616" t="n">
        <v>0</v>
      </c>
      <c r="J616" t="n">
        <v>0</v>
      </c>
      <c r="K616" t="n">
        <v>0</v>
      </c>
      <c r="L616" t="n">
        <v>0</v>
      </c>
      <c r="M616" t="n">
        <v>0</v>
      </c>
      <c r="N616" t="n">
        <v>0</v>
      </c>
      <c r="O616" t="n">
        <v>0</v>
      </c>
      <c r="P616" t="n">
        <v>0</v>
      </c>
      <c r="Q616" t="n">
        <v>0</v>
      </c>
      <c r="R616" s="2" t="inlineStr"/>
    </row>
    <row r="617" ht="15" customHeight="1">
      <c r="A617" t="inlineStr">
        <is>
          <t>A 59175-2022</t>
        </is>
      </c>
      <c r="B617" s="1" t="n">
        <v>44904.48502314815</v>
      </c>
      <c r="C617" s="1" t="n">
        <v>46142</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39451-2022</t>
        </is>
      </c>
      <c r="B618" s="1" t="n">
        <v>44818.36606481481</v>
      </c>
      <c r="C618" s="1" t="n">
        <v>46142</v>
      </c>
      <c r="D618" t="inlineStr">
        <is>
          <t>VÄSTMANLANDS LÄN</t>
        </is>
      </c>
      <c r="E618" t="inlineStr">
        <is>
          <t>SALA</t>
        </is>
      </c>
      <c r="G618" t="n">
        <v>9.4</v>
      </c>
      <c r="H618" t="n">
        <v>0</v>
      </c>
      <c r="I618" t="n">
        <v>0</v>
      </c>
      <c r="J618" t="n">
        <v>0</v>
      </c>
      <c r="K618" t="n">
        <v>0</v>
      </c>
      <c r="L618" t="n">
        <v>0</v>
      </c>
      <c r="M618" t="n">
        <v>0</v>
      </c>
      <c r="N618" t="n">
        <v>0</v>
      </c>
      <c r="O618" t="n">
        <v>0</v>
      </c>
      <c r="P618" t="n">
        <v>0</v>
      </c>
      <c r="Q618" t="n">
        <v>0</v>
      </c>
      <c r="R618" s="2" t="inlineStr"/>
    </row>
    <row r="619" ht="15" customHeight="1">
      <c r="A619" t="inlineStr">
        <is>
          <t>A 11631-2023</t>
        </is>
      </c>
      <c r="B619" s="1" t="n">
        <v>44994.44001157407</v>
      </c>
      <c r="C619" s="1" t="n">
        <v>46142</v>
      </c>
      <c r="D619" t="inlineStr">
        <is>
          <t>VÄSTMANLANDS LÄN</t>
        </is>
      </c>
      <c r="E619" t="inlineStr">
        <is>
          <t>SALA</t>
        </is>
      </c>
      <c r="F619" t="inlineStr">
        <is>
          <t>Kommuner</t>
        </is>
      </c>
      <c r="G619" t="n">
        <v>1.9</v>
      </c>
      <c r="H619" t="n">
        <v>0</v>
      </c>
      <c r="I619" t="n">
        <v>0</v>
      </c>
      <c r="J619" t="n">
        <v>0</v>
      </c>
      <c r="K619" t="n">
        <v>0</v>
      </c>
      <c r="L619" t="n">
        <v>0</v>
      </c>
      <c r="M619" t="n">
        <v>0</v>
      </c>
      <c r="N619" t="n">
        <v>0</v>
      </c>
      <c r="O619" t="n">
        <v>0</v>
      </c>
      <c r="P619" t="n">
        <v>0</v>
      </c>
      <c r="Q619" t="n">
        <v>0</v>
      </c>
      <c r="R619" s="2" t="inlineStr"/>
    </row>
    <row r="620" ht="15" customHeight="1">
      <c r="A620" t="inlineStr">
        <is>
          <t>A 62648-2022</t>
        </is>
      </c>
      <c r="B620" s="1" t="n">
        <v>44917</v>
      </c>
      <c r="C620" s="1" t="n">
        <v>46142</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61522-2025</t>
        </is>
      </c>
      <c r="B621" s="1" t="n">
        <v>46001.68684027778</v>
      </c>
      <c r="C621" s="1" t="n">
        <v>46142</v>
      </c>
      <c r="D621" t="inlineStr">
        <is>
          <t>VÄSTMANLANDS LÄN</t>
        </is>
      </c>
      <c r="E621" t="inlineStr">
        <is>
          <t>SALA</t>
        </is>
      </c>
      <c r="G621" t="n">
        <v>5.7</v>
      </c>
      <c r="H621" t="n">
        <v>0</v>
      </c>
      <c r="I621" t="n">
        <v>0</v>
      </c>
      <c r="J621" t="n">
        <v>0</v>
      </c>
      <c r="K621" t="n">
        <v>0</v>
      </c>
      <c r="L621" t="n">
        <v>0</v>
      </c>
      <c r="M621" t="n">
        <v>0</v>
      </c>
      <c r="N621" t="n">
        <v>0</v>
      </c>
      <c r="O621" t="n">
        <v>0</v>
      </c>
      <c r="P621" t="n">
        <v>0</v>
      </c>
      <c r="Q621" t="n">
        <v>0</v>
      </c>
      <c r="R621" s="2" t="inlineStr"/>
    </row>
    <row r="622" ht="15" customHeight="1">
      <c r="A622" t="inlineStr">
        <is>
          <t>A 1934-2023</t>
        </is>
      </c>
      <c r="B622" s="1" t="n">
        <v>44939.43024305555</v>
      </c>
      <c r="C622" s="1" t="n">
        <v>46142</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11927-2025</t>
        </is>
      </c>
      <c r="B623" s="1" t="n">
        <v>45728.5137962963</v>
      </c>
      <c r="C623" s="1" t="n">
        <v>46142</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60823-2024</t>
        </is>
      </c>
      <c r="B624" s="1" t="n">
        <v>45644</v>
      </c>
      <c r="C624" s="1" t="n">
        <v>46142</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96-2024</t>
        </is>
      </c>
      <c r="B625" s="1" t="n">
        <v>45293.85872685185</v>
      </c>
      <c r="C625" s="1" t="n">
        <v>46142</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23374-2023</t>
        </is>
      </c>
      <c r="B626" s="1" t="n">
        <v>45076.4399537037</v>
      </c>
      <c r="C626" s="1" t="n">
        <v>46142</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61874-2021</t>
        </is>
      </c>
      <c r="B627" s="1" t="n">
        <v>44502</v>
      </c>
      <c r="C627" s="1" t="n">
        <v>46142</v>
      </c>
      <c r="D627" t="inlineStr">
        <is>
          <t>VÄSTMANLANDS LÄN</t>
        </is>
      </c>
      <c r="E627" t="inlineStr">
        <is>
          <t>SALA</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62523-2025</t>
        </is>
      </c>
      <c r="B628" s="1" t="n">
        <v>46007.61512731481</v>
      </c>
      <c r="C628" s="1" t="n">
        <v>46142</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9856-2022</t>
        </is>
      </c>
      <c r="B629" s="1" t="n">
        <v>44620</v>
      </c>
      <c r="C629" s="1" t="n">
        <v>46142</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16159-2024</t>
        </is>
      </c>
      <c r="B630" s="1" t="n">
        <v>45406</v>
      </c>
      <c r="C630" s="1" t="n">
        <v>46142</v>
      </c>
      <c r="D630" t="inlineStr">
        <is>
          <t>VÄSTMANLANDS LÄN</t>
        </is>
      </c>
      <c r="E630" t="inlineStr">
        <is>
          <t>SALA</t>
        </is>
      </c>
      <c r="G630" t="n">
        <v>0.4</v>
      </c>
      <c r="H630" t="n">
        <v>0</v>
      </c>
      <c r="I630" t="n">
        <v>0</v>
      </c>
      <c r="J630" t="n">
        <v>0</v>
      </c>
      <c r="K630" t="n">
        <v>0</v>
      </c>
      <c r="L630" t="n">
        <v>0</v>
      </c>
      <c r="M630" t="n">
        <v>0</v>
      </c>
      <c r="N630" t="n">
        <v>0</v>
      </c>
      <c r="O630" t="n">
        <v>0</v>
      </c>
      <c r="P630" t="n">
        <v>0</v>
      </c>
      <c r="Q630" t="n">
        <v>0</v>
      </c>
      <c r="R630" s="2" t="inlineStr"/>
    </row>
    <row r="631" ht="15" customHeight="1">
      <c r="A631" t="inlineStr">
        <is>
          <t>A 50241-2023</t>
        </is>
      </c>
      <c r="B631" s="1" t="n">
        <v>45216</v>
      </c>
      <c r="C631" s="1" t="n">
        <v>46142</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3332-2024</t>
        </is>
      </c>
      <c r="B632" s="1" t="n">
        <v>45317</v>
      </c>
      <c r="C632" s="1" t="n">
        <v>46142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35637-2022</t>
        </is>
      </c>
      <c r="B633" s="1" t="n">
        <v>44799.55194444444</v>
      </c>
      <c r="C633" s="1" t="n">
        <v>46142</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63055-2025</t>
        </is>
      </c>
      <c r="B634" s="1" t="n">
        <v>46009.63619212963</v>
      </c>
      <c r="C634" s="1" t="n">
        <v>46142</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63353-2025</t>
        </is>
      </c>
      <c r="B635" s="1" t="n">
        <v>46010.66670138889</v>
      </c>
      <c r="C635" s="1" t="n">
        <v>46142</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63051-2025</t>
        </is>
      </c>
      <c r="B636" s="1" t="n">
        <v>46009.63134259259</v>
      </c>
      <c r="C636" s="1" t="n">
        <v>46142</v>
      </c>
      <c r="D636" t="inlineStr">
        <is>
          <t>VÄSTMANLANDS LÄN</t>
        </is>
      </c>
      <c r="E636" t="inlineStr">
        <is>
          <t>SALA</t>
        </is>
      </c>
      <c r="G636" t="n">
        <v>1.1</v>
      </c>
      <c r="H636" t="n">
        <v>0</v>
      </c>
      <c r="I636" t="n">
        <v>0</v>
      </c>
      <c r="J636" t="n">
        <v>0</v>
      </c>
      <c r="K636" t="n">
        <v>0</v>
      </c>
      <c r="L636" t="n">
        <v>0</v>
      </c>
      <c r="M636" t="n">
        <v>0</v>
      </c>
      <c r="N636" t="n">
        <v>0</v>
      </c>
      <c r="O636" t="n">
        <v>0</v>
      </c>
      <c r="P636" t="n">
        <v>0</v>
      </c>
      <c r="Q636" t="n">
        <v>0</v>
      </c>
      <c r="R636" s="2" t="inlineStr"/>
    </row>
    <row r="637" ht="15" customHeight="1">
      <c r="A637" t="inlineStr">
        <is>
          <t>A 63046-2025</t>
        </is>
      </c>
      <c r="B637" s="1" t="n">
        <v>46009.62373842593</v>
      </c>
      <c r="C637" s="1" t="n">
        <v>46142</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63269-2025</t>
        </is>
      </c>
      <c r="B638" s="1" t="n">
        <v>46010</v>
      </c>
      <c r="C638" s="1" t="n">
        <v>46142</v>
      </c>
      <c r="D638" t="inlineStr">
        <is>
          <t>VÄSTMANLANDS LÄN</t>
        </is>
      </c>
      <c r="E638" t="inlineStr">
        <is>
          <t>SALA</t>
        </is>
      </c>
      <c r="G638" t="n">
        <v>6.4</v>
      </c>
      <c r="H638" t="n">
        <v>0</v>
      </c>
      <c r="I638" t="n">
        <v>0</v>
      </c>
      <c r="J638" t="n">
        <v>0</v>
      </c>
      <c r="K638" t="n">
        <v>0</v>
      </c>
      <c r="L638" t="n">
        <v>0</v>
      </c>
      <c r="M638" t="n">
        <v>0</v>
      </c>
      <c r="N638" t="n">
        <v>0</v>
      </c>
      <c r="O638" t="n">
        <v>0</v>
      </c>
      <c r="P638" t="n">
        <v>0</v>
      </c>
      <c r="Q638" t="n">
        <v>0</v>
      </c>
      <c r="R638" s="2" t="inlineStr"/>
    </row>
    <row r="639" ht="15" customHeight="1">
      <c r="A639" t="inlineStr">
        <is>
          <t>A 57883-2024</t>
        </is>
      </c>
      <c r="B639" s="1" t="n">
        <v>45630</v>
      </c>
      <c r="C639" s="1" t="n">
        <v>46142</v>
      </c>
      <c r="D639" t="inlineStr">
        <is>
          <t>VÄSTMANLANDS LÄN</t>
        </is>
      </c>
      <c r="E639" t="inlineStr">
        <is>
          <t>SALA</t>
        </is>
      </c>
      <c r="G639" t="n">
        <v>5.4</v>
      </c>
      <c r="H639" t="n">
        <v>0</v>
      </c>
      <c r="I639" t="n">
        <v>0</v>
      </c>
      <c r="J639" t="n">
        <v>0</v>
      </c>
      <c r="K639" t="n">
        <v>0</v>
      </c>
      <c r="L639" t="n">
        <v>0</v>
      </c>
      <c r="M639" t="n">
        <v>0</v>
      </c>
      <c r="N639" t="n">
        <v>0</v>
      </c>
      <c r="O639" t="n">
        <v>0</v>
      </c>
      <c r="P639" t="n">
        <v>0</v>
      </c>
      <c r="Q639" t="n">
        <v>0</v>
      </c>
      <c r="R639" s="2" t="inlineStr"/>
    </row>
    <row r="640" ht="15" customHeight="1">
      <c r="A640" t="inlineStr">
        <is>
          <t>A 50876-2023</t>
        </is>
      </c>
      <c r="B640" s="1" t="n">
        <v>45211</v>
      </c>
      <c r="C640" s="1" t="n">
        <v>46142</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37624-2024</t>
        </is>
      </c>
      <c r="B641" s="1" t="n">
        <v>45541</v>
      </c>
      <c r="C641" s="1" t="n">
        <v>46142</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40398-2021</t>
        </is>
      </c>
      <c r="B642" s="1" t="n">
        <v>44419</v>
      </c>
      <c r="C642" s="1" t="n">
        <v>46142</v>
      </c>
      <c r="D642" t="inlineStr">
        <is>
          <t>VÄSTMANLANDS LÄN</t>
        </is>
      </c>
      <c r="E642" t="inlineStr">
        <is>
          <t>SALA</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6351-2023</t>
        </is>
      </c>
      <c r="B643" s="1" t="n">
        <v>44965</v>
      </c>
      <c r="C643" s="1" t="n">
        <v>46142</v>
      </c>
      <c r="D643" t="inlineStr">
        <is>
          <t>VÄSTMANLANDS LÄN</t>
        </is>
      </c>
      <c r="E643" t="inlineStr">
        <is>
          <t>SALA</t>
        </is>
      </c>
      <c r="F643" t="inlineStr">
        <is>
          <t>Kommuner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17722-2025</t>
        </is>
      </c>
      <c r="B644" s="1" t="n">
        <v>45758</v>
      </c>
      <c r="C644" s="1" t="n">
        <v>46142</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27262-2024</t>
        </is>
      </c>
      <c r="B645" s="1" t="n">
        <v>45471</v>
      </c>
      <c r="C645" s="1" t="n">
        <v>46142</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23119-2022</t>
        </is>
      </c>
      <c r="B646" s="1" t="n">
        <v>44719.56697916667</v>
      </c>
      <c r="C646" s="1" t="n">
        <v>46142</v>
      </c>
      <c r="D646" t="inlineStr">
        <is>
          <t>VÄSTMANLANDS LÄN</t>
        </is>
      </c>
      <c r="E646" t="inlineStr">
        <is>
          <t>SALA</t>
        </is>
      </c>
      <c r="G646" t="n">
        <v>7</v>
      </c>
      <c r="H646" t="n">
        <v>0</v>
      </c>
      <c r="I646" t="n">
        <v>0</v>
      </c>
      <c r="J646" t="n">
        <v>0</v>
      </c>
      <c r="K646" t="n">
        <v>0</v>
      </c>
      <c r="L646" t="n">
        <v>0</v>
      </c>
      <c r="M646" t="n">
        <v>0</v>
      </c>
      <c r="N646" t="n">
        <v>0</v>
      </c>
      <c r="O646" t="n">
        <v>0</v>
      </c>
      <c r="P646" t="n">
        <v>0</v>
      </c>
      <c r="Q646" t="n">
        <v>0</v>
      </c>
      <c r="R646" s="2" t="inlineStr"/>
    </row>
    <row r="647" ht="15" customHeight="1">
      <c r="A647" t="inlineStr">
        <is>
          <t>A 63749-2025</t>
        </is>
      </c>
      <c r="B647" s="1" t="n">
        <v>46017.75243055556</v>
      </c>
      <c r="C647" s="1" t="n">
        <v>46142</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43751-2021</t>
        </is>
      </c>
      <c r="B648" s="1" t="n">
        <v>44433</v>
      </c>
      <c r="C648" s="1" t="n">
        <v>46142</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59483-2022</t>
        </is>
      </c>
      <c r="B649" s="1" t="n">
        <v>44907.45679398148</v>
      </c>
      <c r="C649" s="1" t="n">
        <v>46142</v>
      </c>
      <c r="D649" t="inlineStr">
        <is>
          <t>VÄSTMANLANDS LÄN</t>
        </is>
      </c>
      <c r="E649" t="inlineStr">
        <is>
          <t>SALA</t>
        </is>
      </c>
      <c r="G649" t="n">
        <v>5.2</v>
      </c>
      <c r="H649" t="n">
        <v>0</v>
      </c>
      <c r="I649" t="n">
        <v>0</v>
      </c>
      <c r="J649" t="n">
        <v>0</v>
      </c>
      <c r="K649" t="n">
        <v>0</v>
      </c>
      <c r="L649" t="n">
        <v>0</v>
      </c>
      <c r="M649" t="n">
        <v>0</v>
      </c>
      <c r="N649" t="n">
        <v>0</v>
      </c>
      <c r="O649" t="n">
        <v>0</v>
      </c>
      <c r="P649" t="n">
        <v>0</v>
      </c>
      <c r="Q649" t="n">
        <v>0</v>
      </c>
      <c r="R649" s="2" t="inlineStr"/>
    </row>
    <row r="650" ht="15" customHeight="1">
      <c r="A650" t="inlineStr">
        <is>
          <t>A 63748-2025</t>
        </is>
      </c>
      <c r="B650" s="1" t="n">
        <v>46017.71640046296</v>
      </c>
      <c r="C650" s="1" t="n">
        <v>46142</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73673-2021</t>
        </is>
      </c>
      <c r="B651" s="1" t="n">
        <v>44552.46501157407</v>
      </c>
      <c r="C651" s="1" t="n">
        <v>46142</v>
      </c>
      <c r="D651" t="inlineStr">
        <is>
          <t>VÄSTMANLANDS LÄN</t>
        </is>
      </c>
      <c r="E651" t="inlineStr">
        <is>
          <t>SALA</t>
        </is>
      </c>
      <c r="G651" t="n">
        <v>11.4</v>
      </c>
      <c r="H651" t="n">
        <v>0</v>
      </c>
      <c r="I651" t="n">
        <v>0</v>
      </c>
      <c r="J651" t="n">
        <v>0</v>
      </c>
      <c r="K651" t="n">
        <v>0</v>
      </c>
      <c r="L651" t="n">
        <v>0</v>
      </c>
      <c r="M651" t="n">
        <v>0</v>
      </c>
      <c r="N651" t="n">
        <v>0</v>
      </c>
      <c r="O651" t="n">
        <v>0</v>
      </c>
      <c r="P651" t="n">
        <v>0</v>
      </c>
      <c r="Q651" t="n">
        <v>0</v>
      </c>
      <c r="R651" s="2" t="inlineStr"/>
    </row>
    <row r="652" ht="15" customHeight="1">
      <c r="A652" t="inlineStr">
        <is>
          <t>A 4853-2023</t>
        </is>
      </c>
      <c r="B652" s="1" t="n">
        <v>44957.73234953704</v>
      </c>
      <c r="C652" s="1" t="n">
        <v>46142</v>
      </c>
      <c r="D652" t="inlineStr">
        <is>
          <t>VÄSTMANLANDS LÄN</t>
        </is>
      </c>
      <c r="E652" t="inlineStr">
        <is>
          <t>SALA</t>
        </is>
      </c>
      <c r="G652" t="n">
        <v>2.7</v>
      </c>
      <c r="H652" t="n">
        <v>0</v>
      </c>
      <c r="I652" t="n">
        <v>0</v>
      </c>
      <c r="J652" t="n">
        <v>0</v>
      </c>
      <c r="K652" t="n">
        <v>0</v>
      </c>
      <c r="L652" t="n">
        <v>0</v>
      </c>
      <c r="M652" t="n">
        <v>0</v>
      </c>
      <c r="N652" t="n">
        <v>0</v>
      </c>
      <c r="O652" t="n">
        <v>0</v>
      </c>
      <c r="P652" t="n">
        <v>0</v>
      </c>
      <c r="Q652" t="n">
        <v>0</v>
      </c>
      <c r="R652" s="2" t="inlineStr"/>
    </row>
    <row r="653" ht="15" customHeight="1">
      <c r="A653" t="inlineStr">
        <is>
          <t>A 1993-2022</t>
        </is>
      </c>
      <c r="B653" s="1" t="n">
        <v>44575</v>
      </c>
      <c r="C653" s="1" t="n">
        <v>46142</v>
      </c>
      <c r="D653" t="inlineStr">
        <is>
          <t>VÄSTMANLANDS LÄN</t>
        </is>
      </c>
      <c r="E653" t="inlineStr">
        <is>
          <t>SALA</t>
        </is>
      </c>
      <c r="G653" t="n">
        <v>1.6</v>
      </c>
      <c r="H653" t="n">
        <v>0</v>
      </c>
      <c r="I653" t="n">
        <v>0</v>
      </c>
      <c r="J653" t="n">
        <v>0</v>
      </c>
      <c r="K653" t="n">
        <v>0</v>
      </c>
      <c r="L653" t="n">
        <v>0</v>
      </c>
      <c r="M653" t="n">
        <v>0</v>
      </c>
      <c r="N653" t="n">
        <v>0</v>
      </c>
      <c r="O653" t="n">
        <v>0</v>
      </c>
      <c r="P653" t="n">
        <v>0</v>
      </c>
      <c r="Q653" t="n">
        <v>0</v>
      </c>
      <c r="R653" s="2" t="inlineStr"/>
    </row>
    <row r="654" ht="15" customHeight="1">
      <c r="A654" t="inlineStr">
        <is>
          <t>A 1793-2023</t>
        </is>
      </c>
      <c r="B654" s="1" t="n">
        <v>44937</v>
      </c>
      <c r="C654" s="1" t="n">
        <v>46142</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910-2026</t>
        </is>
      </c>
      <c r="B655" s="1" t="n">
        <v>46030.4771412037</v>
      </c>
      <c r="C655" s="1" t="n">
        <v>46142</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42447-2022</t>
        </is>
      </c>
      <c r="B656" s="1" t="n">
        <v>44831</v>
      </c>
      <c r="C656" s="1" t="n">
        <v>46142</v>
      </c>
      <c r="D656" t="inlineStr">
        <is>
          <t>VÄSTMANLANDS LÄN</t>
        </is>
      </c>
      <c r="E656" t="inlineStr">
        <is>
          <t>SALA</t>
        </is>
      </c>
      <c r="G656" t="n">
        <v>1.1</v>
      </c>
      <c r="H656" t="n">
        <v>0</v>
      </c>
      <c r="I656" t="n">
        <v>0</v>
      </c>
      <c r="J656" t="n">
        <v>0</v>
      </c>
      <c r="K656" t="n">
        <v>0</v>
      </c>
      <c r="L656" t="n">
        <v>0</v>
      </c>
      <c r="M656" t="n">
        <v>0</v>
      </c>
      <c r="N656" t="n">
        <v>0</v>
      </c>
      <c r="O656" t="n">
        <v>0</v>
      </c>
      <c r="P656" t="n">
        <v>0</v>
      </c>
      <c r="Q656" t="n">
        <v>0</v>
      </c>
      <c r="R656" s="2" t="inlineStr"/>
    </row>
    <row r="657" ht="15" customHeight="1">
      <c r="A657" t="inlineStr">
        <is>
          <t>A 11183-2023</t>
        </is>
      </c>
      <c r="B657" s="1" t="n">
        <v>44992.57782407408</v>
      </c>
      <c r="C657" s="1" t="n">
        <v>46142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914-2026</t>
        </is>
      </c>
      <c r="B658" s="1" t="n">
        <v>46030.47952546296</v>
      </c>
      <c r="C658" s="1" t="n">
        <v>46142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46142</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948-2026</t>
        </is>
      </c>
      <c r="B660" s="1" t="n">
        <v>46030.53986111111</v>
      </c>
      <c r="C660" s="1" t="n">
        <v>46142</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31950-2023</t>
        </is>
      </c>
      <c r="B661" s="1" t="n">
        <v>45107</v>
      </c>
      <c r="C661" s="1" t="n">
        <v>46142</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48710-2024</t>
        </is>
      </c>
      <c r="B662" s="1" t="n">
        <v>45593.53636574074</v>
      </c>
      <c r="C662" s="1" t="n">
        <v>46142</v>
      </c>
      <c r="D662" t="inlineStr">
        <is>
          <t>VÄSTMANLANDS LÄN</t>
        </is>
      </c>
      <c r="E662" t="inlineStr">
        <is>
          <t>SALA</t>
        </is>
      </c>
      <c r="G662" t="n">
        <v>6.5</v>
      </c>
      <c r="H662" t="n">
        <v>0</v>
      </c>
      <c r="I662" t="n">
        <v>0</v>
      </c>
      <c r="J662" t="n">
        <v>0</v>
      </c>
      <c r="K662" t="n">
        <v>0</v>
      </c>
      <c r="L662" t="n">
        <v>0</v>
      </c>
      <c r="M662" t="n">
        <v>0</v>
      </c>
      <c r="N662" t="n">
        <v>0</v>
      </c>
      <c r="O662" t="n">
        <v>0</v>
      </c>
      <c r="P662" t="n">
        <v>0</v>
      </c>
      <c r="Q662" t="n">
        <v>0</v>
      </c>
      <c r="R662" s="2" t="inlineStr"/>
    </row>
    <row r="663" ht="15" customHeight="1">
      <c r="A663" t="inlineStr">
        <is>
          <t>A 23406-2024</t>
        </is>
      </c>
      <c r="B663" s="1" t="n">
        <v>45453.58296296297</v>
      </c>
      <c r="C663" s="1" t="n">
        <v>46142</v>
      </c>
      <c r="D663" t="inlineStr">
        <is>
          <t>VÄSTMANLANDS LÄN</t>
        </is>
      </c>
      <c r="E663" t="inlineStr">
        <is>
          <t>SALA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46142</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1705-2026</t>
        </is>
      </c>
      <c r="B665" s="1" t="n">
        <v>46034.59930555556</v>
      </c>
      <c r="C665" s="1" t="n">
        <v>46142</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48571-2024</t>
        </is>
      </c>
      <c r="B666" s="1" t="n">
        <v>45591</v>
      </c>
      <c r="C666" s="1" t="n">
        <v>46142</v>
      </c>
      <c r="D666" t="inlineStr">
        <is>
          <t>VÄSTMANLANDS LÄN</t>
        </is>
      </c>
      <c r="E666" t="inlineStr">
        <is>
          <t>SALA</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43362-2023</t>
        </is>
      </c>
      <c r="B667" s="1" t="n">
        <v>45183</v>
      </c>
      <c r="C667" s="1" t="n">
        <v>46142</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16767-2024</t>
        </is>
      </c>
      <c r="B668" s="1" t="n">
        <v>45411.38171296296</v>
      </c>
      <c r="C668" s="1" t="n">
        <v>46142</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31470-2021</t>
        </is>
      </c>
      <c r="B669" s="1" t="n">
        <v>44369</v>
      </c>
      <c r="C669" s="1" t="n">
        <v>46142</v>
      </c>
      <c r="D669" t="inlineStr">
        <is>
          <t>VÄSTMANLANDS LÄN</t>
        </is>
      </c>
      <c r="E669" t="inlineStr">
        <is>
          <t>SALA</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18461-2024</t>
        </is>
      </c>
      <c r="B670" s="1" t="n">
        <v>45425.47435185185</v>
      </c>
      <c r="C670" s="1" t="n">
        <v>46142</v>
      </c>
      <c r="D670" t="inlineStr">
        <is>
          <t>VÄSTMANLANDS LÄN</t>
        </is>
      </c>
      <c r="E670" t="inlineStr">
        <is>
          <t>SALA</t>
        </is>
      </c>
      <c r="G670" t="n">
        <v>1.7</v>
      </c>
      <c r="H670" t="n">
        <v>0</v>
      </c>
      <c r="I670" t="n">
        <v>0</v>
      </c>
      <c r="J670" t="n">
        <v>0</v>
      </c>
      <c r="K670" t="n">
        <v>0</v>
      </c>
      <c r="L670" t="n">
        <v>0</v>
      </c>
      <c r="M670" t="n">
        <v>0</v>
      </c>
      <c r="N670" t="n">
        <v>0</v>
      </c>
      <c r="O670" t="n">
        <v>0</v>
      </c>
      <c r="P670" t="n">
        <v>0</v>
      </c>
      <c r="Q670" t="n">
        <v>0</v>
      </c>
      <c r="R670" s="2" t="inlineStr"/>
    </row>
    <row r="671" ht="15" customHeight="1">
      <c r="A671" t="inlineStr">
        <is>
          <t>A 29230-2022</t>
        </is>
      </c>
      <c r="B671" s="1" t="n">
        <v>44750</v>
      </c>
      <c r="C671" s="1" t="n">
        <v>46142</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9335-2022</t>
        </is>
      </c>
      <c r="B672" s="1" t="n">
        <v>44616.56579861111</v>
      </c>
      <c r="C672" s="1" t="n">
        <v>46142</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47479-2024</t>
        </is>
      </c>
      <c r="B673" s="1" t="n">
        <v>45587</v>
      </c>
      <c r="C673" s="1" t="n">
        <v>46142</v>
      </c>
      <c r="D673" t="inlineStr">
        <is>
          <t>VÄSTMANLANDS LÄN</t>
        </is>
      </c>
      <c r="E673" t="inlineStr">
        <is>
          <t>SALA</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19065-2022</t>
        </is>
      </c>
      <c r="B674" s="1" t="n">
        <v>44691.44309027777</v>
      </c>
      <c r="C674" s="1" t="n">
        <v>46142</v>
      </c>
      <c r="D674" t="inlineStr">
        <is>
          <t>VÄSTMANLANDS LÄN</t>
        </is>
      </c>
      <c r="E674" t="inlineStr">
        <is>
          <t>SALA</t>
        </is>
      </c>
      <c r="G674" t="n">
        <v>3.4</v>
      </c>
      <c r="H674" t="n">
        <v>0</v>
      </c>
      <c r="I674" t="n">
        <v>0</v>
      </c>
      <c r="J674" t="n">
        <v>0</v>
      </c>
      <c r="K674" t="n">
        <v>0</v>
      </c>
      <c r="L674" t="n">
        <v>0</v>
      </c>
      <c r="M674" t="n">
        <v>0</v>
      </c>
      <c r="N674" t="n">
        <v>0</v>
      </c>
      <c r="O674" t="n">
        <v>0</v>
      </c>
      <c r="P674" t="n">
        <v>0</v>
      </c>
      <c r="Q674" t="n">
        <v>0</v>
      </c>
      <c r="R674" s="2" t="inlineStr"/>
    </row>
    <row r="675" ht="15" customHeight="1">
      <c r="A675" t="inlineStr">
        <is>
          <t>A 22961-2023</t>
        </is>
      </c>
      <c r="B675" s="1" t="n">
        <v>45072</v>
      </c>
      <c r="C675" s="1" t="n">
        <v>46142</v>
      </c>
      <c r="D675" t="inlineStr">
        <is>
          <t>VÄSTMANLANDS LÄN</t>
        </is>
      </c>
      <c r="E675" t="inlineStr">
        <is>
          <t>SALA</t>
        </is>
      </c>
      <c r="G675" t="n">
        <v>2.7</v>
      </c>
      <c r="H675" t="n">
        <v>0</v>
      </c>
      <c r="I675" t="n">
        <v>0</v>
      </c>
      <c r="J675" t="n">
        <v>0</v>
      </c>
      <c r="K675" t="n">
        <v>0</v>
      </c>
      <c r="L675" t="n">
        <v>0</v>
      </c>
      <c r="M675" t="n">
        <v>0</v>
      </c>
      <c r="N675" t="n">
        <v>0</v>
      </c>
      <c r="O675" t="n">
        <v>0</v>
      </c>
      <c r="P675" t="n">
        <v>0</v>
      </c>
      <c r="Q675" t="n">
        <v>0</v>
      </c>
      <c r="R675" s="2" t="inlineStr"/>
    </row>
    <row r="676" ht="15" customHeight="1">
      <c r="A676" t="inlineStr">
        <is>
          <t>A 22963-2023</t>
        </is>
      </c>
      <c r="B676" s="1" t="n">
        <v>45072</v>
      </c>
      <c r="C676" s="1" t="n">
        <v>46142</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10585-2022</t>
        </is>
      </c>
      <c r="B677" s="1" t="n">
        <v>44624</v>
      </c>
      <c r="C677" s="1" t="n">
        <v>46142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69236-2021</t>
        </is>
      </c>
      <c r="B678" s="1" t="n">
        <v>44531.4047337963</v>
      </c>
      <c r="C678" s="1" t="n">
        <v>46142</v>
      </c>
      <c r="D678" t="inlineStr">
        <is>
          <t>VÄSTMANLANDS LÄN</t>
        </is>
      </c>
      <c r="E678" t="inlineStr">
        <is>
          <t>SALA</t>
        </is>
      </c>
      <c r="G678" t="n">
        <v>2.8</v>
      </c>
      <c r="H678" t="n">
        <v>0</v>
      </c>
      <c r="I678" t="n">
        <v>0</v>
      </c>
      <c r="J678" t="n">
        <v>0</v>
      </c>
      <c r="K678" t="n">
        <v>0</v>
      </c>
      <c r="L678" t="n">
        <v>0</v>
      </c>
      <c r="M678" t="n">
        <v>0</v>
      </c>
      <c r="N678" t="n">
        <v>0</v>
      </c>
      <c r="O678" t="n">
        <v>0</v>
      </c>
      <c r="P678" t="n">
        <v>0</v>
      </c>
      <c r="Q678" t="n">
        <v>0</v>
      </c>
      <c r="R678" s="2" t="inlineStr"/>
    </row>
    <row r="679" ht="15" customHeight="1">
      <c r="A679" t="inlineStr">
        <is>
          <t>A 48117-2024</t>
        </is>
      </c>
      <c r="B679" s="1" t="n">
        <v>45589</v>
      </c>
      <c r="C679" s="1" t="n">
        <v>46142</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12225-2023</t>
        </is>
      </c>
      <c r="B680" s="1" t="n">
        <v>44995</v>
      </c>
      <c r="C680" s="1" t="n">
        <v>46142</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12252-2023</t>
        </is>
      </c>
      <c r="B681" s="1" t="n">
        <v>44995</v>
      </c>
      <c r="C681" s="1" t="n">
        <v>46142</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6116-2023</t>
        </is>
      </c>
      <c r="B682" s="1" t="n">
        <v>44964</v>
      </c>
      <c r="C682" s="1" t="n">
        <v>46142</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46142</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13471-2025</t>
        </is>
      </c>
      <c r="B684" s="1" t="n">
        <v>45736.40579861111</v>
      </c>
      <c r="C684" s="1" t="n">
        <v>46142</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26854-2024</t>
        </is>
      </c>
      <c r="B685" s="1" t="n">
        <v>45470</v>
      </c>
      <c r="C685" s="1" t="n">
        <v>46142</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37602-2024</t>
        </is>
      </c>
      <c r="B686" s="1" t="n">
        <v>45541</v>
      </c>
      <c r="C686" s="1" t="n">
        <v>46142</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1985-2022</t>
        </is>
      </c>
      <c r="B687" s="1" t="n">
        <v>44575</v>
      </c>
      <c r="C687" s="1" t="n">
        <v>46142</v>
      </c>
      <c r="D687" t="inlineStr">
        <is>
          <t>VÄSTMANLANDS LÄN</t>
        </is>
      </c>
      <c r="E687" t="inlineStr">
        <is>
          <t>SALA</t>
        </is>
      </c>
      <c r="G687" t="n">
        <v>1.4</v>
      </c>
      <c r="H687" t="n">
        <v>0</v>
      </c>
      <c r="I687" t="n">
        <v>0</v>
      </c>
      <c r="J687" t="n">
        <v>0</v>
      </c>
      <c r="K687" t="n">
        <v>0</v>
      </c>
      <c r="L687" t="n">
        <v>0</v>
      </c>
      <c r="M687" t="n">
        <v>0</v>
      </c>
      <c r="N687" t="n">
        <v>0</v>
      </c>
      <c r="O687" t="n">
        <v>0</v>
      </c>
      <c r="P687" t="n">
        <v>0</v>
      </c>
      <c r="Q687" t="n">
        <v>0</v>
      </c>
      <c r="R687" s="2" t="inlineStr"/>
    </row>
    <row r="688" ht="15" customHeight="1">
      <c r="A688" t="inlineStr">
        <is>
          <t>A 21455-2023</t>
        </is>
      </c>
      <c r="B688" s="1" t="n">
        <v>45058</v>
      </c>
      <c r="C688" s="1" t="n">
        <v>46142</v>
      </c>
      <c r="D688" t="inlineStr">
        <is>
          <t>VÄSTMANLANDS LÄN</t>
        </is>
      </c>
      <c r="E688" t="inlineStr">
        <is>
          <t>SALA</t>
        </is>
      </c>
      <c r="G688" t="n">
        <v>6.4</v>
      </c>
      <c r="H688" t="n">
        <v>0</v>
      </c>
      <c r="I688" t="n">
        <v>0</v>
      </c>
      <c r="J688" t="n">
        <v>0</v>
      </c>
      <c r="K688" t="n">
        <v>0</v>
      </c>
      <c r="L688" t="n">
        <v>0</v>
      </c>
      <c r="M688" t="n">
        <v>0</v>
      </c>
      <c r="N688" t="n">
        <v>0</v>
      </c>
      <c r="O688" t="n">
        <v>0</v>
      </c>
      <c r="P688" t="n">
        <v>0</v>
      </c>
      <c r="Q688" t="n">
        <v>0</v>
      </c>
      <c r="R688" s="2" t="inlineStr"/>
    </row>
    <row r="689" ht="15" customHeight="1">
      <c r="A689" t="inlineStr">
        <is>
          <t>A 4797-2023</t>
        </is>
      </c>
      <c r="B689" s="1" t="n">
        <v>44957</v>
      </c>
      <c r="C689" s="1" t="n">
        <v>46142</v>
      </c>
      <c r="D689" t="inlineStr">
        <is>
          <t>VÄSTMANLANDS LÄN</t>
        </is>
      </c>
      <c r="E689" t="inlineStr">
        <is>
          <t>SALA</t>
        </is>
      </c>
      <c r="G689" t="n">
        <v>5.7</v>
      </c>
      <c r="H689" t="n">
        <v>0</v>
      </c>
      <c r="I689" t="n">
        <v>0</v>
      </c>
      <c r="J689" t="n">
        <v>0</v>
      </c>
      <c r="K689" t="n">
        <v>0</v>
      </c>
      <c r="L689" t="n">
        <v>0</v>
      </c>
      <c r="M689" t="n">
        <v>0</v>
      </c>
      <c r="N689" t="n">
        <v>0</v>
      </c>
      <c r="O689" t="n">
        <v>0</v>
      </c>
      <c r="P689" t="n">
        <v>0</v>
      </c>
      <c r="Q689" t="n">
        <v>0</v>
      </c>
      <c r="R689" s="2" t="inlineStr"/>
    </row>
    <row r="690" ht="15" customHeight="1">
      <c r="A690" t="inlineStr">
        <is>
          <t>A 4852-2023</t>
        </is>
      </c>
      <c r="B690" s="1" t="n">
        <v>44957.72496527778</v>
      </c>
      <c r="C690" s="1" t="n">
        <v>46142</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36858-2023</t>
        </is>
      </c>
      <c r="B691" s="1" t="n">
        <v>45154.55184027777</v>
      </c>
      <c r="C691" s="1" t="n">
        <v>46142</v>
      </c>
      <c r="D691" t="inlineStr">
        <is>
          <t>VÄSTMANLANDS LÄN</t>
        </is>
      </c>
      <c r="E691" t="inlineStr">
        <is>
          <t>SALA</t>
        </is>
      </c>
      <c r="G691" t="n">
        <v>2.1</v>
      </c>
      <c r="H691" t="n">
        <v>0</v>
      </c>
      <c r="I691" t="n">
        <v>0</v>
      </c>
      <c r="J691" t="n">
        <v>0</v>
      </c>
      <c r="K691" t="n">
        <v>0</v>
      </c>
      <c r="L691" t="n">
        <v>0</v>
      </c>
      <c r="M691" t="n">
        <v>0</v>
      </c>
      <c r="N691" t="n">
        <v>0</v>
      </c>
      <c r="O691" t="n">
        <v>0</v>
      </c>
      <c r="P691" t="n">
        <v>0</v>
      </c>
      <c r="Q691" t="n">
        <v>0</v>
      </c>
      <c r="R691" s="2" t="inlineStr"/>
    </row>
    <row r="692" ht="15" customHeight="1">
      <c r="A692" t="inlineStr">
        <is>
          <t>A 58701-2021</t>
        </is>
      </c>
      <c r="B692" s="1" t="n">
        <v>44489.46454861111</v>
      </c>
      <c r="C692" s="1" t="n">
        <v>46142</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37337-2024</t>
        </is>
      </c>
      <c r="B693" s="1" t="n">
        <v>45540</v>
      </c>
      <c r="C693" s="1" t="n">
        <v>46142</v>
      </c>
      <c r="D693" t="inlineStr">
        <is>
          <t>VÄSTMANLANDS LÄN</t>
        </is>
      </c>
      <c r="E693" t="inlineStr">
        <is>
          <t>SALA</t>
        </is>
      </c>
      <c r="G693" t="n">
        <v>6.5</v>
      </c>
      <c r="H693" t="n">
        <v>0</v>
      </c>
      <c r="I693" t="n">
        <v>0</v>
      </c>
      <c r="J693" t="n">
        <v>0</v>
      </c>
      <c r="K693" t="n">
        <v>0</v>
      </c>
      <c r="L693" t="n">
        <v>0</v>
      </c>
      <c r="M693" t="n">
        <v>0</v>
      </c>
      <c r="N693" t="n">
        <v>0</v>
      </c>
      <c r="O693" t="n">
        <v>0</v>
      </c>
      <c r="P693" t="n">
        <v>0</v>
      </c>
      <c r="Q693" t="n">
        <v>0</v>
      </c>
      <c r="R693" s="2" t="inlineStr"/>
    </row>
    <row r="694" ht="15" customHeight="1">
      <c r="A694" t="inlineStr">
        <is>
          <t>A 10250-2025</t>
        </is>
      </c>
      <c r="B694" s="1" t="n">
        <v>45720.36165509259</v>
      </c>
      <c r="C694" s="1" t="n">
        <v>46142</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23180-2022</t>
        </is>
      </c>
      <c r="B695" s="1" t="n">
        <v>44719.79344907407</v>
      </c>
      <c r="C695" s="1" t="n">
        <v>46142</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21053-2022</t>
        </is>
      </c>
      <c r="B696" s="1" t="n">
        <v>44704</v>
      </c>
      <c r="C696" s="1" t="n">
        <v>46142</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18340-2025</t>
        </is>
      </c>
      <c r="B697" s="1" t="n">
        <v>45762</v>
      </c>
      <c r="C697" s="1" t="n">
        <v>46142</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16638-2023</t>
        </is>
      </c>
      <c r="B698" s="1" t="n">
        <v>45027</v>
      </c>
      <c r="C698" s="1" t="n">
        <v>46142</v>
      </c>
      <c r="D698" t="inlineStr">
        <is>
          <t>VÄSTMANLANDS LÄN</t>
        </is>
      </c>
      <c r="E698" t="inlineStr">
        <is>
          <t>SALA</t>
        </is>
      </c>
      <c r="G698" t="n">
        <v>14.8</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46142</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59909-2024</t>
        </is>
      </c>
      <c r="B700" s="1" t="n">
        <v>45641</v>
      </c>
      <c r="C700" s="1" t="n">
        <v>46142</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30028-2024</t>
        </is>
      </c>
      <c r="B701" s="1" t="n">
        <v>45485</v>
      </c>
      <c r="C701" s="1" t="n">
        <v>46142</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33309-2022</t>
        </is>
      </c>
      <c r="B702" s="1" t="n">
        <v>44788.40986111111</v>
      </c>
      <c r="C702" s="1" t="n">
        <v>46142</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7377-2023</t>
        </is>
      </c>
      <c r="B703" s="1" t="n">
        <v>44971</v>
      </c>
      <c r="C703" s="1" t="n">
        <v>46142</v>
      </c>
      <c r="D703" t="inlineStr">
        <is>
          <t>VÄSTMANLANDS LÄN</t>
        </is>
      </c>
      <c r="E703" t="inlineStr">
        <is>
          <t>SALA</t>
        </is>
      </c>
      <c r="G703" t="n">
        <v>0.9</v>
      </c>
      <c r="H703" t="n">
        <v>0</v>
      </c>
      <c r="I703" t="n">
        <v>0</v>
      </c>
      <c r="J703" t="n">
        <v>0</v>
      </c>
      <c r="K703" t="n">
        <v>0</v>
      </c>
      <c r="L703" t="n">
        <v>0</v>
      </c>
      <c r="M703" t="n">
        <v>0</v>
      </c>
      <c r="N703" t="n">
        <v>0</v>
      </c>
      <c r="O703" t="n">
        <v>0</v>
      </c>
      <c r="P703" t="n">
        <v>0</v>
      </c>
      <c r="Q703" t="n">
        <v>0</v>
      </c>
      <c r="R703" s="2" t="inlineStr"/>
    </row>
    <row r="704" ht="15" customHeight="1">
      <c r="A704" t="inlineStr">
        <is>
          <t>A 27229-2022</t>
        </is>
      </c>
      <c r="B704" s="1" t="n">
        <v>44741</v>
      </c>
      <c r="C704" s="1" t="n">
        <v>46142</v>
      </c>
      <c r="D704" t="inlineStr">
        <is>
          <t>VÄSTMANLANDS LÄN</t>
        </is>
      </c>
      <c r="E704" t="inlineStr">
        <is>
          <t>SALA</t>
        </is>
      </c>
      <c r="F704" t="inlineStr">
        <is>
          <t>Kommuner</t>
        </is>
      </c>
      <c r="G704" t="n">
        <v>1.4</v>
      </c>
      <c r="H704" t="n">
        <v>0</v>
      </c>
      <c r="I704" t="n">
        <v>0</v>
      </c>
      <c r="J704" t="n">
        <v>0</v>
      </c>
      <c r="K704" t="n">
        <v>0</v>
      </c>
      <c r="L704" t="n">
        <v>0</v>
      </c>
      <c r="M704" t="n">
        <v>0</v>
      </c>
      <c r="N704" t="n">
        <v>0</v>
      </c>
      <c r="O704" t="n">
        <v>0</v>
      </c>
      <c r="P704" t="n">
        <v>0</v>
      </c>
      <c r="Q704" t="n">
        <v>0</v>
      </c>
      <c r="R704" s="2" t="inlineStr"/>
    </row>
    <row r="705" ht="15" customHeight="1">
      <c r="A705" t="inlineStr">
        <is>
          <t>A 24755-2021</t>
        </is>
      </c>
      <c r="B705" s="1" t="n">
        <v>44340</v>
      </c>
      <c r="C705" s="1" t="n">
        <v>46142</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34867-2023</t>
        </is>
      </c>
      <c r="B706" s="1" t="n">
        <v>45142.33481481481</v>
      </c>
      <c r="C706" s="1" t="n">
        <v>46142</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25748-2022</t>
        </is>
      </c>
      <c r="B707" s="1" t="n">
        <v>44732</v>
      </c>
      <c r="C707" s="1" t="n">
        <v>46142</v>
      </c>
      <c r="D707" t="inlineStr">
        <is>
          <t>VÄSTMANLANDS LÄN</t>
        </is>
      </c>
      <c r="E707" t="inlineStr">
        <is>
          <t>SALA</t>
        </is>
      </c>
      <c r="G707" t="n">
        <v>7.7</v>
      </c>
      <c r="H707" t="n">
        <v>0</v>
      </c>
      <c r="I707" t="n">
        <v>0</v>
      </c>
      <c r="J707" t="n">
        <v>0</v>
      </c>
      <c r="K707" t="n">
        <v>0</v>
      </c>
      <c r="L707" t="n">
        <v>0</v>
      </c>
      <c r="M707" t="n">
        <v>0</v>
      </c>
      <c r="N707" t="n">
        <v>0</v>
      </c>
      <c r="O707" t="n">
        <v>0</v>
      </c>
      <c r="P707" t="n">
        <v>0</v>
      </c>
      <c r="Q707" t="n">
        <v>0</v>
      </c>
      <c r="R707" s="2" t="inlineStr"/>
    </row>
    <row r="708" ht="15" customHeight="1">
      <c r="A708" t="inlineStr">
        <is>
          <t>A 49512-2024</t>
        </is>
      </c>
      <c r="B708" s="1" t="n">
        <v>45591</v>
      </c>
      <c r="C708" s="1" t="n">
        <v>46142</v>
      </c>
      <c r="D708" t="inlineStr">
        <is>
          <t>VÄSTMANLANDS LÄN</t>
        </is>
      </c>
      <c r="E708" t="inlineStr">
        <is>
          <t>SALA</t>
        </is>
      </c>
      <c r="G708" t="n">
        <v>8.1</v>
      </c>
      <c r="H708" t="n">
        <v>0</v>
      </c>
      <c r="I708" t="n">
        <v>0</v>
      </c>
      <c r="J708" t="n">
        <v>0</v>
      </c>
      <c r="K708" t="n">
        <v>0</v>
      </c>
      <c r="L708" t="n">
        <v>0</v>
      </c>
      <c r="M708" t="n">
        <v>0</v>
      </c>
      <c r="N708" t="n">
        <v>0</v>
      </c>
      <c r="O708" t="n">
        <v>0</v>
      </c>
      <c r="P708" t="n">
        <v>0</v>
      </c>
      <c r="Q708" t="n">
        <v>0</v>
      </c>
      <c r="R708" s="2" t="inlineStr"/>
    </row>
    <row r="709" ht="15" customHeight="1">
      <c r="A709" t="inlineStr">
        <is>
          <t>A 13128-2023</t>
        </is>
      </c>
      <c r="B709" s="1" t="n">
        <v>45002</v>
      </c>
      <c r="C709" s="1" t="n">
        <v>46142</v>
      </c>
      <c r="D709" t="inlineStr">
        <is>
          <t>VÄSTMANLANDS LÄN</t>
        </is>
      </c>
      <c r="E709" t="inlineStr">
        <is>
          <t>SALA</t>
        </is>
      </c>
      <c r="G709" t="n">
        <v>7.9</v>
      </c>
      <c r="H709" t="n">
        <v>0</v>
      </c>
      <c r="I709" t="n">
        <v>0</v>
      </c>
      <c r="J709" t="n">
        <v>0</v>
      </c>
      <c r="K709" t="n">
        <v>0</v>
      </c>
      <c r="L709" t="n">
        <v>0</v>
      </c>
      <c r="M709" t="n">
        <v>0</v>
      </c>
      <c r="N709" t="n">
        <v>0</v>
      </c>
      <c r="O709" t="n">
        <v>0</v>
      </c>
      <c r="P709" t="n">
        <v>0</v>
      </c>
      <c r="Q709" t="n">
        <v>0</v>
      </c>
      <c r="R709" s="2" t="inlineStr"/>
    </row>
    <row r="710" ht="15" customHeight="1">
      <c r="A710" t="inlineStr">
        <is>
          <t>A 37958-2024</t>
        </is>
      </c>
      <c r="B710" s="1" t="n">
        <v>45544</v>
      </c>
      <c r="C710" s="1" t="n">
        <v>46142</v>
      </c>
      <c r="D710" t="inlineStr">
        <is>
          <t>VÄSTMANLANDS LÄN</t>
        </is>
      </c>
      <c r="E710" t="inlineStr">
        <is>
          <t>SALA</t>
        </is>
      </c>
      <c r="G710" t="n">
        <v>5.6</v>
      </c>
      <c r="H710" t="n">
        <v>0</v>
      </c>
      <c r="I710" t="n">
        <v>0</v>
      </c>
      <c r="J710" t="n">
        <v>0</v>
      </c>
      <c r="K710" t="n">
        <v>0</v>
      </c>
      <c r="L710" t="n">
        <v>0</v>
      </c>
      <c r="M710" t="n">
        <v>0</v>
      </c>
      <c r="N710" t="n">
        <v>0</v>
      </c>
      <c r="O710" t="n">
        <v>0</v>
      </c>
      <c r="P710" t="n">
        <v>0</v>
      </c>
      <c r="Q710" t="n">
        <v>0</v>
      </c>
      <c r="R710" s="2" t="inlineStr"/>
    </row>
    <row r="711" ht="15" customHeight="1">
      <c r="A711" t="inlineStr">
        <is>
          <t>A 18431-2023</t>
        </is>
      </c>
      <c r="B711" s="1" t="n">
        <v>45042</v>
      </c>
      <c r="C711" s="1" t="n">
        <v>46142</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57650-2024</t>
        </is>
      </c>
      <c r="B712" s="1" t="n">
        <v>45630</v>
      </c>
      <c r="C712" s="1" t="n">
        <v>46142</v>
      </c>
      <c r="D712" t="inlineStr">
        <is>
          <t>VÄSTMANLANDS LÄN</t>
        </is>
      </c>
      <c r="E712" t="inlineStr">
        <is>
          <t>SALA</t>
        </is>
      </c>
      <c r="G712" t="n">
        <v>0.6</v>
      </c>
      <c r="H712" t="n">
        <v>0</v>
      </c>
      <c r="I712" t="n">
        <v>0</v>
      </c>
      <c r="J712" t="n">
        <v>0</v>
      </c>
      <c r="K712" t="n">
        <v>0</v>
      </c>
      <c r="L712" t="n">
        <v>0</v>
      </c>
      <c r="M712" t="n">
        <v>0</v>
      </c>
      <c r="N712" t="n">
        <v>0</v>
      </c>
      <c r="O712" t="n">
        <v>0</v>
      </c>
      <c r="P712" t="n">
        <v>0</v>
      </c>
      <c r="Q712" t="n">
        <v>0</v>
      </c>
      <c r="R712" s="2" t="inlineStr"/>
    </row>
    <row r="713" ht="15" customHeight="1">
      <c r="A713" t="inlineStr">
        <is>
          <t>A 10255-2024</t>
        </is>
      </c>
      <c r="B713" s="1" t="n">
        <v>45365</v>
      </c>
      <c r="C713" s="1" t="n">
        <v>46142</v>
      </c>
      <c r="D713" t="inlineStr">
        <is>
          <t>VÄSTMANLANDS LÄN</t>
        </is>
      </c>
      <c r="E713" t="inlineStr">
        <is>
          <t>SALA</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28696-2023</t>
        </is>
      </c>
      <c r="B714" s="1" t="n">
        <v>45103.71759259259</v>
      </c>
      <c r="C714" s="1" t="n">
        <v>46142</v>
      </c>
      <c r="D714" t="inlineStr">
        <is>
          <t>VÄSTMANLANDS LÄN</t>
        </is>
      </c>
      <c r="E714" t="inlineStr">
        <is>
          <t>SALA</t>
        </is>
      </c>
      <c r="F714" t="inlineStr">
        <is>
          <t>Kommuner</t>
        </is>
      </c>
      <c r="G714" t="n">
        <v>5.9</v>
      </c>
      <c r="H714" t="n">
        <v>0</v>
      </c>
      <c r="I714" t="n">
        <v>0</v>
      </c>
      <c r="J714" t="n">
        <v>0</v>
      </c>
      <c r="K714" t="n">
        <v>0</v>
      </c>
      <c r="L714" t="n">
        <v>0</v>
      </c>
      <c r="M714" t="n">
        <v>0</v>
      </c>
      <c r="N714" t="n">
        <v>0</v>
      </c>
      <c r="O714" t="n">
        <v>0</v>
      </c>
      <c r="P714" t="n">
        <v>0</v>
      </c>
      <c r="Q714" t="n">
        <v>0</v>
      </c>
      <c r="R714" s="2" t="inlineStr"/>
    </row>
    <row r="715" ht="15" customHeight="1">
      <c r="A715" t="inlineStr">
        <is>
          <t>A 31072-2021</t>
        </is>
      </c>
      <c r="B715" s="1" t="n">
        <v>44368</v>
      </c>
      <c r="C715" s="1" t="n">
        <v>46142</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46142</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46142</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4663-2022</t>
        </is>
      </c>
      <c r="B718" s="1" t="n">
        <v>44592.45429398148</v>
      </c>
      <c r="C718" s="1" t="n">
        <v>46142</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6132-2025</t>
        </is>
      </c>
      <c r="B719" s="1" t="n">
        <v>45698</v>
      </c>
      <c r="C719" s="1" t="n">
        <v>46142</v>
      </c>
      <c r="D719" t="inlineStr">
        <is>
          <t>VÄSTMANLANDS LÄN</t>
        </is>
      </c>
      <c r="E719" t="inlineStr">
        <is>
          <t>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31859-2023</t>
        </is>
      </c>
      <c r="B720" s="1" t="n">
        <v>45118</v>
      </c>
      <c r="C720" s="1" t="n">
        <v>46142</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c r="U720">
        <f>HYPERLINK("https://klasma.github.io/Logging_1981/knärot/A 31859-2023 karta knärot.png", "A 31859-2023")</f>
        <v/>
      </c>
      <c r="V720">
        <f>HYPERLINK("https://klasma.github.io/Logging_1981/klagomål/A 31859-2023 FSC-klagomål.docx", "A 31859-2023")</f>
        <v/>
      </c>
      <c r="W720">
        <f>HYPERLINK("https://klasma.github.io/Logging_1981/klagomålsmail/A 31859-2023 FSC-klagomål mail.docx", "A 31859-2023")</f>
        <v/>
      </c>
      <c r="X720">
        <f>HYPERLINK("https://klasma.github.io/Logging_1981/tillsyn/A 31859-2023 tillsynsbegäran.docx", "A 31859-2023")</f>
        <v/>
      </c>
      <c r="Y720">
        <f>HYPERLINK("https://klasma.github.io/Logging_1981/tillsynsmail/A 31859-2023 tillsynsbegäran mail.docx", "A 31859-2023")</f>
        <v/>
      </c>
    </row>
    <row r="721" ht="15" customHeight="1">
      <c r="A721" t="inlineStr">
        <is>
          <t>A 61681-2024</t>
        </is>
      </c>
      <c r="B721" s="1" t="n">
        <v>45647</v>
      </c>
      <c r="C721" s="1" t="n">
        <v>46142</v>
      </c>
      <c r="D721" t="inlineStr">
        <is>
          <t>VÄSTMANLANDS LÄN</t>
        </is>
      </c>
      <c r="E721" t="inlineStr">
        <is>
          <t>SALA</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54960-2024</t>
        </is>
      </c>
      <c r="B722" s="1" t="n">
        <v>45619.85208333333</v>
      </c>
      <c r="C722" s="1" t="n">
        <v>46142</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31082-2021</t>
        </is>
      </c>
      <c r="B723" s="1" t="n">
        <v>44368</v>
      </c>
      <c r="C723" s="1" t="n">
        <v>46142</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20352-2022</t>
        </is>
      </c>
      <c r="B724" s="1" t="n">
        <v>44699.37318287037</v>
      </c>
      <c r="C724" s="1" t="n">
        <v>46142</v>
      </c>
      <c r="D724" t="inlineStr">
        <is>
          <t>VÄSTMANLANDS LÄN</t>
        </is>
      </c>
      <c r="E724" t="inlineStr">
        <is>
          <t>SALA</t>
        </is>
      </c>
      <c r="G724" t="n">
        <v>1.3</v>
      </c>
      <c r="H724" t="n">
        <v>0</v>
      </c>
      <c r="I724" t="n">
        <v>0</v>
      </c>
      <c r="J724" t="n">
        <v>0</v>
      </c>
      <c r="K724" t="n">
        <v>0</v>
      </c>
      <c r="L724" t="n">
        <v>0</v>
      </c>
      <c r="M724" t="n">
        <v>0</v>
      </c>
      <c r="N724" t="n">
        <v>0</v>
      </c>
      <c r="O724" t="n">
        <v>0</v>
      </c>
      <c r="P724" t="n">
        <v>0</v>
      </c>
      <c r="Q724" t="n">
        <v>0</v>
      </c>
      <c r="R724" s="2" t="inlineStr"/>
    </row>
    <row r="725" ht="15" customHeight="1">
      <c r="A725" t="inlineStr">
        <is>
          <t>A 27657-2023</t>
        </is>
      </c>
      <c r="B725" s="1" t="n">
        <v>45097.76631944445</v>
      </c>
      <c r="C725" s="1" t="n">
        <v>46142</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2766-2024</t>
        </is>
      </c>
      <c r="B726" s="1" t="n">
        <v>45314.60950231482</v>
      </c>
      <c r="C726" s="1" t="n">
        <v>46142</v>
      </c>
      <c r="D726" t="inlineStr">
        <is>
          <t>VÄSTMANLANDS LÄN</t>
        </is>
      </c>
      <c r="E726" t="inlineStr">
        <is>
          <t>SALA</t>
        </is>
      </c>
      <c r="G726" t="n">
        <v>2.8</v>
      </c>
      <c r="H726" t="n">
        <v>0</v>
      </c>
      <c r="I726" t="n">
        <v>0</v>
      </c>
      <c r="J726" t="n">
        <v>0</v>
      </c>
      <c r="K726" t="n">
        <v>0</v>
      </c>
      <c r="L726" t="n">
        <v>0</v>
      </c>
      <c r="M726" t="n">
        <v>0</v>
      </c>
      <c r="N726" t="n">
        <v>0</v>
      </c>
      <c r="O726" t="n">
        <v>0</v>
      </c>
      <c r="P726" t="n">
        <v>0</v>
      </c>
      <c r="Q726" t="n">
        <v>0</v>
      </c>
      <c r="R726" s="2" t="inlineStr"/>
    </row>
    <row r="727" ht="15" customHeight="1">
      <c r="A727" t="inlineStr">
        <is>
          <t>A 60550-2024</t>
        </is>
      </c>
      <c r="B727" s="1" t="n">
        <v>45643</v>
      </c>
      <c r="C727" s="1" t="n">
        <v>46142</v>
      </c>
      <c r="D727" t="inlineStr">
        <is>
          <t>VÄSTMANLANDS LÄN</t>
        </is>
      </c>
      <c r="E727" t="inlineStr">
        <is>
          <t>SALA</t>
        </is>
      </c>
      <c r="G727" t="n">
        <v>0.6</v>
      </c>
      <c r="H727" t="n">
        <v>0</v>
      </c>
      <c r="I727" t="n">
        <v>0</v>
      </c>
      <c r="J727" t="n">
        <v>0</v>
      </c>
      <c r="K727" t="n">
        <v>0</v>
      </c>
      <c r="L727" t="n">
        <v>0</v>
      </c>
      <c r="M727" t="n">
        <v>0</v>
      </c>
      <c r="N727" t="n">
        <v>0</v>
      </c>
      <c r="O727" t="n">
        <v>0</v>
      </c>
      <c r="P727" t="n">
        <v>0</v>
      </c>
      <c r="Q727" t="n">
        <v>0</v>
      </c>
      <c r="R727" s="2" t="inlineStr"/>
    </row>
    <row r="728" ht="15" customHeight="1">
      <c r="A728" t="inlineStr">
        <is>
          <t>A 14690-2025</t>
        </is>
      </c>
      <c r="B728" s="1" t="n">
        <v>45742.58212962963</v>
      </c>
      <c r="C728" s="1" t="n">
        <v>46142</v>
      </c>
      <c r="D728" t="inlineStr">
        <is>
          <t>VÄSTMANLANDS LÄN</t>
        </is>
      </c>
      <c r="E728" t="inlineStr">
        <is>
          <t>SALA</t>
        </is>
      </c>
      <c r="G728" t="n">
        <v>3.4</v>
      </c>
      <c r="H728" t="n">
        <v>0</v>
      </c>
      <c r="I728" t="n">
        <v>0</v>
      </c>
      <c r="J728" t="n">
        <v>0</v>
      </c>
      <c r="K728" t="n">
        <v>0</v>
      </c>
      <c r="L728" t="n">
        <v>0</v>
      </c>
      <c r="M728" t="n">
        <v>0</v>
      </c>
      <c r="N728" t="n">
        <v>0</v>
      </c>
      <c r="O728" t="n">
        <v>0</v>
      </c>
      <c r="P728" t="n">
        <v>0</v>
      </c>
      <c r="Q728" t="n">
        <v>0</v>
      </c>
      <c r="R728" s="2" t="inlineStr"/>
    </row>
    <row r="729" ht="15" customHeight="1">
      <c r="A729" t="inlineStr">
        <is>
          <t>A 24175-2024</t>
        </is>
      </c>
      <c r="B729" s="1" t="n">
        <v>45456</v>
      </c>
      <c r="C729" s="1" t="n">
        <v>46142</v>
      </c>
      <c r="D729" t="inlineStr">
        <is>
          <t>VÄSTMANLANDS LÄN</t>
        </is>
      </c>
      <c r="E729" t="inlineStr">
        <is>
          <t>SALA</t>
        </is>
      </c>
      <c r="G729" t="n">
        <v>0.6</v>
      </c>
      <c r="H729" t="n">
        <v>0</v>
      </c>
      <c r="I729" t="n">
        <v>0</v>
      </c>
      <c r="J729" t="n">
        <v>0</v>
      </c>
      <c r="K729" t="n">
        <v>0</v>
      </c>
      <c r="L729" t="n">
        <v>0</v>
      </c>
      <c r="M729" t="n">
        <v>0</v>
      </c>
      <c r="N729" t="n">
        <v>0</v>
      </c>
      <c r="O729" t="n">
        <v>0</v>
      </c>
      <c r="P729" t="n">
        <v>0</v>
      </c>
      <c r="Q729" t="n">
        <v>0</v>
      </c>
      <c r="R729" s="2" t="inlineStr"/>
    </row>
    <row r="730" ht="15" customHeight="1">
      <c r="A730" t="inlineStr">
        <is>
          <t>A 62449-2023</t>
        </is>
      </c>
      <c r="B730" s="1" t="n">
        <v>45268.49008101852</v>
      </c>
      <c r="C730" s="1" t="n">
        <v>46142</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54910-2023</t>
        </is>
      </c>
      <c r="B731" s="1" t="n">
        <v>45229</v>
      </c>
      <c r="C731" s="1" t="n">
        <v>46142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19222-2025</t>
        </is>
      </c>
      <c r="B732" s="1" t="n">
        <v>45769</v>
      </c>
      <c r="C732" s="1" t="n">
        <v>46142</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19241-2025</t>
        </is>
      </c>
      <c r="B733" s="1" t="n">
        <v>45769</v>
      </c>
      <c r="C733" s="1" t="n">
        <v>46142</v>
      </c>
      <c r="D733" t="inlineStr">
        <is>
          <t>VÄSTMANLANDS LÄN</t>
        </is>
      </c>
      <c r="E733" t="inlineStr">
        <is>
          <t>SALA</t>
        </is>
      </c>
      <c r="G733" t="n">
        <v>3.6</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45092.38087962963</v>
      </c>
      <c r="C734" s="1" t="n">
        <v>46142</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26692-2023</t>
        </is>
      </c>
      <c r="B735" s="1" t="n">
        <v>45093.360625</v>
      </c>
      <c r="C735" s="1" t="n">
        <v>46142</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15681-2025</t>
        </is>
      </c>
      <c r="B736" s="1" t="n">
        <v>45748.45454861111</v>
      </c>
      <c r="C736" s="1" t="n">
        <v>46142</v>
      </c>
      <c r="D736" t="inlineStr">
        <is>
          <t>VÄSTMANLANDS LÄN</t>
        </is>
      </c>
      <c r="E736" t="inlineStr">
        <is>
          <t>SALA</t>
        </is>
      </c>
      <c r="F736" t="inlineStr">
        <is>
          <t>Bergvik skog öst AB</t>
        </is>
      </c>
      <c r="G736" t="n">
        <v>4.3</v>
      </c>
      <c r="H736" t="n">
        <v>0</v>
      </c>
      <c r="I736" t="n">
        <v>0</v>
      </c>
      <c r="J736" t="n">
        <v>0</v>
      </c>
      <c r="K736" t="n">
        <v>0</v>
      </c>
      <c r="L736" t="n">
        <v>0</v>
      </c>
      <c r="M736" t="n">
        <v>0</v>
      </c>
      <c r="N736" t="n">
        <v>0</v>
      </c>
      <c r="O736" t="n">
        <v>0</v>
      </c>
      <c r="P736" t="n">
        <v>0</v>
      </c>
      <c r="Q736" t="n">
        <v>0</v>
      </c>
      <c r="R736" s="2" t="inlineStr"/>
    </row>
    <row r="737" ht="15" customHeight="1">
      <c r="A737" t="inlineStr">
        <is>
          <t>A 2925-2024</t>
        </is>
      </c>
      <c r="B737" s="1" t="n">
        <v>45315.58909722222</v>
      </c>
      <c r="C737" s="1" t="n">
        <v>46142</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44746-2024</t>
        </is>
      </c>
      <c r="B738" s="1" t="n">
        <v>45574.59813657407</v>
      </c>
      <c r="C738" s="1" t="n">
        <v>46142</v>
      </c>
      <c r="D738" t="inlineStr">
        <is>
          <t>VÄSTMANLANDS LÄN</t>
        </is>
      </c>
      <c r="E738" t="inlineStr">
        <is>
          <t>SALA</t>
        </is>
      </c>
      <c r="G738" t="n">
        <v>6.7</v>
      </c>
      <c r="H738" t="n">
        <v>0</v>
      </c>
      <c r="I738" t="n">
        <v>0</v>
      </c>
      <c r="J738" t="n">
        <v>0</v>
      </c>
      <c r="K738" t="n">
        <v>0</v>
      </c>
      <c r="L738" t="n">
        <v>0</v>
      </c>
      <c r="M738" t="n">
        <v>0</v>
      </c>
      <c r="N738" t="n">
        <v>0</v>
      </c>
      <c r="O738" t="n">
        <v>0</v>
      </c>
      <c r="P738" t="n">
        <v>0</v>
      </c>
      <c r="Q738" t="n">
        <v>0</v>
      </c>
      <c r="R738" s="2" t="inlineStr"/>
    </row>
    <row r="739" ht="15" customHeight="1">
      <c r="A739" t="inlineStr">
        <is>
          <t>A 44713-2023</t>
        </is>
      </c>
      <c r="B739" s="1" t="n">
        <v>45184</v>
      </c>
      <c r="C739" s="1" t="n">
        <v>46142</v>
      </c>
      <c r="D739" t="inlineStr">
        <is>
          <t>VÄSTMANLANDS LÄN</t>
        </is>
      </c>
      <c r="E739" t="inlineStr">
        <is>
          <t>SALA</t>
        </is>
      </c>
      <c r="F739" t="inlineStr">
        <is>
          <t>Kyrkan</t>
        </is>
      </c>
      <c r="G739" t="n">
        <v>7.6</v>
      </c>
      <c r="H739" t="n">
        <v>0</v>
      </c>
      <c r="I739" t="n">
        <v>0</v>
      </c>
      <c r="J739" t="n">
        <v>0</v>
      </c>
      <c r="K739" t="n">
        <v>0</v>
      </c>
      <c r="L739" t="n">
        <v>0</v>
      </c>
      <c r="M739" t="n">
        <v>0</v>
      </c>
      <c r="N739" t="n">
        <v>0</v>
      </c>
      <c r="O739" t="n">
        <v>0</v>
      </c>
      <c r="P739" t="n">
        <v>0</v>
      </c>
      <c r="Q739" t="n">
        <v>0</v>
      </c>
      <c r="R739" s="2" t="inlineStr"/>
    </row>
    <row r="740" ht="15" customHeight="1">
      <c r="A740" t="inlineStr">
        <is>
          <t>A 23431-2024</t>
        </is>
      </c>
      <c r="B740" s="1" t="n">
        <v>45453</v>
      </c>
      <c r="C740" s="1" t="n">
        <v>46142</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21168-2025</t>
        </is>
      </c>
      <c r="B741" s="1" t="n">
        <v>45777</v>
      </c>
      <c r="C741" s="1" t="n">
        <v>46142</v>
      </c>
      <c r="D741" t="inlineStr">
        <is>
          <t>VÄSTMANLANDS LÄN</t>
        </is>
      </c>
      <c r="E741" t="inlineStr">
        <is>
          <t>SALA</t>
        </is>
      </c>
      <c r="G741" t="n">
        <v>4.5</v>
      </c>
      <c r="H741" t="n">
        <v>0</v>
      </c>
      <c r="I741" t="n">
        <v>0</v>
      </c>
      <c r="J741" t="n">
        <v>0</v>
      </c>
      <c r="K741" t="n">
        <v>0</v>
      </c>
      <c r="L741" t="n">
        <v>0</v>
      </c>
      <c r="M741" t="n">
        <v>0</v>
      </c>
      <c r="N741" t="n">
        <v>0</v>
      </c>
      <c r="O741" t="n">
        <v>0</v>
      </c>
      <c r="P741" t="n">
        <v>0</v>
      </c>
      <c r="Q741" t="n">
        <v>0</v>
      </c>
      <c r="R741" s="2" t="inlineStr"/>
    </row>
    <row r="742" ht="15" customHeight="1">
      <c r="A742" t="inlineStr">
        <is>
          <t>A 21751-2025</t>
        </is>
      </c>
      <c r="B742" s="1" t="n">
        <v>45783.61372685185</v>
      </c>
      <c r="C742" s="1" t="n">
        <v>46142</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21754-2025</t>
        </is>
      </c>
      <c r="B743" s="1" t="n">
        <v>45783.61837962963</v>
      </c>
      <c r="C743" s="1" t="n">
        <v>46142</v>
      </c>
      <c r="D743" t="inlineStr">
        <is>
          <t>VÄSTMANLANDS LÄN</t>
        </is>
      </c>
      <c r="E743" t="inlineStr">
        <is>
          <t>SALA</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37587-2024</t>
        </is>
      </c>
      <c r="B744" s="1" t="n">
        <v>45541</v>
      </c>
      <c r="C744" s="1" t="n">
        <v>46142</v>
      </c>
      <c r="D744" t="inlineStr">
        <is>
          <t>VÄSTMANLANDS LÄN</t>
        </is>
      </c>
      <c r="E744" t="inlineStr">
        <is>
          <t>SALA</t>
        </is>
      </c>
      <c r="G744" t="n">
        <v>1.2</v>
      </c>
      <c r="H744" t="n">
        <v>0</v>
      </c>
      <c r="I744" t="n">
        <v>0</v>
      </c>
      <c r="J744" t="n">
        <v>0</v>
      </c>
      <c r="K744" t="n">
        <v>0</v>
      </c>
      <c r="L744" t="n">
        <v>0</v>
      </c>
      <c r="M744" t="n">
        <v>0</v>
      </c>
      <c r="N744" t="n">
        <v>0</v>
      </c>
      <c r="O744" t="n">
        <v>0</v>
      </c>
      <c r="P744" t="n">
        <v>0</v>
      </c>
      <c r="Q744" t="n">
        <v>0</v>
      </c>
      <c r="R744" s="2" t="inlineStr"/>
    </row>
    <row r="745" ht="15" customHeight="1">
      <c r="A745" t="inlineStr">
        <is>
          <t>A 22353-2025</t>
        </is>
      </c>
      <c r="B745" s="1" t="n">
        <v>45786</v>
      </c>
      <c r="C745" s="1" t="n">
        <v>46142</v>
      </c>
      <c r="D745" t="inlineStr">
        <is>
          <t>VÄSTMANLANDS LÄN</t>
        </is>
      </c>
      <c r="E745" t="inlineStr">
        <is>
          <t>SALA</t>
        </is>
      </c>
      <c r="G745" t="n">
        <v>2.5</v>
      </c>
      <c r="H745" t="n">
        <v>0</v>
      </c>
      <c r="I745" t="n">
        <v>0</v>
      </c>
      <c r="J745" t="n">
        <v>0</v>
      </c>
      <c r="K745" t="n">
        <v>0</v>
      </c>
      <c r="L745" t="n">
        <v>0</v>
      </c>
      <c r="M745" t="n">
        <v>0</v>
      </c>
      <c r="N745" t="n">
        <v>0</v>
      </c>
      <c r="O745" t="n">
        <v>0</v>
      </c>
      <c r="P745" t="n">
        <v>0</v>
      </c>
      <c r="Q745" t="n">
        <v>0</v>
      </c>
      <c r="R745" s="2" t="inlineStr"/>
    </row>
    <row r="746" ht="15" customHeight="1">
      <c r="A746" t="inlineStr">
        <is>
          <t>A 64724-2023</t>
        </is>
      </c>
      <c r="B746" s="1" t="n">
        <v>45281.7602662037</v>
      </c>
      <c r="C746" s="1" t="n">
        <v>46142</v>
      </c>
      <c r="D746" t="inlineStr">
        <is>
          <t>VÄSTMANLANDS LÄN</t>
        </is>
      </c>
      <c r="E746" t="inlineStr">
        <is>
          <t>SALA</t>
        </is>
      </c>
      <c r="G746" t="n">
        <v>2.3</v>
      </c>
      <c r="H746" t="n">
        <v>0</v>
      </c>
      <c r="I746" t="n">
        <v>0</v>
      </c>
      <c r="J746" t="n">
        <v>0</v>
      </c>
      <c r="K746" t="n">
        <v>0</v>
      </c>
      <c r="L746" t="n">
        <v>0</v>
      </c>
      <c r="M746" t="n">
        <v>0</v>
      </c>
      <c r="N746" t="n">
        <v>0</v>
      </c>
      <c r="O746" t="n">
        <v>0</v>
      </c>
      <c r="P746" t="n">
        <v>0</v>
      </c>
      <c r="Q746" t="n">
        <v>0</v>
      </c>
      <c r="R746" s="2" t="inlineStr"/>
    </row>
    <row r="747" ht="15" customHeight="1">
      <c r="A747" t="inlineStr">
        <is>
          <t>A 22370-2025</t>
        </is>
      </c>
      <c r="B747" s="1" t="n">
        <v>45786</v>
      </c>
      <c r="C747" s="1" t="n">
        <v>46142</v>
      </c>
      <c r="D747" t="inlineStr">
        <is>
          <t>VÄSTMANLANDS LÄN</t>
        </is>
      </c>
      <c r="E747" t="inlineStr">
        <is>
          <t>SALA</t>
        </is>
      </c>
      <c r="G747" t="n">
        <v>3.2</v>
      </c>
      <c r="H747" t="n">
        <v>0</v>
      </c>
      <c r="I747" t="n">
        <v>0</v>
      </c>
      <c r="J747" t="n">
        <v>0</v>
      </c>
      <c r="K747" t="n">
        <v>0</v>
      </c>
      <c r="L747" t="n">
        <v>0</v>
      </c>
      <c r="M747" t="n">
        <v>0</v>
      </c>
      <c r="N747" t="n">
        <v>0</v>
      </c>
      <c r="O747" t="n">
        <v>0</v>
      </c>
      <c r="P747" t="n">
        <v>0</v>
      </c>
      <c r="Q747" t="n">
        <v>0</v>
      </c>
      <c r="R747" s="2" t="inlineStr"/>
    </row>
    <row r="748" ht="15" customHeight="1">
      <c r="A748" t="inlineStr">
        <is>
          <t>A 22383-2025</t>
        </is>
      </c>
      <c r="B748" s="1" t="n">
        <v>45786</v>
      </c>
      <c r="C748" s="1" t="n">
        <v>46142</v>
      </c>
      <c r="D748" t="inlineStr">
        <is>
          <t>VÄSTMANLANDS LÄN</t>
        </is>
      </c>
      <c r="E748" t="inlineStr">
        <is>
          <t>SALA</t>
        </is>
      </c>
      <c r="G748" t="n">
        <v>2.2</v>
      </c>
      <c r="H748" t="n">
        <v>0</v>
      </c>
      <c r="I748" t="n">
        <v>0</v>
      </c>
      <c r="J748" t="n">
        <v>0</v>
      </c>
      <c r="K748" t="n">
        <v>0</v>
      </c>
      <c r="L748" t="n">
        <v>0</v>
      </c>
      <c r="M748" t="n">
        <v>0</v>
      </c>
      <c r="N748" t="n">
        <v>0</v>
      </c>
      <c r="O748" t="n">
        <v>0</v>
      </c>
      <c r="P748" t="n">
        <v>0</v>
      </c>
      <c r="Q748" t="n">
        <v>0</v>
      </c>
      <c r="R748" s="2" t="inlineStr"/>
    </row>
    <row r="749" ht="15" customHeight="1">
      <c r="A749" t="inlineStr">
        <is>
          <t>A 7176-2023</t>
        </is>
      </c>
      <c r="B749" s="1" t="n">
        <v>44970</v>
      </c>
      <c r="C749" s="1" t="n">
        <v>46142</v>
      </c>
      <c r="D749" t="inlineStr">
        <is>
          <t>VÄSTMANLANDS LÄN</t>
        </is>
      </c>
      <c r="E749" t="inlineStr">
        <is>
          <t>SALA</t>
        </is>
      </c>
      <c r="G749" t="n">
        <v>1.5</v>
      </c>
      <c r="H749" t="n">
        <v>0</v>
      </c>
      <c r="I749" t="n">
        <v>0</v>
      </c>
      <c r="J749" t="n">
        <v>0</v>
      </c>
      <c r="K749" t="n">
        <v>0</v>
      </c>
      <c r="L749" t="n">
        <v>0</v>
      </c>
      <c r="M749" t="n">
        <v>0</v>
      </c>
      <c r="N749" t="n">
        <v>0</v>
      </c>
      <c r="O749" t="n">
        <v>0</v>
      </c>
      <c r="P749" t="n">
        <v>0</v>
      </c>
      <c r="Q749" t="n">
        <v>0</v>
      </c>
      <c r="R749" s="2" t="inlineStr"/>
    </row>
    <row r="750" ht="15" customHeight="1">
      <c r="A750" t="inlineStr">
        <is>
          <t>A 22624-2025</t>
        </is>
      </c>
      <c r="B750" s="1" t="n">
        <v>45789.43327546296</v>
      </c>
      <c r="C750" s="1" t="n">
        <v>46142</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31405-2024</t>
        </is>
      </c>
      <c r="B751" s="1" t="n">
        <v>45505.5490625</v>
      </c>
      <c r="C751" s="1" t="n">
        <v>46142</v>
      </c>
      <c r="D751" t="inlineStr">
        <is>
          <t>VÄSTMANLANDS LÄN</t>
        </is>
      </c>
      <c r="E751" t="inlineStr">
        <is>
          <t>SALA</t>
        </is>
      </c>
      <c r="G751" t="n">
        <v>5.2</v>
      </c>
      <c r="H751" t="n">
        <v>0</v>
      </c>
      <c r="I751" t="n">
        <v>0</v>
      </c>
      <c r="J751" t="n">
        <v>0</v>
      </c>
      <c r="K751" t="n">
        <v>0</v>
      </c>
      <c r="L751" t="n">
        <v>0</v>
      </c>
      <c r="M751" t="n">
        <v>0</v>
      </c>
      <c r="N751" t="n">
        <v>0</v>
      </c>
      <c r="O751" t="n">
        <v>0</v>
      </c>
      <c r="P751" t="n">
        <v>0</v>
      </c>
      <c r="Q751" t="n">
        <v>0</v>
      </c>
      <c r="R751" s="2" t="inlineStr"/>
    </row>
    <row r="752" ht="15" customHeight="1">
      <c r="A752" t="inlineStr">
        <is>
          <t>A 22616-2025</t>
        </is>
      </c>
      <c r="B752" s="1" t="n">
        <v>45789.42752314815</v>
      </c>
      <c r="C752" s="1" t="n">
        <v>46142</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43600-2024</t>
        </is>
      </c>
      <c r="B753" s="1" t="n">
        <v>45569</v>
      </c>
      <c r="C753" s="1" t="n">
        <v>46142</v>
      </c>
      <c r="D753" t="inlineStr">
        <is>
          <t>VÄSTMANLANDS LÄN</t>
        </is>
      </c>
      <c r="E753" t="inlineStr">
        <is>
          <t>SALA</t>
        </is>
      </c>
      <c r="G753" t="n">
        <v>0.9</v>
      </c>
      <c r="H753" t="n">
        <v>0</v>
      </c>
      <c r="I753" t="n">
        <v>0</v>
      </c>
      <c r="J753" t="n">
        <v>0</v>
      </c>
      <c r="K753" t="n">
        <v>0</v>
      </c>
      <c r="L753" t="n">
        <v>0</v>
      </c>
      <c r="M753" t="n">
        <v>0</v>
      </c>
      <c r="N753" t="n">
        <v>0</v>
      </c>
      <c r="O753" t="n">
        <v>0</v>
      </c>
      <c r="P753" t="n">
        <v>0</v>
      </c>
      <c r="Q753" t="n">
        <v>0</v>
      </c>
      <c r="R753" s="2" t="inlineStr"/>
    </row>
    <row r="754" ht="15" customHeight="1">
      <c r="A754" t="inlineStr">
        <is>
          <t>A 13130-2025</t>
        </is>
      </c>
      <c r="B754" s="1" t="n">
        <v>45734</v>
      </c>
      <c r="C754" s="1" t="n">
        <v>46142</v>
      </c>
      <c r="D754" t="inlineStr">
        <is>
          <t>VÄSTMANLANDS LÄN</t>
        </is>
      </c>
      <c r="E754" t="inlineStr">
        <is>
          <t>SALA</t>
        </is>
      </c>
      <c r="G754" t="n">
        <v>1.5</v>
      </c>
      <c r="H754" t="n">
        <v>0</v>
      </c>
      <c r="I754" t="n">
        <v>0</v>
      </c>
      <c r="J754" t="n">
        <v>0</v>
      </c>
      <c r="K754" t="n">
        <v>0</v>
      </c>
      <c r="L754" t="n">
        <v>0</v>
      </c>
      <c r="M754" t="n">
        <v>0</v>
      </c>
      <c r="N754" t="n">
        <v>0</v>
      </c>
      <c r="O754" t="n">
        <v>0</v>
      </c>
      <c r="P754" t="n">
        <v>0</v>
      </c>
      <c r="Q754" t="n">
        <v>0</v>
      </c>
      <c r="R754" s="2" t="inlineStr"/>
    </row>
    <row r="755" ht="15" customHeight="1">
      <c r="A755" t="inlineStr">
        <is>
          <t>A 24169-2025</t>
        </is>
      </c>
      <c r="B755" s="1" t="n">
        <v>45796</v>
      </c>
      <c r="C755" s="1" t="n">
        <v>46142</v>
      </c>
      <c r="D755" t="inlineStr">
        <is>
          <t>VÄSTMANLANDS LÄN</t>
        </is>
      </c>
      <c r="E755" t="inlineStr">
        <is>
          <t>SALA</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22126-2025</t>
        </is>
      </c>
      <c r="B756" s="1" t="n">
        <v>45785</v>
      </c>
      <c r="C756" s="1" t="n">
        <v>46142</v>
      </c>
      <c r="D756" t="inlineStr">
        <is>
          <t>VÄSTMANLANDS LÄN</t>
        </is>
      </c>
      <c r="E756" t="inlineStr">
        <is>
          <t>SALA</t>
        </is>
      </c>
      <c r="G756" t="n">
        <v>10.6</v>
      </c>
      <c r="H756" t="n">
        <v>0</v>
      </c>
      <c r="I756" t="n">
        <v>0</v>
      </c>
      <c r="J756" t="n">
        <v>0</v>
      </c>
      <c r="K756" t="n">
        <v>0</v>
      </c>
      <c r="L756" t="n">
        <v>0</v>
      </c>
      <c r="M756" t="n">
        <v>0</v>
      </c>
      <c r="N756" t="n">
        <v>0</v>
      </c>
      <c r="O756" t="n">
        <v>0</v>
      </c>
      <c r="P756" t="n">
        <v>0</v>
      </c>
      <c r="Q756" t="n">
        <v>0</v>
      </c>
      <c r="R756" s="2" t="inlineStr"/>
    </row>
    <row r="757" ht="15" customHeight="1">
      <c r="A757" t="inlineStr">
        <is>
          <t>A 23810-2025</t>
        </is>
      </c>
      <c r="B757" s="1" t="n">
        <v>45793.56989583333</v>
      </c>
      <c r="C757" s="1" t="n">
        <v>46142</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46142</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23804-2025</t>
        </is>
      </c>
      <c r="B759" s="1" t="n">
        <v>45793.55995370371</v>
      </c>
      <c r="C759" s="1" t="n">
        <v>46142</v>
      </c>
      <c r="D759" t="inlineStr">
        <is>
          <t>VÄSTMANLANDS LÄN</t>
        </is>
      </c>
      <c r="E759" t="inlineStr">
        <is>
          <t>SALA</t>
        </is>
      </c>
      <c r="G759" t="n">
        <v>1.9</v>
      </c>
      <c r="H759" t="n">
        <v>0</v>
      </c>
      <c r="I759" t="n">
        <v>0</v>
      </c>
      <c r="J759" t="n">
        <v>0</v>
      </c>
      <c r="K759" t="n">
        <v>0</v>
      </c>
      <c r="L759" t="n">
        <v>0</v>
      </c>
      <c r="M759" t="n">
        <v>0</v>
      </c>
      <c r="N759" t="n">
        <v>0</v>
      </c>
      <c r="O759" t="n">
        <v>0</v>
      </c>
      <c r="P759" t="n">
        <v>0</v>
      </c>
      <c r="Q759" t="n">
        <v>0</v>
      </c>
      <c r="R759" s="2" t="inlineStr"/>
    </row>
    <row r="760" ht="15" customHeight="1">
      <c r="A760" t="inlineStr">
        <is>
          <t>A 11210-2025</t>
        </is>
      </c>
      <c r="B760" s="1" t="n">
        <v>45726</v>
      </c>
      <c r="C760" s="1" t="n">
        <v>46142</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19297-2025</t>
        </is>
      </c>
      <c r="B761" s="1" t="n">
        <v>45769.56261574074</v>
      </c>
      <c r="C761" s="1" t="n">
        <v>46142</v>
      </c>
      <c r="D761" t="inlineStr">
        <is>
          <t>VÄSTMANLANDS LÄN</t>
        </is>
      </c>
      <c r="E761" t="inlineStr">
        <is>
          <t>SALA</t>
        </is>
      </c>
      <c r="G761" t="n">
        <v>0.8</v>
      </c>
      <c r="H761" t="n">
        <v>0</v>
      </c>
      <c r="I761" t="n">
        <v>0</v>
      </c>
      <c r="J761" t="n">
        <v>0</v>
      </c>
      <c r="K761" t="n">
        <v>0</v>
      </c>
      <c r="L761" t="n">
        <v>0</v>
      </c>
      <c r="M761" t="n">
        <v>0</v>
      </c>
      <c r="N761" t="n">
        <v>0</v>
      </c>
      <c r="O761" t="n">
        <v>0</v>
      </c>
      <c r="P761" t="n">
        <v>0</v>
      </c>
      <c r="Q761" t="n">
        <v>0</v>
      </c>
      <c r="R761" s="2" t="inlineStr"/>
    </row>
    <row r="762" ht="15" customHeight="1">
      <c r="A762" t="inlineStr">
        <is>
          <t>A 24460-2025</t>
        </is>
      </c>
      <c r="B762" s="1" t="n">
        <v>45798</v>
      </c>
      <c r="C762" s="1" t="n">
        <v>46142</v>
      </c>
      <c r="D762" t="inlineStr">
        <is>
          <t>VÄSTMANLANDS LÄN</t>
        </is>
      </c>
      <c r="E762" t="inlineStr">
        <is>
          <t>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55065-2024</t>
        </is>
      </c>
      <c r="B763" s="1" t="n">
        <v>45618</v>
      </c>
      <c r="C763" s="1" t="n">
        <v>46142</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24463-2025</t>
        </is>
      </c>
      <c r="B764" s="1" t="n">
        <v>45798</v>
      </c>
      <c r="C764" s="1" t="n">
        <v>46142</v>
      </c>
      <c r="D764" t="inlineStr">
        <is>
          <t>VÄSTMANLANDS LÄN</t>
        </is>
      </c>
      <c r="E764" t="inlineStr">
        <is>
          <t>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24907-2025</t>
        </is>
      </c>
      <c r="B765" s="1" t="n">
        <v>45799</v>
      </c>
      <c r="C765" s="1" t="n">
        <v>46142</v>
      </c>
      <c r="D765" t="inlineStr">
        <is>
          <t>VÄSTMANLANDS LÄN</t>
        </is>
      </c>
      <c r="E765" t="inlineStr">
        <is>
          <t>SALA</t>
        </is>
      </c>
      <c r="G765" t="n">
        <v>3.5</v>
      </c>
      <c r="H765" t="n">
        <v>0</v>
      </c>
      <c r="I765" t="n">
        <v>0</v>
      </c>
      <c r="J765" t="n">
        <v>0</v>
      </c>
      <c r="K765" t="n">
        <v>0</v>
      </c>
      <c r="L765" t="n">
        <v>0</v>
      </c>
      <c r="M765" t="n">
        <v>0</v>
      </c>
      <c r="N765" t="n">
        <v>0</v>
      </c>
      <c r="O765" t="n">
        <v>0</v>
      </c>
      <c r="P765" t="n">
        <v>0</v>
      </c>
      <c r="Q765" t="n">
        <v>0</v>
      </c>
      <c r="R765" s="2" t="inlineStr"/>
    </row>
    <row r="766" ht="15" customHeight="1">
      <c r="A766" t="inlineStr">
        <is>
          <t>A 24910-2025</t>
        </is>
      </c>
      <c r="B766" s="1" t="n">
        <v>45799.53775462963</v>
      </c>
      <c r="C766" s="1" t="n">
        <v>46142</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c r="A767" t="inlineStr">
        <is>
          <t>A 10909-2024</t>
        </is>
      </c>
      <c r="B767" s="1" t="n">
        <v>45370</v>
      </c>
      <c r="C767" s="1" t="n">
        <v>46142</v>
      </c>
      <c r="D767" t="inlineStr">
        <is>
          <t>VÄSTMANLANDS LÄN</t>
        </is>
      </c>
      <c r="E767" t="inlineStr">
        <is>
          <t>SALA</t>
        </is>
      </c>
      <c r="G767" t="n">
        <v>3.3</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2026-04-30T11:06:35Z</dcterms:created>
  <dcterms:modified xmlns:dcterms="http://purl.org/dc/terms/" xmlns:xsi="http://www.w3.org/2001/XMLSchema-instance" xsi:type="dcterms:W3CDTF">2026-04-30T11:06:36Z</dcterms:modified>
</cp:coreProperties>
</file>