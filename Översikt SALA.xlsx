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45996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45996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45996</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45996</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53009-2024</t>
        </is>
      </c>
      <c r="B13" s="1" t="n">
        <v>45610</v>
      </c>
      <c r="C13" s="1" t="n">
        <v>45996</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34752-2023</t>
        </is>
      </c>
      <c r="B14" s="1" t="n">
        <v>45141</v>
      </c>
      <c r="C14" s="1" t="n">
        <v>45996</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45996</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45996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45996</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34065-2025</t>
        </is>
      </c>
      <c r="B18" s="1" t="n">
        <v>45845.42806712963</v>
      </c>
      <c r="C18" s="1" t="n">
        <v>45996</v>
      </c>
      <c r="D18" t="inlineStr">
        <is>
          <t>VÄSTMANLANDS LÄN</t>
        </is>
      </c>
      <c r="E18" t="inlineStr">
        <is>
          <t>SALA</t>
        </is>
      </c>
      <c r="G18" t="n">
        <v>3</v>
      </c>
      <c r="H18" t="n">
        <v>0</v>
      </c>
      <c r="I18" t="n">
        <v>1</v>
      </c>
      <c r="J18" t="n">
        <v>2</v>
      </c>
      <c r="K18" t="n">
        <v>0</v>
      </c>
      <c r="L18" t="n">
        <v>0</v>
      </c>
      <c r="M18" t="n">
        <v>0</v>
      </c>
      <c r="N18" t="n">
        <v>0</v>
      </c>
      <c r="O18" t="n">
        <v>2</v>
      </c>
      <c r="P18" t="n">
        <v>0</v>
      </c>
      <c r="Q18" t="n">
        <v>3</v>
      </c>
      <c r="R18" s="2" t="inlineStr">
        <is>
          <t>Granticka
Leptoporus mollis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47475-2024</t>
        </is>
      </c>
      <c r="B19" s="1" t="n">
        <v>45587.57552083334</v>
      </c>
      <c r="C19" s="1" t="n">
        <v>45996</v>
      </c>
      <c r="D19" t="inlineStr">
        <is>
          <t>VÄSTMANLANDS LÄN</t>
        </is>
      </c>
      <c r="E19" t="inlineStr">
        <is>
          <t>SALA</t>
        </is>
      </c>
      <c r="G19" t="n">
        <v>1.4</v>
      </c>
      <c r="H19" t="n">
        <v>1</v>
      </c>
      <c r="I19" t="n">
        <v>0</v>
      </c>
      <c r="J19" t="n">
        <v>0</v>
      </c>
      <c r="K19" t="n">
        <v>3</v>
      </c>
      <c r="L19" t="n">
        <v>0</v>
      </c>
      <c r="M19" t="n">
        <v>0</v>
      </c>
      <c r="N19" t="n">
        <v>0</v>
      </c>
      <c r="O19" t="n">
        <v>3</v>
      </c>
      <c r="P19" t="n">
        <v>3</v>
      </c>
      <c r="Q19" t="n">
        <v>3</v>
      </c>
      <c r="R19" s="2" t="inlineStr">
        <is>
          <t>Knärot
Luddig stiftdynlav
Rynkskinn</t>
        </is>
      </c>
      <c r="S19">
        <f>HYPERLINK("https://klasma.github.io/Logging_1981/artfynd/A 47475-2024 artfynd.xlsx", "A 47475-2024")</f>
        <v/>
      </c>
      <c r="T19">
        <f>HYPERLINK("https://klasma.github.io/Logging_1981/kartor/A 47475-2024 karta.png", "A 47475-2024")</f>
        <v/>
      </c>
      <c r="U19">
        <f>HYPERLINK("https://klasma.github.io/Logging_1981/knärot/A 47475-2024 karta knärot.png", "A 47475-2024")</f>
        <v/>
      </c>
      <c r="V19">
        <f>HYPERLINK("https://klasma.github.io/Logging_1981/klagomål/A 47475-2024 FSC-klagomål.docx", "A 47475-2024")</f>
        <v/>
      </c>
      <c r="W19">
        <f>HYPERLINK("https://klasma.github.io/Logging_1981/klagomålsmail/A 47475-2024 FSC-klagomål mail.docx", "A 47475-2024")</f>
        <v/>
      </c>
      <c r="X19">
        <f>HYPERLINK("https://klasma.github.io/Logging_1981/tillsyn/A 47475-2024 tillsynsbegäran.docx", "A 47475-2024")</f>
        <v/>
      </c>
      <c r="Y19">
        <f>HYPERLINK("https://klasma.github.io/Logging_1981/tillsynsmail/A 47475-2024 tillsynsbegäran mail.docx", "A 47475-2024")</f>
        <v/>
      </c>
    </row>
    <row r="20" ht="15" customHeight="1">
      <c r="A20" t="inlineStr">
        <is>
          <t>A 40895-2025</t>
        </is>
      </c>
      <c r="B20" s="1" t="n">
        <v>45897.61241898148</v>
      </c>
      <c r="C20" s="1" t="n">
        <v>45996</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4264-2024</t>
        </is>
      </c>
      <c r="B21" s="1" t="n">
        <v>45324</v>
      </c>
      <c r="C21" s="1" t="n">
        <v>45996</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45996</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35461-2024</t>
        </is>
      </c>
      <c r="B23" s="1" t="n">
        <v>45531</v>
      </c>
      <c r="C23" s="1" t="n">
        <v>45996</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62768-2021</t>
        </is>
      </c>
      <c r="B24" s="1" t="n">
        <v>44504</v>
      </c>
      <c r="C24" s="1" t="n">
        <v>45996</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3567-2024</t>
        </is>
      </c>
      <c r="B25" s="1" t="n">
        <v>45320.63706018519</v>
      </c>
      <c r="C25" s="1" t="n">
        <v>45996</v>
      </c>
      <c r="D25" t="inlineStr">
        <is>
          <t>VÄSTMANLANDS LÄN</t>
        </is>
      </c>
      <c r="E25" t="inlineStr">
        <is>
          <t>SALA</t>
        </is>
      </c>
      <c r="F25" t="inlineStr">
        <is>
          <t>Kommuner</t>
        </is>
      </c>
      <c r="G25" t="n">
        <v>4.1</v>
      </c>
      <c r="H25" t="n">
        <v>1</v>
      </c>
      <c r="I25" t="n">
        <v>2</v>
      </c>
      <c r="J25" t="n">
        <v>0</v>
      </c>
      <c r="K25" t="n">
        <v>1</v>
      </c>
      <c r="L25" t="n">
        <v>0</v>
      </c>
      <c r="M25" t="n">
        <v>0</v>
      </c>
      <c r="N25" t="n">
        <v>0</v>
      </c>
      <c r="O25" t="n">
        <v>1</v>
      </c>
      <c r="P25" t="n">
        <v>1</v>
      </c>
      <c r="Q25" t="n">
        <v>3</v>
      </c>
      <c r="R25" s="2" t="inlineStr">
        <is>
          <t>Knärot
Guldlockmossa
Vedticka</t>
        </is>
      </c>
      <c r="S25">
        <f>HYPERLINK("https://klasma.github.io/Logging_1981/artfynd/A 3567-2024 artfynd.xlsx", "A 3567-2024")</f>
        <v/>
      </c>
      <c r="T25">
        <f>HYPERLINK("https://klasma.github.io/Logging_1981/kartor/A 3567-2024 karta.png", "A 3567-2024")</f>
        <v/>
      </c>
      <c r="U25">
        <f>HYPERLINK("https://klasma.github.io/Logging_1981/knärot/A 3567-2024 karta knärot.png", "A 3567-2024")</f>
        <v/>
      </c>
      <c r="V25">
        <f>HYPERLINK("https://klasma.github.io/Logging_1981/klagomål/A 3567-2024 FSC-klagomål.docx", "A 3567-2024")</f>
        <v/>
      </c>
      <c r="W25">
        <f>HYPERLINK("https://klasma.github.io/Logging_1981/klagomålsmail/A 3567-2024 FSC-klagomål mail.docx", "A 3567-2024")</f>
        <v/>
      </c>
      <c r="X25">
        <f>HYPERLINK("https://klasma.github.io/Logging_1981/tillsyn/A 3567-2024 tillsynsbegäran.docx", "A 3567-2024")</f>
        <v/>
      </c>
      <c r="Y25">
        <f>HYPERLINK("https://klasma.github.io/Logging_1981/tillsynsmail/A 3567-2024 tillsynsbegäran mail.docx", "A 3567-2024")</f>
        <v/>
      </c>
    </row>
    <row r="26" ht="15" customHeight="1">
      <c r="A26" t="inlineStr">
        <is>
          <t>A 52909-2022</t>
        </is>
      </c>
      <c r="B26" s="1" t="n">
        <v>44875</v>
      </c>
      <c r="C26" s="1" t="n">
        <v>45996</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45996</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45996</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11846-2024</t>
        </is>
      </c>
      <c r="B29" s="1" t="n">
        <v>45376.4047337963</v>
      </c>
      <c r="C29" s="1" t="n">
        <v>45996</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13029-2023</t>
        </is>
      </c>
      <c r="B30" s="1" t="n">
        <v>45001</v>
      </c>
      <c r="C30" s="1" t="n">
        <v>45996</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45996</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12444-2024</t>
        </is>
      </c>
      <c r="B32" s="1" t="n">
        <v>45379.46285879629</v>
      </c>
      <c r="C32" s="1" t="n">
        <v>45996</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15102-2025</t>
        </is>
      </c>
      <c r="B33" s="1" t="n">
        <v>45744.34585648148</v>
      </c>
      <c r="C33" s="1" t="n">
        <v>45996</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45996</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45996</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44970-2021</t>
        </is>
      </c>
      <c r="B36" s="1" t="n">
        <v>44438.74399305556</v>
      </c>
      <c r="C36" s="1" t="n">
        <v>45996</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45996</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45996</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45996</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60852-2024</t>
        </is>
      </c>
      <c r="B40" s="1" t="n">
        <v>45644</v>
      </c>
      <c r="C40" s="1" t="n">
        <v>45996</v>
      </c>
      <c r="D40" t="inlineStr">
        <is>
          <t>VÄSTMANLANDS LÄN</t>
        </is>
      </c>
      <c r="E40" t="inlineStr">
        <is>
          <t>SALA</t>
        </is>
      </c>
      <c r="G40" t="n">
        <v>7.6</v>
      </c>
      <c r="H40" t="n">
        <v>1</v>
      </c>
      <c r="I40" t="n">
        <v>0</v>
      </c>
      <c r="J40" t="n">
        <v>0</v>
      </c>
      <c r="K40" t="n">
        <v>0</v>
      </c>
      <c r="L40" t="n">
        <v>0</v>
      </c>
      <c r="M40" t="n">
        <v>0</v>
      </c>
      <c r="N40" t="n">
        <v>0</v>
      </c>
      <c r="O40" t="n">
        <v>0</v>
      </c>
      <c r="P40" t="n">
        <v>0</v>
      </c>
      <c r="Q40" t="n">
        <v>1</v>
      </c>
      <c r="R40" s="2" t="inlineStr">
        <is>
          <t>Blåsippa</t>
        </is>
      </c>
      <c r="S40">
        <f>HYPERLINK("https://klasma.github.io/Logging_1981/artfynd/A 60852-2024 artfynd.xlsx", "A 60852-2024")</f>
        <v/>
      </c>
      <c r="T40">
        <f>HYPERLINK("https://klasma.github.io/Logging_1981/kartor/A 60852-2024 karta.png", "A 60852-2024")</f>
        <v/>
      </c>
      <c r="V40">
        <f>HYPERLINK("https://klasma.github.io/Logging_1981/klagomål/A 60852-2024 FSC-klagomål.docx", "A 60852-2024")</f>
        <v/>
      </c>
      <c r="W40">
        <f>HYPERLINK("https://klasma.github.io/Logging_1981/klagomålsmail/A 60852-2024 FSC-klagomål mail.docx", "A 60852-2024")</f>
        <v/>
      </c>
      <c r="X40">
        <f>HYPERLINK("https://klasma.github.io/Logging_1981/tillsyn/A 60852-2024 tillsynsbegäran.docx", "A 60852-2024")</f>
        <v/>
      </c>
      <c r="Y40">
        <f>HYPERLINK("https://klasma.github.io/Logging_1981/tillsynsmail/A 60852-2024 tillsynsbegäran mail.docx", "A 60852-2024")</f>
        <v/>
      </c>
    </row>
    <row r="41" ht="15" customHeight="1">
      <c r="A41" t="inlineStr">
        <is>
          <t>A 37166-2024</t>
        </is>
      </c>
      <c r="B41" s="1" t="n">
        <v>45539</v>
      </c>
      <c r="C41" s="1" t="n">
        <v>45996</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41270-2024</t>
        </is>
      </c>
      <c r="B42" s="1" t="n">
        <v>45559</v>
      </c>
      <c r="C42" s="1" t="n">
        <v>45996</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29727-2023</t>
        </is>
      </c>
      <c r="B43" s="1" t="n">
        <v>45107</v>
      </c>
      <c r="C43" s="1" t="n">
        <v>45996</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32594-2025</t>
        </is>
      </c>
      <c r="B44" s="1" t="n">
        <v>45838</v>
      </c>
      <c r="C44" s="1" t="n">
        <v>45996</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22350-2024</t>
        </is>
      </c>
      <c r="B45" s="1" t="n">
        <v>45446</v>
      </c>
      <c r="C45" s="1" t="n">
        <v>45996</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14775-2023</t>
        </is>
      </c>
      <c r="B46" s="1" t="n">
        <v>45014</v>
      </c>
      <c r="C46" s="1" t="n">
        <v>45996</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45996</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38255-2025</t>
        </is>
      </c>
      <c r="B48" s="1" t="n">
        <v>45883.38020833334</v>
      </c>
      <c r="C48" s="1" t="n">
        <v>45996</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19361-2025</t>
        </is>
      </c>
      <c r="B49" s="1" t="n">
        <v>45769.63357638889</v>
      </c>
      <c r="C49" s="1" t="n">
        <v>45996</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45996</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43068-2024</t>
        </is>
      </c>
      <c r="B51" s="1" t="n">
        <v>45567</v>
      </c>
      <c r="C51" s="1" t="n">
        <v>45996</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7919-2022</t>
        </is>
      </c>
      <c r="B52" s="1" t="n">
        <v>44608</v>
      </c>
      <c r="C52" s="1" t="n">
        <v>45996</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53052-2025</t>
        </is>
      </c>
      <c r="B53" s="1" t="n">
        <v>45958.36266203703</v>
      </c>
      <c r="C53" s="1" t="n">
        <v>45996</v>
      </c>
      <c r="D53" t="inlineStr">
        <is>
          <t>VÄSTMANLANDS LÄN</t>
        </is>
      </c>
      <c r="E53" t="inlineStr">
        <is>
          <t>SALA</t>
        </is>
      </c>
      <c r="F53" t="inlineStr">
        <is>
          <t>Sveaskog</t>
        </is>
      </c>
      <c r="G53" t="n">
        <v>1.1</v>
      </c>
      <c r="H53" t="n">
        <v>0</v>
      </c>
      <c r="I53" t="n">
        <v>0</v>
      </c>
      <c r="J53" t="n">
        <v>1</v>
      </c>
      <c r="K53" t="n">
        <v>0</v>
      </c>
      <c r="L53" t="n">
        <v>0</v>
      </c>
      <c r="M53" t="n">
        <v>0</v>
      </c>
      <c r="N53" t="n">
        <v>0</v>
      </c>
      <c r="O53" t="n">
        <v>1</v>
      </c>
      <c r="P53" t="n">
        <v>0</v>
      </c>
      <c r="Q53" t="n">
        <v>1</v>
      </c>
      <c r="R53" s="2" t="inlineStr">
        <is>
          <t>Motaggsvamp</t>
        </is>
      </c>
      <c r="S53">
        <f>HYPERLINK("https://klasma.github.io/Logging_1981/artfynd/A 53052-2025 artfynd.xlsx", "A 53052-2025")</f>
        <v/>
      </c>
      <c r="T53">
        <f>HYPERLINK("https://klasma.github.io/Logging_1981/kartor/A 53052-2025 karta.png", "A 53052-2025")</f>
        <v/>
      </c>
      <c r="V53">
        <f>HYPERLINK("https://klasma.github.io/Logging_1981/klagomål/A 53052-2025 FSC-klagomål.docx", "A 53052-2025")</f>
        <v/>
      </c>
      <c r="W53">
        <f>HYPERLINK("https://klasma.github.io/Logging_1981/klagomålsmail/A 53052-2025 FSC-klagomål mail.docx", "A 53052-2025")</f>
        <v/>
      </c>
      <c r="X53">
        <f>HYPERLINK("https://klasma.github.io/Logging_1981/tillsyn/A 53052-2025 tillsynsbegäran.docx", "A 53052-2025")</f>
        <v/>
      </c>
      <c r="Y53">
        <f>HYPERLINK("https://klasma.github.io/Logging_1981/tillsynsmail/A 53052-2025 tillsynsbegäran mail.docx", "A 53052-2025")</f>
        <v/>
      </c>
    </row>
    <row r="54" ht="15" customHeight="1">
      <c r="A54" t="inlineStr">
        <is>
          <t>A 43175-2023</t>
        </is>
      </c>
      <c r="B54" s="1" t="n">
        <v>45183</v>
      </c>
      <c r="C54" s="1" t="n">
        <v>45996</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29985-2022</t>
        </is>
      </c>
      <c r="B55" s="1" t="n">
        <v>44756</v>
      </c>
      <c r="C55" s="1" t="n">
        <v>45996</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45996</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56704-2022</t>
        </is>
      </c>
      <c r="B57" s="1" t="n">
        <v>44893.78075231481</v>
      </c>
      <c r="C57" s="1" t="n">
        <v>45996</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55550-2023</t>
        </is>
      </c>
      <c r="B58" s="1" t="n">
        <v>45232</v>
      </c>
      <c r="C58" s="1" t="n">
        <v>45996</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21738-2025</t>
        </is>
      </c>
      <c r="B59" s="1" t="n">
        <v>45783.59173611111</v>
      </c>
      <c r="C59" s="1" t="n">
        <v>45996</v>
      </c>
      <c r="D59" t="inlineStr">
        <is>
          <t>VÄSTMANLANDS LÄN</t>
        </is>
      </c>
      <c r="E59" t="inlineStr">
        <is>
          <t>SALA</t>
        </is>
      </c>
      <c r="G59" t="n">
        <v>2.1</v>
      </c>
      <c r="H59" t="n">
        <v>0</v>
      </c>
      <c r="I59" t="n">
        <v>0</v>
      </c>
      <c r="J59" t="n">
        <v>1</v>
      </c>
      <c r="K59" t="n">
        <v>0</v>
      </c>
      <c r="L59" t="n">
        <v>0</v>
      </c>
      <c r="M59" t="n">
        <v>0</v>
      </c>
      <c r="N59" t="n">
        <v>0</v>
      </c>
      <c r="O59" t="n">
        <v>1</v>
      </c>
      <c r="P59" t="n">
        <v>0</v>
      </c>
      <c r="Q59" t="n">
        <v>1</v>
      </c>
      <c r="R59" s="2" t="inlineStr">
        <is>
          <t>Motaggsvamp</t>
        </is>
      </c>
      <c r="S59">
        <f>HYPERLINK("https://klasma.github.io/Logging_1981/artfynd/A 21738-2025 artfynd.xlsx", "A 21738-2025")</f>
        <v/>
      </c>
      <c r="T59">
        <f>HYPERLINK("https://klasma.github.io/Logging_1981/kartor/A 21738-2025 karta.png", "A 21738-2025")</f>
        <v/>
      </c>
      <c r="V59">
        <f>HYPERLINK("https://klasma.github.io/Logging_1981/klagomål/A 21738-2025 FSC-klagomål.docx", "A 21738-2025")</f>
        <v/>
      </c>
      <c r="W59">
        <f>HYPERLINK("https://klasma.github.io/Logging_1981/klagomålsmail/A 21738-2025 FSC-klagomål mail.docx", "A 21738-2025")</f>
        <v/>
      </c>
      <c r="X59">
        <f>HYPERLINK("https://klasma.github.io/Logging_1981/tillsyn/A 21738-2025 tillsynsbegäran.docx", "A 21738-2025")</f>
        <v/>
      </c>
      <c r="Y59">
        <f>HYPERLINK("https://klasma.github.io/Logging_1981/tillsynsmail/A 21738-2025 tillsynsbegäran mail.docx", "A 21738-2025")</f>
        <v/>
      </c>
    </row>
    <row r="60" ht="15" customHeight="1">
      <c r="A60" t="inlineStr">
        <is>
          <t>A 22950-2025</t>
        </is>
      </c>
      <c r="B60" s="1" t="n">
        <v>45790.50728009259</v>
      </c>
      <c r="C60" s="1" t="n">
        <v>45996</v>
      </c>
      <c r="D60" t="inlineStr">
        <is>
          <t>VÄSTMANLANDS LÄN</t>
        </is>
      </c>
      <c r="E60" t="inlineStr">
        <is>
          <t>SALA</t>
        </is>
      </c>
      <c r="G60" t="n">
        <v>6.2</v>
      </c>
      <c r="H60" t="n">
        <v>1</v>
      </c>
      <c r="I60" t="n">
        <v>0</v>
      </c>
      <c r="J60" t="n">
        <v>1</v>
      </c>
      <c r="K60" t="n">
        <v>0</v>
      </c>
      <c r="L60" t="n">
        <v>0</v>
      </c>
      <c r="M60" t="n">
        <v>0</v>
      </c>
      <c r="N60" t="n">
        <v>0</v>
      </c>
      <c r="O60" t="n">
        <v>1</v>
      </c>
      <c r="P60" t="n">
        <v>0</v>
      </c>
      <c r="Q60" t="n">
        <v>1</v>
      </c>
      <c r="R60" s="2" t="inlineStr">
        <is>
          <t>Svartvit flugsnappare</t>
        </is>
      </c>
      <c r="S60">
        <f>HYPERLINK("https://klasma.github.io/Logging_1981/artfynd/A 22950-2025 artfynd.xlsx", "A 22950-2025")</f>
        <v/>
      </c>
      <c r="T60">
        <f>HYPERLINK("https://klasma.github.io/Logging_1981/kartor/A 22950-2025 karta.png", "A 22950-2025")</f>
        <v/>
      </c>
      <c r="V60">
        <f>HYPERLINK("https://klasma.github.io/Logging_1981/klagomål/A 22950-2025 FSC-klagomål.docx", "A 22950-2025")</f>
        <v/>
      </c>
      <c r="W60">
        <f>HYPERLINK("https://klasma.github.io/Logging_1981/klagomålsmail/A 22950-2025 FSC-klagomål mail.docx", "A 22950-2025")</f>
        <v/>
      </c>
      <c r="X60">
        <f>HYPERLINK("https://klasma.github.io/Logging_1981/tillsyn/A 22950-2025 tillsynsbegäran.docx", "A 22950-2025")</f>
        <v/>
      </c>
      <c r="Y60">
        <f>HYPERLINK("https://klasma.github.io/Logging_1981/tillsynsmail/A 22950-2025 tillsynsbegäran mail.docx", "A 22950-2025")</f>
        <v/>
      </c>
      <c r="Z60">
        <f>HYPERLINK("https://klasma.github.io/Logging_1981/fåglar/A 22950-2025 prioriterade fågelarter.docx", "A 22950-2025")</f>
        <v/>
      </c>
    </row>
    <row r="61" ht="15" customHeight="1">
      <c r="A61" t="inlineStr">
        <is>
          <t>A 55995-2025</t>
        </is>
      </c>
      <c r="B61" s="1" t="n">
        <v>45973.56733796297</v>
      </c>
      <c r="C61" s="1" t="n">
        <v>45996</v>
      </c>
      <c r="D61" t="inlineStr">
        <is>
          <t>VÄSTMANLANDS LÄN</t>
        </is>
      </c>
      <c r="E61" t="inlineStr">
        <is>
          <t>SALA</t>
        </is>
      </c>
      <c r="F61" t="inlineStr">
        <is>
          <t>Sveaskog</t>
        </is>
      </c>
      <c r="G61" t="n">
        <v>4.5</v>
      </c>
      <c r="H61" t="n">
        <v>1</v>
      </c>
      <c r="I61" t="n">
        <v>0</v>
      </c>
      <c r="J61" t="n">
        <v>0</v>
      </c>
      <c r="K61" t="n">
        <v>0</v>
      </c>
      <c r="L61" t="n">
        <v>0</v>
      </c>
      <c r="M61" t="n">
        <v>0</v>
      </c>
      <c r="N61" t="n">
        <v>0</v>
      </c>
      <c r="O61" t="n">
        <v>0</v>
      </c>
      <c r="P61" t="n">
        <v>0</v>
      </c>
      <c r="Q61" t="n">
        <v>1</v>
      </c>
      <c r="R61" s="2" t="inlineStr">
        <is>
          <t>Fläcknycklar</t>
        </is>
      </c>
      <c r="S61">
        <f>HYPERLINK("https://klasma.github.io/Logging_1981/artfynd/A 55995-2025 artfynd.xlsx", "A 55995-2025")</f>
        <v/>
      </c>
      <c r="T61">
        <f>HYPERLINK("https://klasma.github.io/Logging_1981/kartor/A 55995-2025 karta.png", "A 55995-2025")</f>
        <v/>
      </c>
      <c r="V61">
        <f>HYPERLINK("https://klasma.github.io/Logging_1981/klagomål/A 55995-2025 FSC-klagomål.docx", "A 55995-2025")</f>
        <v/>
      </c>
      <c r="W61">
        <f>HYPERLINK("https://klasma.github.io/Logging_1981/klagomålsmail/A 55995-2025 FSC-klagomål mail.docx", "A 55995-2025")</f>
        <v/>
      </c>
      <c r="X61">
        <f>HYPERLINK("https://klasma.github.io/Logging_1981/tillsyn/A 55995-2025 tillsynsbegäran.docx", "A 55995-2025")</f>
        <v/>
      </c>
      <c r="Y61">
        <f>HYPERLINK("https://klasma.github.io/Logging_1981/tillsynsmail/A 55995-2025 tillsynsbegäran mail.docx", "A 55995-2025")</f>
        <v/>
      </c>
    </row>
    <row r="62" ht="15" customHeight="1">
      <c r="A62" t="inlineStr">
        <is>
          <t>A 48705-2025</t>
        </is>
      </c>
      <c r="B62" s="1" t="n">
        <v>45936.62290509259</v>
      </c>
      <c r="C62" s="1" t="n">
        <v>45996</v>
      </c>
      <c r="D62" t="inlineStr">
        <is>
          <t>VÄSTMANLANDS LÄN</t>
        </is>
      </c>
      <c r="E62" t="inlineStr">
        <is>
          <t>SALA</t>
        </is>
      </c>
      <c r="G62" t="n">
        <v>4.4</v>
      </c>
      <c r="H62" t="n">
        <v>1</v>
      </c>
      <c r="I62" t="n">
        <v>1</v>
      </c>
      <c r="J62" t="n">
        <v>0</v>
      </c>
      <c r="K62" t="n">
        <v>0</v>
      </c>
      <c r="L62" t="n">
        <v>0</v>
      </c>
      <c r="M62" t="n">
        <v>0</v>
      </c>
      <c r="N62" t="n">
        <v>0</v>
      </c>
      <c r="O62" t="n">
        <v>0</v>
      </c>
      <c r="P62" t="n">
        <v>0</v>
      </c>
      <c r="Q62" t="n">
        <v>1</v>
      </c>
      <c r="R62" s="2" t="inlineStr">
        <is>
          <t>Plattlummer</t>
        </is>
      </c>
      <c r="S62">
        <f>HYPERLINK("https://klasma.github.io/Logging_1981/artfynd/A 48705-2025 artfynd.xlsx", "A 48705-2025")</f>
        <v/>
      </c>
      <c r="T62">
        <f>HYPERLINK("https://klasma.github.io/Logging_1981/kartor/A 48705-2025 karta.png", "A 48705-2025")</f>
        <v/>
      </c>
      <c r="V62">
        <f>HYPERLINK("https://klasma.github.io/Logging_1981/klagomål/A 48705-2025 FSC-klagomål.docx", "A 48705-2025")</f>
        <v/>
      </c>
      <c r="W62">
        <f>HYPERLINK("https://klasma.github.io/Logging_1981/klagomålsmail/A 48705-2025 FSC-klagomål mail.docx", "A 48705-2025")</f>
        <v/>
      </c>
      <c r="X62">
        <f>HYPERLINK("https://klasma.github.io/Logging_1981/tillsyn/A 48705-2025 tillsynsbegäran.docx", "A 48705-2025")</f>
        <v/>
      </c>
      <c r="Y62">
        <f>HYPERLINK("https://klasma.github.io/Logging_1981/tillsynsmail/A 48705-2025 tillsynsbegäran mail.docx", "A 48705-2025")</f>
        <v/>
      </c>
    </row>
    <row r="63" ht="15" customHeight="1">
      <c r="A63" t="inlineStr">
        <is>
          <t>A 50268-2025</t>
        </is>
      </c>
      <c r="B63" s="1" t="n">
        <v>45944.35162037037</v>
      </c>
      <c r="C63" s="1" t="n">
        <v>45996</v>
      </c>
      <c r="D63" t="inlineStr">
        <is>
          <t>VÄSTMANLANDS LÄN</t>
        </is>
      </c>
      <c r="E63" t="inlineStr">
        <is>
          <t>SALA</t>
        </is>
      </c>
      <c r="G63" t="n">
        <v>0.7</v>
      </c>
      <c r="H63" t="n">
        <v>1</v>
      </c>
      <c r="I63" t="n">
        <v>0</v>
      </c>
      <c r="J63" t="n">
        <v>0</v>
      </c>
      <c r="K63" t="n">
        <v>0</v>
      </c>
      <c r="L63" t="n">
        <v>0</v>
      </c>
      <c r="M63" t="n">
        <v>0</v>
      </c>
      <c r="N63" t="n">
        <v>0</v>
      </c>
      <c r="O63" t="n">
        <v>0</v>
      </c>
      <c r="P63" t="n">
        <v>0</v>
      </c>
      <c r="Q63" t="n">
        <v>1</v>
      </c>
      <c r="R63" s="2" t="inlineStr">
        <is>
          <t>Fläcknycklar</t>
        </is>
      </c>
      <c r="S63">
        <f>HYPERLINK("https://klasma.github.io/Logging_1981/artfynd/A 50268-2025 artfynd.xlsx", "A 50268-2025")</f>
        <v/>
      </c>
      <c r="T63">
        <f>HYPERLINK("https://klasma.github.io/Logging_1981/kartor/A 50268-2025 karta.png", "A 50268-2025")</f>
        <v/>
      </c>
      <c r="V63">
        <f>HYPERLINK("https://klasma.github.io/Logging_1981/klagomål/A 50268-2025 FSC-klagomål.docx", "A 50268-2025")</f>
        <v/>
      </c>
      <c r="W63">
        <f>HYPERLINK("https://klasma.github.io/Logging_1981/klagomålsmail/A 50268-2025 FSC-klagomål mail.docx", "A 50268-2025")</f>
        <v/>
      </c>
      <c r="X63">
        <f>HYPERLINK("https://klasma.github.io/Logging_1981/tillsyn/A 50268-2025 tillsynsbegäran.docx", "A 50268-2025")</f>
        <v/>
      </c>
      <c r="Y63">
        <f>HYPERLINK("https://klasma.github.io/Logging_1981/tillsynsmail/A 50268-2025 tillsynsbegäran mail.docx", "A 50268-2025")</f>
        <v/>
      </c>
    </row>
    <row r="64" ht="15" customHeight="1">
      <c r="A64" t="inlineStr">
        <is>
          <t>A 69194-2020</t>
        </is>
      </c>
      <c r="B64" s="1" t="n">
        <v>44191</v>
      </c>
      <c r="C64" s="1" t="n">
        <v>45996</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45996</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45996</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45996</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45996</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45996</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45996</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45996</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45996</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45996</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45996</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45996</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45996</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45996</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45996</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45996</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45996</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45996</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45996</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45996</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45996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45996</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45996</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10083-2022</t>
        </is>
      </c>
      <c r="B88" s="1" t="n">
        <v>44621.66173611111</v>
      </c>
      <c r="C88" s="1" t="n">
        <v>45996</v>
      </c>
      <c r="D88" t="inlineStr">
        <is>
          <t>VÄSTMANLANDS LÄN</t>
        </is>
      </c>
      <c r="E88" t="inlineStr">
        <is>
          <t>SALA</t>
        </is>
      </c>
      <c r="G88" t="n">
        <v>7.8</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45996</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45996</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45996</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45996</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45996</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45996</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45996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45996</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45996</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45996</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45996</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45996</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8513-2021</t>
        </is>
      </c>
      <c r="B101" s="1" t="n">
        <v>44244</v>
      </c>
      <c r="C101" s="1" t="n">
        <v>45996</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45996</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45996</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45996</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45996</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45996</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45996</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45996</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45996</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45996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45996</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45996</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45996</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45996</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45996</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45996</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45996</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45996</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45996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45996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45996</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45996</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45996</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45996</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45996</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45996</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45996</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45996</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45996</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45996</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51596-2022</t>
        </is>
      </c>
      <c r="B131" s="1" t="n">
        <v>44871</v>
      </c>
      <c r="C131" s="1" t="n">
        <v>45996</v>
      </c>
      <c r="D131" t="inlineStr">
        <is>
          <t>VÄSTMANLANDS LÄN</t>
        </is>
      </c>
      <c r="E131" t="inlineStr">
        <is>
          <t>SALA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45996</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45996</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44519.33401620371</v>
      </c>
      <c r="C134" s="1" t="n">
        <v>45996</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45996</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45996</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45996</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45996</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45996</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37881-2021</t>
        </is>
      </c>
      <c r="B140" s="1" t="n">
        <v>44403</v>
      </c>
      <c r="C140" s="1" t="n">
        <v>45996</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53628-2022</t>
        </is>
      </c>
      <c r="B141" s="1" t="n">
        <v>44879.87171296297</v>
      </c>
      <c r="C141" s="1" t="n">
        <v>45996</v>
      </c>
      <c r="D141" t="inlineStr">
        <is>
          <t>VÄSTMANLANDS LÄN</t>
        </is>
      </c>
      <c r="E141" t="inlineStr">
        <is>
          <t>SALA</t>
        </is>
      </c>
      <c r="G141" t="n">
        <v>2.7</v>
      </c>
      <c r="H141" t="n">
        <v>0</v>
      </c>
      <c r="I141" t="n">
        <v>0</v>
      </c>
      <c r="J141" t="n">
        <v>0</v>
      </c>
      <c r="K141" t="n">
        <v>0</v>
      </c>
      <c r="L141" t="n">
        <v>0</v>
      </c>
      <c r="M141" t="n">
        <v>0</v>
      </c>
      <c r="N141" t="n">
        <v>0</v>
      </c>
      <c r="O141" t="n">
        <v>0</v>
      </c>
      <c r="P141" t="n">
        <v>0</v>
      </c>
      <c r="Q141" t="n">
        <v>0</v>
      </c>
      <c r="R141" s="2" t="inlineStr"/>
    </row>
    <row r="142" ht="15" customHeight="1">
      <c r="A142" t="inlineStr">
        <is>
          <t>A 72805-2021</t>
        </is>
      </c>
      <c r="B142" s="1" t="n">
        <v>44546</v>
      </c>
      <c r="C142" s="1" t="n">
        <v>45996</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72808-2021</t>
        </is>
      </c>
      <c r="B143" s="1" t="n">
        <v>44546</v>
      </c>
      <c r="C143" s="1" t="n">
        <v>45996</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23847-2022</t>
        </is>
      </c>
      <c r="B144" s="1" t="n">
        <v>44722</v>
      </c>
      <c r="C144" s="1" t="n">
        <v>45996</v>
      </c>
      <c r="D144" t="inlineStr">
        <is>
          <t>VÄSTMANLANDS LÄN</t>
        </is>
      </c>
      <c r="E144" t="inlineStr">
        <is>
          <t>SALA</t>
        </is>
      </c>
      <c r="G144" t="n">
        <v>1</v>
      </c>
      <c r="H144" t="n">
        <v>0</v>
      </c>
      <c r="I144" t="n">
        <v>0</v>
      </c>
      <c r="J144" t="n">
        <v>0</v>
      </c>
      <c r="K144" t="n">
        <v>0</v>
      </c>
      <c r="L144" t="n">
        <v>0</v>
      </c>
      <c r="M144" t="n">
        <v>0</v>
      </c>
      <c r="N144" t="n">
        <v>0</v>
      </c>
      <c r="O144" t="n">
        <v>0</v>
      </c>
      <c r="P144" t="n">
        <v>0</v>
      </c>
      <c r="Q144" t="n">
        <v>0</v>
      </c>
      <c r="R144" s="2" t="inlineStr"/>
    </row>
    <row r="145" ht="15" customHeight="1">
      <c r="A145" t="inlineStr">
        <is>
          <t>A 58107-2021</t>
        </is>
      </c>
      <c r="B145" s="1" t="n">
        <v>44487</v>
      </c>
      <c r="C145" s="1" t="n">
        <v>45996</v>
      </c>
      <c r="D145" t="inlineStr">
        <is>
          <t>VÄSTMANLANDS LÄN</t>
        </is>
      </c>
      <c r="E145" t="inlineStr">
        <is>
          <t>SALA</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40113-2022</t>
        </is>
      </c>
      <c r="B146" s="1" t="n">
        <v>44819</v>
      </c>
      <c r="C146" s="1" t="n">
        <v>45996</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30915-2021</t>
        </is>
      </c>
      <c r="B147" s="1" t="n">
        <v>44365</v>
      </c>
      <c r="C147" s="1" t="n">
        <v>45996</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30918-2021</t>
        </is>
      </c>
      <c r="B148" s="1" t="n">
        <v>44365.60569444444</v>
      </c>
      <c r="C148" s="1" t="n">
        <v>45996</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22562-2022</t>
        </is>
      </c>
      <c r="B149" s="1" t="n">
        <v>44713</v>
      </c>
      <c r="C149" s="1" t="n">
        <v>45996</v>
      </c>
      <c r="D149" t="inlineStr">
        <is>
          <t>VÄSTMANLANDS LÄN</t>
        </is>
      </c>
      <c r="E149" t="inlineStr">
        <is>
          <t>SALA</t>
        </is>
      </c>
      <c r="G149" t="n">
        <v>0.8</v>
      </c>
      <c r="H149" t="n">
        <v>0</v>
      </c>
      <c r="I149" t="n">
        <v>0</v>
      </c>
      <c r="J149" t="n">
        <v>0</v>
      </c>
      <c r="K149" t="n">
        <v>0</v>
      </c>
      <c r="L149" t="n">
        <v>0</v>
      </c>
      <c r="M149" t="n">
        <v>0</v>
      </c>
      <c r="N149" t="n">
        <v>0</v>
      </c>
      <c r="O149" t="n">
        <v>0</v>
      </c>
      <c r="P149" t="n">
        <v>0</v>
      </c>
      <c r="Q149" t="n">
        <v>0</v>
      </c>
      <c r="R149" s="2" t="inlineStr"/>
    </row>
    <row r="150" ht="15" customHeight="1">
      <c r="A150" t="inlineStr">
        <is>
          <t>A 67962-2021</t>
        </is>
      </c>
      <c r="B150" s="1" t="n">
        <v>44525</v>
      </c>
      <c r="C150" s="1" t="n">
        <v>45996</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30904-2021</t>
        </is>
      </c>
      <c r="B151" s="1" t="n">
        <v>44365.5983449074</v>
      </c>
      <c r="C151" s="1" t="n">
        <v>45996</v>
      </c>
      <c r="D151" t="inlineStr">
        <is>
          <t>VÄSTMANLANDS LÄN</t>
        </is>
      </c>
      <c r="E151" t="inlineStr">
        <is>
          <t>SALA</t>
        </is>
      </c>
      <c r="G151" t="n">
        <v>1.9</v>
      </c>
      <c r="H151" t="n">
        <v>0</v>
      </c>
      <c r="I151" t="n">
        <v>0</v>
      </c>
      <c r="J151" t="n">
        <v>0</v>
      </c>
      <c r="K151" t="n">
        <v>0</v>
      </c>
      <c r="L151" t="n">
        <v>0</v>
      </c>
      <c r="M151" t="n">
        <v>0</v>
      </c>
      <c r="N151" t="n">
        <v>0</v>
      </c>
      <c r="O151" t="n">
        <v>0</v>
      </c>
      <c r="P151" t="n">
        <v>0</v>
      </c>
      <c r="Q151" t="n">
        <v>0</v>
      </c>
      <c r="R151" s="2" t="inlineStr"/>
    </row>
    <row r="152" ht="15" customHeight="1">
      <c r="A152" t="inlineStr">
        <is>
          <t>A 35462-2024</t>
        </is>
      </c>
      <c r="B152" s="1" t="n">
        <v>45531</v>
      </c>
      <c r="C152" s="1" t="n">
        <v>45996</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14024-2025</t>
        </is>
      </c>
      <c r="B153" s="1" t="n">
        <v>45740.34650462963</v>
      </c>
      <c r="C153" s="1" t="n">
        <v>45996</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29233-2022</t>
        </is>
      </c>
      <c r="B154" s="1" t="n">
        <v>44750</v>
      </c>
      <c r="C154" s="1" t="n">
        <v>45996</v>
      </c>
      <c r="D154" t="inlineStr">
        <is>
          <t>VÄSTMANLANDS LÄN</t>
        </is>
      </c>
      <c r="E154" t="inlineStr">
        <is>
          <t>SALA</t>
        </is>
      </c>
      <c r="G154" t="n">
        <v>2.4</v>
      </c>
      <c r="H154" t="n">
        <v>0</v>
      </c>
      <c r="I154" t="n">
        <v>0</v>
      </c>
      <c r="J154" t="n">
        <v>0</v>
      </c>
      <c r="K154" t="n">
        <v>0</v>
      </c>
      <c r="L154" t="n">
        <v>0</v>
      </c>
      <c r="M154" t="n">
        <v>0</v>
      </c>
      <c r="N154" t="n">
        <v>0</v>
      </c>
      <c r="O154" t="n">
        <v>0</v>
      </c>
      <c r="P154" t="n">
        <v>0</v>
      </c>
      <c r="Q154" t="n">
        <v>0</v>
      </c>
      <c r="R154" s="2" t="inlineStr"/>
    </row>
    <row r="155" ht="15" customHeight="1">
      <c r="A155" t="inlineStr">
        <is>
          <t>A 26692-2023</t>
        </is>
      </c>
      <c r="B155" s="1" t="n">
        <v>45093.360625</v>
      </c>
      <c r="C155" s="1" t="n">
        <v>45996</v>
      </c>
      <c r="D155" t="inlineStr">
        <is>
          <t>VÄSTMANLANDS LÄN</t>
        </is>
      </c>
      <c r="E155" t="inlineStr">
        <is>
          <t>SALA</t>
        </is>
      </c>
      <c r="G155" t="n">
        <v>1.8</v>
      </c>
      <c r="H155" t="n">
        <v>0</v>
      </c>
      <c r="I155" t="n">
        <v>0</v>
      </c>
      <c r="J155" t="n">
        <v>0</v>
      </c>
      <c r="K155" t="n">
        <v>0</v>
      </c>
      <c r="L155" t="n">
        <v>0</v>
      </c>
      <c r="M155" t="n">
        <v>0</v>
      </c>
      <c r="N155" t="n">
        <v>0</v>
      </c>
      <c r="O155" t="n">
        <v>0</v>
      </c>
      <c r="P155" t="n">
        <v>0</v>
      </c>
      <c r="Q155" t="n">
        <v>0</v>
      </c>
      <c r="R155" s="2" t="inlineStr"/>
    </row>
    <row r="156" ht="15" customHeight="1">
      <c r="A156" t="inlineStr">
        <is>
          <t>A 54910-2023</t>
        </is>
      </c>
      <c r="B156" s="1" t="n">
        <v>45229</v>
      </c>
      <c r="C156" s="1" t="n">
        <v>45996</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62449-2023</t>
        </is>
      </c>
      <c r="B157" s="1" t="n">
        <v>45268.49008101852</v>
      </c>
      <c r="C157" s="1" t="n">
        <v>45996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45996</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17458-2024</t>
        </is>
      </c>
      <c r="B159" s="1" t="n">
        <v>45415</v>
      </c>
      <c r="C159" s="1" t="n">
        <v>45996</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45996</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41876-2022</t>
        </is>
      </c>
      <c r="B161" s="1" t="n">
        <v>44829.97008101852</v>
      </c>
      <c r="C161" s="1" t="n">
        <v>45996</v>
      </c>
      <c r="D161" t="inlineStr">
        <is>
          <t>VÄSTMANLANDS LÄN</t>
        </is>
      </c>
      <c r="E161" t="inlineStr">
        <is>
          <t>SALA</t>
        </is>
      </c>
      <c r="G161" t="n">
        <v>3.6</v>
      </c>
      <c r="H161" t="n">
        <v>0</v>
      </c>
      <c r="I161" t="n">
        <v>0</v>
      </c>
      <c r="J161" t="n">
        <v>0</v>
      </c>
      <c r="K161" t="n">
        <v>0</v>
      </c>
      <c r="L161" t="n">
        <v>0</v>
      </c>
      <c r="M161" t="n">
        <v>0</v>
      </c>
      <c r="N161" t="n">
        <v>0</v>
      </c>
      <c r="O161" t="n">
        <v>0</v>
      </c>
      <c r="P161" t="n">
        <v>0</v>
      </c>
      <c r="Q161" t="n">
        <v>0</v>
      </c>
      <c r="R161" s="2" t="inlineStr"/>
    </row>
    <row r="162" ht="15" customHeight="1">
      <c r="A162" t="inlineStr">
        <is>
          <t>A 67958-2021</t>
        </is>
      </c>
      <c r="B162" s="1" t="n">
        <v>44525</v>
      </c>
      <c r="C162" s="1" t="n">
        <v>45996</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67965-2021</t>
        </is>
      </c>
      <c r="B163" s="1" t="n">
        <v>44525</v>
      </c>
      <c r="C163" s="1" t="n">
        <v>45996</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56543-2024</t>
        </is>
      </c>
      <c r="B164" s="1" t="n">
        <v>45625</v>
      </c>
      <c r="C164" s="1" t="n">
        <v>45996</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40094-2022</t>
        </is>
      </c>
      <c r="B165" s="1" t="n">
        <v>44819</v>
      </c>
      <c r="C165" s="1" t="n">
        <v>45996</v>
      </c>
      <c r="D165" t="inlineStr">
        <is>
          <t>VÄSTMANLANDS LÄN</t>
        </is>
      </c>
      <c r="E165" t="inlineStr">
        <is>
          <t>SALA</t>
        </is>
      </c>
      <c r="G165" t="n">
        <v>1.7</v>
      </c>
      <c r="H165" t="n">
        <v>0</v>
      </c>
      <c r="I165" t="n">
        <v>0</v>
      </c>
      <c r="J165" t="n">
        <v>0</v>
      </c>
      <c r="K165" t="n">
        <v>0</v>
      </c>
      <c r="L165" t="n">
        <v>0</v>
      </c>
      <c r="M165" t="n">
        <v>0</v>
      </c>
      <c r="N165" t="n">
        <v>0</v>
      </c>
      <c r="O165" t="n">
        <v>0</v>
      </c>
      <c r="P165" t="n">
        <v>0</v>
      </c>
      <c r="Q165" t="n">
        <v>0</v>
      </c>
      <c r="R165" s="2" t="inlineStr"/>
    </row>
    <row r="166" ht="15" customHeight="1">
      <c r="A166" t="inlineStr">
        <is>
          <t>A 31950-2023</t>
        </is>
      </c>
      <c r="B166" s="1" t="n">
        <v>45107</v>
      </c>
      <c r="C166" s="1" t="n">
        <v>45996</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45015-2022</t>
        </is>
      </c>
      <c r="B167" s="1" t="n">
        <v>44841.63766203704</v>
      </c>
      <c r="C167" s="1" t="n">
        <v>45996</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14047-2021</t>
        </is>
      </c>
      <c r="B168" s="1" t="n">
        <v>44277</v>
      </c>
      <c r="C168" s="1" t="n">
        <v>45996</v>
      </c>
      <c r="D168" t="inlineStr">
        <is>
          <t>VÄSTMANLANDS LÄN</t>
        </is>
      </c>
      <c r="E168" t="inlineStr">
        <is>
          <t>SALA</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53630-2022</t>
        </is>
      </c>
      <c r="B169" s="1" t="n">
        <v>44879.87533564815</v>
      </c>
      <c r="C169" s="1" t="n">
        <v>45996</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10168-2022</t>
        </is>
      </c>
      <c r="B170" s="1" t="n">
        <v>44622.37693287037</v>
      </c>
      <c r="C170" s="1" t="n">
        <v>45996</v>
      </c>
      <c r="D170" t="inlineStr">
        <is>
          <t>VÄSTMANLANDS LÄN</t>
        </is>
      </c>
      <c r="E170" t="inlineStr">
        <is>
          <t>SALA</t>
        </is>
      </c>
      <c r="G170" t="n">
        <v>2.1</v>
      </c>
      <c r="H170" t="n">
        <v>0</v>
      </c>
      <c r="I170" t="n">
        <v>0</v>
      </c>
      <c r="J170" t="n">
        <v>0</v>
      </c>
      <c r="K170" t="n">
        <v>0</v>
      </c>
      <c r="L170" t="n">
        <v>0</v>
      </c>
      <c r="M170" t="n">
        <v>0</v>
      </c>
      <c r="N170" t="n">
        <v>0</v>
      </c>
      <c r="O170" t="n">
        <v>0</v>
      </c>
      <c r="P170" t="n">
        <v>0</v>
      </c>
      <c r="Q170" t="n">
        <v>0</v>
      </c>
      <c r="R170" s="2" t="inlineStr"/>
    </row>
    <row r="171" ht="15" customHeight="1">
      <c r="A171" t="inlineStr">
        <is>
          <t>A 16767-2024</t>
        </is>
      </c>
      <c r="B171" s="1" t="n">
        <v>45411.38171296296</v>
      </c>
      <c r="C171" s="1" t="n">
        <v>45996</v>
      </c>
      <c r="D171" t="inlineStr">
        <is>
          <t>VÄSTMANLANDS LÄN</t>
        </is>
      </c>
      <c r="E171" t="inlineStr">
        <is>
          <t>SALA</t>
        </is>
      </c>
      <c r="G171" t="n">
        <v>2.5</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45996</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24882-2022</t>
        </is>
      </c>
      <c r="B173" s="1" t="n">
        <v>44728.56488425926</v>
      </c>
      <c r="C173" s="1" t="n">
        <v>45996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45996</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57000-2021</t>
        </is>
      </c>
      <c r="B175" s="1" t="n">
        <v>44482.46760416667</v>
      </c>
      <c r="C175" s="1" t="n">
        <v>45996</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6097-2022</t>
        </is>
      </c>
      <c r="B176" s="1" t="n">
        <v>44599</v>
      </c>
      <c r="C176" s="1" t="n">
        <v>45996</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45996</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73519-2021</t>
        </is>
      </c>
      <c r="B178" s="1" t="n">
        <v>44551</v>
      </c>
      <c r="C178" s="1" t="n">
        <v>45996</v>
      </c>
      <c r="D178" t="inlineStr">
        <is>
          <t>VÄSTMANLANDS LÄN</t>
        </is>
      </c>
      <c r="E178" t="inlineStr">
        <is>
          <t>SALA</t>
        </is>
      </c>
      <c r="G178" t="n">
        <v>0.3</v>
      </c>
      <c r="H178" t="n">
        <v>0</v>
      </c>
      <c r="I178" t="n">
        <v>0</v>
      </c>
      <c r="J178" t="n">
        <v>0</v>
      </c>
      <c r="K178" t="n">
        <v>0</v>
      </c>
      <c r="L178" t="n">
        <v>0</v>
      </c>
      <c r="M178" t="n">
        <v>0</v>
      </c>
      <c r="N178" t="n">
        <v>0</v>
      </c>
      <c r="O178" t="n">
        <v>0</v>
      </c>
      <c r="P178" t="n">
        <v>0</v>
      </c>
      <c r="Q178" t="n">
        <v>0</v>
      </c>
      <c r="R178" s="2" t="inlineStr"/>
    </row>
    <row r="179" ht="15" customHeight="1">
      <c r="A179" t="inlineStr">
        <is>
          <t>A 60545-2024</t>
        </is>
      </c>
      <c r="B179" s="1" t="n">
        <v>45643</v>
      </c>
      <c r="C179" s="1" t="n">
        <v>45996</v>
      </c>
      <c r="D179" t="inlineStr">
        <is>
          <t>VÄSTMANLANDS LÄN</t>
        </is>
      </c>
      <c r="E179" t="inlineStr">
        <is>
          <t>SALA</t>
        </is>
      </c>
      <c r="G179" t="n">
        <v>3.3</v>
      </c>
      <c r="H179" t="n">
        <v>0</v>
      </c>
      <c r="I179" t="n">
        <v>0</v>
      </c>
      <c r="J179" t="n">
        <v>0</v>
      </c>
      <c r="K179" t="n">
        <v>0</v>
      </c>
      <c r="L179" t="n">
        <v>0</v>
      </c>
      <c r="M179" t="n">
        <v>0</v>
      </c>
      <c r="N179" t="n">
        <v>0</v>
      </c>
      <c r="O179" t="n">
        <v>0</v>
      </c>
      <c r="P179" t="n">
        <v>0</v>
      </c>
      <c r="Q179" t="n">
        <v>0</v>
      </c>
      <c r="R179" s="2" t="inlineStr"/>
    </row>
    <row r="180" ht="15" customHeight="1">
      <c r="A180" t="inlineStr">
        <is>
          <t>A 60547-2024</t>
        </is>
      </c>
      <c r="B180" s="1" t="n">
        <v>45643</v>
      </c>
      <c r="C180" s="1" t="n">
        <v>45996</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13022-2023</t>
        </is>
      </c>
      <c r="B181" s="1" t="n">
        <v>45002.33291666667</v>
      </c>
      <c r="C181" s="1" t="n">
        <v>45996</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4853-2023</t>
        </is>
      </c>
      <c r="B182" s="1" t="n">
        <v>44957.73234953704</v>
      </c>
      <c r="C182" s="1" t="n">
        <v>45996</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64932-2021</t>
        </is>
      </c>
      <c r="B183" s="1" t="n">
        <v>44512</v>
      </c>
      <c r="C183" s="1" t="n">
        <v>45996</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1985-2022</t>
        </is>
      </c>
      <c r="B184" s="1" t="n">
        <v>44575</v>
      </c>
      <c r="C184" s="1" t="n">
        <v>45996</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27261-2024</t>
        </is>
      </c>
      <c r="B185" s="1" t="n">
        <v>45471</v>
      </c>
      <c r="C185" s="1" t="n">
        <v>45996</v>
      </c>
      <c r="D185" t="inlineStr">
        <is>
          <t>VÄSTMANLANDS LÄN</t>
        </is>
      </c>
      <c r="E185" t="inlineStr">
        <is>
          <t>SALA</t>
        </is>
      </c>
      <c r="G185" t="n">
        <v>6.1</v>
      </c>
      <c r="H185" t="n">
        <v>0</v>
      </c>
      <c r="I185" t="n">
        <v>0</v>
      </c>
      <c r="J185" t="n">
        <v>0</v>
      </c>
      <c r="K185" t="n">
        <v>0</v>
      </c>
      <c r="L185" t="n">
        <v>0</v>
      </c>
      <c r="M185" t="n">
        <v>0</v>
      </c>
      <c r="N185" t="n">
        <v>0</v>
      </c>
      <c r="O185" t="n">
        <v>0</v>
      </c>
      <c r="P185" t="n">
        <v>0</v>
      </c>
      <c r="Q185" t="n">
        <v>0</v>
      </c>
      <c r="R185" s="2" t="inlineStr"/>
    </row>
    <row r="186" ht="15" customHeight="1">
      <c r="A186" t="inlineStr">
        <is>
          <t>A 12246-2023</t>
        </is>
      </c>
      <c r="B186" s="1" t="n">
        <v>44995</v>
      </c>
      <c r="C186" s="1" t="n">
        <v>45996</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70218-2021</t>
        </is>
      </c>
      <c r="B187" s="1" t="n">
        <v>44535.6571412037</v>
      </c>
      <c r="C187" s="1" t="n">
        <v>45996</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24169-2025</t>
        </is>
      </c>
      <c r="B188" s="1" t="n">
        <v>45796</v>
      </c>
      <c r="C188" s="1" t="n">
        <v>45996</v>
      </c>
      <c r="D188" t="inlineStr">
        <is>
          <t>VÄSTMANLANDS LÄN</t>
        </is>
      </c>
      <c r="E188" t="inlineStr">
        <is>
          <t>SALA</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11210-2025</t>
        </is>
      </c>
      <c r="B189" s="1" t="n">
        <v>45726</v>
      </c>
      <c r="C189" s="1" t="n">
        <v>45996</v>
      </c>
      <c r="D189" t="inlineStr">
        <is>
          <t>VÄSTMANLANDS LÄN</t>
        </is>
      </c>
      <c r="E189" t="inlineStr">
        <is>
          <t>SALA</t>
        </is>
      </c>
      <c r="G189" t="n">
        <v>4.1</v>
      </c>
      <c r="H189" t="n">
        <v>0</v>
      </c>
      <c r="I189" t="n">
        <v>0</v>
      </c>
      <c r="J189" t="n">
        <v>0</v>
      </c>
      <c r="K189" t="n">
        <v>0</v>
      </c>
      <c r="L189" t="n">
        <v>0</v>
      </c>
      <c r="M189" t="n">
        <v>0</v>
      </c>
      <c r="N189" t="n">
        <v>0</v>
      </c>
      <c r="O189" t="n">
        <v>0</v>
      </c>
      <c r="P189" t="n">
        <v>0</v>
      </c>
      <c r="Q189" t="n">
        <v>0</v>
      </c>
      <c r="R189" s="2" t="inlineStr"/>
    </row>
    <row r="190" ht="15" customHeight="1">
      <c r="A190" t="inlineStr">
        <is>
          <t>A 3204-2022</t>
        </is>
      </c>
      <c r="B190" s="1" t="n">
        <v>44582</v>
      </c>
      <c r="C190" s="1" t="n">
        <v>45996</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42447-2022</t>
        </is>
      </c>
      <c r="B191" s="1" t="n">
        <v>44831</v>
      </c>
      <c r="C191" s="1" t="n">
        <v>45996</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35976-2024</t>
        </is>
      </c>
      <c r="B192" s="1" t="n">
        <v>45533.49555555556</v>
      </c>
      <c r="C192" s="1" t="n">
        <v>45996</v>
      </c>
      <c r="D192" t="inlineStr">
        <is>
          <t>VÄSTMANLANDS LÄN</t>
        </is>
      </c>
      <c r="E192" t="inlineStr">
        <is>
          <t>SALA</t>
        </is>
      </c>
      <c r="G192" t="n">
        <v>2.3</v>
      </c>
      <c r="H192" t="n">
        <v>0</v>
      </c>
      <c r="I192" t="n">
        <v>0</v>
      </c>
      <c r="J192" t="n">
        <v>0</v>
      </c>
      <c r="K192" t="n">
        <v>0</v>
      </c>
      <c r="L192" t="n">
        <v>0</v>
      </c>
      <c r="M192" t="n">
        <v>0</v>
      </c>
      <c r="N192" t="n">
        <v>0</v>
      </c>
      <c r="O192" t="n">
        <v>0</v>
      </c>
      <c r="P192" t="n">
        <v>0</v>
      </c>
      <c r="Q192" t="n">
        <v>0</v>
      </c>
      <c r="R192" s="2" t="inlineStr"/>
    </row>
    <row r="193" ht="15" customHeight="1">
      <c r="A193" t="inlineStr">
        <is>
          <t>A 24944-2023</t>
        </is>
      </c>
      <c r="B193" s="1" t="n">
        <v>45085</v>
      </c>
      <c r="C193" s="1" t="n">
        <v>45996</v>
      </c>
      <c r="D193" t="inlineStr">
        <is>
          <t>VÄSTMANLANDS LÄN</t>
        </is>
      </c>
      <c r="E193" t="inlineStr">
        <is>
          <t>SALA</t>
        </is>
      </c>
      <c r="G193" t="n">
        <v>3.8</v>
      </c>
      <c r="H193" t="n">
        <v>0</v>
      </c>
      <c r="I193" t="n">
        <v>0</v>
      </c>
      <c r="J193" t="n">
        <v>0</v>
      </c>
      <c r="K193" t="n">
        <v>0</v>
      </c>
      <c r="L193" t="n">
        <v>0</v>
      </c>
      <c r="M193" t="n">
        <v>0</v>
      </c>
      <c r="N193" t="n">
        <v>0</v>
      </c>
      <c r="O193" t="n">
        <v>0</v>
      </c>
      <c r="P193" t="n">
        <v>0</v>
      </c>
      <c r="Q193" t="n">
        <v>0</v>
      </c>
      <c r="R193" s="2" t="inlineStr"/>
    </row>
    <row r="194" ht="15" customHeight="1">
      <c r="A194" t="inlineStr">
        <is>
          <t>A 33732-2023</t>
        </is>
      </c>
      <c r="B194" s="1" t="n">
        <v>45133.32409722222</v>
      </c>
      <c r="C194" s="1" t="n">
        <v>45996</v>
      </c>
      <c r="D194" t="inlineStr">
        <is>
          <t>VÄSTMANLANDS LÄN</t>
        </is>
      </c>
      <c r="E194" t="inlineStr">
        <is>
          <t>SALA</t>
        </is>
      </c>
      <c r="G194" t="n">
        <v>2</v>
      </c>
      <c r="H194" t="n">
        <v>0</v>
      </c>
      <c r="I194" t="n">
        <v>0</v>
      </c>
      <c r="J194" t="n">
        <v>0</v>
      </c>
      <c r="K194" t="n">
        <v>0</v>
      </c>
      <c r="L194" t="n">
        <v>0</v>
      </c>
      <c r="M194" t="n">
        <v>0</v>
      </c>
      <c r="N194" t="n">
        <v>0</v>
      </c>
      <c r="O194" t="n">
        <v>0</v>
      </c>
      <c r="P194" t="n">
        <v>0</v>
      </c>
      <c r="Q194" t="n">
        <v>0</v>
      </c>
      <c r="R194" s="2" t="inlineStr"/>
    </row>
    <row r="195" ht="15" customHeight="1">
      <c r="A195" t="inlineStr">
        <is>
          <t>A 55556-2023</t>
        </is>
      </c>
      <c r="B195" s="1" t="n">
        <v>45232</v>
      </c>
      <c r="C195" s="1" t="n">
        <v>45996</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57650-2024</t>
        </is>
      </c>
      <c r="B196" s="1" t="n">
        <v>45630</v>
      </c>
      <c r="C196" s="1" t="n">
        <v>45996</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45996</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26570-2021</t>
        </is>
      </c>
      <c r="B198" s="1" t="n">
        <v>44348</v>
      </c>
      <c r="C198" s="1" t="n">
        <v>45996</v>
      </c>
      <c r="D198" t="inlineStr">
        <is>
          <t>VÄSTMANLANDS LÄN</t>
        </is>
      </c>
      <c r="E198" t="inlineStr">
        <is>
          <t>SALA</t>
        </is>
      </c>
      <c r="G198" t="n">
        <v>2.5</v>
      </c>
      <c r="H198" t="n">
        <v>0</v>
      </c>
      <c r="I198" t="n">
        <v>0</v>
      </c>
      <c r="J198" t="n">
        <v>0</v>
      </c>
      <c r="K198" t="n">
        <v>0</v>
      </c>
      <c r="L198" t="n">
        <v>0</v>
      </c>
      <c r="M198" t="n">
        <v>0</v>
      </c>
      <c r="N198" t="n">
        <v>0</v>
      </c>
      <c r="O198" t="n">
        <v>0</v>
      </c>
      <c r="P198" t="n">
        <v>0</v>
      </c>
      <c r="Q198" t="n">
        <v>0</v>
      </c>
      <c r="R198" s="2" t="inlineStr"/>
    </row>
    <row r="199" ht="15" customHeight="1">
      <c r="A199" t="inlineStr">
        <is>
          <t>A 50479-2022</t>
        </is>
      </c>
      <c r="B199" s="1" t="n">
        <v>44861</v>
      </c>
      <c r="C199" s="1" t="n">
        <v>45996</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45996</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45790-2023</t>
        </is>
      </c>
      <c r="B201" s="1" t="n">
        <v>45195.45958333334</v>
      </c>
      <c r="C201" s="1" t="n">
        <v>45996</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24460-2025</t>
        </is>
      </c>
      <c r="B202" s="1" t="n">
        <v>45798</v>
      </c>
      <c r="C202" s="1" t="n">
        <v>45996</v>
      </c>
      <c r="D202" t="inlineStr">
        <is>
          <t>VÄSTMANLANDS LÄN</t>
        </is>
      </c>
      <c r="E202" t="inlineStr">
        <is>
          <t>SALA</t>
        </is>
      </c>
      <c r="F202" t="inlineStr">
        <is>
          <t>Bergvik skog öst AB</t>
        </is>
      </c>
      <c r="G202" t="n">
        <v>2.6</v>
      </c>
      <c r="H202" t="n">
        <v>0</v>
      </c>
      <c r="I202" t="n">
        <v>0</v>
      </c>
      <c r="J202" t="n">
        <v>0</v>
      </c>
      <c r="K202" t="n">
        <v>0</v>
      </c>
      <c r="L202" t="n">
        <v>0</v>
      </c>
      <c r="M202" t="n">
        <v>0</v>
      </c>
      <c r="N202" t="n">
        <v>0</v>
      </c>
      <c r="O202" t="n">
        <v>0</v>
      </c>
      <c r="P202" t="n">
        <v>0</v>
      </c>
      <c r="Q202" t="n">
        <v>0</v>
      </c>
      <c r="R202" s="2" t="inlineStr"/>
    </row>
    <row r="203" ht="15" customHeight="1">
      <c r="A203" t="inlineStr">
        <is>
          <t>A 51464-2024</t>
        </is>
      </c>
      <c r="B203" s="1" t="n">
        <v>45604.49768518518</v>
      </c>
      <c r="C203" s="1" t="n">
        <v>45996</v>
      </c>
      <c r="D203" t="inlineStr">
        <is>
          <t>VÄSTMANLANDS LÄN</t>
        </is>
      </c>
      <c r="E203" t="inlineStr">
        <is>
          <t>SALA</t>
        </is>
      </c>
      <c r="G203" t="n">
        <v>3.9</v>
      </c>
      <c r="H203" t="n">
        <v>0</v>
      </c>
      <c r="I203" t="n">
        <v>0</v>
      </c>
      <c r="J203" t="n">
        <v>0</v>
      </c>
      <c r="K203" t="n">
        <v>0</v>
      </c>
      <c r="L203" t="n">
        <v>0</v>
      </c>
      <c r="M203" t="n">
        <v>0</v>
      </c>
      <c r="N203" t="n">
        <v>0</v>
      </c>
      <c r="O203" t="n">
        <v>0</v>
      </c>
      <c r="P203" t="n">
        <v>0</v>
      </c>
      <c r="Q203" t="n">
        <v>0</v>
      </c>
      <c r="R203" s="2" t="inlineStr"/>
    </row>
    <row r="204" ht="15" customHeight="1">
      <c r="A204" t="inlineStr">
        <is>
          <t>A 24463-2025</t>
        </is>
      </c>
      <c r="B204" s="1" t="n">
        <v>45798</v>
      </c>
      <c r="C204" s="1" t="n">
        <v>45996</v>
      </c>
      <c r="D204" t="inlineStr">
        <is>
          <t>VÄSTMANLANDS LÄN</t>
        </is>
      </c>
      <c r="E204" t="inlineStr">
        <is>
          <t>SALA</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9075-2022</t>
        </is>
      </c>
      <c r="B205" s="1" t="n">
        <v>44615.47800925926</v>
      </c>
      <c r="C205" s="1" t="n">
        <v>45996</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54603-2024</t>
        </is>
      </c>
      <c r="B206" s="1" t="n">
        <v>45617.68224537037</v>
      </c>
      <c r="C206" s="1" t="n">
        <v>45996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69232-2021</t>
        </is>
      </c>
      <c r="B207" s="1" t="n">
        <v>44531.39696759259</v>
      </c>
      <c r="C207" s="1" t="n">
        <v>45996</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2928-2024</t>
        </is>
      </c>
      <c r="B208" s="1" t="n">
        <v>45315.59041666667</v>
      </c>
      <c r="C208" s="1" t="n">
        <v>45996</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73673-2021</t>
        </is>
      </c>
      <c r="B209" s="1" t="n">
        <v>44552.46501157407</v>
      </c>
      <c r="C209" s="1" t="n">
        <v>45996</v>
      </c>
      <c r="D209" t="inlineStr">
        <is>
          <t>VÄSTMANLANDS LÄN</t>
        </is>
      </c>
      <c r="E209" t="inlineStr">
        <is>
          <t>SALA</t>
        </is>
      </c>
      <c r="G209" t="n">
        <v>11.4</v>
      </c>
      <c r="H209" t="n">
        <v>0</v>
      </c>
      <c r="I209" t="n">
        <v>0</v>
      </c>
      <c r="J209" t="n">
        <v>0</v>
      </c>
      <c r="K209" t="n">
        <v>0</v>
      </c>
      <c r="L209" t="n">
        <v>0</v>
      </c>
      <c r="M209" t="n">
        <v>0</v>
      </c>
      <c r="N209" t="n">
        <v>0</v>
      </c>
      <c r="O209" t="n">
        <v>0</v>
      </c>
      <c r="P209" t="n">
        <v>0</v>
      </c>
      <c r="Q209" t="n">
        <v>0</v>
      </c>
      <c r="R209" s="2" t="inlineStr"/>
    </row>
    <row r="210" ht="15" customHeight="1">
      <c r="A210" t="inlineStr">
        <is>
          <t>A 29002-2022</t>
        </is>
      </c>
      <c r="B210" s="1" t="n">
        <v>44749</v>
      </c>
      <c r="C210" s="1" t="n">
        <v>45996</v>
      </c>
      <c r="D210" t="inlineStr">
        <is>
          <t>VÄSTMANLANDS LÄN</t>
        </is>
      </c>
      <c r="E210" t="inlineStr">
        <is>
          <t>SALA</t>
        </is>
      </c>
      <c r="G210" t="n">
        <v>5.4</v>
      </c>
      <c r="H210" t="n">
        <v>0</v>
      </c>
      <c r="I210" t="n">
        <v>0</v>
      </c>
      <c r="J210" t="n">
        <v>0</v>
      </c>
      <c r="K210" t="n">
        <v>0</v>
      </c>
      <c r="L210" t="n">
        <v>0</v>
      </c>
      <c r="M210" t="n">
        <v>0</v>
      </c>
      <c r="N210" t="n">
        <v>0</v>
      </c>
      <c r="O210" t="n">
        <v>0</v>
      </c>
      <c r="P210" t="n">
        <v>0</v>
      </c>
      <c r="Q210" t="n">
        <v>0</v>
      </c>
      <c r="R210" s="2" t="inlineStr"/>
    </row>
    <row r="211" ht="15" customHeight="1">
      <c r="A211" t="inlineStr">
        <is>
          <t>A 55065-2024</t>
        </is>
      </c>
      <c r="B211" s="1" t="n">
        <v>45618</v>
      </c>
      <c r="C211" s="1" t="n">
        <v>45996</v>
      </c>
      <c r="D211" t="inlineStr">
        <is>
          <t>VÄSTMANLANDS LÄN</t>
        </is>
      </c>
      <c r="E211" t="inlineStr">
        <is>
          <t>SALA</t>
        </is>
      </c>
      <c r="G211" t="n">
        <v>3.5</v>
      </c>
      <c r="H211" t="n">
        <v>0</v>
      </c>
      <c r="I211" t="n">
        <v>0</v>
      </c>
      <c r="J211" t="n">
        <v>0</v>
      </c>
      <c r="K211" t="n">
        <v>0</v>
      </c>
      <c r="L211" t="n">
        <v>0</v>
      </c>
      <c r="M211" t="n">
        <v>0</v>
      </c>
      <c r="N211" t="n">
        <v>0</v>
      </c>
      <c r="O211" t="n">
        <v>0</v>
      </c>
      <c r="P211" t="n">
        <v>0</v>
      </c>
      <c r="Q211" t="n">
        <v>0</v>
      </c>
      <c r="R211" s="2" t="inlineStr"/>
    </row>
    <row r="212" ht="15" customHeight="1">
      <c r="A212" t="inlineStr">
        <is>
          <t>A 40871-2021</t>
        </is>
      </c>
      <c r="B212" s="1" t="n">
        <v>44421</v>
      </c>
      <c r="C212" s="1" t="n">
        <v>45996</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24907-2025</t>
        </is>
      </c>
      <c r="B213" s="1" t="n">
        <v>45799</v>
      </c>
      <c r="C213" s="1" t="n">
        <v>45996</v>
      </c>
      <c r="D213" t="inlineStr">
        <is>
          <t>VÄSTMANLANDS LÄN</t>
        </is>
      </c>
      <c r="E213" t="inlineStr">
        <is>
          <t>SALA</t>
        </is>
      </c>
      <c r="G213" t="n">
        <v>3.5</v>
      </c>
      <c r="H213" t="n">
        <v>0</v>
      </c>
      <c r="I213" t="n">
        <v>0</v>
      </c>
      <c r="J213" t="n">
        <v>0</v>
      </c>
      <c r="K213" t="n">
        <v>0</v>
      </c>
      <c r="L213" t="n">
        <v>0</v>
      </c>
      <c r="M213" t="n">
        <v>0</v>
      </c>
      <c r="N213" t="n">
        <v>0</v>
      </c>
      <c r="O213" t="n">
        <v>0</v>
      </c>
      <c r="P213" t="n">
        <v>0</v>
      </c>
      <c r="Q213" t="n">
        <v>0</v>
      </c>
      <c r="R213" s="2" t="inlineStr"/>
    </row>
    <row r="214" ht="15" customHeight="1">
      <c r="A214" t="inlineStr">
        <is>
          <t>A 24910-2025</t>
        </is>
      </c>
      <c r="B214" s="1" t="n">
        <v>45799.53775462963</v>
      </c>
      <c r="C214" s="1" t="n">
        <v>45996</v>
      </c>
      <c r="D214" t="inlineStr">
        <is>
          <t>VÄSTMANLANDS LÄN</t>
        </is>
      </c>
      <c r="E214" t="inlineStr">
        <is>
          <t>SALA</t>
        </is>
      </c>
      <c r="G214" t="n">
        <v>3.5</v>
      </c>
      <c r="H214" t="n">
        <v>0</v>
      </c>
      <c r="I214" t="n">
        <v>0</v>
      </c>
      <c r="J214" t="n">
        <v>0</v>
      </c>
      <c r="K214" t="n">
        <v>0</v>
      </c>
      <c r="L214" t="n">
        <v>0</v>
      </c>
      <c r="M214" t="n">
        <v>0</v>
      </c>
      <c r="N214" t="n">
        <v>0</v>
      </c>
      <c r="O214" t="n">
        <v>0</v>
      </c>
      <c r="P214" t="n">
        <v>0</v>
      </c>
      <c r="Q214" t="n">
        <v>0</v>
      </c>
      <c r="R214" s="2" t="inlineStr"/>
    </row>
    <row r="215" ht="15" customHeight="1">
      <c r="A215" t="inlineStr">
        <is>
          <t>A 19398-2025</t>
        </is>
      </c>
      <c r="B215" s="1" t="n">
        <v>45769</v>
      </c>
      <c r="C215" s="1" t="n">
        <v>45996</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4797-2023</t>
        </is>
      </c>
      <c r="B216" s="1" t="n">
        <v>44957</v>
      </c>
      <c r="C216" s="1" t="n">
        <v>45996</v>
      </c>
      <c r="D216" t="inlineStr">
        <is>
          <t>VÄSTMANLANDS LÄN</t>
        </is>
      </c>
      <c r="E216" t="inlineStr">
        <is>
          <t>SALA</t>
        </is>
      </c>
      <c r="G216" t="n">
        <v>5.7</v>
      </c>
      <c r="H216" t="n">
        <v>0</v>
      </c>
      <c r="I216" t="n">
        <v>0</v>
      </c>
      <c r="J216" t="n">
        <v>0</v>
      </c>
      <c r="K216" t="n">
        <v>0</v>
      </c>
      <c r="L216" t="n">
        <v>0</v>
      </c>
      <c r="M216" t="n">
        <v>0</v>
      </c>
      <c r="N216" t="n">
        <v>0</v>
      </c>
      <c r="O216" t="n">
        <v>0</v>
      </c>
      <c r="P216" t="n">
        <v>0</v>
      </c>
      <c r="Q216" t="n">
        <v>0</v>
      </c>
      <c r="R216" s="2" t="inlineStr"/>
    </row>
    <row r="217" ht="15" customHeight="1">
      <c r="A217" t="inlineStr">
        <is>
          <t>A 14271-2025</t>
        </is>
      </c>
      <c r="B217" s="1" t="n">
        <v>45740.64129629629</v>
      </c>
      <c r="C217" s="1" t="n">
        <v>45996</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61517-2024</t>
        </is>
      </c>
      <c r="B218" s="1" t="n">
        <v>45645</v>
      </c>
      <c r="C218" s="1" t="n">
        <v>45996</v>
      </c>
      <c r="D218" t="inlineStr">
        <is>
          <t>VÄSTMANLANDS LÄN</t>
        </is>
      </c>
      <c r="E218" t="inlineStr">
        <is>
          <t>SALA</t>
        </is>
      </c>
      <c r="G218" t="n">
        <v>0.6</v>
      </c>
      <c r="H218" t="n">
        <v>0</v>
      </c>
      <c r="I218" t="n">
        <v>0</v>
      </c>
      <c r="J218" t="n">
        <v>0</v>
      </c>
      <c r="K218" t="n">
        <v>0</v>
      </c>
      <c r="L218" t="n">
        <v>0</v>
      </c>
      <c r="M218" t="n">
        <v>0</v>
      </c>
      <c r="N218" t="n">
        <v>0</v>
      </c>
      <c r="O218" t="n">
        <v>0</v>
      </c>
      <c r="P218" t="n">
        <v>0</v>
      </c>
      <c r="Q218" t="n">
        <v>0</v>
      </c>
      <c r="R218" s="2" t="inlineStr"/>
    </row>
    <row r="219" ht="15" customHeight="1">
      <c r="A219" t="inlineStr">
        <is>
          <t>A 1638-2023</t>
        </is>
      </c>
      <c r="B219" s="1" t="n">
        <v>44937</v>
      </c>
      <c r="C219" s="1" t="n">
        <v>45996</v>
      </c>
      <c r="D219" t="inlineStr">
        <is>
          <t>VÄSTMANLANDS LÄN</t>
        </is>
      </c>
      <c r="E219" t="inlineStr">
        <is>
          <t>SALA</t>
        </is>
      </c>
      <c r="G219" t="n">
        <v>3.1</v>
      </c>
      <c r="H219" t="n">
        <v>0</v>
      </c>
      <c r="I219" t="n">
        <v>0</v>
      </c>
      <c r="J219" t="n">
        <v>0</v>
      </c>
      <c r="K219" t="n">
        <v>0</v>
      </c>
      <c r="L219" t="n">
        <v>0</v>
      </c>
      <c r="M219" t="n">
        <v>0</v>
      </c>
      <c r="N219" t="n">
        <v>0</v>
      </c>
      <c r="O219" t="n">
        <v>0</v>
      </c>
      <c r="P219" t="n">
        <v>0</v>
      </c>
      <c r="Q219" t="n">
        <v>0</v>
      </c>
      <c r="R219" s="2" t="inlineStr"/>
    </row>
    <row r="220" ht="15" customHeight="1">
      <c r="A220" t="inlineStr">
        <is>
          <t>A 66830-2021</t>
        </is>
      </c>
      <c r="B220" s="1" t="n">
        <v>44522.40886574074</v>
      </c>
      <c r="C220" s="1" t="n">
        <v>45996</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54199-2024</t>
        </is>
      </c>
      <c r="B221" s="1" t="n">
        <v>45616.64703703704</v>
      </c>
      <c r="C221" s="1" t="n">
        <v>45996</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6312-2025</t>
        </is>
      </c>
      <c r="B222" s="1" t="n">
        <v>45698</v>
      </c>
      <c r="C222" s="1" t="n">
        <v>45996</v>
      </c>
      <c r="D222" t="inlineStr">
        <is>
          <t>VÄSTMANLANDS LÄN</t>
        </is>
      </c>
      <c r="E222" t="inlineStr">
        <is>
          <t>SALA</t>
        </is>
      </c>
      <c r="G222" t="n">
        <v>1.2</v>
      </c>
      <c r="H222" t="n">
        <v>0</v>
      </c>
      <c r="I222" t="n">
        <v>0</v>
      </c>
      <c r="J222" t="n">
        <v>0</v>
      </c>
      <c r="K222" t="n">
        <v>0</v>
      </c>
      <c r="L222" t="n">
        <v>0</v>
      </c>
      <c r="M222" t="n">
        <v>0</v>
      </c>
      <c r="N222" t="n">
        <v>0</v>
      </c>
      <c r="O222" t="n">
        <v>0</v>
      </c>
      <c r="P222" t="n">
        <v>0</v>
      </c>
      <c r="Q222" t="n">
        <v>0</v>
      </c>
      <c r="R222" s="2" t="inlineStr"/>
    </row>
    <row r="223" ht="15" customHeight="1">
      <c r="A223" t="inlineStr">
        <is>
          <t>A 28402-2022</t>
        </is>
      </c>
      <c r="B223" s="1" t="n">
        <v>44747</v>
      </c>
      <c r="C223" s="1" t="n">
        <v>45996</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73606-2021</t>
        </is>
      </c>
      <c r="B224" s="1" t="n">
        <v>44552</v>
      </c>
      <c r="C224" s="1" t="n">
        <v>45996</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15972-2024</t>
        </is>
      </c>
      <c r="B225" s="1" t="n">
        <v>45405.56498842593</v>
      </c>
      <c r="C225" s="1" t="n">
        <v>45996</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69192-2020</t>
        </is>
      </c>
      <c r="B226" s="1" t="n">
        <v>44191</v>
      </c>
      <c r="C226" s="1" t="n">
        <v>45996</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37958-2024</t>
        </is>
      </c>
      <c r="B227" s="1" t="n">
        <v>45544</v>
      </c>
      <c r="C227" s="1" t="n">
        <v>45996</v>
      </c>
      <c r="D227" t="inlineStr">
        <is>
          <t>VÄSTMANLANDS LÄN</t>
        </is>
      </c>
      <c r="E227" t="inlineStr">
        <is>
          <t>SALA</t>
        </is>
      </c>
      <c r="G227" t="n">
        <v>5.6</v>
      </c>
      <c r="H227" t="n">
        <v>0</v>
      </c>
      <c r="I227" t="n">
        <v>0</v>
      </c>
      <c r="J227" t="n">
        <v>0</v>
      </c>
      <c r="K227" t="n">
        <v>0</v>
      </c>
      <c r="L227" t="n">
        <v>0</v>
      </c>
      <c r="M227" t="n">
        <v>0</v>
      </c>
      <c r="N227" t="n">
        <v>0</v>
      </c>
      <c r="O227" t="n">
        <v>0</v>
      </c>
      <c r="P227" t="n">
        <v>0</v>
      </c>
      <c r="Q227" t="n">
        <v>0</v>
      </c>
      <c r="R227" s="2" t="inlineStr"/>
    </row>
    <row r="228" ht="15" customHeight="1">
      <c r="A228" t="inlineStr">
        <is>
          <t>A 53735-2022</t>
        </is>
      </c>
      <c r="B228" s="1" t="n">
        <v>44880.42752314815</v>
      </c>
      <c r="C228" s="1" t="n">
        <v>45996</v>
      </c>
      <c r="D228" t="inlineStr">
        <is>
          <t>VÄSTMANLANDS LÄN</t>
        </is>
      </c>
      <c r="E228" t="inlineStr">
        <is>
          <t>SALA</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44857-2023</t>
        </is>
      </c>
      <c r="B229" s="1" t="n">
        <v>45190.58479166667</v>
      </c>
      <c r="C229" s="1" t="n">
        <v>45996</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10909-2024</t>
        </is>
      </c>
      <c r="B230" s="1" t="n">
        <v>45370</v>
      </c>
      <c r="C230" s="1" t="n">
        <v>45996</v>
      </c>
      <c r="D230" t="inlineStr">
        <is>
          <t>VÄSTMANLANDS LÄN</t>
        </is>
      </c>
      <c r="E230" t="inlineStr">
        <is>
          <t>SALA</t>
        </is>
      </c>
      <c r="G230" t="n">
        <v>3.3</v>
      </c>
      <c r="H230" t="n">
        <v>0</v>
      </c>
      <c r="I230" t="n">
        <v>0</v>
      </c>
      <c r="J230" t="n">
        <v>0</v>
      </c>
      <c r="K230" t="n">
        <v>0</v>
      </c>
      <c r="L230" t="n">
        <v>0</v>
      </c>
      <c r="M230" t="n">
        <v>0</v>
      </c>
      <c r="N230" t="n">
        <v>0</v>
      </c>
      <c r="O230" t="n">
        <v>0</v>
      </c>
      <c r="P230" t="n">
        <v>0</v>
      </c>
      <c r="Q230" t="n">
        <v>0</v>
      </c>
      <c r="R230" s="2" t="inlineStr"/>
    </row>
    <row r="231" ht="15" customHeight="1">
      <c r="A231" t="inlineStr">
        <is>
          <t>A 62654-2022</t>
        </is>
      </c>
      <c r="B231" s="1" t="n">
        <v>44917</v>
      </c>
      <c r="C231" s="1" t="n">
        <v>45996</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43188-2023</t>
        </is>
      </c>
      <c r="B232" s="1" t="n">
        <v>45183</v>
      </c>
      <c r="C232" s="1" t="n">
        <v>45996</v>
      </c>
      <c r="D232" t="inlineStr">
        <is>
          <t>VÄSTMANLANDS LÄN</t>
        </is>
      </c>
      <c r="E232" t="inlineStr">
        <is>
          <t>SALA</t>
        </is>
      </c>
      <c r="G232" t="n">
        <v>1.2</v>
      </c>
      <c r="H232" t="n">
        <v>0</v>
      </c>
      <c r="I232" t="n">
        <v>0</v>
      </c>
      <c r="J232" t="n">
        <v>0</v>
      </c>
      <c r="K232" t="n">
        <v>0</v>
      </c>
      <c r="L232" t="n">
        <v>0</v>
      </c>
      <c r="M232" t="n">
        <v>0</v>
      </c>
      <c r="N232" t="n">
        <v>0</v>
      </c>
      <c r="O232" t="n">
        <v>0</v>
      </c>
      <c r="P232" t="n">
        <v>0</v>
      </c>
      <c r="Q232" t="n">
        <v>0</v>
      </c>
      <c r="R232" s="2" t="inlineStr"/>
    </row>
    <row r="233" ht="15" customHeight="1">
      <c r="A233" t="inlineStr">
        <is>
          <t>A 43205-2023</t>
        </is>
      </c>
      <c r="B233" s="1" t="n">
        <v>45183</v>
      </c>
      <c r="C233" s="1" t="n">
        <v>45996</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61892-2021</t>
        </is>
      </c>
      <c r="B234" s="1" t="n">
        <v>44502</v>
      </c>
      <c r="C234" s="1" t="n">
        <v>45996</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29213-2022</t>
        </is>
      </c>
      <c r="B235" s="1" t="n">
        <v>44750.57474537037</v>
      </c>
      <c r="C235" s="1" t="n">
        <v>45996</v>
      </c>
      <c r="D235" t="inlineStr">
        <is>
          <t>VÄSTMANLANDS LÄN</t>
        </is>
      </c>
      <c r="E235" t="inlineStr">
        <is>
          <t>SALA</t>
        </is>
      </c>
      <c r="G235" t="n">
        <v>1</v>
      </c>
      <c r="H235" t="n">
        <v>0</v>
      </c>
      <c r="I235" t="n">
        <v>0</v>
      </c>
      <c r="J235" t="n">
        <v>0</v>
      </c>
      <c r="K235" t="n">
        <v>0</v>
      </c>
      <c r="L235" t="n">
        <v>0</v>
      </c>
      <c r="M235" t="n">
        <v>0</v>
      </c>
      <c r="N235" t="n">
        <v>0</v>
      </c>
      <c r="O235" t="n">
        <v>0</v>
      </c>
      <c r="P235" t="n">
        <v>0</v>
      </c>
      <c r="Q235" t="n">
        <v>0</v>
      </c>
      <c r="R235" s="2" t="inlineStr"/>
    </row>
    <row r="236" ht="15" customHeight="1">
      <c r="A236" t="inlineStr">
        <is>
          <t>A 65856-2021</t>
        </is>
      </c>
      <c r="B236" s="1" t="n">
        <v>44517</v>
      </c>
      <c r="C236" s="1" t="n">
        <v>45996</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1555-2024</t>
        </is>
      </c>
      <c r="B237" s="1" t="n">
        <v>45306</v>
      </c>
      <c r="C237" s="1" t="n">
        <v>45996</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59483-2022</t>
        </is>
      </c>
      <c r="B238" s="1" t="n">
        <v>44907.45679398148</v>
      </c>
      <c r="C238" s="1" t="n">
        <v>45996</v>
      </c>
      <c r="D238" t="inlineStr">
        <is>
          <t>VÄSTMANLANDS LÄN</t>
        </is>
      </c>
      <c r="E238" t="inlineStr">
        <is>
          <t>SALA</t>
        </is>
      </c>
      <c r="G238" t="n">
        <v>5.2</v>
      </c>
      <c r="H238" t="n">
        <v>0</v>
      </c>
      <c r="I238" t="n">
        <v>0</v>
      </c>
      <c r="J238" t="n">
        <v>0</v>
      </c>
      <c r="K238" t="n">
        <v>0</v>
      </c>
      <c r="L238" t="n">
        <v>0</v>
      </c>
      <c r="M238" t="n">
        <v>0</v>
      </c>
      <c r="N238" t="n">
        <v>0</v>
      </c>
      <c r="O238" t="n">
        <v>0</v>
      </c>
      <c r="P238" t="n">
        <v>0</v>
      </c>
      <c r="Q238" t="n">
        <v>0</v>
      </c>
      <c r="R238" s="2" t="inlineStr"/>
    </row>
    <row r="239" ht="15" customHeight="1">
      <c r="A239" t="inlineStr">
        <is>
          <t>A 44224-2022</t>
        </is>
      </c>
      <c r="B239" s="1" t="n">
        <v>44839.506875</v>
      </c>
      <c r="C239" s="1" t="n">
        <v>45996</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25603-2022</t>
        </is>
      </c>
      <c r="B240" s="1" t="n">
        <v>44732</v>
      </c>
      <c r="C240" s="1" t="n">
        <v>45996</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16160-2024</t>
        </is>
      </c>
      <c r="B241" s="1" t="n">
        <v>45406</v>
      </c>
      <c r="C241" s="1" t="n">
        <v>45996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15756-2025</t>
        </is>
      </c>
      <c r="B242" s="1" t="n">
        <v>45748.56810185185</v>
      </c>
      <c r="C242" s="1" t="n">
        <v>45996</v>
      </c>
      <c r="D242" t="inlineStr">
        <is>
          <t>VÄSTMANLANDS LÄN</t>
        </is>
      </c>
      <c r="E242" t="inlineStr">
        <is>
          <t>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31000-2022</t>
        </is>
      </c>
      <c r="B243" s="1" t="n">
        <v>44768</v>
      </c>
      <c r="C243" s="1" t="n">
        <v>45996</v>
      </c>
      <c r="D243" t="inlineStr">
        <is>
          <t>VÄSTMANLANDS LÄN</t>
        </is>
      </c>
      <c r="E243" t="inlineStr">
        <is>
          <t>SALA</t>
        </is>
      </c>
      <c r="G243" t="n">
        <v>5.7</v>
      </c>
      <c r="H243" t="n">
        <v>0</v>
      </c>
      <c r="I243" t="n">
        <v>0</v>
      </c>
      <c r="J243" t="n">
        <v>0</v>
      </c>
      <c r="K243" t="n">
        <v>0</v>
      </c>
      <c r="L243" t="n">
        <v>0</v>
      </c>
      <c r="M243" t="n">
        <v>0</v>
      </c>
      <c r="N243" t="n">
        <v>0</v>
      </c>
      <c r="O243" t="n">
        <v>0</v>
      </c>
      <c r="P243" t="n">
        <v>0</v>
      </c>
      <c r="Q243" t="n">
        <v>0</v>
      </c>
      <c r="R243" s="2" t="inlineStr"/>
    </row>
    <row r="244" ht="15" customHeight="1">
      <c r="A244" t="inlineStr">
        <is>
          <t>A 37183-2024</t>
        </is>
      </c>
      <c r="B244" s="1" t="n">
        <v>45539</v>
      </c>
      <c r="C244" s="1" t="n">
        <v>45996</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39597-2022</t>
        </is>
      </c>
      <c r="B245" s="1" t="n">
        <v>44818</v>
      </c>
      <c r="C245" s="1" t="n">
        <v>45996</v>
      </c>
      <c r="D245" t="inlineStr">
        <is>
          <t>VÄSTMANLANDS LÄN</t>
        </is>
      </c>
      <c r="E245" t="inlineStr">
        <is>
          <t>SALA</t>
        </is>
      </c>
      <c r="G245" t="n">
        <v>2.3</v>
      </c>
      <c r="H245" t="n">
        <v>0</v>
      </c>
      <c r="I245" t="n">
        <v>0</v>
      </c>
      <c r="J245" t="n">
        <v>0</v>
      </c>
      <c r="K245" t="n">
        <v>0</v>
      </c>
      <c r="L245" t="n">
        <v>0</v>
      </c>
      <c r="M245" t="n">
        <v>0</v>
      </c>
      <c r="N245" t="n">
        <v>0</v>
      </c>
      <c r="O245" t="n">
        <v>0</v>
      </c>
      <c r="P245" t="n">
        <v>0</v>
      </c>
      <c r="Q245" t="n">
        <v>0</v>
      </c>
      <c r="R245" s="2" t="inlineStr"/>
    </row>
    <row r="246" ht="15" customHeight="1">
      <c r="A246" t="inlineStr">
        <is>
          <t>A 26661-2025</t>
        </is>
      </c>
      <c r="B246" s="1" t="n">
        <v>45810</v>
      </c>
      <c r="C246" s="1" t="n">
        <v>45996</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22921-2023</t>
        </is>
      </c>
      <c r="B247" s="1" t="n">
        <v>45070</v>
      </c>
      <c r="C247" s="1" t="n">
        <v>45996</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73673-2021</t>
        </is>
      </c>
      <c r="B248" s="1" t="n">
        <v>44552.46501157407</v>
      </c>
      <c r="C248" s="1" t="n">
        <v>45996</v>
      </c>
      <c r="D248" t="inlineStr">
        <is>
          <t>VÄSTMANLANDS LÄN</t>
        </is>
      </c>
      <c r="E248" t="inlineStr">
        <is>
          <t>SALA</t>
        </is>
      </c>
      <c r="G248" t="n">
        <v>11.4</v>
      </c>
      <c r="H248" t="n">
        <v>0</v>
      </c>
      <c r="I248" t="n">
        <v>0</v>
      </c>
      <c r="J248" t="n">
        <v>0</v>
      </c>
      <c r="K248" t="n">
        <v>0</v>
      </c>
      <c r="L248" t="n">
        <v>0</v>
      </c>
      <c r="M248" t="n">
        <v>0</v>
      </c>
      <c r="N248" t="n">
        <v>0</v>
      </c>
      <c r="O248" t="n">
        <v>0</v>
      </c>
      <c r="P248" t="n">
        <v>0</v>
      </c>
      <c r="Q248" t="n">
        <v>0</v>
      </c>
      <c r="R248" s="2" t="inlineStr"/>
    </row>
    <row r="249" ht="15" customHeight="1">
      <c r="A249" t="inlineStr">
        <is>
          <t>A 27229-2022</t>
        </is>
      </c>
      <c r="B249" s="1" t="n">
        <v>44741</v>
      </c>
      <c r="C249" s="1" t="n">
        <v>45996</v>
      </c>
      <c r="D249" t="inlineStr">
        <is>
          <t>VÄSTMANLANDS LÄN</t>
        </is>
      </c>
      <c r="E249" t="inlineStr">
        <is>
          <t>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36858-2023</t>
        </is>
      </c>
      <c r="B250" s="1" t="n">
        <v>45154.55184027777</v>
      </c>
      <c r="C250" s="1" t="n">
        <v>45996</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55024-2023</t>
        </is>
      </c>
      <c r="B251" s="1" t="n">
        <v>45229</v>
      </c>
      <c r="C251" s="1" t="n">
        <v>45996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55032-2023</t>
        </is>
      </c>
      <c r="B252" s="1" t="n">
        <v>45229</v>
      </c>
      <c r="C252" s="1" t="n">
        <v>45996</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1793-2023</t>
        </is>
      </c>
      <c r="B253" s="1" t="n">
        <v>44937</v>
      </c>
      <c r="C253" s="1" t="n">
        <v>45996</v>
      </c>
      <c r="D253" t="inlineStr">
        <is>
          <t>VÄSTMANLANDS LÄN</t>
        </is>
      </c>
      <c r="E253" t="inlineStr">
        <is>
          <t>SALA</t>
        </is>
      </c>
      <c r="G253" t="n">
        <v>2.6</v>
      </c>
      <c r="H253" t="n">
        <v>0</v>
      </c>
      <c r="I253" t="n">
        <v>0</v>
      </c>
      <c r="J253" t="n">
        <v>0</v>
      </c>
      <c r="K253" t="n">
        <v>0</v>
      </c>
      <c r="L253" t="n">
        <v>0</v>
      </c>
      <c r="M253" t="n">
        <v>0</v>
      </c>
      <c r="N253" t="n">
        <v>0</v>
      </c>
      <c r="O253" t="n">
        <v>0</v>
      </c>
      <c r="P253" t="n">
        <v>0</v>
      </c>
      <c r="Q253" t="n">
        <v>0</v>
      </c>
      <c r="R253" s="2" t="inlineStr"/>
    </row>
    <row r="254" ht="15" customHeight="1">
      <c r="A254" t="inlineStr">
        <is>
          <t>A 20352-2022</t>
        </is>
      </c>
      <c r="B254" s="1" t="n">
        <v>44699.37318287037</v>
      </c>
      <c r="C254" s="1" t="n">
        <v>45996</v>
      </c>
      <c r="D254" t="inlineStr">
        <is>
          <t>VÄSTMANLANDS LÄN</t>
        </is>
      </c>
      <c r="E254" t="inlineStr">
        <is>
          <t>SALA</t>
        </is>
      </c>
      <c r="G254" t="n">
        <v>1.3</v>
      </c>
      <c r="H254" t="n">
        <v>0</v>
      </c>
      <c r="I254" t="n">
        <v>0</v>
      </c>
      <c r="J254" t="n">
        <v>0</v>
      </c>
      <c r="K254" t="n">
        <v>0</v>
      </c>
      <c r="L254" t="n">
        <v>0</v>
      </c>
      <c r="M254" t="n">
        <v>0</v>
      </c>
      <c r="N254" t="n">
        <v>0</v>
      </c>
      <c r="O254" t="n">
        <v>0</v>
      </c>
      <c r="P254" t="n">
        <v>0</v>
      </c>
      <c r="Q254" t="n">
        <v>0</v>
      </c>
      <c r="R254" s="2" t="inlineStr"/>
    </row>
    <row r="255" ht="15" customHeight="1">
      <c r="A255" t="inlineStr">
        <is>
          <t>A 5032-2025</t>
        </is>
      </c>
      <c r="B255" s="1" t="n">
        <v>45691</v>
      </c>
      <c r="C255" s="1" t="n">
        <v>45996</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29248-2022</t>
        </is>
      </c>
      <c r="B256" s="1" t="n">
        <v>44750</v>
      </c>
      <c r="C256" s="1" t="n">
        <v>45996</v>
      </c>
      <c r="D256" t="inlineStr">
        <is>
          <t>VÄSTMANLANDS LÄN</t>
        </is>
      </c>
      <c r="E256" t="inlineStr">
        <is>
          <t>SALA</t>
        </is>
      </c>
      <c r="G256" t="n">
        <v>1.6</v>
      </c>
      <c r="H256" t="n">
        <v>0</v>
      </c>
      <c r="I256" t="n">
        <v>0</v>
      </c>
      <c r="J256" t="n">
        <v>0</v>
      </c>
      <c r="K256" t="n">
        <v>0</v>
      </c>
      <c r="L256" t="n">
        <v>0</v>
      </c>
      <c r="M256" t="n">
        <v>0</v>
      </c>
      <c r="N256" t="n">
        <v>0</v>
      </c>
      <c r="O256" t="n">
        <v>0</v>
      </c>
      <c r="P256" t="n">
        <v>0</v>
      </c>
      <c r="Q256" t="n">
        <v>0</v>
      </c>
      <c r="R256" s="2" t="inlineStr"/>
    </row>
    <row r="257" ht="15" customHeight="1">
      <c r="A257" t="inlineStr">
        <is>
          <t>A 17117-2023</t>
        </is>
      </c>
      <c r="B257" s="1" t="n">
        <v>45034</v>
      </c>
      <c r="C257" s="1" t="n">
        <v>45996</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22397-2022</t>
        </is>
      </c>
      <c r="B258" s="1" t="n">
        <v>44713</v>
      </c>
      <c r="C258" s="1" t="n">
        <v>45996</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28863-2022</t>
        </is>
      </c>
      <c r="B259" s="1" t="n">
        <v>44749.50649305555</v>
      </c>
      <c r="C259" s="1" t="n">
        <v>45996</v>
      </c>
      <c r="D259" t="inlineStr">
        <is>
          <t>VÄSTMANLANDS LÄN</t>
        </is>
      </c>
      <c r="E259" t="inlineStr">
        <is>
          <t>SALA</t>
        </is>
      </c>
      <c r="G259" t="n">
        <v>1.6</v>
      </c>
      <c r="H259" t="n">
        <v>0</v>
      </c>
      <c r="I259" t="n">
        <v>0</v>
      </c>
      <c r="J259" t="n">
        <v>0</v>
      </c>
      <c r="K259" t="n">
        <v>0</v>
      </c>
      <c r="L259" t="n">
        <v>0</v>
      </c>
      <c r="M259" t="n">
        <v>0</v>
      </c>
      <c r="N259" t="n">
        <v>0</v>
      </c>
      <c r="O259" t="n">
        <v>0</v>
      </c>
      <c r="P259" t="n">
        <v>0</v>
      </c>
      <c r="Q259" t="n">
        <v>0</v>
      </c>
      <c r="R259" s="2" t="inlineStr"/>
    </row>
    <row r="260" ht="15" customHeight="1">
      <c r="A260" t="inlineStr">
        <is>
          <t>A 19243-2025</t>
        </is>
      </c>
      <c r="B260" s="1" t="n">
        <v>45769</v>
      </c>
      <c r="C260" s="1" t="n">
        <v>45996</v>
      </c>
      <c r="D260" t="inlineStr">
        <is>
          <t>VÄSTMANLANDS LÄN</t>
        </is>
      </c>
      <c r="E260" t="inlineStr">
        <is>
          <t>SALA</t>
        </is>
      </c>
      <c r="F260" t="inlineStr">
        <is>
          <t>Bergvik skog öst AB</t>
        </is>
      </c>
      <c r="G260" t="n">
        <v>1.5</v>
      </c>
      <c r="H260" t="n">
        <v>0</v>
      </c>
      <c r="I260" t="n">
        <v>0</v>
      </c>
      <c r="J260" t="n">
        <v>0</v>
      </c>
      <c r="K260" t="n">
        <v>0</v>
      </c>
      <c r="L260" t="n">
        <v>0</v>
      </c>
      <c r="M260" t="n">
        <v>0</v>
      </c>
      <c r="N260" t="n">
        <v>0</v>
      </c>
      <c r="O260" t="n">
        <v>0</v>
      </c>
      <c r="P260" t="n">
        <v>0</v>
      </c>
      <c r="Q260" t="n">
        <v>0</v>
      </c>
      <c r="R260" s="2" t="inlineStr"/>
    </row>
    <row r="261" ht="15" customHeight="1">
      <c r="A261" t="inlineStr">
        <is>
          <t>A 38574-2025</t>
        </is>
      </c>
      <c r="B261" s="1" t="n">
        <v>45884.46390046296</v>
      </c>
      <c r="C261" s="1" t="n">
        <v>45996</v>
      </c>
      <c r="D261" t="inlineStr">
        <is>
          <t>VÄSTMANLANDS LÄN</t>
        </is>
      </c>
      <c r="E261" t="inlineStr">
        <is>
          <t>SALA</t>
        </is>
      </c>
      <c r="G261" t="n">
        <v>2.1</v>
      </c>
      <c r="H261" t="n">
        <v>0</v>
      </c>
      <c r="I261" t="n">
        <v>0</v>
      </c>
      <c r="J261" t="n">
        <v>0</v>
      </c>
      <c r="K261" t="n">
        <v>0</v>
      </c>
      <c r="L261" t="n">
        <v>0</v>
      </c>
      <c r="M261" t="n">
        <v>0</v>
      </c>
      <c r="N261" t="n">
        <v>0</v>
      </c>
      <c r="O261" t="n">
        <v>0</v>
      </c>
      <c r="P261" t="n">
        <v>0</v>
      </c>
      <c r="Q261" t="n">
        <v>0</v>
      </c>
      <c r="R261" s="2" t="inlineStr"/>
    </row>
    <row r="262" ht="15" customHeight="1">
      <c r="A262" t="inlineStr">
        <is>
          <t>A 27989-2025</t>
        </is>
      </c>
      <c r="B262" s="1" t="n">
        <v>45817.58716435185</v>
      </c>
      <c r="C262" s="1" t="n">
        <v>45996</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7681-2021</t>
        </is>
      </c>
      <c r="B263" s="1" t="n">
        <v>44242</v>
      </c>
      <c r="C263" s="1" t="n">
        <v>45996</v>
      </c>
      <c r="D263" t="inlineStr">
        <is>
          <t>VÄSTMANLANDS LÄN</t>
        </is>
      </c>
      <c r="E263" t="inlineStr">
        <is>
          <t>SALA</t>
        </is>
      </c>
      <c r="F263" t="inlineStr">
        <is>
          <t>Sveaskog</t>
        </is>
      </c>
      <c r="G263" t="n">
        <v>16.1</v>
      </c>
      <c r="H263" t="n">
        <v>0</v>
      </c>
      <c r="I263" t="n">
        <v>0</v>
      </c>
      <c r="J263" t="n">
        <v>0</v>
      </c>
      <c r="K263" t="n">
        <v>0</v>
      </c>
      <c r="L263" t="n">
        <v>0</v>
      </c>
      <c r="M263" t="n">
        <v>0</v>
      </c>
      <c r="N263" t="n">
        <v>0</v>
      </c>
      <c r="O263" t="n">
        <v>0</v>
      </c>
      <c r="P263" t="n">
        <v>0</v>
      </c>
      <c r="Q263" t="n">
        <v>0</v>
      </c>
      <c r="R263" s="2" t="inlineStr"/>
    </row>
    <row r="264" ht="15" customHeight="1">
      <c r="A264" t="inlineStr">
        <is>
          <t>A 14919-2025</t>
        </is>
      </c>
      <c r="B264" s="1" t="n">
        <v>45743.54256944444</v>
      </c>
      <c r="C264" s="1" t="n">
        <v>45996</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14920-2025</t>
        </is>
      </c>
      <c r="B265" s="1" t="n">
        <v>45743</v>
      </c>
      <c r="C265" s="1" t="n">
        <v>45996</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40398-2021</t>
        </is>
      </c>
      <c r="B266" s="1" t="n">
        <v>44419</v>
      </c>
      <c r="C266" s="1" t="n">
        <v>45996</v>
      </c>
      <c r="D266" t="inlineStr">
        <is>
          <t>VÄSTMANLANDS LÄN</t>
        </is>
      </c>
      <c r="E266" t="inlineStr">
        <is>
          <t>SALA</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27981-2025</t>
        </is>
      </c>
      <c r="B267" s="1" t="n">
        <v>45817.57471064815</v>
      </c>
      <c r="C267" s="1" t="n">
        <v>45996</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28193-2025</t>
        </is>
      </c>
      <c r="B268" s="1" t="n">
        <v>45818.425625</v>
      </c>
      <c r="C268" s="1" t="n">
        <v>45996</v>
      </c>
      <c r="D268" t="inlineStr">
        <is>
          <t>VÄSTMANLANDS LÄN</t>
        </is>
      </c>
      <c r="E268" t="inlineStr">
        <is>
          <t>SALA</t>
        </is>
      </c>
      <c r="G268" t="n">
        <v>1.8</v>
      </c>
      <c r="H268" t="n">
        <v>0</v>
      </c>
      <c r="I268" t="n">
        <v>0</v>
      </c>
      <c r="J268" t="n">
        <v>0</v>
      </c>
      <c r="K268" t="n">
        <v>0</v>
      </c>
      <c r="L268" t="n">
        <v>0</v>
      </c>
      <c r="M268" t="n">
        <v>0</v>
      </c>
      <c r="N268" t="n">
        <v>0</v>
      </c>
      <c r="O268" t="n">
        <v>0</v>
      </c>
      <c r="P268" t="n">
        <v>0</v>
      </c>
      <c r="Q268" t="n">
        <v>0</v>
      </c>
      <c r="R268" s="2" t="inlineStr"/>
    </row>
    <row r="269" ht="15" customHeight="1">
      <c r="A269" t="inlineStr">
        <is>
          <t>A 28284-2025</t>
        </is>
      </c>
      <c r="B269" s="1" t="n">
        <v>45818.58893518519</v>
      </c>
      <c r="C269" s="1" t="n">
        <v>45996</v>
      </c>
      <c r="D269" t="inlineStr">
        <is>
          <t>VÄSTMANLANDS LÄN</t>
        </is>
      </c>
      <c r="E269" t="inlineStr">
        <is>
          <t>SALA</t>
        </is>
      </c>
      <c r="G269" t="n">
        <v>2.4</v>
      </c>
      <c r="H269" t="n">
        <v>0</v>
      </c>
      <c r="I269" t="n">
        <v>0</v>
      </c>
      <c r="J269" t="n">
        <v>0</v>
      </c>
      <c r="K269" t="n">
        <v>0</v>
      </c>
      <c r="L269" t="n">
        <v>0</v>
      </c>
      <c r="M269" t="n">
        <v>0</v>
      </c>
      <c r="N269" t="n">
        <v>0</v>
      </c>
      <c r="O269" t="n">
        <v>0</v>
      </c>
      <c r="P269" t="n">
        <v>0</v>
      </c>
      <c r="Q269" t="n">
        <v>0</v>
      </c>
      <c r="R269" s="2" t="inlineStr"/>
    </row>
    <row r="270" ht="15" customHeight="1">
      <c r="A270" t="inlineStr">
        <is>
          <t>A 43362-2023</t>
        </is>
      </c>
      <c r="B270" s="1" t="n">
        <v>45183</v>
      </c>
      <c r="C270" s="1" t="n">
        <v>45996</v>
      </c>
      <c r="D270" t="inlineStr">
        <is>
          <t>VÄSTMANLANDS LÄN</t>
        </is>
      </c>
      <c r="E270" t="inlineStr">
        <is>
          <t>SALA</t>
        </is>
      </c>
      <c r="G270" t="n">
        <v>2</v>
      </c>
      <c r="H270" t="n">
        <v>0</v>
      </c>
      <c r="I270" t="n">
        <v>0</v>
      </c>
      <c r="J270" t="n">
        <v>0</v>
      </c>
      <c r="K270" t="n">
        <v>0</v>
      </c>
      <c r="L270" t="n">
        <v>0</v>
      </c>
      <c r="M270" t="n">
        <v>0</v>
      </c>
      <c r="N270" t="n">
        <v>0</v>
      </c>
      <c r="O270" t="n">
        <v>0</v>
      </c>
      <c r="P270" t="n">
        <v>0</v>
      </c>
      <c r="Q270" t="n">
        <v>0</v>
      </c>
      <c r="R270" s="2" t="inlineStr"/>
    </row>
    <row r="271" ht="15" customHeight="1">
      <c r="A271" t="inlineStr">
        <is>
          <t>A 7166-2025</t>
        </is>
      </c>
      <c r="B271" s="1" t="n">
        <v>45702</v>
      </c>
      <c r="C271" s="1" t="n">
        <v>45996</v>
      </c>
      <c r="D271" t="inlineStr">
        <is>
          <t>VÄSTMANLANDS LÄN</t>
        </is>
      </c>
      <c r="E271" t="inlineStr">
        <is>
          <t>SALA</t>
        </is>
      </c>
      <c r="G271" t="n">
        <v>6.1</v>
      </c>
      <c r="H271" t="n">
        <v>0</v>
      </c>
      <c r="I271" t="n">
        <v>0</v>
      </c>
      <c r="J271" t="n">
        <v>0</v>
      </c>
      <c r="K271" t="n">
        <v>0</v>
      </c>
      <c r="L271" t="n">
        <v>0</v>
      </c>
      <c r="M271" t="n">
        <v>0</v>
      </c>
      <c r="N271" t="n">
        <v>0</v>
      </c>
      <c r="O271" t="n">
        <v>0</v>
      </c>
      <c r="P271" t="n">
        <v>0</v>
      </c>
      <c r="Q271" t="n">
        <v>0</v>
      </c>
      <c r="R271" s="2" t="inlineStr"/>
    </row>
    <row r="272" ht="15" customHeight="1">
      <c r="A272" t="inlineStr">
        <is>
          <t>A 36393-2023</t>
        </is>
      </c>
      <c r="B272" s="1" t="n">
        <v>45152</v>
      </c>
      <c r="C272" s="1" t="n">
        <v>45996</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26416-2023</t>
        </is>
      </c>
      <c r="B273" s="1" t="n">
        <v>45092.38087962963</v>
      </c>
      <c r="C273" s="1" t="n">
        <v>45996</v>
      </c>
      <c r="D273" t="inlineStr">
        <is>
          <t>VÄSTMANLANDS LÄN</t>
        </is>
      </c>
      <c r="E273" t="inlineStr">
        <is>
          <t>SALA</t>
        </is>
      </c>
      <c r="G273" t="n">
        <v>2.9</v>
      </c>
      <c r="H273" t="n">
        <v>0</v>
      </c>
      <c r="I273" t="n">
        <v>0</v>
      </c>
      <c r="J273" t="n">
        <v>0</v>
      </c>
      <c r="K273" t="n">
        <v>0</v>
      </c>
      <c r="L273" t="n">
        <v>0</v>
      </c>
      <c r="M273" t="n">
        <v>0</v>
      </c>
      <c r="N273" t="n">
        <v>0</v>
      </c>
      <c r="O273" t="n">
        <v>0</v>
      </c>
      <c r="P273" t="n">
        <v>0</v>
      </c>
      <c r="Q273" t="n">
        <v>0</v>
      </c>
      <c r="R273" s="2" t="inlineStr"/>
    </row>
    <row r="274" ht="15" customHeight="1">
      <c r="A274" t="inlineStr">
        <is>
          <t>A 2900-2023</t>
        </is>
      </c>
      <c r="B274" s="1" t="n">
        <v>44943</v>
      </c>
      <c r="C274" s="1" t="n">
        <v>45996</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28278-2025</t>
        </is>
      </c>
      <c r="B275" s="1" t="n">
        <v>45818.58454861111</v>
      </c>
      <c r="C275" s="1" t="n">
        <v>45996</v>
      </c>
      <c r="D275" t="inlineStr">
        <is>
          <t>VÄSTMANLANDS LÄN</t>
        </is>
      </c>
      <c r="E275" t="inlineStr">
        <is>
          <t>SALA</t>
        </is>
      </c>
      <c r="G275" t="n">
        <v>7.6</v>
      </c>
      <c r="H275" t="n">
        <v>0</v>
      </c>
      <c r="I275" t="n">
        <v>0</v>
      </c>
      <c r="J275" t="n">
        <v>0</v>
      </c>
      <c r="K275" t="n">
        <v>0</v>
      </c>
      <c r="L275" t="n">
        <v>0</v>
      </c>
      <c r="M275" t="n">
        <v>0</v>
      </c>
      <c r="N275" t="n">
        <v>0</v>
      </c>
      <c r="O275" t="n">
        <v>0</v>
      </c>
      <c r="P275" t="n">
        <v>0</v>
      </c>
      <c r="Q275" t="n">
        <v>0</v>
      </c>
      <c r="R275" s="2" t="inlineStr"/>
    </row>
    <row r="276" ht="15" customHeight="1">
      <c r="A276" t="inlineStr">
        <is>
          <t>A 6030-2024</t>
        </is>
      </c>
      <c r="B276" s="1" t="n">
        <v>45336.62782407407</v>
      </c>
      <c r="C276" s="1" t="n">
        <v>45996</v>
      </c>
      <c r="D276" t="inlineStr">
        <is>
          <t>VÄSTMANLANDS LÄN</t>
        </is>
      </c>
      <c r="E276" t="inlineStr">
        <is>
          <t>SALA</t>
        </is>
      </c>
      <c r="G276" t="n">
        <v>3.9</v>
      </c>
      <c r="H276" t="n">
        <v>0</v>
      </c>
      <c r="I276" t="n">
        <v>0</v>
      </c>
      <c r="J276" t="n">
        <v>0</v>
      </c>
      <c r="K276" t="n">
        <v>0</v>
      </c>
      <c r="L276" t="n">
        <v>0</v>
      </c>
      <c r="M276" t="n">
        <v>0</v>
      </c>
      <c r="N276" t="n">
        <v>0</v>
      </c>
      <c r="O276" t="n">
        <v>0</v>
      </c>
      <c r="P276" t="n">
        <v>0</v>
      </c>
      <c r="Q276" t="n">
        <v>0</v>
      </c>
      <c r="R276" s="2" t="inlineStr"/>
    </row>
    <row r="277" ht="15" customHeight="1">
      <c r="A277" t="inlineStr">
        <is>
          <t>A 28628-2025</t>
        </is>
      </c>
      <c r="B277" s="1" t="n">
        <v>45819.62158564815</v>
      </c>
      <c r="C277" s="1" t="n">
        <v>45996</v>
      </c>
      <c r="D277" t="inlineStr">
        <is>
          <t>VÄSTMANLANDS LÄN</t>
        </is>
      </c>
      <c r="E277" t="inlineStr">
        <is>
          <t>SALA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52630-2022</t>
        </is>
      </c>
      <c r="B278" s="1" t="n">
        <v>44874</v>
      </c>
      <c r="C278" s="1" t="n">
        <v>45996</v>
      </c>
      <c r="D278" t="inlineStr">
        <is>
          <t>VÄSTMANLANDS LÄN</t>
        </is>
      </c>
      <c r="E278" t="inlineStr">
        <is>
          <t>SALA</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28632-2025</t>
        </is>
      </c>
      <c r="B279" s="1" t="n">
        <v>45819.62344907408</v>
      </c>
      <c r="C279" s="1" t="n">
        <v>45996</v>
      </c>
      <c r="D279" t="inlineStr">
        <is>
          <t>VÄSTMANLANDS LÄN</t>
        </is>
      </c>
      <c r="E279" t="inlineStr">
        <is>
          <t>SALA</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45996</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31864-2025</t>
        </is>
      </c>
      <c r="B281" s="1" t="n">
        <v>45834.63819444444</v>
      </c>
      <c r="C281" s="1" t="n">
        <v>45996</v>
      </c>
      <c r="D281" t="inlineStr">
        <is>
          <t>VÄSTMANLANDS LÄN</t>
        </is>
      </c>
      <c r="E281" t="inlineStr">
        <is>
          <t>SALA</t>
        </is>
      </c>
      <c r="G281" t="n">
        <v>6.3</v>
      </c>
      <c r="H281" t="n">
        <v>0</v>
      </c>
      <c r="I281" t="n">
        <v>0</v>
      </c>
      <c r="J281" t="n">
        <v>0</v>
      </c>
      <c r="K281" t="n">
        <v>0</v>
      </c>
      <c r="L281" t="n">
        <v>0</v>
      </c>
      <c r="M281" t="n">
        <v>0</v>
      </c>
      <c r="N281" t="n">
        <v>0</v>
      </c>
      <c r="O281" t="n">
        <v>0</v>
      </c>
      <c r="P281" t="n">
        <v>0</v>
      </c>
      <c r="Q281" t="n">
        <v>0</v>
      </c>
      <c r="R281" s="2" t="inlineStr"/>
    </row>
    <row r="282" ht="15" customHeight="1">
      <c r="A282" t="inlineStr">
        <is>
          <t>A 16651-2021</t>
        </is>
      </c>
      <c r="B282" s="1" t="n">
        <v>44294.50096064815</v>
      </c>
      <c r="C282" s="1" t="n">
        <v>45996</v>
      </c>
      <c r="D282" t="inlineStr">
        <is>
          <t>VÄSTMANLANDS LÄN</t>
        </is>
      </c>
      <c r="E282" t="inlineStr">
        <is>
          <t>SALA</t>
        </is>
      </c>
      <c r="G282" t="n">
        <v>7.7</v>
      </c>
      <c r="H282" t="n">
        <v>0</v>
      </c>
      <c r="I282" t="n">
        <v>0</v>
      </c>
      <c r="J282" t="n">
        <v>0</v>
      </c>
      <c r="K282" t="n">
        <v>0</v>
      </c>
      <c r="L282" t="n">
        <v>0</v>
      </c>
      <c r="M282" t="n">
        <v>0</v>
      </c>
      <c r="N282" t="n">
        <v>0</v>
      </c>
      <c r="O282" t="n">
        <v>0</v>
      </c>
      <c r="P282" t="n">
        <v>0</v>
      </c>
      <c r="Q282" t="n">
        <v>0</v>
      </c>
      <c r="R282" s="2" t="inlineStr"/>
    </row>
    <row r="283" ht="15" customHeight="1">
      <c r="A283" t="inlineStr">
        <is>
          <t>A 66821-2020</t>
        </is>
      </c>
      <c r="B283" s="1" t="n">
        <v>44179.88008101852</v>
      </c>
      <c r="C283" s="1" t="n">
        <v>45996</v>
      </c>
      <c r="D283" t="inlineStr">
        <is>
          <t>VÄSTMANLANDS LÄN</t>
        </is>
      </c>
      <c r="E283" t="inlineStr">
        <is>
          <t>SALA</t>
        </is>
      </c>
      <c r="G283" t="n">
        <v>1.4</v>
      </c>
      <c r="H283" t="n">
        <v>0</v>
      </c>
      <c r="I283" t="n">
        <v>0</v>
      </c>
      <c r="J283" t="n">
        <v>0</v>
      </c>
      <c r="K283" t="n">
        <v>0</v>
      </c>
      <c r="L283" t="n">
        <v>0</v>
      </c>
      <c r="M283" t="n">
        <v>0</v>
      </c>
      <c r="N283" t="n">
        <v>0</v>
      </c>
      <c r="O283" t="n">
        <v>0</v>
      </c>
      <c r="P283" t="n">
        <v>0</v>
      </c>
      <c r="Q283" t="n">
        <v>0</v>
      </c>
      <c r="R283" s="2" t="inlineStr"/>
    </row>
    <row r="284" ht="15" customHeight="1">
      <c r="A284" t="inlineStr">
        <is>
          <t>A 28837-2025</t>
        </is>
      </c>
      <c r="B284" s="1" t="n">
        <v>45820.56243055555</v>
      </c>
      <c r="C284" s="1" t="n">
        <v>45996</v>
      </c>
      <c r="D284" t="inlineStr">
        <is>
          <t>VÄSTMANLANDS LÄN</t>
        </is>
      </c>
      <c r="E284" t="inlineStr">
        <is>
          <t>SALA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28849-2025</t>
        </is>
      </c>
      <c r="B285" s="1" t="n">
        <v>45820</v>
      </c>
      <c r="C285" s="1" t="n">
        <v>45996</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28661-2024</t>
        </is>
      </c>
      <c r="B286" s="1" t="n">
        <v>45478</v>
      </c>
      <c r="C286" s="1" t="n">
        <v>45996</v>
      </c>
      <c r="D286" t="inlineStr">
        <is>
          <t>VÄSTMANLANDS LÄN</t>
        </is>
      </c>
      <c r="E286" t="inlineStr">
        <is>
          <t>SALA</t>
        </is>
      </c>
      <c r="G286" t="n">
        <v>0.6</v>
      </c>
      <c r="H286" t="n">
        <v>0</v>
      </c>
      <c r="I286" t="n">
        <v>0</v>
      </c>
      <c r="J286" t="n">
        <v>0</v>
      </c>
      <c r="K286" t="n">
        <v>0</v>
      </c>
      <c r="L286" t="n">
        <v>0</v>
      </c>
      <c r="M286" t="n">
        <v>0</v>
      </c>
      <c r="N286" t="n">
        <v>0</v>
      </c>
      <c r="O286" t="n">
        <v>0</v>
      </c>
      <c r="P286" t="n">
        <v>0</v>
      </c>
      <c r="Q286" t="n">
        <v>0</v>
      </c>
      <c r="R286" s="2" t="inlineStr"/>
    </row>
    <row r="287" ht="15" customHeight="1">
      <c r="A287" t="inlineStr">
        <is>
          <t>A 14690-2025</t>
        </is>
      </c>
      <c r="B287" s="1" t="n">
        <v>45742.58212962963</v>
      </c>
      <c r="C287" s="1" t="n">
        <v>45996</v>
      </c>
      <c r="D287" t="inlineStr">
        <is>
          <t>VÄSTMANLANDS LÄN</t>
        </is>
      </c>
      <c r="E287" t="inlineStr">
        <is>
          <t>SALA</t>
        </is>
      </c>
      <c r="G287" t="n">
        <v>3.4</v>
      </c>
      <c r="H287" t="n">
        <v>0</v>
      </c>
      <c r="I287" t="n">
        <v>0</v>
      </c>
      <c r="J287" t="n">
        <v>0</v>
      </c>
      <c r="K287" t="n">
        <v>0</v>
      </c>
      <c r="L287" t="n">
        <v>0</v>
      </c>
      <c r="M287" t="n">
        <v>0</v>
      </c>
      <c r="N287" t="n">
        <v>0</v>
      </c>
      <c r="O287" t="n">
        <v>0</v>
      </c>
      <c r="P287" t="n">
        <v>0</v>
      </c>
      <c r="Q287" t="n">
        <v>0</v>
      </c>
      <c r="R287" s="2" t="inlineStr"/>
    </row>
    <row r="288" ht="15" customHeight="1">
      <c r="A288" t="inlineStr">
        <is>
          <t>A 29085-2025</t>
        </is>
      </c>
      <c r="B288" s="1" t="n">
        <v>45821</v>
      </c>
      <c r="C288" s="1" t="n">
        <v>45996</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27255-2023</t>
        </is>
      </c>
      <c r="B289" s="1" t="n">
        <v>45096</v>
      </c>
      <c r="C289" s="1" t="n">
        <v>45996</v>
      </c>
      <c r="D289" t="inlineStr">
        <is>
          <t>VÄSTMANLANDS LÄN</t>
        </is>
      </c>
      <c r="E289" t="inlineStr">
        <is>
          <t>SALA</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2521-2025</t>
        </is>
      </c>
      <c r="B290" s="1" t="n">
        <v>45674</v>
      </c>
      <c r="C290" s="1" t="n">
        <v>45996</v>
      </c>
      <c r="D290" t="inlineStr">
        <is>
          <t>VÄSTMANLANDS LÄN</t>
        </is>
      </c>
      <c r="E290" t="inlineStr">
        <is>
          <t>SALA</t>
        </is>
      </c>
      <c r="G290" t="n">
        <v>3.5</v>
      </c>
      <c r="H290" t="n">
        <v>0</v>
      </c>
      <c r="I290" t="n">
        <v>0</v>
      </c>
      <c r="J290" t="n">
        <v>0</v>
      </c>
      <c r="K290" t="n">
        <v>0</v>
      </c>
      <c r="L290" t="n">
        <v>0</v>
      </c>
      <c r="M290" t="n">
        <v>0</v>
      </c>
      <c r="N290" t="n">
        <v>0</v>
      </c>
      <c r="O290" t="n">
        <v>0</v>
      </c>
      <c r="P290" t="n">
        <v>0</v>
      </c>
      <c r="Q290" t="n">
        <v>0</v>
      </c>
      <c r="R290" s="2" t="inlineStr"/>
    </row>
    <row r="291" ht="15" customHeight="1">
      <c r="A291" t="inlineStr">
        <is>
          <t>A 4736-2021</t>
        </is>
      </c>
      <c r="B291" s="1" t="n">
        <v>44225</v>
      </c>
      <c r="C291" s="1" t="n">
        <v>45996</v>
      </c>
      <c r="D291" t="inlineStr">
        <is>
          <t>VÄSTMANLANDS LÄN</t>
        </is>
      </c>
      <c r="E291" t="inlineStr">
        <is>
          <t>SALA</t>
        </is>
      </c>
      <c r="G291" t="n">
        <v>4.2</v>
      </c>
      <c r="H291" t="n">
        <v>0</v>
      </c>
      <c r="I291" t="n">
        <v>0</v>
      </c>
      <c r="J291" t="n">
        <v>0</v>
      </c>
      <c r="K291" t="n">
        <v>0</v>
      </c>
      <c r="L291" t="n">
        <v>0</v>
      </c>
      <c r="M291" t="n">
        <v>0</v>
      </c>
      <c r="N291" t="n">
        <v>0</v>
      </c>
      <c r="O291" t="n">
        <v>0</v>
      </c>
      <c r="P291" t="n">
        <v>0</v>
      </c>
      <c r="Q291" t="n">
        <v>0</v>
      </c>
      <c r="R291" s="2" t="inlineStr"/>
    </row>
    <row r="292" ht="15" customHeight="1">
      <c r="A292" t="inlineStr">
        <is>
          <t>A 29691-2025</t>
        </is>
      </c>
      <c r="B292" s="1" t="n">
        <v>45825.53645833334</v>
      </c>
      <c r="C292" s="1" t="n">
        <v>45996</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60541-2024</t>
        </is>
      </c>
      <c r="B293" s="1" t="n">
        <v>45643</v>
      </c>
      <c r="C293" s="1" t="n">
        <v>45996</v>
      </c>
      <c r="D293" t="inlineStr">
        <is>
          <t>VÄSTMANLANDS LÄN</t>
        </is>
      </c>
      <c r="E293" t="inlineStr">
        <is>
          <t>SALA</t>
        </is>
      </c>
      <c r="G293" t="n">
        <v>10.6</v>
      </c>
      <c r="H293" t="n">
        <v>0</v>
      </c>
      <c r="I293" t="n">
        <v>0</v>
      </c>
      <c r="J293" t="n">
        <v>0</v>
      </c>
      <c r="K293" t="n">
        <v>0</v>
      </c>
      <c r="L293" t="n">
        <v>0</v>
      </c>
      <c r="M293" t="n">
        <v>0</v>
      </c>
      <c r="N293" t="n">
        <v>0</v>
      </c>
      <c r="O293" t="n">
        <v>0</v>
      </c>
      <c r="P293" t="n">
        <v>0</v>
      </c>
      <c r="Q293" t="n">
        <v>0</v>
      </c>
      <c r="R293" s="2" t="inlineStr"/>
    </row>
    <row r="294" ht="15" customHeight="1">
      <c r="A294" t="inlineStr">
        <is>
          <t>A 60548-2024</t>
        </is>
      </c>
      <c r="B294" s="1" t="n">
        <v>45643.80978009259</v>
      </c>
      <c r="C294" s="1" t="n">
        <v>45996</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7197-2025</t>
        </is>
      </c>
      <c r="B295" s="1" t="n">
        <v>45702</v>
      </c>
      <c r="C295" s="1" t="n">
        <v>45996</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26761-2023</t>
        </is>
      </c>
      <c r="B296" s="1" t="n">
        <v>45093</v>
      </c>
      <c r="C296" s="1" t="n">
        <v>45996</v>
      </c>
      <c r="D296" t="inlineStr">
        <is>
          <t>VÄSTMANLANDS LÄN</t>
        </is>
      </c>
      <c r="E296" t="inlineStr">
        <is>
          <t>SALA</t>
        </is>
      </c>
      <c r="G296" t="n">
        <v>4.3</v>
      </c>
      <c r="H296" t="n">
        <v>0</v>
      </c>
      <c r="I296" t="n">
        <v>0</v>
      </c>
      <c r="J296" t="n">
        <v>0</v>
      </c>
      <c r="K296" t="n">
        <v>0</v>
      </c>
      <c r="L296" t="n">
        <v>0</v>
      </c>
      <c r="M296" t="n">
        <v>0</v>
      </c>
      <c r="N296" t="n">
        <v>0</v>
      </c>
      <c r="O296" t="n">
        <v>0</v>
      </c>
      <c r="P296" t="n">
        <v>0</v>
      </c>
      <c r="Q296" t="n">
        <v>0</v>
      </c>
      <c r="R296" s="2" t="inlineStr"/>
    </row>
    <row r="297" ht="15" customHeight="1">
      <c r="A297" t="inlineStr">
        <is>
          <t>A 29826-2025</t>
        </is>
      </c>
      <c r="B297" s="1" t="n">
        <v>45825.85761574074</v>
      </c>
      <c r="C297" s="1" t="n">
        <v>45996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55035-2023</t>
        </is>
      </c>
      <c r="B298" s="1" t="n">
        <v>45229</v>
      </c>
      <c r="C298" s="1" t="n">
        <v>45996</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39167-2025</t>
        </is>
      </c>
      <c r="B299" s="1" t="n">
        <v>45888</v>
      </c>
      <c r="C299" s="1" t="n">
        <v>45996</v>
      </c>
      <c r="D299" t="inlineStr">
        <is>
          <t>VÄSTMANLANDS LÄN</t>
        </is>
      </c>
      <c r="E299" t="inlineStr">
        <is>
          <t>SALA</t>
        </is>
      </c>
      <c r="G299" t="n">
        <v>5.5</v>
      </c>
      <c r="H299" t="n">
        <v>0</v>
      </c>
      <c r="I299" t="n">
        <v>0</v>
      </c>
      <c r="J299" t="n">
        <v>0</v>
      </c>
      <c r="K299" t="n">
        <v>0</v>
      </c>
      <c r="L299" t="n">
        <v>0</v>
      </c>
      <c r="M299" t="n">
        <v>0</v>
      </c>
      <c r="N299" t="n">
        <v>0</v>
      </c>
      <c r="O299" t="n">
        <v>0</v>
      </c>
      <c r="P299" t="n">
        <v>0</v>
      </c>
      <c r="Q299" t="n">
        <v>0</v>
      </c>
      <c r="R299" s="2" t="inlineStr"/>
    </row>
    <row r="300" ht="15" customHeight="1">
      <c r="A300" t="inlineStr">
        <is>
          <t>A 39182-2025</t>
        </is>
      </c>
      <c r="B300" s="1" t="n">
        <v>45888.66204861111</v>
      </c>
      <c r="C300" s="1" t="n">
        <v>45996</v>
      </c>
      <c r="D300" t="inlineStr">
        <is>
          <t>VÄSTMANLANDS LÄN</t>
        </is>
      </c>
      <c r="E300" t="inlineStr">
        <is>
          <t>SALA</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60249-2023</t>
        </is>
      </c>
      <c r="B301" s="1" t="n">
        <v>45258</v>
      </c>
      <c r="C301" s="1" t="n">
        <v>45996</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13752-2025</t>
        </is>
      </c>
      <c r="B302" s="1" t="n">
        <v>45737.41416666667</v>
      </c>
      <c r="C302" s="1" t="n">
        <v>45996</v>
      </c>
      <c r="D302" t="inlineStr">
        <is>
          <t>VÄSTMANLANDS LÄN</t>
        </is>
      </c>
      <c r="E302" t="inlineStr">
        <is>
          <t>SALA</t>
        </is>
      </c>
      <c r="G302" t="n">
        <v>0.4</v>
      </c>
      <c r="H302" t="n">
        <v>0</v>
      </c>
      <c r="I302" t="n">
        <v>0</v>
      </c>
      <c r="J302" t="n">
        <v>0</v>
      </c>
      <c r="K302" t="n">
        <v>0</v>
      </c>
      <c r="L302" t="n">
        <v>0</v>
      </c>
      <c r="M302" t="n">
        <v>0</v>
      </c>
      <c r="N302" t="n">
        <v>0</v>
      </c>
      <c r="O302" t="n">
        <v>0</v>
      </c>
      <c r="P302" t="n">
        <v>0</v>
      </c>
      <c r="Q302" t="n">
        <v>0</v>
      </c>
      <c r="R302" s="2" t="inlineStr"/>
    </row>
    <row r="303" ht="15" customHeight="1">
      <c r="A303" t="inlineStr">
        <is>
          <t>A 2927-2024</t>
        </is>
      </c>
      <c r="B303" s="1" t="n">
        <v>45315.58989583333</v>
      </c>
      <c r="C303" s="1" t="n">
        <v>45996</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26854-2024</t>
        </is>
      </c>
      <c r="B304" s="1" t="n">
        <v>45470</v>
      </c>
      <c r="C304" s="1" t="n">
        <v>45996</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31597-2024</t>
        </is>
      </c>
      <c r="B305" s="1" t="n">
        <v>45506</v>
      </c>
      <c r="C305" s="1" t="n">
        <v>45996</v>
      </c>
      <c r="D305" t="inlineStr">
        <is>
          <t>VÄSTMANLANDS LÄN</t>
        </is>
      </c>
      <c r="E305" t="inlineStr">
        <is>
          <t>SALA</t>
        </is>
      </c>
      <c r="G305" t="n">
        <v>2.4</v>
      </c>
      <c r="H305" t="n">
        <v>0</v>
      </c>
      <c r="I305" t="n">
        <v>0</v>
      </c>
      <c r="J305" t="n">
        <v>0</v>
      </c>
      <c r="K305" t="n">
        <v>0</v>
      </c>
      <c r="L305" t="n">
        <v>0</v>
      </c>
      <c r="M305" t="n">
        <v>0</v>
      </c>
      <c r="N305" t="n">
        <v>0</v>
      </c>
      <c r="O305" t="n">
        <v>0</v>
      </c>
      <c r="P305" t="n">
        <v>0</v>
      </c>
      <c r="Q305" t="n">
        <v>0</v>
      </c>
      <c r="R305" s="2" t="inlineStr"/>
    </row>
    <row r="306" ht="15" customHeight="1">
      <c r="A306" t="inlineStr">
        <is>
          <t>A 31599-2024</t>
        </is>
      </c>
      <c r="B306" s="1" t="n">
        <v>45506</v>
      </c>
      <c r="C306" s="1" t="n">
        <v>45996</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31601-2024</t>
        </is>
      </c>
      <c r="B307" s="1" t="n">
        <v>45506</v>
      </c>
      <c r="C307" s="1" t="n">
        <v>45996</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31608-2024</t>
        </is>
      </c>
      <c r="B308" s="1" t="n">
        <v>45506</v>
      </c>
      <c r="C308" s="1" t="n">
        <v>45996</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31612-2024</t>
        </is>
      </c>
      <c r="B309" s="1" t="n">
        <v>45506</v>
      </c>
      <c r="C309" s="1" t="n">
        <v>45996</v>
      </c>
      <c r="D309" t="inlineStr">
        <is>
          <t>VÄSTMANLANDS LÄN</t>
        </is>
      </c>
      <c r="E309" t="inlineStr">
        <is>
          <t>SALA</t>
        </is>
      </c>
      <c r="G309" t="n">
        <v>3.2</v>
      </c>
      <c r="H309" t="n">
        <v>0</v>
      </c>
      <c r="I309" t="n">
        <v>0</v>
      </c>
      <c r="J309" t="n">
        <v>0</v>
      </c>
      <c r="K309" t="n">
        <v>0</v>
      </c>
      <c r="L309" t="n">
        <v>0</v>
      </c>
      <c r="M309" t="n">
        <v>0</v>
      </c>
      <c r="N309" t="n">
        <v>0</v>
      </c>
      <c r="O309" t="n">
        <v>0</v>
      </c>
      <c r="P309" t="n">
        <v>0</v>
      </c>
      <c r="Q309" t="n">
        <v>0</v>
      </c>
      <c r="R309" s="2" t="inlineStr"/>
    </row>
    <row r="310" ht="15" customHeight="1">
      <c r="A310" t="inlineStr">
        <is>
          <t>A 31608-2025</t>
        </is>
      </c>
      <c r="B310" s="1" t="n">
        <v>45833</v>
      </c>
      <c r="C310" s="1" t="n">
        <v>45996</v>
      </c>
      <c r="D310" t="inlineStr">
        <is>
          <t>VÄSTMANLANDS LÄN</t>
        </is>
      </c>
      <c r="E310" t="inlineStr">
        <is>
          <t>SALA</t>
        </is>
      </c>
      <c r="G310" t="n">
        <v>6.1</v>
      </c>
      <c r="H310" t="n">
        <v>0</v>
      </c>
      <c r="I310" t="n">
        <v>0</v>
      </c>
      <c r="J310" t="n">
        <v>0</v>
      </c>
      <c r="K310" t="n">
        <v>0</v>
      </c>
      <c r="L310" t="n">
        <v>0</v>
      </c>
      <c r="M310" t="n">
        <v>0</v>
      </c>
      <c r="N310" t="n">
        <v>0</v>
      </c>
      <c r="O310" t="n">
        <v>0</v>
      </c>
      <c r="P310" t="n">
        <v>0</v>
      </c>
      <c r="Q310" t="n">
        <v>0</v>
      </c>
      <c r="R310" s="2" t="inlineStr"/>
    </row>
    <row r="311" ht="15" customHeight="1">
      <c r="A311" t="inlineStr">
        <is>
          <t>A 30866-2025</t>
        </is>
      </c>
      <c r="B311" s="1" t="n">
        <v>45832.3246875</v>
      </c>
      <c r="C311" s="1" t="n">
        <v>45996</v>
      </c>
      <c r="D311" t="inlineStr">
        <is>
          <t>VÄSTMANLANDS LÄN</t>
        </is>
      </c>
      <c r="E311" t="inlineStr">
        <is>
          <t>SALA</t>
        </is>
      </c>
      <c r="G311" t="n">
        <v>14.3</v>
      </c>
      <c r="H311" t="n">
        <v>0</v>
      </c>
      <c r="I311" t="n">
        <v>0</v>
      </c>
      <c r="J311" t="n">
        <v>0</v>
      </c>
      <c r="K311" t="n">
        <v>0</v>
      </c>
      <c r="L311" t="n">
        <v>0</v>
      </c>
      <c r="M311" t="n">
        <v>0</v>
      </c>
      <c r="N311" t="n">
        <v>0</v>
      </c>
      <c r="O311" t="n">
        <v>0</v>
      </c>
      <c r="P311" t="n">
        <v>0</v>
      </c>
      <c r="Q311" t="n">
        <v>0</v>
      </c>
      <c r="R311" s="2" t="inlineStr"/>
    </row>
    <row r="312" ht="15" customHeight="1">
      <c r="A312" t="inlineStr">
        <is>
          <t>A 30874-2025</t>
        </is>
      </c>
      <c r="B312" s="1" t="n">
        <v>45832.34430555555</v>
      </c>
      <c r="C312" s="1" t="n">
        <v>45996</v>
      </c>
      <c r="D312" t="inlineStr">
        <is>
          <t>VÄSTMANLANDS LÄN</t>
        </is>
      </c>
      <c r="E312" t="inlineStr">
        <is>
          <t>SALA</t>
        </is>
      </c>
      <c r="G312" t="n">
        <v>8.4</v>
      </c>
      <c r="H312" t="n">
        <v>0</v>
      </c>
      <c r="I312" t="n">
        <v>0</v>
      </c>
      <c r="J312" t="n">
        <v>0</v>
      </c>
      <c r="K312" t="n">
        <v>0</v>
      </c>
      <c r="L312" t="n">
        <v>0</v>
      </c>
      <c r="M312" t="n">
        <v>0</v>
      </c>
      <c r="N312" t="n">
        <v>0</v>
      </c>
      <c r="O312" t="n">
        <v>0</v>
      </c>
      <c r="P312" t="n">
        <v>0</v>
      </c>
      <c r="Q312" t="n">
        <v>0</v>
      </c>
      <c r="R312" s="2" t="inlineStr"/>
    </row>
    <row r="313" ht="15" customHeight="1">
      <c r="A313" t="inlineStr">
        <is>
          <t>A 48570-2024</t>
        </is>
      </c>
      <c r="B313" s="1" t="n">
        <v>45591</v>
      </c>
      <c r="C313" s="1" t="n">
        <v>45996</v>
      </c>
      <c r="D313" t="inlineStr">
        <is>
          <t>VÄSTMANLANDS LÄN</t>
        </is>
      </c>
      <c r="E313" t="inlineStr">
        <is>
          <t>SALA</t>
        </is>
      </c>
      <c r="G313" t="n">
        <v>3</v>
      </c>
      <c r="H313" t="n">
        <v>0</v>
      </c>
      <c r="I313" t="n">
        <v>0</v>
      </c>
      <c r="J313" t="n">
        <v>0</v>
      </c>
      <c r="K313" t="n">
        <v>0</v>
      </c>
      <c r="L313" t="n">
        <v>0</v>
      </c>
      <c r="M313" t="n">
        <v>0</v>
      </c>
      <c r="N313" t="n">
        <v>0</v>
      </c>
      <c r="O313" t="n">
        <v>0</v>
      </c>
      <c r="P313" t="n">
        <v>0</v>
      </c>
      <c r="Q313" t="n">
        <v>0</v>
      </c>
      <c r="R313" s="2" t="inlineStr"/>
    </row>
    <row r="314" ht="15" customHeight="1">
      <c r="A314" t="inlineStr">
        <is>
          <t>A 52500-2024</t>
        </is>
      </c>
      <c r="B314" s="1" t="n">
        <v>45609</v>
      </c>
      <c r="C314" s="1" t="n">
        <v>45996</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10812-2021</t>
        </is>
      </c>
      <c r="B315" s="1" t="n">
        <v>44259</v>
      </c>
      <c r="C315" s="1" t="n">
        <v>45996</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31573-2025</t>
        </is>
      </c>
      <c r="B316" s="1" t="n">
        <v>45833</v>
      </c>
      <c r="C316" s="1" t="n">
        <v>45996</v>
      </c>
      <c r="D316" t="inlineStr">
        <is>
          <t>VÄSTMANLANDS LÄN</t>
        </is>
      </c>
      <c r="E316" t="inlineStr">
        <is>
          <t>SALA</t>
        </is>
      </c>
      <c r="G316" t="n">
        <v>0.6</v>
      </c>
      <c r="H316" t="n">
        <v>0</v>
      </c>
      <c r="I316" t="n">
        <v>0</v>
      </c>
      <c r="J316" t="n">
        <v>0</v>
      </c>
      <c r="K316" t="n">
        <v>0</v>
      </c>
      <c r="L316" t="n">
        <v>0</v>
      </c>
      <c r="M316" t="n">
        <v>0</v>
      </c>
      <c r="N316" t="n">
        <v>0</v>
      </c>
      <c r="O316" t="n">
        <v>0</v>
      </c>
      <c r="P316" t="n">
        <v>0</v>
      </c>
      <c r="Q316" t="n">
        <v>0</v>
      </c>
      <c r="R316" s="2" t="inlineStr"/>
    </row>
    <row r="317" ht="15" customHeight="1">
      <c r="A317" t="inlineStr">
        <is>
          <t>A 31288-2025</t>
        </is>
      </c>
      <c r="B317" s="1" t="n">
        <v>45833</v>
      </c>
      <c r="C317" s="1" t="n">
        <v>45996</v>
      </c>
      <c r="D317" t="inlineStr">
        <is>
          <t>VÄSTMANLANDS LÄN</t>
        </is>
      </c>
      <c r="E317" t="inlineStr">
        <is>
          <t>SALA</t>
        </is>
      </c>
      <c r="G317" t="n">
        <v>3.1</v>
      </c>
      <c r="H317" t="n">
        <v>0</v>
      </c>
      <c r="I317" t="n">
        <v>0</v>
      </c>
      <c r="J317" t="n">
        <v>0</v>
      </c>
      <c r="K317" t="n">
        <v>0</v>
      </c>
      <c r="L317" t="n">
        <v>0</v>
      </c>
      <c r="M317" t="n">
        <v>0</v>
      </c>
      <c r="N317" t="n">
        <v>0</v>
      </c>
      <c r="O317" t="n">
        <v>0</v>
      </c>
      <c r="P317" t="n">
        <v>0</v>
      </c>
      <c r="Q317" t="n">
        <v>0</v>
      </c>
      <c r="R317" s="2" t="inlineStr"/>
    </row>
    <row r="318" ht="15" customHeight="1">
      <c r="A318" t="inlineStr">
        <is>
          <t>A 31554-2025</t>
        </is>
      </c>
      <c r="B318" s="1" t="n">
        <v>45833</v>
      </c>
      <c r="C318" s="1" t="n">
        <v>45996</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57883-2024</t>
        </is>
      </c>
      <c r="B319" s="1" t="n">
        <v>45630</v>
      </c>
      <c r="C319" s="1" t="n">
        <v>45996</v>
      </c>
      <c r="D319" t="inlineStr">
        <is>
          <t>VÄSTMANLANDS LÄN</t>
        </is>
      </c>
      <c r="E319" t="inlineStr">
        <is>
          <t>SALA</t>
        </is>
      </c>
      <c r="G319" t="n">
        <v>5.4</v>
      </c>
      <c r="H319" t="n">
        <v>0</v>
      </c>
      <c r="I319" t="n">
        <v>0</v>
      </c>
      <c r="J319" t="n">
        <v>0</v>
      </c>
      <c r="K319" t="n">
        <v>0</v>
      </c>
      <c r="L319" t="n">
        <v>0</v>
      </c>
      <c r="M319" t="n">
        <v>0</v>
      </c>
      <c r="N319" t="n">
        <v>0</v>
      </c>
      <c r="O319" t="n">
        <v>0</v>
      </c>
      <c r="P319" t="n">
        <v>0</v>
      </c>
      <c r="Q319" t="n">
        <v>0</v>
      </c>
      <c r="R319" s="2" t="inlineStr"/>
    </row>
    <row r="320" ht="15" customHeight="1">
      <c r="A320" t="inlineStr">
        <is>
          <t>A 30899-2025</t>
        </is>
      </c>
      <c r="B320" s="1" t="n">
        <v>45832.35767361111</v>
      </c>
      <c r="C320" s="1" t="n">
        <v>45996</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16769-2024</t>
        </is>
      </c>
      <c r="B321" s="1" t="n">
        <v>45411.38738425926</v>
      </c>
      <c r="C321" s="1" t="n">
        <v>45996</v>
      </c>
      <c r="D321" t="inlineStr">
        <is>
          <t>VÄSTMANLANDS LÄN</t>
        </is>
      </c>
      <c r="E321" t="inlineStr">
        <is>
          <t>SALA</t>
        </is>
      </c>
      <c r="G321" t="n">
        <v>12</v>
      </c>
      <c r="H321" t="n">
        <v>0</v>
      </c>
      <c r="I321" t="n">
        <v>0</v>
      </c>
      <c r="J321" t="n">
        <v>0</v>
      </c>
      <c r="K321" t="n">
        <v>0</v>
      </c>
      <c r="L321" t="n">
        <v>0</v>
      </c>
      <c r="M321" t="n">
        <v>0</v>
      </c>
      <c r="N321" t="n">
        <v>0</v>
      </c>
      <c r="O321" t="n">
        <v>0</v>
      </c>
      <c r="P321" t="n">
        <v>0</v>
      </c>
      <c r="Q321" t="n">
        <v>0</v>
      </c>
      <c r="R321" s="2" t="inlineStr"/>
    </row>
    <row r="322" ht="15" customHeight="1">
      <c r="A322" t="inlineStr">
        <is>
          <t>A 18877-2023</t>
        </is>
      </c>
      <c r="B322" s="1" t="n">
        <v>45044</v>
      </c>
      <c r="C322" s="1" t="n">
        <v>45996</v>
      </c>
      <c r="D322" t="inlineStr">
        <is>
          <t>VÄSTMANLANDS LÄN</t>
        </is>
      </c>
      <c r="E322" t="inlineStr">
        <is>
          <t>SALA</t>
        </is>
      </c>
      <c r="F322" t="inlineStr">
        <is>
          <t>Kommuner</t>
        </is>
      </c>
      <c r="G322" t="n">
        <v>4.4</v>
      </c>
      <c r="H322" t="n">
        <v>0</v>
      </c>
      <c r="I322" t="n">
        <v>0</v>
      </c>
      <c r="J322" t="n">
        <v>0</v>
      </c>
      <c r="K322" t="n">
        <v>0</v>
      </c>
      <c r="L322" t="n">
        <v>0</v>
      </c>
      <c r="M322" t="n">
        <v>0</v>
      </c>
      <c r="N322" t="n">
        <v>0</v>
      </c>
      <c r="O322" t="n">
        <v>0</v>
      </c>
      <c r="P322" t="n">
        <v>0</v>
      </c>
      <c r="Q322" t="n">
        <v>0</v>
      </c>
      <c r="R322" s="2" t="inlineStr"/>
    </row>
    <row r="323" ht="15" customHeight="1">
      <c r="A323" t="inlineStr">
        <is>
          <t>A 56949-2023</t>
        </is>
      </c>
      <c r="B323" s="1" t="n">
        <v>45244.61589120371</v>
      </c>
      <c r="C323" s="1" t="n">
        <v>45996</v>
      </c>
      <c r="D323" t="inlineStr">
        <is>
          <t>VÄSTMANLANDS LÄN</t>
        </is>
      </c>
      <c r="E323" t="inlineStr">
        <is>
          <t>SALA</t>
        </is>
      </c>
      <c r="G323" t="n">
        <v>4.7</v>
      </c>
      <c r="H323" t="n">
        <v>0</v>
      </c>
      <c r="I323" t="n">
        <v>0</v>
      </c>
      <c r="J323" t="n">
        <v>0</v>
      </c>
      <c r="K323" t="n">
        <v>0</v>
      </c>
      <c r="L323" t="n">
        <v>0</v>
      </c>
      <c r="M323" t="n">
        <v>0</v>
      </c>
      <c r="N323" t="n">
        <v>0</v>
      </c>
      <c r="O323" t="n">
        <v>0</v>
      </c>
      <c r="P323" t="n">
        <v>0</v>
      </c>
      <c r="Q323" t="n">
        <v>0</v>
      </c>
      <c r="R323" s="2" t="inlineStr"/>
    </row>
    <row r="324" ht="15" customHeight="1">
      <c r="A324" t="inlineStr">
        <is>
          <t>A 31065-2025</t>
        </is>
      </c>
      <c r="B324" s="1" t="n">
        <v>45832.57571759259</v>
      </c>
      <c r="C324" s="1" t="n">
        <v>45996</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44544-2024</t>
        </is>
      </c>
      <c r="B325" s="1" t="n">
        <v>45574.46119212963</v>
      </c>
      <c r="C325" s="1" t="n">
        <v>45996</v>
      </c>
      <c r="D325" t="inlineStr">
        <is>
          <t>VÄSTMANLANDS LÄN</t>
        </is>
      </c>
      <c r="E325" t="inlineStr">
        <is>
          <t>SALA</t>
        </is>
      </c>
      <c r="G325" t="n">
        <v>3.3</v>
      </c>
      <c r="H325" t="n">
        <v>0</v>
      </c>
      <c r="I325" t="n">
        <v>0</v>
      </c>
      <c r="J325" t="n">
        <v>0</v>
      </c>
      <c r="K325" t="n">
        <v>0</v>
      </c>
      <c r="L325" t="n">
        <v>0</v>
      </c>
      <c r="M325" t="n">
        <v>0</v>
      </c>
      <c r="N325" t="n">
        <v>0</v>
      </c>
      <c r="O325" t="n">
        <v>0</v>
      </c>
      <c r="P325" t="n">
        <v>0</v>
      </c>
      <c r="Q325" t="n">
        <v>0</v>
      </c>
      <c r="R325" s="2" t="inlineStr"/>
    </row>
    <row r="326" ht="15" customHeight="1">
      <c r="A326" t="inlineStr">
        <is>
          <t>A 60379-2022</t>
        </is>
      </c>
      <c r="B326" s="1" t="n">
        <v>44910</v>
      </c>
      <c r="C326" s="1" t="n">
        <v>45996</v>
      </c>
      <c r="D326" t="inlineStr">
        <is>
          <t>VÄSTMANLANDS LÄN</t>
        </is>
      </c>
      <c r="E326" t="inlineStr">
        <is>
          <t>SALA</t>
        </is>
      </c>
      <c r="F326" t="inlineStr">
        <is>
          <t>Kyrkan</t>
        </is>
      </c>
      <c r="G326" t="n">
        <v>2.5</v>
      </c>
      <c r="H326" t="n">
        <v>0</v>
      </c>
      <c r="I326" t="n">
        <v>0</v>
      </c>
      <c r="J326" t="n">
        <v>0</v>
      </c>
      <c r="K326" t="n">
        <v>0</v>
      </c>
      <c r="L326" t="n">
        <v>0</v>
      </c>
      <c r="M326" t="n">
        <v>0</v>
      </c>
      <c r="N326" t="n">
        <v>0</v>
      </c>
      <c r="O326" t="n">
        <v>0</v>
      </c>
      <c r="P326" t="n">
        <v>0</v>
      </c>
      <c r="Q326" t="n">
        <v>0</v>
      </c>
      <c r="R326" s="2" t="inlineStr"/>
    </row>
    <row r="327" ht="15" customHeight="1">
      <c r="A327" t="inlineStr">
        <is>
          <t>A 56547-2022</t>
        </is>
      </c>
      <c r="B327" s="1" t="n">
        <v>44893.48284722222</v>
      </c>
      <c r="C327" s="1" t="n">
        <v>45996</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row>
    <row r="328" ht="15" customHeight="1">
      <c r="A328" t="inlineStr">
        <is>
          <t>A 29542-2023</t>
        </is>
      </c>
      <c r="B328" s="1" t="n">
        <v>45098</v>
      </c>
      <c r="C328" s="1" t="n">
        <v>45996</v>
      </c>
      <c r="D328" t="inlineStr">
        <is>
          <t>VÄSTMANLANDS LÄN</t>
        </is>
      </c>
      <c r="E328" t="inlineStr">
        <is>
          <t>SALA</t>
        </is>
      </c>
      <c r="G328" t="n">
        <v>4.8</v>
      </c>
      <c r="H328" t="n">
        <v>0</v>
      </c>
      <c r="I328" t="n">
        <v>0</v>
      </c>
      <c r="J328" t="n">
        <v>0</v>
      </c>
      <c r="K328" t="n">
        <v>0</v>
      </c>
      <c r="L328" t="n">
        <v>0</v>
      </c>
      <c r="M328" t="n">
        <v>0</v>
      </c>
      <c r="N328" t="n">
        <v>0</v>
      </c>
      <c r="O328" t="n">
        <v>0</v>
      </c>
      <c r="P328" t="n">
        <v>0</v>
      </c>
      <c r="Q328" t="n">
        <v>0</v>
      </c>
      <c r="R328" s="2" t="inlineStr"/>
    </row>
    <row r="329" ht="15" customHeight="1">
      <c r="A329" t="inlineStr">
        <is>
          <t>A 31296-2025</t>
        </is>
      </c>
      <c r="B329" s="1" t="n">
        <v>45833.36765046296</v>
      </c>
      <c r="C329" s="1" t="n">
        <v>45996</v>
      </c>
      <c r="D329" t="inlineStr">
        <is>
          <t>VÄSTMANLANDS LÄN</t>
        </is>
      </c>
      <c r="E329" t="inlineStr">
        <is>
          <t>SALA</t>
        </is>
      </c>
      <c r="G329" t="n">
        <v>3.7</v>
      </c>
      <c r="H329" t="n">
        <v>0</v>
      </c>
      <c r="I329" t="n">
        <v>0</v>
      </c>
      <c r="J329" t="n">
        <v>0</v>
      </c>
      <c r="K329" t="n">
        <v>0</v>
      </c>
      <c r="L329" t="n">
        <v>0</v>
      </c>
      <c r="M329" t="n">
        <v>0</v>
      </c>
      <c r="N329" t="n">
        <v>0</v>
      </c>
      <c r="O329" t="n">
        <v>0</v>
      </c>
      <c r="P329" t="n">
        <v>0</v>
      </c>
      <c r="Q329" t="n">
        <v>0</v>
      </c>
      <c r="R329" s="2" t="inlineStr"/>
    </row>
    <row r="330" ht="15" customHeight="1">
      <c r="A330" t="inlineStr">
        <is>
          <t>A 31748-2025</t>
        </is>
      </c>
      <c r="B330" s="1" t="n">
        <v>45834</v>
      </c>
      <c r="C330" s="1" t="n">
        <v>45996</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96-2024</t>
        </is>
      </c>
      <c r="B331" s="1" t="n">
        <v>45293.85872685185</v>
      </c>
      <c r="C331" s="1" t="n">
        <v>45996</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32210-2025</t>
        </is>
      </c>
      <c r="B332" s="1" t="n">
        <v>45835</v>
      </c>
      <c r="C332" s="1" t="n">
        <v>45996</v>
      </c>
      <c r="D332" t="inlineStr">
        <is>
          <t>VÄSTMANLANDS LÄN</t>
        </is>
      </c>
      <c r="E332" t="inlineStr">
        <is>
          <t>SALA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54118-2023</t>
        </is>
      </c>
      <c r="B333" s="1" t="n">
        <v>45232</v>
      </c>
      <c r="C333" s="1" t="n">
        <v>45996</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16638-2023</t>
        </is>
      </c>
      <c r="B334" s="1" t="n">
        <v>45027</v>
      </c>
      <c r="C334" s="1" t="n">
        <v>45996</v>
      </c>
      <c r="D334" t="inlineStr">
        <is>
          <t>VÄSTMANLANDS LÄN</t>
        </is>
      </c>
      <c r="E334" t="inlineStr">
        <is>
          <t>SALA</t>
        </is>
      </c>
      <c r="G334" t="n">
        <v>14.8</v>
      </c>
      <c r="H334" t="n">
        <v>0</v>
      </c>
      <c r="I334" t="n">
        <v>0</v>
      </c>
      <c r="J334" t="n">
        <v>0</v>
      </c>
      <c r="K334" t="n">
        <v>0</v>
      </c>
      <c r="L334" t="n">
        <v>0</v>
      </c>
      <c r="M334" t="n">
        <v>0</v>
      </c>
      <c r="N334" t="n">
        <v>0</v>
      </c>
      <c r="O334" t="n">
        <v>0</v>
      </c>
      <c r="P334" t="n">
        <v>0</v>
      </c>
      <c r="Q334" t="n">
        <v>0</v>
      </c>
      <c r="R334" s="2" t="inlineStr"/>
    </row>
    <row r="335" ht="15" customHeight="1">
      <c r="A335" t="inlineStr">
        <is>
          <t>A 31610-2025</t>
        </is>
      </c>
      <c r="B335" s="1" t="n">
        <v>45833.78650462963</v>
      </c>
      <c r="C335" s="1" t="n">
        <v>45996</v>
      </c>
      <c r="D335" t="inlineStr">
        <is>
          <t>VÄSTMANLANDS LÄN</t>
        </is>
      </c>
      <c r="E335" t="inlineStr">
        <is>
          <t>SALA</t>
        </is>
      </c>
      <c r="G335" t="n">
        <v>8</v>
      </c>
      <c r="H335" t="n">
        <v>0</v>
      </c>
      <c r="I335" t="n">
        <v>0</v>
      </c>
      <c r="J335" t="n">
        <v>0</v>
      </c>
      <c r="K335" t="n">
        <v>0</v>
      </c>
      <c r="L335" t="n">
        <v>0</v>
      </c>
      <c r="M335" t="n">
        <v>0</v>
      </c>
      <c r="N335" t="n">
        <v>0</v>
      </c>
      <c r="O335" t="n">
        <v>0</v>
      </c>
      <c r="P335" t="n">
        <v>0</v>
      </c>
      <c r="Q335" t="n">
        <v>0</v>
      </c>
      <c r="R335" s="2" t="inlineStr"/>
    </row>
    <row r="336" ht="15" customHeight="1">
      <c r="A336" t="inlineStr">
        <is>
          <t>A 37190-2024</t>
        </is>
      </c>
      <c r="B336" s="1" t="n">
        <v>45539</v>
      </c>
      <c r="C336" s="1" t="n">
        <v>45996</v>
      </c>
      <c r="D336" t="inlineStr">
        <is>
          <t>VÄSTMANLANDS LÄN</t>
        </is>
      </c>
      <c r="E336" t="inlineStr">
        <is>
          <t>SALA</t>
        </is>
      </c>
      <c r="G336" t="n">
        <v>0.9</v>
      </c>
      <c r="H336" t="n">
        <v>0</v>
      </c>
      <c r="I336" t="n">
        <v>0</v>
      </c>
      <c r="J336" t="n">
        <v>0</v>
      </c>
      <c r="K336" t="n">
        <v>0</v>
      </c>
      <c r="L336" t="n">
        <v>0</v>
      </c>
      <c r="M336" t="n">
        <v>0</v>
      </c>
      <c r="N336" t="n">
        <v>0</v>
      </c>
      <c r="O336" t="n">
        <v>0</v>
      </c>
      <c r="P336" t="n">
        <v>0</v>
      </c>
      <c r="Q336" t="n">
        <v>0</v>
      </c>
      <c r="R336" s="2" t="inlineStr"/>
    </row>
    <row r="337" ht="15" customHeight="1">
      <c r="A337" t="inlineStr">
        <is>
          <t>A 32201-2025</t>
        </is>
      </c>
      <c r="B337" s="1" t="n">
        <v>45835</v>
      </c>
      <c r="C337" s="1" t="n">
        <v>45996</v>
      </c>
      <c r="D337" t="inlineStr">
        <is>
          <t>VÄSTMANLANDS LÄN</t>
        </is>
      </c>
      <c r="E337" t="inlineStr">
        <is>
          <t>SALA</t>
        </is>
      </c>
      <c r="F337" t="inlineStr">
        <is>
          <t>Bergvik skog öst AB</t>
        </is>
      </c>
      <c r="G337" t="n">
        <v>1.8</v>
      </c>
      <c r="H337" t="n">
        <v>0</v>
      </c>
      <c r="I337" t="n">
        <v>0</v>
      </c>
      <c r="J337" t="n">
        <v>0</v>
      </c>
      <c r="K337" t="n">
        <v>0</v>
      </c>
      <c r="L337" t="n">
        <v>0</v>
      </c>
      <c r="M337" t="n">
        <v>0</v>
      </c>
      <c r="N337" t="n">
        <v>0</v>
      </c>
      <c r="O337" t="n">
        <v>0</v>
      </c>
      <c r="P337" t="n">
        <v>0</v>
      </c>
      <c r="Q337" t="n">
        <v>0</v>
      </c>
      <c r="R337" s="2" t="inlineStr"/>
    </row>
    <row r="338" ht="15" customHeight="1">
      <c r="A338" t="inlineStr">
        <is>
          <t>A 31612-2025</t>
        </is>
      </c>
      <c r="B338" s="1" t="n">
        <v>45833.80056712963</v>
      </c>
      <c r="C338" s="1" t="n">
        <v>45996</v>
      </c>
      <c r="D338" t="inlineStr">
        <is>
          <t>VÄSTMANLANDS LÄN</t>
        </is>
      </c>
      <c r="E338" t="inlineStr">
        <is>
          <t>SALA</t>
        </is>
      </c>
      <c r="G338" t="n">
        <v>6.3</v>
      </c>
      <c r="H338" t="n">
        <v>0</v>
      </c>
      <c r="I338" t="n">
        <v>0</v>
      </c>
      <c r="J338" t="n">
        <v>0</v>
      </c>
      <c r="K338" t="n">
        <v>0</v>
      </c>
      <c r="L338" t="n">
        <v>0</v>
      </c>
      <c r="M338" t="n">
        <v>0</v>
      </c>
      <c r="N338" t="n">
        <v>0</v>
      </c>
      <c r="O338" t="n">
        <v>0</v>
      </c>
      <c r="P338" t="n">
        <v>0</v>
      </c>
      <c r="Q338" t="n">
        <v>0</v>
      </c>
      <c r="R338" s="2" t="inlineStr"/>
    </row>
    <row r="339" ht="15" customHeight="1">
      <c r="A339" t="inlineStr">
        <is>
          <t>A 32207-2025</t>
        </is>
      </c>
      <c r="B339" s="1" t="n">
        <v>45835</v>
      </c>
      <c r="C339" s="1" t="n">
        <v>45996</v>
      </c>
      <c r="D339" t="inlineStr">
        <is>
          <t>VÄSTMANLANDS LÄN</t>
        </is>
      </c>
      <c r="E339" t="inlineStr">
        <is>
          <t>SALA</t>
        </is>
      </c>
      <c r="F339" t="inlineStr">
        <is>
          <t>Bergvik skog öst AB</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31762-2025</t>
        </is>
      </c>
      <c r="B340" s="1" t="n">
        <v>45834.49288194445</v>
      </c>
      <c r="C340" s="1" t="n">
        <v>45996</v>
      </c>
      <c r="D340" t="inlineStr">
        <is>
          <t>VÄSTMANLANDS LÄN</t>
        </is>
      </c>
      <c r="E340" t="inlineStr">
        <is>
          <t>SALA</t>
        </is>
      </c>
      <c r="G340" t="n">
        <v>5.9</v>
      </c>
      <c r="H340" t="n">
        <v>0</v>
      </c>
      <c r="I340" t="n">
        <v>0</v>
      </c>
      <c r="J340" t="n">
        <v>0</v>
      </c>
      <c r="K340" t="n">
        <v>0</v>
      </c>
      <c r="L340" t="n">
        <v>0</v>
      </c>
      <c r="M340" t="n">
        <v>0</v>
      </c>
      <c r="N340" t="n">
        <v>0</v>
      </c>
      <c r="O340" t="n">
        <v>0</v>
      </c>
      <c r="P340" t="n">
        <v>0</v>
      </c>
      <c r="Q340" t="n">
        <v>0</v>
      </c>
      <c r="R340" s="2" t="inlineStr"/>
    </row>
    <row r="341" ht="15" customHeight="1">
      <c r="A341" t="inlineStr">
        <is>
          <t>A 31771-2025</t>
        </is>
      </c>
      <c r="B341" s="1" t="n">
        <v>45834.50910879629</v>
      </c>
      <c r="C341" s="1" t="n">
        <v>45996</v>
      </c>
      <c r="D341" t="inlineStr">
        <is>
          <t>VÄSTMANLANDS LÄN</t>
        </is>
      </c>
      <c r="E341" t="inlineStr">
        <is>
          <t>SALA</t>
        </is>
      </c>
      <c r="G341" t="n">
        <v>5.1</v>
      </c>
      <c r="H341" t="n">
        <v>0</v>
      </c>
      <c r="I341" t="n">
        <v>0</v>
      </c>
      <c r="J341" t="n">
        <v>0</v>
      </c>
      <c r="K341" t="n">
        <v>0</v>
      </c>
      <c r="L341" t="n">
        <v>0</v>
      </c>
      <c r="M341" t="n">
        <v>0</v>
      </c>
      <c r="N341" t="n">
        <v>0</v>
      </c>
      <c r="O341" t="n">
        <v>0</v>
      </c>
      <c r="P341" t="n">
        <v>0</v>
      </c>
      <c r="Q341" t="n">
        <v>0</v>
      </c>
      <c r="R341" s="2" t="inlineStr"/>
    </row>
    <row r="342" ht="15" customHeight="1">
      <c r="A342" t="inlineStr">
        <is>
          <t>A 32205-2025</t>
        </is>
      </c>
      <c r="B342" s="1" t="n">
        <v>45835</v>
      </c>
      <c r="C342" s="1" t="n">
        <v>45996</v>
      </c>
      <c r="D342" t="inlineStr">
        <is>
          <t>VÄSTMANLANDS LÄN</t>
        </is>
      </c>
      <c r="E342" t="inlineStr">
        <is>
          <t>SALA</t>
        </is>
      </c>
      <c r="F342" t="inlineStr">
        <is>
          <t>Bergvik skog öst AB</t>
        </is>
      </c>
      <c r="G342" t="n">
        <v>1.1</v>
      </c>
      <c r="H342" t="n">
        <v>0</v>
      </c>
      <c r="I342" t="n">
        <v>0</v>
      </c>
      <c r="J342" t="n">
        <v>0</v>
      </c>
      <c r="K342" t="n">
        <v>0</v>
      </c>
      <c r="L342" t="n">
        <v>0</v>
      </c>
      <c r="M342" t="n">
        <v>0</v>
      </c>
      <c r="N342" t="n">
        <v>0</v>
      </c>
      <c r="O342" t="n">
        <v>0</v>
      </c>
      <c r="P342" t="n">
        <v>0</v>
      </c>
      <c r="Q342" t="n">
        <v>0</v>
      </c>
      <c r="R342" s="2" t="inlineStr"/>
    </row>
    <row r="343" ht="15" customHeight="1">
      <c r="A343" t="inlineStr">
        <is>
          <t>A 34814-2021</t>
        </is>
      </c>
      <c r="B343" s="1" t="n">
        <v>44383</v>
      </c>
      <c r="C343" s="1" t="n">
        <v>45996</v>
      </c>
      <c r="D343" t="inlineStr">
        <is>
          <t>VÄSTMANLANDS LÄN</t>
        </is>
      </c>
      <c r="E343" t="inlineStr">
        <is>
          <t>SALA</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32286-2025</t>
        </is>
      </c>
      <c r="B344" s="1" t="n">
        <v>45835</v>
      </c>
      <c r="C344" s="1" t="n">
        <v>45996</v>
      </c>
      <c r="D344" t="inlineStr">
        <is>
          <t>VÄSTMANLANDS LÄN</t>
        </is>
      </c>
      <c r="E344" t="inlineStr">
        <is>
          <t>SALA</t>
        </is>
      </c>
      <c r="G344" t="n">
        <v>6.4</v>
      </c>
      <c r="H344" t="n">
        <v>0</v>
      </c>
      <c r="I344" t="n">
        <v>0</v>
      </c>
      <c r="J344" t="n">
        <v>0</v>
      </c>
      <c r="K344" t="n">
        <v>0</v>
      </c>
      <c r="L344" t="n">
        <v>0</v>
      </c>
      <c r="M344" t="n">
        <v>0</v>
      </c>
      <c r="N344" t="n">
        <v>0</v>
      </c>
      <c r="O344" t="n">
        <v>0</v>
      </c>
      <c r="P344" t="n">
        <v>0</v>
      </c>
      <c r="Q344" t="n">
        <v>0</v>
      </c>
      <c r="R344" s="2" t="inlineStr"/>
    </row>
    <row r="345" ht="15" customHeight="1">
      <c r="A345" t="inlineStr">
        <is>
          <t>A 25748-2022</t>
        </is>
      </c>
      <c r="B345" s="1" t="n">
        <v>44732</v>
      </c>
      <c r="C345" s="1" t="n">
        <v>45996</v>
      </c>
      <c r="D345" t="inlineStr">
        <is>
          <t>VÄSTMANLANDS LÄN</t>
        </is>
      </c>
      <c r="E345" t="inlineStr">
        <is>
          <t>SALA</t>
        </is>
      </c>
      <c r="G345" t="n">
        <v>7.7</v>
      </c>
      <c r="H345" t="n">
        <v>0</v>
      </c>
      <c r="I345" t="n">
        <v>0</v>
      </c>
      <c r="J345" t="n">
        <v>0</v>
      </c>
      <c r="K345" t="n">
        <v>0</v>
      </c>
      <c r="L345" t="n">
        <v>0</v>
      </c>
      <c r="M345" t="n">
        <v>0</v>
      </c>
      <c r="N345" t="n">
        <v>0</v>
      </c>
      <c r="O345" t="n">
        <v>0</v>
      </c>
      <c r="P345" t="n">
        <v>0</v>
      </c>
      <c r="Q345" t="n">
        <v>0</v>
      </c>
      <c r="R345" s="2" t="inlineStr"/>
    </row>
    <row r="346" ht="15" customHeight="1">
      <c r="A346" t="inlineStr">
        <is>
          <t>A 23222-2023</t>
        </is>
      </c>
      <c r="B346" s="1" t="n">
        <v>45075</v>
      </c>
      <c r="C346" s="1" t="n">
        <v>45996</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23224-2023</t>
        </is>
      </c>
      <c r="B347" s="1" t="n">
        <v>45075.65040509259</v>
      </c>
      <c r="C347" s="1" t="n">
        <v>45996</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3733-2023</t>
        </is>
      </c>
      <c r="B348" s="1" t="n">
        <v>44951.42501157407</v>
      </c>
      <c r="C348" s="1" t="n">
        <v>45996</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6136-2025</t>
        </is>
      </c>
      <c r="B349" s="1" t="n">
        <v>45698.37601851852</v>
      </c>
      <c r="C349" s="1" t="n">
        <v>45996</v>
      </c>
      <c r="D349" t="inlineStr">
        <is>
          <t>VÄSTMANLANDS LÄN</t>
        </is>
      </c>
      <c r="E349" t="inlineStr">
        <is>
          <t>SALA</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6190-2025</t>
        </is>
      </c>
      <c r="B350" s="1" t="n">
        <v>45698</v>
      </c>
      <c r="C350" s="1" t="n">
        <v>45996</v>
      </c>
      <c r="D350" t="inlineStr">
        <is>
          <t>VÄSTMANLANDS LÄN</t>
        </is>
      </c>
      <c r="E350" t="inlineStr">
        <is>
          <t>SALA</t>
        </is>
      </c>
      <c r="F350" t="inlineStr">
        <is>
          <t>Bergvik skog öst AB</t>
        </is>
      </c>
      <c r="G350" t="n">
        <v>4.6</v>
      </c>
      <c r="H350" t="n">
        <v>0</v>
      </c>
      <c r="I350" t="n">
        <v>0</v>
      </c>
      <c r="J350" t="n">
        <v>0</v>
      </c>
      <c r="K350" t="n">
        <v>0</v>
      </c>
      <c r="L350" t="n">
        <v>0</v>
      </c>
      <c r="M350" t="n">
        <v>0</v>
      </c>
      <c r="N350" t="n">
        <v>0</v>
      </c>
      <c r="O350" t="n">
        <v>0</v>
      </c>
      <c r="P350" t="n">
        <v>0</v>
      </c>
      <c r="Q350" t="n">
        <v>0</v>
      </c>
      <c r="R350" s="2" t="inlineStr"/>
    </row>
    <row r="351" ht="15" customHeight="1">
      <c r="A351" t="inlineStr">
        <is>
          <t>A 32902-2025</t>
        </is>
      </c>
      <c r="B351" s="1" t="n">
        <v>45839</v>
      </c>
      <c r="C351" s="1" t="n">
        <v>45996</v>
      </c>
      <c r="D351" t="inlineStr">
        <is>
          <t>VÄSTMANLANDS LÄN</t>
        </is>
      </c>
      <c r="E351" t="inlineStr">
        <is>
          <t>SALA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16760-2024</t>
        </is>
      </c>
      <c r="B352" s="1" t="n">
        <v>45411</v>
      </c>
      <c r="C352" s="1" t="n">
        <v>45996</v>
      </c>
      <c r="D352" t="inlineStr">
        <is>
          <t>VÄSTMANLANDS LÄN</t>
        </is>
      </c>
      <c r="E352" t="inlineStr">
        <is>
          <t>SALA</t>
        </is>
      </c>
      <c r="G352" t="n">
        <v>2.6</v>
      </c>
      <c r="H352" t="n">
        <v>0</v>
      </c>
      <c r="I352" t="n">
        <v>0</v>
      </c>
      <c r="J352" t="n">
        <v>0</v>
      </c>
      <c r="K352" t="n">
        <v>0</v>
      </c>
      <c r="L352" t="n">
        <v>0</v>
      </c>
      <c r="M352" t="n">
        <v>0</v>
      </c>
      <c r="N352" t="n">
        <v>0</v>
      </c>
      <c r="O352" t="n">
        <v>0</v>
      </c>
      <c r="P352" t="n">
        <v>0</v>
      </c>
      <c r="Q352" t="n">
        <v>0</v>
      </c>
      <c r="R352" s="2" t="inlineStr"/>
    </row>
    <row r="353" ht="15" customHeight="1">
      <c r="A353" t="inlineStr">
        <is>
          <t>A 22026-2021</t>
        </is>
      </c>
      <c r="B353" s="1" t="n">
        <v>44323</v>
      </c>
      <c r="C353" s="1" t="n">
        <v>45996</v>
      </c>
      <c r="D353" t="inlineStr">
        <is>
          <t>VÄSTMANLANDS LÄN</t>
        </is>
      </c>
      <c r="E353" t="inlineStr">
        <is>
          <t>SALA</t>
        </is>
      </c>
      <c r="G353" t="n">
        <v>2.9</v>
      </c>
      <c r="H353" t="n">
        <v>0</v>
      </c>
      <c r="I353" t="n">
        <v>0</v>
      </c>
      <c r="J353" t="n">
        <v>0</v>
      </c>
      <c r="K353" t="n">
        <v>0</v>
      </c>
      <c r="L353" t="n">
        <v>0</v>
      </c>
      <c r="M353" t="n">
        <v>0</v>
      </c>
      <c r="N353" t="n">
        <v>0</v>
      </c>
      <c r="O353" t="n">
        <v>0</v>
      </c>
      <c r="P353" t="n">
        <v>0</v>
      </c>
      <c r="Q353" t="n">
        <v>0</v>
      </c>
      <c r="R353" s="2" t="inlineStr"/>
    </row>
    <row r="354" ht="15" customHeight="1">
      <c r="A354" t="inlineStr">
        <is>
          <t>A 52498-2022</t>
        </is>
      </c>
      <c r="B354" s="1" t="n">
        <v>44874.50152777778</v>
      </c>
      <c r="C354" s="1" t="n">
        <v>45996</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68864-2021</t>
        </is>
      </c>
      <c r="B355" s="1" t="n">
        <v>44530</v>
      </c>
      <c r="C355" s="1" t="n">
        <v>45996</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19065-2022</t>
        </is>
      </c>
      <c r="B356" s="1" t="n">
        <v>44691.44309027777</v>
      </c>
      <c r="C356" s="1" t="n">
        <v>45996</v>
      </c>
      <c r="D356" t="inlineStr">
        <is>
          <t>VÄSTMANLANDS LÄN</t>
        </is>
      </c>
      <c r="E356" t="inlineStr">
        <is>
          <t>SALA</t>
        </is>
      </c>
      <c r="G356" t="n">
        <v>3.4</v>
      </c>
      <c r="H356" t="n">
        <v>0</v>
      </c>
      <c r="I356" t="n">
        <v>0</v>
      </c>
      <c r="J356" t="n">
        <v>0</v>
      </c>
      <c r="K356" t="n">
        <v>0</v>
      </c>
      <c r="L356" t="n">
        <v>0</v>
      </c>
      <c r="M356" t="n">
        <v>0</v>
      </c>
      <c r="N356" t="n">
        <v>0</v>
      </c>
      <c r="O356" t="n">
        <v>0</v>
      </c>
      <c r="P356" t="n">
        <v>0</v>
      </c>
      <c r="Q356" t="n">
        <v>0</v>
      </c>
      <c r="R356" s="2" t="inlineStr"/>
    </row>
    <row r="357" ht="15" customHeight="1">
      <c r="A357" t="inlineStr">
        <is>
          <t>A 6127-2025</t>
        </is>
      </c>
      <c r="B357" s="1" t="n">
        <v>45698</v>
      </c>
      <c r="C357" s="1" t="n">
        <v>45996</v>
      </c>
      <c r="D357" t="inlineStr">
        <is>
          <t>VÄSTMANLANDS LÄN</t>
        </is>
      </c>
      <c r="E357" t="inlineStr">
        <is>
          <t>SALA</t>
        </is>
      </c>
      <c r="F357" t="inlineStr">
        <is>
          <t>Bergvik skog öst AB</t>
        </is>
      </c>
      <c r="G357" t="n">
        <v>4.3</v>
      </c>
      <c r="H357" t="n">
        <v>0</v>
      </c>
      <c r="I357" t="n">
        <v>0</v>
      </c>
      <c r="J357" t="n">
        <v>0</v>
      </c>
      <c r="K357" t="n">
        <v>0</v>
      </c>
      <c r="L357" t="n">
        <v>0</v>
      </c>
      <c r="M357" t="n">
        <v>0</v>
      </c>
      <c r="N357" t="n">
        <v>0</v>
      </c>
      <c r="O357" t="n">
        <v>0</v>
      </c>
      <c r="P357" t="n">
        <v>0</v>
      </c>
      <c r="Q357" t="n">
        <v>0</v>
      </c>
      <c r="R357" s="2" t="inlineStr"/>
    </row>
    <row r="358" ht="15" customHeight="1">
      <c r="A358" t="inlineStr">
        <is>
          <t>A 37612-2024</t>
        </is>
      </c>
      <c r="B358" s="1" t="n">
        <v>45541</v>
      </c>
      <c r="C358" s="1" t="n">
        <v>45996</v>
      </c>
      <c r="D358" t="inlineStr">
        <is>
          <t>VÄSTMANLANDS LÄN</t>
        </is>
      </c>
      <c r="E358" t="inlineStr">
        <is>
          <t>SALA</t>
        </is>
      </c>
      <c r="G358" t="n">
        <v>2.2</v>
      </c>
      <c r="H358" t="n">
        <v>0</v>
      </c>
      <c r="I358" t="n">
        <v>0</v>
      </c>
      <c r="J358" t="n">
        <v>0</v>
      </c>
      <c r="K358" t="n">
        <v>0</v>
      </c>
      <c r="L358" t="n">
        <v>0</v>
      </c>
      <c r="M358" t="n">
        <v>0</v>
      </c>
      <c r="N358" t="n">
        <v>0</v>
      </c>
      <c r="O358" t="n">
        <v>0</v>
      </c>
      <c r="P358" t="n">
        <v>0</v>
      </c>
      <c r="Q358" t="n">
        <v>0</v>
      </c>
      <c r="R358" s="2" t="inlineStr"/>
    </row>
    <row r="359" ht="15" customHeight="1">
      <c r="A359" t="inlineStr">
        <is>
          <t>A 37615-2024</t>
        </is>
      </c>
      <c r="B359" s="1" t="n">
        <v>45541.50673611111</v>
      </c>
      <c r="C359" s="1" t="n">
        <v>45996</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18158-2025</t>
        </is>
      </c>
      <c r="B360" s="1" t="n">
        <v>45761</v>
      </c>
      <c r="C360" s="1" t="n">
        <v>45996</v>
      </c>
      <c r="D360" t="inlineStr">
        <is>
          <t>VÄSTMANLANDS LÄN</t>
        </is>
      </c>
      <c r="E360" t="inlineStr">
        <is>
          <t>SALA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988-2025</t>
        </is>
      </c>
      <c r="B361" s="1" t="n">
        <v>45666.44038194444</v>
      </c>
      <c r="C361" s="1" t="n">
        <v>45996</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60328-2024</t>
        </is>
      </c>
      <c r="B362" s="1" t="n">
        <v>45643.38416666666</v>
      </c>
      <c r="C362" s="1" t="n">
        <v>45996</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9962-2025</t>
        </is>
      </c>
      <c r="B363" s="1" t="n">
        <v>45719.37072916667</v>
      </c>
      <c r="C363" s="1" t="n">
        <v>45996</v>
      </c>
      <c r="D363" t="inlineStr">
        <is>
          <t>VÄSTMANLANDS LÄN</t>
        </is>
      </c>
      <c r="E363" t="inlineStr">
        <is>
          <t>SALA</t>
        </is>
      </c>
      <c r="G363" t="n">
        <v>4.5</v>
      </c>
      <c r="H363" t="n">
        <v>0</v>
      </c>
      <c r="I363" t="n">
        <v>0</v>
      </c>
      <c r="J363" t="n">
        <v>0</v>
      </c>
      <c r="K363" t="n">
        <v>0</v>
      </c>
      <c r="L363" t="n">
        <v>0</v>
      </c>
      <c r="M363" t="n">
        <v>0</v>
      </c>
      <c r="N363" t="n">
        <v>0</v>
      </c>
      <c r="O363" t="n">
        <v>0</v>
      </c>
      <c r="P363" t="n">
        <v>0</v>
      </c>
      <c r="Q363" t="n">
        <v>0</v>
      </c>
      <c r="R363" s="2" t="inlineStr"/>
    </row>
    <row r="364" ht="15" customHeight="1">
      <c r="A364" t="inlineStr">
        <is>
          <t>A 35016-2024</t>
        </is>
      </c>
      <c r="B364" s="1" t="n">
        <v>45527.59115740741</v>
      </c>
      <c r="C364" s="1" t="n">
        <v>45996</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37602-2024</t>
        </is>
      </c>
      <c r="B365" s="1" t="n">
        <v>45541</v>
      </c>
      <c r="C365" s="1" t="n">
        <v>45996</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25897-2024</t>
        </is>
      </c>
      <c r="B366" s="1" t="n">
        <v>45467.54435185185</v>
      </c>
      <c r="C366" s="1" t="n">
        <v>45996</v>
      </c>
      <c r="D366" t="inlineStr">
        <is>
          <t>VÄSTMANLANDS LÄN</t>
        </is>
      </c>
      <c r="E366" t="inlineStr">
        <is>
          <t>SALA</t>
        </is>
      </c>
      <c r="G366" t="n">
        <v>9.9</v>
      </c>
      <c r="H366" t="n">
        <v>0</v>
      </c>
      <c r="I366" t="n">
        <v>0</v>
      </c>
      <c r="J366" t="n">
        <v>0</v>
      </c>
      <c r="K366" t="n">
        <v>0</v>
      </c>
      <c r="L366" t="n">
        <v>0</v>
      </c>
      <c r="M366" t="n">
        <v>0</v>
      </c>
      <c r="N366" t="n">
        <v>0</v>
      </c>
      <c r="O366" t="n">
        <v>0</v>
      </c>
      <c r="P366" t="n">
        <v>0</v>
      </c>
      <c r="Q366" t="n">
        <v>0</v>
      </c>
      <c r="R366" s="2" t="inlineStr"/>
    </row>
    <row r="367" ht="15" customHeight="1">
      <c r="A367" t="inlineStr">
        <is>
          <t>A 31072-2021</t>
        </is>
      </c>
      <c r="B367" s="1" t="n">
        <v>44368</v>
      </c>
      <c r="C367" s="1" t="n">
        <v>45996</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18762-2024</t>
        </is>
      </c>
      <c r="B368" s="1" t="n">
        <v>45426.55240740741</v>
      </c>
      <c r="C368" s="1" t="n">
        <v>45996</v>
      </c>
      <c r="D368" t="inlineStr">
        <is>
          <t>VÄSTMANLANDS LÄN</t>
        </is>
      </c>
      <c r="E368" t="inlineStr">
        <is>
          <t>SALA</t>
        </is>
      </c>
      <c r="G368" t="n">
        <v>6.2</v>
      </c>
      <c r="H368" t="n">
        <v>0</v>
      </c>
      <c r="I368" t="n">
        <v>0</v>
      </c>
      <c r="J368" t="n">
        <v>0</v>
      </c>
      <c r="K368" t="n">
        <v>0</v>
      </c>
      <c r="L368" t="n">
        <v>0</v>
      </c>
      <c r="M368" t="n">
        <v>0</v>
      </c>
      <c r="N368" t="n">
        <v>0</v>
      </c>
      <c r="O368" t="n">
        <v>0</v>
      </c>
      <c r="P368" t="n">
        <v>0</v>
      </c>
      <c r="Q368" t="n">
        <v>0</v>
      </c>
      <c r="R368" s="2" t="inlineStr"/>
    </row>
    <row r="369" ht="15" customHeight="1">
      <c r="A369" t="inlineStr">
        <is>
          <t>A 57371-2022</t>
        </is>
      </c>
      <c r="B369" s="1" t="n">
        <v>44896.43832175926</v>
      </c>
      <c r="C369" s="1" t="n">
        <v>45996</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22019-2021</t>
        </is>
      </c>
      <c r="B370" s="1" t="n">
        <v>44323</v>
      </c>
      <c r="C370" s="1" t="n">
        <v>45996</v>
      </c>
      <c r="D370" t="inlineStr">
        <is>
          <t>VÄSTMANLANDS LÄN</t>
        </is>
      </c>
      <c r="E370" t="inlineStr">
        <is>
          <t>SALA</t>
        </is>
      </c>
      <c r="G370" t="n">
        <v>1.9</v>
      </c>
      <c r="H370" t="n">
        <v>0</v>
      </c>
      <c r="I370" t="n">
        <v>0</v>
      </c>
      <c r="J370" t="n">
        <v>0</v>
      </c>
      <c r="K370" t="n">
        <v>0</v>
      </c>
      <c r="L370" t="n">
        <v>0</v>
      </c>
      <c r="M370" t="n">
        <v>0</v>
      </c>
      <c r="N370" t="n">
        <v>0</v>
      </c>
      <c r="O370" t="n">
        <v>0</v>
      </c>
      <c r="P370" t="n">
        <v>0</v>
      </c>
      <c r="Q370" t="n">
        <v>0</v>
      </c>
      <c r="R370" s="2" t="inlineStr"/>
    </row>
    <row r="371" ht="15" customHeight="1">
      <c r="A371" t="inlineStr">
        <is>
          <t>A 39011-2023</t>
        </is>
      </c>
      <c r="B371" s="1" t="n">
        <v>45162</v>
      </c>
      <c r="C371" s="1" t="n">
        <v>45996</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34069-2025</t>
        </is>
      </c>
      <c r="B372" s="1" t="n">
        <v>45845.43560185185</v>
      </c>
      <c r="C372" s="1" t="n">
        <v>45996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c r="U372">
        <f>HYPERLINK("https://klasma.github.io/Logging_1981/knärot/A 34069-2025 karta knärot.png", "A 34069-2025")</f>
        <v/>
      </c>
      <c r="V372">
        <f>HYPERLINK("https://klasma.github.io/Logging_1981/klagomål/A 34069-2025 FSC-klagomål.docx", "A 34069-2025")</f>
        <v/>
      </c>
      <c r="W372">
        <f>HYPERLINK("https://klasma.github.io/Logging_1981/klagomålsmail/A 34069-2025 FSC-klagomål mail.docx", "A 34069-2025")</f>
        <v/>
      </c>
      <c r="X372">
        <f>HYPERLINK("https://klasma.github.io/Logging_1981/tillsyn/A 34069-2025 tillsynsbegäran.docx", "A 34069-2025")</f>
        <v/>
      </c>
      <c r="Y372">
        <f>HYPERLINK("https://klasma.github.io/Logging_1981/tillsynsmail/A 34069-2025 tillsynsbegäran mail.docx", "A 34069-2025")</f>
        <v/>
      </c>
    </row>
    <row r="373" ht="15" customHeight="1">
      <c r="A373" t="inlineStr">
        <is>
          <t>A 55784-2024</t>
        </is>
      </c>
      <c r="B373" s="1" t="n">
        <v>45623</v>
      </c>
      <c r="C373" s="1" t="n">
        <v>45996</v>
      </c>
      <c r="D373" t="inlineStr">
        <is>
          <t>VÄSTMANLANDS LÄN</t>
        </is>
      </c>
      <c r="E373" t="inlineStr">
        <is>
          <t>SALA</t>
        </is>
      </c>
      <c r="F373" t="inlineStr">
        <is>
          <t>Bergvik skog öst AB</t>
        </is>
      </c>
      <c r="G373" t="n">
        <v>28.4</v>
      </c>
      <c r="H373" t="n">
        <v>0</v>
      </c>
      <c r="I373" t="n">
        <v>0</v>
      </c>
      <c r="J373" t="n">
        <v>0</v>
      </c>
      <c r="K373" t="n">
        <v>0</v>
      </c>
      <c r="L373" t="n">
        <v>0</v>
      </c>
      <c r="M373" t="n">
        <v>0</v>
      </c>
      <c r="N373" t="n">
        <v>0</v>
      </c>
      <c r="O373" t="n">
        <v>0</v>
      </c>
      <c r="P373" t="n">
        <v>0</v>
      </c>
      <c r="Q373" t="n">
        <v>0</v>
      </c>
      <c r="R373" s="2" t="inlineStr"/>
    </row>
    <row r="374" ht="15" customHeight="1">
      <c r="A374" t="inlineStr">
        <is>
          <t>A 16651-2021</t>
        </is>
      </c>
      <c r="B374" s="1" t="n">
        <v>44294.50096064815</v>
      </c>
      <c r="C374" s="1" t="n">
        <v>45996</v>
      </c>
      <c r="D374" t="inlineStr">
        <is>
          <t>VÄSTMANLANDS LÄN</t>
        </is>
      </c>
      <c r="E374" t="inlineStr">
        <is>
          <t>SALA</t>
        </is>
      </c>
      <c r="G374" t="n">
        <v>7.7</v>
      </c>
      <c r="H374" t="n">
        <v>0</v>
      </c>
      <c r="I374" t="n">
        <v>0</v>
      </c>
      <c r="J374" t="n">
        <v>0</v>
      </c>
      <c r="K374" t="n">
        <v>0</v>
      </c>
      <c r="L374" t="n">
        <v>0</v>
      </c>
      <c r="M374" t="n">
        <v>0</v>
      </c>
      <c r="N374" t="n">
        <v>0</v>
      </c>
      <c r="O374" t="n">
        <v>0</v>
      </c>
      <c r="P374" t="n">
        <v>0</v>
      </c>
      <c r="Q374" t="n">
        <v>0</v>
      </c>
      <c r="R374" s="2" t="inlineStr"/>
    </row>
    <row r="375" ht="15" customHeight="1">
      <c r="A375" t="inlineStr">
        <is>
          <t>A 46352-2023</t>
        </is>
      </c>
      <c r="B375" s="1" t="n">
        <v>45192</v>
      </c>
      <c r="C375" s="1" t="n">
        <v>45996</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43751-2021</t>
        </is>
      </c>
      <c r="B376" s="1" t="n">
        <v>44433</v>
      </c>
      <c r="C376" s="1" t="n">
        <v>45996</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15744-2025</t>
        </is>
      </c>
      <c r="B377" s="1" t="n">
        <v>45748</v>
      </c>
      <c r="C377" s="1" t="n">
        <v>45996</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1128-2025</t>
        </is>
      </c>
      <c r="B378" s="1" t="n">
        <v>45666.68469907407</v>
      </c>
      <c r="C378" s="1" t="n">
        <v>45996</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19803-2024</t>
        </is>
      </c>
      <c r="B379" s="1" t="n">
        <v>45432</v>
      </c>
      <c r="C379" s="1" t="n">
        <v>45996</v>
      </c>
      <c r="D379" t="inlineStr">
        <is>
          <t>VÄSTMANLANDS LÄN</t>
        </is>
      </c>
      <c r="E379" t="inlineStr">
        <is>
          <t>SALA</t>
        </is>
      </c>
      <c r="G379" t="n">
        <v>3.1</v>
      </c>
      <c r="H379" t="n">
        <v>0</v>
      </c>
      <c r="I379" t="n">
        <v>0</v>
      </c>
      <c r="J379" t="n">
        <v>0</v>
      </c>
      <c r="K379" t="n">
        <v>0</v>
      </c>
      <c r="L379" t="n">
        <v>0</v>
      </c>
      <c r="M379" t="n">
        <v>0</v>
      </c>
      <c r="N379" t="n">
        <v>0</v>
      </c>
      <c r="O379" t="n">
        <v>0</v>
      </c>
      <c r="P379" t="n">
        <v>0</v>
      </c>
      <c r="Q379" t="n">
        <v>0</v>
      </c>
      <c r="R379" s="2" t="inlineStr"/>
    </row>
    <row r="380" ht="15" customHeight="1">
      <c r="A380" t="inlineStr">
        <is>
          <t>A 7196-2025</t>
        </is>
      </c>
      <c r="B380" s="1" t="n">
        <v>45702</v>
      </c>
      <c r="C380" s="1" t="n">
        <v>45996</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31950-2023</t>
        </is>
      </c>
      <c r="B381" s="1" t="n">
        <v>45107</v>
      </c>
      <c r="C381" s="1" t="n">
        <v>45996</v>
      </c>
      <c r="D381" t="inlineStr">
        <is>
          <t>VÄSTMANLANDS LÄN</t>
        </is>
      </c>
      <c r="E381" t="inlineStr">
        <is>
          <t>SALA</t>
        </is>
      </c>
      <c r="G381" t="n">
        <v>0.1</v>
      </c>
      <c r="H381" t="n">
        <v>0</v>
      </c>
      <c r="I381" t="n">
        <v>0</v>
      </c>
      <c r="J381" t="n">
        <v>0</v>
      </c>
      <c r="K381" t="n">
        <v>0</v>
      </c>
      <c r="L381" t="n">
        <v>0</v>
      </c>
      <c r="M381" t="n">
        <v>0</v>
      </c>
      <c r="N381" t="n">
        <v>0</v>
      </c>
      <c r="O381" t="n">
        <v>0</v>
      </c>
      <c r="P381" t="n">
        <v>0</v>
      </c>
      <c r="Q381" t="n">
        <v>0</v>
      </c>
      <c r="R381" s="2" t="inlineStr"/>
    </row>
    <row r="382" ht="15" customHeight="1">
      <c r="A382" t="inlineStr">
        <is>
          <t>A 40597-2022</t>
        </is>
      </c>
      <c r="B382" s="1" t="n">
        <v>44823.84862268518</v>
      </c>
      <c r="C382" s="1" t="n">
        <v>45996</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56540-2024</t>
        </is>
      </c>
      <c r="B383" s="1" t="n">
        <v>45625</v>
      </c>
      <c r="C383" s="1" t="n">
        <v>45996</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6116-2023</t>
        </is>
      </c>
      <c r="B384" s="1" t="n">
        <v>44964</v>
      </c>
      <c r="C384" s="1" t="n">
        <v>45996</v>
      </c>
      <c r="D384" t="inlineStr">
        <is>
          <t>VÄSTMANLANDS LÄN</t>
        </is>
      </c>
      <c r="E384" t="inlineStr">
        <is>
          <t>SALA</t>
        </is>
      </c>
      <c r="G384" t="n">
        <v>1.9</v>
      </c>
      <c r="H384" t="n">
        <v>0</v>
      </c>
      <c r="I384" t="n">
        <v>0</v>
      </c>
      <c r="J384" t="n">
        <v>0</v>
      </c>
      <c r="K384" t="n">
        <v>0</v>
      </c>
      <c r="L384" t="n">
        <v>0</v>
      </c>
      <c r="M384" t="n">
        <v>0</v>
      </c>
      <c r="N384" t="n">
        <v>0</v>
      </c>
      <c r="O384" t="n">
        <v>0</v>
      </c>
      <c r="P384" t="n">
        <v>0</v>
      </c>
      <c r="Q384" t="n">
        <v>0</v>
      </c>
      <c r="R384" s="2" t="inlineStr"/>
    </row>
    <row r="385" ht="15" customHeight="1">
      <c r="A385" t="inlineStr">
        <is>
          <t>A 25860-2024</t>
        </is>
      </c>
      <c r="B385" s="1" t="n">
        <v>45467.46278935186</v>
      </c>
      <c r="C385" s="1" t="n">
        <v>45996</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10154-2021</t>
        </is>
      </c>
      <c r="B386" s="1" t="n">
        <v>44256</v>
      </c>
      <c r="C386" s="1" t="n">
        <v>45996</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56916-2022</t>
        </is>
      </c>
      <c r="B387" s="1" t="n">
        <v>44888</v>
      </c>
      <c r="C387" s="1" t="n">
        <v>45996</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45996</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35779-2025</t>
        </is>
      </c>
      <c r="B389" s="1" t="n">
        <v>45860.69495370371</v>
      </c>
      <c r="C389" s="1" t="n">
        <v>45996</v>
      </c>
      <c r="D389" t="inlineStr">
        <is>
          <t>VÄSTMANLANDS LÄN</t>
        </is>
      </c>
      <c r="E389" t="inlineStr">
        <is>
          <t>SALA</t>
        </is>
      </c>
      <c r="G389" t="n">
        <v>2.4</v>
      </c>
      <c r="H389" t="n">
        <v>0</v>
      </c>
      <c r="I389" t="n">
        <v>0</v>
      </c>
      <c r="J389" t="n">
        <v>0</v>
      </c>
      <c r="K389" t="n">
        <v>0</v>
      </c>
      <c r="L389" t="n">
        <v>0</v>
      </c>
      <c r="M389" t="n">
        <v>0</v>
      </c>
      <c r="N389" t="n">
        <v>0</v>
      </c>
      <c r="O389" t="n">
        <v>0</v>
      </c>
      <c r="P389" t="n">
        <v>0</v>
      </c>
      <c r="Q389" t="n">
        <v>0</v>
      </c>
      <c r="R389" s="2" t="inlineStr"/>
    </row>
    <row r="390" ht="15" customHeight="1">
      <c r="A390" t="inlineStr">
        <is>
          <t>A 35776-2025</t>
        </is>
      </c>
      <c r="B390" s="1" t="n">
        <v>45860.69211805556</v>
      </c>
      <c r="C390" s="1" t="n">
        <v>45996</v>
      </c>
      <c r="D390" t="inlineStr">
        <is>
          <t>VÄSTMANLANDS LÄN</t>
        </is>
      </c>
      <c r="E390" t="inlineStr">
        <is>
          <t>SALA</t>
        </is>
      </c>
      <c r="G390" t="n">
        <v>14.2</v>
      </c>
      <c r="H390" t="n">
        <v>0</v>
      </c>
      <c r="I390" t="n">
        <v>0</v>
      </c>
      <c r="J390" t="n">
        <v>0</v>
      </c>
      <c r="K390" t="n">
        <v>0</v>
      </c>
      <c r="L390" t="n">
        <v>0</v>
      </c>
      <c r="M390" t="n">
        <v>0</v>
      </c>
      <c r="N390" t="n">
        <v>0</v>
      </c>
      <c r="O390" t="n">
        <v>0</v>
      </c>
      <c r="P390" t="n">
        <v>0</v>
      </c>
      <c r="Q390" t="n">
        <v>0</v>
      </c>
      <c r="R390" s="2" t="inlineStr"/>
    </row>
    <row r="391" ht="15" customHeight="1">
      <c r="A391" t="inlineStr">
        <is>
          <t>A 35715-2025</t>
        </is>
      </c>
      <c r="B391" s="1" t="n">
        <v>45860.42148148148</v>
      </c>
      <c r="C391" s="1" t="n">
        <v>45996</v>
      </c>
      <c r="D391" t="inlineStr">
        <is>
          <t>VÄSTMANLANDS LÄN</t>
        </is>
      </c>
      <c r="E391" t="inlineStr">
        <is>
          <t>SALA</t>
        </is>
      </c>
      <c r="G391" t="n">
        <v>3.8</v>
      </c>
      <c r="H391" t="n">
        <v>0</v>
      </c>
      <c r="I391" t="n">
        <v>0</v>
      </c>
      <c r="J391" t="n">
        <v>0</v>
      </c>
      <c r="K391" t="n">
        <v>0</v>
      </c>
      <c r="L391" t="n">
        <v>0</v>
      </c>
      <c r="M391" t="n">
        <v>0</v>
      </c>
      <c r="N391" t="n">
        <v>0</v>
      </c>
      <c r="O391" t="n">
        <v>0</v>
      </c>
      <c r="P391" t="n">
        <v>0</v>
      </c>
      <c r="Q391" t="n">
        <v>0</v>
      </c>
      <c r="R391" s="2" t="inlineStr"/>
    </row>
    <row r="392" ht="15" customHeight="1">
      <c r="A392" t="inlineStr">
        <is>
          <t>A 64925-2023</t>
        </is>
      </c>
      <c r="B392" s="1" t="n">
        <v>45282</v>
      </c>
      <c r="C392" s="1" t="n">
        <v>45996</v>
      </c>
      <c r="D392" t="inlineStr">
        <is>
          <t>VÄSTMANLANDS LÄN</t>
        </is>
      </c>
      <c r="E392" t="inlineStr">
        <is>
          <t>SALA</t>
        </is>
      </c>
      <c r="G392" t="n">
        <v>2.5</v>
      </c>
      <c r="H392" t="n">
        <v>0</v>
      </c>
      <c r="I392" t="n">
        <v>0</v>
      </c>
      <c r="J392" t="n">
        <v>0</v>
      </c>
      <c r="K392" t="n">
        <v>0</v>
      </c>
      <c r="L392" t="n">
        <v>0</v>
      </c>
      <c r="M392" t="n">
        <v>0</v>
      </c>
      <c r="N392" t="n">
        <v>0</v>
      </c>
      <c r="O392" t="n">
        <v>0</v>
      </c>
      <c r="P392" t="n">
        <v>0</v>
      </c>
      <c r="Q392" t="n">
        <v>0</v>
      </c>
      <c r="R392" s="2" t="inlineStr"/>
    </row>
    <row r="393" ht="15" customHeight="1">
      <c r="A393" t="inlineStr">
        <is>
          <t>A 35651-2025</t>
        </is>
      </c>
      <c r="B393" s="1" t="n">
        <v>45859.52435185185</v>
      </c>
      <c r="C393" s="1" t="n">
        <v>45996</v>
      </c>
      <c r="D393" t="inlineStr">
        <is>
          <t>VÄSTMANLANDS LÄN</t>
        </is>
      </c>
      <c r="E393" t="inlineStr">
        <is>
          <t>SALA</t>
        </is>
      </c>
      <c r="G393" t="n">
        <v>6.3</v>
      </c>
      <c r="H393" t="n">
        <v>0</v>
      </c>
      <c r="I393" t="n">
        <v>0</v>
      </c>
      <c r="J393" t="n">
        <v>0</v>
      </c>
      <c r="K393" t="n">
        <v>0</v>
      </c>
      <c r="L393" t="n">
        <v>0</v>
      </c>
      <c r="M393" t="n">
        <v>0</v>
      </c>
      <c r="N393" t="n">
        <v>0</v>
      </c>
      <c r="O393" t="n">
        <v>0</v>
      </c>
      <c r="P393" t="n">
        <v>0</v>
      </c>
      <c r="Q393" t="n">
        <v>0</v>
      </c>
      <c r="R393" s="2" t="inlineStr"/>
    </row>
    <row r="394" ht="15" customHeight="1">
      <c r="A394" t="inlineStr">
        <is>
          <t>A 35774-2025</t>
        </is>
      </c>
      <c r="B394" s="1" t="n">
        <v>45860.68780092592</v>
      </c>
      <c r="C394" s="1" t="n">
        <v>45996</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23406-2024</t>
        </is>
      </c>
      <c r="B395" s="1" t="n">
        <v>45453.58296296297</v>
      </c>
      <c r="C395" s="1" t="n">
        <v>45996</v>
      </c>
      <c r="D395" t="inlineStr">
        <is>
          <t>VÄSTMANLANDS LÄN</t>
        </is>
      </c>
      <c r="E395" t="inlineStr">
        <is>
          <t>SALA</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40559-2025</t>
        </is>
      </c>
      <c r="B396" s="1" t="n">
        <v>45896.45037037037</v>
      </c>
      <c r="C396" s="1" t="n">
        <v>45996</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16133-2025</t>
        </is>
      </c>
      <c r="B397" s="1" t="n">
        <v>45750</v>
      </c>
      <c r="C397" s="1" t="n">
        <v>45996</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36060-2025</t>
        </is>
      </c>
      <c r="B398" s="1" t="n">
        <v>45866.39469907407</v>
      </c>
      <c r="C398" s="1" t="n">
        <v>45996</v>
      </c>
      <c r="D398" t="inlineStr">
        <is>
          <t>VÄSTMANLANDS LÄN</t>
        </is>
      </c>
      <c r="E398" t="inlineStr">
        <is>
          <t>SALA</t>
        </is>
      </c>
      <c r="F398" t="inlineStr">
        <is>
          <t>Kommuner</t>
        </is>
      </c>
      <c r="G398" t="n">
        <v>4.3</v>
      </c>
      <c r="H398" t="n">
        <v>0</v>
      </c>
      <c r="I398" t="n">
        <v>0</v>
      </c>
      <c r="J398" t="n">
        <v>0</v>
      </c>
      <c r="K398" t="n">
        <v>0</v>
      </c>
      <c r="L398" t="n">
        <v>0</v>
      </c>
      <c r="M398" t="n">
        <v>0</v>
      </c>
      <c r="N398" t="n">
        <v>0</v>
      </c>
      <c r="O398" t="n">
        <v>0</v>
      </c>
      <c r="P398" t="n">
        <v>0</v>
      </c>
      <c r="Q398" t="n">
        <v>0</v>
      </c>
      <c r="R398" s="2" t="inlineStr"/>
    </row>
    <row r="399" ht="15" customHeight="1">
      <c r="A399" t="inlineStr">
        <is>
          <t>A 15099-2025</t>
        </is>
      </c>
      <c r="B399" s="1" t="n">
        <v>45744.3434837963</v>
      </c>
      <c r="C399" s="1" t="n">
        <v>45996</v>
      </c>
      <c r="D399" t="inlineStr">
        <is>
          <t>VÄSTMANLANDS LÄN</t>
        </is>
      </c>
      <c r="E399" t="inlineStr">
        <is>
          <t>SALA</t>
        </is>
      </c>
      <c r="F399" t="inlineStr">
        <is>
          <t>Sveaskog</t>
        </is>
      </c>
      <c r="G399" t="n">
        <v>14.4</v>
      </c>
      <c r="H399" t="n">
        <v>0</v>
      </c>
      <c r="I399" t="n">
        <v>0</v>
      </c>
      <c r="J399" t="n">
        <v>0</v>
      </c>
      <c r="K399" t="n">
        <v>0</v>
      </c>
      <c r="L399" t="n">
        <v>0</v>
      </c>
      <c r="M399" t="n">
        <v>0</v>
      </c>
      <c r="N399" t="n">
        <v>0</v>
      </c>
      <c r="O399" t="n">
        <v>0</v>
      </c>
      <c r="P399" t="n">
        <v>0</v>
      </c>
      <c r="Q399" t="n">
        <v>0</v>
      </c>
      <c r="R399" s="2" t="inlineStr"/>
    </row>
    <row r="400" ht="15" customHeight="1">
      <c r="A400" t="inlineStr">
        <is>
          <t>A 71471-2021</t>
        </is>
      </c>
      <c r="B400" s="1" t="n">
        <v>44540.53421296296</v>
      </c>
      <c r="C400" s="1" t="n">
        <v>45996</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36031-2025</t>
        </is>
      </c>
      <c r="B401" s="1" t="n">
        <v>45865.46111111111</v>
      </c>
      <c r="C401" s="1" t="n">
        <v>45996</v>
      </c>
      <c r="D401" t="inlineStr">
        <is>
          <t>VÄSTMANLANDS LÄN</t>
        </is>
      </c>
      <c r="E401" t="inlineStr">
        <is>
          <t>SALA</t>
        </is>
      </c>
      <c r="G401" t="n">
        <v>7.2</v>
      </c>
      <c r="H401" t="n">
        <v>0</v>
      </c>
      <c r="I401" t="n">
        <v>0</v>
      </c>
      <c r="J401" t="n">
        <v>0</v>
      </c>
      <c r="K401" t="n">
        <v>0</v>
      </c>
      <c r="L401" t="n">
        <v>0</v>
      </c>
      <c r="M401" t="n">
        <v>0</v>
      </c>
      <c r="N401" t="n">
        <v>0</v>
      </c>
      <c r="O401" t="n">
        <v>0</v>
      </c>
      <c r="P401" t="n">
        <v>0</v>
      </c>
      <c r="Q401" t="n">
        <v>0</v>
      </c>
      <c r="R401" s="2" t="inlineStr"/>
    </row>
    <row r="402" ht="15" customHeight="1">
      <c r="A402" t="inlineStr">
        <is>
          <t>A 40556-2025</t>
        </is>
      </c>
      <c r="B402" s="1" t="n">
        <v>45896.44944444444</v>
      </c>
      <c r="C402" s="1" t="n">
        <v>45996</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36043-2025</t>
        </is>
      </c>
      <c r="B403" s="1" t="n">
        <v>45866.35333333333</v>
      </c>
      <c r="C403" s="1" t="n">
        <v>45996</v>
      </c>
      <c r="D403" t="inlineStr">
        <is>
          <t>VÄSTMANLANDS LÄN</t>
        </is>
      </c>
      <c r="E403" t="inlineStr">
        <is>
          <t>SALA</t>
        </is>
      </c>
      <c r="F403" t="inlineStr">
        <is>
          <t>Kommuner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36032-2025</t>
        </is>
      </c>
      <c r="B404" s="1" t="n">
        <v>45865.48740740741</v>
      </c>
      <c r="C404" s="1" t="n">
        <v>45996</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40620-2025</t>
        </is>
      </c>
      <c r="B405" s="1" t="n">
        <v>45896.58609953704</v>
      </c>
      <c r="C405" s="1" t="n">
        <v>45996</v>
      </c>
      <c r="D405" t="inlineStr">
        <is>
          <t>VÄSTMANLANDS LÄN</t>
        </is>
      </c>
      <c r="E405" t="inlineStr">
        <is>
          <t>SALA</t>
        </is>
      </c>
      <c r="G405" t="n">
        <v>6.7</v>
      </c>
      <c r="H405" t="n">
        <v>0</v>
      </c>
      <c r="I405" t="n">
        <v>0</v>
      </c>
      <c r="J405" t="n">
        <v>0</v>
      </c>
      <c r="K405" t="n">
        <v>0</v>
      </c>
      <c r="L405" t="n">
        <v>0</v>
      </c>
      <c r="M405" t="n">
        <v>0</v>
      </c>
      <c r="N405" t="n">
        <v>0</v>
      </c>
      <c r="O405" t="n">
        <v>0</v>
      </c>
      <c r="P405" t="n">
        <v>0</v>
      </c>
      <c r="Q405" t="n">
        <v>0</v>
      </c>
      <c r="R405" s="2" t="inlineStr"/>
    </row>
    <row r="406" ht="15" customHeight="1">
      <c r="A406" t="inlineStr">
        <is>
          <t>A 36049-2025</t>
        </is>
      </c>
      <c r="B406" s="1" t="n">
        <v>45866.37065972222</v>
      </c>
      <c r="C406" s="1" t="n">
        <v>45996</v>
      </c>
      <c r="D406" t="inlineStr">
        <is>
          <t>VÄSTMANLANDS LÄN</t>
        </is>
      </c>
      <c r="E406" t="inlineStr">
        <is>
          <t>SALA</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60036-2024</t>
        </is>
      </c>
      <c r="B407" s="1" t="n">
        <v>45642.46434027778</v>
      </c>
      <c r="C407" s="1" t="n">
        <v>45996</v>
      </c>
      <c r="D407" t="inlineStr">
        <is>
          <t>VÄSTMANLANDS LÄN</t>
        </is>
      </c>
      <c r="E407" t="inlineStr">
        <is>
          <t>SALA</t>
        </is>
      </c>
      <c r="G407" t="n">
        <v>2.5</v>
      </c>
      <c r="H407" t="n">
        <v>0</v>
      </c>
      <c r="I407" t="n">
        <v>0</v>
      </c>
      <c r="J407" t="n">
        <v>0</v>
      </c>
      <c r="K407" t="n">
        <v>0</v>
      </c>
      <c r="L407" t="n">
        <v>0</v>
      </c>
      <c r="M407" t="n">
        <v>0</v>
      </c>
      <c r="N407" t="n">
        <v>0</v>
      </c>
      <c r="O407" t="n">
        <v>0</v>
      </c>
      <c r="P407" t="n">
        <v>0</v>
      </c>
      <c r="Q407" t="n">
        <v>0</v>
      </c>
      <c r="R407" s="2" t="inlineStr"/>
    </row>
    <row r="408" ht="15" customHeight="1">
      <c r="A408" t="inlineStr">
        <is>
          <t>A 52827-2024</t>
        </is>
      </c>
      <c r="B408" s="1" t="n">
        <v>45610</v>
      </c>
      <c r="C408" s="1" t="n">
        <v>45996</v>
      </c>
      <c r="D408" t="inlineStr">
        <is>
          <t>VÄSTMANLANDS LÄN</t>
        </is>
      </c>
      <c r="E408" t="inlineStr">
        <is>
          <t>SALA</t>
        </is>
      </c>
      <c r="G408" t="n">
        <v>0.2</v>
      </c>
      <c r="H408" t="n">
        <v>0</v>
      </c>
      <c r="I408" t="n">
        <v>0</v>
      </c>
      <c r="J408" t="n">
        <v>0</v>
      </c>
      <c r="K408" t="n">
        <v>0</v>
      </c>
      <c r="L408" t="n">
        <v>0</v>
      </c>
      <c r="M408" t="n">
        <v>0</v>
      </c>
      <c r="N408" t="n">
        <v>0</v>
      </c>
      <c r="O408" t="n">
        <v>0</v>
      </c>
      <c r="P408" t="n">
        <v>0</v>
      </c>
      <c r="Q408" t="n">
        <v>0</v>
      </c>
      <c r="R408" s="2" t="inlineStr"/>
    </row>
    <row r="409" ht="15" customHeight="1">
      <c r="A409" t="inlineStr">
        <is>
          <t>A 13987-2023</t>
        </is>
      </c>
      <c r="B409" s="1" t="n">
        <v>45007</v>
      </c>
      <c r="C409" s="1" t="n">
        <v>45996</v>
      </c>
      <c r="D409" t="inlineStr">
        <is>
          <t>VÄSTMANLANDS LÄN</t>
        </is>
      </c>
      <c r="E409" t="inlineStr">
        <is>
          <t>SALA</t>
        </is>
      </c>
      <c r="G409" t="n">
        <v>3.2</v>
      </c>
      <c r="H409" t="n">
        <v>0</v>
      </c>
      <c r="I409" t="n">
        <v>0</v>
      </c>
      <c r="J409" t="n">
        <v>0</v>
      </c>
      <c r="K409" t="n">
        <v>0</v>
      </c>
      <c r="L409" t="n">
        <v>0</v>
      </c>
      <c r="M409" t="n">
        <v>0</v>
      </c>
      <c r="N409" t="n">
        <v>0</v>
      </c>
      <c r="O409" t="n">
        <v>0</v>
      </c>
      <c r="P409" t="n">
        <v>0</v>
      </c>
      <c r="Q409" t="n">
        <v>0</v>
      </c>
      <c r="R409" s="2" t="inlineStr"/>
    </row>
    <row r="410" ht="15" customHeight="1">
      <c r="A410" t="inlineStr">
        <is>
          <t>A 13990-2023</t>
        </is>
      </c>
      <c r="B410" s="1" t="n">
        <v>45007</v>
      </c>
      <c r="C410" s="1" t="n">
        <v>45996</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36045-2025</t>
        </is>
      </c>
      <c r="B411" s="1" t="n">
        <v>45866.36200231482</v>
      </c>
      <c r="C411" s="1" t="n">
        <v>45996</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16328-2025</t>
        </is>
      </c>
      <c r="B412" s="1" t="n">
        <v>45751</v>
      </c>
      <c r="C412" s="1" t="n">
        <v>45996</v>
      </c>
      <c r="D412" t="inlineStr">
        <is>
          <t>VÄSTMANLANDS LÄN</t>
        </is>
      </c>
      <c r="E412" t="inlineStr">
        <is>
          <t>SALA</t>
        </is>
      </c>
      <c r="G412" t="n">
        <v>2.9</v>
      </c>
      <c r="H412" t="n">
        <v>0</v>
      </c>
      <c r="I412" t="n">
        <v>0</v>
      </c>
      <c r="J412" t="n">
        <v>0</v>
      </c>
      <c r="K412" t="n">
        <v>0</v>
      </c>
      <c r="L412" t="n">
        <v>0</v>
      </c>
      <c r="M412" t="n">
        <v>0</v>
      </c>
      <c r="N412" t="n">
        <v>0</v>
      </c>
      <c r="O412" t="n">
        <v>0</v>
      </c>
      <c r="P412" t="n">
        <v>0</v>
      </c>
      <c r="Q412" t="n">
        <v>0</v>
      </c>
      <c r="R412" s="2" t="inlineStr"/>
    </row>
    <row r="413" ht="15" customHeight="1">
      <c r="A413" t="inlineStr">
        <is>
          <t>A 1993-2022</t>
        </is>
      </c>
      <c r="B413" s="1" t="n">
        <v>44575</v>
      </c>
      <c r="C413" s="1" t="n">
        <v>45996</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17051-2025</t>
        </is>
      </c>
      <c r="B414" s="1" t="n">
        <v>45755</v>
      </c>
      <c r="C414" s="1" t="n">
        <v>45996</v>
      </c>
      <c r="D414" t="inlineStr">
        <is>
          <t>VÄSTMANLANDS LÄN</t>
        </is>
      </c>
      <c r="E414" t="inlineStr">
        <is>
          <t>SALA</t>
        </is>
      </c>
      <c r="G414" t="n">
        <v>2.9</v>
      </c>
      <c r="H414" t="n">
        <v>0</v>
      </c>
      <c r="I414" t="n">
        <v>0</v>
      </c>
      <c r="J414" t="n">
        <v>0</v>
      </c>
      <c r="K414" t="n">
        <v>0</v>
      </c>
      <c r="L414" t="n">
        <v>0</v>
      </c>
      <c r="M414" t="n">
        <v>0</v>
      </c>
      <c r="N414" t="n">
        <v>0</v>
      </c>
      <c r="O414" t="n">
        <v>0</v>
      </c>
      <c r="P414" t="n">
        <v>0</v>
      </c>
      <c r="Q414" t="n">
        <v>0</v>
      </c>
      <c r="R414" s="2" t="inlineStr"/>
    </row>
    <row r="415" ht="15" customHeight="1">
      <c r="A415" t="inlineStr">
        <is>
          <t>A 17766-2025</t>
        </is>
      </c>
      <c r="B415" s="1" t="n">
        <v>45758</v>
      </c>
      <c r="C415" s="1" t="n">
        <v>45996</v>
      </c>
      <c r="D415" t="inlineStr">
        <is>
          <t>VÄSTMANLANDS LÄN</t>
        </is>
      </c>
      <c r="E415" t="inlineStr">
        <is>
          <t>SALA</t>
        </is>
      </c>
      <c r="G415" t="n">
        <v>16.5</v>
      </c>
      <c r="H415" t="n">
        <v>0</v>
      </c>
      <c r="I415" t="n">
        <v>0</v>
      </c>
      <c r="J415" t="n">
        <v>0</v>
      </c>
      <c r="K415" t="n">
        <v>0</v>
      </c>
      <c r="L415" t="n">
        <v>0</v>
      </c>
      <c r="M415" t="n">
        <v>0</v>
      </c>
      <c r="N415" t="n">
        <v>0</v>
      </c>
      <c r="O415" t="n">
        <v>0</v>
      </c>
      <c r="P415" t="n">
        <v>0</v>
      </c>
      <c r="Q415" t="n">
        <v>0</v>
      </c>
      <c r="R415" s="2" t="inlineStr"/>
    </row>
    <row r="416" ht="15" customHeight="1">
      <c r="A416" t="inlineStr">
        <is>
          <t>A 43509-2021</t>
        </is>
      </c>
      <c r="B416" s="1" t="n">
        <v>44433</v>
      </c>
      <c r="C416" s="1" t="n">
        <v>45996</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41230-2025</t>
        </is>
      </c>
      <c r="B417" s="1" t="n">
        <v>45898</v>
      </c>
      <c r="C417" s="1" t="n">
        <v>45996</v>
      </c>
      <c r="D417" t="inlineStr">
        <is>
          <t>VÄSTMANLANDS LÄN</t>
        </is>
      </c>
      <c r="E417" t="inlineStr">
        <is>
          <t>SALA</t>
        </is>
      </c>
      <c r="G417" t="n">
        <v>2.3</v>
      </c>
      <c r="H417" t="n">
        <v>0</v>
      </c>
      <c r="I417" t="n">
        <v>0</v>
      </c>
      <c r="J417" t="n">
        <v>0</v>
      </c>
      <c r="K417" t="n">
        <v>0</v>
      </c>
      <c r="L417" t="n">
        <v>0</v>
      </c>
      <c r="M417" t="n">
        <v>0</v>
      </c>
      <c r="N417" t="n">
        <v>0</v>
      </c>
      <c r="O417" t="n">
        <v>0</v>
      </c>
      <c r="P417" t="n">
        <v>0</v>
      </c>
      <c r="Q417" t="n">
        <v>0</v>
      </c>
      <c r="R417" s="2" t="inlineStr"/>
    </row>
    <row r="418" ht="15" customHeight="1">
      <c r="A418" t="inlineStr">
        <is>
          <t>A 54959-2024</t>
        </is>
      </c>
      <c r="B418" s="1" t="n">
        <v>45619</v>
      </c>
      <c r="C418" s="1" t="n">
        <v>45996</v>
      </c>
      <c r="D418" t="inlineStr">
        <is>
          <t>VÄSTMANLANDS LÄN</t>
        </is>
      </c>
      <c r="E418" t="inlineStr">
        <is>
          <t>SALA</t>
        </is>
      </c>
      <c r="G418" t="n">
        <v>1.3</v>
      </c>
      <c r="H418" t="n">
        <v>0</v>
      </c>
      <c r="I418" t="n">
        <v>0</v>
      </c>
      <c r="J418" t="n">
        <v>0</v>
      </c>
      <c r="K418" t="n">
        <v>0</v>
      </c>
      <c r="L418" t="n">
        <v>0</v>
      </c>
      <c r="M418" t="n">
        <v>0</v>
      </c>
      <c r="N418" t="n">
        <v>0</v>
      </c>
      <c r="O418" t="n">
        <v>0</v>
      </c>
      <c r="P418" t="n">
        <v>0</v>
      </c>
      <c r="Q418" t="n">
        <v>0</v>
      </c>
      <c r="R418" s="2" t="inlineStr"/>
    </row>
    <row r="419" ht="15" customHeight="1">
      <c r="A419" t="inlineStr">
        <is>
          <t>A 31863-2025</t>
        </is>
      </c>
      <c r="B419" s="1" t="n">
        <v>45834.63303240741</v>
      </c>
      <c r="C419" s="1" t="n">
        <v>45996</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56964-2023</t>
        </is>
      </c>
      <c r="B420" s="1" t="n">
        <v>45244.63140046296</v>
      </c>
      <c r="C420" s="1" t="n">
        <v>45996</v>
      </c>
      <c r="D420" t="inlineStr">
        <is>
          <t>VÄSTMANLANDS LÄN</t>
        </is>
      </c>
      <c r="E420" t="inlineStr">
        <is>
          <t>SALA</t>
        </is>
      </c>
      <c r="G420" t="n">
        <v>4.6</v>
      </c>
      <c r="H420" t="n">
        <v>0</v>
      </c>
      <c r="I420" t="n">
        <v>0</v>
      </c>
      <c r="J420" t="n">
        <v>0</v>
      </c>
      <c r="K420" t="n">
        <v>0</v>
      </c>
      <c r="L420" t="n">
        <v>0</v>
      </c>
      <c r="M420" t="n">
        <v>0</v>
      </c>
      <c r="N420" t="n">
        <v>0</v>
      </c>
      <c r="O420" t="n">
        <v>0</v>
      </c>
      <c r="P420" t="n">
        <v>0</v>
      </c>
      <c r="Q420" t="n">
        <v>0</v>
      </c>
      <c r="R420" s="2" t="inlineStr"/>
    </row>
    <row r="421" ht="15" customHeight="1">
      <c r="A421" t="inlineStr">
        <is>
          <t>A 37337-2024</t>
        </is>
      </c>
      <c r="B421" s="1" t="n">
        <v>45540</v>
      </c>
      <c r="C421" s="1" t="n">
        <v>45996</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17120-2023</t>
        </is>
      </c>
      <c r="B422" s="1" t="n">
        <v>45034</v>
      </c>
      <c r="C422" s="1" t="n">
        <v>45996</v>
      </c>
      <c r="D422" t="inlineStr">
        <is>
          <t>VÄSTMANLANDS LÄN</t>
        </is>
      </c>
      <c r="E422" t="inlineStr">
        <is>
          <t>SALA</t>
        </is>
      </c>
      <c r="G422" t="n">
        <v>0.1</v>
      </c>
      <c r="H422" t="n">
        <v>0</v>
      </c>
      <c r="I422" t="n">
        <v>0</v>
      </c>
      <c r="J422" t="n">
        <v>0</v>
      </c>
      <c r="K422" t="n">
        <v>0</v>
      </c>
      <c r="L422" t="n">
        <v>0</v>
      </c>
      <c r="M422" t="n">
        <v>0</v>
      </c>
      <c r="N422" t="n">
        <v>0</v>
      </c>
      <c r="O422" t="n">
        <v>0</v>
      </c>
      <c r="P422" t="n">
        <v>0</v>
      </c>
      <c r="Q422" t="n">
        <v>0</v>
      </c>
      <c r="R422" s="2" t="inlineStr"/>
    </row>
    <row r="423" ht="15" customHeight="1">
      <c r="A423" t="inlineStr">
        <is>
          <t>A 3546-2025</t>
        </is>
      </c>
      <c r="B423" s="1" t="n">
        <v>45680</v>
      </c>
      <c r="C423" s="1" t="n">
        <v>45996</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34494-2023</t>
        </is>
      </c>
      <c r="B424" s="1" t="n">
        <v>45133</v>
      </c>
      <c r="C424" s="1" t="n">
        <v>45996</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66908-2021</t>
        </is>
      </c>
      <c r="B425" s="1" t="n">
        <v>44522</v>
      </c>
      <c r="C425" s="1" t="n">
        <v>45996</v>
      </c>
      <c r="D425" t="inlineStr">
        <is>
          <t>VÄSTMANLANDS LÄN</t>
        </is>
      </c>
      <c r="E425" t="inlineStr">
        <is>
          <t>SALA</t>
        </is>
      </c>
      <c r="G425" t="n">
        <v>2.6</v>
      </c>
      <c r="H425" t="n">
        <v>0</v>
      </c>
      <c r="I425" t="n">
        <v>0</v>
      </c>
      <c r="J425" t="n">
        <v>0</v>
      </c>
      <c r="K425" t="n">
        <v>0</v>
      </c>
      <c r="L425" t="n">
        <v>0</v>
      </c>
      <c r="M425" t="n">
        <v>0</v>
      </c>
      <c r="N425" t="n">
        <v>0</v>
      </c>
      <c r="O425" t="n">
        <v>0</v>
      </c>
      <c r="P425" t="n">
        <v>0</v>
      </c>
      <c r="Q425" t="n">
        <v>0</v>
      </c>
      <c r="R425" s="2" t="inlineStr"/>
    </row>
    <row r="426" ht="15" customHeight="1">
      <c r="A426" t="inlineStr">
        <is>
          <t>A 31869-2025</t>
        </is>
      </c>
      <c r="B426" s="1" t="n">
        <v>45834.64555555556</v>
      </c>
      <c r="C426" s="1" t="n">
        <v>45996</v>
      </c>
      <c r="D426" t="inlineStr">
        <is>
          <t>VÄSTMANLANDS LÄN</t>
        </is>
      </c>
      <c r="E426" t="inlineStr">
        <is>
          <t>SALA</t>
        </is>
      </c>
      <c r="G426" t="n">
        <v>17.5</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44552.92112268518</v>
      </c>
      <c r="C427" s="1" t="n">
        <v>45996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7664-2023</t>
        </is>
      </c>
      <c r="B428" s="1" t="n">
        <v>44972</v>
      </c>
      <c r="C428" s="1" t="n">
        <v>45996</v>
      </c>
      <c r="D428" t="inlineStr">
        <is>
          <t>VÄSTMANLANDS LÄN</t>
        </is>
      </c>
      <c r="E428" t="inlineStr">
        <is>
          <t>SALA</t>
        </is>
      </c>
      <c r="G428" t="n">
        <v>1.4</v>
      </c>
      <c r="H428" t="n">
        <v>0</v>
      </c>
      <c r="I428" t="n">
        <v>0</v>
      </c>
      <c r="J428" t="n">
        <v>0</v>
      </c>
      <c r="K428" t="n">
        <v>0</v>
      </c>
      <c r="L428" t="n">
        <v>0</v>
      </c>
      <c r="M428" t="n">
        <v>0</v>
      </c>
      <c r="N428" t="n">
        <v>0</v>
      </c>
      <c r="O428" t="n">
        <v>0</v>
      </c>
      <c r="P428" t="n">
        <v>0</v>
      </c>
      <c r="Q428" t="n">
        <v>0</v>
      </c>
      <c r="R428" s="2" t="inlineStr"/>
    </row>
    <row r="429" ht="15" customHeight="1">
      <c r="A429" t="inlineStr">
        <is>
          <t>A 3810-2023</t>
        </is>
      </c>
      <c r="B429" s="1" t="n">
        <v>44951.60454861111</v>
      </c>
      <c r="C429" s="1" t="n">
        <v>45996</v>
      </c>
      <c r="D429" t="inlineStr">
        <is>
          <t>VÄSTMANLANDS LÄN</t>
        </is>
      </c>
      <c r="E429" t="inlineStr">
        <is>
          <t>SALA</t>
        </is>
      </c>
      <c r="G429" t="n">
        <v>4.2</v>
      </c>
      <c r="H429" t="n">
        <v>0</v>
      </c>
      <c r="I429" t="n">
        <v>0</v>
      </c>
      <c r="J429" t="n">
        <v>0</v>
      </c>
      <c r="K429" t="n">
        <v>0</v>
      </c>
      <c r="L429" t="n">
        <v>0</v>
      </c>
      <c r="M429" t="n">
        <v>0</v>
      </c>
      <c r="N429" t="n">
        <v>0</v>
      </c>
      <c r="O429" t="n">
        <v>0</v>
      </c>
      <c r="P429" t="n">
        <v>0</v>
      </c>
      <c r="Q429" t="n">
        <v>0</v>
      </c>
      <c r="R429" s="2" t="inlineStr"/>
    </row>
    <row r="430" ht="15" customHeight="1">
      <c r="A430" t="inlineStr">
        <is>
          <t>A 17985-2025</t>
        </is>
      </c>
      <c r="B430" s="1" t="n">
        <v>45761</v>
      </c>
      <c r="C430" s="1" t="n">
        <v>45996</v>
      </c>
      <c r="D430" t="inlineStr">
        <is>
          <t>VÄSTMANLANDS LÄN</t>
        </is>
      </c>
      <c r="E430" t="inlineStr">
        <is>
          <t>SALA</t>
        </is>
      </c>
      <c r="G430" t="n">
        <v>12.5</v>
      </c>
      <c r="H430" t="n">
        <v>0</v>
      </c>
      <c r="I430" t="n">
        <v>0</v>
      </c>
      <c r="J430" t="n">
        <v>0</v>
      </c>
      <c r="K430" t="n">
        <v>0</v>
      </c>
      <c r="L430" t="n">
        <v>0</v>
      </c>
      <c r="M430" t="n">
        <v>0</v>
      </c>
      <c r="N430" t="n">
        <v>0</v>
      </c>
      <c r="O430" t="n">
        <v>0</v>
      </c>
      <c r="P430" t="n">
        <v>0</v>
      </c>
      <c r="Q430" t="n">
        <v>0</v>
      </c>
      <c r="R430" s="2" t="inlineStr"/>
    </row>
    <row r="431" ht="15" customHeight="1">
      <c r="A431" t="inlineStr">
        <is>
          <t>A 10579-2022</t>
        </is>
      </c>
      <c r="B431" s="1" t="n">
        <v>44624</v>
      </c>
      <c r="C431" s="1" t="n">
        <v>45996</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9335-2022</t>
        </is>
      </c>
      <c r="B432" s="1" t="n">
        <v>44616.56579861111</v>
      </c>
      <c r="C432" s="1" t="n">
        <v>45996</v>
      </c>
      <c r="D432" t="inlineStr">
        <is>
          <t>VÄSTMANLANDS LÄN</t>
        </is>
      </c>
      <c r="E432" t="inlineStr">
        <is>
          <t>SALA</t>
        </is>
      </c>
      <c r="G432" t="n">
        <v>1.5</v>
      </c>
      <c r="H432" t="n">
        <v>0</v>
      </c>
      <c r="I432" t="n">
        <v>0</v>
      </c>
      <c r="J432" t="n">
        <v>0</v>
      </c>
      <c r="K432" t="n">
        <v>0</v>
      </c>
      <c r="L432" t="n">
        <v>0</v>
      </c>
      <c r="M432" t="n">
        <v>0</v>
      </c>
      <c r="N432" t="n">
        <v>0</v>
      </c>
      <c r="O432" t="n">
        <v>0</v>
      </c>
      <c r="P432" t="n">
        <v>0</v>
      </c>
      <c r="Q432" t="n">
        <v>0</v>
      </c>
      <c r="R432" s="2" t="inlineStr"/>
    </row>
    <row r="433" ht="15" customHeight="1">
      <c r="A433" t="inlineStr">
        <is>
          <t>A 37103-2025</t>
        </is>
      </c>
      <c r="B433" s="1" t="n">
        <v>45875.47743055555</v>
      </c>
      <c r="C433" s="1" t="n">
        <v>45996</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45313-2024</t>
        </is>
      </c>
      <c r="B434" s="1" t="n">
        <v>45576</v>
      </c>
      <c r="C434" s="1" t="n">
        <v>45996</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12252-2023</t>
        </is>
      </c>
      <c r="B435" s="1" t="n">
        <v>44995</v>
      </c>
      <c r="C435" s="1" t="n">
        <v>45996</v>
      </c>
      <c r="D435" t="inlineStr">
        <is>
          <t>VÄSTMANLANDS LÄN</t>
        </is>
      </c>
      <c r="E435" t="inlineStr">
        <is>
          <t>SALA</t>
        </is>
      </c>
      <c r="G435" t="n">
        <v>2.6</v>
      </c>
      <c r="H435" t="n">
        <v>0</v>
      </c>
      <c r="I435" t="n">
        <v>0</v>
      </c>
      <c r="J435" t="n">
        <v>0</v>
      </c>
      <c r="K435" t="n">
        <v>0</v>
      </c>
      <c r="L435" t="n">
        <v>0</v>
      </c>
      <c r="M435" t="n">
        <v>0</v>
      </c>
      <c r="N435" t="n">
        <v>0</v>
      </c>
      <c r="O435" t="n">
        <v>0</v>
      </c>
      <c r="P435" t="n">
        <v>0</v>
      </c>
      <c r="Q435" t="n">
        <v>0</v>
      </c>
      <c r="R435" s="2" t="inlineStr"/>
    </row>
    <row r="436" ht="15" customHeight="1">
      <c r="A436" t="inlineStr">
        <is>
          <t>A 37017-2025</t>
        </is>
      </c>
      <c r="B436" s="1" t="n">
        <v>45874</v>
      </c>
      <c r="C436" s="1" t="n">
        <v>45996</v>
      </c>
      <c r="D436" t="inlineStr">
        <is>
          <t>VÄSTMANLANDS LÄN</t>
        </is>
      </c>
      <c r="E436" t="inlineStr">
        <is>
          <t>SALA</t>
        </is>
      </c>
      <c r="G436" t="n">
        <v>11.1</v>
      </c>
      <c r="H436" t="n">
        <v>0</v>
      </c>
      <c r="I436" t="n">
        <v>0</v>
      </c>
      <c r="J436" t="n">
        <v>0</v>
      </c>
      <c r="K436" t="n">
        <v>0</v>
      </c>
      <c r="L436" t="n">
        <v>0</v>
      </c>
      <c r="M436" t="n">
        <v>0</v>
      </c>
      <c r="N436" t="n">
        <v>0</v>
      </c>
      <c r="O436" t="n">
        <v>0</v>
      </c>
      <c r="P436" t="n">
        <v>0</v>
      </c>
      <c r="Q436" t="n">
        <v>0</v>
      </c>
      <c r="R436" s="2" t="inlineStr"/>
    </row>
    <row r="437" ht="15" customHeight="1">
      <c r="A437" t="inlineStr">
        <is>
          <t>A 23119-2022</t>
        </is>
      </c>
      <c r="B437" s="1" t="n">
        <v>44719.56697916667</v>
      </c>
      <c r="C437" s="1" t="n">
        <v>45996</v>
      </c>
      <c r="D437" t="inlineStr">
        <is>
          <t>VÄSTMANLANDS LÄN</t>
        </is>
      </c>
      <c r="E437" t="inlineStr">
        <is>
          <t>SALA</t>
        </is>
      </c>
      <c r="G437" t="n">
        <v>7</v>
      </c>
      <c r="H437" t="n">
        <v>0</v>
      </c>
      <c r="I437" t="n">
        <v>0</v>
      </c>
      <c r="J437" t="n">
        <v>0</v>
      </c>
      <c r="K437" t="n">
        <v>0</v>
      </c>
      <c r="L437" t="n">
        <v>0</v>
      </c>
      <c r="M437" t="n">
        <v>0</v>
      </c>
      <c r="N437" t="n">
        <v>0</v>
      </c>
      <c r="O437" t="n">
        <v>0</v>
      </c>
      <c r="P437" t="n">
        <v>0</v>
      </c>
      <c r="Q437" t="n">
        <v>0</v>
      </c>
      <c r="R437" s="2" t="inlineStr"/>
    </row>
    <row r="438" ht="15" customHeight="1">
      <c r="A438" t="inlineStr">
        <is>
          <t>A 1196-2023</t>
        </is>
      </c>
      <c r="B438" s="1" t="n">
        <v>44935.82290509259</v>
      </c>
      <c r="C438" s="1" t="n">
        <v>45996</v>
      </c>
      <c r="D438" t="inlineStr">
        <is>
          <t>VÄSTMANLANDS LÄN</t>
        </is>
      </c>
      <c r="E438" t="inlineStr">
        <is>
          <t>SALA</t>
        </is>
      </c>
      <c r="G438" t="n">
        <v>4.1</v>
      </c>
      <c r="H438" t="n">
        <v>0</v>
      </c>
      <c r="I438" t="n">
        <v>0</v>
      </c>
      <c r="J438" t="n">
        <v>0</v>
      </c>
      <c r="K438" t="n">
        <v>0</v>
      </c>
      <c r="L438" t="n">
        <v>0</v>
      </c>
      <c r="M438" t="n">
        <v>0</v>
      </c>
      <c r="N438" t="n">
        <v>0</v>
      </c>
      <c r="O438" t="n">
        <v>0</v>
      </c>
      <c r="P438" t="n">
        <v>0</v>
      </c>
      <c r="Q438" t="n">
        <v>0</v>
      </c>
      <c r="R438" s="2" t="inlineStr"/>
    </row>
    <row r="439" ht="15" customHeight="1">
      <c r="A439" t="inlineStr">
        <is>
          <t>A 37246-2025</t>
        </is>
      </c>
      <c r="B439" s="1" t="n">
        <v>45876.39435185185</v>
      </c>
      <c r="C439" s="1" t="n">
        <v>45996</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41414-2025</t>
        </is>
      </c>
      <c r="B440" s="1" t="n">
        <v>45901.360625</v>
      </c>
      <c r="C440" s="1" t="n">
        <v>45996</v>
      </c>
      <c r="D440" t="inlineStr">
        <is>
          <t>VÄSTMANLANDS LÄN</t>
        </is>
      </c>
      <c r="E440" t="inlineStr">
        <is>
          <t>SALA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25260-2023</t>
        </is>
      </c>
      <c r="B441" s="1" t="n">
        <v>45086</v>
      </c>
      <c r="C441" s="1" t="n">
        <v>45996</v>
      </c>
      <c r="D441" t="inlineStr">
        <is>
          <t>VÄSTMANLANDS LÄN</t>
        </is>
      </c>
      <c r="E441" t="inlineStr">
        <is>
          <t>SALA</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57404-2024</t>
        </is>
      </c>
      <c r="B442" s="1" t="n">
        <v>45629.71967592592</v>
      </c>
      <c r="C442" s="1" t="n">
        <v>45996</v>
      </c>
      <c r="D442" t="inlineStr">
        <is>
          <t>VÄSTMANLANDS LÄN</t>
        </is>
      </c>
      <c r="E442" t="inlineStr">
        <is>
          <t>SALA</t>
        </is>
      </c>
      <c r="G442" t="n">
        <v>0.3</v>
      </c>
      <c r="H442" t="n">
        <v>0</v>
      </c>
      <c r="I442" t="n">
        <v>0</v>
      </c>
      <c r="J442" t="n">
        <v>0</v>
      </c>
      <c r="K442" t="n">
        <v>0</v>
      </c>
      <c r="L442" t="n">
        <v>0</v>
      </c>
      <c r="M442" t="n">
        <v>0</v>
      </c>
      <c r="N442" t="n">
        <v>0</v>
      </c>
      <c r="O442" t="n">
        <v>0</v>
      </c>
      <c r="P442" t="n">
        <v>0</v>
      </c>
      <c r="Q442" t="n">
        <v>0</v>
      </c>
      <c r="R442" s="2" t="inlineStr"/>
    </row>
    <row r="443" ht="15" customHeight="1">
      <c r="A443" t="inlineStr">
        <is>
          <t>A 37590-2025</t>
        </is>
      </c>
      <c r="B443" s="1" t="n">
        <v>45880.41138888889</v>
      </c>
      <c r="C443" s="1" t="n">
        <v>45996</v>
      </c>
      <c r="D443" t="inlineStr">
        <is>
          <t>VÄSTMANLANDS LÄN</t>
        </is>
      </c>
      <c r="E443" t="inlineStr">
        <is>
          <t>SALA</t>
        </is>
      </c>
      <c r="G443" t="n">
        <v>2.2</v>
      </c>
      <c r="H443" t="n">
        <v>0</v>
      </c>
      <c r="I443" t="n">
        <v>0</v>
      </c>
      <c r="J443" t="n">
        <v>0</v>
      </c>
      <c r="K443" t="n">
        <v>0</v>
      </c>
      <c r="L443" t="n">
        <v>0</v>
      </c>
      <c r="M443" t="n">
        <v>0</v>
      </c>
      <c r="N443" t="n">
        <v>0</v>
      </c>
      <c r="O443" t="n">
        <v>0</v>
      </c>
      <c r="P443" t="n">
        <v>0</v>
      </c>
      <c r="Q443" t="n">
        <v>0</v>
      </c>
      <c r="R443" s="2" t="inlineStr"/>
    </row>
    <row r="444" ht="15" customHeight="1">
      <c r="A444" t="inlineStr">
        <is>
          <t>A 37593-2025</t>
        </is>
      </c>
      <c r="B444" s="1" t="n">
        <v>45880.41325231481</v>
      </c>
      <c r="C444" s="1" t="n">
        <v>45996</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52503-2024</t>
        </is>
      </c>
      <c r="B445" s="1" t="n">
        <v>45609.58806712963</v>
      </c>
      <c r="C445" s="1" t="n">
        <v>45996</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13128-2023</t>
        </is>
      </c>
      <c r="B446" s="1" t="n">
        <v>45002</v>
      </c>
      <c r="C446" s="1" t="n">
        <v>45996</v>
      </c>
      <c r="D446" t="inlineStr">
        <is>
          <t>VÄSTMANLANDS LÄN</t>
        </is>
      </c>
      <c r="E446" t="inlineStr">
        <is>
          <t>SALA</t>
        </is>
      </c>
      <c r="G446" t="n">
        <v>7.9</v>
      </c>
      <c r="H446" t="n">
        <v>0</v>
      </c>
      <c r="I446" t="n">
        <v>0</v>
      </c>
      <c r="J446" t="n">
        <v>0</v>
      </c>
      <c r="K446" t="n">
        <v>0</v>
      </c>
      <c r="L446" t="n">
        <v>0</v>
      </c>
      <c r="M446" t="n">
        <v>0</v>
      </c>
      <c r="N446" t="n">
        <v>0</v>
      </c>
      <c r="O446" t="n">
        <v>0</v>
      </c>
      <c r="P446" t="n">
        <v>0</v>
      </c>
      <c r="Q446" t="n">
        <v>0</v>
      </c>
      <c r="R446" s="2" t="inlineStr"/>
    </row>
    <row r="447" ht="15" customHeight="1">
      <c r="A447" t="inlineStr">
        <is>
          <t>A 61717-2024</t>
        </is>
      </c>
      <c r="B447" s="1" t="n">
        <v>45648</v>
      </c>
      <c r="C447" s="1" t="n">
        <v>45996</v>
      </c>
      <c r="D447" t="inlineStr">
        <is>
          <t>VÄSTMANLANDS LÄN</t>
        </is>
      </c>
      <c r="E447" t="inlineStr">
        <is>
          <t>SALA</t>
        </is>
      </c>
      <c r="G447" t="n">
        <v>3.7</v>
      </c>
      <c r="H447" t="n">
        <v>0</v>
      </c>
      <c r="I447" t="n">
        <v>0</v>
      </c>
      <c r="J447" t="n">
        <v>0</v>
      </c>
      <c r="K447" t="n">
        <v>0</v>
      </c>
      <c r="L447" t="n">
        <v>0</v>
      </c>
      <c r="M447" t="n">
        <v>0</v>
      </c>
      <c r="N447" t="n">
        <v>0</v>
      </c>
      <c r="O447" t="n">
        <v>0</v>
      </c>
      <c r="P447" t="n">
        <v>0</v>
      </c>
      <c r="Q447" t="n">
        <v>0</v>
      </c>
      <c r="R447" s="2" t="inlineStr"/>
    </row>
    <row r="448" ht="15" customHeight="1">
      <c r="A448" t="inlineStr">
        <is>
          <t>A 17722-2025</t>
        </is>
      </c>
      <c r="B448" s="1" t="n">
        <v>45758</v>
      </c>
      <c r="C448" s="1" t="n">
        <v>45996</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53164-2024</t>
        </is>
      </c>
      <c r="B449" s="1" t="n">
        <v>45611.64887731482</v>
      </c>
      <c r="C449" s="1" t="n">
        <v>45996</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41431-2025</t>
        </is>
      </c>
      <c r="B450" s="1" t="n">
        <v>45901.39347222223</v>
      </c>
      <c r="C450" s="1" t="n">
        <v>45996</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7953-2024</t>
        </is>
      </c>
      <c r="B451" s="1" t="n">
        <v>45350</v>
      </c>
      <c r="C451" s="1" t="n">
        <v>45996</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30028-2024</t>
        </is>
      </c>
      <c r="B452" s="1" t="n">
        <v>45485</v>
      </c>
      <c r="C452" s="1" t="n">
        <v>45996</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7950-2025</t>
        </is>
      </c>
      <c r="B453" s="1" t="n">
        <v>45707.41799768519</v>
      </c>
      <c r="C453" s="1" t="n">
        <v>45996</v>
      </c>
      <c r="D453" t="inlineStr">
        <is>
          <t>VÄSTMANLANDS LÄN</t>
        </is>
      </c>
      <c r="E453" t="inlineStr">
        <is>
          <t>SALA</t>
        </is>
      </c>
      <c r="G453" t="n">
        <v>3.2</v>
      </c>
      <c r="H453" t="n">
        <v>0</v>
      </c>
      <c r="I453" t="n">
        <v>0</v>
      </c>
      <c r="J453" t="n">
        <v>0</v>
      </c>
      <c r="K453" t="n">
        <v>0</v>
      </c>
      <c r="L453" t="n">
        <v>0</v>
      </c>
      <c r="M453" t="n">
        <v>0</v>
      </c>
      <c r="N453" t="n">
        <v>0</v>
      </c>
      <c r="O453" t="n">
        <v>0</v>
      </c>
      <c r="P453" t="n">
        <v>0</v>
      </c>
      <c r="Q453" t="n">
        <v>0</v>
      </c>
      <c r="R453" s="2" t="inlineStr"/>
    </row>
    <row r="454" ht="15" customHeight="1">
      <c r="A454" t="inlineStr">
        <is>
          <t>A 24864-2024</t>
        </is>
      </c>
      <c r="B454" s="1" t="n">
        <v>45461.48888888889</v>
      </c>
      <c r="C454" s="1" t="n">
        <v>45996</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38294-2025</t>
        </is>
      </c>
      <c r="B455" s="1" t="n">
        <v>45883.44854166666</v>
      </c>
      <c r="C455" s="1" t="n">
        <v>45996</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27657-2023</t>
        </is>
      </c>
      <c r="B456" s="1" t="n">
        <v>45097.76631944445</v>
      </c>
      <c r="C456" s="1" t="n">
        <v>45996</v>
      </c>
      <c r="D456" t="inlineStr">
        <is>
          <t>VÄSTMANLANDS LÄN</t>
        </is>
      </c>
      <c r="E456" t="inlineStr">
        <is>
          <t>SALA</t>
        </is>
      </c>
      <c r="G456" t="n">
        <v>0.1</v>
      </c>
      <c r="H456" t="n">
        <v>0</v>
      </c>
      <c r="I456" t="n">
        <v>0</v>
      </c>
      <c r="J456" t="n">
        <v>0</v>
      </c>
      <c r="K456" t="n">
        <v>0</v>
      </c>
      <c r="L456" t="n">
        <v>0</v>
      </c>
      <c r="M456" t="n">
        <v>0</v>
      </c>
      <c r="N456" t="n">
        <v>0</v>
      </c>
      <c r="O456" t="n">
        <v>0</v>
      </c>
      <c r="P456" t="n">
        <v>0</v>
      </c>
      <c r="Q456" t="n">
        <v>0</v>
      </c>
      <c r="R456" s="2" t="inlineStr"/>
    </row>
    <row r="457" ht="15" customHeight="1">
      <c r="A457" t="inlineStr">
        <is>
          <t>A 43359-2024</t>
        </is>
      </c>
      <c r="B457" s="1" t="n">
        <v>45568.57724537037</v>
      </c>
      <c r="C457" s="1" t="n">
        <v>45996</v>
      </c>
      <c r="D457" t="inlineStr">
        <is>
          <t>VÄSTMANLANDS LÄN</t>
        </is>
      </c>
      <c r="E457" t="inlineStr">
        <is>
          <t>SALA</t>
        </is>
      </c>
      <c r="G457" t="n">
        <v>1.6</v>
      </c>
      <c r="H457" t="n">
        <v>0</v>
      </c>
      <c r="I457" t="n">
        <v>0</v>
      </c>
      <c r="J457" t="n">
        <v>0</v>
      </c>
      <c r="K457" t="n">
        <v>0</v>
      </c>
      <c r="L457" t="n">
        <v>0</v>
      </c>
      <c r="M457" t="n">
        <v>0</v>
      </c>
      <c r="N457" t="n">
        <v>0</v>
      </c>
      <c r="O457" t="n">
        <v>0</v>
      </c>
      <c r="P457" t="n">
        <v>0</v>
      </c>
      <c r="Q457" t="n">
        <v>0</v>
      </c>
      <c r="R457" s="2" t="inlineStr"/>
    </row>
    <row r="458" ht="15" customHeight="1">
      <c r="A458" t="inlineStr">
        <is>
          <t>A 29972-2025</t>
        </is>
      </c>
      <c r="B458" s="1" t="n">
        <v>45826</v>
      </c>
      <c r="C458" s="1" t="n">
        <v>45996</v>
      </c>
      <c r="D458" t="inlineStr">
        <is>
          <t>VÄSTMANLANDS LÄN</t>
        </is>
      </c>
      <c r="E458" t="inlineStr">
        <is>
          <t>SALA</t>
        </is>
      </c>
      <c r="G458" t="n">
        <v>2.7</v>
      </c>
      <c r="H458" t="n">
        <v>0</v>
      </c>
      <c r="I458" t="n">
        <v>0</v>
      </c>
      <c r="J458" t="n">
        <v>0</v>
      </c>
      <c r="K458" t="n">
        <v>0</v>
      </c>
      <c r="L458" t="n">
        <v>0</v>
      </c>
      <c r="M458" t="n">
        <v>0</v>
      </c>
      <c r="N458" t="n">
        <v>0</v>
      </c>
      <c r="O458" t="n">
        <v>0</v>
      </c>
      <c r="P458" t="n">
        <v>0</v>
      </c>
      <c r="Q458" t="n">
        <v>0</v>
      </c>
      <c r="R458" s="2" t="inlineStr"/>
    </row>
    <row r="459" ht="15" customHeight="1">
      <c r="A459" t="inlineStr">
        <is>
          <t>A 24755-2021</t>
        </is>
      </c>
      <c r="B459" s="1" t="n">
        <v>44340</v>
      </c>
      <c r="C459" s="1" t="n">
        <v>45996</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13855-2023</t>
        </is>
      </c>
      <c r="B460" s="1" t="n">
        <v>45007</v>
      </c>
      <c r="C460" s="1" t="n">
        <v>45996</v>
      </c>
      <c r="D460" t="inlineStr">
        <is>
          <t>VÄSTMANLANDS LÄN</t>
        </is>
      </c>
      <c r="E460" t="inlineStr">
        <is>
          <t>SALA</t>
        </is>
      </c>
      <c r="G460" t="n">
        <v>2.9</v>
      </c>
      <c r="H460" t="n">
        <v>0</v>
      </c>
      <c r="I460" t="n">
        <v>0</v>
      </c>
      <c r="J460" t="n">
        <v>0</v>
      </c>
      <c r="K460" t="n">
        <v>0</v>
      </c>
      <c r="L460" t="n">
        <v>0</v>
      </c>
      <c r="M460" t="n">
        <v>0</v>
      </c>
      <c r="N460" t="n">
        <v>0</v>
      </c>
      <c r="O460" t="n">
        <v>0</v>
      </c>
      <c r="P460" t="n">
        <v>0</v>
      </c>
      <c r="Q460" t="n">
        <v>0</v>
      </c>
      <c r="R460" s="2" t="inlineStr"/>
    </row>
    <row r="461" ht="15" customHeight="1">
      <c r="A461" t="inlineStr">
        <is>
          <t>A 33309-2022</t>
        </is>
      </c>
      <c r="B461" s="1" t="n">
        <v>44788.40986111111</v>
      </c>
      <c r="C461" s="1" t="n">
        <v>45996</v>
      </c>
      <c r="D461" t="inlineStr">
        <is>
          <t>VÄSTMANLANDS LÄN</t>
        </is>
      </c>
      <c r="E461" t="inlineStr">
        <is>
          <t>SALA</t>
        </is>
      </c>
      <c r="G461" t="n">
        <v>2.6</v>
      </c>
      <c r="H461" t="n">
        <v>0</v>
      </c>
      <c r="I461" t="n">
        <v>0</v>
      </c>
      <c r="J461" t="n">
        <v>0</v>
      </c>
      <c r="K461" t="n">
        <v>0</v>
      </c>
      <c r="L461" t="n">
        <v>0</v>
      </c>
      <c r="M461" t="n">
        <v>0</v>
      </c>
      <c r="N461" t="n">
        <v>0</v>
      </c>
      <c r="O461" t="n">
        <v>0</v>
      </c>
      <c r="P461" t="n">
        <v>0</v>
      </c>
      <c r="Q461" t="n">
        <v>0</v>
      </c>
      <c r="R461" s="2" t="inlineStr"/>
    </row>
    <row r="462" ht="15" customHeight="1">
      <c r="A462" t="inlineStr">
        <is>
          <t>A 47909-2022</t>
        </is>
      </c>
      <c r="B462" s="1" t="n">
        <v>44855</v>
      </c>
      <c r="C462" s="1" t="n">
        <v>45996</v>
      </c>
      <c r="D462" t="inlineStr">
        <is>
          <t>VÄSTMANLANDS LÄN</t>
        </is>
      </c>
      <c r="E462" t="inlineStr">
        <is>
          <t>SALA</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46279-2021</t>
        </is>
      </c>
      <c r="B463" s="1" t="n">
        <v>44442.57797453704</v>
      </c>
      <c r="C463" s="1" t="n">
        <v>45996</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15272-2025</t>
        </is>
      </c>
      <c r="B464" s="1" t="n">
        <v>45744</v>
      </c>
      <c r="C464" s="1" t="n">
        <v>45996</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11183-2023</t>
        </is>
      </c>
      <c r="B465" s="1" t="n">
        <v>44992.57782407408</v>
      </c>
      <c r="C465" s="1" t="n">
        <v>45996</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11190-2023</t>
        </is>
      </c>
      <c r="B466" s="1" t="n">
        <v>44992</v>
      </c>
      <c r="C466" s="1" t="n">
        <v>45996</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53838-2022</t>
        </is>
      </c>
      <c r="B467" s="1" t="n">
        <v>44880.59363425926</v>
      </c>
      <c r="C467" s="1" t="n">
        <v>45996</v>
      </c>
      <c r="D467" t="inlineStr">
        <is>
          <t>VÄSTMANLANDS LÄN</t>
        </is>
      </c>
      <c r="E467" t="inlineStr">
        <is>
          <t>SALA</t>
        </is>
      </c>
      <c r="G467" t="n">
        <v>3.9</v>
      </c>
      <c r="H467" t="n">
        <v>0</v>
      </c>
      <c r="I467" t="n">
        <v>0</v>
      </c>
      <c r="J467" t="n">
        <v>0</v>
      </c>
      <c r="K467" t="n">
        <v>0</v>
      </c>
      <c r="L467" t="n">
        <v>0</v>
      </c>
      <c r="M467" t="n">
        <v>0</v>
      </c>
      <c r="N467" t="n">
        <v>0</v>
      </c>
      <c r="O467" t="n">
        <v>0</v>
      </c>
      <c r="P467" t="n">
        <v>0</v>
      </c>
      <c r="Q467" t="n">
        <v>0</v>
      </c>
      <c r="R467" s="2" t="inlineStr"/>
    </row>
    <row r="468" ht="15" customHeight="1">
      <c r="A468" t="inlineStr">
        <is>
          <t>A 6088-2021</t>
        </is>
      </c>
      <c r="B468" s="1" t="n">
        <v>44232</v>
      </c>
      <c r="C468" s="1" t="n">
        <v>45996</v>
      </c>
      <c r="D468" t="inlineStr">
        <is>
          <t>VÄSTMANLANDS LÄN</t>
        </is>
      </c>
      <c r="E468" t="inlineStr">
        <is>
          <t>SALA</t>
        </is>
      </c>
      <c r="G468" t="n">
        <v>0.2</v>
      </c>
      <c r="H468" t="n">
        <v>0</v>
      </c>
      <c r="I468" t="n">
        <v>0</v>
      </c>
      <c r="J468" t="n">
        <v>0</v>
      </c>
      <c r="K468" t="n">
        <v>0</v>
      </c>
      <c r="L468" t="n">
        <v>0</v>
      </c>
      <c r="M468" t="n">
        <v>0</v>
      </c>
      <c r="N468" t="n">
        <v>0</v>
      </c>
      <c r="O468" t="n">
        <v>0</v>
      </c>
      <c r="P468" t="n">
        <v>0</v>
      </c>
      <c r="Q468" t="n">
        <v>0</v>
      </c>
      <c r="R468" s="2" t="inlineStr"/>
    </row>
    <row r="469" ht="15" customHeight="1">
      <c r="A469" t="inlineStr">
        <is>
          <t>A 28696-2023</t>
        </is>
      </c>
      <c r="B469" s="1" t="n">
        <v>45103.71759259259</v>
      </c>
      <c r="C469" s="1" t="n">
        <v>45996</v>
      </c>
      <c r="D469" t="inlineStr">
        <is>
          <t>VÄSTMANLANDS LÄN</t>
        </is>
      </c>
      <c r="E469" t="inlineStr">
        <is>
          <t>SALA</t>
        </is>
      </c>
      <c r="F469" t="inlineStr">
        <is>
          <t>Kommuner</t>
        </is>
      </c>
      <c r="G469" t="n">
        <v>5.9</v>
      </c>
      <c r="H469" t="n">
        <v>0</v>
      </c>
      <c r="I469" t="n">
        <v>0</v>
      </c>
      <c r="J469" t="n">
        <v>0</v>
      </c>
      <c r="K469" t="n">
        <v>0</v>
      </c>
      <c r="L469" t="n">
        <v>0</v>
      </c>
      <c r="M469" t="n">
        <v>0</v>
      </c>
      <c r="N469" t="n">
        <v>0</v>
      </c>
      <c r="O469" t="n">
        <v>0</v>
      </c>
      <c r="P469" t="n">
        <v>0</v>
      </c>
      <c r="Q469" t="n">
        <v>0</v>
      </c>
      <c r="R469" s="2" t="inlineStr"/>
    </row>
    <row r="470" ht="15" customHeight="1">
      <c r="A470" t="inlineStr">
        <is>
          <t>A 53166-2024</t>
        </is>
      </c>
      <c r="B470" s="1" t="n">
        <v>45611</v>
      </c>
      <c r="C470" s="1" t="n">
        <v>45996</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28827-2022</t>
        </is>
      </c>
      <c r="B471" s="1" t="n">
        <v>44749.45561342593</v>
      </c>
      <c r="C471" s="1" t="n">
        <v>45996</v>
      </c>
      <c r="D471" t="inlineStr">
        <is>
          <t>VÄSTMANLANDS LÄN</t>
        </is>
      </c>
      <c r="E471" t="inlineStr">
        <is>
          <t>SALA</t>
        </is>
      </c>
      <c r="F471" t="inlineStr">
        <is>
          <t>Kommuner</t>
        </is>
      </c>
      <c r="G471" t="n">
        <v>11.9</v>
      </c>
      <c r="H471" t="n">
        <v>0</v>
      </c>
      <c r="I471" t="n">
        <v>0</v>
      </c>
      <c r="J471" t="n">
        <v>0</v>
      </c>
      <c r="K471" t="n">
        <v>0</v>
      </c>
      <c r="L471" t="n">
        <v>0</v>
      </c>
      <c r="M471" t="n">
        <v>0</v>
      </c>
      <c r="N471" t="n">
        <v>0</v>
      </c>
      <c r="O471" t="n">
        <v>0</v>
      </c>
      <c r="P471" t="n">
        <v>0</v>
      </c>
      <c r="Q471" t="n">
        <v>0</v>
      </c>
      <c r="R471" s="2" t="inlineStr"/>
    </row>
    <row r="472" ht="15" customHeight="1">
      <c r="A472" t="inlineStr">
        <is>
          <t>A 6691-2025</t>
        </is>
      </c>
      <c r="B472" s="1" t="n">
        <v>45700.50625</v>
      </c>
      <c r="C472" s="1" t="n">
        <v>45996</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17866-2025</t>
        </is>
      </c>
      <c r="B473" s="1" t="n">
        <v>45758</v>
      </c>
      <c r="C473" s="1" t="n">
        <v>45996</v>
      </c>
      <c r="D473" t="inlineStr">
        <is>
          <t>VÄSTMANLANDS LÄN</t>
        </is>
      </c>
      <c r="E473" t="inlineStr">
        <is>
          <t>SALA</t>
        </is>
      </c>
      <c r="F473" t="inlineStr">
        <is>
          <t>Bergvik skog öst AB</t>
        </is>
      </c>
      <c r="G473" t="n">
        <v>2.1</v>
      </c>
      <c r="H473" t="n">
        <v>0</v>
      </c>
      <c r="I473" t="n">
        <v>0</v>
      </c>
      <c r="J473" t="n">
        <v>0</v>
      </c>
      <c r="K473" t="n">
        <v>0</v>
      </c>
      <c r="L473" t="n">
        <v>0</v>
      </c>
      <c r="M473" t="n">
        <v>0</v>
      </c>
      <c r="N473" t="n">
        <v>0</v>
      </c>
      <c r="O473" t="n">
        <v>0</v>
      </c>
      <c r="P473" t="n">
        <v>0</v>
      </c>
      <c r="Q473" t="n">
        <v>0</v>
      </c>
      <c r="R473" s="2" t="inlineStr"/>
    </row>
    <row r="474" ht="15" customHeight="1">
      <c r="A474" t="inlineStr">
        <is>
          <t>A 1934-2023</t>
        </is>
      </c>
      <c r="B474" s="1" t="n">
        <v>44939.43024305555</v>
      </c>
      <c r="C474" s="1" t="n">
        <v>45996</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35519-2024</t>
        </is>
      </c>
      <c r="B475" s="1" t="n">
        <v>45531</v>
      </c>
      <c r="C475" s="1" t="n">
        <v>45996</v>
      </c>
      <c r="D475" t="inlineStr">
        <is>
          <t>VÄSTMANLANDS LÄN</t>
        </is>
      </c>
      <c r="E475" t="inlineStr">
        <is>
          <t>SALA</t>
        </is>
      </c>
      <c r="G475" t="n">
        <v>1.8</v>
      </c>
      <c r="H475" t="n">
        <v>0</v>
      </c>
      <c r="I475" t="n">
        <v>0</v>
      </c>
      <c r="J475" t="n">
        <v>0</v>
      </c>
      <c r="K475" t="n">
        <v>0</v>
      </c>
      <c r="L475" t="n">
        <v>0</v>
      </c>
      <c r="M475" t="n">
        <v>0</v>
      </c>
      <c r="N475" t="n">
        <v>0</v>
      </c>
      <c r="O475" t="n">
        <v>0</v>
      </c>
      <c r="P475" t="n">
        <v>0</v>
      </c>
      <c r="Q475" t="n">
        <v>0</v>
      </c>
      <c r="R475" s="2" t="inlineStr"/>
    </row>
    <row r="476" ht="15" customHeight="1">
      <c r="A476" t="inlineStr">
        <is>
          <t>A 54836-2024</t>
        </is>
      </c>
      <c r="B476" s="1" t="n">
        <v>45618</v>
      </c>
      <c r="C476" s="1" t="n">
        <v>45996</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64729-2023</t>
        </is>
      </c>
      <c r="B477" s="1" t="n">
        <v>45281</v>
      </c>
      <c r="C477" s="1" t="n">
        <v>45996</v>
      </c>
      <c r="D477" t="inlineStr">
        <is>
          <t>VÄSTMANLANDS LÄN</t>
        </is>
      </c>
      <c r="E477" t="inlineStr">
        <is>
          <t>SALA</t>
        </is>
      </c>
      <c r="G477" t="n">
        <v>1.8</v>
      </c>
      <c r="H477" t="n">
        <v>0</v>
      </c>
      <c r="I477" t="n">
        <v>0</v>
      </c>
      <c r="J477" t="n">
        <v>0</v>
      </c>
      <c r="K477" t="n">
        <v>0</v>
      </c>
      <c r="L477" t="n">
        <v>0</v>
      </c>
      <c r="M477" t="n">
        <v>0</v>
      </c>
      <c r="N477" t="n">
        <v>0</v>
      </c>
      <c r="O477" t="n">
        <v>0</v>
      </c>
      <c r="P477" t="n">
        <v>0</v>
      </c>
      <c r="Q477" t="n">
        <v>0</v>
      </c>
      <c r="R477" s="2" t="inlineStr"/>
    </row>
    <row r="478" ht="15" customHeight="1">
      <c r="A478" t="inlineStr">
        <is>
          <t>A 10585-2022</t>
        </is>
      </c>
      <c r="B478" s="1" t="n">
        <v>44624</v>
      </c>
      <c r="C478" s="1" t="n">
        <v>45996</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22523-2023</t>
        </is>
      </c>
      <c r="B479" s="1" t="n">
        <v>45069</v>
      </c>
      <c r="C479" s="1" t="n">
        <v>45996</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21968-2024</t>
        </is>
      </c>
      <c r="B480" s="1" t="n">
        <v>45443</v>
      </c>
      <c r="C480" s="1" t="n">
        <v>45996</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31609-2024</t>
        </is>
      </c>
      <c r="B481" s="1" t="n">
        <v>45506</v>
      </c>
      <c r="C481" s="1" t="n">
        <v>45996</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50241-2023</t>
        </is>
      </c>
      <c r="B482" s="1" t="n">
        <v>45216</v>
      </c>
      <c r="C482" s="1" t="n">
        <v>45996</v>
      </c>
      <c r="D482" t="inlineStr">
        <is>
          <t>VÄSTMANLANDS LÄN</t>
        </is>
      </c>
      <c r="E482" t="inlineStr">
        <is>
          <t>SALA</t>
        </is>
      </c>
      <c r="G482" t="n">
        <v>1.9</v>
      </c>
      <c r="H482" t="n">
        <v>0</v>
      </c>
      <c r="I482" t="n">
        <v>0</v>
      </c>
      <c r="J482" t="n">
        <v>0</v>
      </c>
      <c r="K482" t="n">
        <v>0</v>
      </c>
      <c r="L482" t="n">
        <v>0</v>
      </c>
      <c r="M482" t="n">
        <v>0</v>
      </c>
      <c r="N482" t="n">
        <v>0</v>
      </c>
      <c r="O482" t="n">
        <v>0</v>
      </c>
      <c r="P482" t="n">
        <v>0</v>
      </c>
      <c r="Q482" t="n">
        <v>0</v>
      </c>
      <c r="R482" s="2" t="inlineStr"/>
    </row>
    <row r="483" ht="15" customHeight="1">
      <c r="A483" t="inlineStr">
        <is>
          <t>A 56057-2023</t>
        </is>
      </c>
      <c r="B483" s="1" t="n">
        <v>45233</v>
      </c>
      <c r="C483" s="1" t="n">
        <v>45996</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30971-2022</t>
        </is>
      </c>
      <c r="B484" s="1" t="n">
        <v>44768.46725694444</v>
      </c>
      <c r="C484" s="1" t="n">
        <v>45996</v>
      </c>
      <c r="D484" t="inlineStr">
        <is>
          <t>VÄSTMANLANDS LÄN</t>
        </is>
      </c>
      <c r="E484" t="inlineStr">
        <is>
          <t>SALA</t>
        </is>
      </c>
      <c r="G484" t="n">
        <v>2.4</v>
      </c>
      <c r="H484" t="n">
        <v>0</v>
      </c>
      <c r="I484" t="n">
        <v>0</v>
      </c>
      <c r="J484" t="n">
        <v>0</v>
      </c>
      <c r="K484" t="n">
        <v>0</v>
      </c>
      <c r="L484" t="n">
        <v>0</v>
      </c>
      <c r="M484" t="n">
        <v>0</v>
      </c>
      <c r="N484" t="n">
        <v>0</v>
      </c>
      <c r="O484" t="n">
        <v>0</v>
      </c>
      <c r="P484" t="n">
        <v>0</v>
      </c>
      <c r="Q484" t="n">
        <v>0</v>
      </c>
      <c r="R484" s="2" t="inlineStr"/>
    </row>
    <row r="485" ht="15" customHeight="1">
      <c r="A485" t="inlineStr">
        <is>
          <t>A 42421-2025</t>
        </is>
      </c>
      <c r="B485" s="1" t="n">
        <v>45905.40067129629</v>
      </c>
      <c r="C485" s="1" t="n">
        <v>45996</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35637-2022</t>
        </is>
      </c>
      <c r="B486" s="1" t="n">
        <v>44799.55194444444</v>
      </c>
      <c r="C486" s="1" t="n">
        <v>45996</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19304-2025</t>
        </is>
      </c>
      <c r="B487" s="1" t="n">
        <v>45769</v>
      </c>
      <c r="C487" s="1" t="n">
        <v>45996</v>
      </c>
      <c r="D487" t="inlineStr">
        <is>
          <t>VÄSTMANLANDS LÄN</t>
        </is>
      </c>
      <c r="E487" t="inlineStr">
        <is>
          <t>SALA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27038-2023</t>
        </is>
      </c>
      <c r="B488" s="1" t="n">
        <v>45095</v>
      </c>
      <c r="C488" s="1" t="n">
        <v>45996</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44719.79707175926</v>
      </c>
      <c r="C489" s="1" t="n">
        <v>45996</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62635-2022</t>
        </is>
      </c>
      <c r="B490" s="1" t="n">
        <v>44917</v>
      </c>
      <c r="C490" s="1" t="n">
        <v>45996</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17495-2024</t>
        </is>
      </c>
      <c r="B491" s="1" t="n">
        <v>45415</v>
      </c>
      <c r="C491" s="1" t="n">
        <v>45996</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4852-2023</t>
        </is>
      </c>
      <c r="B492" s="1" t="n">
        <v>44957.72496527778</v>
      </c>
      <c r="C492" s="1" t="n">
        <v>45996</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39714-2023</t>
        </is>
      </c>
      <c r="B493" s="1" t="n">
        <v>45167.62133101852</v>
      </c>
      <c r="C493" s="1" t="n">
        <v>45996</v>
      </c>
      <c r="D493" t="inlineStr">
        <is>
          <t>VÄSTMANLANDS LÄN</t>
        </is>
      </c>
      <c r="E493" t="inlineStr">
        <is>
          <t>SALA</t>
        </is>
      </c>
      <c r="G493" t="n">
        <v>1.3</v>
      </c>
      <c r="H493" t="n">
        <v>0</v>
      </c>
      <c r="I493" t="n">
        <v>0</v>
      </c>
      <c r="J493" t="n">
        <v>0</v>
      </c>
      <c r="K493" t="n">
        <v>0</v>
      </c>
      <c r="L493" t="n">
        <v>0</v>
      </c>
      <c r="M493" t="n">
        <v>0</v>
      </c>
      <c r="N493" t="n">
        <v>0</v>
      </c>
      <c r="O493" t="n">
        <v>0</v>
      </c>
      <c r="P493" t="n">
        <v>0</v>
      </c>
      <c r="Q493" t="n">
        <v>0</v>
      </c>
      <c r="R493" s="2" t="inlineStr"/>
    </row>
    <row r="494" ht="15" customHeight="1">
      <c r="A494" t="inlineStr">
        <is>
          <t>A 31859-2023</t>
        </is>
      </c>
      <c r="B494" s="1" t="n">
        <v>45118</v>
      </c>
      <c r="C494" s="1" t="n">
        <v>45996</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c r="U494">
        <f>HYPERLINK("https://klasma.github.io/Logging_1981/knärot/A 31859-2023 karta knärot.png", "A 31859-2023")</f>
        <v/>
      </c>
      <c r="V494">
        <f>HYPERLINK("https://klasma.github.io/Logging_1981/klagomål/A 31859-2023 FSC-klagomål.docx", "A 31859-2023")</f>
        <v/>
      </c>
      <c r="W494">
        <f>HYPERLINK("https://klasma.github.io/Logging_1981/klagomålsmail/A 31859-2023 FSC-klagomål mail.docx", "A 31859-2023")</f>
        <v/>
      </c>
      <c r="X494">
        <f>HYPERLINK("https://klasma.github.io/Logging_1981/tillsyn/A 31859-2023 tillsynsbegäran.docx", "A 31859-2023")</f>
        <v/>
      </c>
      <c r="Y494">
        <f>HYPERLINK("https://klasma.github.io/Logging_1981/tillsynsmail/A 31859-2023 tillsynsbegäran mail.docx", "A 31859-2023")</f>
        <v/>
      </c>
    </row>
    <row r="495" ht="15" customHeight="1">
      <c r="A495" t="inlineStr">
        <is>
          <t>A 7469-2025</t>
        </is>
      </c>
      <c r="B495" s="1" t="n">
        <v>45705</v>
      </c>
      <c r="C495" s="1" t="n">
        <v>45996</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37263-2025</t>
        </is>
      </c>
      <c r="B496" s="1" t="n">
        <v>45876.4584837963</v>
      </c>
      <c r="C496" s="1" t="n">
        <v>45996</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42984-2023</t>
        </is>
      </c>
      <c r="B497" s="1" t="n">
        <v>45179</v>
      </c>
      <c r="C497" s="1" t="n">
        <v>45996</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43127-2025</t>
        </is>
      </c>
      <c r="B498" s="1" t="n">
        <v>45909</v>
      </c>
      <c r="C498" s="1" t="n">
        <v>45996</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38636-2024</t>
        </is>
      </c>
      <c r="B499" s="1" t="n">
        <v>45546</v>
      </c>
      <c r="C499" s="1" t="n">
        <v>45996</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60034-2024</t>
        </is>
      </c>
      <c r="B500" s="1" t="n">
        <v>45642.46261574074</v>
      </c>
      <c r="C500" s="1" t="n">
        <v>45996</v>
      </c>
      <c r="D500" t="inlineStr">
        <is>
          <t>VÄSTMANLANDS LÄN</t>
        </is>
      </c>
      <c r="E500" t="inlineStr">
        <is>
          <t>SALA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56535-2022</t>
        </is>
      </c>
      <c r="B501" s="1" t="n">
        <v>44893.47173611111</v>
      </c>
      <c r="C501" s="1" t="n">
        <v>45996</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43128-2025</t>
        </is>
      </c>
      <c r="B502" s="1" t="n">
        <v>45909</v>
      </c>
      <c r="C502" s="1" t="n">
        <v>45996</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40554-2025</t>
        </is>
      </c>
      <c r="B503" s="1" t="n">
        <v>45896.44506944445</v>
      </c>
      <c r="C503" s="1" t="n">
        <v>45996</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43129-2025</t>
        </is>
      </c>
      <c r="B504" s="1" t="n">
        <v>45909</v>
      </c>
      <c r="C504" s="1" t="n">
        <v>45996</v>
      </c>
      <c r="D504" t="inlineStr">
        <is>
          <t>VÄSTMANLANDS LÄN</t>
        </is>
      </c>
      <c r="E504" t="inlineStr">
        <is>
          <t>SALA</t>
        </is>
      </c>
      <c r="G504" t="n">
        <v>2.4</v>
      </c>
      <c r="H504" t="n">
        <v>0</v>
      </c>
      <c r="I504" t="n">
        <v>0</v>
      </c>
      <c r="J504" t="n">
        <v>0</v>
      </c>
      <c r="K504" t="n">
        <v>0</v>
      </c>
      <c r="L504" t="n">
        <v>0</v>
      </c>
      <c r="M504" t="n">
        <v>0</v>
      </c>
      <c r="N504" t="n">
        <v>0</v>
      </c>
      <c r="O504" t="n">
        <v>0</v>
      </c>
      <c r="P504" t="n">
        <v>0</v>
      </c>
      <c r="Q504" t="n">
        <v>0</v>
      </c>
      <c r="R504" s="2" t="inlineStr"/>
    </row>
    <row r="505" ht="15" customHeight="1">
      <c r="A505" t="inlineStr">
        <is>
          <t>A 43130-2025</t>
        </is>
      </c>
      <c r="B505" s="1" t="n">
        <v>45909</v>
      </c>
      <c r="C505" s="1" t="n">
        <v>45996</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34867-2023</t>
        </is>
      </c>
      <c r="B506" s="1" t="n">
        <v>45142.33481481481</v>
      </c>
      <c r="C506" s="1" t="n">
        <v>45996</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11631-2023</t>
        </is>
      </c>
      <c r="B507" s="1" t="n">
        <v>44994.44001157407</v>
      </c>
      <c r="C507" s="1" t="n">
        <v>45996</v>
      </c>
      <c r="D507" t="inlineStr">
        <is>
          <t>VÄSTMANLANDS LÄN</t>
        </is>
      </c>
      <c r="E507" t="inlineStr">
        <is>
          <t>SALA</t>
        </is>
      </c>
      <c r="F507" t="inlineStr">
        <is>
          <t>Kommuner</t>
        </is>
      </c>
      <c r="G507" t="n">
        <v>1.9</v>
      </c>
      <c r="H507" t="n">
        <v>0</v>
      </c>
      <c r="I507" t="n">
        <v>0</v>
      </c>
      <c r="J507" t="n">
        <v>0</v>
      </c>
      <c r="K507" t="n">
        <v>0</v>
      </c>
      <c r="L507" t="n">
        <v>0</v>
      </c>
      <c r="M507" t="n">
        <v>0</v>
      </c>
      <c r="N507" t="n">
        <v>0</v>
      </c>
      <c r="O507" t="n">
        <v>0</v>
      </c>
      <c r="P507" t="n">
        <v>0</v>
      </c>
      <c r="Q507" t="n">
        <v>0</v>
      </c>
      <c r="R507" s="2" t="inlineStr"/>
    </row>
    <row r="508" ht="15" customHeight="1">
      <c r="A508" t="inlineStr">
        <is>
          <t>A 43028-2025</t>
        </is>
      </c>
      <c r="B508" s="1" t="n">
        <v>45909.53472222222</v>
      </c>
      <c r="C508" s="1" t="n">
        <v>45996</v>
      </c>
      <c r="D508" t="inlineStr">
        <is>
          <t>VÄSTMANLANDS LÄN</t>
        </is>
      </c>
      <c r="E508" t="inlineStr">
        <is>
          <t>SALA</t>
        </is>
      </c>
      <c r="G508" t="n">
        <v>3.8</v>
      </c>
      <c r="H508" t="n">
        <v>0</v>
      </c>
      <c r="I508" t="n">
        <v>0</v>
      </c>
      <c r="J508" t="n">
        <v>0</v>
      </c>
      <c r="K508" t="n">
        <v>0</v>
      </c>
      <c r="L508" t="n">
        <v>0</v>
      </c>
      <c r="M508" t="n">
        <v>0</v>
      </c>
      <c r="N508" t="n">
        <v>0</v>
      </c>
      <c r="O508" t="n">
        <v>0</v>
      </c>
      <c r="P508" t="n">
        <v>0</v>
      </c>
      <c r="Q508" t="n">
        <v>0</v>
      </c>
      <c r="R508" s="2" t="inlineStr"/>
    </row>
    <row r="509" ht="15" customHeight="1">
      <c r="A509" t="inlineStr">
        <is>
          <t>A 43031-2025</t>
        </is>
      </c>
      <c r="B509" s="1" t="n">
        <v>45909.53856481481</v>
      </c>
      <c r="C509" s="1" t="n">
        <v>45996</v>
      </c>
      <c r="D509" t="inlineStr">
        <is>
          <t>VÄSTMANLANDS LÄN</t>
        </is>
      </c>
      <c r="E509" t="inlineStr">
        <is>
          <t>SALA</t>
        </is>
      </c>
      <c r="G509" t="n">
        <v>0.2</v>
      </c>
      <c r="H509" t="n">
        <v>0</v>
      </c>
      <c r="I509" t="n">
        <v>0</v>
      </c>
      <c r="J509" t="n">
        <v>0</v>
      </c>
      <c r="K509" t="n">
        <v>0</v>
      </c>
      <c r="L509" t="n">
        <v>0</v>
      </c>
      <c r="M509" t="n">
        <v>0</v>
      </c>
      <c r="N509" t="n">
        <v>0</v>
      </c>
      <c r="O509" t="n">
        <v>0</v>
      </c>
      <c r="P509" t="n">
        <v>0</v>
      </c>
      <c r="Q509" t="n">
        <v>0</v>
      </c>
      <c r="R509" s="2" t="inlineStr"/>
    </row>
    <row r="510" ht="15" customHeight="1">
      <c r="A510" t="inlineStr">
        <is>
          <t>A 60550-2024</t>
        </is>
      </c>
      <c r="B510" s="1" t="n">
        <v>45643</v>
      </c>
      <c r="C510" s="1" t="n">
        <v>45996</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13746-2025</t>
        </is>
      </c>
      <c r="B511" s="1" t="n">
        <v>45737.40944444444</v>
      </c>
      <c r="C511" s="1" t="n">
        <v>45996</v>
      </c>
      <c r="D511" t="inlineStr">
        <is>
          <t>VÄSTMANLANDS LÄN</t>
        </is>
      </c>
      <c r="E511" t="inlineStr">
        <is>
          <t>SALA</t>
        </is>
      </c>
      <c r="G511" t="n">
        <v>2.1</v>
      </c>
      <c r="H511" t="n">
        <v>0</v>
      </c>
      <c r="I511" t="n">
        <v>0</v>
      </c>
      <c r="J511" t="n">
        <v>0</v>
      </c>
      <c r="K511" t="n">
        <v>0</v>
      </c>
      <c r="L511" t="n">
        <v>0</v>
      </c>
      <c r="M511" t="n">
        <v>0</v>
      </c>
      <c r="N511" t="n">
        <v>0</v>
      </c>
      <c r="O511" t="n">
        <v>0</v>
      </c>
      <c r="P511" t="n">
        <v>0</v>
      </c>
      <c r="Q511" t="n">
        <v>0</v>
      </c>
      <c r="R511" s="2" t="inlineStr"/>
    </row>
    <row r="512" ht="15" customHeight="1">
      <c r="A512" t="inlineStr">
        <is>
          <t>A 8775-2024</t>
        </is>
      </c>
      <c r="B512" s="1" t="n">
        <v>45356</v>
      </c>
      <c r="C512" s="1" t="n">
        <v>45996</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45996</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48710-2024</t>
        </is>
      </c>
      <c r="B514" s="1" t="n">
        <v>45593.53636574074</v>
      </c>
      <c r="C514" s="1" t="n">
        <v>45996</v>
      </c>
      <c r="D514" t="inlineStr">
        <is>
          <t>VÄSTMANLANDS LÄN</t>
        </is>
      </c>
      <c r="E514" t="inlineStr">
        <is>
          <t>SALA</t>
        </is>
      </c>
      <c r="G514" t="n">
        <v>6.5</v>
      </c>
      <c r="H514" t="n">
        <v>0</v>
      </c>
      <c r="I514" t="n">
        <v>0</v>
      </c>
      <c r="J514" t="n">
        <v>0</v>
      </c>
      <c r="K514" t="n">
        <v>0</v>
      </c>
      <c r="L514" t="n">
        <v>0</v>
      </c>
      <c r="M514" t="n">
        <v>0</v>
      </c>
      <c r="N514" t="n">
        <v>0</v>
      </c>
      <c r="O514" t="n">
        <v>0</v>
      </c>
      <c r="P514" t="n">
        <v>0</v>
      </c>
      <c r="Q514" t="n">
        <v>0</v>
      </c>
      <c r="R514" s="2" t="inlineStr"/>
    </row>
    <row r="515" ht="15" customHeight="1">
      <c r="A515" t="inlineStr">
        <is>
          <t>A 59175-2022</t>
        </is>
      </c>
      <c r="B515" s="1" t="n">
        <v>44904.48502314815</v>
      </c>
      <c r="C515" s="1" t="n">
        <v>45996</v>
      </c>
      <c r="D515" t="inlineStr">
        <is>
          <t>VÄSTMANLANDS LÄN</t>
        </is>
      </c>
      <c r="E515" t="inlineStr">
        <is>
          <t>SALA</t>
        </is>
      </c>
      <c r="G515" t="n">
        <v>2.1</v>
      </c>
      <c r="H515" t="n">
        <v>0</v>
      </c>
      <c r="I515" t="n">
        <v>0</v>
      </c>
      <c r="J515" t="n">
        <v>0</v>
      </c>
      <c r="K515" t="n">
        <v>0</v>
      </c>
      <c r="L515" t="n">
        <v>0</v>
      </c>
      <c r="M515" t="n">
        <v>0</v>
      </c>
      <c r="N515" t="n">
        <v>0</v>
      </c>
      <c r="O515" t="n">
        <v>0</v>
      </c>
      <c r="P515" t="n">
        <v>0</v>
      </c>
      <c r="Q515" t="n">
        <v>0</v>
      </c>
      <c r="R515" s="2" t="inlineStr"/>
    </row>
    <row r="516" ht="15" customHeight="1">
      <c r="A516" t="inlineStr">
        <is>
          <t>A 19381-2025</t>
        </is>
      </c>
      <c r="B516" s="1" t="n">
        <v>45769</v>
      </c>
      <c r="C516" s="1" t="n">
        <v>45996</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16404-2022</t>
        </is>
      </c>
      <c r="B517" s="1" t="n">
        <v>44671</v>
      </c>
      <c r="C517" s="1" t="n">
        <v>45996</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42938-2023</t>
        </is>
      </c>
      <c r="B518" s="1" t="n">
        <v>45179</v>
      </c>
      <c r="C518" s="1" t="n">
        <v>45996</v>
      </c>
      <c r="D518" t="inlineStr">
        <is>
          <t>VÄSTMANLANDS LÄN</t>
        </is>
      </c>
      <c r="E518" t="inlineStr">
        <is>
          <t>SALA</t>
        </is>
      </c>
      <c r="G518" t="n">
        <v>10.9</v>
      </c>
      <c r="H518" t="n">
        <v>0</v>
      </c>
      <c r="I518" t="n">
        <v>0</v>
      </c>
      <c r="J518" t="n">
        <v>0</v>
      </c>
      <c r="K518" t="n">
        <v>0</v>
      </c>
      <c r="L518" t="n">
        <v>0</v>
      </c>
      <c r="M518" t="n">
        <v>0</v>
      </c>
      <c r="N518" t="n">
        <v>0</v>
      </c>
      <c r="O518" t="n">
        <v>0</v>
      </c>
      <c r="P518" t="n">
        <v>0</v>
      </c>
      <c r="Q518" t="n">
        <v>0</v>
      </c>
      <c r="R518" s="2" t="inlineStr"/>
    </row>
    <row r="519" ht="15" customHeight="1">
      <c r="A519" t="inlineStr">
        <is>
          <t>A 19222-2025</t>
        </is>
      </c>
      <c r="B519" s="1" t="n">
        <v>45769</v>
      </c>
      <c r="C519" s="1" t="n">
        <v>45996</v>
      </c>
      <c r="D519" t="inlineStr">
        <is>
          <t>VÄSTMANLANDS LÄN</t>
        </is>
      </c>
      <c r="E519" t="inlineStr">
        <is>
          <t>SALA</t>
        </is>
      </c>
      <c r="G519" t="n">
        <v>1.8</v>
      </c>
      <c r="H519" t="n">
        <v>0</v>
      </c>
      <c r="I519" t="n">
        <v>0</v>
      </c>
      <c r="J519" t="n">
        <v>0</v>
      </c>
      <c r="K519" t="n">
        <v>0</v>
      </c>
      <c r="L519" t="n">
        <v>0</v>
      </c>
      <c r="M519" t="n">
        <v>0</v>
      </c>
      <c r="N519" t="n">
        <v>0</v>
      </c>
      <c r="O519" t="n">
        <v>0</v>
      </c>
      <c r="P519" t="n">
        <v>0</v>
      </c>
      <c r="Q519" t="n">
        <v>0</v>
      </c>
      <c r="R519" s="2" t="inlineStr"/>
    </row>
    <row r="520" ht="15" customHeight="1">
      <c r="A520" t="inlineStr">
        <is>
          <t>A 19241-2025</t>
        </is>
      </c>
      <c r="B520" s="1" t="n">
        <v>45769</v>
      </c>
      <c r="C520" s="1" t="n">
        <v>45996</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43328-2025</t>
        </is>
      </c>
      <c r="B521" s="1" t="n">
        <v>45910</v>
      </c>
      <c r="C521" s="1" t="n">
        <v>45996</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60823-2024</t>
        </is>
      </c>
      <c r="B522" s="1" t="n">
        <v>45644</v>
      </c>
      <c r="C522" s="1" t="n">
        <v>45996</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24248-2023</t>
        </is>
      </c>
      <c r="B523" s="1" t="n">
        <v>45079</v>
      </c>
      <c r="C523" s="1" t="n">
        <v>45996</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61681-2024</t>
        </is>
      </c>
      <c r="B524" s="1" t="n">
        <v>45647</v>
      </c>
      <c r="C524" s="1" t="n">
        <v>45996</v>
      </c>
      <c r="D524" t="inlineStr">
        <is>
          <t>VÄSTMANLANDS LÄN</t>
        </is>
      </c>
      <c r="E524" t="inlineStr">
        <is>
          <t>SALA</t>
        </is>
      </c>
      <c r="F524" t="inlineStr">
        <is>
          <t>Kommuner</t>
        </is>
      </c>
      <c r="G524" t="n">
        <v>1</v>
      </c>
      <c r="H524" t="n">
        <v>0</v>
      </c>
      <c r="I524" t="n">
        <v>0</v>
      </c>
      <c r="J524" t="n">
        <v>0</v>
      </c>
      <c r="K524" t="n">
        <v>0</v>
      </c>
      <c r="L524" t="n">
        <v>0</v>
      </c>
      <c r="M524" t="n">
        <v>0</v>
      </c>
      <c r="N524" t="n">
        <v>0</v>
      </c>
      <c r="O524" t="n">
        <v>0</v>
      </c>
      <c r="P524" t="n">
        <v>0</v>
      </c>
      <c r="Q524" t="n">
        <v>0</v>
      </c>
      <c r="R524" s="2" t="inlineStr"/>
    </row>
    <row r="525" ht="15" customHeight="1">
      <c r="A525" t="inlineStr">
        <is>
          <t>A 10559-2024</t>
        </is>
      </c>
      <c r="B525" s="1" t="n">
        <v>45366</v>
      </c>
      <c r="C525" s="1" t="n">
        <v>45996</v>
      </c>
      <c r="D525" t="inlineStr">
        <is>
          <t>VÄSTMANLANDS LÄN</t>
        </is>
      </c>
      <c r="E525" t="inlineStr">
        <is>
          <t>SALA</t>
        </is>
      </c>
      <c r="G525" t="n">
        <v>0.3</v>
      </c>
      <c r="H525" t="n">
        <v>0</v>
      </c>
      <c r="I525" t="n">
        <v>0</v>
      </c>
      <c r="J525" t="n">
        <v>0</v>
      </c>
      <c r="K525" t="n">
        <v>0</v>
      </c>
      <c r="L525" t="n">
        <v>0</v>
      </c>
      <c r="M525" t="n">
        <v>0</v>
      </c>
      <c r="N525" t="n">
        <v>0</v>
      </c>
      <c r="O525" t="n">
        <v>0</v>
      </c>
      <c r="P525" t="n">
        <v>0</v>
      </c>
      <c r="Q525" t="n">
        <v>0</v>
      </c>
      <c r="R525" s="2" t="inlineStr"/>
    </row>
    <row r="526" ht="15" customHeight="1">
      <c r="A526" t="inlineStr">
        <is>
          <t>A 40214-2023</t>
        </is>
      </c>
      <c r="B526" s="1" t="n">
        <v>45169.45173611111</v>
      </c>
      <c r="C526" s="1" t="n">
        <v>45996</v>
      </c>
      <c r="D526" t="inlineStr">
        <is>
          <t>VÄSTMANLANDS LÄN</t>
        </is>
      </c>
      <c r="E526" t="inlineStr">
        <is>
          <t>SALA</t>
        </is>
      </c>
      <c r="G526" t="n">
        <v>5.5</v>
      </c>
      <c r="H526" t="n">
        <v>0</v>
      </c>
      <c r="I526" t="n">
        <v>0</v>
      </c>
      <c r="J526" t="n">
        <v>0</v>
      </c>
      <c r="K526" t="n">
        <v>0</v>
      </c>
      <c r="L526" t="n">
        <v>0</v>
      </c>
      <c r="M526" t="n">
        <v>0</v>
      </c>
      <c r="N526" t="n">
        <v>0</v>
      </c>
      <c r="O526" t="n">
        <v>0</v>
      </c>
      <c r="P526" t="n">
        <v>0</v>
      </c>
      <c r="Q526" t="n">
        <v>0</v>
      </c>
      <c r="R526" s="2" t="inlineStr"/>
    </row>
    <row r="527" ht="15" customHeight="1">
      <c r="A527" t="inlineStr">
        <is>
          <t>A 9856-2022</t>
        </is>
      </c>
      <c r="B527" s="1" t="n">
        <v>44620</v>
      </c>
      <c r="C527" s="1" t="n">
        <v>45996</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18100-2023</t>
        </is>
      </c>
      <c r="B528" s="1" t="n">
        <v>45040</v>
      </c>
      <c r="C528" s="1" t="n">
        <v>45996</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49661-2024</t>
        </is>
      </c>
      <c r="B529" s="1" t="n">
        <v>45596</v>
      </c>
      <c r="C529" s="1" t="n">
        <v>45996</v>
      </c>
      <c r="D529" t="inlineStr">
        <is>
          <t>VÄSTMANLANDS LÄN</t>
        </is>
      </c>
      <c r="E529" t="inlineStr">
        <is>
          <t>SALA</t>
        </is>
      </c>
      <c r="G529" t="n">
        <v>6.7</v>
      </c>
      <c r="H529" t="n">
        <v>0</v>
      </c>
      <c r="I529" t="n">
        <v>0</v>
      </c>
      <c r="J529" t="n">
        <v>0</v>
      </c>
      <c r="K529" t="n">
        <v>0</v>
      </c>
      <c r="L529" t="n">
        <v>0</v>
      </c>
      <c r="M529" t="n">
        <v>0</v>
      </c>
      <c r="N529" t="n">
        <v>0</v>
      </c>
      <c r="O529" t="n">
        <v>0</v>
      </c>
      <c r="P529" t="n">
        <v>0</v>
      </c>
      <c r="Q529" t="n">
        <v>0</v>
      </c>
      <c r="R529" s="2" t="inlineStr"/>
    </row>
    <row r="530" ht="15" customHeight="1">
      <c r="A530" t="inlineStr">
        <is>
          <t>A 59297-2023</t>
        </is>
      </c>
      <c r="B530" s="1" t="n">
        <v>45253</v>
      </c>
      <c r="C530" s="1" t="n">
        <v>45996</v>
      </c>
      <c r="D530" t="inlineStr">
        <is>
          <t>VÄSTMANLANDS LÄN</t>
        </is>
      </c>
      <c r="E530" t="inlineStr">
        <is>
          <t>SALA</t>
        </is>
      </c>
      <c r="G530" t="n">
        <v>2</v>
      </c>
      <c r="H530" t="n">
        <v>0</v>
      </c>
      <c r="I530" t="n">
        <v>0</v>
      </c>
      <c r="J530" t="n">
        <v>0</v>
      </c>
      <c r="K530" t="n">
        <v>0</v>
      </c>
      <c r="L530" t="n">
        <v>0</v>
      </c>
      <c r="M530" t="n">
        <v>0</v>
      </c>
      <c r="N530" t="n">
        <v>0</v>
      </c>
      <c r="O530" t="n">
        <v>0</v>
      </c>
      <c r="P530" t="n">
        <v>0</v>
      </c>
      <c r="Q530" t="n">
        <v>0</v>
      </c>
      <c r="R530" s="2" t="inlineStr"/>
    </row>
    <row r="531" ht="15" customHeight="1">
      <c r="A531" t="inlineStr">
        <is>
          <t>A 23374-2023</t>
        </is>
      </c>
      <c r="B531" s="1" t="n">
        <v>45076.4399537037</v>
      </c>
      <c r="C531" s="1" t="n">
        <v>45996</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6134-2024</t>
        </is>
      </c>
      <c r="B532" s="1" t="n">
        <v>45337</v>
      </c>
      <c r="C532" s="1" t="n">
        <v>45996</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48117-2024</t>
        </is>
      </c>
      <c r="B533" s="1" t="n">
        <v>45589</v>
      </c>
      <c r="C533" s="1" t="n">
        <v>45996</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15965-2024</t>
        </is>
      </c>
      <c r="B534" s="1" t="n">
        <v>45405.55740740741</v>
      </c>
      <c r="C534" s="1" t="n">
        <v>45996</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31082-2021</t>
        </is>
      </c>
      <c r="B535" s="1" t="n">
        <v>44368</v>
      </c>
      <c r="C535" s="1" t="n">
        <v>45996</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23180-2022</t>
        </is>
      </c>
      <c r="B536" s="1" t="n">
        <v>44719.79344907407</v>
      </c>
      <c r="C536" s="1" t="n">
        <v>45996</v>
      </c>
      <c r="D536" t="inlineStr">
        <is>
          <t>VÄSTMANLANDS LÄN</t>
        </is>
      </c>
      <c r="E536" t="inlineStr">
        <is>
          <t>SALA</t>
        </is>
      </c>
      <c r="G536" t="n">
        <v>1.2</v>
      </c>
      <c r="H536" t="n">
        <v>0</v>
      </c>
      <c r="I536" t="n">
        <v>0</v>
      </c>
      <c r="J536" t="n">
        <v>0</v>
      </c>
      <c r="K536" t="n">
        <v>0</v>
      </c>
      <c r="L536" t="n">
        <v>0</v>
      </c>
      <c r="M536" t="n">
        <v>0</v>
      </c>
      <c r="N536" t="n">
        <v>0</v>
      </c>
      <c r="O536" t="n">
        <v>0</v>
      </c>
      <c r="P536" t="n">
        <v>0</v>
      </c>
      <c r="Q536" t="n">
        <v>0</v>
      </c>
      <c r="R536" s="2" t="inlineStr"/>
    </row>
    <row r="537" ht="15" customHeight="1">
      <c r="A537" t="inlineStr">
        <is>
          <t>A 21455-2023</t>
        </is>
      </c>
      <c r="B537" s="1" t="n">
        <v>45058</v>
      </c>
      <c r="C537" s="1" t="n">
        <v>45996</v>
      </c>
      <c r="D537" t="inlineStr">
        <is>
          <t>VÄSTMANLANDS LÄN</t>
        </is>
      </c>
      <c r="E537" t="inlineStr">
        <is>
          <t>SALA</t>
        </is>
      </c>
      <c r="G537" t="n">
        <v>6.4</v>
      </c>
      <c r="H537" t="n">
        <v>0</v>
      </c>
      <c r="I537" t="n">
        <v>0</v>
      </c>
      <c r="J537" t="n">
        <v>0</v>
      </c>
      <c r="K537" t="n">
        <v>0</v>
      </c>
      <c r="L537" t="n">
        <v>0</v>
      </c>
      <c r="M537" t="n">
        <v>0</v>
      </c>
      <c r="N537" t="n">
        <v>0</v>
      </c>
      <c r="O537" t="n">
        <v>0</v>
      </c>
      <c r="P537" t="n">
        <v>0</v>
      </c>
      <c r="Q537" t="n">
        <v>0</v>
      </c>
      <c r="R537" s="2" t="inlineStr"/>
    </row>
    <row r="538" ht="15" customHeight="1">
      <c r="A538" t="inlineStr">
        <is>
          <t>A 31470-2021</t>
        </is>
      </c>
      <c r="B538" s="1" t="n">
        <v>44369</v>
      </c>
      <c r="C538" s="1" t="n">
        <v>45996</v>
      </c>
      <c r="D538" t="inlineStr">
        <is>
          <t>VÄSTMANLANDS LÄN</t>
        </is>
      </c>
      <c r="E538" t="inlineStr">
        <is>
          <t>SALA</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44100-2025</t>
        </is>
      </c>
      <c r="B539" s="1" t="n">
        <v>45915.56707175926</v>
      </c>
      <c r="C539" s="1" t="n">
        <v>45996</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24175-2024</t>
        </is>
      </c>
      <c r="B540" s="1" t="n">
        <v>45456</v>
      </c>
      <c r="C540" s="1" t="n">
        <v>45996</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28328-2023</t>
        </is>
      </c>
      <c r="B541" s="1" t="n">
        <v>45099.71063657408</v>
      </c>
      <c r="C541" s="1" t="n">
        <v>45996</v>
      </c>
      <c r="D541" t="inlineStr">
        <is>
          <t>VÄSTMANLANDS LÄN</t>
        </is>
      </c>
      <c r="E541" t="inlineStr">
        <is>
          <t>SALA</t>
        </is>
      </c>
      <c r="G541" t="n">
        <v>1.8</v>
      </c>
      <c r="H541" t="n">
        <v>0</v>
      </c>
      <c r="I541" t="n">
        <v>0</v>
      </c>
      <c r="J541" t="n">
        <v>0</v>
      </c>
      <c r="K541" t="n">
        <v>0</v>
      </c>
      <c r="L541" t="n">
        <v>0</v>
      </c>
      <c r="M541" t="n">
        <v>0</v>
      </c>
      <c r="N541" t="n">
        <v>0</v>
      </c>
      <c r="O541" t="n">
        <v>0</v>
      </c>
      <c r="P541" t="n">
        <v>0</v>
      </c>
      <c r="Q541" t="n">
        <v>0</v>
      </c>
      <c r="R541" s="2" t="inlineStr"/>
    </row>
    <row r="542" ht="15" customHeight="1">
      <c r="A542" t="inlineStr">
        <is>
          <t>A 61715-2024</t>
        </is>
      </c>
      <c r="B542" s="1" t="n">
        <v>45648.89519675926</v>
      </c>
      <c r="C542" s="1" t="n">
        <v>45996</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21053-2022</t>
        </is>
      </c>
      <c r="B543" s="1" t="n">
        <v>44704</v>
      </c>
      <c r="C543" s="1" t="n">
        <v>45996</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38195-2021</t>
        </is>
      </c>
      <c r="B544" s="1" t="n">
        <v>44405</v>
      </c>
      <c r="C544" s="1" t="n">
        <v>45996</v>
      </c>
      <c r="D544" t="inlineStr">
        <is>
          <t>VÄSTMANLANDS LÄN</t>
        </is>
      </c>
      <c r="E544" t="inlineStr">
        <is>
          <t>SALA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11927-2025</t>
        </is>
      </c>
      <c r="B545" s="1" t="n">
        <v>45728.5137962963</v>
      </c>
      <c r="C545" s="1" t="n">
        <v>45996</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6132-2025</t>
        </is>
      </c>
      <c r="B546" s="1" t="n">
        <v>45698</v>
      </c>
      <c r="C546" s="1" t="n">
        <v>45996</v>
      </c>
      <c r="D546" t="inlineStr">
        <is>
          <t>VÄSTMANLANDS LÄN</t>
        </is>
      </c>
      <c r="E546" t="inlineStr">
        <is>
          <t>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21777-2022</t>
        </is>
      </c>
      <c r="B547" s="1" t="n">
        <v>44708.48194444444</v>
      </c>
      <c r="C547" s="1" t="n">
        <v>45996</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50876-2023</t>
        </is>
      </c>
      <c r="B548" s="1" t="n">
        <v>45211</v>
      </c>
      <c r="C548" s="1" t="n">
        <v>45996</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11389-2024</t>
        </is>
      </c>
      <c r="B549" s="1" t="n">
        <v>45372.45016203704</v>
      </c>
      <c r="C549" s="1" t="n">
        <v>45996</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10255-2024</t>
        </is>
      </c>
      <c r="B550" s="1" t="n">
        <v>45365</v>
      </c>
      <c r="C550" s="1" t="n">
        <v>45996</v>
      </c>
      <c r="D550" t="inlineStr">
        <is>
          <t>VÄSTMANLANDS LÄN</t>
        </is>
      </c>
      <c r="E550" t="inlineStr">
        <is>
          <t>SALA</t>
        </is>
      </c>
      <c r="F550" t="inlineStr">
        <is>
          <t>Kommuner</t>
        </is>
      </c>
      <c r="G550" t="n">
        <v>0.8</v>
      </c>
      <c r="H550" t="n">
        <v>0</v>
      </c>
      <c r="I550" t="n">
        <v>0</v>
      </c>
      <c r="J550" t="n">
        <v>0</v>
      </c>
      <c r="K550" t="n">
        <v>0</v>
      </c>
      <c r="L550" t="n">
        <v>0</v>
      </c>
      <c r="M550" t="n">
        <v>0</v>
      </c>
      <c r="N550" t="n">
        <v>0</v>
      </c>
      <c r="O550" t="n">
        <v>0</v>
      </c>
      <c r="P550" t="n">
        <v>0</v>
      </c>
      <c r="Q550" t="n">
        <v>0</v>
      </c>
      <c r="R550" s="2" t="inlineStr"/>
    </row>
    <row r="551" ht="15" customHeight="1">
      <c r="A551" t="inlineStr">
        <is>
          <t>A 62648-2022</t>
        </is>
      </c>
      <c r="B551" s="1" t="n">
        <v>44917</v>
      </c>
      <c r="C551" s="1" t="n">
        <v>45996</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2925-2024</t>
        </is>
      </c>
      <c r="B552" s="1" t="n">
        <v>45315.58909722222</v>
      </c>
      <c r="C552" s="1" t="n">
        <v>45996</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56548-2024</t>
        </is>
      </c>
      <c r="B553" s="1" t="n">
        <v>45625</v>
      </c>
      <c r="C553" s="1" t="n">
        <v>45996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39439-2021</t>
        </is>
      </c>
      <c r="B554" s="1" t="n">
        <v>44414</v>
      </c>
      <c r="C554" s="1" t="n">
        <v>45996</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5477-2024</t>
        </is>
      </c>
      <c r="B555" s="1" t="n">
        <v>45333.67833333334</v>
      </c>
      <c r="C555" s="1" t="n">
        <v>45996</v>
      </c>
      <c r="D555" t="inlineStr">
        <is>
          <t>VÄSTMANLANDS LÄN</t>
        </is>
      </c>
      <c r="E555" t="inlineStr">
        <is>
          <t>SALA</t>
        </is>
      </c>
      <c r="G555" t="n">
        <v>2.3</v>
      </c>
      <c r="H555" t="n">
        <v>0</v>
      </c>
      <c r="I555" t="n">
        <v>0</v>
      </c>
      <c r="J555" t="n">
        <v>0</v>
      </c>
      <c r="K555" t="n">
        <v>0</v>
      </c>
      <c r="L555" t="n">
        <v>0</v>
      </c>
      <c r="M555" t="n">
        <v>0</v>
      </c>
      <c r="N555" t="n">
        <v>0</v>
      </c>
      <c r="O555" t="n">
        <v>0</v>
      </c>
      <c r="P555" t="n">
        <v>0</v>
      </c>
      <c r="Q555" t="n">
        <v>0</v>
      </c>
      <c r="R555" s="2" t="inlineStr"/>
    </row>
    <row r="556" ht="15" customHeight="1">
      <c r="A556" t="inlineStr">
        <is>
          <t>A 39451-2022</t>
        </is>
      </c>
      <c r="B556" s="1" t="n">
        <v>44818.36606481481</v>
      </c>
      <c r="C556" s="1" t="n">
        <v>45996</v>
      </c>
      <c r="D556" t="inlineStr">
        <is>
          <t>VÄSTMANLANDS LÄN</t>
        </is>
      </c>
      <c r="E556" t="inlineStr">
        <is>
          <t>SALA</t>
        </is>
      </c>
      <c r="G556" t="n">
        <v>9.4</v>
      </c>
      <c r="H556" t="n">
        <v>0</v>
      </c>
      <c r="I556" t="n">
        <v>0</v>
      </c>
      <c r="J556" t="n">
        <v>0</v>
      </c>
      <c r="K556" t="n">
        <v>0</v>
      </c>
      <c r="L556" t="n">
        <v>0</v>
      </c>
      <c r="M556" t="n">
        <v>0</v>
      </c>
      <c r="N556" t="n">
        <v>0</v>
      </c>
      <c r="O556" t="n">
        <v>0</v>
      </c>
      <c r="P556" t="n">
        <v>0</v>
      </c>
      <c r="Q556" t="n">
        <v>0</v>
      </c>
      <c r="R556" s="2" t="inlineStr"/>
    </row>
    <row r="557" ht="15" customHeight="1">
      <c r="A557" t="inlineStr">
        <is>
          <t>A 3332-2024</t>
        </is>
      </c>
      <c r="B557" s="1" t="n">
        <v>45317</v>
      </c>
      <c r="C557" s="1" t="n">
        <v>45996</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7772-2023</t>
        </is>
      </c>
      <c r="B558" s="1" t="n">
        <v>44973.40076388889</v>
      </c>
      <c r="C558" s="1" t="n">
        <v>45996</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2529-2022</t>
        </is>
      </c>
      <c r="B559" s="1" t="n">
        <v>44579.86452546297</v>
      </c>
      <c r="C559" s="1" t="n">
        <v>45996</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44524-2025</t>
        </is>
      </c>
      <c r="B560" s="1" t="n">
        <v>45916.72920138889</v>
      </c>
      <c r="C560" s="1" t="n">
        <v>45996</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44486-2025</t>
        </is>
      </c>
      <c r="B561" s="1" t="n">
        <v>45916.65517361111</v>
      </c>
      <c r="C561" s="1" t="n">
        <v>45996</v>
      </c>
      <c r="D561" t="inlineStr">
        <is>
          <t>VÄSTMANLANDS LÄN</t>
        </is>
      </c>
      <c r="E561" t="inlineStr">
        <is>
          <t>SALA</t>
        </is>
      </c>
      <c r="G561" t="n">
        <v>1.7</v>
      </c>
      <c r="H561" t="n">
        <v>0</v>
      </c>
      <c r="I561" t="n">
        <v>0</v>
      </c>
      <c r="J561" t="n">
        <v>0</v>
      </c>
      <c r="K561" t="n">
        <v>0</v>
      </c>
      <c r="L561" t="n">
        <v>0</v>
      </c>
      <c r="M561" t="n">
        <v>0</v>
      </c>
      <c r="N561" t="n">
        <v>0</v>
      </c>
      <c r="O561" t="n">
        <v>0</v>
      </c>
      <c r="P561" t="n">
        <v>0</v>
      </c>
      <c r="Q561" t="n">
        <v>0</v>
      </c>
      <c r="R561" s="2" t="inlineStr"/>
    </row>
    <row r="562" ht="15" customHeight="1">
      <c r="A562" t="inlineStr">
        <is>
          <t>A 13471-2025</t>
        </is>
      </c>
      <c r="B562" s="1" t="n">
        <v>45736.40579861111</v>
      </c>
      <c r="C562" s="1" t="n">
        <v>45996</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15681-2025</t>
        </is>
      </c>
      <c r="B563" s="1" t="n">
        <v>45748.45454861111</v>
      </c>
      <c r="C563" s="1" t="n">
        <v>45996</v>
      </c>
      <c r="D563" t="inlineStr">
        <is>
          <t>VÄSTMANLANDS LÄN</t>
        </is>
      </c>
      <c r="E563" t="inlineStr">
        <is>
          <t>SALA</t>
        </is>
      </c>
      <c r="F563" t="inlineStr">
        <is>
          <t>Bergvik skog öst AB</t>
        </is>
      </c>
      <c r="G563" t="n">
        <v>4.3</v>
      </c>
      <c r="H563" t="n">
        <v>0</v>
      </c>
      <c r="I563" t="n">
        <v>0</v>
      </c>
      <c r="J563" t="n">
        <v>0</v>
      </c>
      <c r="K563" t="n">
        <v>0</v>
      </c>
      <c r="L563" t="n">
        <v>0</v>
      </c>
      <c r="M563" t="n">
        <v>0</v>
      </c>
      <c r="N563" t="n">
        <v>0</v>
      </c>
      <c r="O563" t="n">
        <v>0</v>
      </c>
      <c r="P563" t="n">
        <v>0</v>
      </c>
      <c r="Q563" t="n">
        <v>0</v>
      </c>
      <c r="R563" s="2" t="inlineStr"/>
    </row>
    <row r="564" ht="15" customHeight="1">
      <c r="A564" t="inlineStr">
        <is>
          <t>A 18431-2023</t>
        </is>
      </c>
      <c r="B564" s="1" t="n">
        <v>45042</v>
      </c>
      <c r="C564" s="1" t="n">
        <v>45996</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27424-2023</t>
        </is>
      </c>
      <c r="B565" s="1" t="n">
        <v>45097.37690972222</v>
      </c>
      <c r="C565" s="1" t="n">
        <v>45996</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58701-2021</t>
        </is>
      </c>
      <c r="B566" s="1" t="n">
        <v>44489.46454861111</v>
      </c>
      <c r="C566" s="1" t="n">
        <v>45996</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45177-2025</t>
        </is>
      </c>
      <c r="B567" s="1" t="n">
        <v>45919.52444444445</v>
      </c>
      <c r="C567" s="1" t="n">
        <v>45996</v>
      </c>
      <c r="D567" t="inlineStr">
        <is>
          <t>VÄSTMANLANDS LÄN</t>
        </is>
      </c>
      <c r="E567" t="inlineStr">
        <is>
          <t>SALA</t>
        </is>
      </c>
      <c r="G567" t="n">
        <v>2.4</v>
      </c>
      <c r="H567" t="n">
        <v>0</v>
      </c>
      <c r="I567" t="n">
        <v>0</v>
      </c>
      <c r="J567" t="n">
        <v>0</v>
      </c>
      <c r="K567" t="n">
        <v>0</v>
      </c>
      <c r="L567" t="n">
        <v>0</v>
      </c>
      <c r="M567" t="n">
        <v>0</v>
      </c>
      <c r="N567" t="n">
        <v>0</v>
      </c>
      <c r="O567" t="n">
        <v>0</v>
      </c>
      <c r="P567" t="n">
        <v>0</v>
      </c>
      <c r="Q567" t="n">
        <v>0</v>
      </c>
      <c r="R567" s="2" t="inlineStr"/>
    </row>
    <row r="568" ht="15" customHeight="1">
      <c r="A568" t="inlineStr">
        <is>
          <t>A 11244-2024</t>
        </is>
      </c>
      <c r="B568" s="1" t="n">
        <v>45371</v>
      </c>
      <c r="C568" s="1" t="n">
        <v>45996</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19751-2022</t>
        </is>
      </c>
      <c r="B569" s="1" t="n">
        <v>44694</v>
      </c>
      <c r="C569" s="1" t="n">
        <v>45996</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12225-2023</t>
        </is>
      </c>
      <c r="B570" s="1" t="n">
        <v>44995</v>
      </c>
      <c r="C570" s="1" t="n">
        <v>45996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44713-2023</t>
        </is>
      </c>
      <c r="B571" s="1" t="n">
        <v>45184</v>
      </c>
      <c r="C571" s="1" t="n">
        <v>45996</v>
      </c>
      <c r="D571" t="inlineStr">
        <is>
          <t>VÄSTMANLANDS LÄN</t>
        </is>
      </c>
      <c r="E571" t="inlineStr">
        <is>
          <t>SALA</t>
        </is>
      </c>
      <c r="F571" t="inlineStr">
        <is>
          <t>Kyrkan</t>
        </is>
      </c>
      <c r="G571" t="n">
        <v>7.6</v>
      </c>
      <c r="H571" t="n">
        <v>0</v>
      </c>
      <c r="I571" t="n">
        <v>0</v>
      </c>
      <c r="J571" t="n">
        <v>0</v>
      </c>
      <c r="K571" t="n">
        <v>0</v>
      </c>
      <c r="L571" t="n">
        <v>0</v>
      </c>
      <c r="M571" t="n">
        <v>0</v>
      </c>
      <c r="N571" t="n">
        <v>0</v>
      </c>
      <c r="O571" t="n">
        <v>0</v>
      </c>
      <c r="P571" t="n">
        <v>0</v>
      </c>
      <c r="Q571" t="n">
        <v>0</v>
      </c>
      <c r="R571" s="2" t="inlineStr"/>
    </row>
    <row r="572" ht="15" customHeight="1">
      <c r="A572" t="inlineStr">
        <is>
          <t>A 18713-2025</t>
        </is>
      </c>
      <c r="B572" s="1" t="n">
        <v>45763</v>
      </c>
      <c r="C572" s="1" t="n">
        <v>45996</v>
      </c>
      <c r="D572" t="inlineStr">
        <is>
          <t>VÄSTMANLANDS LÄN</t>
        </is>
      </c>
      <c r="E572" t="inlineStr">
        <is>
          <t>SALA</t>
        </is>
      </c>
      <c r="F572" t="inlineStr">
        <is>
          <t>Bergvik skog öst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47479-2024</t>
        </is>
      </c>
      <c r="B573" s="1" t="n">
        <v>45587</v>
      </c>
      <c r="C573" s="1" t="n">
        <v>45996</v>
      </c>
      <c r="D573" t="inlineStr">
        <is>
          <t>VÄSTMANLANDS LÄN</t>
        </is>
      </c>
      <c r="E573" t="inlineStr">
        <is>
          <t>SALA</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61874-2021</t>
        </is>
      </c>
      <c r="B574" s="1" t="n">
        <v>44502</v>
      </c>
      <c r="C574" s="1" t="n">
        <v>45996</v>
      </c>
      <c r="D574" t="inlineStr">
        <is>
          <t>VÄSTMANLANDS LÄN</t>
        </is>
      </c>
      <c r="E574" t="inlineStr">
        <is>
          <t>SALA</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69236-2021</t>
        </is>
      </c>
      <c r="B575" s="1" t="n">
        <v>44531.4047337963</v>
      </c>
      <c r="C575" s="1" t="n">
        <v>45996</v>
      </c>
      <c r="D575" t="inlineStr">
        <is>
          <t>VÄSTMANLANDS LÄN</t>
        </is>
      </c>
      <c r="E575" t="inlineStr">
        <is>
          <t>SALA</t>
        </is>
      </c>
      <c r="G575" t="n">
        <v>2.8</v>
      </c>
      <c r="H575" t="n">
        <v>0</v>
      </c>
      <c r="I575" t="n">
        <v>0</v>
      </c>
      <c r="J575" t="n">
        <v>0</v>
      </c>
      <c r="K575" t="n">
        <v>0</v>
      </c>
      <c r="L575" t="n">
        <v>0</v>
      </c>
      <c r="M575" t="n">
        <v>0</v>
      </c>
      <c r="N575" t="n">
        <v>0</v>
      </c>
      <c r="O575" t="n">
        <v>0</v>
      </c>
      <c r="P575" t="n">
        <v>0</v>
      </c>
      <c r="Q575" t="n">
        <v>0</v>
      </c>
      <c r="R575" s="2" t="inlineStr"/>
    </row>
    <row r="576" ht="15" customHeight="1">
      <c r="A576" t="inlineStr">
        <is>
          <t>A 25541-2024</t>
        </is>
      </c>
      <c r="B576" s="1" t="n">
        <v>45463.56337962963</v>
      </c>
      <c r="C576" s="1" t="n">
        <v>45996</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62651-2022</t>
        </is>
      </c>
      <c r="B577" s="1" t="n">
        <v>44917</v>
      </c>
      <c r="C577" s="1" t="n">
        <v>45996</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53724-2025</t>
        </is>
      </c>
      <c r="B578" s="1" t="n">
        <v>45960.63174768518</v>
      </c>
      <c r="C578" s="1" t="n">
        <v>45996</v>
      </c>
      <c r="D578" t="inlineStr">
        <is>
          <t>VÄSTMANLANDS LÄN</t>
        </is>
      </c>
      <c r="E578" t="inlineStr">
        <is>
          <t>SALA</t>
        </is>
      </c>
      <c r="G578" t="n">
        <v>2.8</v>
      </c>
      <c r="H578" t="n">
        <v>0</v>
      </c>
      <c r="I578" t="n">
        <v>0</v>
      </c>
      <c r="J578" t="n">
        <v>0</v>
      </c>
      <c r="K578" t="n">
        <v>0</v>
      </c>
      <c r="L578" t="n">
        <v>0</v>
      </c>
      <c r="M578" t="n">
        <v>0</v>
      </c>
      <c r="N578" t="n">
        <v>0</v>
      </c>
      <c r="O578" t="n">
        <v>0</v>
      </c>
      <c r="P578" t="n">
        <v>0</v>
      </c>
      <c r="Q578" t="n">
        <v>0</v>
      </c>
      <c r="R578" s="2" t="inlineStr"/>
    </row>
    <row r="579" ht="15" customHeight="1">
      <c r="A579" t="inlineStr">
        <is>
          <t>A 15968-2024</t>
        </is>
      </c>
      <c r="B579" s="1" t="n">
        <v>45405.56021990741</v>
      </c>
      <c r="C579" s="1" t="n">
        <v>45996</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43122-2025</t>
        </is>
      </c>
      <c r="B580" s="1" t="n">
        <v>45909</v>
      </c>
      <c r="C580" s="1" t="n">
        <v>45996</v>
      </c>
      <c r="D580" t="inlineStr">
        <is>
          <t>VÄSTMANLANDS LÄN</t>
        </is>
      </c>
      <c r="E580" t="inlineStr">
        <is>
          <t>SALA</t>
        </is>
      </c>
      <c r="G580" t="n">
        <v>3.2</v>
      </c>
      <c r="H580" t="n">
        <v>0</v>
      </c>
      <c r="I580" t="n">
        <v>0</v>
      </c>
      <c r="J580" t="n">
        <v>0</v>
      </c>
      <c r="K580" t="n">
        <v>0</v>
      </c>
      <c r="L580" t="n">
        <v>0</v>
      </c>
      <c r="M580" t="n">
        <v>0</v>
      </c>
      <c r="N580" t="n">
        <v>0</v>
      </c>
      <c r="O580" t="n">
        <v>0</v>
      </c>
      <c r="P580" t="n">
        <v>0</v>
      </c>
      <c r="Q580" t="n">
        <v>0</v>
      </c>
      <c r="R580" s="2" t="inlineStr"/>
    </row>
    <row r="581" ht="15" customHeight="1">
      <c r="A581" t="inlineStr">
        <is>
          <t>A 5728-2022</t>
        </is>
      </c>
      <c r="B581" s="1" t="n">
        <v>44596.42082175926</v>
      </c>
      <c r="C581" s="1" t="n">
        <v>45996</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60730-2023</t>
        </is>
      </c>
      <c r="B582" s="1" t="n">
        <v>45260</v>
      </c>
      <c r="C582" s="1" t="n">
        <v>45996</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60731-2023</t>
        </is>
      </c>
      <c r="B583" s="1" t="n">
        <v>45260</v>
      </c>
      <c r="C583" s="1" t="n">
        <v>45996</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10250-2025</t>
        </is>
      </c>
      <c r="B584" s="1" t="n">
        <v>45720.36165509259</v>
      </c>
      <c r="C584" s="1" t="n">
        <v>45996</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49512-2024</t>
        </is>
      </c>
      <c r="B585" s="1" t="n">
        <v>45591</v>
      </c>
      <c r="C585" s="1" t="n">
        <v>45996</v>
      </c>
      <c r="D585" t="inlineStr">
        <is>
          <t>VÄSTMANLANDS LÄN</t>
        </is>
      </c>
      <c r="E585" t="inlineStr">
        <is>
          <t>SALA</t>
        </is>
      </c>
      <c r="G585" t="n">
        <v>8.1</v>
      </c>
      <c r="H585" t="n">
        <v>0</v>
      </c>
      <c r="I585" t="n">
        <v>0</v>
      </c>
      <c r="J585" t="n">
        <v>0</v>
      </c>
      <c r="K585" t="n">
        <v>0</v>
      </c>
      <c r="L585" t="n">
        <v>0</v>
      </c>
      <c r="M585" t="n">
        <v>0</v>
      </c>
      <c r="N585" t="n">
        <v>0</v>
      </c>
      <c r="O585" t="n">
        <v>0</v>
      </c>
      <c r="P585" t="n">
        <v>0</v>
      </c>
      <c r="Q585" t="n">
        <v>0</v>
      </c>
      <c r="R585" s="2" t="inlineStr"/>
    </row>
    <row r="586" ht="15" customHeight="1">
      <c r="A586" t="inlineStr">
        <is>
          <t>A 18461-2024</t>
        </is>
      </c>
      <c r="B586" s="1" t="n">
        <v>45425.47435185185</v>
      </c>
      <c r="C586" s="1" t="n">
        <v>45996</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4663-2022</t>
        </is>
      </c>
      <c r="B587" s="1" t="n">
        <v>44592.45429398148</v>
      </c>
      <c r="C587" s="1" t="n">
        <v>45996</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53744-2025</t>
        </is>
      </c>
      <c r="B588" s="1" t="n">
        <v>45960.64863425926</v>
      </c>
      <c r="C588" s="1" t="n">
        <v>45996</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42416-2022</t>
        </is>
      </c>
      <c r="B589" s="1" t="n">
        <v>44831</v>
      </c>
      <c r="C589" s="1" t="n">
        <v>45996</v>
      </c>
      <c r="D589" t="inlineStr">
        <is>
          <t>VÄSTMANLANDS LÄN</t>
        </is>
      </c>
      <c r="E589" t="inlineStr">
        <is>
          <t>SALA</t>
        </is>
      </c>
      <c r="G589" t="n">
        <v>2.2</v>
      </c>
      <c r="H589" t="n">
        <v>0</v>
      </c>
      <c r="I589" t="n">
        <v>0</v>
      </c>
      <c r="J589" t="n">
        <v>0</v>
      </c>
      <c r="K589" t="n">
        <v>0</v>
      </c>
      <c r="L589" t="n">
        <v>0</v>
      </c>
      <c r="M589" t="n">
        <v>0</v>
      </c>
      <c r="N589" t="n">
        <v>0</v>
      </c>
      <c r="O589" t="n">
        <v>0</v>
      </c>
      <c r="P589" t="n">
        <v>0</v>
      </c>
      <c r="Q589" t="n">
        <v>0</v>
      </c>
      <c r="R589" s="2" t="inlineStr"/>
    </row>
    <row r="590" ht="15" customHeight="1">
      <c r="A590" t="inlineStr">
        <is>
          <t>A 6135-2023</t>
        </is>
      </c>
      <c r="B590" s="1" t="n">
        <v>44964.62628472222</v>
      </c>
      <c r="C590" s="1" t="n">
        <v>45996</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6032-2025</t>
        </is>
      </c>
      <c r="B591" s="1" t="n">
        <v>45695.6371875</v>
      </c>
      <c r="C591" s="1" t="n">
        <v>45996</v>
      </c>
      <c r="D591" t="inlineStr">
        <is>
          <t>VÄSTMANLANDS LÄN</t>
        </is>
      </c>
      <c r="E591" t="inlineStr">
        <is>
          <t>SALA</t>
        </is>
      </c>
      <c r="F591" t="inlineStr">
        <is>
          <t>Bergvik skog öst AB</t>
        </is>
      </c>
      <c r="G591" t="n">
        <v>8.1</v>
      </c>
      <c r="H591" t="n">
        <v>0</v>
      </c>
      <c r="I591" t="n">
        <v>0</v>
      </c>
      <c r="J591" t="n">
        <v>0</v>
      </c>
      <c r="K591" t="n">
        <v>0</v>
      </c>
      <c r="L591" t="n">
        <v>0</v>
      </c>
      <c r="M591" t="n">
        <v>0</v>
      </c>
      <c r="N591" t="n">
        <v>0</v>
      </c>
      <c r="O591" t="n">
        <v>0</v>
      </c>
      <c r="P591" t="n">
        <v>0</v>
      </c>
      <c r="Q591" t="n">
        <v>0</v>
      </c>
      <c r="R591" s="2" t="inlineStr"/>
    </row>
    <row r="592" ht="15" customHeight="1">
      <c r="A592" t="inlineStr">
        <is>
          <t>A 16693-2023</t>
        </is>
      </c>
      <c r="B592" s="1" t="n">
        <v>45028</v>
      </c>
      <c r="C592" s="1" t="n">
        <v>45996</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8285-2025</t>
        </is>
      </c>
      <c r="B593" s="1" t="n">
        <v>45708</v>
      </c>
      <c r="C593" s="1" t="n">
        <v>45996</v>
      </c>
      <c r="D593" t="inlineStr">
        <is>
          <t>VÄSTMANLANDS LÄN</t>
        </is>
      </c>
      <c r="E593" t="inlineStr">
        <is>
          <t>SALA</t>
        </is>
      </c>
      <c r="G593" t="n">
        <v>5.7</v>
      </c>
      <c r="H593" t="n">
        <v>0</v>
      </c>
      <c r="I593" t="n">
        <v>0</v>
      </c>
      <c r="J593" t="n">
        <v>0</v>
      </c>
      <c r="K593" t="n">
        <v>0</v>
      </c>
      <c r="L593" t="n">
        <v>0</v>
      </c>
      <c r="M593" t="n">
        <v>0</v>
      </c>
      <c r="N593" t="n">
        <v>0</v>
      </c>
      <c r="O593" t="n">
        <v>0</v>
      </c>
      <c r="P593" t="n">
        <v>0</v>
      </c>
      <c r="Q593" t="n">
        <v>0</v>
      </c>
      <c r="R593" s="2" t="inlineStr"/>
    </row>
    <row r="594" ht="15" customHeight="1">
      <c r="A594" t="inlineStr">
        <is>
          <t>A 53725-2025</t>
        </is>
      </c>
      <c r="B594" s="1" t="n">
        <v>45960.63394675926</v>
      </c>
      <c r="C594" s="1" t="n">
        <v>45996</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15584-2021</t>
        </is>
      </c>
      <c r="B595" s="1" t="n">
        <v>44285</v>
      </c>
      <c r="C595" s="1" t="n">
        <v>45996</v>
      </c>
      <c r="D595" t="inlineStr">
        <is>
          <t>VÄSTMANLANDS LÄN</t>
        </is>
      </c>
      <c r="E595" t="inlineStr">
        <is>
          <t>SALA</t>
        </is>
      </c>
      <c r="G595" t="n">
        <v>3.4</v>
      </c>
      <c r="H595" t="n">
        <v>0</v>
      </c>
      <c r="I595" t="n">
        <v>0</v>
      </c>
      <c r="J595" t="n">
        <v>0</v>
      </c>
      <c r="K595" t="n">
        <v>0</v>
      </c>
      <c r="L595" t="n">
        <v>0</v>
      </c>
      <c r="M595" t="n">
        <v>0</v>
      </c>
      <c r="N595" t="n">
        <v>0</v>
      </c>
      <c r="O595" t="n">
        <v>0</v>
      </c>
      <c r="P595" t="n">
        <v>0</v>
      </c>
      <c r="Q595" t="n">
        <v>0</v>
      </c>
      <c r="R595" s="2" t="inlineStr"/>
    </row>
    <row r="596" ht="15" customHeight="1">
      <c r="A596" t="inlineStr">
        <is>
          <t>A 2766-2024</t>
        </is>
      </c>
      <c r="B596" s="1" t="n">
        <v>45314.60950231482</v>
      </c>
      <c r="C596" s="1" t="n">
        <v>45996</v>
      </c>
      <c r="D596" t="inlineStr">
        <is>
          <t>VÄSTMANLANDS LÄN</t>
        </is>
      </c>
      <c r="E596" t="inlineStr">
        <is>
          <t>SALA</t>
        </is>
      </c>
      <c r="G596" t="n">
        <v>2.8</v>
      </c>
      <c r="H596" t="n">
        <v>0</v>
      </c>
      <c r="I596" t="n">
        <v>0</v>
      </c>
      <c r="J596" t="n">
        <v>0</v>
      </c>
      <c r="K596" t="n">
        <v>0</v>
      </c>
      <c r="L596" t="n">
        <v>0</v>
      </c>
      <c r="M596" t="n">
        <v>0</v>
      </c>
      <c r="N596" t="n">
        <v>0</v>
      </c>
      <c r="O596" t="n">
        <v>0</v>
      </c>
      <c r="P596" t="n">
        <v>0</v>
      </c>
      <c r="Q596" t="n">
        <v>0</v>
      </c>
      <c r="R596" s="2" t="inlineStr"/>
    </row>
    <row r="597" ht="15" customHeight="1">
      <c r="A597" t="inlineStr">
        <is>
          <t>A 54344-2025</t>
        </is>
      </c>
      <c r="B597" s="1" t="n">
        <v>45965.36462962963</v>
      </c>
      <c r="C597" s="1" t="n">
        <v>45996</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6351-2023</t>
        </is>
      </c>
      <c r="B598" s="1" t="n">
        <v>44965</v>
      </c>
      <c r="C598" s="1" t="n">
        <v>45996</v>
      </c>
      <c r="D598" t="inlineStr">
        <is>
          <t>VÄSTMANLANDS LÄN</t>
        </is>
      </c>
      <c r="E598" t="inlineStr">
        <is>
          <t>SALA</t>
        </is>
      </c>
      <c r="F598" t="inlineStr">
        <is>
          <t>Kommuner</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45187-2024</t>
        </is>
      </c>
      <c r="B599" s="1" t="n">
        <v>45575</v>
      </c>
      <c r="C599" s="1" t="n">
        <v>45996</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54590-2025</t>
        </is>
      </c>
      <c r="B600" s="1" t="n">
        <v>45965.74199074074</v>
      </c>
      <c r="C600" s="1" t="n">
        <v>45996</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18340-2025</t>
        </is>
      </c>
      <c r="B601" s="1" t="n">
        <v>45762</v>
      </c>
      <c r="C601" s="1" t="n">
        <v>45996</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33527-2023</t>
        </is>
      </c>
      <c r="B602" s="1" t="n">
        <v>45131</v>
      </c>
      <c r="C602" s="1" t="n">
        <v>45996</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7377-2023</t>
        </is>
      </c>
      <c r="B603" s="1" t="n">
        <v>44971</v>
      </c>
      <c r="C603" s="1" t="n">
        <v>45996</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6308-2021</t>
        </is>
      </c>
      <c r="B604" s="1" t="n">
        <v>44235</v>
      </c>
      <c r="C604" s="1" t="n">
        <v>45996</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56706-2022</t>
        </is>
      </c>
      <c r="B605" s="1" t="n">
        <v>44893.78893518518</v>
      </c>
      <c r="C605" s="1" t="n">
        <v>45996</v>
      </c>
      <c r="D605" t="inlineStr">
        <is>
          <t>VÄSTMANLANDS LÄN</t>
        </is>
      </c>
      <c r="E605" t="inlineStr">
        <is>
          <t>SALA</t>
        </is>
      </c>
      <c r="G605" t="n">
        <v>4.5</v>
      </c>
      <c r="H605" t="n">
        <v>0</v>
      </c>
      <c r="I605" t="n">
        <v>0</v>
      </c>
      <c r="J605" t="n">
        <v>0</v>
      </c>
      <c r="K605" t="n">
        <v>0</v>
      </c>
      <c r="L605" t="n">
        <v>0</v>
      </c>
      <c r="M605" t="n">
        <v>0</v>
      </c>
      <c r="N605" t="n">
        <v>0</v>
      </c>
      <c r="O605" t="n">
        <v>0</v>
      </c>
      <c r="P605" t="n">
        <v>0</v>
      </c>
      <c r="Q605" t="n">
        <v>0</v>
      </c>
      <c r="R605" s="2" t="inlineStr"/>
    </row>
    <row r="606" ht="15" customHeight="1">
      <c r="A606" t="inlineStr">
        <is>
          <t>A 56707-2022</t>
        </is>
      </c>
      <c r="B606" s="1" t="n">
        <v>44893.79412037037</v>
      </c>
      <c r="C606" s="1" t="n">
        <v>45996</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21159-2022</t>
        </is>
      </c>
      <c r="B607" s="1" t="n">
        <v>44704</v>
      </c>
      <c r="C607" s="1" t="n">
        <v>45996</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54201-2025</t>
        </is>
      </c>
      <c r="B608" s="1" t="n">
        <v>45964.58055555556</v>
      </c>
      <c r="C608" s="1" t="n">
        <v>45996</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45371-2025</t>
        </is>
      </c>
      <c r="B609" s="1" t="n">
        <v>45922.39001157408</v>
      </c>
      <c r="C609" s="1" t="n">
        <v>45996</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56688-2024</t>
        </is>
      </c>
      <c r="B610" s="1" t="n">
        <v>45627.66478009259</v>
      </c>
      <c r="C610" s="1" t="n">
        <v>45996</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16159-2024</t>
        </is>
      </c>
      <c r="B611" s="1" t="n">
        <v>45406</v>
      </c>
      <c r="C611" s="1" t="n">
        <v>45996</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48571-2024</t>
        </is>
      </c>
      <c r="B612" s="1" t="n">
        <v>45591</v>
      </c>
      <c r="C612" s="1" t="n">
        <v>45996</v>
      </c>
      <c r="D612" t="inlineStr">
        <is>
          <t>VÄSTMANLANDS LÄN</t>
        </is>
      </c>
      <c r="E612" t="inlineStr">
        <is>
          <t>SALA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66307-2021</t>
        </is>
      </c>
      <c r="B613" s="1" t="n">
        <v>44518.48670138889</v>
      </c>
      <c r="C613" s="1" t="n">
        <v>45996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13188-2025</t>
        </is>
      </c>
      <c r="B614" s="1" t="n">
        <v>45735.39246527778</v>
      </c>
      <c r="C614" s="1" t="n">
        <v>45996</v>
      </c>
      <c r="D614" t="inlineStr">
        <is>
          <t>VÄSTMANLANDS LÄN</t>
        </is>
      </c>
      <c r="E614" t="inlineStr">
        <is>
          <t>SALA</t>
        </is>
      </c>
      <c r="F614" t="inlineStr">
        <is>
          <t>Naturvårdsverket</t>
        </is>
      </c>
      <c r="G614" t="n">
        <v>18.4</v>
      </c>
      <c r="H614" t="n">
        <v>0</v>
      </c>
      <c r="I614" t="n">
        <v>0</v>
      </c>
      <c r="J614" t="n">
        <v>0</v>
      </c>
      <c r="K614" t="n">
        <v>0</v>
      </c>
      <c r="L614" t="n">
        <v>0</v>
      </c>
      <c r="M614" t="n">
        <v>0</v>
      </c>
      <c r="N614" t="n">
        <v>0</v>
      </c>
      <c r="O614" t="n">
        <v>0</v>
      </c>
      <c r="P614" t="n">
        <v>0</v>
      </c>
      <c r="Q614" t="n">
        <v>0</v>
      </c>
      <c r="R614" s="2" t="inlineStr"/>
    </row>
    <row r="615" ht="15" customHeight="1">
      <c r="A615" t="inlineStr">
        <is>
          <t>A 27262-2024</t>
        </is>
      </c>
      <c r="B615" s="1" t="n">
        <v>45471</v>
      </c>
      <c r="C615" s="1" t="n">
        <v>45996</v>
      </c>
      <c r="D615" t="inlineStr">
        <is>
          <t>VÄSTMANLANDS LÄN</t>
        </is>
      </c>
      <c r="E615" t="inlineStr">
        <is>
          <t>SALA</t>
        </is>
      </c>
      <c r="G615" t="n">
        <v>0.8</v>
      </c>
      <c r="H615" t="n">
        <v>0</v>
      </c>
      <c r="I615" t="n">
        <v>0</v>
      </c>
      <c r="J615" t="n">
        <v>0</v>
      </c>
      <c r="K615" t="n">
        <v>0</v>
      </c>
      <c r="L615" t="n">
        <v>0</v>
      </c>
      <c r="M615" t="n">
        <v>0</v>
      </c>
      <c r="N615" t="n">
        <v>0</v>
      </c>
      <c r="O615" t="n">
        <v>0</v>
      </c>
      <c r="P615" t="n">
        <v>0</v>
      </c>
      <c r="Q615" t="n">
        <v>0</v>
      </c>
      <c r="R615" s="2" t="inlineStr"/>
    </row>
    <row r="616" ht="15" customHeight="1">
      <c r="A616" t="inlineStr">
        <is>
          <t>A 10913-2025</t>
        </is>
      </c>
      <c r="B616" s="1" t="n">
        <v>45722.73423611111</v>
      </c>
      <c r="C616" s="1" t="n">
        <v>45996</v>
      </c>
      <c r="D616" t="inlineStr">
        <is>
          <t>VÄSTMANLANDS LÄN</t>
        </is>
      </c>
      <c r="E616" t="inlineStr">
        <is>
          <t>SALA</t>
        </is>
      </c>
      <c r="G616" t="n">
        <v>7.6</v>
      </c>
      <c r="H616" t="n">
        <v>0</v>
      </c>
      <c r="I616" t="n">
        <v>0</v>
      </c>
      <c r="J616" t="n">
        <v>0</v>
      </c>
      <c r="K616" t="n">
        <v>0</v>
      </c>
      <c r="L616" t="n">
        <v>0</v>
      </c>
      <c r="M616" t="n">
        <v>0</v>
      </c>
      <c r="N616" t="n">
        <v>0</v>
      </c>
      <c r="O616" t="n">
        <v>0</v>
      </c>
      <c r="P616" t="n">
        <v>0</v>
      </c>
      <c r="Q616" t="n">
        <v>0</v>
      </c>
      <c r="R616" s="2" t="inlineStr"/>
    </row>
    <row r="617" ht="15" customHeight="1">
      <c r="A617" t="inlineStr">
        <is>
          <t>A 35410-2022</t>
        </is>
      </c>
      <c r="B617" s="1" t="n">
        <v>44798.62576388889</v>
      </c>
      <c r="C617" s="1" t="n">
        <v>45996</v>
      </c>
      <c r="D617" t="inlineStr">
        <is>
          <t>VÄSTMANLANDS LÄN</t>
        </is>
      </c>
      <c r="E617" t="inlineStr">
        <is>
          <t>SALA</t>
        </is>
      </c>
      <c r="G617" t="n">
        <v>1.6</v>
      </c>
      <c r="H617" t="n">
        <v>0</v>
      </c>
      <c r="I617" t="n">
        <v>0</v>
      </c>
      <c r="J617" t="n">
        <v>0</v>
      </c>
      <c r="K617" t="n">
        <v>0</v>
      </c>
      <c r="L617" t="n">
        <v>0</v>
      </c>
      <c r="M617" t="n">
        <v>0</v>
      </c>
      <c r="N617" t="n">
        <v>0</v>
      </c>
      <c r="O617" t="n">
        <v>0</v>
      </c>
      <c r="P617" t="n">
        <v>0</v>
      </c>
      <c r="Q617" t="n">
        <v>0</v>
      </c>
      <c r="R617" s="2" t="inlineStr"/>
    </row>
    <row r="618" ht="15" customHeight="1">
      <c r="A618" t="inlineStr">
        <is>
          <t>A 54893-2025</t>
        </is>
      </c>
      <c r="B618" s="1" t="n">
        <v>45967.36383101852</v>
      </c>
      <c r="C618" s="1" t="n">
        <v>45996</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45914-2025</t>
        </is>
      </c>
      <c r="B619" s="1" t="n">
        <v>45923.82582175926</v>
      </c>
      <c r="C619" s="1" t="n">
        <v>45996</v>
      </c>
      <c r="D619" t="inlineStr">
        <is>
          <t>VÄSTMANLANDS LÄN</t>
        </is>
      </c>
      <c r="E619" t="inlineStr">
        <is>
          <t>SALA</t>
        </is>
      </c>
      <c r="F619" t="inlineStr">
        <is>
          <t>Kommuner</t>
        </is>
      </c>
      <c r="G619" t="n">
        <v>18.2</v>
      </c>
      <c r="H619" t="n">
        <v>0</v>
      </c>
      <c r="I619" t="n">
        <v>0</v>
      </c>
      <c r="J619" t="n">
        <v>0</v>
      </c>
      <c r="K619" t="n">
        <v>0</v>
      </c>
      <c r="L619" t="n">
        <v>0</v>
      </c>
      <c r="M619" t="n">
        <v>0</v>
      </c>
      <c r="N619" t="n">
        <v>0</v>
      </c>
      <c r="O619" t="n">
        <v>0</v>
      </c>
      <c r="P619" t="n">
        <v>0</v>
      </c>
      <c r="Q619" t="n">
        <v>0</v>
      </c>
      <c r="R619" s="2" t="inlineStr"/>
    </row>
    <row r="620" ht="15" customHeight="1">
      <c r="A620" t="inlineStr">
        <is>
          <t>A 1118-2024</t>
        </is>
      </c>
      <c r="B620" s="1" t="n">
        <v>45302</v>
      </c>
      <c r="C620" s="1" t="n">
        <v>45996</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23431-2024</t>
        </is>
      </c>
      <c r="B621" s="1" t="n">
        <v>45453</v>
      </c>
      <c r="C621" s="1" t="n">
        <v>45996</v>
      </c>
      <c r="D621" t="inlineStr">
        <is>
          <t>VÄSTMANLANDS LÄN</t>
        </is>
      </c>
      <c r="E621" t="inlineStr">
        <is>
          <t>SALA</t>
        </is>
      </c>
      <c r="G621" t="n">
        <v>1.6</v>
      </c>
      <c r="H621" t="n">
        <v>0</v>
      </c>
      <c r="I621" t="n">
        <v>0</v>
      </c>
      <c r="J621" t="n">
        <v>0</v>
      </c>
      <c r="K621" t="n">
        <v>0</v>
      </c>
      <c r="L621" t="n">
        <v>0</v>
      </c>
      <c r="M621" t="n">
        <v>0</v>
      </c>
      <c r="N621" t="n">
        <v>0</v>
      </c>
      <c r="O621" t="n">
        <v>0</v>
      </c>
      <c r="P621" t="n">
        <v>0</v>
      </c>
      <c r="Q621" t="n">
        <v>0</v>
      </c>
      <c r="R621" s="2" t="inlineStr"/>
    </row>
    <row r="622" ht="15" customHeight="1">
      <c r="A622" t="inlineStr">
        <is>
          <t>A 19033-2025</t>
        </is>
      </c>
      <c r="B622" s="1" t="n">
        <v>45764.65796296296</v>
      </c>
      <c r="C622" s="1" t="n">
        <v>45996</v>
      </c>
      <c r="D622" t="inlineStr">
        <is>
          <t>VÄSTMANLANDS LÄN</t>
        </is>
      </c>
      <c r="E622" t="inlineStr">
        <is>
          <t>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53864-2022</t>
        </is>
      </c>
      <c r="B623" s="1" t="n">
        <v>44880.64016203704</v>
      </c>
      <c r="C623" s="1" t="n">
        <v>45996</v>
      </c>
      <c r="D623" t="inlineStr">
        <is>
          <t>VÄSTMANLANDS LÄN</t>
        </is>
      </c>
      <c r="E623" t="inlineStr">
        <is>
          <t>SALA</t>
        </is>
      </c>
      <c r="G623" t="n">
        <v>5.9</v>
      </c>
      <c r="H623" t="n">
        <v>0</v>
      </c>
      <c r="I623" t="n">
        <v>0</v>
      </c>
      <c r="J623" t="n">
        <v>0</v>
      </c>
      <c r="K623" t="n">
        <v>0</v>
      </c>
      <c r="L623" t="n">
        <v>0</v>
      </c>
      <c r="M623" t="n">
        <v>0</v>
      </c>
      <c r="N623" t="n">
        <v>0</v>
      </c>
      <c r="O623" t="n">
        <v>0</v>
      </c>
      <c r="P623" t="n">
        <v>0</v>
      </c>
      <c r="Q623" t="n">
        <v>0</v>
      </c>
      <c r="R623" s="2" t="inlineStr"/>
    </row>
    <row r="624" ht="15" customHeight="1">
      <c r="A624" t="inlineStr">
        <is>
          <t>A 21168-2025</t>
        </is>
      </c>
      <c r="B624" s="1" t="n">
        <v>45777</v>
      </c>
      <c r="C624" s="1" t="n">
        <v>45996</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40085-2024</t>
        </is>
      </c>
      <c r="B625" s="1" t="n">
        <v>45554</v>
      </c>
      <c r="C625" s="1" t="n">
        <v>45996</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3551-2024</t>
        </is>
      </c>
      <c r="B626" s="1" t="n">
        <v>45320.61099537037</v>
      </c>
      <c r="C626" s="1" t="n">
        <v>45996</v>
      </c>
      <c r="D626" t="inlineStr">
        <is>
          <t>VÄSTMANLANDS LÄN</t>
        </is>
      </c>
      <c r="E626" t="inlineStr">
        <is>
          <t>SALA</t>
        </is>
      </c>
      <c r="F626" t="inlineStr">
        <is>
          <t>Kommuner</t>
        </is>
      </c>
      <c r="G626" t="n">
        <v>6</v>
      </c>
      <c r="H626" t="n">
        <v>0</v>
      </c>
      <c r="I626" t="n">
        <v>0</v>
      </c>
      <c r="J626" t="n">
        <v>0</v>
      </c>
      <c r="K626" t="n">
        <v>0</v>
      </c>
      <c r="L626" t="n">
        <v>0</v>
      </c>
      <c r="M626" t="n">
        <v>0</v>
      </c>
      <c r="N626" t="n">
        <v>0</v>
      </c>
      <c r="O626" t="n">
        <v>0</v>
      </c>
      <c r="P626" t="n">
        <v>0</v>
      </c>
      <c r="Q626" t="n">
        <v>0</v>
      </c>
      <c r="R626" s="2" t="inlineStr"/>
    </row>
    <row r="627" ht="15" customHeight="1">
      <c r="A627" t="inlineStr">
        <is>
          <t>A 21754-2025</t>
        </is>
      </c>
      <c r="B627" s="1" t="n">
        <v>45783.61837962963</v>
      </c>
      <c r="C627" s="1" t="n">
        <v>45996</v>
      </c>
      <c r="D627" t="inlineStr">
        <is>
          <t>VÄSTMANLANDS LÄN</t>
        </is>
      </c>
      <c r="E627" t="inlineStr">
        <is>
          <t>SALA</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21751-2025</t>
        </is>
      </c>
      <c r="B628" s="1" t="n">
        <v>45783.61372685185</v>
      </c>
      <c r="C628" s="1" t="n">
        <v>45996</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45909-2025</t>
        </is>
      </c>
      <c r="B629" s="1" t="n">
        <v>45923.75078703704</v>
      </c>
      <c r="C629" s="1" t="n">
        <v>45996</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22961-2023</t>
        </is>
      </c>
      <c r="B630" s="1" t="n">
        <v>45072</v>
      </c>
      <c r="C630" s="1" t="n">
        <v>45996</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22963-2023</t>
        </is>
      </c>
      <c r="B631" s="1" t="n">
        <v>45072</v>
      </c>
      <c r="C631" s="1" t="n">
        <v>45996</v>
      </c>
      <c r="D631" t="inlineStr">
        <is>
          <t>VÄSTMANLANDS LÄN</t>
        </is>
      </c>
      <c r="E631" t="inlineStr">
        <is>
          <t>SALA</t>
        </is>
      </c>
      <c r="G631" t="n">
        <v>1.2</v>
      </c>
      <c r="H631" t="n">
        <v>0</v>
      </c>
      <c r="I631" t="n">
        <v>0</v>
      </c>
      <c r="J631" t="n">
        <v>0</v>
      </c>
      <c r="K631" t="n">
        <v>0</v>
      </c>
      <c r="L631" t="n">
        <v>0</v>
      </c>
      <c r="M631" t="n">
        <v>0</v>
      </c>
      <c r="N631" t="n">
        <v>0</v>
      </c>
      <c r="O631" t="n">
        <v>0</v>
      </c>
      <c r="P631" t="n">
        <v>0</v>
      </c>
      <c r="Q631" t="n">
        <v>0</v>
      </c>
      <c r="R631" s="2" t="inlineStr"/>
    </row>
    <row r="632" ht="15" customHeight="1">
      <c r="A632" t="inlineStr">
        <is>
          <t>A 37587-2024</t>
        </is>
      </c>
      <c r="B632" s="1" t="n">
        <v>45541</v>
      </c>
      <c r="C632" s="1" t="n">
        <v>45996</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54960-2024</t>
        </is>
      </c>
      <c r="B633" s="1" t="n">
        <v>45619.85208333333</v>
      </c>
      <c r="C633" s="1" t="n">
        <v>45996</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64724-2023</t>
        </is>
      </c>
      <c r="B634" s="1" t="n">
        <v>45281.7602662037</v>
      </c>
      <c r="C634" s="1" t="n">
        <v>45996</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27228-2023</t>
        </is>
      </c>
      <c r="B635" s="1" t="n">
        <v>45096.59189814814</v>
      </c>
      <c r="C635" s="1" t="n">
        <v>45996</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26507-2023</t>
        </is>
      </c>
      <c r="B636" s="1" t="n">
        <v>45092</v>
      </c>
      <c r="C636" s="1" t="n">
        <v>45996</v>
      </c>
      <c r="D636" t="inlineStr">
        <is>
          <t>VÄSTMANLANDS LÄN</t>
        </is>
      </c>
      <c r="E636" t="inlineStr">
        <is>
          <t>SALA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6183-2025</t>
        </is>
      </c>
      <c r="B637" s="1" t="n">
        <v>45698</v>
      </c>
      <c r="C637" s="1" t="n">
        <v>45996</v>
      </c>
      <c r="D637" t="inlineStr">
        <is>
          <t>VÄSTMANLANDS LÄN</t>
        </is>
      </c>
      <c r="E637" t="inlineStr">
        <is>
          <t>SALA</t>
        </is>
      </c>
      <c r="F637" t="inlineStr">
        <is>
          <t>Bergvik skog öst AB</t>
        </is>
      </c>
      <c r="G637" t="n">
        <v>2.3</v>
      </c>
      <c r="H637" t="n">
        <v>0</v>
      </c>
      <c r="I637" t="n">
        <v>0</v>
      </c>
      <c r="J637" t="n">
        <v>0</v>
      </c>
      <c r="K637" t="n">
        <v>0</v>
      </c>
      <c r="L637" t="n">
        <v>0</v>
      </c>
      <c r="M637" t="n">
        <v>0</v>
      </c>
      <c r="N637" t="n">
        <v>0</v>
      </c>
      <c r="O637" t="n">
        <v>0</v>
      </c>
      <c r="P637" t="n">
        <v>0</v>
      </c>
      <c r="Q637" t="n">
        <v>0</v>
      </c>
      <c r="R637" s="2" t="inlineStr"/>
    </row>
    <row r="638" ht="15" customHeight="1">
      <c r="A638" t="inlineStr">
        <is>
          <t>A 16543-2023</t>
        </is>
      </c>
      <c r="B638" s="1" t="n">
        <v>45029</v>
      </c>
      <c r="C638" s="1" t="n">
        <v>45996</v>
      </c>
      <c r="D638" t="inlineStr">
        <is>
          <t>VÄSTMANLANDS LÄN</t>
        </is>
      </c>
      <c r="E638" t="inlineStr">
        <is>
          <t>SALA</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7176-2023</t>
        </is>
      </c>
      <c r="B639" s="1" t="n">
        <v>44970</v>
      </c>
      <c r="C639" s="1" t="n">
        <v>45996</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43176-2023</t>
        </is>
      </c>
      <c r="B640" s="1" t="n">
        <v>45183</v>
      </c>
      <c r="C640" s="1" t="n">
        <v>45996</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37624-2024</t>
        </is>
      </c>
      <c r="B641" s="1" t="n">
        <v>45541</v>
      </c>
      <c r="C641" s="1" t="n">
        <v>45996</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57895-2024</t>
        </is>
      </c>
      <c r="B642" s="1" t="n">
        <v>45631</v>
      </c>
      <c r="C642" s="1" t="n">
        <v>45996</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47086-2022</t>
        </is>
      </c>
      <c r="B643" s="1" t="n">
        <v>44852</v>
      </c>
      <c r="C643" s="1" t="n">
        <v>45996</v>
      </c>
      <c r="D643" t="inlineStr">
        <is>
          <t>VÄSTMANLANDS LÄN</t>
        </is>
      </c>
      <c r="E643" t="inlineStr">
        <is>
          <t>SALA</t>
        </is>
      </c>
      <c r="G643" t="n">
        <v>12.5</v>
      </c>
      <c r="H643" t="n">
        <v>0</v>
      </c>
      <c r="I643" t="n">
        <v>0</v>
      </c>
      <c r="J643" t="n">
        <v>0</v>
      </c>
      <c r="K643" t="n">
        <v>0</v>
      </c>
      <c r="L643" t="n">
        <v>0</v>
      </c>
      <c r="M643" t="n">
        <v>0</v>
      </c>
      <c r="N643" t="n">
        <v>0</v>
      </c>
      <c r="O643" t="n">
        <v>0</v>
      </c>
      <c r="P643" t="n">
        <v>0</v>
      </c>
      <c r="Q643" t="n">
        <v>0</v>
      </c>
      <c r="R643" s="2" t="inlineStr"/>
    </row>
    <row r="644" ht="15" customHeight="1">
      <c r="A644" t="inlineStr">
        <is>
          <t>A 43600-2024</t>
        </is>
      </c>
      <c r="B644" s="1" t="n">
        <v>45569</v>
      </c>
      <c r="C644" s="1" t="n">
        <v>45996</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31405-2024</t>
        </is>
      </c>
      <c r="B645" s="1" t="n">
        <v>45505.5490625</v>
      </c>
      <c r="C645" s="1" t="n">
        <v>45996</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22616-2025</t>
        </is>
      </c>
      <c r="B646" s="1" t="n">
        <v>45789.42752314815</v>
      </c>
      <c r="C646" s="1" t="n">
        <v>45996</v>
      </c>
      <c r="D646" t="inlineStr">
        <is>
          <t>VÄSTMANLANDS LÄN</t>
        </is>
      </c>
      <c r="E646" t="inlineStr">
        <is>
          <t>SALA</t>
        </is>
      </c>
      <c r="G646" t="n">
        <v>0.8</v>
      </c>
      <c r="H646" t="n">
        <v>0</v>
      </c>
      <c r="I646" t="n">
        <v>0</v>
      </c>
      <c r="J646" t="n">
        <v>0</v>
      </c>
      <c r="K646" t="n">
        <v>0</v>
      </c>
      <c r="L646" t="n">
        <v>0</v>
      </c>
      <c r="M646" t="n">
        <v>0</v>
      </c>
      <c r="N646" t="n">
        <v>0</v>
      </c>
      <c r="O646" t="n">
        <v>0</v>
      </c>
      <c r="P646" t="n">
        <v>0</v>
      </c>
      <c r="Q646" t="n">
        <v>0</v>
      </c>
      <c r="R646" s="2" t="inlineStr"/>
    </row>
    <row r="647" ht="15" customHeight="1">
      <c r="A647" t="inlineStr">
        <is>
          <t>A 22353-2025</t>
        </is>
      </c>
      <c r="B647" s="1" t="n">
        <v>45786</v>
      </c>
      <c r="C647" s="1" t="n">
        <v>45996</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14010-2021</t>
        </is>
      </c>
      <c r="B648" s="1" t="n">
        <v>44277.63396990741</v>
      </c>
      <c r="C648" s="1" t="n">
        <v>45996</v>
      </c>
      <c r="D648" t="inlineStr">
        <is>
          <t>VÄSTMANLANDS LÄN</t>
        </is>
      </c>
      <c r="E648" t="inlineStr">
        <is>
          <t>SALA</t>
        </is>
      </c>
      <c r="G648" t="n">
        <v>3.5</v>
      </c>
      <c r="H648" t="n">
        <v>0</v>
      </c>
      <c r="I648" t="n">
        <v>0</v>
      </c>
      <c r="J648" t="n">
        <v>0</v>
      </c>
      <c r="K648" t="n">
        <v>0</v>
      </c>
      <c r="L648" t="n">
        <v>0</v>
      </c>
      <c r="M648" t="n">
        <v>0</v>
      </c>
      <c r="N648" t="n">
        <v>0</v>
      </c>
      <c r="O648" t="n">
        <v>0</v>
      </c>
      <c r="P648" t="n">
        <v>0</v>
      </c>
      <c r="Q648" t="n">
        <v>0</v>
      </c>
      <c r="R648" s="2" t="inlineStr"/>
    </row>
    <row r="649" ht="15" customHeight="1">
      <c r="A649" t="inlineStr">
        <is>
          <t>A 46915-2025</t>
        </is>
      </c>
      <c r="B649" s="1" t="n">
        <v>45929.42114583333</v>
      </c>
      <c r="C649" s="1" t="n">
        <v>45996</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22383-2025</t>
        </is>
      </c>
      <c r="B650" s="1" t="n">
        <v>45786</v>
      </c>
      <c r="C650" s="1" t="n">
        <v>45996</v>
      </c>
      <c r="D650" t="inlineStr">
        <is>
          <t>VÄSTMANLANDS LÄN</t>
        </is>
      </c>
      <c r="E650" t="inlineStr">
        <is>
          <t>SALA</t>
        </is>
      </c>
      <c r="G650" t="n">
        <v>2.2</v>
      </c>
      <c r="H650" t="n">
        <v>0</v>
      </c>
      <c r="I650" t="n">
        <v>0</v>
      </c>
      <c r="J650" t="n">
        <v>0</v>
      </c>
      <c r="K650" t="n">
        <v>0</v>
      </c>
      <c r="L650" t="n">
        <v>0</v>
      </c>
      <c r="M650" t="n">
        <v>0</v>
      </c>
      <c r="N650" t="n">
        <v>0</v>
      </c>
      <c r="O650" t="n">
        <v>0</v>
      </c>
      <c r="P650" t="n">
        <v>0</v>
      </c>
      <c r="Q650" t="n">
        <v>0</v>
      </c>
      <c r="R650" s="2" t="inlineStr"/>
    </row>
    <row r="651" ht="15" customHeight="1">
      <c r="A651" t="inlineStr">
        <is>
          <t>A 22624-2025</t>
        </is>
      </c>
      <c r="B651" s="1" t="n">
        <v>45789.43327546296</v>
      </c>
      <c r="C651" s="1" t="n">
        <v>45996</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56687-2024</t>
        </is>
      </c>
      <c r="B652" s="1" t="n">
        <v>45627.63271990741</v>
      </c>
      <c r="C652" s="1" t="n">
        <v>45996</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54347-2024</t>
        </is>
      </c>
      <c r="B653" s="1" t="n">
        <v>45617.39325231482</v>
      </c>
      <c r="C653" s="1" t="n">
        <v>45996</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22370-2025</t>
        </is>
      </c>
      <c r="B654" s="1" t="n">
        <v>45786</v>
      </c>
      <c r="C654" s="1" t="n">
        <v>45996</v>
      </c>
      <c r="D654" t="inlineStr">
        <is>
          <t>VÄSTMANLANDS LÄN</t>
        </is>
      </c>
      <c r="E654" t="inlineStr">
        <is>
          <t>SALA</t>
        </is>
      </c>
      <c r="G654" t="n">
        <v>3.2</v>
      </c>
      <c r="H654" t="n">
        <v>0</v>
      </c>
      <c r="I654" t="n">
        <v>0</v>
      </c>
      <c r="J654" t="n">
        <v>0</v>
      </c>
      <c r="K654" t="n">
        <v>0</v>
      </c>
      <c r="L654" t="n">
        <v>0</v>
      </c>
      <c r="M654" t="n">
        <v>0</v>
      </c>
      <c r="N654" t="n">
        <v>0</v>
      </c>
      <c r="O654" t="n">
        <v>0</v>
      </c>
      <c r="P654" t="n">
        <v>0</v>
      </c>
      <c r="Q654" t="n">
        <v>0</v>
      </c>
      <c r="R654" s="2" t="inlineStr"/>
    </row>
    <row r="655" ht="15" customHeight="1">
      <c r="A655" t="inlineStr">
        <is>
          <t>A 64693-2023</t>
        </is>
      </c>
      <c r="B655" s="1" t="n">
        <v>45281.63850694444</v>
      </c>
      <c r="C655" s="1" t="n">
        <v>45996</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row>
    <row r="656" ht="15" customHeight="1">
      <c r="A656" t="inlineStr">
        <is>
          <t>A 64695-2023</t>
        </is>
      </c>
      <c r="B656" s="1" t="n">
        <v>45281.64099537037</v>
      </c>
      <c r="C656" s="1" t="n">
        <v>45996</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27486-2022</t>
        </is>
      </c>
      <c r="B657" s="1" t="n">
        <v>44742.60846064815</v>
      </c>
      <c r="C657" s="1" t="n">
        <v>45996</v>
      </c>
      <c r="D657" t="inlineStr">
        <is>
          <t>VÄSTMANLANDS LÄN</t>
        </is>
      </c>
      <c r="E657" t="inlineStr">
        <is>
          <t>SALA</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13130-2025</t>
        </is>
      </c>
      <c r="B658" s="1" t="n">
        <v>45734</v>
      </c>
      <c r="C658" s="1" t="n">
        <v>45996</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35003-2024</t>
        </is>
      </c>
      <c r="B659" s="1" t="n">
        <v>45527.56790509259</v>
      </c>
      <c r="C659" s="1" t="n">
        <v>45996</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46597-2025</t>
        </is>
      </c>
      <c r="B660" s="1" t="n">
        <v>45926.40113425926</v>
      </c>
      <c r="C660" s="1" t="n">
        <v>45996</v>
      </c>
      <c r="D660" t="inlineStr">
        <is>
          <t>VÄSTMANLANDS LÄN</t>
        </is>
      </c>
      <c r="E660" t="inlineStr">
        <is>
          <t>SALA</t>
        </is>
      </c>
      <c r="G660" t="n">
        <v>3.4</v>
      </c>
      <c r="H660" t="n">
        <v>0</v>
      </c>
      <c r="I660" t="n">
        <v>0</v>
      </c>
      <c r="J660" t="n">
        <v>0</v>
      </c>
      <c r="K660" t="n">
        <v>0</v>
      </c>
      <c r="L660" t="n">
        <v>0</v>
      </c>
      <c r="M660" t="n">
        <v>0</v>
      </c>
      <c r="N660" t="n">
        <v>0</v>
      </c>
      <c r="O660" t="n">
        <v>0</v>
      </c>
      <c r="P660" t="n">
        <v>0</v>
      </c>
      <c r="Q660" t="n">
        <v>0</v>
      </c>
      <c r="R660" s="2" t="inlineStr"/>
    </row>
    <row r="661" ht="15" customHeight="1">
      <c r="A661" t="inlineStr">
        <is>
          <t>A 48688-2024</t>
        </is>
      </c>
      <c r="B661" s="1" t="n">
        <v>45593.50541666667</v>
      </c>
      <c r="C661" s="1" t="n">
        <v>45996</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15354-2021</t>
        </is>
      </c>
      <c r="B662" s="1" t="n">
        <v>44284</v>
      </c>
      <c r="C662" s="1" t="n">
        <v>45996</v>
      </c>
      <c r="D662" t="inlineStr">
        <is>
          <t>VÄSTMANLANDS LÄN</t>
        </is>
      </c>
      <c r="E662" t="inlineStr">
        <is>
          <t>SALA</t>
        </is>
      </c>
      <c r="F662" t="inlineStr">
        <is>
          <t>Kyrkan</t>
        </is>
      </c>
      <c r="G662" t="n">
        <v>8.5</v>
      </c>
      <c r="H662" t="n">
        <v>0</v>
      </c>
      <c r="I662" t="n">
        <v>0</v>
      </c>
      <c r="J662" t="n">
        <v>0</v>
      </c>
      <c r="K662" t="n">
        <v>0</v>
      </c>
      <c r="L662" t="n">
        <v>0</v>
      </c>
      <c r="M662" t="n">
        <v>0</v>
      </c>
      <c r="N662" t="n">
        <v>0</v>
      </c>
      <c r="O662" t="n">
        <v>0</v>
      </c>
      <c r="P662" t="n">
        <v>0</v>
      </c>
      <c r="Q662" t="n">
        <v>0</v>
      </c>
      <c r="R662" s="2" t="inlineStr"/>
    </row>
    <row r="663" ht="15" customHeight="1">
      <c r="A663" t="inlineStr">
        <is>
          <t>A 63933-2023</t>
        </is>
      </c>
      <c r="B663" s="1" t="n">
        <v>45278</v>
      </c>
      <c r="C663" s="1" t="n">
        <v>45996</v>
      </c>
      <c r="D663" t="inlineStr">
        <is>
          <t>VÄSTMANLANDS LÄN</t>
        </is>
      </c>
      <c r="E663" t="inlineStr">
        <is>
          <t>SALA</t>
        </is>
      </c>
      <c r="G663" t="n">
        <v>1.4</v>
      </c>
      <c r="H663" t="n">
        <v>0</v>
      </c>
      <c r="I663" t="n">
        <v>0</v>
      </c>
      <c r="J663" t="n">
        <v>0</v>
      </c>
      <c r="K663" t="n">
        <v>0</v>
      </c>
      <c r="L663" t="n">
        <v>0</v>
      </c>
      <c r="M663" t="n">
        <v>0</v>
      </c>
      <c r="N663" t="n">
        <v>0</v>
      </c>
      <c r="O663" t="n">
        <v>0</v>
      </c>
      <c r="P663" t="n">
        <v>0</v>
      </c>
      <c r="Q663" t="n">
        <v>0</v>
      </c>
      <c r="R663" s="2" t="inlineStr"/>
    </row>
    <row r="664" ht="15" customHeight="1">
      <c r="A664" t="inlineStr">
        <is>
          <t>A 44746-2024</t>
        </is>
      </c>
      <c r="B664" s="1" t="n">
        <v>45574.59813657407</v>
      </c>
      <c r="C664" s="1" t="n">
        <v>45996</v>
      </c>
      <c r="D664" t="inlineStr">
        <is>
          <t>VÄSTMANLANDS LÄN</t>
        </is>
      </c>
      <c r="E664" t="inlineStr">
        <is>
          <t>SALA</t>
        </is>
      </c>
      <c r="G664" t="n">
        <v>6.7</v>
      </c>
      <c r="H664" t="n">
        <v>0</v>
      </c>
      <c r="I664" t="n">
        <v>0</v>
      </c>
      <c r="J664" t="n">
        <v>0</v>
      </c>
      <c r="K664" t="n">
        <v>0</v>
      </c>
      <c r="L664" t="n">
        <v>0</v>
      </c>
      <c r="M664" t="n">
        <v>0</v>
      </c>
      <c r="N664" t="n">
        <v>0</v>
      </c>
      <c r="O664" t="n">
        <v>0</v>
      </c>
      <c r="P664" t="n">
        <v>0</v>
      </c>
      <c r="Q664" t="n">
        <v>0</v>
      </c>
      <c r="R664" s="2" t="inlineStr"/>
    </row>
    <row r="665" ht="15" customHeight="1">
      <c r="A665" t="inlineStr">
        <is>
          <t>A 33273-2023</t>
        </is>
      </c>
      <c r="B665" s="1" t="n">
        <v>45127</v>
      </c>
      <c r="C665" s="1" t="n">
        <v>45996</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11696-2025</t>
        </is>
      </c>
      <c r="B666" s="1" t="n">
        <v>45727</v>
      </c>
      <c r="C666" s="1" t="n">
        <v>45996</v>
      </c>
      <c r="D666" t="inlineStr">
        <is>
          <t>VÄSTMANLANDS LÄN</t>
        </is>
      </c>
      <c r="E666" t="inlineStr">
        <is>
          <t>SALA</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23804-2025</t>
        </is>
      </c>
      <c r="B667" s="1" t="n">
        <v>45793.55995370371</v>
      </c>
      <c r="C667" s="1" t="n">
        <v>45996</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22126-2025</t>
        </is>
      </c>
      <c r="B668" s="1" t="n">
        <v>45785</v>
      </c>
      <c r="C668" s="1" t="n">
        <v>45996</v>
      </c>
      <c r="D668" t="inlineStr">
        <is>
          <t>VÄSTMANLANDS LÄN</t>
        </is>
      </c>
      <c r="E668" t="inlineStr">
        <is>
          <t>SALA</t>
        </is>
      </c>
      <c r="G668" t="n">
        <v>10.6</v>
      </c>
      <c r="H668" t="n">
        <v>0</v>
      </c>
      <c r="I668" t="n">
        <v>0</v>
      </c>
      <c r="J668" t="n">
        <v>0</v>
      </c>
      <c r="K668" t="n">
        <v>0</v>
      </c>
      <c r="L668" t="n">
        <v>0</v>
      </c>
      <c r="M668" t="n">
        <v>0</v>
      </c>
      <c r="N668" t="n">
        <v>0</v>
      </c>
      <c r="O668" t="n">
        <v>0</v>
      </c>
      <c r="P668" t="n">
        <v>0</v>
      </c>
      <c r="Q668" t="n">
        <v>0</v>
      </c>
      <c r="R668" s="2" t="inlineStr"/>
    </row>
    <row r="669" ht="15" customHeight="1">
      <c r="A669" t="inlineStr">
        <is>
          <t>A 19297-2025</t>
        </is>
      </c>
      <c r="B669" s="1" t="n">
        <v>45769.56261574074</v>
      </c>
      <c r="C669" s="1" t="n">
        <v>45996</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23810-2025</t>
        </is>
      </c>
      <c r="B670" s="1" t="n">
        <v>45793.56989583333</v>
      </c>
      <c r="C670" s="1" t="n">
        <v>45996</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47577-2025</t>
        </is>
      </c>
      <c r="B671" s="1" t="n">
        <v>45931.4047337963</v>
      </c>
      <c r="C671" s="1" t="n">
        <v>45996</v>
      </c>
      <c r="D671" t="inlineStr">
        <is>
          <t>VÄSTMANLANDS LÄN</t>
        </is>
      </c>
      <c r="E671" t="inlineStr">
        <is>
          <t>SALA</t>
        </is>
      </c>
      <c r="G671" t="n">
        <v>3.7</v>
      </c>
      <c r="H671" t="n">
        <v>0</v>
      </c>
      <c r="I671" t="n">
        <v>0</v>
      </c>
      <c r="J671" t="n">
        <v>0</v>
      </c>
      <c r="K671" t="n">
        <v>0</v>
      </c>
      <c r="L671" t="n">
        <v>0</v>
      </c>
      <c r="M671" t="n">
        <v>0</v>
      </c>
      <c r="N671" t="n">
        <v>0</v>
      </c>
      <c r="O671" t="n">
        <v>0</v>
      </c>
      <c r="P671" t="n">
        <v>0</v>
      </c>
      <c r="Q671" t="n">
        <v>0</v>
      </c>
      <c r="R671" s="2" t="inlineStr"/>
    </row>
    <row r="672" ht="15" customHeight="1">
      <c r="A672" t="inlineStr">
        <is>
          <t>A 55997-2025</t>
        </is>
      </c>
      <c r="B672" s="1" t="n">
        <v>45973.56833333334</v>
      </c>
      <c r="C672" s="1" t="n">
        <v>45996</v>
      </c>
      <c r="D672" t="inlineStr">
        <is>
          <t>VÄSTMANLANDS LÄN</t>
        </is>
      </c>
      <c r="E672" t="inlineStr">
        <is>
          <t>SALA</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46661-2025</t>
        </is>
      </c>
      <c r="B673" s="1" t="n">
        <v>45926</v>
      </c>
      <c r="C673" s="1" t="n">
        <v>45996</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55714-2025</t>
        </is>
      </c>
      <c r="B674" s="1" t="n">
        <v>45972.49131944445</v>
      </c>
      <c r="C674" s="1" t="n">
        <v>45996</v>
      </c>
      <c r="D674" t="inlineStr">
        <is>
          <t>VÄSTMANLANDS LÄN</t>
        </is>
      </c>
      <c r="E674" t="inlineStr">
        <is>
          <t>SALA</t>
        </is>
      </c>
      <c r="G674" t="n">
        <v>6.6</v>
      </c>
      <c r="H674" t="n">
        <v>0</v>
      </c>
      <c r="I674" t="n">
        <v>0</v>
      </c>
      <c r="J674" t="n">
        <v>0</v>
      </c>
      <c r="K674" t="n">
        <v>0</v>
      </c>
      <c r="L674" t="n">
        <v>0</v>
      </c>
      <c r="M674" t="n">
        <v>0</v>
      </c>
      <c r="N674" t="n">
        <v>0</v>
      </c>
      <c r="O674" t="n">
        <v>0</v>
      </c>
      <c r="P674" t="n">
        <v>0</v>
      </c>
      <c r="Q674" t="n">
        <v>0</v>
      </c>
      <c r="R674" s="2" t="inlineStr"/>
    </row>
    <row r="675" ht="15" customHeight="1">
      <c r="A675" t="inlineStr">
        <is>
          <t>A 56645-2025</t>
        </is>
      </c>
      <c r="B675" s="1" t="n">
        <v>45975.63063657407</v>
      </c>
      <c r="C675" s="1" t="n">
        <v>45996</v>
      </c>
      <c r="D675" t="inlineStr">
        <is>
          <t>VÄSTMANLANDS LÄN</t>
        </is>
      </c>
      <c r="E675" t="inlineStr">
        <is>
          <t>SALA</t>
        </is>
      </c>
      <c r="F675" t="inlineStr">
        <is>
          <t>Bergvik skog öst AB</t>
        </is>
      </c>
      <c r="G675" t="n">
        <v>5.3</v>
      </c>
      <c r="H675" t="n">
        <v>0</v>
      </c>
      <c r="I675" t="n">
        <v>0</v>
      </c>
      <c r="J675" t="n">
        <v>0</v>
      </c>
      <c r="K675" t="n">
        <v>0</v>
      </c>
      <c r="L675" t="n">
        <v>0</v>
      </c>
      <c r="M675" t="n">
        <v>0</v>
      </c>
      <c r="N675" t="n">
        <v>0</v>
      </c>
      <c r="O675" t="n">
        <v>0</v>
      </c>
      <c r="P675" t="n">
        <v>0</v>
      </c>
      <c r="Q675" t="n">
        <v>0</v>
      </c>
      <c r="R675" s="2" t="inlineStr"/>
    </row>
    <row r="676" ht="15" customHeight="1">
      <c r="A676" t="inlineStr">
        <is>
          <t>A 48057-2025</t>
        </is>
      </c>
      <c r="B676" s="1" t="n">
        <v>45932.67947916667</v>
      </c>
      <c r="C676" s="1" t="n">
        <v>45996</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56614-2025</t>
        </is>
      </c>
      <c r="B677" s="1" t="n">
        <v>45975.59288194445</v>
      </c>
      <c r="C677" s="1" t="n">
        <v>45996</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56593-2025</t>
        </is>
      </c>
      <c r="B678" s="1" t="n">
        <v>45975</v>
      </c>
      <c r="C678" s="1" t="n">
        <v>45996</v>
      </c>
      <c r="D678" t="inlineStr">
        <is>
          <t>VÄSTMANLANDS LÄN</t>
        </is>
      </c>
      <c r="E678" t="inlineStr">
        <is>
          <t>SALA</t>
        </is>
      </c>
      <c r="F678" t="inlineStr">
        <is>
          <t>Kyrkan</t>
        </is>
      </c>
      <c r="G678" t="n">
        <v>0.1</v>
      </c>
      <c r="H678" t="n">
        <v>0</v>
      </c>
      <c r="I678" t="n">
        <v>0</v>
      </c>
      <c r="J678" t="n">
        <v>0</v>
      </c>
      <c r="K678" t="n">
        <v>0</v>
      </c>
      <c r="L678" t="n">
        <v>0</v>
      </c>
      <c r="M678" t="n">
        <v>0</v>
      </c>
      <c r="N678" t="n">
        <v>0</v>
      </c>
      <c r="O678" t="n">
        <v>0</v>
      </c>
      <c r="P678" t="n">
        <v>0</v>
      </c>
      <c r="Q678" t="n">
        <v>0</v>
      </c>
      <c r="R678" s="2" t="inlineStr"/>
    </row>
    <row r="679" ht="15" customHeight="1">
      <c r="A679" t="inlineStr">
        <is>
          <t>A 56611-2025</t>
        </is>
      </c>
      <c r="B679" s="1" t="n">
        <v>45975</v>
      </c>
      <c r="C679" s="1" t="n">
        <v>45996</v>
      </c>
      <c r="D679" t="inlineStr">
        <is>
          <t>VÄSTMANLANDS LÄN</t>
        </is>
      </c>
      <c r="E679" t="inlineStr">
        <is>
          <t>SALA</t>
        </is>
      </c>
      <c r="G679" t="n">
        <v>2.8</v>
      </c>
      <c r="H679" t="n">
        <v>0</v>
      </c>
      <c r="I679" t="n">
        <v>0</v>
      </c>
      <c r="J679" t="n">
        <v>0</v>
      </c>
      <c r="K679" t="n">
        <v>0</v>
      </c>
      <c r="L679" t="n">
        <v>0</v>
      </c>
      <c r="M679" t="n">
        <v>0</v>
      </c>
      <c r="N679" t="n">
        <v>0</v>
      </c>
      <c r="O679" t="n">
        <v>0</v>
      </c>
      <c r="P679" t="n">
        <v>0</v>
      </c>
      <c r="Q679" t="n">
        <v>0</v>
      </c>
      <c r="R679" s="2" t="inlineStr"/>
    </row>
    <row r="680" ht="15" customHeight="1">
      <c r="A680" t="inlineStr">
        <is>
          <t>A 48710-2025</t>
        </is>
      </c>
      <c r="B680" s="1" t="n">
        <v>45936.63184027778</v>
      </c>
      <c r="C680" s="1" t="n">
        <v>45996</v>
      </c>
      <c r="D680" t="inlineStr">
        <is>
          <t>VÄSTMANLANDS LÄN</t>
        </is>
      </c>
      <c r="E680" t="inlineStr">
        <is>
          <t>SALA</t>
        </is>
      </c>
      <c r="G680" t="n">
        <v>2.7</v>
      </c>
      <c r="H680" t="n">
        <v>0</v>
      </c>
      <c r="I680" t="n">
        <v>0</v>
      </c>
      <c r="J680" t="n">
        <v>0</v>
      </c>
      <c r="K680" t="n">
        <v>0</v>
      </c>
      <c r="L680" t="n">
        <v>0</v>
      </c>
      <c r="M680" t="n">
        <v>0</v>
      </c>
      <c r="N680" t="n">
        <v>0</v>
      </c>
      <c r="O680" t="n">
        <v>0</v>
      </c>
      <c r="P680" t="n">
        <v>0</v>
      </c>
      <c r="Q680" t="n">
        <v>0</v>
      </c>
      <c r="R680" s="2" t="inlineStr"/>
    </row>
    <row r="681" ht="15" customHeight="1">
      <c r="A681" t="inlineStr">
        <is>
          <t>A 56502-2025</t>
        </is>
      </c>
      <c r="B681" s="1" t="n">
        <v>45975</v>
      </c>
      <c r="C681" s="1" t="n">
        <v>45996</v>
      </c>
      <c r="D681" t="inlineStr">
        <is>
          <t>VÄSTMANLANDS LÄN</t>
        </is>
      </c>
      <c r="E681" t="inlineStr">
        <is>
          <t>SALA</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48910-2025</t>
        </is>
      </c>
      <c r="B682" s="1" t="n">
        <v>45937.48649305556</v>
      </c>
      <c r="C682" s="1" t="n">
        <v>45996</v>
      </c>
      <c r="D682" t="inlineStr">
        <is>
          <t>VÄSTMANLANDS LÄN</t>
        </is>
      </c>
      <c r="E682" t="inlineStr">
        <is>
          <t>SALA</t>
        </is>
      </c>
      <c r="G682" t="n">
        <v>7.8</v>
      </c>
      <c r="H682" t="n">
        <v>0</v>
      </c>
      <c r="I682" t="n">
        <v>0</v>
      </c>
      <c r="J682" t="n">
        <v>0</v>
      </c>
      <c r="K682" t="n">
        <v>0</v>
      </c>
      <c r="L682" t="n">
        <v>0</v>
      </c>
      <c r="M682" t="n">
        <v>0</v>
      </c>
      <c r="N682" t="n">
        <v>0</v>
      </c>
      <c r="O682" t="n">
        <v>0</v>
      </c>
      <c r="P682" t="n">
        <v>0</v>
      </c>
      <c r="Q682" t="n">
        <v>0</v>
      </c>
      <c r="R682" s="2" t="inlineStr"/>
    </row>
    <row r="683" ht="15" customHeight="1">
      <c r="A683" t="inlineStr">
        <is>
          <t>A 57414-2025</t>
        </is>
      </c>
      <c r="B683" s="1" t="n">
        <v>45980.45003472222</v>
      </c>
      <c r="C683" s="1" t="n">
        <v>45996</v>
      </c>
      <c r="D683" t="inlineStr">
        <is>
          <t>VÄSTMANLANDS LÄN</t>
        </is>
      </c>
      <c r="E683" t="inlineStr">
        <is>
          <t>SALA</t>
        </is>
      </c>
      <c r="F683" t="inlineStr">
        <is>
          <t>Bergvik skog öst AB</t>
        </is>
      </c>
      <c r="G683" t="n">
        <v>2</v>
      </c>
      <c r="H683" t="n">
        <v>0</v>
      </c>
      <c r="I683" t="n">
        <v>0</v>
      </c>
      <c r="J683" t="n">
        <v>0</v>
      </c>
      <c r="K683" t="n">
        <v>0</v>
      </c>
      <c r="L683" t="n">
        <v>0</v>
      </c>
      <c r="M683" t="n">
        <v>0</v>
      </c>
      <c r="N683" t="n">
        <v>0</v>
      </c>
      <c r="O683" t="n">
        <v>0</v>
      </c>
      <c r="P683" t="n">
        <v>0</v>
      </c>
      <c r="Q683" t="n">
        <v>0</v>
      </c>
      <c r="R683" s="2" t="inlineStr"/>
    </row>
    <row r="684" ht="15" customHeight="1">
      <c r="A684" t="inlineStr">
        <is>
          <t>A 57415-2025</t>
        </is>
      </c>
      <c r="B684" s="1" t="n">
        <v>45980.45099537037</v>
      </c>
      <c r="C684" s="1" t="n">
        <v>45996</v>
      </c>
      <c r="D684" t="inlineStr">
        <is>
          <t>VÄSTMANLANDS LÄN</t>
        </is>
      </c>
      <c r="E684" t="inlineStr">
        <is>
          <t>SALA</t>
        </is>
      </c>
      <c r="F684" t="inlineStr">
        <is>
          <t>Bergvik skog öst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49585-2025</t>
        </is>
      </c>
      <c r="B685" s="1" t="n">
        <v>45939.5043287037</v>
      </c>
      <c r="C685" s="1" t="n">
        <v>45996</v>
      </c>
      <c r="D685" t="inlineStr">
        <is>
          <t>VÄSTMANLANDS LÄN</t>
        </is>
      </c>
      <c r="E685" t="inlineStr">
        <is>
          <t>SALA</t>
        </is>
      </c>
      <c r="G685" t="n">
        <v>2.2</v>
      </c>
      <c r="H685" t="n">
        <v>0</v>
      </c>
      <c r="I685" t="n">
        <v>0</v>
      </c>
      <c r="J685" t="n">
        <v>0</v>
      </c>
      <c r="K685" t="n">
        <v>0</v>
      </c>
      <c r="L685" t="n">
        <v>0</v>
      </c>
      <c r="M685" t="n">
        <v>0</v>
      </c>
      <c r="N685" t="n">
        <v>0</v>
      </c>
      <c r="O685" t="n">
        <v>0</v>
      </c>
      <c r="P685" t="n">
        <v>0</v>
      </c>
      <c r="Q685" t="n">
        <v>0</v>
      </c>
      <c r="R685" s="2" t="inlineStr"/>
    </row>
    <row r="686" ht="15" customHeight="1">
      <c r="A686" t="inlineStr">
        <is>
          <t>A 49640-2025</t>
        </is>
      </c>
      <c r="B686" s="1" t="n">
        <v>45939.61459490741</v>
      </c>
      <c r="C686" s="1" t="n">
        <v>45996</v>
      </c>
      <c r="D686" t="inlineStr">
        <is>
          <t>VÄSTMANLANDS LÄN</t>
        </is>
      </c>
      <c r="E686" t="inlineStr">
        <is>
          <t>SALA</t>
        </is>
      </c>
      <c r="F686" t="inlineStr">
        <is>
          <t>Kommuner</t>
        </is>
      </c>
      <c r="G686" t="n">
        <v>18.8</v>
      </c>
      <c r="H686" t="n">
        <v>0</v>
      </c>
      <c r="I686" t="n">
        <v>0</v>
      </c>
      <c r="J686" t="n">
        <v>0</v>
      </c>
      <c r="K686" t="n">
        <v>0</v>
      </c>
      <c r="L686" t="n">
        <v>0</v>
      </c>
      <c r="M686" t="n">
        <v>0</v>
      </c>
      <c r="N686" t="n">
        <v>0</v>
      </c>
      <c r="O686" t="n">
        <v>0</v>
      </c>
      <c r="P686" t="n">
        <v>0</v>
      </c>
      <c r="Q686" t="n">
        <v>0</v>
      </c>
      <c r="R686" s="2" t="inlineStr"/>
    </row>
    <row r="687" ht="15" customHeight="1">
      <c r="A687" t="inlineStr">
        <is>
          <t>A 57412-2025</t>
        </is>
      </c>
      <c r="B687" s="1" t="n">
        <v>45980.44883101852</v>
      </c>
      <c r="C687" s="1" t="n">
        <v>45996</v>
      </c>
      <c r="D687" t="inlineStr">
        <is>
          <t>VÄSTMANLANDS LÄN</t>
        </is>
      </c>
      <c r="E687" t="inlineStr">
        <is>
          <t>SALA</t>
        </is>
      </c>
      <c r="F687" t="inlineStr">
        <is>
          <t>Bergvik skog öst AB</t>
        </is>
      </c>
      <c r="G687" t="n">
        <v>4.5</v>
      </c>
      <c r="H687" t="n">
        <v>0</v>
      </c>
      <c r="I687" t="n">
        <v>0</v>
      </c>
      <c r="J687" t="n">
        <v>0</v>
      </c>
      <c r="K687" t="n">
        <v>0</v>
      </c>
      <c r="L687" t="n">
        <v>0</v>
      </c>
      <c r="M687" t="n">
        <v>0</v>
      </c>
      <c r="N687" t="n">
        <v>0</v>
      </c>
      <c r="O687" t="n">
        <v>0</v>
      </c>
      <c r="P687" t="n">
        <v>0</v>
      </c>
      <c r="Q687" t="n">
        <v>0</v>
      </c>
      <c r="R687" s="2" t="inlineStr"/>
    </row>
    <row r="688" ht="15" customHeight="1">
      <c r="A688" t="inlineStr">
        <is>
          <t>A 58357-2025</t>
        </is>
      </c>
      <c r="B688" s="1" t="n">
        <v>45985.51518518518</v>
      </c>
      <c r="C688" s="1" t="n">
        <v>45996</v>
      </c>
      <c r="D688" t="inlineStr">
        <is>
          <t>VÄSTMANLANDS LÄN</t>
        </is>
      </c>
      <c r="E688" t="inlineStr">
        <is>
          <t>SALA</t>
        </is>
      </c>
      <c r="G688" t="n">
        <v>3</v>
      </c>
      <c r="H688" t="n">
        <v>0</v>
      </c>
      <c r="I688" t="n">
        <v>0</v>
      </c>
      <c r="J688" t="n">
        <v>0</v>
      </c>
      <c r="K688" t="n">
        <v>0</v>
      </c>
      <c r="L688" t="n">
        <v>0</v>
      </c>
      <c r="M688" t="n">
        <v>0</v>
      </c>
      <c r="N688" t="n">
        <v>0</v>
      </c>
      <c r="O688" t="n">
        <v>0</v>
      </c>
      <c r="P688" t="n">
        <v>0</v>
      </c>
      <c r="Q688" t="n">
        <v>0</v>
      </c>
      <c r="R688" s="2" t="inlineStr"/>
    </row>
    <row r="689" ht="15" customHeight="1">
      <c r="A689" t="inlineStr">
        <is>
          <t>A 58359-2025</t>
        </is>
      </c>
      <c r="B689" s="1" t="n">
        <v>45985.51594907408</v>
      </c>
      <c r="C689" s="1" t="n">
        <v>45996</v>
      </c>
      <c r="D689" t="inlineStr">
        <is>
          <t>VÄSTMANLANDS LÄN</t>
        </is>
      </c>
      <c r="E689" t="inlineStr">
        <is>
          <t>SALA</t>
        </is>
      </c>
      <c r="G689" t="n">
        <v>3.7</v>
      </c>
      <c r="H689" t="n">
        <v>0</v>
      </c>
      <c r="I689" t="n">
        <v>0</v>
      </c>
      <c r="J689" t="n">
        <v>0</v>
      </c>
      <c r="K689" t="n">
        <v>0</v>
      </c>
      <c r="L689" t="n">
        <v>0</v>
      </c>
      <c r="M689" t="n">
        <v>0</v>
      </c>
      <c r="N689" t="n">
        <v>0</v>
      </c>
      <c r="O689" t="n">
        <v>0</v>
      </c>
      <c r="P689" t="n">
        <v>0</v>
      </c>
      <c r="Q689" t="n">
        <v>0</v>
      </c>
      <c r="R689" s="2" t="inlineStr"/>
    </row>
    <row r="690" ht="15" customHeight="1">
      <c r="A690" t="inlineStr">
        <is>
          <t>A 50128-2025</t>
        </is>
      </c>
      <c r="B690" s="1" t="n">
        <v>45943.55318287037</v>
      </c>
      <c r="C690" s="1" t="n">
        <v>45996</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58282-2025</t>
        </is>
      </c>
      <c r="B691" s="1" t="n">
        <v>45985.44309027777</v>
      </c>
      <c r="C691" s="1" t="n">
        <v>45996</v>
      </c>
      <c r="D691" t="inlineStr">
        <is>
          <t>VÄSTMANLANDS LÄN</t>
        </is>
      </c>
      <c r="E691" t="inlineStr">
        <is>
          <t>SALA</t>
        </is>
      </c>
      <c r="G691" t="n">
        <v>8.9</v>
      </c>
      <c r="H691" t="n">
        <v>0</v>
      </c>
      <c r="I691" t="n">
        <v>0</v>
      </c>
      <c r="J691" t="n">
        <v>0</v>
      </c>
      <c r="K691" t="n">
        <v>0</v>
      </c>
      <c r="L691" t="n">
        <v>0</v>
      </c>
      <c r="M691" t="n">
        <v>0</v>
      </c>
      <c r="N691" t="n">
        <v>0</v>
      </c>
      <c r="O691" t="n">
        <v>0</v>
      </c>
      <c r="P691" t="n">
        <v>0</v>
      </c>
      <c r="Q691" t="n">
        <v>0</v>
      </c>
      <c r="R691" s="2" t="inlineStr"/>
    </row>
    <row r="692" ht="15" customHeight="1">
      <c r="A692" t="inlineStr">
        <is>
          <t>A 50119-2025</t>
        </is>
      </c>
      <c r="B692" s="1" t="n">
        <v>45943.54883101852</v>
      </c>
      <c r="C692" s="1" t="n">
        <v>45996</v>
      </c>
      <c r="D692" t="inlineStr">
        <is>
          <t>VÄSTMANLANDS LÄN</t>
        </is>
      </c>
      <c r="E692" t="inlineStr">
        <is>
          <t>SALA</t>
        </is>
      </c>
      <c r="G692" t="n">
        <v>3.3</v>
      </c>
      <c r="H692" t="n">
        <v>0</v>
      </c>
      <c r="I692" t="n">
        <v>0</v>
      </c>
      <c r="J692" t="n">
        <v>0</v>
      </c>
      <c r="K692" t="n">
        <v>0</v>
      </c>
      <c r="L692" t="n">
        <v>0</v>
      </c>
      <c r="M692" t="n">
        <v>0</v>
      </c>
      <c r="N692" t="n">
        <v>0</v>
      </c>
      <c r="O692" t="n">
        <v>0</v>
      </c>
      <c r="P692" t="n">
        <v>0</v>
      </c>
      <c r="Q692" t="n">
        <v>0</v>
      </c>
      <c r="R692" s="2" t="inlineStr"/>
    </row>
    <row r="693" ht="15" customHeight="1">
      <c r="A693" t="inlineStr">
        <is>
          <t>A 58365-2025</t>
        </is>
      </c>
      <c r="B693" s="1" t="n">
        <v>45985.52288194445</v>
      </c>
      <c r="C693" s="1" t="n">
        <v>45996</v>
      </c>
      <c r="D693" t="inlineStr">
        <is>
          <t>VÄSTMANLANDS LÄN</t>
        </is>
      </c>
      <c r="E693" t="inlineStr">
        <is>
          <t>SALA</t>
        </is>
      </c>
      <c r="G693" t="n">
        <v>3.9</v>
      </c>
      <c r="H693" t="n">
        <v>0</v>
      </c>
      <c r="I693" t="n">
        <v>0</v>
      </c>
      <c r="J693" t="n">
        <v>0</v>
      </c>
      <c r="K693" t="n">
        <v>0</v>
      </c>
      <c r="L693" t="n">
        <v>0</v>
      </c>
      <c r="M693" t="n">
        <v>0</v>
      </c>
      <c r="N693" t="n">
        <v>0</v>
      </c>
      <c r="O693" t="n">
        <v>0</v>
      </c>
      <c r="P693" t="n">
        <v>0</v>
      </c>
      <c r="Q693" t="n">
        <v>0</v>
      </c>
      <c r="R693" s="2" t="inlineStr"/>
    </row>
    <row r="694" ht="15" customHeight="1">
      <c r="A694" t="inlineStr">
        <is>
          <t>A 50059-2025</t>
        </is>
      </c>
      <c r="B694" s="1" t="n">
        <v>45943.44125</v>
      </c>
      <c r="C694" s="1" t="n">
        <v>45996</v>
      </c>
      <c r="D694" t="inlineStr">
        <is>
          <t>VÄSTMANLANDS LÄN</t>
        </is>
      </c>
      <c r="E694" t="inlineStr">
        <is>
          <t>SALA</t>
        </is>
      </c>
      <c r="G694" t="n">
        <v>4.4</v>
      </c>
      <c r="H694" t="n">
        <v>0</v>
      </c>
      <c r="I694" t="n">
        <v>0</v>
      </c>
      <c r="J694" t="n">
        <v>0</v>
      </c>
      <c r="K694" t="n">
        <v>0</v>
      </c>
      <c r="L694" t="n">
        <v>0</v>
      </c>
      <c r="M694" t="n">
        <v>0</v>
      </c>
      <c r="N694" t="n">
        <v>0</v>
      </c>
      <c r="O694" t="n">
        <v>0</v>
      </c>
      <c r="P694" t="n">
        <v>0</v>
      </c>
      <c r="Q694" t="n">
        <v>0</v>
      </c>
      <c r="R694" s="2" t="inlineStr"/>
    </row>
    <row r="695" ht="15" customHeight="1">
      <c r="A695" t="inlineStr">
        <is>
          <t>A 58364-2025</t>
        </is>
      </c>
      <c r="B695" s="1" t="n">
        <v>45985.5228125</v>
      </c>
      <c r="C695" s="1" t="n">
        <v>45996</v>
      </c>
      <c r="D695" t="inlineStr">
        <is>
          <t>VÄSTMANLANDS LÄN</t>
        </is>
      </c>
      <c r="E695" t="inlineStr">
        <is>
          <t>SALA</t>
        </is>
      </c>
      <c r="G695" t="n">
        <v>2.1</v>
      </c>
      <c r="H695" t="n">
        <v>0</v>
      </c>
      <c r="I695" t="n">
        <v>0</v>
      </c>
      <c r="J695" t="n">
        <v>0</v>
      </c>
      <c r="K695" t="n">
        <v>0</v>
      </c>
      <c r="L695" t="n">
        <v>0</v>
      </c>
      <c r="M695" t="n">
        <v>0</v>
      </c>
      <c r="N695" t="n">
        <v>0</v>
      </c>
      <c r="O695" t="n">
        <v>0</v>
      </c>
      <c r="P695" t="n">
        <v>0</v>
      </c>
      <c r="Q695" t="n">
        <v>0</v>
      </c>
      <c r="R695" s="2" t="inlineStr"/>
    </row>
    <row r="696" ht="15" customHeight="1">
      <c r="A696" t="inlineStr">
        <is>
          <t>A 50249-2025</t>
        </is>
      </c>
      <c r="B696" s="1" t="n">
        <v>45944.31508101852</v>
      </c>
      <c r="C696" s="1" t="n">
        <v>45996</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55760-2025</t>
        </is>
      </c>
      <c r="B697" s="1" t="n">
        <v>45972</v>
      </c>
      <c r="C697" s="1" t="n">
        <v>45996</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57014-2025</t>
        </is>
      </c>
      <c r="B698" s="1" t="n">
        <v>45978</v>
      </c>
      <c r="C698" s="1" t="n">
        <v>45996</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59385-2025</t>
        </is>
      </c>
      <c r="B699" s="1" t="n">
        <v>45989.45746527778</v>
      </c>
      <c r="C699" s="1" t="n">
        <v>45996</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59390-2025</t>
        </is>
      </c>
      <c r="B700" s="1" t="n">
        <v>45989.4640162037</v>
      </c>
      <c r="C700" s="1" t="n">
        <v>45996</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51247-2025</t>
        </is>
      </c>
      <c r="B701" s="1" t="n">
        <v>45947.86487268518</v>
      </c>
      <c r="C701" s="1" t="n">
        <v>45996</v>
      </c>
      <c r="D701" t="inlineStr">
        <is>
          <t>VÄSTMANLANDS LÄN</t>
        </is>
      </c>
      <c r="E701" t="inlineStr">
        <is>
          <t>SALA</t>
        </is>
      </c>
      <c r="G701" t="n">
        <v>10.4</v>
      </c>
      <c r="H701" t="n">
        <v>0</v>
      </c>
      <c r="I701" t="n">
        <v>0</v>
      </c>
      <c r="J701" t="n">
        <v>0</v>
      </c>
      <c r="K701" t="n">
        <v>0</v>
      </c>
      <c r="L701" t="n">
        <v>0</v>
      </c>
      <c r="M701" t="n">
        <v>0</v>
      </c>
      <c r="N701" t="n">
        <v>0</v>
      </c>
      <c r="O701" t="n">
        <v>0</v>
      </c>
      <c r="P701" t="n">
        <v>0</v>
      </c>
      <c r="Q701" t="n">
        <v>0</v>
      </c>
      <c r="R701" s="2" t="inlineStr"/>
    </row>
    <row r="702" ht="15" customHeight="1">
      <c r="A702" t="inlineStr">
        <is>
          <t>A 59926-2025</t>
        </is>
      </c>
      <c r="B702" s="1" t="n">
        <v>45993.39221064815</v>
      </c>
      <c r="C702" s="1" t="n">
        <v>45996</v>
      </c>
      <c r="D702" t="inlineStr">
        <is>
          <t>VÄSTMANLANDS LÄN</t>
        </is>
      </c>
      <c r="E702" t="inlineStr">
        <is>
          <t>SALA</t>
        </is>
      </c>
      <c r="G702" t="n">
        <v>7.1</v>
      </c>
      <c r="H702" t="n">
        <v>0</v>
      </c>
      <c r="I702" t="n">
        <v>0</v>
      </c>
      <c r="J702" t="n">
        <v>0</v>
      </c>
      <c r="K702" t="n">
        <v>0</v>
      </c>
      <c r="L702" t="n">
        <v>0</v>
      </c>
      <c r="M702" t="n">
        <v>0</v>
      </c>
      <c r="N702" t="n">
        <v>0</v>
      </c>
      <c r="O702" t="n">
        <v>0</v>
      </c>
      <c r="P702" t="n">
        <v>0</v>
      </c>
      <c r="Q702" t="n">
        <v>0</v>
      </c>
      <c r="R702" s="2" t="inlineStr"/>
    </row>
    <row r="703" ht="15" customHeight="1">
      <c r="A703" t="inlineStr">
        <is>
          <t>A 59870-2025</t>
        </is>
      </c>
      <c r="B703" s="1" t="n">
        <v>45992.92226851852</v>
      </c>
      <c r="C703" s="1" t="n">
        <v>45996</v>
      </c>
      <c r="D703" t="inlineStr">
        <is>
          <t>VÄSTMANLANDS LÄN</t>
        </is>
      </c>
      <c r="E703" t="inlineStr">
        <is>
          <t>SALA</t>
        </is>
      </c>
      <c r="G703" t="n">
        <v>3.4</v>
      </c>
      <c r="H703" t="n">
        <v>0</v>
      </c>
      <c r="I703" t="n">
        <v>0</v>
      </c>
      <c r="J703" t="n">
        <v>0</v>
      </c>
      <c r="K703" t="n">
        <v>0</v>
      </c>
      <c r="L703" t="n">
        <v>0</v>
      </c>
      <c r="M703" t="n">
        <v>0</v>
      </c>
      <c r="N703" t="n">
        <v>0</v>
      </c>
      <c r="O703" t="n">
        <v>0</v>
      </c>
      <c r="P703" t="n">
        <v>0</v>
      </c>
      <c r="Q703" t="n">
        <v>0</v>
      </c>
      <c r="R703" s="2" t="inlineStr"/>
    </row>
    <row r="704" ht="15" customHeight="1">
      <c r="A704" t="inlineStr">
        <is>
          <t>A 60017-2025</t>
        </is>
      </c>
      <c r="B704" s="1" t="n">
        <v>45993.59998842593</v>
      </c>
      <c r="C704" s="1" t="n">
        <v>45996</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51764-2025</t>
        </is>
      </c>
      <c r="B705" s="1" t="n">
        <v>45951.63636574074</v>
      </c>
      <c r="C705" s="1" t="n">
        <v>45996</v>
      </c>
      <c r="D705" t="inlineStr">
        <is>
          <t>VÄSTMANLANDS LÄN</t>
        </is>
      </c>
      <c r="E705" t="inlineStr">
        <is>
          <t>SALA</t>
        </is>
      </c>
      <c r="G705" t="n">
        <v>1.5</v>
      </c>
      <c r="H705" t="n">
        <v>0</v>
      </c>
      <c r="I705" t="n">
        <v>0</v>
      </c>
      <c r="J705" t="n">
        <v>0</v>
      </c>
      <c r="K705" t="n">
        <v>0</v>
      </c>
      <c r="L705" t="n">
        <v>0</v>
      </c>
      <c r="M705" t="n">
        <v>0</v>
      </c>
      <c r="N705" t="n">
        <v>0</v>
      </c>
      <c r="O705" t="n">
        <v>0</v>
      </c>
      <c r="P705" t="n">
        <v>0</v>
      </c>
      <c r="Q705" t="n">
        <v>0</v>
      </c>
      <c r="R705" s="2" t="inlineStr"/>
    </row>
    <row r="706" ht="15" customHeight="1">
      <c r="A706" t="inlineStr">
        <is>
          <t>A 51626-2025</t>
        </is>
      </c>
      <c r="B706" s="1" t="n">
        <v>45951.41769675926</v>
      </c>
      <c r="C706" s="1" t="n">
        <v>45996</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59817-2025</t>
        </is>
      </c>
      <c r="B707" s="1" t="n">
        <v>45992.63711805556</v>
      </c>
      <c r="C707" s="1" t="n">
        <v>45996</v>
      </c>
      <c r="D707" t="inlineStr">
        <is>
          <t>VÄSTMANLANDS LÄN</t>
        </is>
      </c>
      <c r="E707" t="inlineStr">
        <is>
          <t>SALA</t>
        </is>
      </c>
      <c r="G707" t="n">
        <v>6.9</v>
      </c>
      <c r="H707" t="n">
        <v>0</v>
      </c>
      <c r="I707" t="n">
        <v>0</v>
      </c>
      <c r="J707" t="n">
        <v>0</v>
      </c>
      <c r="K707" t="n">
        <v>0</v>
      </c>
      <c r="L707" t="n">
        <v>0</v>
      </c>
      <c r="M707" t="n">
        <v>0</v>
      </c>
      <c r="N707" t="n">
        <v>0</v>
      </c>
      <c r="O707" t="n">
        <v>0</v>
      </c>
      <c r="P707" t="n">
        <v>0</v>
      </c>
      <c r="Q707" t="n">
        <v>0</v>
      </c>
      <c r="R707" s="2" t="inlineStr"/>
    </row>
    <row r="708" ht="15" customHeight="1">
      <c r="A708" t="inlineStr">
        <is>
          <t>A 51690-2025</t>
        </is>
      </c>
      <c r="B708" s="1" t="n">
        <v>45951.53462962963</v>
      </c>
      <c r="C708" s="1" t="n">
        <v>45996</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51804-2025</t>
        </is>
      </c>
      <c r="B709" s="1" t="n">
        <v>45951.77697916667</v>
      </c>
      <c r="C709" s="1" t="n">
        <v>45996</v>
      </c>
      <c r="D709" t="inlineStr">
        <is>
          <t>VÄSTMANLANDS LÄN</t>
        </is>
      </c>
      <c r="E709" t="inlineStr">
        <is>
          <t>SALA</t>
        </is>
      </c>
      <c r="F709" t="inlineStr">
        <is>
          <t>Kommuner</t>
        </is>
      </c>
      <c r="G709" t="n">
        <v>2</v>
      </c>
      <c r="H709" t="n">
        <v>0</v>
      </c>
      <c r="I709" t="n">
        <v>0</v>
      </c>
      <c r="J709" t="n">
        <v>0</v>
      </c>
      <c r="K709" t="n">
        <v>0</v>
      </c>
      <c r="L709" t="n">
        <v>0</v>
      </c>
      <c r="M709" t="n">
        <v>0</v>
      </c>
      <c r="N709" t="n">
        <v>0</v>
      </c>
      <c r="O709" t="n">
        <v>0</v>
      </c>
      <c r="P709" t="n">
        <v>0</v>
      </c>
      <c r="Q709" t="n">
        <v>0</v>
      </c>
      <c r="R709" s="2" t="inlineStr"/>
    </row>
    <row r="710" ht="15" customHeight="1">
      <c r="A710" t="inlineStr">
        <is>
          <t>A 51808-2025</t>
        </is>
      </c>
      <c r="B710" s="1" t="n">
        <v>45951.79302083333</v>
      </c>
      <c r="C710" s="1" t="n">
        <v>45996</v>
      </c>
      <c r="D710" t="inlineStr">
        <is>
          <t>VÄSTMANLANDS LÄN</t>
        </is>
      </c>
      <c r="E710" t="inlineStr">
        <is>
          <t>SALA</t>
        </is>
      </c>
      <c r="F710" t="inlineStr">
        <is>
          <t>Kommuner</t>
        </is>
      </c>
      <c r="G710" t="n">
        <v>3</v>
      </c>
      <c r="H710" t="n">
        <v>0</v>
      </c>
      <c r="I710" t="n">
        <v>0</v>
      </c>
      <c r="J710" t="n">
        <v>0</v>
      </c>
      <c r="K710" t="n">
        <v>0</v>
      </c>
      <c r="L710" t="n">
        <v>0</v>
      </c>
      <c r="M710" t="n">
        <v>0</v>
      </c>
      <c r="N710" t="n">
        <v>0</v>
      </c>
      <c r="O710" t="n">
        <v>0</v>
      </c>
      <c r="P710" t="n">
        <v>0</v>
      </c>
      <c r="Q710" t="n">
        <v>0</v>
      </c>
      <c r="R710" s="2" t="inlineStr"/>
    </row>
    <row r="711" ht="15" customHeight="1">
      <c r="A711" t="inlineStr">
        <is>
          <t>A 51803-2025</t>
        </is>
      </c>
      <c r="B711" s="1" t="n">
        <v>45951.76818287037</v>
      </c>
      <c r="C711" s="1" t="n">
        <v>45996</v>
      </c>
      <c r="D711" t="inlineStr">
        <is>
          <t>VÄSTMANLANDS LÄN</t>
        </is>
      </c>
      <c r="E711" t="inlineStr">
        <is>
          <t>SALA</t>
        </is>
      </c>
      <c r="F711" t="inlineStr">
        <is>
          <t>Kommuner</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51805-2025</t>
        </is>
      </c>
      <c r="B712" s="1" t="n">
        <v>45951.78359953704</v>
      </c>
      <c r="C712" s="1" t="n">
        <v>45996</v>
      </c>
      <c r="D712" t="inlineStr">
        <is>
          <t>VÄSTMANLANDS LÄN</t>
        </is>
      </c>
      <c r="E712" t="inlineStr">
        <is>
          <t>SALA</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51809-2025</t>
        </is>
      </c>
      <c r="B713" s="1" t="n">
        <v>45951.80116898148</v>
      </c>
      <c r="C713" s="1" t="n">
        <v>45996</v>
      </c>
      <c r="D713" t="inlineStr">
        <is>
          <t>VÄSTMANLANDS LÄN</t>
        </is>
      </c>
      <c r="E713" t="inlineStr">
        <is>
          <t>SALA</t>
        </is>
      </c>
      <c r="F713" t="inlineStr">
        <is>
          <t>Kommuner</t>
        </is>
      </c>
      <c r="G713" t="n">
        <v>3.5</v>
      </c>
      <c r="H713" t="n">
        <v>0</v>
      </c>
      <c r="I713" t="n">
        <v>0</v>
      </c>
      <c r="J713" t="n">
        <v>0</v>
      </c>
      <c r="K713" t="n">
        <v>0</v>
      </c>
      <c r="L713" t="n">
        <v>0</v>
      </c>
      <c r="M713" t="n">
        <v>0</v>
      </c>
      <c r="N713" t="n">
        <v>0</v>
      </c>
      <c r="O713" t="n">
        <v>0</v>
      </c>
      <c r="P713" t="n">
        <v>0</v>
      </c>
      <c r="Q713" t="n">
        <v>0</v>
      </c>
      <c r="R713" s="2" t="inlineStr"/>
    </row>
    <row r="714" ht="15" customHeight="1">
      <c r="A714" t="inlineStr">
        <is>
          <t>A 60258-2025</t>
        </is>
      </c>
      <c r="B714" s="1" t="n">
        <v>45994.6064699074</v>
      </c>
      <c r="C714" s="1" t="n">
        <v>45996</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60259-2025</t>
        </is>
      </c>
      <c r="B715" s="1" t="n">
        <v>45994.60913194445</v>
      </c>
      <c r="C715" s="1" t="n">
        <v>45996</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60246-2025</t>
        </is>
      </c>
      <c r="B716" s="1" t="n">
        <v>45994.58931712963</v>
      </c>
      <c r="C716" s="1" t="n">
        <v>45996</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60254-2025</t>
        </is>
      </c>
      <c r="B717" s="1" t="n">
        <v>45994.60146990741</v>
      </c>
      <c r="C717" s="1" t="n">
        <v>45996</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c r="A718" t="inlineStr">
        <is>
          <t>A 60241-2025</t>
        </is>
      </c>
      <c r="B718" s="1" t="n">
        <v>45994.58454861111</v>
      </c>
      <c r="C718" s="1" t="n">
        <v>45996</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2025-12-05T10:31:59Z</dcterms:created>
  <dcterms:modified xmlns:dcterms="http://purl.org/dc/terms/" xmlns:xsi="http://www.w3.org/2001/XMLSchema-instance" xsi:type="dcterms:W3CDTF">2025-12-05T10:31:59Z</dcterms:modified>
</cp:coreProperties>
</file>