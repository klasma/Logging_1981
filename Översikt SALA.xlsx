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54934-2020</t>
        </is>
      </c>
      <c r="B9" s="1" t="n">
        <v>44127</v>
      </c>
      <c r="C9" s="1" t="n">
        <v>45883</v>
      </c>
      <c r="D9" t="inlineStr">
        <is>
          <t>VÄSTMANLANDS LÄN</t>
        </is>
      </c>
      <c r="E9" t="inlineStr">
        <is>
          <t>SALA</t>
        </is>
      </c>
      <c r="G9" t="n">
        <v>13</v>
      </c>
      <c r="H9" t="n">
        <v>1</v>
      </c>
      <c r="I9" t="n">
        <v>1</v>
      </c>
      <c r="J9" t="n">
        <v>2</v>
      </c>
      <c r="K9" t="n">
        <v>2</v>
      </c>
      <c r="L9" t="n">
        <v>0</v>
      </c>
      <c r="M9" t="n">
        <v>0</v>
      </c>
      <c r="N9" t="n">
        <v>0</v>
      </c>
      <c r="O9" t="n">
        <v>4</v>
      </c>
      <c r="P9" t="n">
        <v>2</v>
      </c>
      <c r="Q9" t="n">
        <v>5</v>
      </c>
      <c r="R9" s="2" t="inlineStr">
        <is>
          <t>Knärot
Rynkskinn
Ullticka
Vedtrappmossa
Vedticka</t>
        </is>
      </c>
      <c r="S9">
        <f>HYPERLINK("https://klasma.github.io/Logging_1981/artfynd/A 54934-2020 artfynd.xlsx", "A 54934-2020")</f>
        <v/>
      </c>
      <c r="T9">
        <f>HYPERLINK("https://klasma.github.io/Logging_1981/kartor/A 54934-2020 karta.png", "A 54934-2020")</f>
        <v/>
      </c>
      <c r="U9">
        <f>HYPERLINK("https://klasma.github.io/Logging_1981/knärot/A 54934-2020 karta knärot.png", "A 54934-2020")</f>
        <v/>
      </c>
      <c r="V9">
        <f>HYPERLINK("https://klasma.github.io/Logging_1981/klagomål/A 54934-2020 FSC-klagomål.docx", "A 54934-2020")</f>
        <v/>
      </c>
      <c r="W9">
        <f>HYPERLINK("https://klasma.github.io/Logging_1981/klagomålsmail/A 54934-2020 FSC-klagomål mail.docx", "A 54934-2020")</f>
        <v/>
      </c>
      <c r="X9">
        <f>HYPERLINK("https://klasma.github.io/Logging_1981/tillsyn/A 54934-2020 tillsynsbegäran.docx", "A 54934-2020")</f>
        <v/>
      </c>
      <c r="Y9">
        <f>HYPERLINK("https://klasma.github.io/Logging_1981/tillsynsmail/A 54934-2020 tillsynsbegäran mail.docx", "A 54934-2020")</f>
        <v/>
      </c>
    </row>
    <row r="10" ht="15" customHeight="1">
      <c r="A10" t="inlineStr">
        <is>
          <t>A 3566-2024</t>
        </is>
      </c>
      <c r="B10" s="1" t="n">
        <v>45320.63596064815</v>
      </c>
      <c r="C10" s="1" t="n">
        <v>45883</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1182-2022</t>
        </is>
      </c>
      <c r="B11" s="1" t="n">
        <v>44572</v>
      </c>
      <c r="C11" s="1" t="n">
        <v>45883</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27488-2023</t>
        </is>
      </c>
      <c r="B12" s="1" t="n">
        <v>45097</v>
      </c>
      <c r="C12" s="1" t="n">
        <v>45883</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45883</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53009-2024</t>
        </is>
      </c>
      <c r="B14" s="1" t="n">
        <v>45610</v>
      </c>
      <c r="C14" s="1" t="n">
        <v>45883</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45883</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45883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45883</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47475-2024</t>
        </is>
      </c>
      <c r="B18" s="1" t="n">
        <v>45587.57552083334</v>
      </c>
      <c r="C18" s="1" t="n">
        <v>45883</v>
      </c>
      <c r="D18" t="inlineStr">
        <is>
          <t>VÄSTMANLANDS LÄN</t>
        </is>
      </c>
      <c r="E18" t="inlineStr">
        <is>
          <t>SALA</t>
        </is>
      </c>
      <c r="G18" t="n">
        <v>1.4</v>
      </c>
      <c r="H18" t="n">
        <v>1</v>
      </c>
      <c r="I18" t="n">
        <v>0</v>
      </c>
      <c r="J18" t="n">
        <v>0</v>
      </c>
      <c r="K18" t="n">
        <v>3</v>
      </c>
      <c r="L18" t="n">
        <v>0</v>
      </c>
      <c r="M18" t="n">
        <v>0</v>
      </c>
      <c r="N18" t="n">
        <v>0</v>
      </c>
      <c r="O18" t="n">
        <v>3</v>
      </c>
      <c r="P18" t="n">
        <v>3</v>
      </c>
      <c r="Q18" t="n">
        <v>3</v>
      </c>
      <c r="R18" s="2" t="inlineStr">
        <is>
          <t>Knärot
Luddig stiftdynlav
Rynkskinn</t>
        </is>
      </c>
      <c r="S18">
        <f>HYPERLINK("https://klasma.github.io/Logging_1981/artfynd/A 47475-2024 artfynd.xlsx", "A 47475-2024")</f>
        <v/>
      </c>
      <c r="T18">
        <f>HYPERLINK("https://klasma.github.io/Logging_1981/kartor/A 47475-2024 karta.png", "A 47475-2024")</f>
        <v/>
      </c>
      <c r="U18">
        <f>HYPERLINK("https://klasma.github.io/Logging_1981/knärot/A 47475-2024 karta knärot.png", "A 47475-2024")</f>
        <v/>
      </c>
      <c r="V18">
        <f>HYPERLINK("https://klasma.github.io/Logging_1981/klagomål/A 47475-2024 FSC-klagomål.docx", "A 47475-2024")</f>
        <v/>
      </c>
      <c r="W18">
        <f>HYPERLINK("https://klasma.github.io/Logging_1981/klagomålsmail/A 47475-2024 FSC-klagomål mail.docx", "A 47475-2024")</f>
        <v/>
      </c>
      <c r="X18">
        <f>HYPERLINK("https://klasma.github.io/Logging_1981/tillsyn/A 47475-2024 tillsynsbegäran.docx", "A 47475-2024")</f>
        <v/>
      </c>
      <c r="Y18">
        <f>HYPERLINK("https://klasma.github.io/Logging_1981/tillsynsmail/A 47475-2024 tillsynsbegäran mail.docx", "A 47475-2024")</f>
        <v/>
      </c>
    </row>
    <row r="19" ht="15" customHeight="1">
      <c r="A19" t="inlineStr">
        <is>
          <t>A 62768-2021</t>
        </is>
      </c>
      <c r="B19" s="1" t="n">
        <v>44504</v>
      </c>
      <c r="C19" s="1" t="n">
        <v>45883</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45883</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53019-2024</t>
        </is>
      </c>
      <c r="B21" s="1" t="n">
        <v>45610</v>
      </c>
      <c r="C21" s="1" t="n">
        <v>45883</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34065-2025</t>
        </is>
      </c>
      <c r="B22" s="1" t="n">
        <v>45845.42806712963</v>
      </c>
      <c r="C22" s="1" t="n">
        <v>45883</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4264-2024</t>
        </is>
      </c>
      <c r="B23" s="1" t="n">
        <v>45324</v>
      </c>
      <c r="C23" s="1" t="n">
        <v>45883</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45883</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45883</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45883</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45883</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12444-2024</t>
        </is>
      </c>
      <c r="B28" s="1" t="n">
        <v>45379.46285879629</v>
      </c>
      <c r="C28" s="1" t="n">
        <v>45883</v>
      </c>
      <c r="D28" t="inlineStr">
        <is>
          <t>VÄSTMANLANDS LÄN</t>
        </is>
      </c>
      <c r="E28" t="inlineStr">
        <is>
          <t>SALA</t>
        </is>
      </c>
      <c r="G28" t="n">
        <v>5.5</v>
      </c>
      <c r="H28" t="n">
        <v>0</v>
      </c>
      <c r="I28" t="n">
        <v>1</v>
      </c>
      <c r="J28" t="n">
        <v>1</v>
      </c>
      <c r="K28" t="n">
        <v>0</v>
      </c>
      <c r="L28" t="n">
        <v>0</v>
      </c>
      <c r="M28" t="n">
        <v>0</v>
      </c>
      <c r="N28" t="n">
        <v>0</v>
      </c>
      <c r="O28" t="n">
        <v>1</v>
      </c>
      <c r="P28" t="n">
        <v>0</v>
      </c>
      <c r="Q28" t="n">
        <v>2</v>
      </c>
      <c r="R28" s="2" t="inlineStr">
        <is>
          <t>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1500-2022</t>
        </is>
      </c>
      <c r="B29" s="1" t="n">
        <v>44573.54357638889</v>
      </c>
      <c r="C29" s="1" t="n">
        <v>45883</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13029-2023</t>
        </is>
      </c>
      <c r="B30" s="1" t="n">
        <v>45001</v>
      </c>
      <c r="C30" s="1" t="n">
        <v>45883</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61454-2024</t>
        </is>
      </c>
      <c r="B31" s="1" t="n">
        <v>45646</v>
      </c>
      <c r="C31" s="1" t="n">
        <v>45883</v>
      </c>
      <c r="D31" t="inlineStr">
        <is>
          <t>VÄSTMANLANDS LÄN</t>
        </is>
      </c>
      <c r="E31" t="inlineStr">
        <is>
          <t>SALA</t>
        </is>
      </c>
      <c r="G31" t="n">
        <v>15</v>
      </c>
      <c r="H31" t="n">
        <v>2</v>
      </c>
      <c r="I31" t="n">
        <v>0</v>
      </c>
      <c r="J31" t="n">
        <v>0</v>
      </c>
      <c r="K31" t="n">
        <v>1</v>
      </c>
      <c r="L31" t="n">
        <v>0</v>
      </c>
      <c r="M31" t="n">
        <v>0</v>
      </c>
      <c r="N31" t="n">
        <v>0</v>
      </c>
      <c r="O31" t="n">
        <v>1</v>
      </c>
      <c r="P31" t="n">
        <v>1</v>
      </c>
      <c r="Q31" t="n">
        <v>2</v>
      </c>
      <c r="R31" s="2" t="inlineStr">
        <is>
          <t>Knärot
Mindre vattensalamander</t>
        </is>
      </c>
      <c r="S31">
        <f>HYPERLINK("https://klasma.github.io/Logging_1981/artfynd/A 61454-2024 artfynd.xlsx", "A 61454-2024")</f>
        <v/>
      </c>
      <c r="T31">
        <f>HYPERLINK("https://klasma.github.io/Logging_1981/kartor/A 61454-2024 karta.png", "A 61454-2024")</f>
        <v/>
      </c>
      <c r="U31">
        <f>HYPERLINK("https://klasma.github.io/Logging_1981/knärot/A 61454-2024 karta knärot.png", "A 61454-2024")</f>
        <v/>
      </c>
      <c r="V31">
        <f>HYPERLINK("https://klasma.github.io/Logging_1981/klagomål/A 61454-2024 FSC-klagomål.docx", "A 61454-2024")</f>
        <v/>
      </c>
      <c r="W31">
        <f>HYPERLINK("https://klasma.github.io/Logging_1981/klagomålsmail/A 61454-2024 FSC-klagomål mail.docx", "A 61454-2024")</f>
        <v/>
      </c>
      <c r="X31">
        <f>HYPERLINK("https://klasma.github.io/Logging_1981/tillsyn/A 61454-2024 tillsynsbegäran.docx", "A 61454-2024")</f>
        <v/>
      </c>
      <c r="Y31">
        <f>HYPERLINK("https://klasma.github.io/Logging_1981/tillsynsmail/A 61454-2024 tillsynsbegäran mail.docx", "A 61454-2024")</f>
        <v/>
      </c>
    </row>
    <row r="32" ht="15" customHeight="1">
      <c r="A32" t="inlineStr">
        <is>
          <t>A 24327-2025</t>
        </is>
      </c>
      <c r="B32" s="1" t="n">
        <v>45797</v>
      </c>
      <c r="C32" s="1" t="n">
        <v>45883</v>
      </c>
      <c r="D32" t="inlineStr">
        <is>
          <t>VÄSTMANLANDS LÄN</t>
        </is>
      </c>
      <c r="E32" t="inlineStr">
        <is>
          <t>SALA</t>
        </is>
      </c>
      <c r="G32" t="n">
        <v>13.1</v>
      </c>
      <c r="H32" t="n">
        <v>1</v>
      </c>
      <c r="I32" t="n">
        <v>1</v>
      </c>
      <c r="J32" t="n">
        <v>0</v>
      </c>
      <c r="K32" t="n">
        <v>0</v>
      </c>
      <c r="L32" t="n">
        <v>0</v>
      </c>
      <c r="M32" t="n">
        <v>0</v>
      </c>
      <c r="N32" t="n">
        <v>0</v>
      </c>
      <c r="O32" t="n">
        <v>0</v>
      </c>
      <c r="P32" t="n">
        <v>0</v>
      </c>
      <c r="Q32" t="n">
        <v>2</v>
      </c>
      <c r="R32" s="2" t="inlineStr">
        <is>
          <t>Blomkålssvamp
Blåsippa</t>
        </is>
      </c>
      <c r="S32">
        <f>HYPERLINK("https://klasma.github.io/Logging_1981/artfynd/A 24327-2025 artfynd.xlsx", "A 24327-2025")</f>
        <v/>
      </c>
      <c r="T32">
        <f>HYPERLINK("https://klasma.github.io/Logging_1981/kartor/A 24327-2025 karta.png", "A 24327-2025")</f>
        <v/>
      </c>
      <c r="U32">
        <f>HYPERLINK("https://klasma.github.io/Logging_1981/knärot/A 24327-2025 karta knärot.png", "A 24327-2025")</f>
        <v/>
      </c>
      <c r="V32">
        <f>HYPERLINK("https://klasma.github.io/Logging_1981/klagomål/A 24327-2025 FSC-klagomål.docx", "A 24327-2025")</f>
        <v/>
      </c>
      <c r="W32">
        <f>HYPERLINK("https://klasma.github.io/Logging_1981/klagomålsmail/A 24327-2025 FSC-klagomål mail.docx", "A 24327-2025")</f>
        <v/>
      </c>
      <c r="X32">
        <f>HYPERLINK("https://klasma.github.io/Logging_1981/tillsyn/A 24327-2025 tillsynsbegäran.docx", "A 24327-2025")</f>
        <v/>
      </c>
      <c r="Y32">
        <f>HYPERLINK("https://klasma.github.io/Logging_1981/tillsynsmail/A 24327-2025 tillsynsbegäran mail.docx", "A 24327-2025")</f>
        <v/>
      </c>
    </row>
    <row r="33" ht="15" customHeight="1">
      <c r="A33" t="inlineStr">
        <is>
          <t>A 24872-2025</t>
        </is>
      </c>
      <c r="B33" s="1" t="n">
        <v>45799.49038194444</v>
      </c>
      <c r="C33" s="1" t="n">
        <v>45883</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15102-2025</t>
        </is>
      </c>
      <c r="B34" s="1" t="n">
        <v>45744.34585648148</v>
      </c>
      <c r="C34" s="1" t="n">
        <v>45883</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45883</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45883</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69362-2020</t>
        </is>
      </c>
      <c r="B37" s="1" t="n">
        <v>44193</v>
      </c>
      <c r="C37" s="1" t="n">
        <v>45883</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43705-2022</t>
        </is>
      </c>
      <c r="B38" s="1" t="n">
        <v>44837</v>
      </c>
      <c r="C38" s="1" t="n">
        <v>45883</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42352-2020</t>
        </is>
      </c>
      <c r="B39" s="1" t="n">
        <v>44076</v>
      </c>
      <c r="C39" s="1" t="n">
        <v>45883</v>
      </c>
      <c r="D39" t="inlineStr">
        <is>
          <t>VÄSTMANLANDS LÄN</t>
        </is>
      </c>
      <c r="E39" t="inlineStr">
        <is>
          <t>SALA</t>
        </is>
      </c>
      <c r="G39" t="n">
        <v>8.6</v>
      </c>
      <c r="H39" t="n">
        <v>1</v>
      </c>
      <c r="I39" t="n">
        <v>0</v>
      </c>
      <c r="J39" t="n">
        <v>0</v>
      </c>
      <c r="K39" t="n">
        <v>0</v>
      </c>
      <c r="L39" t="n">
        <v>0</v>
      </c>
      <c r="M39" t="n">
        <v>0</v>
      </c>
      <c r="N39" t="n">
        <v>0</v>
      </c>
      <c r="O39" t="n">
        <v>0</v>
      </c>
      <c r="P39" t="n">
        <v>0</v>
      </c>
      <c r="Q39" t="n">
        <v>1</v>
      </c>
      <c r="R39" s="2" t="inlineStr">
        <is>
          <t>Mattlummer</t>
        </is>
      </c>
      <c r="S39">
        <f>HYPERLINK("https://klasma.github.io/Logging_1981/artfynd/A 42352-2020 artfynd.xlsx", "A 42352-2020")</f>
        <v/>
      </c>
      <c r="T39">
        <f>HYPERLINK("https://klasma.github.io/Logging_1981/kartor/A 42352-2020 karta.png", "A 42352-2020")</f>
        <v/>
      </c>
      <c r="V39">
        <f>HYPERLINK("https://klasma.github.io/Logging_1981/klagomål/A 42352-2020 FSC-klagomål.docx", "A 42352-2020")</f>
        <v/>
      </c>
      <c r="W39">
        <f>HYPERLINK("https://klasma.github.io/Logging_1981/klagomålsmail/A 42352-2020 FSC-klagomål mail.docx", "A 42352-2020")</f>
        <v/>
      </c>
      <c r="X39">
        <f>HYPERLINK("https://klasma.github.io/Logging_1981/tillsyn/A 42352-2020 tillsynsbegäran.docx", "A 42352-2020")</f>
        <v/>
      </c>
      <c r="Y39">
        <f>HYPERLINK("https://klasma.github.io/Logging_1981/tillsynsmail/A 42352-2020 tillsynsbegäran mail.docx", "A 42352-2020")</f>
        <v/>
      </c>
    </row>
    <row r="40" ht="15" customHeight="1">
      <c r="A40" t="inlineStr">
        <is>
          <t>A 14775-2023</t>
        </is>
      </c>
      <c r="B40" s="1" t="n">
        <v>45014</v>
      </c>
      <c r="C40" s="1" t="n">
        <v>45883</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14775-2023 artfynd.xlsx", "A 14775-2023")</f>
        <v/>
      </c>
      <c r="T40">
        <f>HYPERLINK("https://klasma.github.io/Logging_1981/kartor/A 14775-2023 karta.png", "A 14775-2023")</f>
        <v/>
      </c>
      <c r="U40">
        <f>HYPERLINK("https://klasma.github.io/Logging_1981/knärot/A 14775-2023 karta knärot.png", "A 14775-2023")</f>
        <v/>
      </c>
      <c r="V40">
        <f>HYPERLINK("https://klasma.github.io/Logging_1981/klagomål/A 14775-2023 FSC-klagomål.docx", "A 14775-2023")</f>
        <v/>
      </c>
      <c r="W40">
        <f>HYPERLINK("https://klasma.github.io/Logging_1981/klagomålsmail/A 14775-2023 FSC-klagomål mail.docx", "A 14775-2023")</f>
        <v/>
      </c>
      <c r="X40">
        <f>HYPERLINK("https://klasma.github.io/Logging_1981/tillsyn/A 14775-2023 tillsynsbegäran.docx", "A 14775-2023")</f>
        <v/>
      </c>
      <c r="Y40">
        <f>HYPERLINK("https://klasma.github.io/Logging_1981/tillsynsmail/A 14775-2023 tillsynsbegäran mail.docx", "A 14775-2023")</f>
        <v/>
      </c>
    </row>
    <row r="41" ht="15" customHeight="1">
      <c r="A41" t="inlineStr">
        <is>
          <t>A 56704-2022</t>
        </is>
      </c>
      <c r="B41" s="1" t="n">
        <v>44893.78075231481</v>
      </c>
      <c r="C41" s="1" t="n">
        <v>45883</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39800-2020</t>
        </is>
      </c>
      <c r="B42" s="1" t="n">
        <v>44067</v>
      </c>
      <c r="C42" s="1" t="n">
        <v>45883</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19361-2025</t>
        </is>
      </c>
      <c r="B43" s="1" t="n">
        <v>45769.63357638889</v>
      </c>
      <c r="C43" s="1" t="n">
        <v>45883</v>
      </c>
      <c r="D43" t="inlineStr">
        <is>
          <t>VÄSTMANLANDS LÄN</t>
        </is>
      </c>
      <c r="E43" t="inlineStr">
        <is>
          <t>SALA</t>
        </is>
      </c>
      <c r="F43" t="inlineStr">
        <is>
          <t>Bergvik skog öst AB</t>
        </is>
      </c>
      <c r="G43" t="n">
        <v>8.9</v>
      </c>
      <c r="H43" t="n">
        <v>0</v>
      </c>
      <c r="I43" t="n">
        <v>0</v>
      </c>
      <c r="J43" t="n">
        <v>1</v>
      </c>
      <c r="K43" t="n">
        <v>0</v>
      </c>
      <c r="L43" t="n">
        <v>0</v>
      </c>
      <c r="M43" t="n">
        <v>0</v>
      </c>
      <c r="N43" t="n">
        <v>0</v>
      </c>
      <c r="O43" t="n">
        <v>1</v>
      </c>
      <c r="P43" t="n">
        <v>0</v>
      </c>
      <c r="Q43" t="n">
        <v>1</v>
      </c>
      <c r="R43" s="2" t="inlineStr">
        <is>
          <t>Garnlav</t>
        </is>
      </c>
      <c r="S43">
        <f>HYPERLINK("https://klasma.github.io/Logging_1981/artfynd/A 19361-2025 artfynd.xlsx", "A 19361-2025")</f>
        <v/>
      </c>
      <c r="T43">
        <f>HYPERLINK("https://klasma.github.io/Logging_1981/kartor/A 19361-2025 karta.png", "A 19361-2025")</f>
        <v/>
      </c>
      <c r="V43">
        <f>HYPERLINK("https://klasma.github.io/Logging_1981/klagomål/A 19361-2025 FSC-klagomål.docx", "A 19361-2025")</f>
        <v/>
      </c>
      <c r="W43">
        <f>HYPERLINK("https://klasma.github.io/Logging_1981/klagomålsmail/A 19361-2025 FSC-klagomål mail.docx", "A 19361-2025")</f>
        <v/>
      </c>
      <c r="X43">
        <f>HYPERLINK("https://klasma.github.io/Logging_1981/tillsyn/A 19361-2025 tillsynsbegäran.docx", "A 19361-2025")</f>
        <v/>
      </c>
      <c r="Y43">
        <f>HYPERLINK("https://klasma.github.io/Logging_1981/tillsynsmail/A 19361-2025 tillsynsbegäran mail.docx", "A 19361-2025")</f>
        <v/>
      </c>
    </row>
    <row r="44" ht="15" customHeight="1">
      <c r="A44" t="inlineStr">
        <is>
          <t>A 41570-2021</t>
        </is>
      </c>
      <c r="B44" s="1" t="n">
        <v>44425</v>
      </c>
      <c r="C44" s="1" t="n">
        <v>45883</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43175-2023</t>
        </is>
      </c>
      <c r="B45" s="1" t="n">
        <v>45183</v>
      </c>
      <c r="C45" s="1" t="n">
        <v>45883</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22350-2024</t>
        </is>
      </c>
      <c r="B46" s="1" t="n">
        <v>45446</v>
      </c>
      <c r="C46" s="1" t="n">
        <v>45883</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37166-2024</t>
        </is>
      </c>
      <c r="B47" s="1" t="n">
        <v>45539</v>
      </c>
      <c r="C47" s="1" t="n">
        <v>45883</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37166-2024 artfynd.xlsx", "A 37166-2024")</f>
        <v/>
      </c>
      <c r="T47">
        <f>HYPERLINK("https://klasma.github.io/Logging_1981/kartor/A 37166-2024 karta.png", "A 37166-2024")</f>
        <v/>
      </c>
      <c r="U47">
        <f>HYPERLINK("https://klasma.github.io/Logging_1981/knärot/A 37166-2024 karta knärot.png", "A 37166-2024")</f>
        <v/>
      </c>
      <c r="V47">
        <f>HYPERLINK("https://klasma.github.io/Logging_1981/klagomål/A 37166-2024 FSC-klagomål.docx", "A 37166-2024")</f>
        <v/>
      </c>
      <c r="W47">
        <f>HYPERLINK("https://klasma.github.io/Logging_1981/klagomålsmail/A 37166-2024 FSC-klagomål mail.docx", "A 37166-2024")</f>
        <v/>
      </c>
      <c r="X47">
        <f>HYPERLINK("https://klasma.github.io/Logging_1981/tillsyn/A 37166-2024 tillsynsbegäran.docx", "A 37166-2024")</f>
        <v/>
      </c>
      <c r="Y47">
        <f>HYPERLINK("https://klasma.github.io/Logging_1981/tillsynsmail/A 37166-2024 tillsynsbegäran mail.docx", "A 37166-2024")</f>
        <v/>
      </c>
    </row>
    <row r="48" ht="15" customHeight="1">
      <c r="A48" t="inlineStr">
        <is>
          <t>A 60852-2024</t>
        </is>
      </c>
      <c r="B48" s="1" t="n">
        <v>45644</v>
      </c>
      <c r="C48" s="1" t="n">
        <v>45883</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41270-2024</t>
        </is>
      </c>
      <c r="B49" s="1" t="n">
        <v>45559</v>
      </c>
      <c r="C49" s="1" t="n">
        <v>45883</v>
      </c>
      <c r="D49" t="inlineStr">
        <is>
          <t>VÄSTMANLANDS LÄN</t>
        </is>
      </c>
      <c r="E49" t="inlineStr">
        <is>
          <t>SALA</t>
        </is>
      </c>
      <c r="G49" t="n">
        <v>15.2</v>
      </c>
      <c r="H49" t="n">
        <v>1</v>
      </c>
      <c r="I49" t="n">
        <v>0</v>
      </c>
      <c r="J49" t="n">
        <v>1</v>
      </c>
      <c r="K49" t="n">
        <v>0</v>
      </c>
      <c r="L49" t="n">
        <v>0</v>
      </c>
      <c r="M49" t="n">
        <v>0</v>
      </c>
      <c r="N49" t="n">
        <v>0</v>
      </c>
      <c r="O49" t="n">
        <v>1</v>
      </c>
      <c r="P49" t="n">
        <v>0</v>
      </c>
      <c r="Q49" t="n">
        <v>1</v>
      </c>
      <c r="R49" s="2" t="inlineStr">
        <is>
          <t>Havsörn</t>
        </is>
      </c>
      <c r="S49">
        <f>HYPERLINK("https://klasma.github.io/Logging_1981/artfynd/A 41270-2024 artfynd.xlsx", "A 41270-2024")</f>
        <v/>
      </c>
      <c r="T49">
        <f>HYPERLINK("https://klasma.github.io/Logging_1981/kartor/A 41270-2024 karta.png", "A 41270-2024")</f>
        <v/>
      </c>
      <c r="V49">
        <f>HYPERLINK("https://klasma.github.io/Logging_1981/klagomål/A 41270-2024 FSC-klagomål.docx", "A 41270-2024")</f>
        <v/>
      </c>
      <c r="W49">
        <f>HYPERLINK("https://klasma.github.io/Logging_1981/klagomålsmail/A 41270-2024 FSC-klagomål mail.docx", "A 41270-2024")</f>
        <v/>
      </c>
      <c r="X49">
        <f>HYPERLINK("https://klasma.github.io/Logging_1981/tillsyn/A 41270-2024 tillsynsbegäran.docx", "A 41270-2024")</f>
        <v/>
      </c>
      <c r="Y49">
        <f>HYPERLINK("https://klasma.github.io/Logging_1981/tillsynsmail/A 41270-2024 tillsynsbegäran mail.docx", "A 41270-2024")</f>
        <v/>
      </c>
      <c r="Z49">
        <f>HYPERLINK("https://klasma.github.io/Logging_1981/fåglar/A 41270-2024 prioriterade fågelarter.docx", "A 41270-2024")</f>
        <v/>
      </c>
    </row>
    <row r="50" ht="15" customHeight="1">
      <c r="A50" t="inlineStr">
        <is>
          <t>A 55550-2023</t>
        </is>
      </c>
      <c r="B50" s="1" t="n">
        <v>45232</v>
      </c>
      <c r="C50" s="1" t="n">
        <v>45883</v>
      </c>
      <c r="D50" t="inlineStr">
        <is>
          <t>VÄSTMANLANDS LÄN</t>
        </is>
      </c>
      <c r="E50" t="inlineStr">
        <is>
          <t>SALA</t>
        </is>
      </c>
      <c r="G50" t="n">
        <v>9.9</v>
      </c>
      <c r="H50" t="n">
        <v>1</v>
      </c>
      <c r="I50" t="n">
        <v>0</v>
      </c>
      <c r="J50" t="n">
        <v>0</v>
      </c>
      <c r="K50" t="n">
        <v>1</v>
      </c>
      <c r="L50" t="n">
        <v>0</v>
      </c>
      <c r="M50" t="n">
        <v>0</v>
      </c>
      <c r="N50" t="n">
        <v>0</v>
      </c>
      <c r="O50" t="n">
        <v>1</v>
      </c>
      <c r="P50" t="n">
        <v>1</v>
      </c>
      <c r="Q50" t="n">
        <v>1</v>
      </c>
      <c r="R50" s="2" t="inlineStr">
        <is>
          <t>Knärot</t>
        </is>
      </c>
      <c r="S50">
        <f>HYPERLINK("https://klasma.github.io/Logging_1981/artfynd/A 55550-2023 artfynd.xlsx", "A 55550-2023")</f>
        <v/>
      </c>
      <c r="T50">
        <f>HYPERLINK("https://klasma.github.io/Logging_1981/kartor/A 55550-2023 karta.png", "A 55550-2023")</f>
        <v/>
      </c>
      <c r="U50">
        <f>HYPERLINK("https://klasma.github.io/Logging_1981/knärot/A 55550-2023 karta knärot.png", "A 55550-2023")</f>
        <v/>
      </c>
      <c r="V50">
        <f>HYPERLINK("https://klasma.github.io/Logging_1981/klagomål/A 55550-2023 FSC-klagomål.docx", "A 55550-2023")</f>
        <v/>
      </c>
      <c r="W50">
        <f>HYPERLINK("https://klasma.github.io/Logging_1981/klagomålsmail/A 55550-2023 FSC-klagomål mail.docx", "A 55550-2023")</f>
        <v/>
      </c>
      <c r="X50">
        <f>HYPERLINK("https://klasma.github.io/Logging_1981/tillsyn/A 55550-2023 tillsynsbegäran.docx", "A 55550-2023")</f>
        <v/>
      </c>
      <c r="Y50">
        <f>HYPERLINK("https://klasma.github.io/Logging_1981/tillsynsmail/A 55550-2023 tillsynsbegäran mail.docx", "A 55550-2023")</f>
        <v/>
      </c>
    </row>
    <row r="51" ht="15" customHeight="1">
      <c r="A51" t="inlineStr">
        <is>
          <t>A 43068-2024</t>
        </is>
      </c>
      <c r="B51" s="1" t="n">
        <v>45567</v>
      </c>
      <c r="C51" s="1" t="n">
        <v>45883</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22950-2025</t>
        </is>
      </c>
      <c r="B52" s="1" t="n">
        <v>45790.50728009259</v>
      </c>
      <c r="C52" s="1" t="n">
        <v>45883</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7731-2023</t>
        </is>
      </c>
      <c r="B53" s="1" t="n">
        <v>44973</v>
      </c>
      <c r="C53" s="1" t="n">
        <v>45883</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12509-2023</t>
        </is>
      </c>
      <c r="B54" s="1" t="n">
        <v>44999.95988425926</v>
      </c>
      <c r="C54" s="1" t="n">
        <v>45883</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29985-2022</t>
        </is>
      </c>
      <c r="B55" s="1" t="n">
        <v>44756</v>
      </c>
      <c r="C55" s="1" t="n">
        <v>45883</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7919-2022</t>
        </is>
      </c>
      <c r="B56" s="1" t="n">
        <v>44608</v>
      </c>
      <c r="C56" s="1" t="n">
        <v>45883</v>
      </c>
      <c r="D56" t="inlineStr">
        <is>
          <t>VÄSTMANLANDS LÄN</t>
        </is>
      </c>
      <c r="E56" t="inlineStr">
        <is>
          <t>SALA</t>
        </is>
      </c>
      <c r="F56" t="inlineStr">
        <is>
          <t>Bergvik skog öst AB</t>
        </is>
      </c>
      <c r="G56" t="n">
        <v>4.5</v>
      </c>
      <c r="H56" t="n">
        <v>1</v>
      </c>
      <c r="I56" t="n">
        <v>0</v>
      </c>
      <c r="J56" t="n">
        <v>1</v>
      </c>
      <c r="K56" t="n">
        <v>0</v>
      </c>
      <c r="L56" t="n">
        <v>0</v>
      </c>
      <c r="M56" t="n">
        <v>0</v>
      </c>
      <c r="N56" t="n">
        <v>0</v>
      </c>
      <c r="O56" t="n">
        <v>1</v>
      </c>
      <c r="P56" t="n">
        <v>0</v>
      </c>
      <c r="Q56" t="n">
        <v>1</v>
      </c>
      <c r="R56" s="2" t="inlineStr">
        <is>
          <t>Ävjepilört</t>
        </is>
      </c>
      <c r="S56">
        <f>HYPERLINK("https://klasma.github.io/Logging_1981/artfynd/A 7919-2022 artfynd.xlsx", "A 7919-2022")</f>
        <v/>
      </c>
      <c r="T56">
        <f>HYPERLINK("https://klasma.github.io/Logging_1981/kartor/A 7919-2022 karta.png", "A 7919-2022")</f>
        <v/>
      </c>
      <c r="V56">
        <f>HYPERLINK("https://klasma.github.io/Logging_1981/klagomål/A 7919-2022 FSC-klagomål.docx", "A 7919-2022")</f>
        <v/>
      </c>
      <c r="W56">
        <f>HYPERLINK("https://klasma.github.io/Logging_1981/klagomålsmail/A 7919-2022 FSC-klagomål mail.docx", "A 7919-2022")</f>
        <v/>
      </c>
      <c r="X56">
        <f>HYPERLINK("https://klasma.github.io/Logging_1981/tillsyn/A 7919-2022 tillsynsbegäran.docx", "A 7919-2022")</f>
        <v/>
      </c>
      <c r="Y56">
        <f>HYPERLINK("https://klasma.github.io/Logging_1981/tillsynsmail/A 7919-2022 tillsynsbegäran mail.docx", "A 7919-2022")</f>
        <v/>
      </c>
    </row>
    <row r="57" ht="15" customHeight="1">
      <c r="A57" t="inlineStr">
        <is>
          <t>A 32594-2025</t>
        </is>
      </c>
      <c r="B57" s="1" t="n">
        <v>45838</v>
      </c>
      <c r="C57" s="1" t="n">
        <v>45883</v>
      </c>
      <c r="D57" t="inlineStr">
        <is>
          <t>VÄSTMANLANDS LÄN</t>
        </is>
      </c>
      <c r="E57" t="inlineStr">
        <is>
          <t>SALA</t>
        </is>
      </c>
      <c r="F57" t="inlineStr">
        <is>
          <t>Bergvik skog öst AB</t>
        </is>
      </c>
      <c r="G57" t="n">
        <v>0.9</v>
      </c>
      <c r="H57" t="n">
        <v>1</v>
      </c>
      <c r="I57" t="n">
        <v>0</v>
      </c>
      <c r="J57" t="n">
        <v>0</v>
      </c>
      <c r="K57" t="n">
        <v>0</v>
      </c>
      <c r="L57" t="n">
        <v>0</v>
      </c>
      <c r="M57" t="n">
        <v>0</v>
      </c>
      <c r="N57" t="n">
        <v>0</v>
      </c>
      <c r="O57" t="n">
        <v>0</v>
      </c>
      <c r="P57" t="n">
        <v>0</v>
      </c>
      <c r="Q57" t="n">
        <v>1</v>
      </c>
      <c r="R57" s="2" t="inlineStr">
        <is>
          <t>Blåsippa</t>
        </is>
      </c>
      <c r="S57">
        <f>HYPERLINK("https://klasma.github.io/Logging_1981/artfynd/A 32594-2025 artfynd.xlsx", "A 32594-2025")</f>
        <v/>
      </c>
      <c r="T57">
        <f>HYPERLINK("https://klasma.github.io/Logging_1981/kartor/A 32594-2025 karta.png", "A 32594-2025")</f>
        <v/>
      </c>
      <c r="V57">
        <f>HYPERLINK("https://klasma.github.io/Logging_1981/klagomål/A 32594-2025 FSC-klagomål.docx", "A 32594-2025")</f>
        <v/>
      </c>
      <c r="W57">
        <f>HYPERLINK("https://klasma.github.io/Logging_1981/klagomålsmail/A 32594-2025 FSC-klagomål mail.docx", "A 32594-2025")</f>
        <v/>
      </c>
      <c r="X57">
        <f>HYPERLINK("https://klasma.github.io/Logging_1981/tillsyn/A 32594-2025 tillsynsbegäran.docx", "A 32594-2025")</f>
        <v/>
      </c>
      <c r="Y57">
        <f>HYPERLINK("https://klasma.github.io/Logging_1981/tillsynsmail/A 32594-2025 tillsynsbegäran mail.docx", "A 32594-2025")</f>
        <v/>
      </c>
    </row>
    <row r="58" ht="15" customHeight="1">
      <c r="A58" t="inlineStr">
        <is>
          <t>A 56014-2020</t>
        </is>
      </c>
      <c r="B58" s="1" t="n">
        <v>44132</v>
      </c>
      <c r="C58" s="1" t="n">
        <v>45883</v>
      </c>
      <c r="D58" t="inlineStr">
        <is>
          <t>VÄSTMANLANDS LÄN</t>
        </is>
      </c>
      <c r="E58" t="inlineStr">
        <is>
          <t>SALA</t>
        </is>
      </c>
      <c r="G58" t="n">
        <v>5.6</v>
      </c>
      <c r="H58" t="n">
        <v>0</v>
      </c>
      <c r="I58" t="n">
        <v>0</v>
      </c>
      <c r="J58" t="n">
        <v>0</v>
      </c>
      <c r="K58" t="n">
        <v>1</v>
      </c>
      <c r="L58" t="n">
        <v>0</v>
      </c>
      <c r="M58" t="n">
        <v>0</v>
      </c>
      <c r="N58" t="n">
        <v>0</v>
      </c>
      <c r="O58" t="n">
        <v>1</v>
      </c>
      <c r="P58" t="n">
        <v>1</v>
      </c>
      <c r="Q58" t="n">
        <v>1</v>
      </c>
      <c r="R58" s="2" t="inlineStr">
        <is>
          <t>Blackticka</t>
        </is>
      </c>
      <c r="S58">
        <f>HYPERLINK("https://klasma.github.io/Logging_1981/artfynd/A 56014-2020 artfynd.xlsx", "A 56014-2020")</f>
        <v/>
      </c>
      <c r="T58">
        <f>HYPERLINK("https://klasma.github.io/Logging_1981/kartor/A 56014-2020 karta.png", "A 56014-2020")</f>
        <v/>
      </c>
      <c r="V58">
        <f>HYPERLINK("https://klasma.github.io/Logging_1981/klagomål/A 56014-2020 FSC-klagomål.docx", "A 56014-2020")</f>
        <v/>
      </c>
      <c r="W58">
        <f>HYPERLINK("https://klasma.github.io/Logging_1981/klagomålsmail/A 56014-2020 FSC-klagomål mail.docx", "A 56014-2020")</f>
        <v/>
      </c>
      <c r="X58">
        <f>HYPERLINK("https://klasma.github.io/Logging_1981/tillsyn/A 56014-2020 tillsynsbegäran.docx", "A 56014-2020")</f>
        <v/>
      </c>
      <c r="Y58">
        <f>HYPERLINK("https://klasma.github.io/Logging_1981/tillsynsmail/A 56014-2020 tillsynsbegäran mail.docx", "A 56014-2020")</f>
        <v/>
      </c>
    </row>
    <row r="59" ht="15" customHeight="1">
      <c r="A59" t="inlineStr">
        <is>
          <t>A 29727-2023</t>
        </is>
      </c>
      <c r="B59" s="1" t="n">
        <v>45107</v>
      </c>
      <c r="C59" s="1" t="n">
        <v>45883</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58314-2020</t>
        </is>
      </c>
      <c r="B60" s="1" t="n">
        <v>44145</v>
      </c>
      <c r="C60" s="1" t="n">
        <v>45883</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45883</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45883</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45883</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45883</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45883</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45883</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45883</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45883</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45883</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45883</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45883</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45883</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45883</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45883</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45883</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38579-2020</t>
        </is>
      </c>
      <c r="B76" s="1" t="n">
        <v>44061</v>
      </c>
      <c r="C76" s="1" t="n">
        <v>45883</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45883</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45883</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45883</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45883</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45883</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45883</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45883</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45883</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45883</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45883</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45883</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28215-2022</t>
        </is>
      </c>
      <c r="B88" s="1" t="n">
        <v>44746</v>
      </c>
      <c r="C88" s="1" t="n">
        <v>45883</v>
      </c>
      <c r="D88" t="inlineStr">
        <is>
          <t>VÄSTMANLANDS LÄN</t>
        </is>
      </c>
      <c r="E88" t="inlineStr">
        <is>
          <t>SALA</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45883</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45883</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70958-2021</t>
        </is>
      </c>
      <c r="B91" s="1" t="n">
        <v>44538</v>
      </c>
      <c r="C91" s="1" t="n">
        <v>45883</v>
      </c>
      <c r="D91" t="inlineStr">
        <is>
          <t>VÄSTMANLANDS LÄN</t>
        </is>
      </c>
      <c r="E91" t="inlineStr">
        <is>
          <t>SALA</t>
        </is>
      </c>
      <c r="G91" t="n">
        <v>6.5</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45883</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45883</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45883</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45883</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45883</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45883</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45883</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45883</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45883</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69195-2020</t>
        </is>
      </c>
      <c r="B101" s="1" t="n">
        <v>44191</v>
      </c>
      <c r="C101" s="1" t="n">
        <v>45883</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45883</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45883</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45883</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28069-2022</t>
        </is>
      </c>
      <c r="B105" s="1" t="n">
        <v>44746</v>
      </c>
      <c r="C105" s="1" t="n">
        <v>45883</v>
      </c>
      <c r="D105" t="inlineStr">
        <is>
          <t>VÄSTMANLANDS LÄN</t>
        </is>
      </c>
      <c r="E105" t="inlineStr">
        <is>
          <t>SALA</t>
        </is>
      </c>
      <c r="G105" t="n">
        <v>2.8</v>
      </c>
      <c r="H105" t="n">
        <v>0</v>
      </c>
      <c r="I105" t="n">
        <v>0</v>
      </c>
      <c r="J105" t="n">
        <v>0</v>
      </c>
      <c r="K105" t="n">
        <v>0</v>
      </c>
      <c r="L105" t="n">
        <v>0</v>
      </c>
      <c r="M105" t="n">
        <v>0</v>
      </c>
      <c r="N105" t="n">
        <v>0</v>
      </c>
      <c r="O105" t="n">
        <v>0</v>
      </c>
      <c r="P105" t="n">
        <v>0</v>
      </c>
      <c r="Q105" t="n">
        <v>0</v>
      </c>
      <c r="R105" s="2" t="inlineStr"/>
    </row>
    <row r="106" ht="15" customHeight="1">
      <c r="A106" t="inlineStr">
        <is>
          <t>A 8513-2021</t>
        </is>
      </c>
      <c r="B106" s="1" t="n">
        <v>44244</v>
      </c>
      <c r="C106" s="1" t="n">
        <v>45883</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45883</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7955-2021</t>
        </is>
      </c>
      <c r="B108" s="1" t="n">
        <v>44243</v>
      </c>
      <c r="C108" s="1" t="n">
        <v>45883</v>
      </c>
      <c r="D108" t="inlineStr">
        <is>
          <t>VÄSTMANLANDS LÄN</t>
        </is>
      </c>
      <c r="E108" t="inlineStr">
        <is>
          <t>SALA</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39519-2020</t>
        </is>
      </c>
      <c r="B109" s="1" t="n">
        <v>44064.50172453704</v>
      </c>
      <c r="C109" s="1" t="n">
        <v>45883</v>
      </c>
      <c r="D109" t="inlineStr">
        <is>
          <t>VÄSTMANLANDS LÄN</t>
        </is>
      </c>
      <c r="E109" t="inlineStr">
        <is>
          <t>SALA</t>
        </is>
      </c>
      <c r="G109" t="n">
        <v>0.8</v>
      </c>
      <c r="H109" t="n">
        <v>0</v>
      </c>
      <c r="I109" t="n">
        <v>0</v>
      </c>
      <c r="J109" t="n">
        <v>0</v>
      </c>
      <c r="K109" t="n">
        <v>0</v>
      </c>
      <c r="L109" t="n">
        <v>0</v>
      </c>
      <c r="M109" t="n">
        <v>0</v>
      </c>
      <c r="N109" t="n">
        <v>0</v>
      </c>
      <c r="O109" t="n">
        <v>0</v>
      </c>
      <c r="P109" t="n">
        <v>0</v>
      </c>
      <c r="Q109" t="n">
        <v>0</v>
      </c>
      <c r="R109" s="2" t="inlineStr"/>
    </row>
    <row r="110" ht="15" customHeight="1">
      <c r="A110" t="inlineStr">
        <is>
          <t>A 4237-2022</t>
        </is>
      </c>
      <c r="B110" s="1" t="n">
        <v>44588.64377314815</v>
      </c>
      <c r="C110" s="1" t="n">
        <v>45883</v>
      </c>
      <c r="D110" t="inlineStr">
        <is>
          <t>VÄSTMANLANDS LÄN</t>
        </is>
      </c>
      <c r="E110" t="inlineStr">
        <is>
          <t>SALA</t>
        </is>
      </c>
      <c r="G110" t="n">
        <v>1.2</v>
      </c>
      <c r="H110" t="n">
        <v>0</v>
      </c>
      <c r="I110" t="n">
        <v>0</v>
      </c>
      <c r="J110" t="n">
        <v>0</v>
      </c>
      <c r="K110" t="n">
        <v>0</v>
      </c>
      <c r="L110" t="n">
        <v>0</v>
      </c>
      <c r="M110" t="n">
        <v>0</v>
      </c>
      <c r="N110" t="n">
        <v>0</v>
      </c>
      <c r="O110" t="n">
        <v>0</v>
      </c>
      <c r="P110" t="n">
        <v>0</v>
      </c>
      <c r="Q110" t="n">
        <v>0</v>
      </c>
      <c r="R110" s="2" t="inlineStr"/>
    </row>
    <row r="111" ht="15" customHeight="1">
      <c r="A111" t="inlineStr">
        <is>
          <t>A 51377-2022</t>
        </is>
      </c>
      <c r="B111" s="1" t="n">
        <v>44866</v>
      </c>
      <c r="C111" s="1" t="n">
        <v>45883</v>
      </c>
      <c r="D111" t="inlineStr">
        <is>
          <t>VÄSTMANLANDS LÄN</t>
        </is>
      </c>
      <c r="E111" t="inlineStr">
        <is>
          <t>SALA</t>
        </is>
      </c>
      <c r="G111" t="n">
        <v>6.3</v>
      </c>
      <c r="H111" t="n">
        <v>0</v>
      </c>
      <c r="I111" t="n">
        <v>0</v>
      </c>
      <c r="J111" t="n">
        <v>0</v>
      </c>
      <c r="K111" t="n">
        <v>0</v>
      </c>
      <c r="L111" t="n">
        <v>0</v>
      </c>
      <c r="M111" t="n">
        <v>0</v>
      </c>
      <c r="N111" t="n">
        <v>0</v>
      </c>
      <c r="O111" t="n">
        <v>0</v>
      </c>
      <c r="P111" t="n">
        <v>0</v>
      </c>
      <c r="Q111" t="n">
        <v>0</v>
      </c>
      <c r="R111" s="2" t="inlineStr"/>
    </row>
    <row r="112" ht="15" customHeight="1">
      <c r="A112" t="inlineStr">
        <is>
          <t>A 68355-2021</t>
        </is>
      </c>
      <c r="B112" s="1" t="n">
        <v>44528</v>
      </c>
      <c r="C112" s="1" t="n">
        <v>45883</v>
      </c>
      <c r="D112" t="inlineStr">
        <is>
          <t>VÄSTMANLANDS LÄN</t>
        </is>
      </c>
      <c r="E112" t="inlineStr">
        <is>
          <t>SALA</t>
        </is>
      </c>
      <c r="G112" t="n">
        <v>0.5</v>
      </c>
      <c r="H112" t="n">
        <v>0</v>
      </c>
      <c r="I112" t="n">
        <v>0</v>
      </c>
      <c r="J112" t="n">
        <v>0</v>
      </c>
      <c r="K112" t="n">
        <v>0</v>
      </c>
      <c r="L112" t="n">
        <v>0</v>
      </c>
      <c r="M112" t="n">
        <v>0</v>
      </c>
      <c r="N112" t="n">
        <v>0</v>
      </c>
      <c r="O112" t="n">
        <v>0</v>
      </c>
      <c r="P112" t="n">
        <v>0</v>
      </c>
      <c r="Q112" t="n">
        <v>0</v>
      </c>
      <c r="R112" s="2" t="inlineStr"/>
    </row>
    <row r="113" ht="15" customHeight="1">
      <c r="A113" t="inlineStr">
        <is>
          <t>A 44318-2022</t>
        </is>
      </c>
      <c r="B113" s="1" t="n">
        <v>44839.64516203704</v>
      </c>
      <c r="C113" s="1" t="n">
        <v>45883</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46965-2020</t>
        </is>
      </c>
      <c r="B114" s="1" t="n">
        <v>44096</v>
      </c>
      <c r="C114" s="1" t="n">
        <v>45883</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15850-2022</t>
        </is>
      </c>
      <c r="B115" s="1" t="n">
        <v>44664.43082175926</v>
      </c>
      <c r="C115" s="1" t="n">
        <v>45883</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1043-2022</t>
        </is>
      </c>
      <c r="B116" s="1" t="n">
        <v>44571.66552083333</v>
      </c>
      <c r="C116" s="1" t="n">
        <v>45883</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18378-2021</t>
        </is>
      </c>
      <c r="B117" s="1" t="n">
        <v>44305</v>
      </c>
      <c r="C117" s="1" t="n">
        <v>45883</v>
      </c>
      <c r="D117" t="inlineStr">
        <is>
          <t>VÄSTMANLANDS LÄN</t>
        </is>
      </c>
      <c r="E117" t="inlineStr">
        <is>
          <t>SALA</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18189-2021</t>
        </is>
      </c>
      <c r="B118" s="1" t="n">
        <v>44302.67659722222</v>
      </c>
      <c r="C118" s="1" t="n">
        <v>45883</v>
      </c>
      <c r="D118" t="inlineStr">
        <is>
          <t>VÄSTMANLANDS LÄN</t>
        </is>
      </c>
      <c r="E118" t="inlineStr">
        <is>
          <t>SALA</t>
        </is>
      </c>
      <c r="G118" t="n">
        <v>0.7</v>
      </c>
      <c r="H118" t="n">
        <v>0</v>
      </c>
      <c r="I118" t="n">
        <v>0</v>
      </c>
      <c r="J118" t="n">
        <v>0</v>
      </c>
      <c r="K118" t="n">
        <v>0</v>
      </c>
      <c r="L118" t="n">
        <v>0</v>
      </c>
      <c r="M118" t="n">
        <v>0</v>
      </c>
      <c r="N118" t="n">
        <v>0</v>
      </c>
      <c r="O118" t="n">
        <v>0</v>
      </c>
      <c r="P118" t="n">
        <v>0</v>
      </c>
      <c r="Q118" t="n">
        <v>0</v>
      </c>
      <c r="R118" s="2" t="inlineStr"/>
    </row>
    <row r="119" ht="15" customHeight="1">
      <c r="A119" t="inlineStr">
        <is>
          <t>A 18951-2021</t>
        </is>
      </c>
      <c r="B119" s="1" t="n">
        <v>44308</v>
      </c>
      <c r="C119" s="1" t="n">
        <v>45883</v>
      </c>
      <c r="D119" t="inlineStr">
        <is>
          <t>VÄSTMANLANDS LÄN</t>
        </is>
      </c>
      <c r="E119" t="inlineStr">
        <is>
          <t>SALA</t>
        </is>
      </c>
      <c r="G119" t="n">
        <v>0.3</v>
      </c>
      <c r="H119" t="n">
        <v>0</v>
      </c>
      <c r="I119" t="n">
        <v>0</v>
      </c>
      <c r="J119" t="n">
        <v>0</v>
      </c>
      <c r="K119" t="n">
        <v>0</v>
      </c>
      <c r="L119" t="n">
        <v>0</v>
      </c>
      <c r="M119" t="n">
        <v>0</v>
      </c>
      <c r="N119" t="n">
        <v>0</v>
      </c>
      <c r="O119" t="n">
        <v>0</v>
      </c>
      <c r="P119" t="n">
        <v>0</v>
      </c>
      <c r="Q119" t="n">
        <v>0</v>
      </c>
      <c r="R119" s="2" t="inlineStr"/>
    </row>
    <row r="120" ht="15" customHeight="1">
      <c r="A120" t="inlineStr">
        <is>
          <t>A 18259-2021</t>
        </is>
      </c>
      <c r="B120" s="1" t="n">
        <v>44305</v>
      </c>
      <c r="C120" s="1" t="n">
        <v>45883</v>
      </c>
      <c r="D120" t="inlineStr">
        <is>
          <t>VÄSTMANLANDS LÄN</t>
        </is>
      </c>
      <c r="E120" t="inlineStr">
        <is>
          <t>SALA</t>
        </is>
      </c>
      <c r="G120" t="n">
        <v>0</v>
      </c>
      <c r="H120" t="n">
        <v>0</v>
      </c>
      <c r="I120" t="n">
        <v>0</v>
      </c>
      <c r="J120" t="n">
        <v>0</v>
      </c>
      <c r="K120" t="n">
        <v>0</v>
      </c>
      <c r="L120" t="n">
        <v>0</v>
      </c>
      <c r="M120" t="n">
        <v>0</v>
      </c>
      <c r="N120" t="n">
        <v>0</v>
      </c>
      <c r="O120" t="n">
        <v>0</v>
      </c>
      <c r="P120" t="n">
        <v>0</v>
      </c>
      <c r="Q120" t="n">
        <v>0</v>
      </c>
      <c r="R120" s="2" t="inlineStr"/>
    </row>
    <row r="121" ht="15" customHeight="1">
      <c r="A121" t="inlineStr">
        <is>
          <t>A 35921-2021</t>
        </is>
      </c>
      <c r="B121" s="1" t="n">
        <v>44388.37549768519</v>
      </c>
      <c r="C121" s="1" t="n">
        <v>45883</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38713-2020</t>
        </is>
      </c>
      <c r="B122" s="1" t="n">
        <v>44061</v>
      </c>
      <c r="C122" s="1" t="n">
        <v>45883</v>
      </c>
      <c r="D122" t="inlineStr">
        <is>
          <t>VÄSTMANLANDS LÄN</t>
        </is>
      </c>
      <c r="E122" t="inlineStr">
        <is>
          <t>SALA</t>
        </is>
      </c>
      <c r="G122" t="n">
        <v>1.4</v>
      </c>
      <c r="H122" t="n">
        <v>0</v>
      </c>
      <c r="I122" t="n">
        <v>0</v>
      </c>
      <c r="J122" t="n">
        <v>0</v>
      </c>
      <c r="K122" t="n">
        <v>0</v>
      </c>
      <c r="L122" t="n">
        <v>0</v>
      </c>
      <c r="M122" t="n">
        <v>0</v>
      </c>
      <c r="N122" t="n">
        <v>0</v>
      </c>
      <c r="O122" t="n">
        <v>0</v>
      </c>
      <c r="P122" t="n">
        <v>0</v>
      </c>
      <c r="Q122" t="n">
        <v>0</v>
      </c>
      <c r="R122" s="2" t="inlineStr"/>
    </row>
    <row r="123" ht="15" customHeight="1">
      <c r="A123" t="inlineStr">
        <is>
          <t>A 37856-2021</t>
        </is>
      </c>
      <c r="B123" s="1" t="n">
        <v>44403</v>
      </c>
      <c r="C123" s="1" t="n">
        <v>45883</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37872-2021</t>
        </is>
      </c>
      <c r="B124" s="1" t="n">
        <v>44403</v>
      </c>
      <c r="C124" s="1" t="n">
        <v>45883</v>
      </c>
      <c r="D124" t="inlineStr">
        <is>
          <t>VÄSTMANLANDS LÄN</t>
        </is>
      </c>
      <c r="E124" t="inlineStr">
        <is>
          <t>SALA</t>
        </is>
      </c>
      <c r="G124" t="n">
        <v>1.9</v>
      </c>
      <c r="H124" t="n">
        <v>0</v>
      </c>
      <c r="I124" t="n">
        <v>0</v>
      </c>
      <c r="J124" t="n">
        <v>0</v>
      </c>
      <c r="K124" t="n">
        <v>0</v>
      </c>
      <c r="L124" t="n">
        <v>0</v>
      </c>
      <c r="M124" t="n">
        <v>0</v>
      </c>
      <c r="N124" t="n">
        <v>0</v>
      </c>
      <c r="O124" t="n">
        <v>0</v>
      </c>
      <c r="P124" t="n">
        <v>0</v>
      </c>
      <c r="Q124" t="n">
        <v>0</v>
      </c>
      <c r="R124" s="2" t="inlineStr"/>
    </row>
    <row r="125" ht="15" customHeight="1">
      <c r="A125" t="inlineStr">
        <is>
          <t>A 65835-2021</t>
        </is>
      </c>
      <c r="B125" s="1" t="n">
        <v>44517</v>
      </c>
      <c r="C125" s="1" t="n">
        <v>45883</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31904-2021</t>
        </is>
      </c>
      <c r="B126" s="1" t="n">
        <v>44370.46853009259</v>
      </c>
      <c r="C126" s="1" t="n">
        <v>45883</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61897-2021</t>
        </is>
      </c>
      <c r="B127" s="1" t="n">
        <v>44502</v>
      </c>
      <c r="C127" s="1" t="n">
        <v>45883</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43482-2020</t>
        </is>
      </c>
      <c r="B128" s="1" t="n">
        <v>44082</v>
      </c>
      <c r="C128" s="1" t="n">
        <v>45883</v>
      </c>
      <c r="D128" t="inlineStr">
        <is>
          <t>VÄSTMANLANDS LÄN</t>
        </is>
      </c>
      <c r="E128" t="inlineStr">
        <is>
          <t>SALA</t>
        </is>
      </c>
      <c r="G128" t="n">
        <v>4.7</v>
      </c>
      <c r="H128" t="n">
        <v>0</v>
      </c>
      <c r="I128" t="n">
        <v>0</v>
      </c>
      <c r="J128" t="n">
        <v>0</v>
      </c>
      <c r="K128" t="n">
        <v>0</v>
      </c>
      <c r="L128" t="n">
        <v>0</v>
      </c>
      <c r="M128" t="n">
        <v>0</v>
      </c>
      <c r="N128" t="n">
        <v>0</v>
      </c>
      <c r="O128" t="n">
        <v>0</v>
      </c>
      <c r="P128" t="n">
        <v>0</v>
      </c>
      <c r="Q128" t="n">
        <v>0</v>
      </c>
      <c r="R128" s="2" t="inlineStr"/>
    </row>
    <row r="129" ht="15" customHeight="1">
      <c r="A129" t="inlineStr">
        <is>
          <t>A 44217-2022</t>
        </is>
      </c>
      <c r="B129" s="1" t="n">
        <v>44839.49953703704</v>
      </c>
      <c r="C129" s="1" t="n">
        <v>45883</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30170-2021</t>
        </is>
      </c>
      <c r="B130" s="1" t="n">
        <v>44363</v>
      </c>
      <c r="C130" s="1" t="n">
        <v>45883</v>
      </c>
      <c r="D130" t="inlineStr">
        <is>
          <t>VÄSTMANLANDS LÄN</t>
        </is>
      </c>
      <c r="E130" t="inlineStr">
        <is>
          <t>SALA</t>
        </is>
      </c>
      <c r="G130" t="n">
        <v>7.2</v>
      </c>
      <c r="H130" t="n">
        <v>0</v>
      </c>
      <c r="I130" t="n">
        <v>0</v>
      </c>
      <c r="J130" t="n">
        <v>0</v>
      </c>
      <c r="K130" t="n">
        <v>0</v>
      </c>
      <c r="L130" t="n">
        <v>0</v>
      </c>
      <c r="M130" t="n">
        <v>0</v>
      </c>
      <c r="N130" t="n">
        <v>0</v>
      </c>
      <c r="O130" t="n">
        <v>0</v>
      </c>
      <c r="P130" t="n">
        <v>0</v>
      </c>
      <c r="Q130" t="n">
        <v>0</v>
      </c>
      <c r="R130" s="2" t="inlineStr"/>
    </row>
    <row r="131" ht="15" customHeight="1">
      <c r="A131" t="inlineStr">
        <is>
          <t>A 44950-2020</t>
        </is>
      </c>
      <c r="B131" s="1" t="n">
        <v>44088</v>
      </c>
      <c r="C131" s="1" t="n">
        <v>45883</v>
      </c>
      <c r="D131" t="inlineStr">
        <is>
          <t>VÄSTMANLANDS LÄN</t>
        </is>
      </c>
      <c r="E131" t="inlineStr">
        <is>
          <t>SALA</t>
        </is>
      </c>
      <c r="G131" t="n">
        <v>9</v>
      </c>
      <c r="H131" t="n">
        <v>0</v>
      </c>
      <c r="I131" t="n">
        <v>0</v>
      </c>
      <c r="J131" t="n">
        <v>0</v>
      </c>
      <c r="K131" t="n">
        <v>0</v>
      </c>
      <c r="L131" t="n">
        <v>0</v>
      </c>
      <c r="M131" t="n">
        <v>0</v>
      </c>
      <c r="N131" t="n">
        <v>0</v>
      </c>
      <c r="O131" t="n">
        <v>0</v>
      </c>
      <c r="P131" t="n">
        <v>0</v>
      </c>
      <c r="Q131" t="n">
        <v>0</v>
      </c>
      <c r="R131" s="2" t="inlineStr"/>
    </row>
    <row r="132" ht="15" customHeight="1">
      <c r="A132" t="inlineStr">
        <is>
          <t>A 57517-2021</t>
        </is>
      </c>
      <c r="B132" s="1" t="n">
        <v>44483</v>
      </c>
      <c r="C132" s="1" t="n">
        <v>45883</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26575-2021</t>
        </is>
      </c>
      <c r="B133" s="1" t="n">
        <v>44348</v>
      </c>
      <c r="C133" s="1" t="n">
        <v>45883</v>
      </c>
      <c r="D133" t="inlineStr">
        <is>
          <t>VÄSTMANLANDS LÄN</t>
        </is>
      </c>
      <c r="E133" t="inlineStr">
        <is>
          <t>SALA</t>
        </is>
      </c>
      <c r="G133" t="n">
        <v>2.7</v>
      </c>
      <c r="H133" t="n">
        <v>0</v>
      </c>
      <c r="I133" t="n">
        <v>0</v>
      </c>
      <c r="J133" t="n">
        <v>0</v>
      </c>
      <c r="K133" t="n">
        <v>0</v>
      </c>
      <c r="L133" t="n">
        <v>0</v>
      </c>
      <c r="M133" t="n">
        <v>0</v>
      </c>
      <c r="N133" t="n">
        <v>0</v>
      </c>
      <c r="O133" t="n">
        <v>0</v>
      </c>
      <c r="P133" t="n">
        <v>0</v>
      </c>
      <c r="Q133" t="n">
        <v>0</v>
      </c>
      <c r="R133" s="2" t="inlineStr"/>
    </row>
    <row r="134" ht="15" customHeight="1">
      <c r="A134" t="inlineStr">
        <is>
          <t>A 29235-2022</t>
        </is>
      </c>
      <c r="B134" s="1" t="n">
        <v>44750</v>
      </c>
      <c r="C134" s="1" t="n">
        <v>45883</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24882-2022</t>
        </is>
      </c>
      <c r="B135" s="1" t="n">
        <v>44728.56488425926</v>
      </c>
      <c r="C135" s="1" t="n">
        <v>45883</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37881-2021</t>
        </is>
      </c>
      <c r="B136" s="1" t="n">
        <v>44403</v>
      </c>
      <c r="C136" s="1" t="n">
        <v>45883</v>
      </c>
      <c r="D136" t="inlineStr">
        <is>
          <t>VÄSTMANLANDS LÄN</t>
        </is>
      </c>
      <c r="E136" t="inlineStr">
        <is>
          <t>SALA</t>
        </is>
      </c>
      <c r="G136" t="n">
        <v>4.6</v>
      </c>
      <c r="H136" t="n">
        <v>0</v>
      </c>
      <c r="I136" t="n">
        <v>0</v>
      </c>
      <c r="J136" t="n">
        <v>0</v>
      </c>
      <c r="K136" t="n">
        <v>0</v>
      </c>
      <c r="L136" t="n">
        <v>0</v>
      </c>
      <c r="M136" t="n">
        <v>0</v>
      </c>
      <c r="N136" t="n">
        <v>0</v>
      </c>
      <c r="O136" t="n">
        <v>0</v>
      </c>
      <c r="P136" t="n">
        <v>0</v>
      </c>
      <c r="Q136" t="n">
        <v>0</v>
      </c>
      <c r="R136" s="2" t="inlineStr"/>
    </row>
    <row r="137" ht="15" customHeight="1">
      <c r="A137" t="inlineStr">
        <is>
          <t>A 72805-2021</t>
        </is>
      </c>
      <c r="B137" s="1" t="n">
        <v>44546</v>
      </c>
      <c r="C137" s="1" t="n">
        <v>45883</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72808-2021</t>
        </is>
      </c>
      <c r="B138" s="1" t="n">
        <v>44546</v>
      </c>
      <c r="C138" s="1" t="n">
        <v>45883</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23847-2022</t>
        </is>
      </c>
      <c r="B139" s="1" t="n">
        <v>44722</v>
      </c>
      <c r="C139" s="1" t="n">
        <v>45883</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40113-2022</t>
        </is>
      </c>
      <c r="B140" s="1" t="n">
        <v>44819</v>
      </c>
      <c r="C140" s="1" t="n">
        <v>45883</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30915-2021</t>
        </is>
      </c>
      <c r="B141" s="1" t="n">
        <v>44365</v>
      </c>
      <c r="C141" s="1" t="n">
        <v>45883</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30918-2021</t>
        </is>
      </c>
      <c r="B142" s="1" t="n">
        <v>44365.60569444444</v>
      </c>
      <c r="C142" s="1" t="n">
        <v>45883</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22562-2022</t>
        </is>
      </c>
      <c r="B143" s="1" t="n">
        <v>44713</v>
      </c>
      <c r="C143" s="1" t="n">
        <v>45883</v>
      </c>
      <c r="D143" t="inlineStr">
        <is>
          <t>VÄSTMANLANDS LÄN</t>
        </is>
      </c>
      <c r="E143" t="inlineStr">
        <is>
          <t>SALA</t>
        </is>
      </c>
      <c r="G143" t="n">
        <v>0.8</v>
      </c>
      <c r="H143" t="n">
        <v>0</v>
      </c>
      <c r="I143" t="n">
        <v>0</v>
      </c>
      <c r="J143" t="n">
        <v>0</v>
      </c>
      <c r="K143" t="n">
        <v>0</v>
      </c>
      <c r="L143" t="n">
        <v>0</v>
      </c>
      <c r="M143" t="n">
        <v>0</v>
      </c>
      <c r="N143" t="n">
        <v>0</v>
      </c>
      <c r="O143" t="n">
        <v>0</v>
      </c>
      <c r="P143" t="n">
        <v>0</v>
      </c>
      <c r="Q143" t="n">
        <v>0</v>
      </c>
      <c r="R143" s="2" t="inlineStr"/>
    </row>
    <row r="144" ht="15" customHeight="1">
      <c r="A144" t="inlineStr">
        <is>
          <t>A 30904-2021</t>
        </is>
      </c>
      <c r="B144" s="1" t="n">
        <v>44365.5983449074</v>
      </c>
      <c r="C144" s="1" t="n">
        <v>45883</v>
      </c>
      <c r="D144" t="inlineStr">
        <is>
          <t>VÄSTMANLANDS LÄN</t>
        </is>
      </c>
      <c r="E144" t="inlineStr">
        <is>
          <t>SALA</t>
        </is>
      </c>
      <c r="G144" t="n">
        <v>1.9</v>
      </c>
      <c r="H144" t="n">
        <v>0</v>
      </c>
      <c r="I144" t="n">
        <v>0</v>
      </c>
      <c r="J144" t="n">
        <v>0</v>
      </c>
      <c r="K144" t="n">
        <v>0</v>
      </c>
      <c r="L144" t="n">
        <v>0</v>
      </c>
      <c r="M144" t="n">
        <v>0</v>
      </c>
      <c r="N144" t="n">
        <v>0</v>
      </c>
      <c r="O144" t="n">
        <v>0</v>
      </c>
      <c r="P144" t="n">
        <v>0</v>
      </c>
      <c r="Q144" t="n">
        <v>0</v>
      </c>
      <c r="R144" s="2" t="inlineStr"/>
    </row>
    <row r="145" ht="15" customHeight="1">
      <c r="A145" t="inlineStr">
        <is>
          <t>A 44652-2020</t>
        </is>
      </c>
      <c r="B145" s="1" t="n">
        <v>44085</v>
      </c>
      <c r="C145" s="1" t="n">
        <v>45883</v>
      </c>
      <c r="D145" t="inlineStr">
        <is>
          <t>VÄSTMANLANDS LÄN</t>
        </is>
      </c>
      <c r="E145" t="inlineStr">
        <is>
          <t>SALA</t>
        </is>
      </c>
      <c r="G145" t="n">
        <v>1.8</v>
      </c>
      <c r="H145" t="n">
        <v>0</v>
      </c>
      <c r="I145" t="n">
        <v>0</v>
      </c>
      <c r="J145" t="n">
        <v>0</v>
      </c>
      <c r="K145" t="n">
        <v>0</v>
      </c>
      <c r="L145" t="n">
        <v>0</v>
      </c>
      <c r="M145" t="n">
        <v>0</v>
      </c>
      <c r="N145" t="n">
        <v>0</v>
      </c>
      <c r="O145" t="n">
        <v>0</v>
      </c>
      <c r="P145" t="n">
        <v>0</v>
      </c>
      <c r="Q145" t="n">
        <v>0</v>
      </c>
      <c r="R145" s="2" t="inlineStr"/>
    </row>
    <row r="146" ht="15" customHeight="1">
      <c r="A146" t="inlineStr">
        <is>
          <t>A 29233-2022</t>
        </is>
      </c>
      <c r="B146" s="1" t="n">
        <v>44750</v>
      </c>
      <c r="C146" s="1" t="n">
        <v>45883</v>
      </c>
      <c r="D146" t="inlineStr">
        <is>
          <t>VÄSTMANLANDS LÄN</t>
        </is>
      </c>
      <c r="E146" t="inlineStr">
        <is>
          <t>SALA</t>
        </is>
      </c>
      <c r="G146" t="n">
        <v>2.4</v>
      </c>
      <c r="H146" t="n">
        <v>0</v>
      </c>
      <c r="I146" t="n">
        <v>0</v>
      </c>
      <c r="J146" t="n">
        <v>0</v>
      </c>
      <c r="K146" t="n">
        <v>0</v>
      </c>
      <c r="L146" t="n">
        <v>0</v>
      </c>
      <c r="M146" t="n">
        <v>0</v>
      </c>
      <c r="N146" t="n">
        <v>0</v>
      </c>
      <c r="O146" t="n">
        <v>0</v>
      </c>
      <c r="P146" t="n">
        <v>0</v>
      </c>
      <c r="Q146" t="n">
        <v>0</v>
      </c>
      <c r="R146" s="2" t="inlineStr"/>
    </row>
    <row r="147" ht="15" customHeight="1">
      <c r="A147" t="inlineStr">
        <is>
          <t>A 23757-2022</t>
        </is>
      </c>
      <c r="B147" s="1" t="n">
        <v>44722.37339120371</v>
      </c>
      <c r="C147" s="1" t="n">
        <v>45883</v>
      </c>
      <c r="D147" t="inlineStr">
        <is>
          <t>VÄSTMANLANDS LÄN</t>
        </is>
      </c>
      <c r="E147" t="inlineStr">
        <is>
          <t>SALA</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65353-2021</t>
        </is>
      </c>
      <c r="B148" s="1" t="n">
        <v>44515</v>
      </c>
      <c r="C148" s="1" t="n">
        <v>45883</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41876-2022</t>
        </is>
      </c>
      <c r="B149" s="1" t="n">
        <v>44829.97008101852</v>
      </c>
      <c r="C149" s="1" t="n">
        <v>45883</v>
      </c>
      <c r="D149" t="inlineStr">
        <is>
          <t>VÄSTMANLANDS LÄN</t>
        </is>
      </c>
      <c r="E149" t="inlineStr">
        <is>
          <t>SALA</t>
        </is>
      </c>
      <c r="G149" t="n">
        <v>3.6</v>
      </c>
      <c r="H149" t="n">
        <v>0</v>
      </c>
      <c r="I149" t="n">
        <v>0</v>
      </c>
      <c r="J149" t="n">
        <v>0</v>
      </c>
      <c r="K149" t="n">
        <v>0</v>
      </c>
      <c r="L149" t="n">
        <v>0</v>
      </c>
      <c r="M149" t="n">
        <v>0</v>
      </c>
      <c r="N149" t="n">
        <v>0</v>
      </c>
      <c r="O149" t="n">
        <v>0</v>
      </c>
      <c r="P149" t="n">
        <v>0</v>
      </c>
      <c r="Q149" t="n">
        <v>0</v>
      </c>
      <c r="R149" s="2" t="inlineStr"/>
    </row>
    <row r="150" ht="15" customHeight="1">
      <c r="A150" t="inlineStr">
        <is>
          <t>A 67958-2021</t>
        </is>
      </c>
      <c r="B150" s="1" t="n">
        <v>44525</v>
      </c>
      <c r="C150" s="1" t="n">
        <v>45883</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67965-2021</t>
        </is>
      </c>
      <c r="B151" s="1" t="n">
        <v>44525</v>
      </c>
      <c r="C151" s="1" t="n">
        <v>45883</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22575-2022</t>
        </is>
      </c>
      <c r="B152" s="1" t="n">
        <v>44713</v>
      </c>
      <c r="C152" s="1" t="n">
        <v>45883</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40094-2022</t>
        </is>
      </c>
      <c r="B153" s="1" t="n">
        <v>44819</v>
      </c>
      <c r="C153" s="1" t="n">
        <v>45883</v>
      </c>
      <c r="D153" t="inlineStr">
        <is>
          <t>VÄSTMANLANDS LÄN</t>
        </is>
      </c>
      <c r="E153" t="inlineStr">
        <is>
          <t>SALA</t>
        </is>
      </c>
      <c r="G153" t="n">
        <v>1.7</v>
      </c>
      <c r="H153" t="n">
        <v>0</v>
      </c>
      <c r="I153" t="n">
        <v>0</v>
      </c>
      <c r="J153" t="n">
        <v>0</v>
      </c>
      <c r="K153" t="n">
        <v>0</v>
      </c>
      <c r="L153" t="n">
        <v>0</v>
      </c>
      <c r="M153" t="n">
        <v>0</v>
      </c>
      <c r="N153" t="n">
        <v>0</v>
      </c>
      <c r="O153" t="n">
        <v>0</v>
      </c>
      <c r="P153" t="n">
        <v>0</v>
      </c>
      <c r="Q153" t="n">
        <v>0</v>
      </c>
      <c r="R153" s="2" t="inlineStr"/>
    </row>
    <row r="154" ht="15" customHeight="1">
      <c r="A154" t="inlineStr">
        <is>
          <t>A 45015-2022</t>
        </is>
      </c>
      <c r="B154" s="1" t="n">
        <v>44841.63766203704</v>
      </c>
      <c r="C154" s="1" t="n">
        <v>45883</v>
      </c>
      <c r="D154" t="inlineStr">
        <is>
          <t>VÄSTMANLANDS LÄN</t>
        </is>
      </c>
      <c r="E154" t="inlineStr">
        <is>
          <t>SALA</t>
        </is>
      </c>
      <c r="G154" t="n">
        <v>0.7</v>
      </c>
      <c r="H154" t="n">
        <v>0</v>
      </c>
      <c r="I154" t="n">
        <v>0</v>
      </c>
      <c r="J154" t="n">
        <v>0</v>
      </c>
      <c r="K154" t="n">
        <v>0</v>
      </c>
      <c r="L154" t="n">
        <v>0</v>
      </c>
      <c r="M154" t="n">
        <v>0</v>
      </c>
      <c r="N154" t="n">
        <v>0</v>
      </c>
      <c r="O154" t="n">
        <v>0</v>
      </c>
      <c r="P154" t="n">
        <v>0</v>
      </c>
      <c r="Q154" t="n">
        <v>0</v>
      </c>
      <c r="R154" s="2" t="inlineStr"/>
    </row>
    <row r="155" ht="15" customHeight="1">
      <c r="A155" t="inlineStr">
        <is>
          <t>A 14047-2021</t>
        </is>
      </c>
      <c r="B155" s="1" t="n">
        <v>44277</v>
      </c>
      <c r="C155" s="1" t="n">
        <v>45883</v>
      </c>
      <c r="D155" t="inlineStr">
        <is>
          <t>VÄSTMANLANDS LÄN</t>
        </is>
      </c>
      <c r="E155" t="inlineStr">
        <is>
          <t>SALA</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53630-2022</t>
        </is>
      </c>
      <c r="B156" s="1" t="n">
        <v>44879.87533564815</v>
      </c>
      <c r="C156" s="1" t="n">
        <v>45883</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10168-2022</t>
        </is>
      </c>
      <c r="B157" s="1" t="n">
        <v>44622.37693287037</v>
      </c>
      <c r="C157" s="1" t="n">
        <v>45883</v>
      </c>
      <c r="D157" t="inlineStr">
        <is>
          <t>VÄSTMANLANDS LÄN</t>
        </is>
      </c>
      <c r="E157" t="inlineStr">
        <is>
          <t>SALA</t>
        </is>
      </c>
      <c r="G157" t="n">
        <v>2.1</v>
      </c>
      <c r="H157" t="n">
        <v>0</v>
      </c>
      <c r="I157" t="n">
        <v>0</v>
      </c>
      <c r="J157" t="n">
        <v>0</v>
      </c>
      <c r="K157" t="n">
        <v>0</v>
      </c>
      <c r="L157" t="n">
        <v>0</v>
      </c>
      <c r="M157" t="n">
        <v>0</v>
      </c>
      <c r="N157" t="n">
        <v>0</v>
      </c>
      <c r="O157" t="n">
        <v>0</v>
      </c>
      <c r="P157" t="n">
        <v>0</v>
      </c>
      <c r="Q157" t="n">
        <v>0</v>
      </c>
      <c r="R157" s="2" t="inlineStr"/>
    </row>
    <row r="158" ht="15" customHeight="1">
      <c r="A158" t="inlineStr">
        <is>
          <t>A 70218-2021</t>
        </is>
      </c>
      <c r="B158" s="1" t="n">
        <v>44535.6571412037</v>
      </c>
      <c r="C158" s="1" t="n">
        <v>45883</v>
      </c>
      <c r="D158" t="inlineStr">
        <is>
          <t>VÄSTMANLANDS LÄN</t>
        </is>
      </c>
      <c r="E158" t="inlineStr">
        <is>
          <t>SALA</t>
        </is>
      </c>
      <c r="G158" t="n">
        <v>0.4</v>
      </c>
      <c r="H158" t="n">
        <v>0</v>
      </c>
      <c r="I158" t="n">
        <v>0</v>
      </c>
      <c r="J158" t="n">
        <v>0</v>
      </c>
      <c r="K158" t="n">
        <v>0</v>
      </c>
      <c r="L158" t="n">
        <v>0</v>
      </c>
      <c r="M158" t="n">
        <v>0</v>
      </c>
      <c r="N158" t="n">
        <v>0</v>
      </c>
      <c r="O158" t="n">
        <v>0</v>
      </c>
      <c r="P158" t="n">
        <v>0</v>
      </c>
      <c r="Q158" t="n">
        <v>0</v>
      </c>
      <c r="R158" s="2" t="inlineStr"/>
    </row>
    <row r="159" ht="15" customHeight="1">
      <c r="A159" t="inlineStr">
        <is>
          <t>A 72405-2021</t>
        </is>
      </c>
      <c r="B159" s="1" t="n">
        <v>44545</v>
      </c>
      <c r="C159" s="1" t="n">
        <v>45883</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63290-2021</t>
        </is>
      </c>
      <c r="B160" s="1" t="n">
        <v>44505</v>
      </c>
      <c r="C160" s="1" t="n">
        <v>45883</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47208-2020</t>
        </is>
      </c>
      <c r="B161" s="1" t="n">
        <v>44097.41038194444</v>
      </c>
      <c r="C161" s="1" t="n">
        <v>45883</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3204-2022</t>
        </is>
      </c>
      <c r="B162" s="1" t="n">
        <v>44582</v>
      </c>
      <c r="C162" s="1" t="n">
        <v>45883</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51596-2022</t>
        </is>
      </c>
      <c r="B163" s="1" t="n">
        <v>44871</v>
      </c>
      <c r="C163" s="1" t="n">
        <v>45883</v>
      </c>
      <c r="D163" t="inlineStr">
        <is>
          <t>VÄSTMANLANDS LÄN</t>
        </is>
      </c>
      <c r="E163" t="inlineStr">
        <is>
          <t>SALA</t>
        </is>
      </c>
      <c r="F163" t="inlineStr">
        <is>
          <t>Bergvik skog öst AB</t>
        </is>
      </c>
      <c r="G163" t="n">
        <v>1.2</v>
      </c>
      <c r="H163" t="n">
        <v>0</v>
      </c>
      <c r="I163" t="n">
        <v>0</v>
      </c>
      <c r="J163" t="n">
        <v>0</v>
      </c>
      <c r="K163" t="n">
        <v>0</v>
      </c>
      <c r="L163" t="n">
        <v>0</v>
      </c>
      <c r="M163" t="n">
        <v>0</v>
      </c>
      <c r="N163" t="n">
        <v>0</v>
      </c>
      <c r="O163" t="n">
        <v>0</v>
      </c>
      <c r="P163" t="n">
        <v>0</v>
      </c>
      <c r="Q163" t="n">
        <v>0</v>
      </c>
      <c r="R163" s="2" t="inlineStr"/>
    </row>
    <row r="164" ht="15" customHeight="1">
      <c r="A164" t="inlineStr">
        <is>
          <t>A 66508-2021</t>
        </is>
      </c>
      <c r="B164" s="1" t="n">
        <v>44519.33401620371</v>
      </c>
      <c r="C164" s="1" t="n">
        <v>45883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31452-2021</t>
        </is>
      </c>
      <c r="B165" s="1" t="n">
        <v>44369</v>
      </c>
      <c r="C165" s="1" t="n">
        <v>45883</v>
      </c>
      <c r="D165" t="inlineStr">
        <is>
          <t>VÄSTMANLANDS LÄN</t>
        </is>
      </c>
      <c r="E165" t="inlineStr">
        <is>
          <t>SALA</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60951-2021</t>
        </is>
      </c>
      <c r="B166" s="1" t="n">
        <v>44497.51435185185</v>
      </c>
      <c r="C166" s="1" t="n">
        <v>45883</v>
      </c>
      <c r="D166" t="inlineStr">
        <is>
          <t>VÄSTMANLANDS LÄN</t>
        </is>
      </c>
      <c r="E166" t="inlineStr">
        <is>
          <t>SALA</t>
        </is>
      </c>
      <c r="G166" t="n">
        <v>1.4</v>
      </c>
      <c r="H166" t="n">
        <v>0</v>
      </c>
      <c r="I166" t="n">
        <v>0</v>
      </c>
      <c r="J166" t="n">
        <v>0</v>
      </c>
      <c r="K166" t="n">
        <v>0</v>
      </c>
      <c r="L166" t="n">
        <v>0</v>
      </c>
      <c r="M166" t="n">
        <v>0</v>
      </c>
      <c r="N166" t="n">
        <v>0</v>
      </c>
      <c r="O166" t="n">
        <v>0</v>
      </c>
      <c r="P166" t="n">
        <v>0</v>
      </c>
      <c r="Q166" t="n">
        <v>0</v>
      </c>
      <c r="R166" s="2" t="inlineStr"/>
    </row>
    <row r="167" ht="15" customHeight="1">
      <c r="A167" t="inlineStr">
        <is>
          <t>A 57000-2021</t>
        </is>
      </c>
      <c r="B167" s="1" t="n">
        <v>44482.46760416667</v>
      </c>
      <c r="C167" s="1" t="n">
        <v>45883</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45883</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26570-2021</t>
        </is>
      </c>
      <c r="B169" s="1" t="n">
        <v>44348</v>
      </c>
      <c r="C169" s="1" t="n">
        <v>45883</v>
      </c>
      <c r="D169" t="inlineStr">
        <is>
          <t>VÄSTMANLANDS LÄN</t>
        </is>
      </c>
      <c r="E169" t="inlineStr">
        <is>
          <t>SALA</t>
        </is>
      </c>
      <c r="G169" t="n">
        <v>2.5</v>
      </c>
      <c r="H169" t="n">
        <v>0</v>
      </c>
      <c r="I169" t="n">
        <v>0</v>
      </c>
      <c r="J169" t="n">
        <v>0</v>
      </c>
      <c r="K169" t="n">
        <v>0</v>
      </c>
      <c r="L169" t="n">
        <v>0</v>
      </c>
      <c r="M169" t="n">
        <v>0</v>
      </c>
      <c r="N169" t="n">
        <v>0</v>
      </c>
      <c r="O169" t="n">
        <v>0</v>
      </c>
      <c r="P169" t="n">
        <v>0</v>
      </c>
      <c r="Q169" t="n">
        <v>0</v>
      </c>
      <c r="R169" s="2" t="inlineStr"/>
    </row>
    <row r="170" ht="15" customHeight="1">
      <c r="A170" t="inlineStr">
        <is>
          <t>A 22811-2022</t>
        </is>
      </c>
      <c r="B170" s="1" t="n">
        <v>44715</v>
      </c>
      <c r="C170" s="1" t="n">
        <v>45883</v>
      </c>
      <c r="D170" t="inlineStr">
        <is>
          <t>VÄSTMANLANDS LÄN</t>
        </is>
      </c>
      <c r="E170" t="inlineStr">
        <is>
          <t>SALA</t>
        </is>
      </c>
      <c r="G170" t="n">
        <v>5</v>
      </c>
      <c r="H170" t="n">
        <v>0</v>
      </c>
      <c r="I170" t="n">
        <v>0</v>
      </c>
      <c r="J170" t="n">
        <v>0</v>
      </c>
      <c r="K170" t="n">
        <v>0</v>
      </c>
      <c r="L170" t="n">
        <v>0</v>
      </c>
      <c r="M170" t="n">
        <v>0</v>
      </c>
      <c r="N170" t="n">
        <v>0</v>
      </c>
      <c r="O170" t="n">
        <v>0</v>
      </c>
      <c r="P170" t="n">
        <v>0</v>
      </c>
      <c r="Q170" t="n">
        <v>0</v>
      </c>
      <c r="R170" s="2" t="inlineStr"/>
    </row>
    <row r="171" ht="15" customHeight="1">
      <c r="A171" t="inlineStr">
        <is>
          <t>A 65213-2021</t>
        </is>
      </c>
      <c r="B171" s="1" t="n">
        <v>44515</v>
      </c>
      <c r="C171" s="1" t="n">
        <v>45883</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23181-2022</t>
        </is>
      </c>
      <c r="B172" s="1" t="n">
        <v>44719.79537037037</v>
      </c>
      <c r="C172" s="1" t="n">
        <v>45883</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65860-2021</t>
        </is>
      </c>
      <c r="B173" s="1" t="n">
        <v>44517.38163194444</v>
      </c>
      <c r="C173" s="1" t="n">
        <v>45883</v>
      </c>
      <c r="D173" t="inlineStr">
        <is>
          <t>VÄSTMANLANDS LÄN</t>
        </is>
      </c>
      <c r="E173" t="inlineStr">
        <is>
          <t>SALA</t>
        </is>
      </c>
      <c r="G173" t="n">
        <v>0.9</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45883</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9075-2022</t>
        </is>
      </c>
      <c r="B175" s="1" t="n">
        <v>44615.47800925926</v>
      </c>
      <c r="C175" s="1" t="n">
        <v>45883</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45883</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29002-2022</t>
        </is>
      </c>
      <c r="B177" s="1" t="n">
        <v>44749</v>
      </c>
      <c r="C177" s="1" t="n">
        <v>45883</v>
      </c>
      <c r="D177" t="inlineStr">
        <is>
          <t>VÄSTMANLANDS LÄN</t>
        </is>
      </c>
      <c r="E177" t="inlineStr">
        <is>
          <t>SALA</t>
        </is>
      </c>
      <c r="G177" t="n">
        <v>5.4</v>
      </c>
      <c r="H177" t="n">
        <v>0</v>
      </c>
      <c r="I177" t="n">
        <v>0</v>
      </c>
      <c r="J177" t="n">
        <v>0</v>
      </c>
      <c r="K177" t="n">
        <v>0</v>
      </c>
      <c r="L177" t="n">
        <v>0</v>
      </c>
      <c r="M177" t="n">
        <v>0</v>
      </c>
      <c r="N177" t="n">
        <v>0</v>
      </c>
      <c r="O177" t="n">
        <v>0</v>
      </c>
      <c r="P177" t="n">
        <v>0</v>
      </c>
      <c r="Q177" t="n">
        <v>0</v>
      </c>
      <c r="R177" s="2" t="inlineStr"/>
    </row>
    <row r="178" ht="15" customHeight="1">
      <c r="A178" t="inlineStr">
        <is>
          <t>A 61717-2024</t>
        </is>
      </c>
      <c r="B178" s="1" t="n">
        <v>45648</v>
      </c>
      <c r="C178" s="1" t="n">
        <v>45883</v>
      </c>
      <c r="D178" t="inlineStr">
        <is>
          <t>VÄSTMANLANDS LÄN</t>
        </is>
      </c>
      <c r="E178" t="inlineStr">
        <is>
          <t>SALA</t>
        </is>
      </c>
      <c r="G178" t="n">
        <v>3.7</v>
      </c>
      <c r="H178" t="n">
        <v>0</v>
      </c>
      <c r="I178" t="n">
        <v>0</v>
      </c>
      <c r="J178" t="n">
        <v>0</v>
      </c>
      <c r="K178" t="n">
        <v>0</v>
      </c>
      <c r="L178" t="n">
        <v>0</v>
      </c>
      <c r="M178" t="n">
        <v>0</v>
      </c>
      <c r="N178" t="n">
        <v>0</v>
      </c>
      <c r="O178" t="n">
        <v>0</v>
      </c>
      <c r="P178" t="n">
        <v>0</v>
      </c>
      <c r="Q178" t="n">
        <v>0</v>
      </c>
      <c r="R178" s="2" t="inlineStr"/>
    </row>
    <row r="179" ht="15" customHeight="1">
      <c r="A179" t="inlineStr">
        <is>
          <t>A 8130-2022</t>
        </is>
      </c>
      <c r="B179" s="1" t="n">
        <v>44609.5984837963</v>
      </c>
      <c r="C179" s="1" t="n">
        <v>45883</v>
      </c>
      <c r="D179" t="inlineStr">
        <is>
          <t>VÄSTMANLANDS LÄN</t>
        </is>
      </c>
      <c r="E179" t="inlineStr">
        <is>
          <t>SALA</t>
        </is>
      </c>
      <c r="G179" t="n">
        <v>3.5</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45883</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27261-2024</t>
        </is>
      </c>
      <c r="B181" s="1" t="n">
        <v>45471</v>
      </c>
      <c r="C181" s="1" t="n">
        <v>45883</v>
      </c>
      <c r="D181" t="inlineStr">
        <is>
          <t>VÄSTMANLANDS LÄN</t>
        </is>
      </c>
      <c r="E181" t="inlineStr">
        <is>
          <t>SALA</t>
        </is>
      </c>
      <c r="G181" t="n">
        <v>6.1</v>
      </c>
      <c r="H181" t="n">
        <v>0</v>
      </c>
      <c r="I181" t="n">
        <v>0</v>
      </c>
      <c r="J181" t="n">
        <v>0</v>
      </c>
      <c r="K181" t="n">
        <v>0</v>
      </c>
      <c r="L181" t="n">
        <v>0</v>
      </c>
      <c r="M181" t="n">
        <v>0</v>
      </c>
      <c r="N181" t="n">
        <v>0</v>
      </c>
      <c r="O181" t="n">
        <v>0</v>
      </c>
      <c r="P181" t="n">
        <v>0</v>
      </c>
      <c r="Q181" t="n">
        <v>0</v>
      </c>
      <c r="R181" s="2" t="inlineStr"/>
    </row>
    <row r="182" ht="15" customHeight="1">
      <c r="A182" t="inlineStr">
        <is>
          <t>A 18713-2025</t>
        </is>
      </c>
      <c r="B182" s="1" t="n">
        <v>45763</v>
      </c>
      <c r="C182" s="1" t="n">
        <v>45883</v>
      </c>
      <c r="D182" t="inlineStr">
        <is>
          <t>VÄSTMANLANDS LÄN</t>
        </is>
      </c>
      <c r="E182" t="inlineStr">
        <is>
          <t>SALA</t>
        </is>
      </c>
      <c r="F182" t="inlineStr">
        <is>
          <t>Bergvik skog öst AB</t>
        </is>
      </c>
      <c r="G182" t="n">
        <v>11.6</v>
      </c>
      <c r="H182" t="n">
        <v>0</v>
      </c>
      <c r="I182" t="n">
        <v>0</v>
      </c>
      <c r="J182" t="n">
        <v>0</v>
      </c>
      <c r="K182" t="n">
        <v>0</v>
      </c>
      <c r="L182" t="n">
        <v>0</v>
      </c>
      <c r="M182" t="n">
        <v>0</v>
      </c>
      <c r="N182" t="n">
        <v>0</v>
      </c>
      <c r="O182" t="n">
        <v>0</v>
      </c>
      <c r="P182" t="n">
        <v>0</v>
      </c>
      <c r="Q182" t="n">
        <v>0</v>
      </c>
      <c r="R182" s="2" t="inlineStr"/>
    </row>
    <row r="183" ht="15" customHeight="1">
      <c r="A183" t="inlineStr">
        <is>
          <t>A 66830-2021</t>
        </is>
      </c>
      <c r="B183" s="1" t="n">
        <v>44522.40886574074</v>
      </c>
      <c r="C183" s="1" t="n">
        <v>45883</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65818-2021</t>
        </is>
      </c>
      <c r="B184" s="1" t="n">
        <v>44517</v>
      </c>
      <c r="C184" s="1" t="n">
        <v>45883</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56548-2024</t>
        </is>
      </c>
      <c r="B185" s="1" t="n">
        <v>45625</v>
      </c>
      <c r="C185" s="1" t="n">
        <v>45883</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54959-2024</t>
        </is>
      </c>
      <c r="B186" s="1" t="n">
        <v>45619</v>
      </c>
      <c r="C186" s="1" t="n">
        <v>45883</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47086-2022</t>
        </is>
      </c>
      <c r="B187" s="1" t="n">
        <v>44852</v>
      </c>
      <c r="C187" s="1" t="n">
        <v>45883</v>
      </c>
      <c r="D187" t="inlineStr">
        <is>
          <t>VÄSTMANLANDS LÄN</t>
        </is>
      </c>
      <c r="E187" t="inlineStr">
        <is>
          <t>SALA</t>
        </is>
      </c>
      <c r="G187" t="n">
        <v>12.5</v>
      </c>
      <c r="H187" t="n">
        <v>0</v>
      </c>
      <c r="I187" t="n">
        <v>0</v>
      </c>
      <c r="J187" t="n">
        <v>0</v>
      </c>
      <c r="K187" t="n">
        <v>0</v>
      </c>
      <c r="L187" t="n">
        <v>0</v>
      </c>
      <c r="M187" t="n">
        <v>0</v>
      </c>
      <c r="N187" t="n">
        <v>0</v>
      </c>
      <c r="O187" t="n">
        <v>0</v>
      </c>
      <c r="P187" t="n">
        <v>0</v>
      </c>
      <c r="Q187" t="n">
        <v>0</v>
      </c>
      <c r="R187" s="2" t="inlineStr"/>
    </row>
    <row r="188" ht="15" customHeight="1">
      <c r="A188" t="inlineStr">
        <is>
          <t>A 58912-2020</t>
        </is>
      </c>
      <c r="B188" s="1" t="n">
        <v>44146</v>
      </c>
      <c r="C188" s="1" t="n">
        <v>45883</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28402-2022</t>
        </is>
      </c>
      <c r="B189" s="1" t="n">
        <v>44747</v>
      </c>
      <c r="C189" s="1" t="n">
        <v>45883</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55881-2020</t>
        </is>
      </c>
      <c r="B190" s="1" t="n">
        <v>44132</v>
      </c>
      <c r="C190" s="1" t="n">
        <v>45883</v>
      </c>
      <c r="D190" t="inlineStr">
        <is>
          <t>VÄSTMANLANDS LÄN</t>
        </is>
      </c>
      <c r="E190" t="inlineStr">
        <is>
          <t>SALA</t>
        </is>
      </c>
      <c r="G190" t="n">
        <v>3</v>
      </c>
      <c r="H190" t="n">
        <v>0</v>
      </c>
      <c r="I190" t="n">
        <v>0</v>
      </c>
      <c r="J190" t="n">
        <v>0</v>
      </c>
      <c r="K190" t="n">
        <v>0</v>
      </c>
      <c r="L190" t="n">
        <v>0</v>
      </c>
      <c r="M190" t="n">
        <v>0</v>
      </c>
      <c r="N190" t="n">
        <v>0</v>
      </c>
      <c r="O190" t="n">
        <v>0</v>
      </c>
      <c r="P190" t="n">
        <v>0</v>
      </c>
      <c r="Q190" t="n">
        <v>0</v>
      </c>
      <c r="R190" s="2" t="inlineStr"/>
    </row>
    <row r="191" ht="15" customHeight="1">
      <c r="A191" t="inlineStr">
        <is>
          <t>A 73606-2021</t>
        </is>
      </c>
      <c r="B191" s="1" t="n">
        <v>44552</v>
      </c>
      <c r="C191" s="1" t="n">
        <v>45883</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27486-2022</t>
        </is>
      </c>
      <c r="B192" s="1" t="n">
        <v>44742.60846064815</v>
      </c>
      <c r="C192" s="1" t="n">
        <v>45883</v>
      </c>
      <c r="D192" t="inlineStr">
        <is>
          <t>VÄSTMANLANDS LÄN</t>
        </is>
      </c>
      <c r="E192" t="inlineStr">
        <is>
          <t>SALA</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16651-2021</t>
        </is>
      </c>
      <c r="B193" s="1" t="n">
        <v>44294.50096064815</v>
      </c>
      <c r="C193" s="1" t="n">
        <v>45883</v>
      </c>
      <c r="D193" t="inlineStr">
        <is>
          <t>VÄSTMANLANDS LÄN</t>
        </is>
      </c>
      <c r="E193" t="inlineStr">
        <is>
          <t>SALA</t>
        </is>
      </c>
      <c r="G193" t="n">
        <v>7.7</v>
      </c>
      <c r="H193" t="n">
        <v>0</v>
      </c>
      <c r="I193" t="n">
        <v>0</v>
      </c>
      <c r="J193" t="n">
        <v>0</v>
      </c>
      <c r="K193" t="n">
        <v>0</v>
      </c>
      <c r="L193" t="n">
        <v>0</v>
      </c>
      <c r="M193" t="n">
        <v>0</v>
      </c>
      <c r="N193" t="n">
        <v>0</v>
      </c>
      <c r="O193" t="n">
        <v>0</v>
      </c>
      <c r="P193" t="n">
        <v>0</v>
      </c>
      <c r="Q193" t="n">
        <v>0</v>
      </c>
      <c r="R193" s="2" t="inlineStr"/>
    </row>
    <row r="194" ht="15" customHeight="1">
      <c r="A194" t="inlineStr">
        <is>
          <t>A 69192-2020</t>
        </is>
      </c>
      <c r="B194" s="1" t="n">
        <v>44191</v>
      </c>
      <c r="C194" s="1" t="n">
        <v>45883</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6134-2024</t>
        </is>
      </c>
      <c r="B195" s="1" t="n">
        <v>45337</v>
      </c>
      <c r="C195" s="1" t="n">
        <v>45883</v>
      </c>
      <c r="D195" t="inlineStr">
        <is>
          <t>VÄSTMANLANDS LÄN</t>
        </is>
      </c>
      <c r="E195" t="inlineStr">
        <is>
          <t>SALA</t>
        </is>
      </c>
      <c r="G195" t="n">
        <v>1.8</v>
      </c>
      <c r="H195" t="n">
        <v>0</v>
      </c>
      <c r="I195" t="n">
        <v>0</v>
      </c>
      <c r="J195" t="n">
        <v>0</v>
      </c>
      <c r="K195" t="n">
        <v>0</v>
      </c>
      <c r="L195" t="n">
        <v>0</v>
      </c>
      <c r="M195" t="n">
        <v>0</v>
      </c>
      <c r="N195" t="n">
        <v>0</v>
      </c>
      <c r="O195" t="n">
        <v>0</v>
      </c>
      <c r="P195" t="n">
        <v>0</v>
      </c>
      <c r="Q195" t="n">
        <v>0</v>
      </c>
      <c r="R195" s="2" t="inlineStr"/>
    </row>
    <row r="196" ht="15" customHeight="1">
      <c r="A196" t="inlineStr">
        <is>
          <t>A 15354-2021</t>
        </is>
      </c>
      <c r="B196" s="1" t="n">
        <v>44284</v>
      </c>
      <c r="C196" s="1" t="n">
        <v>45883</v>
      </c>
      <c r="D196" t="inlineStr">
        <is>
          <t>VÄSTMANLANDS LÄN</t>
        </is>
      </c>
      <c r="E196" t="inlineStr">
        <is>
          <t>SALA</t>
        </is>
      </c>
      <c r="F196" t="inlineStr">
        <is>
          <t>Kyrkan</t>
        </is>
      </c>
      <c r="G196" t="n">
        <v>8.5</v>
      </c>
      <c r="H196" t="n">
        <v>0</v>
      </c>
      <c r="I196" t="n">
        <v>0</v>
      </c>
      <c r="J196" t="n">
        <v>0</v>
      </c>
      <c r="K196" t="n">
        <v>0</v>
      </c>
      <c r="L196" t="n">
        <v>0</v>
      </c>
      <c r="M196" t="n">
        <v>0</v>
      </c>
      <c r="N196" t="n">
        <v>0</v>
      </c>
      <c r="O196" t="n">
        <v>0</v>
      </c>
      <c r="P196" t="n">
        <v>0</v>
      </c>
      <c r="Q196" t="n">
        <v>0</v>
      </c>
      <c r="R196" s="2" t="inlineStr"/>
    </row>
    <row r="197" ht="15" customHeight="1">
      <c r="A197" t="inlineStr">
        <is>
          <t>A 9050-2022</t>
        </is>
      </c>
      <c r="B197" s="1" t="n">
        <v>44615.45451388889</v>
      </c>
      <c r="C197" s="1" t="n">
        <v>45883</v>
      </c>
      <c r="D197" t="inlineStr">
        <is>
          <t>VÄSTMANLANDS LÄN</t>
        </is>
      </c>
      <c r="E197" t="inlineStr">
        <is>
          <t>SALA</t>
        </is>
      </c>
      <c r="G197" t="n">
        <v>3.1</v>
      </c>
      <c r="H197" t="n">
        <v>0</v>
      </c>
      <c r="I197" t="n">
        <v>0</v>
      </c>
      <c r="J197" t="n">
        <v>0</v>
      </c>
      <c r="K197" t="n">
        <v>0</v>
      </c>
      <c r="L197" t="n">
        <v>0</v>
      </c>
      <c r="M197" t="n">
        <v>0</v>
      </c>
      <c r="N197" t="n">
        <v>0</v>
      </c>
      <c r="O197" t="n">
        <v>0</v>
      </c>
      <c r="P197" t="n">
        <v>0</v>
      </c>
      <c r="Q197" t="n">
        <v>0</v>
      </c>
      <c r="R197" s="2" t="inlineStr"/>
    </row>
    <row r="198" ht="15" customHeight="1">
      <c r="A198" t="inlineStr">
        <is>
          <t>A 53735-2022</t>
        </is>
      </c>
      <c r="B198" s="1" t="n">
        <v>44880.42752314815</v>
      </c>
      <c r="C198" s="1" t="n">
        <v>45883</v>
      </c>
      <c r="D198" t="inlineStr">
        <is>
          <t>VÄSTMANLANDS LÄN</t>
        </is>
      </c>
      <c r="E198" t="inlineStr">
        <is>
          <t>SALA</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43349-2020</t>
        </is>
      </c>
      <c r="B199" s="1" t="n">
        <v>44081</v>
      </c>
      <c r="C199" s="1" t="n">
        <v>45883</v>
      </c>
      <c r="D199" t="inlineStr">
        <is>
          <t>VÄSTMANLANDS LÄN</t>
        </is>
      </c>
      <c r="E199" t="inlineStr">
        <is>
          <t>SALA</t>
        </is>
      </c>
      <c r="G199" t="n">
        <v>1.8</v>
      </c>
      <c r="H199" t="n">
        <v>0</v>
      </c>
      <c r="I199" t="n">
        <v>0</v>
      </c>
      <c r="J199" t="n">
        <v>0</v>
      </c>
      <c r="K199" t="n">
        <v>0</v>
      </c>
      <c r="L199" t="n">
        <v>0</v>
      </c>
      <c r="M199" t="n">
        <v>0</v>
      </c>
      <c r="N199" t="n">
        <v>0</v>
      </c>
      <c r="O199" t="n">
        <v>0</v>
      </c>
      <c r="P199" t="n">
        <v>0</v>
      </c>
      <c r="Q199" t="n">
        <v>0</v>
      </c>
      <c r="R199" s="2" t="inlineStr"/>
    </row>
    <row r="200" ht="15" customHeight="1">
      <c r="A200" t="inlineStr">
        <is>
          <t>A 49254-2022</t>
        </is>
      </c>
      <c r="B200" s="1" t="n">
        <v>44861</v>
      </c>
      <c r="C200" s="1" t="n">
        <v>45883</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988-2025</t>
        </is>
      </c>
      <c r="B201" s="1" t="n">
        <v>45666.44038194444</v>
      </c>
      <c r="C201" s="1" t="n">
        <v>45883</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6154-2025</t>
        </is>
      </c>
      <c r="B202" s="1" t="n">
        <v>45698.40719907408</v>
      </c>
      <c r="C202" s="1" t="n">
        <v>45883</v>
      </c>
      <c r="D202" t="inlineStr">
        <is>
          <t>VÄSTMANLANDS LÄN</t>
        </is>
      </c>
      <c r="E202" t="inlineStr">
        <is>
          <t>SALA</t>
        </is>
      </c>
      <c r="F202" t="inlineStr">
        <is>
          <t>Bergvik skog öst AB</t>
        </is>
      </c>
      <c r="G202" t="n">
        <v>3.9</v>
      </c>
      <c r="H202" t="n">
        <v>0</v>
      </c>
      <c r="I202" t="n">
        <v>0</v>
      </c>
      <c r="J202" t="n">
        <v>0</v>
      </c>
      <c r="K202" t="n">
        <v>0</v>
      </c>
      <c r="L202" t="n">
        <v>0</v>
      </c>
      <c r="M202" t="n">
        <v>0</v>
      </c>
      <c r="N202" t="n">
        <v>0</v>
      </c>
      <c r="O202" t="n">
        <v>0</v>
      </c>
      <c r="P202" t="n">
        <v>0</v>
      </c>
      <c r="Q202" t="n">
        <v>0</v>
      </c>
      <c r="R202" s="2" t="inlineStr"/>
    </row>
    <row r="203" ht="15" customHeight="1">
      <c r="A203" t="inlineStr">
        <is>
          <t>A 47054-2020</t>
        </is>
      </c>
      <c r="B203" s="1" t="n">
        <v>44096</v>
      </c>
      <c r="C203" s="1" t="n">
        <v>45883</v>
      </c>
      <c r="D203" t="inlineStr">
        <is>
          <t>VÄSTMANLANDS LÄN</t>
        </is>
      </c>
      <c r="E203" t="inlineStr">
        <is>
          <t>SALA</t>
        </is>
      </c>
      <c r="F203" t="inlineStr">
        <is>
          <t>Kommuner</t>
        </is>
      </c>
      <c r="G203" t="n">
        <v>1.1</v>
      </c>
      <c r="H203" t="n">
        <v>0</v>
      </c>
      <c r="I203" t="n">
        <v>0</v>
      </c>
      <c r="J203" t="n">
        <v>0</v>
      </c>
      <c r="K203" t="n">
        <v>0</v>
      </c>
      <c r="L203" t="n">
        <v>0</v>
      </c>
      <c r="M203" t="n">
        <v>0</v>
      </c>
      <c r="N203" t="n">
        <v>0</v>
      </c>
      <c r="O203" t="n">
        <v>0</v>
      </c>
      <c r="P203" t="n">
        <v>0</v>
      </c>
      <c r="Q203" t="n">
        <v>0</v>
      </c>
      <c r="R203" s="2" t="inlineStr"/>
    </row>
    <row r="204" ht="15" customHeight="1">
      <c r="A204" t="inlineStr">
        <is>
          <t>A 11370-2022</t>
        </is>
      </c>
      <c r="B204" s="1" t="n">
        <v>44630</v>
      </c>
      <c r="C204" s="1" t="n">
        <v>45883</v>
      </c>
      <c r="D204" t="inlineStr">
        <is>
          <t>VÄSTMANLANDS LÄN</t>
        </is>
      </c>
      <c r="E204" t="inlineStr">
        <is>
          <t>SALA</t>
        </is>
      </c>
      <c r="G204" t="n">
        <v>4.3</v>
      </c>
      <c r="H204" t="n">
        <v>0</v>
      </c>
      <c r="I204" t="n">
        <v>0</v>
      </c>
      <c r="J204" t="n">
        <v>0</v>
      </c>
      <c r="K204" t="n">
        <v>0</v>
      </c>
      <c r="L204" t="n">
        <v>0</v>
      </c>
      <c r="M204" t="n">
        <v>0</v>
      </c>
      <c r="N204" t="n">
        <v>0</v>
      </c>
      <c r="O204" t="n">
        <v>0</v>
      </c>
      <c r="P204" t="n">
        <v>0</v>
      </c>
      <c r="Q204" t="n">
        <v>0</v>
      </c>
      <c r="R204" s="2" t="inlineStr"/>
    </row>
    <row r="205" ht="15" customHeight="1">
      <c r="A205" t="inlineStr">
        <is>
          <t>A 39597-2022</t>
        </is>
      </c>
      <c r="B205" s="1" t="n">
        <v>44818</v>
      </c>
      <c r="C205" s="1" t="n">
        <v>45883</v>
      </c>
      <c r="D205" t="inlineStr">
        <is>
          <t>VÄSTMANLANDS LÄN</t>
        </is>
      </c>
      <c r="E205" t="inlineStr">
        <is>
          <t>SALA</t>
        </is>
      </c>
      <c r="G205" t="n">
        <v>2.3</v>
      </c>
      <c r="H205" t="n">
        <v>0</v>
      </c>
      <c r="I205" t="n">
        <v>0</v>
      </c>
      <c r="J205" t="n">
        <v>0</v>
      </c>
      <c r="K205" t="n">
        <v>0</v>
      </c>
      <c r="L205" t="n">
        <v>0</v>
      </c>
      <c r="M205" t="n">
        <v>0</v>
      </c>
      <c r="N205" t="n">
        <v>0</v>
      </c>
      <c r="O205" t="n">
        <v>0</v>
      </c>
      <c r="P205" t="n">
        <v>0</v>
      </c>
      <c r="Q205" t="n">
        <v>0</v>
      </c>
      <c r="R205" s="2" t="inlineStr"/>
    </row>
    <row r="206" ht="15" customHeight="1">
      <c r="A206" t="inlineStr">
        <is>
          <t>A 65856-2021</t>
        </is>
      </c>
      <c r="B206" s="1" t="n">
        <v>44517</v>
      </c>
      <c r="C206" s="1" t="n">
        <v>45883</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5032-2025</t>
        </is>
      </c>
      <c r="B207" s="1" t="n">
        <v>45691</v>
      </c>
      <c r="C207" s="1" t="n">
        <v>45883</v>
      </c>
      <c r="D207" t="inlineStr">
        <is>
          <t>VÄSTMANLANDS LÄN</t>
        </is>
      </c>
      <c r="E207" t="inlineStr">
        <is>
          <t>SALA</t>
        </is>
      </c>
      <c r="G207" t="n">
        <v>0.9</v>
      </c>
      <c r="H207" t="n">
        <v>0</v>
      </c>
      <c r="I207" t="n">
        <v>0</v>
      </c>
      <c r="J207" t="n">
        <v>0</v>
      </c>
      <c r="K207" t="n">
        <v>0</v>
      </c>
      <c r="L207" t="n">
        <v>0</v>
      </c>
      <c r="M207" t="n">
        <v>0</v>
      </c>
      <c r="N207" t="n">
        <v>0</v>
      </c>
      <c r="O207" t="n">
        <v>0</v>
      </c>
      <c r="P207" t="n">
        <v>0</v>
      </c>
      <c r="Q207" t="n">
        <v>0</v>
      </c>
      <c r="R207" s="2" t="inlineStr"/>
    </row>
    <row r="208" ht="15" customHeight="1">
      <c r="A208" t="inlineStr">
        <is>
          <t>A 25860-2024</t>
        </is>
      </c>
      <c r="B208" s="1" t="n">
        <v>45467.46278935186</v>
      </c>
      <c r="C208" s="1" t="n">
        <v>45883</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44224-2022</t>
        </is>
      </c>
      <c r="B209" s="1" t="n">
        <v>44839.506875</v>
      </c>
      <c r="C209" s="1" t="n">
        <v>45883</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58781-2020</t>
        </is>
      </c>
      <c r="B210" s="1" t="n">
        <v>44146</v>
      </c>
      <c r="C210" s="1" t="n">
        <v>45883</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25603-2022</t>
        </is>
      </c>
      <c r="B211" s="1" t="n">
        <v>44732</v>
      </c>
      <c r="C211" s="1" t="n">
        <v>45883</v>
      </c>
      <c r="D211" t="inlineStr">
        <is>
          <t>VÄSTMANLANDS LÄN</t>
        </is>
      </c>
      <c r="E211" t="inlineStr">
        <is>
          <t>SALA</t>
        </is>
      </c>
      <c r="G211" t="n">
        <v>2</v>
      </c>
      <c r="H211" t="n">
        <v>0</v>
      </c>
      <c r="I211" t="n">
        <v>0</v>
      </c>
      <c r="J211" t="n">
        <v>0</v>
      </c>
      <c r="K211" t="n">
        <v>0</v>
      </c>
      <c r="L211" t="n">
        <v>0</v>
      </c>
      <c r="M211" t="n">
        <v>0</v>
      </c>
      <c r="N211" t="n">
        <v>0</v>
      </c>
      <c r="O211" t="n">
        <v>0</v>
      </c>
      <c r="P211" t="n">
        <v>0</v>
      </c>
      <c r="Q211" t="n">
        <v>0</v>
      </c>
      <c r="R211" s="2" t="inlineStr"/>
    </row>
    <row r="212" ht="15" customHeight="1">
      <c r="A212" t="inlineStr">
        <is>
          <t>A 67962-2021</t>
        </is>
      </c>
      <c r="B212" s="1" t="n">
        <v>44525</v>
      </c>
      <c r="C212" s="1" t="n">
        <v>45883</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22026-2021</t>
        </is>
      </c>
      <c r="B213" s="1" t="n">
        <v>44323</v>
      </c>
      <c r="C213" s="1" t="n">
        <v>45883</v>
      </c>
      <c r="D213" t="inlineStr">
        <is>
          <t>VÄSTMANLANDS LÄN</t>
        </is>
      </c>
      <c r="E213" t="inlineStr">
        <is>
          <t>SALA</t>
        </is>
      </c>
      <c r="G213" t="n">
        <v>2.9</v>
      </c>
      <c r="H213" t="n">
        <v>0</v>
      </c>
      <c r="I213" t="n">
        <v>0</v>
      </c>
      <c r="J213" t="n">
        <v>0</v>
      </c>
      <c r="K213" t="n">
        <v>0</v>
      </c>
      <c r="L213" t="n">
        <v>0</v>
      </c>
      <c r="M213" t="n">
        <v>0</v>
      </c>
      <c r="N213" t="n">
        <v>0</v>
      </c>
      <c r="O213" t="n">
        <v>0</v>
      </c>
      <c r="P213" t="n">
        <v>0</v>
      </c>
      <c r="Q213" t="n">
        <v>0</v>
      </c>
      <c r="R213" s="2" t="inlineStr"/>
    </row>
    <row r="214" ht="15" customHeight="1">
      <c r="A214" t="inlineStr">
        <is>
          <t>A 66908-2021</t>
        </is>
      </c>
      <c r="B214" s="1" t="n">
        <v>44522</v>
      </c>
      <c r="C214" s="1" t="n">
        <v>45883</v>
      </c>
      <c r="D214" t="inlineStr">
        <is>
          <t>VÄSTMANLANDS LÄN</t>
        </is>
      </c>
      <c r="E214" t="inlineStr">
        <is>
          <t>SALA</t>
        </is>
      </c>
      <c r="G214" t="n">
        <v>2.6</v>
      </c>
      <c r="H214" t="n">
        <v>0</v>
      </c>
      <c r="I214" t="n">
        <v>0</v>
      </c>
      <c r="J214" t="n">
        <v>0</v>
      </c>
      <c r="K214" t="n">
        <v>0</v>
      </c>
      <c r="L214" t="n">
        <v>0</v>
      </c>
      <c r="M214" t="n">
        <v>0</v>
      </c>
      <c r="N214" t="n">
        <v>0</v>
      </c>
      <c r="O214" t="n">
        <v>0</v>
      </c>
      <c r="P214" t="n">
        <v>0</v>
      </c>
      <c r="Q214" t="n">
        <v>0</v>
      </c>
      <c r="R214" s="2" t="inlineStr"/>
    </row>
    <row r="215" ht="15" customHeight="1">
      <c r="A215" t="inlineStr">
        <is>
          <t>A 11696-2025</t>
        </is>
      </c>
      <c r="B215" s="1" t="n">
        <v>45727</v>
      </c>
      <c r="C215" s="1" t="n">
        <v>45883</v>
      </c>
      <c r="D215" t="inlineStr">
        <is>
          <t>VÄSTMANLANDS LÄN</t>
        </is>
      </c>
      <c r="E215" t="inlineStr">
        <is>
          <t>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53628-2022</t>
        </is>
      </c>
      <c r="B216" s="1" t="n">
        <v>44879.87171296297</v>
      </c>
      <c r="C216" s="1" t="n">
        <v>45883</v>
      </c>
      <c r="D216" t="inlineStr">
        <is>
          <t>VÄSTMANLANDS LÄN</t>
        </is>
      </c>
      <c r="E216" t="inlineStr">
        <is>
          <t>SALA</t>
        </is>
      </c>
      <c r="G216" t="n">
        <v>2.7</v>
      </c>
      <c r="H216" t="n">
        <v>0</v>
      </c>
      <c r="I216" t="n">
        <v>0</v>
      </c>
      <c r="J216" t="n">
        <v>0</v>
      </c>
      <c r="K216" t="n">
        <v>0</v>
      </c>
      <c r="L216" t="n">
        <v>0</v>
      </c>
      <c r="M216" t="n">
        <v>0</v>
      </c>
      <c r="N216" t="n">
        <v>0</v>
      </c>
      <c r="O216" t="n">
        <v>0</v>
      </c>
      <c r="P216" t="n">
        <v>0</v>
      </c>
      <c r="Q216" t="n">
        <v>0</v>
      </c>
      <c r="R216" s="2" t="inlineStr"/>
    </row>
    <row r="217" ht="15" customHeight="1">
      <c r="A217" t="inlineStr">
        <is>
          <t>A 43509-2021</t>
        </is>
      </c>
      <c r="B217" s="1" t="n">
        <v>44433</v>
      </c>
      <c r="C217" s="1" t="n">
        <v>45883</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42344-2020</t>
        </is>
      </c>
      <c r="B218" s="1" t="n">
        <v>44076</v>
      </c>
      <c r="C218" s="1" t="n">
        <v>45883</v>
      </c>
      <c r="D218" t="inlineStr">
        <is>
          <t>VÄSTMANLANDS LÄN</t>
        </is>
      </c>
      <c r="E218" t="inlineStr">
        <is>
          <t>SALA</t>
        </is>
      </c>
      <c r="G218" t="n">
        <v>5.1</v>
      </c>
      <c r="H218" t="n">
        <v>0</v>
      </c>
      <c r="I218" t="n">
        <v>0</v>
      </c>
      <c r="J218" t="n">
        <v>0</v>
      </c>
      <c r="K218" t="n">
        <v>0</v>
      </c>
      <c r="L218" t="n">
        <v>0</v>
      </c>
      <c r="M218" t="n">
        <v>0</v>
      </c>
      <c r="N218" t="n">
        <v>0</v>
      </c>
      <c r="O218" t="n">
        <v>0</v>
      </c>
      <c r="P218" t="n">
        <v>0</v>
      </c>
      <c r="Q218" t="n">
        <v>0</v>
      </c>
      <c r="R218" s="2" t="inlineStr"/>
    </row>
    <row r="219" ht="15" customHeight="1">
      <c r="A219" t="inlineStr">
        <is>
          <t>A 42346-2020</t>
        </is>
      </c>
      <c r="B219" s="1" t="n">
        <v>44076</v>
      </c>
      <c r="C219" s="1" t="n">
        <v>45883</v>
      </c>
      <c r="D219" t="inlineStr">
        <is>
          <t>VÄSTMANLANDS LÄN</t>
        </is>
      </c>
      <c r="E219" t="inlineStr">
        <is>
          <t>SALA</t>
        </is>
      </c>
      <c r="G219" t="n">
        <v>1.7</v>
      </c>
      <c r="H219" t="n">
        <v>0</v>
      </c>
      <c r="I219" t="n">
        <v>0</v>
      </c>
      <c r="J219" t="n">
        <v>0</v>
      </c>
      <c r="K219" t="n">
        <v>0</v>
      </c>
      <c r="L219" t="n">
        <v>0</v>
      </c>
      <c r="M219" t="n">
        <v>0</v>
      </c>
      <c r="N219" t="n">
        <v>0</v>
      </c>
      <c r="O219" t="n">
        <v>0</v>
      </c>
      <c r="P219" t="n">
        <v>0</v>
      </c>
      <c r="Q219" t="n">
        <v>0</v>
      </c>
      <c r="R219" s="2" t="inlineStr"/>
    </row>
    <row r="220" ht="15" customHeight="1">
      <c r="A220" t="inlineStr">
        <is>
          <t>A 61415-2020</t>
        </is>
      </c>
      <c r="B220" s="1" t="n">
        <v>44156</v>
      </c>
      <c r="C220" s="1" t="n">
        <v>45883</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16160-2024</t>
        </is>
      </c>
      <c r="B221" s="1" t="n">
        <v>45406</v>
      </c>
      <c r="C221" s="1" t="n">
        <v>45883</v>
      </c>
      <c r="D221" t="inlineStr">
        <is>
          <t>VÄSTMANLANDS LÄN</t>
        </is>
      </c>
      <c r="E221" t="inlineStr">
        <is>
          <t>SALA</t>
        </is>
      </c>
      <c r="G221" t="n">
        <v>1.1</v>
      </c>
      <c r="H221" t="n">
        <v>0</v>
      </c>
      <c r="I221" t="n">
        <v>0</v>
      </c>
      <c r="J221" t="n">
        <v>0</v>
      </c>
      <c r="K221" t="n">
        <v>0</v>
      </c>
      <c r="L221" t="n">
        <v>0</v>
      </c>
      <c r="M221" t="n">
        <v>0</v>
      </c>
      <c r="N221" t="n">
        <v>0</v>
      </c>
      <c r="O221" t="n">
        <v>0</v>
      </c>
      <c r="P221" t="n">
        <v>0</v>
      </c>
      <c r="Q221" t="n">
        <v>0</v>
      </c>
      <c r="R221" s="2" t="inlineStr"/>
    </row>
    <row r="222" ht="15" customHeight="1">
      <c r="A222" t="inlineStr">
        <is>
          <t>A 40597-2022</t>
        </is>
      </c>
      <c r="B222" s="1" t="n">
        <v>44823.84862268518</v>
      </c>
      <c r="C222" s="1" t="n">
        <v>45883</v>
      </c>
      <c r="D222" t="inlineStr">
        <is>
          <t>VÄSTMANLANDS LÄN</t>
        </is>
      </c>
      <c r="E222" t="inlineStr">
        <is>
          <t>SALA</t>
        </is>
      </c>
      <c r="G222" t="n">
        <v>3.5</v>
      </c>
      <c r="H222" t="n">
        <v>0</v>
      </c>
      <c r="I222" t="n">
        <v>0</v>
      </c>
      <c r="J222" t="n">
        <v>0</v>
      </c>
      <c r="K222" t="n">
        <v>0</v>
      </c>
      <c r="L222" t="n">
        <v>0</v>
      </c>
      <c r="M222" t="n">
        <v>0</v>
      </c>
      <c r="N222" t="n">
        <v>0</v>
      </c>
      <c r="O222" t="n">
        <v>0</v>
      </c>
      <c r="P222" t="n">
        <v>0</v>
      </c>
      <c r="Q222" t="n">
        <v>0</v>
      </c>
      <c r="R222" s="2" t="inlineStr"/>
    </row>
    <row r="223" ht="15" customHeight="1">
      <c r="A223" t="inlineStr">
        <is>
          <t>A 13746-2025</t>
        </is>
      </c>
      <c r="B223" s="1" t="n">
        <v>45737.40944444444</v>
      </c>
      <c r="C223" s="1" t="n">
        <v>45883</v>
      </c>
      <c r="D223" t="inlineStr">
        <is>
          <t>VÄSTMANLANDS LÄN</t>
        </is>
      </c>
      <c r="E223" t="inlineStr">
        <is>
          <t>SALA</t>
        </is>
      </c>
      <c r="G223" t="n">
        <v>2.1</v>
      </c>
      <c r="H223" t="n">
        <v>0</v>
      </c>
      <c r="I223" t="n">
        <v>0</v>
      </c>
      <c r="J223" t="n">
        <v>0</v>
      </c>
      <c r="K223" t="n">
        <v>0</v>
      </c>
      <c r="L223" t="n">
        <v>0</v>
      </c>
      <c r="M223" t="n">
        <v>0</v>
      </c>
      <c r="N223" t="n">
        <v>0</v>
      </c>
      <c r="O223" t="n">
        <v>0</v>
      </c>
      <c r="P223" t="n">
        <v>0</v>
      </c>
      <c r="Q223" t="n">
        <v>0</v>
      </c>
      <c r="R223" s="2" t="inlineStr"/>
    </row>
    <row r="224" ht="15" customHeight="1">
      <c r="A224" t="inlineStr">
        <is>
          <t>A 7196-2025</t>
        </is>
      </c>
      <c r="B224" s="1" t="n">
        <v>45702</v>
      </c>
      <c r="C224" s="1" t="n">
        <v>45883</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6183-2025</t>
        </is>
      </c>
      <c r="B225" s="1" t="n">
        <v>45698</v>
      </c>
      <c r="C225" s="1" t="n">
        <v>45883</v>
      </c>
      <c r="D225" t="inlineStr">
        <is>
          <t>VÄSTMANLANDS LÄN</t>
        </is>
      </c>
      <c r="E225" t="inlineStr">
        <is>
          <t>SALA</t>
        </is>
      </c>
      <c r="F225" t="inlineStr">
        <is>
          <t>Bergvik skog öst AB</t>
        </is>
      </c>
      <c r="G225" t="n">
        <v>2.3</v>
      </c>
      <c r="H225" t="n">
        <v>0</v>
      </c>
      <c r="I225" t="n">
        <v>0</v>
      </c>
      <c r="J225" t="n">
        <v>0</v>
      </c>
      <c r="K225" t="n">
        <v>0</v>
      </c>
      <c r="L225" t="n">
        <v>0</v>
      </c>
      <c r="M225" t="n">
        <v>0</v>
      </c>
      <c r="N225" t="n">
        <v>0</v>
      </c>
      <c r="O225" t="n">
        <v>0</v>
      </c>
      <c r="P225" t="n">
        <v>0</v>
      </c>
      <c r="Q225" t="n">
        <v>0</v>
      </c>
      <c r="R225" s="2" t="inlineStr"/>
    </row>
    <row r="226" ht="15" customHeight="1">
      <c r="A226" t="inlineStr">
        <is>
          <t>A 25897-2024</t>
        </is>
      </c>
      <c r="B226" s="1" t="n">
        <v>45467.54435185185</v>
      </c>
      <c r="C226" s="1" t="n">
        <v>45883</v>
      </c>
      <c r="D226" t="inlineStr">
        <is>
          <t>VÄSTMANLANDS LÄN</t>
        </is>
      </c>
      <c r="E226" t="inlineStr">
        <is>
          <t>SALA</t>
        </is>
      </c>
      <c r="G226" t="n">
        <v>9.9</v>
      </c>
      <c r="H226" t="n">
        <v>0</v>
      </c>
      <c r="I226" t="n">
        <v>0</v>
      </c>
      <c r="J226" t="n">
        <v>0</v>
      </c>
      <c r="K226" t="n">
        <v>0</v>
      </c>
      <c r="L226" t="n">
        <v>0</v>
      </c>
      <c r="M226" t="n">
        <v>0</v>
      </c>
      <c r="N226" t="n">
        <v>0</v>
      </c>
      <c r="O226" t="n">
        <v>0</v>
      </c>
      <c r="P226" t="n">
        <v>0</v>
      </c>
      <c r="Q226" t="n">
        <v>0</v>
      </c>
      <c r="R226" s="2" t="inlineStr"/>
    </row>
    <row r="227" ht="15" customHeight="1">
      <c r="A227" t="inlineStr">
        <is>
          <t>A 12921-2025</t>
        </is>
      </c>
      <c r="B227" s="1" t="n">
        <v>45734.28016203704</v>
      </c>
      <c r="C227" s="1" t="n">
        <v>45883</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23222-2023</t>
        </is>
      </c>
      <c r="B228" s="1" t="n">
        <v>45075</v>
      </c>
      <c r="C228" s="1" t="n">
        <v>45883</v>
      </c>
      <c r="D228" t="inlineStr">
        <is>
          <t>VÄSTMANLANDS LÄN</t>
        </is>
      </c>
      <c r="E228" t="inlineStr">
        <is>
          <t>SALA</t>
        </is>
      </c>
      <c r="G228" t="n">
        <v>0.8</v>
      </c>
      <c r="H228" t="n">
        <v>0</v>
      </c>
      <c r="I228" t="n">
        <v>0</v>
      </c>
      <c r="J228" t="n">
        <v>0</v>
      </c>
      <c r="K228" t="n">
        <v>0</v>
      </c>
      <c r="L228" t="n">
        <v>0</v>
      </c>
      <c r="M228" t="n">
        <v>0</v>
      </c>
      <c r="N228" t="n">
        <v>0</v>
      </c>
      <c r="O228" t="n">
        <v>0</v>
      </c>
      <c r="P228" t="n">
        <v>0</v>
      </c>
      <c r="Q228" t="n">
        <v>0</v>
      </c>
      <c r="R228" s="2" t="inlineStr"/>
    </row>
    <row r="229" ht="15" customHeight="1">
      <c r="A229" t="inlineStr">
        <is>
          <t>A 23224-2023</t>
        </is>
      </c>
      <c r="B229" s="1" t="n">
        <v>45075.65040509259</v>
      </c>
      <c r="C229" s="1" t="n">
        <v>45883</v>
      </c>
      <c r="D229" t="inlineStr">
        <is>
          <t>VÄSTMANLANDS LÄN</t>
        </is>
      </c>
      <c r="E229" t="inlineStr">
        <is>
          <t>SALA</t>
        </is>
      </c>
      <c r="G229" t="n">
        <v>0.8</v>
      </c>
      <c r="H229" t="n">
        <v>0</v>
      </c>
      <c r="I229" t="n">
        <v>0</v>
      </c>
      <c r="J229" t="n">
        <v>0</v>
      </c>
      <c r="K229" t="n">
        <v>0</v>
      </c>
      <c r="L229" t="n">
        <v>0</v>
      </c>
      <c r="M229" t="n">
        <v>0</v>
      </c>
      <c r="N229" t="n">
        <v>0</v>
      </c>
      <c r="O229" t="n">
        <v>0</v>
      </c>
      <c r="P229" t="n">
        <v>0</v>
      </c>
      <c r="Q229" t="n">
        <v>0</v>
      </c>
      <c r="R229" s="2" t="inlineStr"/>
    </row>
    <row r="230" ht="15" customHeight="1">
      <c r="A230" t="inlineStr">
        <is>
          <t>A 50479-2022</t>
        </is>
      </c>
      <c r="B230" s="1" t="n">
        <v>44861</v>
      </c>
      <c r="C230" s="1" t="n">
        <v>45883</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10585-2022</t>
        </is>
      </c>
      <c r="B231" s="1" t="n">
        <v>44624</v>
      </c>
      <c r="C231" s="1" t="n">
        <v>45883</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69236-2021</t>
        </is>
      </c>
      <c r="B232" s="1" t="n">
        <v>44531.4047337963</v>
      </c>
      <c r="C232" s="1" t="n">
        <v>45883</v>
      </c>
      <c r="D232" t="inlineStr">
        <is>
          <t>VÄSTMANLANDS LÄN</t>
        </is>
      </c>
      <c r="E232" t="inlineStr">
        <is>
          <t>SALA</t>
        </is>
      </c>
      <c r="G232" t="n">
        <v>2.8</v>
      </c>
      <c r="H232" t="n">
        <v>0</v>
      </c>
      <c r="I232" t="n">
        <v>0</v>
      </c>
      <c r="J232" t="n">
        <v>0</v>
      </c>
      <c r="K232" t="n">
        <v>0</v>
      </c>
      <c r="L232" t="n">
        <v>0</v>
      </c>
      <c r="M232" t="n">
        <v>0</v>
      </c>
      <c r="N232" t="n">
        <v>0</v>
      </c>
      <c r="O232" t="n">
        <v>0</v>
      </c>
      <c r="P232" t="n">
        <v>0</v>
      </c>
      <c r="Q232" t="n">
        <v>0</v>
      </c>
      <c r="R232" s="2" t="inlineStr"/>
    </row>
    <row r="233" ht="15" customHeight="1">
      <c r="A233" t="inlineStr">
        <is>
          <t>A 40871-2021</t>
        </is>
      </c>
      <c r="B233" s="1" t="n">
        <v>44421</v>
      </c>
      <c r="C233" s="1" t="n">
        <v>45883</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19803-2024</t>
        </is>
      </c>
      <c r="B234" s="1" t="n">
        <v>45432</v>
      </c>
      <c r="C234" s="1" t="n">
        <v>45883</v>
      </c>
      <c r="D234" t="inlineStr">
        <is>
          <t>VÄSTMANLANDS LÄN</t>
        </is>
      </c>
      <c r="E234" t="inlineStr">
        <is>
          <t>SALA</t>
        </is>
      </c>
      <c r="G234" t="n">
        <v>3.1</v>
      </c>
      <c r="H234" t="n">
        <v>0</v>
      </c>
      <c r="I234" t="n">
        <v>0</v>
      </c>
      <c r="J234" t="n">
        <v>0</v>
      </c>
      <c r="K234" t="n">
        <v>0</v>
      </c>
      <c r="L234" t="n">
        <v>0</v>
      </c>
      <c r="M234" t="n">
        <v>0</v>
      </c>
      <c r="N234" t="n">
        <v>0</v>
      </c>
      <c r="O234" t="n">
        <v>0</v>
      </c>
      <c r="P234" t="n">
        <v>0</v>
      </c>
      <c r="Q234" t="n">
        <v>0</v>
      </c>
      <c r="R234" s="2" t="inlineStr"/>
    </row>
    <row r="235" ht="15" customHeight="1">
      <c r="A235" t="inlineStr">
        <is>
          <t>A 50818-2020</t>
        </is>
      </c>
      <c r="B235" s="1" t="n">
        <v>44111</v>
      </c>
      <c r="C235" s="1" t="n">
        <v>45883</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48117-2024</t>
        </is>
      </c>
      <c r="B236" s="1" t="n">
        <v>45589</v>
      </c>
      <c r="C236" s="1" t="n">
        <v>45883</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14919-2025</t>
        </is>
      </c>
      <c r="B237" s="1" t="n">
        <v>45743.54256944444</v>
      </c>
      <c r="C237" s="1" t="n">
        <v>45883</v>
      </c>
      <c r="D237" t="inlineStr">
        <is>
          <t>VÄSTMANLANDS LÄN</t>
        </is>
      </c>
      <c r="E237" t="inlineStr">
        <is>
          <t>SALA</t>
        </is>
      </c>
      <c r="G237" t="n">
        <v>0.6</v>
      </c>
      <c r="H237" t="n">
        <v>0</v>
      </c>
      <c r="I237" t="n">
        <v>0</v>
      </c>
      <c r="J237" t="n">
        <v>0</v>
      </c>
      <c r="K237" t="n">
        <v>0</v>
      </c>
      <c r="L237" t="n">
        <v>0</v>
      </c>
      <c r="M237" t="n">
        <v>0</v>
      </c>
      <c r="N237" t="n">
        <v>0</v>
      </c>
      <c r="O237" t="n">
        <v>0</v>
      </c>
      <c r="P237" t="n">
        <v>0</v>
      </c>
      <c r="Q237" t="n">
        <v>0</v>
      </c>
      <c r="R237" s="2" t="inlineStr"/>
    </row>
    <row r="238" ht="15" customHeight="1">
      <c r="A238" t="inlineStr">
        <is>
          <t>A 14920-2025</t>
        </is>
      </c>
      <c r="B238" s="1" t="n">
        <v>45743</v>
      </c>
      <c r="C238" s="1" t="n">
        <v>45883</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19396-2025</t>
        </is>
      </c>
      <c r="B239" s="1" t="n">
        <v>45769</v>
      </c>
      <c r="C239" s="1" t="n">
        <v>45883</v>
      </c>
      <c r="D239" t="inlineStr">
        <is>
          <t>VÄSTMANLANDS LÄN</t>
        </is>
      </c>
      <c r="E239" t="inlineStr">
        <is>
          <t>SALA</t>
        </is>
      </c>
      <c r="G239" t="n">
        <v>1.5</v>
      </c>
      <c r="H239" t="n">
        <v>0</v>
      </c>
      <c r="I239" t="n">
        <v>0</v>
      </c>
      <c r="J239" t="n">
        <v>0</v>
      </c>
      <c r="K239" t="n">
        <v>0</v>
      </c>
      <c r="L239" t="n">
        <v>0</v>
      </c>
      <c r="M239" t="n">
        <v>0</v>
      </c>
      <c r="N239" t="n">
        <v>0</v>
      </c>
      <c r="O239" t="n">
        <v>0</v>
      </c>
      <c r="P239" t="n">
        <v>0</v>
      </c>
      <c r="Q239" t="n">
        <v>0</v>
      </c>
      <c r="R239" s="2" t="inlineStr"/>
    </row>
    <row r="240" ht="15" customHeight="1">
      <c r="A240" t="inlineStr">
        <is>
          <t>A 12225-2023</t>
        </is>
      </c>
      <c r="B240" s="1" t="n">
        <v>44995</v>
      </c>
      <c r="C240" s="1" t="n">
        <v>45883</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12252-2023</t>
        </is>
      </c>
      <c r="B241" s="1" t="n">
        <v>44995</v>
      </c>
      <c r="C241" s="1" t="n">
        <v>45883</v>
      </c>
      <c r="D241" t="inlineStr">
        <is>
          <t>VÄSTMANLANDS LÄN</t>
        </is>
      </c>
      <c r="E241" t="inlineStr">
        <is>
          <t>SALA</t>
        </is>
      </c>
      <c r="G241" t="n">
        <v>2.6</v>
      </c>
      <c r="H241" t="n">
        <v>0</v>
      </c>
      <c r="I241" t="n">
        <v>0</v>
      </c>
      <c r="J241" t="n">
        <v>0</v>
      </c>
      <c r="K241" t="n">
        <v>0</v>
      </c>
      <c r="L241" t="n">
        <v>0</v>
      </c>
      <c r="M241" t="n">
        <v>0</v>
      </c>
      <c r="N241" t="n">
        <v>0</v>
      </c>
      <c r="O241" t="n">
        <v>0</v>
      </c>
      <c r="P241" t="n">
        <v>0</v>
      </c>
      <c r="Q241" t="n">
        <v>0</v>
      </c>
      <c r="R241" s="2" t="inlineStr"/>
    </row>
    <row r="242" ht="15" customHeight="1">
      <c r="A242" t="inlineStr">
        <is>
          <t>A 13855-2023</t>
        </is>
      </c>
      <c r="B242" s="1" t="n">
        <v>45007</v>
      </c>
      <c r="C242" s="1" t="n">
        <v>45883</v>
      </c>
      <c r="D242" t="inlineStr">
        <is>
          <t>VÄSTMANLANDS LÄN</t>
        </is>
      </c>
      <c r="E242" t="inlineStr">
        <is>
          <t>SALA</t>
        </is>
      </c>
      <c r="G242" t="n">
        <v>2.9</v>
      </c>
      <c r="H242" t="n">
        <v>0</v>
      </c>
      <c r="I242" t="n">
        <v>0</v>
      </c>
      <c r="J242" t="n">
        <v>0</v>
      </c>
      <c r="K242" t="n">
        <v>0</v>
      </c>
      <c r="L242" t="n">
        <v>0</v>
      </c>
      <c r="M242" t="n">
        <v>0</v>
      </c>
      <c r="N242" t="n">
        <v>0</v>
      </c>
      <c r="O242" t="n">
        <v>0</v>
      </c>
      <c r="P242" t="n">
        <v>0</v>
      </c>
      <c r="Q242" t="n">
        <v>0</v>
      </c>
      <c r="R242" s="2" t="inlineStr"/>
    </row>
    <row r="243" ht="15" customHeight="1">
      <c r="A243" t="inlineStr">
        <is>
          <t>A 6116-2023</t>
        </is>
      </c>
      <c r="B243" s="1" t="n">
        <v>44964</v>
      </c>
      <c r="C243" s="1" t="n">
        <v>45883</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18100-2023</t>
        </is>
      </c>
      <c r="B244" s="1" t="n">
        <v>45040</v>
      </c>
      <c r="C244" s="1" t="n">
        <v>45883</v>
      </c>
      <c r="D244" t="inlineStr">
        <is>
          <t>VÄSTMANLANDS LÄN</t>
        </is>
      </c>
      <c r="E244" t="inlineStr">
        <is>
          <t>SALA</t>
        </is>
      </c>
      <c r="G244" t="n">
        <v>1.8</v>
      </c>
      <c r="H244" t="n">
        <v>0</v>
      </c>
      <c r="I244" t="n">
        <v>0</v>
      </c>
      <c r="J244" t="n">
        <v>0</v>
      </c>
      <c r="K244" t="n">
        <v>0</v>
      </c>
      <c r="L244" t="n">
        <v>0</v>
      </c>
      <c r="M244" t="n">
        <v>0</v>
      </c>
      <c r="N244" t="n">
        <v>0</v>
      </c>
      <c r="O244" t="n">
        <v>0</v>
      </c>
      <c r="P244" t="n">
        <v>0</v>
      </c>
      <c r="Q244" t="n">
        <v>0</v>
      </c>
      <c r="R244" s="2" t="inlineStr"/>
    </row>
    <row r="245" ht="15" customHeight="1">
      <c r="A245" t="inlineStr">
        <is>
          <t>A 13471-2025</t>
        </is>
      </c>
      <c r="B245" s="1" t="n">
        <v>45736.40579861111</v>
      </c>
      <c r="C245" s="1" t="n">
        <v>45883</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26854-2024</t>
        </is>
      </c>
      <c r="B246" s="1" t="n">
        <v>45470</v>
      </c>
      <c r="C246" s="1" t="n">
        <v>45883</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37602-2024</t>
        </is>
      </c>
      <c r="B247" s="1" t="n">
        <v>45541</v>
      </c>
      <c r="C247" s="1" t="n">
        <v>45883</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24864-2024</t>
        </is>
      </c>
      <c r="B248" s="1" t="n">
        <v>45461.48888888889</v>
      </c>
      <c r="C248" s="1" t="n">
        <v>45883</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17719-2025</t>
        </is>
      </c>
      <c r="B249" s="1" t="n">
        <v>45758.45111111111</v>
      </c>
      <c r="C249" s="1" t="n">
        <v>45883</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1985-2022</t>
        </is>
      </c>
      <c r="B250" s="1" t="n">
        <v>44575</v>
      </c>
      <c r="C250" s="1" t="n">
        <v>45883</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1118-2024</t>
        </is>
      </c>
      <c r="B251" s="1" t="n">
        <v>45302</v>
      </c>
      <c r="C251" s="1" t="n">
        <v>45883</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63933-2023</t>
        </is>
      </c>
      <c r="B252" s="1" t="n">
        <v>45278</v>
      </c>
      <c r="C252" s="1" t="n">
        <v>45883</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18877-2023</t>
        </is>
      </c>
      <c r="B253" s="1" t="n">
        <v>45044</v>
      </c>
      <c r="C253" s="1" t="n">
        <v>45883</v>
      </c>
      <c r="D253" t="inlineStr">
        <is>
          <t>VÄSTMANLANDS LÄN</t>
        </is>
      </c>
      <c r="E253" t="inlineStr">
        <is>
          <t>SALA</t>
        </is>
      </c>
      <c r="F253" t="inlineStr">
        <is>
          <t>Kommuner</t>
        </is>
      </c>
      <c r="G253" t="n">
        <v>4.4</v>
      </c>
      <c r="H253" t="n">
        <v>0</v>
      </c>
      <c r="I253" t="n">
        <v>0</v>
      </c>
      <c r="J253" t="n">
        <v>0</v>
      </c>
      <c r="K253" t="n">
        <v>0</v>
      </c>
      <c r="L253" t="n">
        <v>0</v>
      </c>
      <c r="M253" t="n">
        <v>0</v>
      </c>
      <c r="N253" t="n">
        <v>0</v>
      </c>
      <c r="O253" t="n">
        <v>0</v>
      </c>
      <c r="P253" t="n">
        <v>0</v>
      </c>
      <c r="Q253" t="n">
        <v>0</v>
      </c>
      <c r="R253" s="2" t="inlineStr"/>
    </row>
    <row r="254" ht="15" customHeight="1">
      <c r="A254" t="inlineStr">
        <is>
          <t>A 37190-2024</t>
        </is>
      </c>
      <c r="B254" s="1" t="n">
        <v>45539</v>
      </c>
      <c r="C254" s="1" t="n">
        <v>45883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55556-2023</t>
        </is>
      </c>
      <c r="B255" s="1" t="n">
        <v>45232</v>
      </c>
      <c r="C255" s="1" t="n">
        <v>45883</v>
      </c>
      <c r="D255" t="inlineStr">
        <is>
          <t>VÄSTMANLANDS LÄN</t>
        </is>
      </c>
      <c r="E255" t="inlineStr">
        <is>
          <t>SALA</t>
        </is>
      </c>
      <c r="G255" t="n">
        <v>1.3</v>
      </c>
      <c r="H255" t="n">
        <v>0</v>
      </c>
      <c r="I255" t="n">
        <v>0</v>
      </c>
      <c r="J255" t="n">
        <v>0</v>
      </c>
      <c r="K255" t="n">
        <v>0</v>
      </c>
      <c r="L255" t="n">
        <v>0</v>
      </c>
      <c r="M255" t="n">
        <v>0</v>
      </c>
      <c r="N255" t="n">
        <v>0</v>
      </c>
      <c r="O255" t="n">
        <v>0</v>
      </c>
      <c r="P255" t="n">
        <v>0</v>
      </c>
      <c r="Q255" t="n">
        <v>0</v>
      </c>
      <c r="R255" s="2" t="inlineStr"/>
    </row>
    <row r="256" ht="15" customHeight="1">
      <c r="A256" t="inlineStr">
        <is>
          <t>A 6308-2021</t>
        </is>
      </c>
      <c r="B256" s="1" t="n">
        <v>44235</v>
      </c>
      <c r="C256" s="1" t="n">
        <v>45883</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34494-2023</t>
        </is>
      </c>
      <c r="B257" s="1" t="n">
        <v>45133</v>
      </c>
      <c r="C257" s="1" t="n">
        <v>45883</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39439-2021</t>
        </is>
      </c>
      <c r="B258" s="1" t="n">
        <v>44414</v>
      </c>
      <c r="C258" s="1" t="n">
        <v>45883</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21455-2023</t>
        </is>
      </c>
      <c r="B259" s="1" t="n">
        <v>45058</v>
      </c>
      <c r="C259" s="1" t="n">
        <v>45883</v>
      </c>
      <c r="D259" t="inlineStr">
        <is>
          <t>VÄSTMANLANDS LÄN</t>
        </is>
      </c>
      <c r="E259" t="inlineStr">
        <is>
          <t>SALA</t>
        </is>
      </c>
      <c r="G259" t="n">
        <v>6.4</v>
      </c>
      <c r="H259" t="n">
        <v>0</v>
      </c>
      <c r="I259" t="n">
        <v>0</v>
      </c>
      <c r="J259" t="n">
        <v>0</v>
      </c>
      <c r="K259" t="n">
        <v>0</v>
      </c>
      <c r="L259" t="n">
        <v>0</v>
      </c>
      <c r="M259" t="n">
        <v>0</v>
      </c>
      <c r="N259" t="n">
        <v>0</v>
      </c>
      <c r="O259" t="n">
        <v>0</v>
      </c>
      <c r="P259" t="n">
        <v>0</v>
      </c>
      <c r="Q259" t="n">
        <v>0</v>
      </c>
      <c r="R259" s="2" t="inlineStr"/>
    </row>
    <row r="260" ht="15" customHeight="1">
      <c r="A260" t="inlineStr">
        <is>
          <t>A 15650-2025</t>
        </is>
      </c>
      <c r="B260" s="1" t="n">
        <v>45748.40172453703</v>
      </c>
      <c r="C260" s="1" t="n">
        <v>45883</v>
      </c>
      <c r="D260" t="inlineStr">
        <is>
          <t>VÄSTMANLANDS LÄN</t>
        </is>
      </c>
      <c r="E260" t="inlineStr">
        <is>
          <t>SALA</t>
        </is>
      </c>
      <c r="F260" t="inlineStr">
        <is>
          <t>Bergvik skog öst AB</t>
        </is>
      </c>
      <c r="G260" t="n">
        <v>3</v>
      </c>
      <c r="H260" t="n">
        <v>0</v>
      </c>
      <c r="I260" t="n">
        <v>0</v>
      </c>
      <c r="J260" t="n">
        <v>0</v>
      </c>
      <c r="K260" t="n">
        <v>0</v>
      </c>
      <c r="L260" t="n">
        <v>0</v>
      </c>
      <c r="M260" t="n">
        <v>0</v>
      </c>
      <c r="N260" t="n">
        <v>0</v>
      </c>
      <c r="O260" t="n">
        <v>0</v>
      </c>
      <c r="P260" t="n">
        <v>0</v>
      </c>
      <c r="Q260" t="n">
        <v>0</v>
      </c>
      <c r="R260" s="2" t="inlineStr"/>
    </row>
    <row r="261" ht="15" customHeight="1">
      <c r="A261" t="inlineStr">
        <is>
          <t>A 13752-2025</t>
        </is>
      </c>
      <c r="B261" s="1" t="n">
        <v>45737.41416666667</v>
      </c>
      <c r="C261" s="1" t="n">
        <v>45883</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11389-2024</t>
        </is>
      </c>
      <c r="B262" s="1" t="n">
        <v>45372.45016203704</v>
      </c>
      <c r="C262" s="1" t="n">
        <v>45883</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56706-2022</t>
        </is>
      </c>
      <c r="B263" s="1" t="n">
        <v>44893.78893518518</v>
      </c>
      <c r="C263" s="1" t="n">
        <v>45883</v>
      </c>
      <c r="D263" t="inlineStr">
        <is>
          <t>VÄSTMANLANDS LÄN</t>
        </is>
      </c>
      <c r="E263" t="inlineStr">
        <is>
          <t>SALA</t>
        </is>
      </c>
      <c r="G263" t="n">
        <v>4.5</v>
      </c>
      <c r="H263" t="n">
        <v>0</v>
      </c>
      <c r="I263" t="n">
        <v>0</v>
      </c>
      <c r="J263" t="n">
        <v>0</v>
      </c>
      <c r="K263" t="n">
        <v>0</v>
      </c>
      <c r="L263" t="n">
        <v>0</v>
      </c>
      <c r="M263" t="n">
        <v>0</v>
      </c>
      <c r="N263" t="n">
        <v>0</v>
      </c>
      <c r="O263" t="n">
        <v>0</v>
      </c>
      <c r="P263" t="n">
        <v>0</v>
      </c>
      <c r="Q263" t="n">
        <v>0</v>
      </c>
      <c r="R263" s="2" t="inlineStr"/>
    </row>
    <row r="264" ht="15" customHeight="1">
      <c r="A264" t="inlineStr">
        <is>
          <t>A 56707-2022</t>
        </is>
      </c>
      <c r="B264" s="1" t="n">
        <v>44893.79412037037</v>
      </c>
      <c r="C264" s="1" t="n">
        <v>45883</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30971-2022</t>
        </is>
      </c>
      <c r="B265" s="1" t="n">
        <v>44768.46725694444</v>
      </c>
      <c r="C265" s="1" t="n">
        <v>45883</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19398-2025</t>
        </is>
      </c>
      <c r="B266" s="1" t="n">
        <v>45769</v>
      </c>
      <c r="C266" s="1" t="n">
        <v>45883</v>
      </c>
      <c r="D266" t="inlineStr">
        <is>
          <t>VÄSTMANLANDS LÄN</t>
        </is>
      </c>
      <c r="E266" t="inlineStr">
        <is>
          <t>SALA</t>
        </is>
      </c>
      <c r="G266" t="n">
        <v>0.4</v>
      </c>
      <c r="H266" t="n">
        <v>0</v>
      </c>
      <c r="I266" t="n">
        <v>0</v>
      </c>
      <c r="J266" t="n">
        <v>0</v>
      </c>
      <c r="K266" t="n">
        <v>0</v>
      </c>
      <c r="L266" t="n">
        <v>0</v>
      </c>
      <c r="M266" t="n">
        <v>0</v>
      </c>
      <c r="N266" t="n">
        <v>0</v>
      </c>
      <c r="O266" t="n">
        <v>0</v>
      </c>
      <c r="P266" t="n">
        <v>0</v>
      </c>
      <c r="Q266" t="n">
        <v>0</v>
      </c>
      <c r="R266" s="2" t="inlineStr"/>
    </row>
    <row r="267" ht="15" customHeight="1">
      <c r="A267" t="inlineStr">
        <is>
          <t>A 4797-2023</t>
        </is>
      </c>
      <c r="B267" s="1" t="n">
        <v>44957</v>
      </c>
      <c r="C267" s="1" t="n">
        <v>45883</v>
      </c>
      <c r="D267" t="inlineStr">
        <is>
          <t>VÄSTMANLANDS LÄN</t>
        </is>
      </c>
      <c r="E267" t="inlineStr">
        <is>
          <t>SALA</t>
        </is>
      </c>
      <c r="G267" t="n">
        <v>5.7</v>
      </c>
      <c r="H267" t="n">
        <v>0</v>
      </c>
      <c r="I267" t="n">
        <v>0</v>
      </c>
      <c r="J267" t="n">
        <v>0</v>
      </c>
      <c r="K267" t="n">
        <v>0</v>
      </c>
      <c r="L267" t="n">
        <v>0</v>
      </c>
      <c r="M267" t="n">
        <v>0</v>
      </c>
      <c r="N267" t="n">
        <v>0</v>
      </c>
      <c r="O267" t="n">
        <v>0</v>
      </c>
      <c r="P267" t="n">
        <v>0</v>
      </c>
      <c r="Q267" t="n">
        <v>0</v>
      </c>
      <c r="R267" s="2" t="inlineStr"/>
    </row>
    <row r="268" ht="15" customHeight="1">
      <c r="A268" t="inlineStr">
        <is>
          <t>A 4852-2023</t>
        </is>
      </c>
      <c r="B268" s="1" t="n">
        <v>44957.72496527778</v>
      </c>
      <c r="C268" s="1" t="n">
        <v>45883</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36858-2023</t>
        </is>
      </c>
      <c r="B269" s="1" t="n">
        <v>45154.55184027777</v>
      </c>
      <c r="C269" s="1" t="n">
        <v>45883</v>
      </c>
      <c r="D269" t="inlineStr">
        <is>
          <t>VÄSTMANLANDS LÄN</t>
        </is>
      </c>
      <c r="E269" t="inlineStr">
        <is>
          <t>SALA</t>
        </is>
      </c>
      <c r="G269" t="n">
        <v>2.1</v>
      </c>
      <c r="H269" t="n">
        <v>0</v>
      </c>
      <c r="I269" t="n">
        <v>0</v>
      </c>
      <c r="J269" t="n">
        <v>0</v>
      </c>
      <c r="K269" t="n">
        <v>0</v>
      </c>
      <c r="L269" t="n">
        <v>0</v>
      </c>
      <c r="M269" t="n">
        <v>0</v>
      </c>
      <c r="N269" t="n">
        <v>0</v>
      </c>
      <c r="O269" t="n">
        <v>0</v>
      </c>
      <c r="P269" t="n">
        <v>0</v>
      </c>
      <c r="Q269" t="n">
        <v>0</v>
      </c>
      <c r="R269" s="2" t="inlineStr"/>
    </row>
    <row r="270" ht="15" customHeight="1">
      <c r="A270" t="inlineStr">
        <is>
          <t>A 39818-2020</t>
        </is>
      </c>
      <c r="B270" s="1" t="n">
        <v>44067</v>
      </c>
      <c r="C270" s="1" t="n">
        <v>45883</v>
      </c>
      <c r="D270" t="inlineStr">
        <is>
          <t>VÄSTMANLANDS LÄN</t>
        </is>
      </c>
      <c r="E270" t="inlineStr">
        <is>
          <t>SALA</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22921-2023</t>
        </is>
      </c>
      <c r="B271" s="1" t="n">
        <v>45070</v>
      </c>
      <c r="C271" s="1" t="n">
        <v>45883</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16133-2025</t>
        </is>
      </c>
      <c r="B272" s="1" t="n">
        <v>45750</v>
      </c>
      <c r="C272" s="1" t="n">
        <v>45883</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2900-2023</t>
        </is>
      </c>
      <c r="B273" s="1" t="n">
        <v>44943</v>
      </c>
      <c r="C273" s="1" t="n">
        <v>45883</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58701-2021</t>
        </is>
      </c>
      <c r="B274" s="1" t="n">
        <v>44489.46454861111</v>
      </c>
      <c r="C274" s="1" t="n">
        <v>45883</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60730-2023</t>
        </is>
      </c>
      <c r="B275" s="1" t="n">
        <v>45260</v>
      </c>
      <c r="C275" s="1" t="n">
        <v>45883</v>
      </c>
      <c r="D275" t="inlineStr">
        <is>
          <t>VÄSTMANLANDS LÄN</t>
        </is>
      </c>
      <c r="E275" t="inlineStr">
        <is>
          <t>SALA</t>
        </is>
      </c>
      <c r="G275" t="n">
        <v>1.3</v>
      </c>
      <c r="H275" t="n">
        <v>0</v>
      </c>
      <c r="I275" t="n">
        <v>0</v>
      </c>
      <c r="J275" t="n">
        <v>0</v>
      </c>
      <c r="K275" t="n">
        <v>0</v>
      </c>
      <c r="L275" t="n">
        <v>0</v>
      </c>
      <c r="M275" t="n">
        <v>0</v>
      </c>
      <c r="N275" t="n">
        <v>0</v>
      </c>
      <c r="O275" t="n">
        <v>0</v>
      </c>
      <c r="P275" t="n">
        <v>0</v>
      </c>
      <c r="Q275" t="n">
        <v>0</v>
      </c>
      <c r="R275" s="2" t="inlineStr"/>
    </row>
    <row r="276" ht="15" customHeight="1">
      <c r="A276" t="inlineStr">
        <is>
          <t>A 60731-2023</t>
        </is>
      </c>
      <c r="B276" s="1" t="n">
        <v>45260</v>
      </c>
      <c r="C276" s="1" t="n">
        <v>45883</v>
      </c>
      <c r="D276" t="inlineStr">
        <is>
          <t>VÄSTMANLANDS LÄN</t>
        </is>
      </c>
      <c r="E276" t="inlineStr">
        <is>
          <t>SALA</t>
        </is>
      </c>
      <c r="G276" t="n">
        <v>1</v>
      </c>
      <c r="H276" t="n">
        <v>0</v>
      </c>
      <c r="I276" t="n">
        <v>0</v>
      </c>
      <c r="J276" t="n">
        <v>0</v>
      </c>
      <c r="K276" t="n">
        <v>0</v>
      </c>
      <c r="L276" t="n">
        <v>0</v>
      </c>
      <c r="M276" t="n">
        <v>0</v>
      </c>
      <c r="N276" t="n">
        <v>0</v>
      </c>
      <c r="O276" t="n">
        <v>0</v>
      </c>
      <c r="P276" t="n">
        <v>0</v>
      </c>
      <c r="Q276" t="n">
        <v>0</v>
      </c>
      <c r="R276" s="2" t="inlineStr"/>
    </row>
    <row r="277" ht="15" customHeight="1">
      <c r="A277" t="inlineStr">
        <is>
          <t>A 6127-2025</t>
        </is>
      </c>
      <c r="B277" s="1" t="n">
        <v>45698</v>
      </c>
      <c r="C277" s="1" t="n">
        <v>45883</v>
      </c>
      <c r="D277" t="inlineStr">
        <is>
          <t>VÄSTMANLANDS LÄN</t>
        </is>
      </c>
      <c r="E277" t="inlineStr">
        <is>
          <t>SALA</t>
        </is>
      </c>
      <c r="F277" t="inlineStr">
        <is>
          <t>Bergvik skog öst AB</t>
        </is>
      </c>
      <c r="G277" t="n">
        <v>4.3</v>
      </c>
      <c r="H277" t="n">
        <v>0</v>
      </c>
      <c r="I277" t="n">
        <v>0</v>
      </c>
      <c r="J277" t="n">
        <v>0</v>
      </c>
      <c r="K277" t="n">
        <v>0</v>
      </c>
      <c r="L277" t="n">
        <v>0</v>
      </c>
      <c r="M277" t="n">
        <v>0</v>
      </c>
      <c r="N277" t="n">
        <v>0</v>
      </c>
      <c r="O277" t="n">
        <v>0</v>
      </c>
      <c r="P277" t="n">
        <v>0</v>
      </c>
      <c r="Q277" t="n">
        <v>0</v>
      </c>
      <c r="R277" s="2" t="inlineStr"/>
    </row>
    <row r="278" ht="15" customHeight="1">
      <c r="A278" t="inlineStr">
        <is>
          <t>A 15272-2025</t>
        </is>
      </c>
      <c r="B278" s="1" t="n">
        <v>45744</v>
      </c>
      <c r="C278" s="1" t="n">
        <v>45883</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24248-2023</t>
        </is>
      </c>
      <c r="B279" s="1" t="n">
        <v>45079</v>
      </c>
      <c r="C279" s="1" t="n">
        <v>45883</v>
      </c>
      <c r="D279" t="inlineStr">
        <is>
          <t>VÄSTMANLANDS LÄN</t>
        </is>
      </c>
      <c r="E279" t="inlineStr">
        <is>
          <t>SALA</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38195-2021</t>
        </is>
      </c>
      <c r="B280" s="1" t="n">
        <v>44405</v>
      </c>
      <c r="C280" s="1" t="n">
        <v>45883</v>
      </c>
      <c r="D280" t="inlineStr">
        <is>
          <t>VÄSTMANLANDS LÄN</t>
        </is>
      </c>
      <c r="E280" t="inlineStr">
        <is>
          <t>SALA</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27228-2023</t>
        </is>
      </c>
      <c r="B281" s="1" t="n">
        <v>45096.59189814814</v>
      </c>
      <c r="C281" s="1" t="n">
        <v>45883</v>
      </c>
      <c r="D281" t="inlineStr">
        <is>
          <t>VÄSTMANLANDS LÄN</t>
        </is>
      </c>
      <c r="E281" t="inlineStr">
        <is>
          <t>SALA</t>
        </is>
      </c>
      <c r="G281" t="n">
        <v>1</v>
      </c>
      <c r="H281" t="n">
        <v>0</v>
      </c>
      <c r="I281" t="n">
        <v>0</v>
      </c>
      <c r="J281" t="n">
        <v>0</v>
      </c>
      <c r="K281" t="n">
        <v>0</v>
      </c>
      <c r="L281" t="n">
        <v>0</v>
      </c>
      <c r="M281" t="n">
        <v>0</v>
      </c>
      <c r="N281" t="n">
        <v>0</v>
      </c>
      <c r="O281" t="n">
        <v>0</v>
      </c>
      <c r="P281" t="n">
        <v>0</v>
      </c>
      <c r="Q281" t="n">
        <v>0</v>
      </c>
      <c r="R281" s="2" t="inlineStr"/>
    </row>
    <row r="282" ht="15" customHeight="1">
      <c r="A282" t="inlineStr">
        <is>
          <t>A 53838-2022</t>
        </is>
      </c>
      <c r="B282" s="1" t="n">
        <v>44880.59363425926</v>
      </c>
      <c r="C282" s="1" t="n">
        <v>45883</v>
      </c>
      <c r="D282" t="inlineStr">
        <is>
          <t>VÄSTMANLANDS LÄN</t>
        </is>
      </c>
      <c r="E282" t="inlineStr">
        <is>
          <t>SALA</t>
        </is>
      </c>
      <c r="G282" t="n">
        <v>3.9</v>
      </c>
      <c r="H282" t="n">
        <v>0</v>
      </c>
      <c r="I282" t="n">
        <v>0</v>
      </c>
      <c r="J282" t="n">
        <v>0</v>
      </c>
      <c r="K282" t="n">
        <v>0</v>
      </c>
      <c r="L282" t="n">
        <v>0</v>
      </c>
      <c r="M282" t="n">
        <v>0</v>
      </c>
      <c r="N282" t="n">
        <v>0</v>
      </c>
      <c r="O282" t="n">
        <v>0</v>
      </c>
      <c r="P282" t="n">
        <v>0</v>
      </c>
      <c r="Q282" t="n">
        <v>0</v>
      </c>
      <c r="R282" s="2" t="inlineStr"/>
    </row>
    <row r="283" ht="15" customHeight="1">
      <c r="A283" t="inlineStr">
        <is>
          <t>A 56098-2020</t>
        </is>
      </c>
      <c r="B283" s="1" t="n">
        <v>44132</v>
      </c>
      <c r="C283" s="1" t="n">
        <v>45883</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17985-2025</t>
        </is>
      </c>
      <c r="B284" s="1" t="n">
        <v>45761</v>
      </c>
      <c r="C284" s="1" t="n">
        <v>45883</v>
      </c>
      <c r="D284" t="inlineStr">
        <is>
          <t>VÄSTMANLANDS LÄN</t>
        </is>
      </c>
      <c r="E284" t="inlineStr">
        <is>
          <t>SALA</t>
        </is>
      </c>
      <c r="G284" t="n">
        <v>12.5</v>
      </c>
      <c r="H284" t="n">
        <v>0</v>
      </c>
      <c r="I284" t="n">
        <v>0</v>
      </c>
      <c r="J284" t="n">
        <v>0</v>
      </c>
      <c r="K284" t="n">
        <v>0</v>
      </c>
      <c r="L284" t="n">
        <v>0</v>
      </c>
      <c r="M284" t="n">
        <v>0</v>
      </c>
      <c r="N284" t="n">
        <v>0</v>
      </c>
      <c r="O284" t="n">
        <v>0</v>
      </c>
      <c r="P284" t="n">
        <v>0</v>
      </c>
      <c r="Q284" t="n">
        <v>0</v>
      </c>
      <c r="R284" s="2" t="inlineStr"/>
    </row>
    <row r="285" ht="15" customHeight="1">
      <c r="A285" t="inlineStr">
        <is>
          <t>A 37337-2024</t>
        </is>
      </c>
      <c r="B285" s="1" t="n">
        <v>45540</v>
      </c>
      <c r="C285" s="1" t="n">
        <v>45883</v>
      </c>
      <c r="D285" t="inlineStr">
        <is>
          <t>VÄSTMANLANDS LÄN</t>
        </is>
      </c>
      <c r="E285" t="inlineStr">
        <is>
          <t>SALA</t>
        </is>
      </c>
      <c r="G285" t="n">
        <v>6.5</v>
      </c>
      <c r="H285" t="n">
        <v>0</v>
      </c>
      <c r="I285" t="n">
        <v>0</v>
      </c>
      <c r="J285" t="n">
        <v>0</v>
      </c>
      <c r="K285" t="n">
        <v>0</v>
      </c>
      <c r="L285" t="n">
        <v>0</v>
      </c>
      <c r="M285" t="n">
        <v>0</v>
      </c>
      <c r="N285" t="n">
        <v>0</v>
      </c>
      <c r="O285" t="n">
        <v>0</v>
      </c>
      <c r="P285" t="n">
        <v>0</v>
      </c>
      <c r="Q285" t="n">
        <v>0</v>
      </c>
      <c r="R285" s="2" t="inlineStr"/>
    </row>
    <row r="286" ht="15" customHeight="1">
      <c r="A286" t="inlineStr">
        <is>
          <t>A 54923-2020</t>
        </is>
      </c>
      <c r="B286" s="1" t="n">
        <v>44127</v>
      </c>
      <c r="C286" s="1" t="n">
        <v>45883</v>
      </c>
      <c r="D286" t="inlineStr">
        <is>
          <t>VÄSTMANLANDS LÄN</t>
        </is>
      </c>
      <c r="E286" t="inlineStr">
        <is>
          <t>SALA</t>
        </is>
      </c>
      <c r="G286" t="n">
        <v>4.9</v>
      </c>
      <c r="H286" t="n">
        <v>0</v>
      </c>
      <c r="I286" t="n">
        <v>0</v>
      </c>
      <c r="J286" t="n">
        <v>0</v>
      </c>
      <c r="K286" t="n">
        <v>0</v>
      </c>
      <c r="L286" t="n">
        <v>0</v>
      </c>
      <c r="M286" t="n">
        <v>0</v>
      </c>
      <c r="N286" t="n">
        <v>0</v>
      </c>
      <c r="O286" t="n">
        <v>0</v>
      </c>
      <c r="P286" t="n">
        <v>0</v>
      </c>
      <c r="Q286" t="n">
        <v>0</v>
      </c>
      <c r="R286" s="2" t="inlineStr"/>
    </row>
    <row r="287" ht="15" customHeight="1">
      <c r="A287" t="inlineStr">
        <is>
          <t>A 54771-2024</t>
        </is>
      </c>
      <c r="B287" s="1" t="n">
        <v>45618</v>
      </c>
      <c r="C287" s="1" t="n">
        <v>45883</v>
      </c>
      <c r="D287" t="inlineStr">
        <is>
          <t>VÄSTMANLANDS LÄN</t>
        </is>
      </c>
      <c r="E287" t="inlineStr">
        <is>
          <t>SALA</t>
        </is>
      </c>
      <c r="G287" t="n">
        <v>2.8</v>
      </c>
      <c r="H287" t="n">
        <v>0</v>
      </c>
      <c r="I287" t="n">
        <v>0</v>
      </c>
      <c r="J287" t="n">
        <v>0</v>
      </c>
      <c r="K287" t="n">
        <v>0</v>
      </c>
      <c r="L287" t="n">
        <v>0</v>
      </c>
      <c r="M287" t="n">
        <v>0</v>
      </c>
      <c r="N287" t="n">
        <v>0</v>
      </c>
      <c r="O287" t="n">
        <v>0</v>
      </c>
      <c r="P287" t="n">
        <v>0</v>
      </c>
      <c r="Q287" t="n">
        <v>0</v>
      </c>
      <c r="R287" s="2" t="inlineStr"/>
    </row>
    <row r="288" ht="15" customHeight="1">
      <c r="A288" t="inlineStr">
        <is>
          <t>A 25260-2023</t>
        </is>
      </c>
      <c r="B288" s="1" t="n">
        <v>45086</v>
      </c>
      <c r="C288" s="1" t="n">
        <v>45883</v>
      </c>
      <c r="D288" t="inlineStr">
        <is>
          <t>VÄSTMANLANDS LÄN</t>
        </is>
      </c>
      <c r="E288" t="inlineStr">
        <is>
          <t>SALA</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16769-2024</t>
        </is>
      </c>
      <c r="B289" s="1" t="n">
        <v>45411.38738425926</v>
      </c>
      <c r="C289" s="1" t="n">
        <v>45883</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55107-2024</t>
        </is>
      </c>
      <c r="B290" s="1" t="n">
        <v>45618</v>
      </c>
      <c r="C290" s="1" t="n">
        <v>45883</v>
      </c>
      <c r="D290" t="inlineStr">
        <is>
          <t>VÄSTMANLANDS LÄN</t>
        </is>
      </c>
      <c r="E290" t="inlineStr">
        <is>
          <t>SALA</t>
        </is>
      </c>
      <c r="G290" t="n">
        <v>5.9</v>
      </c>
      <c r="H290" t="n">
        <v>0</v>
      </c>
      <c r="I290" t="n">
        <v>0</v>
      </c>
      <c r="J290" t="n">
        <v>0</v>
      </c>
      <c r="K290" t="n">
        <v>0</v>
      </c>
      <c r="L290" t="n">
        <v>0</v>
      </c>
      <c r="M290" t="n">
        <v>0</v>
      </c>
      <c r="N290" t="n">
        <v>0</v>
      </c>
      <c r="O290" t="n">
        <v>0</v>
      </c>
      <c r="P290" t="n">
        <v>0</v>
      </c>
      <c r="Q290" t="n">
        <v>0</v>
      </c>
      <c r="R290" s="2" t="inlineStr"/>
    </row>
    <row r="291" ht="15" customHeight="1">
      <c r="A291" t="inlineStr">
        <is>
          <t>A 35976-2024</t>
        </is>
      </c>
      <c r="B291" s="1" t="n">
        <v>45533.49555555556</v>
      </c>
      <c r="C291" s="1" t="n">
        <v>45883</v>
      </c>
      <c r="D291" t="inlineStr">
        <is>
          <t>VÄSTMANLANDS LÄN</t>
        </is>
      </c>
      <c r="E291" t="inlineStr">
        <is>
          <t>SALA</t>
        </is>
      </c>
      <c r="G291" t="n">
        <v>2.3</v>
      </c>
      <c r="H291" t="n">
        <v>0</v>
      </c>
      <c r="I291" t="n">
        <v>0</v>
      </c>
      <c r="J291" t="n">
        <v>0</v>
      </c>
      <c r="K291" t="n">
        <v>0</v>
      </c>
      <c r="L291" t="n">
        <v>0</v>
      </c>
      <c r="M291" t="n">
        <v>0</v>
      </c>
      <c r="N291" t="n">
        <v>0</v>
      </c>
      <c r="O291" t="n">
        <v>0</v>
      </c>
      <c r="P291" t="n">
        <v>0</v>
      </c>
      <c r="Q291" t="n">
        <v>0</v>
      </c>
      <c r="R291" s="2" t="inlineStr"/>
    </row>
    <row r="292" ht="15" customHeight="1">
      <c r="A292" t="inlineStr">
        <is>
          <t>A 60249-2023</t>
        </is>
      </c>
      <c r="B292" s="1" t="n">
        <v>45258</v>
      </c>
      <c r="C292" s="1" t="n">
        <v>45883</v>
      </c>
      <c r="D292" t="inlineStr">
        <is>
          <t>VÄSTMANLANDS LÄN</t>
        </is>
      </c>
      <c r="E292" t="inlineStr">
        <is>
          <t>SALA</t>
        </is>
      </c>
      <c r="G292" t="n">
        <v>2</v>
      </c>
      <c r="H292" t="n">
        <v>0</v>
      </c>
      <c r="I292" t="n">
        <v>0</v>
      </c>
      <c r="J292" t="n">
        <v>0</v>
      </c>
      <c r="K292" t="n">
        <v>0</v>
      </c>
      <c r="L292" t="n">
        <v>0</v>
      </c>
      <c r="M292" t="n">
        <v>0</v>
      </c>
      <c r="N292" t="n">
        <v>0</v>
      </c>
      <c r="O292" t="n">
        <v>0</v>
      </c>
      <c r="P292" t="n">
        <v>0</v>
      </c>
      <c r="Q292" t="n">
        <v>0</v>
      </c>
      <c r="R292" s="2" t="inlineStr"/>
    </row>
    <row r="293" ht="15" customHeight="1">
      <c r="A293" t="inlineStr">
        <is>
          <t>A 14271-2025</t>
        </is>
      </c>
      <c r="B293" s="1" t="n">
        <v>45740.64129629629</v>
      </c>
      <c r="C293" s="1" t="n">
        <v>45883</v>
      </c>
      <c r="D293" t="inlineStr">
        <is>
          <t>VÄSTMANLANDS LÄN</t>
        </is>
      </c>
      <c r="E293" t="inlineStr">
        <is>
          <t>SALA</t>
        </is>
      </c>
      <c r="G293" t="n">
        <v>0.8</v>
      </c>
      <c r="H293" t="n">
        <v>0</v>
      </c>
      <c r="I293" t="n">
        <v>0</v>
      </c>
      <c r="J293" t="n">
        <v>0</v>
      </c>
      <c r="K293" t="n">
        <v>0</v>
      </c>
      <c r="L293" t="n">
        <v>0</v>
      </c>
      <c r="M293" t="n">
        <v>0</v>
      </c>
      <c r="N293" t="n">
        <v>0</v>
      </c>
      <c r="O293" t="n">
        <v>0</v>
      </c>
      <c r="P293" t="n">
        <v>0</v>
      </c>
      <c r="Q293" t="n">
        <v>0</v>
      </c>
      <c r="R293" s="2" t="inlineStr"/>
    </row>
    <row r="294" ht="15" customHeight="1">
      <c r="A294" t="inlineStr">
        <is>
          <t>A 69232-2021</t>
        </is>
      </c>
      <c r="B294" s="1" t="n">
        <v>44531.39696759259</v>
      </c>
      <c r="C294" s="1" t="n">
        <v>45883</v>
      </c>
      <c r="D294" t="inlineStr">
        <is>
          <t>VÄSTMANLANDS LÄN</t>
        </is>
      </c>
      <c r="E294" t="inlineStr">
        <is>
          <t>SALA</t>
        </is>
      </c>
      <c r="G294" t="n">
        <v>2.3</v>
      </c>
      <c r="H294" t="n">
        <v>0</v>
      </c>
      <c r="I294" t="n">
        <v>0</v>
      </c>
      <c r="J294" t="n">
        <v>0</v>
      </c>
      <c r="K294" t="n">
        <v>0</v>
      </c>
      <c r="L294" t="n">
        <v>0</v>
      </c>
      <c r="M294" t="n">
        <v>0</v>
      </c>
      <c r="N294" t="n">
        <v>0</v>
      </c>
      <c r="O294" t="n">
        <v>0</v>
      </c>
      <c r="P294" t="n">
        <v>0</v>
      </c>
      <c r="Q294" t="n">
        <v>0</v>
      </c>
      <c r="R294" s="2" t="inlineStr"/>
    </row>
    <row r="295" ht="15" customHeight="1">
      <c r="A295" t="inlineStr">
        <is>
          <t>A 38636-2024</t>
        </is>
      </c>
      <c r="B295" s="1" t="n">
        <v>45546</v>
      </c>
      <c r="C295" s="1" t="n">
        <v>45883</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28328-2023</t>
        </is>
      </c>
      <c r="B296" s="1" t="n">
        <v>45099.71063657408</v>
      </c>
      <c r="C296" s="1" t="n">
        <v>45883</v>
      </c>
      <c r="D296" t="inlineStr">
        <is>
          <t>VÄSTMANLANDS LÄN</t>
        </is>
      </c>
      <c r="E296" t="inlineStr">
        <is>
          <t>SALA</t>
        </is>
      </c>
      <c r="G296" t="n">
        <v>1.8</v>
      </c>
      <c r="H296" t="n">
        <v>0</v>
      </c>
      <c r="I296" t="n">
        <v>0</v>
      </c>
      <c r="J296" t="n">
        <v>0</v>
      </c>
      <c r="K296" t="n">
        <v>0</v>
      </c>
      <c r="L296" t="n">
        <v>0</v>
      </c>
      <c r="M296" t="n">
        <v>0</v>
      </c>
      <c r="N296" t="n">
        <v>0</v>
      </c>
      <c r="O296" t="n">
        <v>0</v>
      </c>
      <c r="P296" t="n">
        <v>0</v>
      </c>
      <c r="Q296" t="n">
        <v>0</v>
      </c>
      <c r="R296" s="2" t="inlineStr"/>
    </row>
    <row r="297" ht="15" customHeight="1">
      <c r="A297" t="inlineStr">
        <is>
          <t>A 10250-2025</t>
        </is>
      </c>
      <c r="B297" s="1" t="n">
        <v>45720.36165509259</v>
      </c>
      <c r="C297" s="1" t="n">
        <v>45883</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23180-2022</t>
        </is>
      </c>
      <c r="B298" s="1" t="n">
        <v>44719.79344907407</v>
      </c>
      <c r="C298" s="1" t="n">
        <v>45883</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21053-2022</t>
        </is>
      </c>
      <c r="B299" s="1" t="n">
        <v>44704</v>
      </c>
      <c r="C299" s="1" t="n">
        <v>45883</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25868-2024</t>
        </is>
      </c>
      <c r="B300" s="1" t="n">
        <v>45467.47506944444</v>
      </c>
      <c r="C300" s="1" t="n">
        <v>45883</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40085-2024</t>
        </is>
      </c>
      <c r="B301" s="1" t="n">
        <v>45554</v>
      </c>
      <c r="C301" s="1" t="n">
        <v>45883</v>
      </c>
      <c r="D301" t="inlineStr">
        <is>
          <t>VÄSTMANLANDS LÄN</t>
        </is>
      </c>
      <c r="E301" t="inlineStr">
        <is>
          <t>SALA</t>
        </is>
      </c>
      <c r="G301" t="n">
        <v>2.8</v>
      </c>
      <c r="H301" t="n">
        <v>0</v>
      </c>
      <c r="I301" t="n">
        <v>0</v>
      </c>
      <c r="J301" t="n">
        <v>0</v>
      </c>
      <c r="K301" t="n">
        <v>0</v>
      </c>
      <c r="L301" t="n">
        <v>0</v>
      </c>
      <c r="M301" t="n">
        <v>0</v>
      </c>
      <c r="N301" t="n">
        <v>0</v>
      </c>
      <c r="O301" t="n">
        <v>0</v>
      </c>
      <c r="P301" t="n">
        <v>0</v>
      </c>
      <c r="Q301" t="n">
        <v>0</v>
      </c>
      <c r="R301" s="2" t="inlineStr"/>
    </row>
    <row r="302" ht="15" customHeight="1">
      <c r="A302" t="inlineStr">
        <is>
          <t>A 18340-2025</t>
        </is>
      </c>
      <c r="B302" s="1" t="n">
        <v>45762</v>
      </c>
      <c r="C302" s="1" t="n">
        <v>45883</v>
      </c>
      <c r="D302" t="inlineStr">
        <is>
          <t>VÄSTMANLANDS LÄN</t>
        </is>
      </c>
      <c r="E302" t="inlineStr">
        <is>
          <t>SALA</t>
        </is>
      </c>
      <c r="G302" t="n">
        <v>2.1</v>
      </c>
      <c r="H302" t="n">
        <v>0</v>
      </c>
      <c r="I302" t="n">
        <v>0</v>
      </c>
      <c r="J302" t="n">
        <v>0</v>
      </c>
      <c r="K302" t="n">
        <v>0</v>
      </c>
      <c r="L302" t="n">
        <v>0</v>
      </c>
      <c r="M302" t="n">
        <v>0</v>
      </c>
      <c r="N302" t="n">
        <v>0</v>
      </c>
      <c r="O302" t="n">
        <v>0</v>
      </c>
      <c r="P302" t="n">
        <v>0</v>
      </c>
      <c r="Q302" t="n">
        <v>0</v>
      </c>
      <c r="R302" s="2" t="inlineStr"/>
    </row>
    <row r="303" ht="15" customHeight="1">
      <c r="A303" t="inlineStr">
        <is>
          <t>A 41485-2020</t>
        </is>
      </c>
      <c r="B303" s="1" t="n">
        <v>44074</v>
      </c>
      <c r="C303" s="1" t="n">
        <v>45883</v>
      </c>
      <c r="D303" t="inlineStr">
        <is>
          <t>VÄSTMANLANDS LÄN</t>
        </is>
      </c>
      <c r="E303" t="inlineStr">
        <is>
          <t>SALA</t>
        </is>
      </c>
      <c r="G303" t="n">
        <v>4.7</v>
      </c>
      <c r="H303" t="n">
        <v>0</v>
      </c>
      <c r="I303" t="n">
        <v>0</v>
      </c>
      <c r="J303" t="n">
        <v>0</v>
      </c>
      <c r="K303" t="n">
        <v>0</v>
      </c>
      <c r="L303" t="n">
        <v>0</v>
      </c>
      <c r="M303" t="n">
        <v>0</v>
      </c>
      <c r="N303" t="n">
        <v>0</v>
      </c>
      <c r="O303" t="n">
        <v>0</v>
      </c>
      <c r="P303" t="n">
        <v>0</v>
      </c>
      <c r="Q303" t="n">
        <v>0</v>
      </c>
      <c r="R303" s="2" t="inlineStr"/>
    </row>
    <row r="304" ht="15" customHeight="1">
      <c r="A304" t="inlineStr">
        <is>
          <t>A 3546-2025</t>
        </is>
      </c>
      <c r="B304" s="1" t="n">
        <v>45680</v>
      </c>
      <c r="C304" s="1" t="n">
        <v>45883</v>
      </c>
      <c r="D304" t="inlineStr">
        <is>
          <t>VÄSTMANLANDS LÄN</t>
        </is>
      </c>
      <c r="E304" t="inlineStr">
        <is>
          <t>SALA</t>
        </is>
      </c>
      <c r="G304" t="n">
        <v>0.4</v>
      </c>
      <c r="H304" t="n">
        <v>0</v>
      </c>
      <c r="I304" t="n">
        <v>0</v>
      </c>
      <c r="J304" t="n">
        <v>0</v>
      </c>
      <c r="K304" t="n">
        <v>0</v>
      </c>
      <c r="L304" t="n">
        <v>0</v>
      </c>
      <c r="M304" t="n">
        <v>0</v>
      </c>
      <c r="N304" t="n">
        <v>0</v>
      </c>
      <c r="O304" t="n">
        <v>0</v>
      </c>
      <c r="P304" t="n">
        <v>0</v>
      </c>
      <c r="Q304" t="n">
        <v>0</v>
      </c>
      <c r="R304" s="2" t="inlineStr"/>
    </row>
    <row r="305" ht="15" customHeight="1">
      <c r="A305" t="inlineStr">
        <is>
          <t>A 71471-2021</t>
        </is>
      </c>
      <c r="B305" s="1" t="n">
        <v>44540.53421296296</v>
      </c>
      <c r="C305" s="1" t="n">
        <v>45883</v>
      </c>
      <c r="D305" t="inlineStr">
        <is>
          <t>VÄSTMANLANDS LÄN</t>
        </is>
      </c>
      <c r="E305" t="inlineStr">
        <is>
          <t>SALA</t>
        </is>
      </c>
      <c r="G305" t="n">
        <v>13</v>
      </c>
      <c r="H305" t="n">
        <v>0</v>
      </c>
      <c r="I305" t="n">
        <v>0</v>
      </c>
      <c r="J305" t="n">
        <v>0</v>
      </c>
      <c r="K305" t="n">
        <v>0</v>
      </c>
      <c r="L305" t="n">
        <v>0</v>
      </c>
      <c r="M305" t="n">
        <v>0</v>
      </c>
      <c r="N305" t="n">
        <v>0</v>
      </c>
      <c r="O305" t="n">
        <v>0</v>
      </c>
      <c r="P305" t="n">
        <v>0</v>
      </c>
      <c r="Q305" t="n">
        <v>0</v>
      </c>
      <c r="R305" s="2" t="inlineStr"/>
    </row>
    <row r="306" ht="15" customHeight="1">
      <c r="A306" t="inlineStr">
        <is>
          <t>A 16638-2023</t>
        </is>
      </c>
      <c r="B306" s="1" t="n">
        <v>45027</v>
      </c>
      <c r="C306" s="1" t="n">
        <v>45883</v>
      </c>
      <c r="D306" t="inlineStr">
        <is>
          <t>VÄSTMANLANDS LÄN</t>
        </is>
      </c>
      <c r="E306" t="inlineStr">
        <is>
          <t>SALA</t>
        </is>
      </c>
      <c r="G306" t="n">
        <v>14.8</v>
      </c>
      <c r="H306" t="n">
        <v>0</v>
      </c>
      <c r="I306" t="n">
        <v>0</v>
      </c>
      <c r="J306" t="n">
        <v>0</v>
      </c>
      <c r="K306" t="n">
        <v>0</v>
      </c>
      <c r="L306" t="n">
        <v>0</v>
      </c>
      <c r="M306" t="n">
        <v>0</v>
      </c>
      <c r="N306" t="n">
        <v>0</v>
      </c>
      <c r="O306" t="n">
        <v>0</v>
      </c>
      <c r="P306" t="n">
        <v>0</v>
      </c>
      <c r="Q306" t="n">
        <v>0</v>
      </c>
      <c r="R306" s="2" t="inlineStr"/>
    </row>
    <row r="307" ht="15" customHeight="1">
      <c r="A307" t="inlineStr">
        <is>
          <t>A 8775-2024</t>
        </is>
      </c>
      <c r="B307" s="1" t="n">
        <v>45356</v>
      </c>
      <c r="C307" s="1" t="n">
        <v>45883</v>
      </c>
      <c r="D307" t="inlineStr">
        <is>
          <t>VÄSTMANLANDS LÄN</t>
        </is>
      </c>
      <c r="E307" t="inlineStr">
        <is>
          <t>SALA</t>
        </is>
      </c>
      <c r="G307" t="n">
        <v>0.6</v>
      </c>
      <c r="H307" t="n">
        <v>0</v>
      </c>
      <c r="I307" t="n">
        <v>0</v>
      </c>
      <c r="J307" t="n">
        <v>0</v>
      </c>
      <c r="K307" t="n">
        <v>0</v>
      </c>
      <c r="L307" t="n">
        <v>0</v>
      </c>
      <c r="M307" t="n">
        <v>0</v>
      </c>
      <c r="N307" t="n">
        <v>0</v>
      </c>
      <c r="O307" t="n">
        <v>0</v>
      </c>
      <c r="P307" t="n">
        <v>0</v>
      </c>
      <c r="Q307" t="n">
        <v>0</v>
      </c>
      <c r="R307" s="2" t="inlineStr"/>
    </row>
    <row r="308" ht="15" customHeight="1">
      <c r="A308" t="inlineStr">
        <is>
          <t>A 18158-2025</t>
        </is>
      </c>
      <c r="B308" s="1" t="n">
        <v>45761</v>
      </c>
      <c r="C308" s="1" t="n">
        <v>45883</v>
      </c>
      <c r="D308" t="inlineStr">
        <is>
          <t>VÄSTMANLANDS LÄN</t>
        </is>
      </c>
      <c r="E308" t="inlineStr">
        <is>
          <t>SALA</t>
        </is>
      </c>
      <c r="F308" t="inlineStr">
        <is>
          <t>Bergvik skog öst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49661-2024</t>
        </is>
      </c>
      <c r="B309" s="1" t="n">
        <v>45596</v>
      </c>
      <c r="C309" s="1" t="n">
        <v>45883</v>
      </c>
      <c r="D309" t="inlineStr">
        <is>
          <t>VÄSTMANLANDS LÄN</t>
        </is>
      </c>
      <c r="E309" t="inlineStr">
        <is>
          <t>SALA</t>
        </is>
      </c>
      <c r="G309" t="n">
        <v>6.7</v>
      </c>
      <c r="H309" t="n">
        <v>0</v>
      </c>
      <c r="I309" t="n">
        <v>0</v>
      </c>
      <c r="J309" t="n">
        <v>0</v>
      </c>
      <c r="K309" t="n">
        <v>0</v>
      </c>
      <c r="L309" t="n">
        <v>0</v>
      </c>
      <c r="M309" t="n">
        <v>0</v>
      </c>
      <c r="N309" t="n">
        <v>0</v>
      </c>
      <c r="O309" t="n">
        <v>0</v>
      </c>
      <c r="P309" t="n">
        <v>0</v>
      </c>
      <c r="Q309" t="n">
        <v>0</v>
      </c>
      <c r="R309" s="2" t="inlineStr"/>
    </row>
    <row r="310" ht="15" customHeight="1">
      <c r="A310" t="inlineStr">
        <is>
          <t>A 52498-2022</t>
        </is>
      </c>
      <c r="B310" s="1" t="n">
        <v>44874.50152777778</v>
      </c>
      <c r="C310" s="1" t="n">
        <v>45883</v>
      </c>
      <c r="D310" t="inlineStr">
        <is>
          <t>VÄSTMANLANDS LÄN</t>
        </is>
      </c>
      <c r="E310" t="inlineStr">
        <is>
          <t>SALA</t>
        </is>
      </c>
      <c r="G310" t="n">
        <v>2.1</v>
      </c>
      <c r="H310" t="n">
        <v>0</v>
      </c>
      <c r="I310" t="n">
        <v>0</v>
      </c>
      <c r="J310" t="n">
        <v>0</v>
      </c>
      <c r="K310" t="n">
        <v>0</v>
      </c>
      <c r="L310" t="n">
        <v>0</v>
      </c>
      <c r="M310" t="n">
        <v>0</v>
      </c>
      <c r="N310" t="n">
        <v>0</v>
      </c>
      <c r="O310" t="n">
        <v>0</v>
      </c>
      <c r="P310" t="n">
        <v>0</v>
      </c>
      <c r="Q310" t="n">
        <v>0</v>
      </c>
      <c r="R310" s="2" t="inlineStr"/>
    </row>
    <row r="311" ht="15" customHeight="1">
      <c r="A311" t="inlineStr">
        <is>
          <t>A 39011-2023</t>
        </is>
      </c>
      <c r="B311" s="1" t="n">
        <v>45162</v>
      </c>
      <c r="C311" s="1" t="n">
        <v>45883</v>
      </c>
      <c r="D311" t="inlineStr">
        <is>
          <t>VÄSTMANLANDS LÄN</t>
        </is>
      </c>
      <c r="E311" t="inlineStr">
        <is>
          <t>SALA</t>
        </is>
      </c>
      <c r="G311" t="n">
        <v>1.6</v>
      </c>
      <c r="H311" t="n">
        <v>0</v>
      </c>
      <c r="I311" t="n">
        <v>0</v>
      </c>
      <c r="J311" t="n">
        <v>0</v>
      </c>
      <c r="K311" t="n">
        <v>0</v>
      </c>
      <c r="L311" t="n">
        <v>0</v>
      </c>
      <c r="M311" t="n">
        <v>0</v>
      </c>
      <c r="N311" t="n">
        <v>0</v>
      </c>
      <c r="O311" t="n">
        <v>0</v>
      </c>
      <c r="P311" t="n">
        <v>0</v>
      </c>
      <c r="Q311" t="n">
        <v>0</v>
      </c>
      <c r="R311" s="2" t="inlineStr"/>
    </row>
    <row r="312" ht="15" customHeight="1">
      <c r="A312" t="inlineStr">
        <is>
          <t>A 56547-2022</t>
        </is>
      </c>
      <c r="B312" s="1" t="n">
        <v>44893.48284722222</v>
      </c>
      <c r="C312" s="1" t="n">
        <v>45883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17117-2023</t>
        </is>
      </c>
      <c r="B313" s="1" t="n">
        <v>45034</v>
      </c>
      <c r="C313" s="1" t="n">
        <v>45883</v>
      </c>
      <c r="D313" t="inlineStr">
        <is>
          <t>VÄSTMANLANDS LÄN</t>
        </is>
      </c>
      <c r="E313" t="inlineStr">
        <is>
          <t>SALA</t>
        </is>
      </c>
      <c r="G313" t="n">
        <v>0.4</v>
      </c>
      <c r="H313" t="n">
        <v>0</v>
      </c>
      <c r="I313" t="n">
        <v>0</v>
      </c>
      <c r="J313" t="n">
        <v>0</v>
      </c>
      <c r="K313" t="n">
        <v>0</v>
      </c>
      <c r="L313" t="n">
        <v>0</v>
      </c>
      <c r="M313" t="n">
        <v>0</v>
      </c>
      <c r="N313" t="n">
        <v>0</v>
      </c>
      <c r="O313" t="n">
        <v>0</v>
      </c>
      <c r="P313" t="n">
        <v>0</v>
      </c>
      <c r="Q313" t="n">
        <v>0</v>
      </c>
      <c r="R313" s="2" t="inlineStr"/>
    </row>
    <row r="314" ht="15" customHeight="1">
      <c r="A314" t="inlineStr">
        <is>
          <t>A 59909-2024</t>
        </is>
      </c>
      <c r="B314" s="1" t="n">
        <v>45641</v>
      </c>
      <c r="C314" s="1" t="n">
        <v>45883</v>
      </c>
      <c r="D314" t="inlineStr">
        <is>
          <t>VÄSTMANLANDS LÄN</t>
        </is>
      </c>
      <c r="E314" t="inlineStr">
        <is>
          <t>SALA</t>
        </is>
      </c>
      <c r="G314" t="n">
        <v>2.1</v>
      </c>
      <c r="H314" t="n">
        <v>0</v>
      </c>
      <c r="I314" t="n">
        <v>0</v>
      </c>
      <c r="J314" t="n">
        <v>0</v>
      </c>
      <c r="K314" t="n">
        <v>0</v>
      </c>
      <c r="L314" t="n">
        <v>0</v>
      </c>
      <c r="M314" t="n">
        <v>0</v>
      </c>
      <c r="N314" t="n">
        <v>0</v>
      </c>
      <c r="O314" t="n">
        <v>0</v>
      </c>
      <c r="P314" t="n">
        <v>0</v>
      </c>
      <c r="Q314" t="n">
        <v>0</v>
      </c>
      <c r="R314" s="2" t="inlineStr"/>
    </row>
    <row r="315" ht="15" customHeight="1">
      <c r="A315" t="inlineStr">
        <is>
          <t>A 30028-2024</t>
        </is>
      </c>
      <c r="B315" s="1" t="n">
        <v>45485</v>
      </c>
      <c r="C315" s="1" t="n">
        <v>45883</v>
      </c>
      <c r="D315" t="inlineStr">
        <is>
          <t>VÄSTMANLANDS LÄN</t>
        </is>
      </c>
      <c r="E315" t="inlineStr">
        <is>
          <t>SALA</t>
        </is>
      </c>
      <c r="G315" t="n">
        <v>2.6</v>
      </c>
      <c r="H315" t="n">
        <v>0</v>
      </c>
      <c r="I315" t="n">
        <v>0</v>
      </c>
      <c r="J315" t="n">
        <v>0</v>
      </c>
      <c r="K315" t="n">
        <v>0</v>
      </c>
      <c r="L315" t="n">
        <v>0</v>
      </c>
      <c r="M315" t="n">
        <v>0</v>
      </c>
      <c r="N315" t="n">
        <v>0</v>
      </c>
      <c r="O315" t="n">
        <v>0</v>
      </c>
      <c r="P315" t="n">
        <v>0</v>
      </c>
      <c r="Q315" t="n">
        <v>0</v>
      </c>
      <c r="R315" s="2" t="inlineStr"/>
    </row>
    <row r="316" ht="15" customHeight="1">
      <c r="A316" t="inlineStr">
        <is>
          <t>A 56916-2022</t>
        </is>
      </c>
      <c r="B316" s="1" t="n">
        <v>44888</v>
      </c>
      <c r="C316" s="1" t="n">
        <v>45883</v>
      </c>
      <c r="D316" t="inlineStr">
        <is>
          <t>VÄSTMANLANDS LÄN</t>
        </is>
      </c>
      <c r="E316" t="inlineStr">
        <is>
          <t>SALA</t>
        </is>
      </c>
      <c r="G316" t="n">
        <v>1.7</v>
      </c>
      <c r="H316" t="n">
        <v>0</v>
      </c>
      <c r="I316" t="n">
        <v>0</v>
      </c>
      <c r="J316" t="n">
        <v>0</v>
      </c>
      <c r="K316" t="n">
        <v>0</v>
      </c>
      <c r="L316" t="n">
        <v>0</v>
      </c>
      <c r="M316" t="n">
        <v>0</v>
      </c>
      <c r="N316" t="n">
        <v>0</v>
      </c>
      <c r="O316" t="n">
        <v>0</v>
      </c>
      <c r="P316" t="n">
        <v>0</v>
      </c>
      <c r="Q316" t="n">
        <v>0</v>
      </c>
      <c r="R316" s="2" t="inlineStr"/>
    </row>
    <row r="317" ht="15" customHeight="1">
      <c r="A317" t="inlineStr">
        <is>
          <t>A 33309-2022</t>
        </is>
      </c>
      <c r="B317" s="1" t="n">
        <v>44788.40986111111</v>
      </c>
      <c r="C317" s="1" t="n">
        <v>45883</v>
      </c>
      <c r="D317" t="inlineStr">
        <is>
          <t>VÄSTMANLANDS LÄN</t>
        </is>
      </c>
      <c r="E317" t="inlineStr">
        <is>
          <t>SALA</t>
        </is>
      </c>
      <c r="G317" t="n">
        <v>2.6</v>
      </c>
      <c r="H317" t="n">
        <v>0</v>
      </c>
      <c r="I317" t="n">
        <v>0</v>
      </c>
      <c r="J317" t="n">
        <v>0</v>
      </c>
      <c r="K317" t="n">
        <v>0</v>
      </c>
      <c r="L317" t="n">
        <v>0</v>
      </c>
      <c r="M317" t="n">
        <v>0</v>
      </c>
      <c r="N317" t="n">
        <v>0</v>
      </c>
      <c r="O317" t="n">
        <v>0</v>
      </c>
      <c r="P317" t="n">
        <v>0</v>
      </c>
      <c r="Q317" t="n">
        <v>0</v>
      </c>
      <c r="R317" s="2" t="inlineStr"/>
    </row>
    <row r="318" ht="15" customHeight="1">
      <c r="A318" t="inlineStr">
        <is>
          <t>A 7377-2023</t>
        </is>
      </c>
      <c r="B318" s="1" t="n">
        <v>44971</v>
      </c>
      <c r="C318" s="1" t="n">
        <v>45883</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27229-2022</t>
        </is>
      </c>
      <c r="B319" s="1" t="n">
        <v>44741</v>
      </c>
      <c r="C319" s="1" t="n">
        <v>45883</v>
      </c>
      <c r="D319" t="inlineStr">
        <is>
          <t>VÄSTMANLANDS LÄN</t>
        </is>
      </c>
      <c r="E319" t="inlineStr">
        <is>
          <t>SALA</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45883</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34867-2023</t>
        </is>
      </c>
      <c r="B321" s="1" t="n">
        <v>45142.33481481481</v>
      </c>
      <c r="C321" s="1" t="n">
        <v>45883</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25748-2022</t>
        </is>
      </c>
      <c r="B322" s="1" t="n">
        <v>44732</v>
      </c>
      <c r="C322" s="1" t="n">
        <v>45883</v>
      </c>
      <c r="D322" t="inlineStr">
        <is>
          <t>VÄSTMANLANDS LÄN</t>
        </is>
      </c>
      <c r="E322" t="inlineStr">
        <is>
          <t>SALA</t>
        </is>
      </c>
      <c r="G322" t="n">
        <v>7.7</v>
      </c>
      <c r="H322" t="n">
        <v>0</v>
      </c>
      <c r="I322" t="n">
        <v>0</v>
      </c>
      <c r="J322" t="n">
        <v>0</v>
      </c>
      <c r="K322" t="n">
        <v>0</v>
      </c>
      <c r="L322" t="n">
        <v>0</v>
      </c>
      <c r="M322" t="n">
        <v>0</v>
      </c>
      <c r="N322" t="n">
        <v>0</v>
      </c>
      <c r="O322" t="n">
        <v>0</v>
      </c>
      <c r="P322" t="n">
        <v>0</v>
      </c>
      <c r="Q322" t="n">
        <v>0</v>
      </c>
      <c r="R322" s="2" t="inlineStr"/>
    </row>
    <row r="323" ht="15" customHeight="1">
      <c r="A323" t="inlineStr">
        <is>
          <t>A 45313-2024</t>
        </is>
      </c>
      <c r="B323" s="1" t="n">
        <v>45576</v>
      </c>
      <c r="C323" s="1" t="n">
        <v>45883</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56535-2022</t>
        </is>
      </c>
      <c r="B324" s="1" t="n">
        <v>44893.47173611111</v>
      </c>
      <c r="C324" s="1" t="n">
        <v>45883</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47909-2022</t>
        </is>
      </c>
      <c r="B325" s="1" t="n">
        <v>44855</v>
      </c>
      <c r="C325" s="1" t="n">
        <v>45883</v>
      </c>
      <c r="D325" t="inlineStr">
        <is>
          <t>VÄSTMANLANDS LÄN</t>
        </is>
      </c>
      <c r="E325" t="inlineStr">
        <is>
          <t>SALA</t>
        </is>
      </c>
      <c r="F325" t="inlineStr">
        <is>
          <t>Bergvik skog öst AB</t>
        </is>
      </c>
      <c r="G325" t="n">
        <v>2</v>
      </c>
      <c r="H325" t="n">
        <v>0</v>
      </c>
      <c r="I325" t="n">
        <v>0</v>
      </c>
      <c r="J325" t="n">
        <v>0</v>
      </c>
      <c r="K325" t="n">
        <v>0</v>
      </c>
      <c r="L325" t="n">
        <v>0</v>
      </c>
      <c r="M325" t="n">
        <v>0</v>
      </c>
      <c r="N325" t="n">
        <v>0</v>
      </c>
      <c r="O325" t="n">
        <v>0</v>
      </c>
      <c r="P325" t="n">
        <v>0</v>
      </c>
      <c r="Q325" t="n">
        <v>0</v>
      </c>
      <c r="R325" s="2" t="inlineStr"/>
    </row>
    <row r="326" ht="15" customHeight="1">
      <c r="A326" t="inlineStr">
        <is>
          <t>A 52630-2022</t>
        </is>
      </c>
      <c r="B326" s="1" t="n">
        <v>44874</v>
      </c>
      <c r="C326" s="1" t="n">
        <v>45883</v>
      </c>
      <c r="D326" t="inlineStr">
        <is>
          <t>VÄSTMANLANDS LÄN</t>
        </is>
      </c>
      <c r="E326" t="inlineStr">
        <is>
          <t>SALA</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49512-2024</t>
        </is>
      </c>
      <c r="B327" s="1" t="n">
        <v>45591</v>
      </c>
      <c r="C327" s="1" t="n">
        <v>45883</v>
      </c>
      <c r="D327" t="inlineStr">
        <is>
          <t>VÄSTMANLANDS LÄN</t>
        </is>
      </c>
      <c r="E327" t="inlineStr">
        <is>
          <t>SALA</t>
        </is>
      </c>
      <c r="G327" t="n">
        <v>8.1</v>
      </c>
      <c r="H327" t="n">
        <v>0</v>
      </c>
      <c r="I327" t="n">
        <v>0</v>
      </c>
      <c r="J327" t="n">
        <v>0</v>
      </c>
      <c r="K327" t="n">
        <v>0</v>
      </c>
      <c r="L327" t="n">
        <v>0</v>
      </c>
      <c r="M327" t="n">
        <v>0</v>
      </c>
      <c r="N327" t="n">
        <v>0</v>
      </c>
      <c r="O327" t="n">
        <v>0</v>
      </c>
      <c r="P327" t="n">
        <v>0</v>
      </c>
      <c r="Q327" t="n">
        <v>0</v>
      </c>
      <c r="R327" s="2" t="inlineStr"/>
    </row>
    <row r="328" ht="15" customHeight="1">
      <c r="A328" t="inlineStr">
        <is>
          <t>A 7664-2023</t>
        </is>
      </c>
      <c r="B328" s="1" t="n">
        <v>44972</v>
      </c>
      <c r="C328" s="1" t="n">
        <v>45883</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56687-2024</t>
        </is>
      </c>
      <c r="B329" s="1" t="n">
        <v>45627.63271990741</v>
      </c>
      <c r="C329" s="1" t="n">
        <v>45883</v>
      </c>
      <c r="D329" t="inlineStr">
        <is>
          <t>VÄSTMANLANDS LÄN</t>
        </is>
      </c>
      <c r="E329" t="inlineStr">
        <is>
          <t>SALA</t>
        </is>
      </c>
      <c r="G329" t="n">
        <v>1.2</v>
      </c>
      <c r="H329" t="n">
        <v>0</v>
      </c>
      <c r="I329" t="n">
        <v>0</v>
      </c>
      <c r="J329" t="n">
        <v>0</v>
      </c>
      <c r="K329" t="n">
        <v>0</v>
      </c>
      <c r="L329" t="n">
        <v>0</v>
      </c>
      <c r="M329" t="n">
        <v>0</v>
      </c>
      <c r="N329" t="n">
        <v>0</v>
      </c>
      <c r="O329" t="n">
        <v>0</v>
      </c>
      <c r="P329" t="n">
        <v>0</v>
      </c>
      <c r="Q329" t="n">
        <v>0</v>
      </c>
      <c r="R329" s="2" t="inlineStr"/>
    </row>
    <row r="330" ht="15" customHeight="1">
      <c r="A330" t="inlineStr">
        <is>
          <t>A 54768-2024</t>
        </is>
      </c>
      <c r="B330" s="1" t="n">
        <v>45618</v>
      </c>
      <c r="C330" s="1" t="n">
        <v>45883</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13128-2023</t>
        </is>
      </c>
      <c r="B331" s="1" t="n">
        <v>45002</v>
      </c>
      <c r="C331" s="1" t="n">
        <v>45883</v>
      </c>
      <c r="D331" t="inlineStr">
        <is>
          <t>VÄSTMANLANDS LÄN</t>
        </is>
      </c>
      <c r="E331" t="inlineStr">
        <is>
          <t>SALA</t>
        </is>
      </c>
      <c r="G331" t="n">
        <v>7.9</v>
      </c>
      <c r="H331" t="n">
        <v>0</v>
      </c>
      <c r="I331" t="n">
        <v>0</v>
      </c>
      <c r="J331" t="n">
        <v>0</v>
      </c>
      <c r="K331" t="n">
        <v>0</v>
      </c>
      <c r="L331" t="n">
        <v>0</v>
      </c>
      <c r="M331" t="n">
        <v>0</v>
      </c>
      <c r="N331" t="n">
        <v>0</v>
      </c>
      <c r="O331" t="n">
        <v>0</v>
      </c>
      <c r="P331" t="n">
        <v>0</v>
      </c>
      <c r="Q331" t="n">
        <v>0</v>
      </c>
      <c r="R331" s="2" t="inlineStr"/>
    </row>
    <row r="332" ht="15" customHeight="1">
      <c r="A332" t="inlineStr">
        <is>
          <t>A 37958-2024</t>
        </is>
      </c>
      <c r="B332" s="1" t="n">
        <v>45544</v>
      </c>
      <c r="C332" s="1" t="n">
        <v>45883</v>
      </c>
      <c r="D332" t="inlineStr">
        <is>
          <t>VÄSTMANLANDS LÄN</t>
        </is>
      </c>
      <c r="E332" t="inlineStr">
        <is>
          <t>SALA</t>
        </is>
      </c>
      <c r="G332" t="n">
        <v>5.6</v>
      </c>
      <c r="H332" t="n">
        <v>0</v>
      </c>
      <c r="I332" t="n">
        <v>0</v>
      </c>
      <c r="J332" t="n">
        <v>0</v>
      </c>
      <c r="K332" t="n">
        <v>0</v>
      </c>
      <c r="L332" t="n">
        <v>0</v>
      </c>
      <c r="M332" t="n">
        <v>0</v>
      </c>
      <c r="N332" t="n">
        <v>0</v>
      </c>
      <c r="O332" t="n">
        <v>0</v>
      </c>
      <c r="P332" t="n">
        <v>0</v>
      </c>
      <c r="Q332" t="n">
        <v>0</v>
      </c>
      <c r="R332" s="2" t="inlineStr"/>
    </row>
    <row r="333" ht="15" customHeight="1">
      <c r="A333" t="inlineStr">
        <is>
          <t>A 61715-2024</t>
        </is>
      </c>
      <c r="B333" s="1" t="n">
        <v>45648.89519675926</v>
      </c>
      <c r="C333" s="1" t="n">
        <v>45883</v>
      </c>
      <c r="D333" t="inlineStr">
        <is>
          <t>VÄSTMANLANDS LÄN</t>
        </is>
      </c>
      <c r="E333" t="inlineStr">
        <is>
          <t>SALA</t>
        </is>
      </c>
      <c r="G333" t="n">
        <v>2.5</v>
      </c>
      <c r="H333" t="n">
        <v>0</v>
      </c>
      <c r="I333" t="n">
        <v>0</v>
      </c>
      <c r="J333" t="n">
        <v>0</v>
      </c>
      <c r="K333" t="n">
        <v>0</v>
      </c>
      <c r="L333" t="n">
        <v>0</v>
      </c>
      <c r="M333" t="n">
        <v>0</v>
      </c>
      <c r="N333" t="n">
        <v>0</v>
      </c>
      <c r="O333" t="n">
        <v>0</v>
      </c>
      <c r="P333" t="n">
        <v>0</v>
      </c>
      <c r="Q333" t="n">
        <v>0</v>
      </c>
      <c r="R333" s="2" t="inlineStr"/>
    </row>
    <row r="334" ht="15" customHeight="1">
      <c r="A334" t="inlineStr">
        <is>
          <t>A 18431-2023</t>
        </is>
      </c>
      <c r="B334" s="1" t="n">
        <v>45042</v>
      </c>
      <c r="C334" s="1" t="n">
        <v>45883</v>
      </c>
      <c r="D334" t="inlineStr">
        <is>
          <t>VÄSTMANLANDS LÄN</t>
        </is>
      </c>
      <c r="E334" t="inlineStr">
        <is>
          <t>SALA</t>
        </is>
      </c>
      <c r="G334" t="n">
        <v>1.9</v>
      </c>
      <c r="H334" t="n">
        <v>0</v>
      </c>
      <c r="I334" t="n">
        <v>0</v>
      </c>
      <c r="J334" t="n">
        <v>0</v>
      </c>
      <c r="K334" t="n">
        <v>0</v>
      </c>
      <c r="L334" t="n">
        <v>0</v>
      </c>
      <c r="M334" t="n">
        <v>0</v>
      </c>
      <c r="N334" t="n">
        <v>0</v>
      </c>
      <c r="O334" t="n">
        <v>0</v>
      </c>
      <c r="P334" t="n">
        <v>0</v>
      </c>
      <c r="Q334" t="n">
        <v>0</v>
      </c>
      <c r="R334" s="2" t="inlineStr"/>
    </row>
    <row r="335" ht="15" customHeight="1">
      <c r="A335" t="inlineStr">
        <is>
          <t>A 35519-2024</t>
        </is>
      </c>
      <c r="B335" s="1" t="n">
        <v>45531</v>
      </c>
      <c r="C335" s="1" t="n">
        <v>45883</v>
      </c>
      <c r="D335" t="inlineStr">
        <is>
          <t>VÄSTMANLANDS LÄN</t>
        </is>
      </c>
      <c r="E335" t="inlineStr">
        <is>
          <t>SALA</t>
        </is>
      </c>
      <c r="G335" t="n">
        <v>1.8</v>
      </c>
      <c r="H335" t="n">
        <v>0</v>
      </c>
      <c r="I335" t="n">
        <v>0</v>
      </c>
      <c r="J335" t="n">
        <v>0</v>
      </c>
      <c r="K335" t="n">
        <v>0</v>
      </c>
      <c r="L335" t="n">
        <v>0</v>
      </c>
      <c r="M335" t="n">
        <v>0</v>
      </c>
      <c r="N335" t="n">
        <v>0</v>
      </c>
      <c r="O335" t="n">
        <v>0</v>
      </c>
      <c r="P335" t="n">
        <v>0</v>
      </c>
      <c r="Q335" t="n">
        <v>0</v>
      </c>
      <c r="R335" s="2" t="inlineStr"/>
    </row>
    <row r="336" ht="15" customHeight="1">
      <c r="A336" t="inlineStr">
        <is>
          <t>A 56150-2024</t>
        </is>
      </c>
      <c r="B336" s="1" t="n">
        <v>45624.51481481481</v>
      </c>
      <c r="C336" s="1" t="n">
        <v>45883</v>
      </c>
      <c r="D336" t="inlineStr">
        <is>
          <t>VÄSTMANLANDS LÄN</t>
        </is>
      </c>
      <c r="E336" t="inlineStr">
        <is>
          <t>SALA</t>
        </is>
      </c>
      <c r="G336" t="n">
        <v>2.6</v>
      </c>
      <c r="H336" t="n">
        <v>0</v>
      </c>
      <c r="I336" t="n">
        <v>0</v>
      </c>
      <c r="J336" t="n">
        <v>0</v>
      </c>
      <c r="K336" t="n">
        <v>0</v>
      </c>
      <c r="L336" t="n">
        <v>0</v>
      </c>
      <c r="M336" t="n">
        <v>0</v>
      </c>
      <c r="N336" t="n">
        <v>0</v>
      </c>
      <c r="O336" t="n">
        <v>0</v>
      </c>
      <c r="P336" t="n">
        <v>0</v>
      </c>
      <c r="Q336" t="n">
        <v>0</v>
      </c>
      <c r="R336" s="2" t="inlineStr"/>
    </row>
    <row r="337" ht="15" customHeight="1">
      <c r="A337" t="inlineStr">
        <is>
          <t>A 16404-2022</t>
        </is>
      </c>
      <c r="B337" s="1" t="n">
        <v>44671</v>
      </c>
      <c r="C337" s="1" t="n">
        <v>45883</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6097-2022</t>
        </is>
      </c>
      <c r="B338" s="1" t="n">
        <v>44599</v>
      </c>
      <c r="C338" s="1" t="n">
        <v>45883</v>
      </c>
      <c r="D338" t="inlineStr">
        <is>
          <t>VÄSTMANLANDS LÄN</t>
        </is>
      </c>
      <c r="E338" t="inlineStr">
        <is>
          <t>SALA</t>
        </is>
      </c>
      <c r="G338" t="n">
        <v>0.6</v>
      </c>
      <c r="H338" t="n">
        <v>0</v>
      </c>
      <c r="I338" t="n">
        <v>0</v>
      </c>
      <c r="J338" t="n">
        <v>0</v>
      </c>
      <c r="K338" t="n">
        <v>0</v>
      </c>
      <c r="L338" t="n">
        <v>0</v>
      </c>
      <c r="M338" t="n">
        <v>0</v>
      </c>
      <c r="N338" t="n">
        <v>0</v>
      </c>
      <c r="O338" t="n">
        <v>0</v>
      </c>
      <c r="P338" t="n">
        <v>0</v>
      </c>
      <c r="Q338" t="n">
        <v>0</v>
      </c>
      <c r="R338" s="2" t="inlineStr"/>
    </row>
    <row r="339" ht="15" customHeight="1">
      <c r="A339" t="inlineStr">
        <is>
          <t>A 57650-2024</t>
        </is>
      </c>
      <c r="B339" s="1" t="n">
        <v>45630</v>
      </c>
      <c r="C339" s="1" t="n">
        <v>45883</v>
      </c>
      <c r="D339" t="inlineStr">
        <is>
          <t>VÄSTMANLANDS LÄN</t>
        </is>
      </c>
      <c r="E339" t="inlineStr">
        <is>
          <t>SALA</t>
        </is>
      </c>
      <c r="G339" t="n">
        <v>0.6</v>
      </c>
      <c r="H339" t="n">
        <v>0</v>
      </c>
      <c r="I339" t="n">
        <v>0</v>
      </c>
      <c r="J339" t="n">
        <v>0</v>
      </c>
      <c r="K339" t="n">
        <v>0</v>
      </c>
      <c r="L339" t="n">
        <v>0</v>
      </c>
      <c r="M339" t="n">
        <v>0</v>
      </c>
      <c r="N339" t="n">
        <v>0</v>
      </c>
      <c r="O339" t="n">
        <v>0</v>
      </c>
      <c r="P339" t="n">
        <v>0</v>
      </c>
      <c r="Q339" t="n">
        <v>0</v>
      </c>
      <c r="R339" s="2" t="inlineStr"/>
    </row>
    <row r="340" ht="15" customHeight="1">
      <c r="A340" t="inlineStr">
        <is>
          <t>A 42345-2020</t>
        </is>
      </c>
      <c r="B340" s="1" t="n">
        <v>44076</v>
      </c>
      <c r="C340" s="1" t="n">
        <v>45883</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54347-2024</t>
        </is>
      </c>
      <c r="B341" s="1" t="n">
        <v>45617.39325231482</v>
      </c>
      <c r="C341" s="1" t="n">
        <v>45883</v>
      </c>
      <c r="D341" t="inlineStr">
        <is>
          <t>VÄSTMANLANDS LÄN</t>
        </is>
      </c>
      <c r="E341" t="inlineStr">
        <is>
          <t>SALA</t>
        </is>
      </c>
      <c r="G341" t="n">
        <v>2</v>
      </c>
      <c r="H341" t="n">
        <v>0</v>
      </c>
      <c r="I341" t="n">
        <v>0</v>
      </c>
      <c r="J341" t="n">
        <v>0</v>
      </c>
      <c r="K341" t="n">
        <v>0</v>
      </c>
      <c r="L341" t="n">
        <v>0</v>
      </c>
      <c r="M341" t="n">
        <v>0</v>
      </c>
      <c r="N341" t="n">
        <v>0</v>
      </c>
      <c r="O341" t="n">
        <v>0</v>
      </c>
      <c r="P341" t="n">
        <v>0</v>
      </c>
      <c r="Q341" t="n">
        <v>0</v>
      </c>
      <c r="R341" s="2" t="inlineStr"/>
    </row>
    <row r="342" ht="15" customHeight="1">
      <c r="A342" t="inlineStr">
        <is>
          <t>A 10559-2024</t>
        </is>
      </c>
      <c r="B342" s="1" t="n">
        <v>45366</v>
      </c>
      <c r="C342" s="1" t="n">
        <v>45883</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10255-2024</t>
        </is>
      </c>
      <c r="B343" s="1" t="n">
        <v>45365</v>
      </c>
      <c r="C343" s="1" t="n">
        <v>45883</v>
      </c>
      <c r="D343" t="inlineStr">
        <is>
          <t>VÄSTMANLANDS LÄN</t>
        </is>
      </c>
      <c r="E343" t="inlineStr">
        <is>
          <t>SALA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60545-2024</t>
        </is>
      </c>
      <c r="B344" s="1" t="n">
        <v>45643</v>
      </c>
      <c r="C344" s="1" t="n">
        <v>45883</v>
      </c>
      <c r="D344" t="inlineStr">
        <is>
          <t>VÄSTMANLANDS LÄN</t>
        </is>
      </c>
      <c r="E344" t="inlineStr">
        <is>
          <t>SALA</t>
        </is>
      </c>
      <c r="G344" t="n">
        <v>3.3</v>
      </c>
      <c r="H344" t="n">
        <v>0</v>
      </c>
      <c r="I344" t="n">
        <v>0</v>
      </c>
      <c r="J344" t="n">
        <v>0</v>
      </c>
      <c r="K344" t="n">
        <v>0</v>
      </c>
      <c r="L344" t="n">
        <v>0</v>
      </c>
      <c r="M344" t="n">
        <v>0</v>
      </c>
      <c r="N344" t="n">
        <v>0</v>
      </c>
      <c r="O344" t="n">
        <v>0</v>
      </c>
      <c r="P344" t="n">
        <v>0</v>
      </c>
      <c r="Q344" t="n">
        <v>0</v>
      </c>
      <c r="R344" s="2" t="inlineStr"/>
    </row>
    <row r="345" ht="15" customHeight="1">
      <c r="A345" t="inlineStr">
        <is>
          <t>A 60547-2024</t>
        </is>
      </c>
      <c r="B345" s="1" t="n">
        <v>45643</v>
      </c>
      <c r="C345" s="1" t="n">
        <v>45883</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28696-2023</t>
        </is>
      </c>
      <c r="B346" s="1" t="n">
        <v>45103.71759259259</v>
      </c>
      <c r="C346" s="1" t="n">
        <v>45883</v>
      </c>
      <c r="D346" t="inlineStr">
        <is>
          <t>VÄSTMANLANDS LÄN</t>
        </is>
      </c>
      <c r="E346" t="inlineStr">
        <is>
          <t>SALA</t>
        </is>
      </c>
      <c r="F346" t="inlineStr">
        <is>
          <t>Kommuner</t>
        </is>
      </c>
      <c r="G346" t="n">
        <v>5.9</v>
      </c>
      <c r="H346" t="n">
        <v>0</v>
      </c>
      <c r="I346" t="n">
        <v>0</v>
      </c>
      <c r="J346" t="n">
        <v>0</v>
      </c>
      <c r="K346" t="n">
        <v>0</v>
      </c>
      <c r="L346" t="n">
        <v>0</v>
      </c>
      <c r="M346" t="n">
        <v>0</v>
      </c>
      <c r="N346" t="n">
        <v>0</v>
      </c>
      <c r="O346" t="n">
        <v>0</v>
      </c>
      <c r="P346" t="n">
        <v>0</v>
      </c>
      <c r="Q346" t="n">
        <v>0</v>
      </c>
      <c r="R346" s="2" t="inlineStr"/>
    </row>
    <row r="347" ht="15" customHeight="1">
      <c r="A347" t="inlineStr">
        <is>
          <t>A 15965-2024</t>
        </is>
      </c>
      <c r="B347" s="1" t="n">
        <v>45405.55740740741</v>
      </c>
      <c r="C347" s="1" t="n">
        <v>45883</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13022-2023</t>
        </is>
      </c>
      <c r="B348" s="1" t="n">
        <v>45002.33291666667</v>
      </c>
      <c r="C348" s="1" t="n">
        <v>45883</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35003-2024</t>
        </is>
      </c>
      <c r="B349" s="1" t="n">
        <v>45527.56790509259</v>
      </c>
      <c r="C349" s="1" t="n">
        <v>45883</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31072-2021</t>
        </is>
      </c>
      <c r="B350" s="1" t="n">
        <v>44368</v>
      </c>
      <c r="C350" s="1" t="n">
        <v>45883</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1196-2023</t>
        </is>
      </c>
      <c r="B351" s="1" t="n">
        <v>44935.82290509259</v>
      </c>
      <c r="C351" s="1" t="n">
        <v>45883</v>
      </c>
      <c r="D351" t="inlineStr">
        <is>
          <t>VÄSTMANLANDS LÄN</t>
        </is>
      </c>
      <c r="E351" t="inlineStr">
        <is>
          <t>SALA</t>
        </is>
      </c>
      <c r="G351" t="n">
        <v>4.1</v>
      </c>
      <c r="H351" t="n">
        <v>0</v>
      </c>
      <c r="I351" t="n">
        <v>0</v>
      </c>
      <c r="J351" t="n">
        <v>0</v>
      </c>
      <c r="K351" t="n">
        <v>0</v>
      </c>
      <c r="L351" t="n">
        <v>0</v>
      </c>
      <c r="M351" t="n">
        <v>0</v>
      </c>
      <c r="N351" t="n">
        <v>0</v>
      </c>
      <c r="O351" t="n">
        <v>0</v>
      </c>
      <c r="P351" t="n">
        <v>0</v>
      </c>
      <c r="Q351" t="n">
        <v>0</v>
      </c>
      <c r="R351" s="2" t="inlineStr"/>
    </row>
    <row r="352" ht="15" customHeight="1">
      <c r="A352" t="inlineStr">
        <is>
          <t>A 17320-2025</t>
        </is>
      </c>
      <c r="B352" s="1" t="n">
        <v>45756</v>
      </c>
      <c r="C352" s="1" t="n">
        <v>45883</v>
      </c>
      <c r="D352" t="inlineStr">
        <is>
          <t>VÄSTMANLANDS LÄN</t>
        </is>
      </c>
      <c r="E352" t="inlineStr">
        <is>
          <t>SALA</t>
        </is>
      </c>
      <c r="F352" t="inlineStr">
        <is>
          <t>Kommuner</t>
        </is>
      </c>
      <c r="G352" t="n">
        <v>2.8</v>
      </c>
      <c r="H352" t="n">
        <v>0</v>
      </c>
      <c r="I352" t="n">
        <v>0</v>
      </c>
      <c r="J352" t="n">
        <v>0</v>
      </c>
      <c r="K352" t="n">
        <v>0</v>
      </c>
      <c r="L352" t="n">
        <v>0</v>
      </c>
      <c r="M352" t="n">
        <v>0</v>
      </c>
      <c r="N352" t="n">
        <v>0</v>
      </c>
      <c r="O352" t="n">
        <v>0</v>
      </c>
      <c r="P352" t="n">
        <v>0</v>
      </c>
      <c r="Q352" t="n">
        <v>0</v>
      </c>
      <c r="R352" s="2" t="inlineStr"/>
    </row>
    <row r="353" ht="15" customHeight="1">
      <c r="A353" t="inlineStr">
        <is>
          <t>A 16543-2023</t>
        </is>
      </c>
      <c r="B353" s="1" t="n">
        <v>45029</v>
      </c>
      <c r="C353" s="1" t="n">
        <v>45883</v>
      </c>
      <c r="D353" t="inlineStr">
        <is>
          <t>VÄSTMANLANDS LÄN</t>
        </is>
      </c>
      <c r="E353" t="inlineStr">
        <is>
          <t>SALA</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44518.48670138889</v>
      </c>
      <c r="C354" s="1" t="n">
        <v>45883</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6030-2024</t>
        </is>
      </c>
      <c r="B355" s="1" t="n">
        <v>45336.62782407407</v>
      </c>
      <c r="C355" s="1" t="n">
        <v>45883</v>
      </c>
      <c r="D355" t="inlineStr">
        <is>
          <t>VÄSTMANLANDS LÄN</t>
        </is>
      </c>
      <c r="E355" t="inlineStr">
        <is>
          <t>SALA</t>
        </is>
      </c>
      <c r="G355" t="n">
        <v>3.9</v>
      </c>
      <c r="H355" t="n">
        <v>0</v>
      </c>
      <c r="I355" t="n">
        <v>0</v>
      </c>
      <c r="J355" t="n">
        <v>0</v>
      </c>
      <c r="K355" t="n">
        <v>0</v>
      </c>
      <c r="L355" t="n">
        <v>0</v>
      </c>
      <c r="M355" t="n">
        <v>0</v>
      </c>
      <c r="N355" t="n">
        <v>0</v>
      </c>
      <c r="O355" t="n">
        <v>0</v>
      </c>
      <c r="P355" t="n">
        <v>0</v>
      </c>
      <c r="Q355" t="n">
        <v>0</v>
      </c>
      <c r="R355" s="2" t="inlineStr"/>
    </row>
    <row r="356" ht="15" customHeight="1">
      <c r="A356" t="inlineStr">
        <is>
          <t>A 22523-2023</t>
        </is>
      </c>
      <c r="B356" s="1" t="n">
        <v>45069</v>
      </c>
      <c r="C356" s="1" t="n">
        <v>45883</v>
      </c>
      <c r="D356" t="inlineStr">
        <is>
          <t>VÄSTMANLANDS LÄN</t>
        </is>
      </c>
      <c r="E356" t="inlineStr">
        <is>
          <t>SALA</t>
        </is>
      </c>
      <c r="G356" t="n">
        <v>2.4</v>
      </c>
      <c r="H356" t="n">
        <v>0</v>
      </c>
      <c r="I356" t="n">
        <v>0</v>
      </c>
      <c r="J356" t="n">
        <v>0</v>
      </c>
      <c r="K356" t="n">
        <v>0</v>
      </c>
      <c r="L356" t="n">
        <v>0</v>
      </c>
      <c r="M356" t="n">
        <v>0</v>
      </c>
      <c r="N356" t="n">
        <v>0</v>
      </c>
      <c r="O356" t="n">
        <v>0</v>
      </c>
      <c r="P356" t="n">
        <v>0</v>
      </c>
      <c r="Q356" t="n">
        <v>0</v>
      </c>
      <c r="R356" s="2" t="inlineStr"/>
    </row>
    <row r="357" ht="15" customHeight="1">
      <c r="A357" t="inlineStr">
        <is>
          <t>A 4663-2022</t>
        </is>
      </c>
      <c r="B357" s="1" t="n">
        <v>44592.45429398148</v>
      </c>
      <c r="C357" s="1" t="n">
        <v>45883</v>
      </c>
      <c r="D357" t="inlineStr">
        <is>
          <t>VÄSTMANLANDS LÄN</t>
        </is>
      </c>
      <c r="E357" t="inlineStr">
        <is>
          <t>SALA</t>
        </is>
      </c>
      <c r="G357" t="n">
        <v>2.5</v>
      </c>
      <c r="H357" t="n">
        <v>0</v>
      </c>
      <c r="I357" t="n">
        <v>0</v>
      </c>
      <c r="J357" t="n">
        <v>0</v>
      </c>
      <c r="K357" t="n">
        <v>0</v>
      </c>
      <c r="L357" t="n">
        <v>0</v>
      </c>
      <c r="M357" t="n">
        <v>0</v>
      </c>
      <c r="N357" t="n">
        <v>0</v>
      </c>
      <c r="O357" t="n">
        <v>0</v>
      </c>
      <c r="P357" t="n">
        <v>0</v>
      </c>
      <c r="Q357" t="n">
        <v>0</v>
      </c>
      <c r="R357" s="2" t="inlineStr"/>
    </row>
    <row r="358" ht="15" customHeight="1">
      <c r="A358" t="inlineStr">
        <is>
          <t>A 26761-2023</t>
        </is>
      </c>
      <c r="B358" s="1" t="n">
        <v>45093</v>
      </c>
      <c r="C358" s="1" t="n">
        <v>45883</v>
      </c>
      <c r="D358" t="inlineStr">
        <is>
          <t>VÄSTMANLANDS LÄN</t>
        </is>
      </c>
      <c r="E358" t="inlineStr">
        <is>
          <t>SALA</t>
        </is>
      </c>
      <c r="G358" t="n">
        <v>4.3</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45883</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62651-2022</t>
        </is>
      </c>
      <c r="B360" s="1" t="n">
        <v>44917</v>
      </c>
      <c r="C360" s="1" t="n">
        <v>45883</v>
      </c>
      <c r="D360" t="inlineStr">
        <is>
          <t>VÄSTMANLANDS LÄN</t>
        </is>
      </c>
      <c r="E360" t="inlineStr">
        <is>
          <t>SALA</t>
        </is>
      </c>
      <c r="G360" t="n">
        <v>0.4</v>
      </c>
      <c r="H360" t="n">
        <v>0</v>
      </c>
      <c r="I360" t="n">
        <v>0</v>
      </c>
      <c r="J360" t="n">
        <v>0</v>
      </c>
      <c r="K360" t="n">
        <v>0</v>
      </c>
      <c r="L360" t="n">
        <v>0</v>
      </c>
      <c r="M360" t="n">
        <v>0</v>
      </c>
      <c r="N360" t="n">
        <v>0</v>
      </c>
      <c r="O360" t="n">
        <v>0</v>
      </c>
      <c r="P360" t="n">
        <v>0</v>
      </c>
      <c r="Q360" t="n">
        <v>0</v>
      </c>
      <c r="R360" s="2" t="inlineStr"/>
    </row>
    <row r="361" ht="15" customHeight="1">
      <c r="A361" t="inlineStr">
        <is>
          <t>A 6132-2025</t>
        </is>
      </c>
      <c r="B361" s="1" t="n">
        <v>45698</v>
      </c>
      <c r="C361" s="1" t="n">
        <v>45883</v>
      </c>
      <c r="D361" t="inlineStr">
        <is>
          <t>VÄSTMANLANDS LÄN</t>
        </is>
      </c>
      <c r="E361" t="inlineStr">
        <is>
          <t>SALA</t>
        </is>
      </c>
      <c r="F361" t="inlineStr">
        <is>
          <t>Bergvik skog öst AB</t>
        </is>
      </c>
      <c r="G361" t="n">
        <v>1.5</v>
      </c>
      <c r="H361" t="n">
        <v>0</v>
      </c>
      <c r="I361" t="n">
        <v>0</v>
      </c>
      <c r="J361" t="n">
        <v>0</v>
      </c>
      <c r="K361" t="n">
        <v>0</v>
      </c>
      <c r="L361" t="n">
        <v>0</v>
      </c>
      <c r="M361" t="n">
        <v>0</v>
      </c>
      <c r="N361" t="n">
        <v>0</v>
      </c>
      <c r="O361" t="n">
        <v>0</v>
      </c>
      <c r="P361" t="n">
        <v>0</v>
      </c>
      <c r="Q361" t="n">
        <v>0</v>
      </c>
      <c r="R361" s="2" t="inlineStr"/>
    </row>
    <row r="362" ht="15" customHeight="1">
      <c r="A362" t="inlineStr">
        <is>
          <t>A 54836-2024</t>
        </is>
      </c>
      <c r="B362" s="1" t="n">
        <v>45618</v>
      </c>
      <c r="C362" s="1" t="n">
        <v>45883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13987-2023</t>
        </is>
      </c>
      <c r="B363" s="1" t="n">
        <v>45007</v>
      </c>
      <c r="C363" s="1" t="n">
        <v>45883</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13990-2023</t>
        </is>
      </c>
      <c r="B364" s="1" t="n">
        <v>45007</v>
      </c>
      <c r="C364" s="1" t="n">
        <v>45883</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31859-2023</t>
        </is>
      </c>
      <c r="B365" s="1" t="n">
        <v>45118</v>
      </c>
      <c r="C365" s="1" t="n">
        <v>45883</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c r="U365">
        <f>HYPERLINK("https://klasma.github.io/Logging_1981/knärot/A 31859-2023 karta knärot.png", "A 31859-2023")</f>
        <v/>
      </c>
      <c r="V365">
        <f>HYPERLINK("https://klasma.github.io/Logging_1981/klagomål/A 31859-2023 FSC-klagomål.docx", "A 31859-2023")</f>
        <v/>
      </c>
      <c r="W365">
        <f>HYPERLINK("https://klasma.github.io/Logging_1981/klagomålsmail/A 31859-2023 FSC-klagomål mail.docx", "A 31859-2023")</f>
        <v/>
      </c>
      <c r="X365">
        <f>HYPERLINK("https://klasma.github.io/Logging_1981/tillsyn/A 31859-2023 tillsynsbegäran.docx", "A 31859-2023")</f>
        <v/>
      </c>
      <c r="Y365">
        <f>HYPERLINK("https://klasma.github.io/Logging_1981/tillsynsmail/A 31859-2023 tillsynsbegäran mail.docx", "A 31859-2023")</f>
        <v/>
      </c>
    </row>
    <row r="366" ht="15" customHeight="1">
      <c r="A366" t="inlineStr">
        <is>
          <t>A 51464-2024</t>
        </is>
      </c>
      <c r="B366" s="1" t="n">
        <v>45604.49768518518</v>
      </c>
      <c r="C366" s="1" t="n">
        <v>45883</v>
      </c>
      <c r="D366" t="inlineStr">
        <is>
          <t>VÄSTMANLANDS LÄN</t>
        </is>
      </c>
      <c r="E366" t="inlineStr">
        <is>
          <t>SALA</t>
        </is>
      </c>
      <c r="G366" t="n">
        <v>3.9</v>
      </c>
      <c r="H366" t="n">
        <v>0</v>
      </c>
      <c r="I366" t="n">
        <v>0</v>
      </c>
      <c r="J366" t="n">
        <v>0</v>
      </c>
      <c r="K366" t="n">
        <v>0</v>
      </c>
      <c r="L366" t="n">
        <v>0</v>
      </c>
      <c r="M366" t="n">
        <v>0</v>
      </c>
      <c r="N366" t="n">
        <v>0</v>
      </c>
      <c r="O366" t="n">
        <v>0</v>
      </c>
      <c r="P366" t="n">
        <v>0</v>
      </c>
      <c r="Q366" t="n">
        <v>0</v>
      </c>
      <c r="R366" s="2" t="inlineStr"/>
    </row>
    <row r="367" ht="15" customHeight="1">
      <c r="A367" t="inlineStr">
        <is>
          <t>A 1128-2025</t>
        </is>
      </c>
      <c r="B367" s="1" t="n">
        <v>45666.68469907407</v>
      </c>
      <c r="C367" s="1" t="n">
        <v>45883</v>
      </c>
      <c r="D367" t="inlineStr">
        <is>
          <t>VÄSTMANLANDS LÄN</t>
        </is>
      </c>
      <c r="E367" t="inlineStr">
        <is>
          <t>SALA</t>
        </is>
      </c>
      <c r="G367" t="n">
        <v>2.5</v>
      </c>
      <c r="H367" t="n">
        <v>0</v>
      </c>
      <c r="I367" t="n">
        <v>0</v>
      </c>
      <c r="J367" t="n">
        <v>0</v>
      </c>
      <c r="K367" t="n">
        <v>0</v>
      </c>
      <c r="L367" t="n">
        <v>0</v>
      </c>
      <c r="M367" t="n">
        <v>0</v>
      </c>
      <c r="N367" t="n">
        <v>0</v>
      </c>
      <c r="O367" t="n">
        <v>0</v>
      </c>
      <c r="P367" t="n">
        <v>0</v>
      </c>
      <c r="Q367" t="n">
        <v>0</v>
      </c>
      <c r="R367" s="2" t="inlineStr"/>
    </row>
    <row r="368" ht="15" customHeight="1">
      <c r="A368" t="inlineStr">
        <is>
          <t>A 39364-2024</t>
        </is>
      </c>
      <c r="B368" s="1" t="n">
        <v>45551.46748842593</v>
      </c>
      <c r="C368" s="1" t="n">
        <v>45883</v>
      </c>
      <c r="D368" t="inlineStr">
        <is>
          <t>VÄSTMANLANDS LÄN</t>
        </is>
      </c>
      <c r="E368" t="inlineStr">
        <is>
          <t>SALA</t>
        </is>
      </c>
      <c r="G368" t="n">
        <v>2.8</v>
      </c>
      <c r="H368" t="n">
        <v>0</v>
      </c>
      <c r="I368" t="n">
        <v>0</v>
      </c>
      <c r="J368" t="n">
        <v>0</v>
      </c>
      <c r="K368" t="n">
        <v>0</v>
      </c>
      <c r="L368" t="n">
        <v>0</v>
      </c>
      <c r="M368" t="n">
        <v>0</v>
      </c>
      <c r="N368" t="n">
        <v>0</v>
      </c>
      <c r="O368" t="n">
        <v>0</v>
      </c>
      <c r="P368" t="n">
        <v>0</v>
      </c>
      <c r="Q368" t="n">
        <v>0</v>
      </c>
      <c r="R368" s="2" t="inlineStr"/>
    </row>
    <row r="369" ht="15" customHeight="1">
      <c r="A369" t="inlineStr">
        <is>
          <t>A 43176-2023</t>
        </is>
      </c>
      <c r="B369" s="1" t="n">
        <v>45183</v>
      </c>
      <c r="C369" s="1" t="n">
        <v>45883</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7772-2023</t>
        </is>
      </c>
      <c r="B370" s="1" t="n">
        <v>44973.40076388889</v>
      </c>
      <c r="C370" s="1" t="n">
        <v>45883</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73835-2021</t>
        </is>
      </c>
      <c r="B371" s="1" t="n">
        <v>44552.92112268518</v>
      </c>
      <c r="C371" s="1" t="n">
        <v>45883</v>
      </c>
      <c r="D371" t="inlineStr">
        <is>
          <t>VÄSTMANLANDS LÄN</t>
        </is>
      </c>
      <c r="E371" t="inlineStr">
        <is>
          <t>SALA</t>
        </is>
      </c>
      <c r="G371" t="n">
        <v>2</v>
      </c>
      <c r="H371" t="n">
        <v>0</v>
      </c>
      <c r="I371" t="n">
        <v>0</v>
      </c>
      <c r="J371" t="n">
        <v>0</v>
      </c>
      <c r="K371" t="n">
        <v>0</v>
      </c>
      <c r="L371" t="n">
        <v>0</v>
      </c>
      <c r="M371" t="n">
        <v>0</v>
      </c>
      <c r="N371" t="n">
        <v>0</v>
      </c>
      <c r="O371" t="n">
        <v>0</v>
      </c>
      <c r="P371" t="n">
        <v>0</v>
      </c>
      <c r="Q371" t="n">
        <v>0</v>
      </c>
      <c r="R371" s="2" t="inlineStr"/>
    </row>
    <row r="372" ht="15" customHeight="1">
      <c r="A372" t="inlineStr">
        <is>
          <t>A 60379-2022</t>
        </is>
      </c>
      <c r="B372" s="1" t="n">
        <v>44910</v>
      </c>
      <c r="C372" s="1" t="n">
        <v>45883</v>
      </c>
      <c r="D372" t="inlineStr">
        <is>
          <t>VÄSTMANLANDS LÄN</t>
        </is>
      </c>
      <c r="E372" t="inlineStr">
        <is>
          <t>SALA</t>
        </is>
      </c>
      <c r="F372" t="inlineStr">
        <is>
          <t>Kyrkan</t>
        </is>
      </c>
      <c r="G372" t="n">
        <v>2.5</v>
      </c>
      <c r="H372" t="n">
        <v>0</v>
      </c>
      <c r="I372" t="n">
        <v>0</v>
      </c>
      <c r="J372" t="n">
        <v>0</v>
      </c>
      <c r="K372" t="n">
        <v>0</v>
      </c>
      <c r="L372" t="n">
        <v>0</v>
      </c>
      <c r="M372" t="n">
        <v>0</v>
      </c>
      <c r="N372" t="n">
        <v>0</v>
      </c>
      <c r="O372" t="n">
        <v>0</v>
      </c>
      <c r="P372" t="n">
        <v>0</v>
      </c>
      <c r="Q372" t="n">
        <v>0</v>
      </c>
      <c r="R372" s="2" t="inlineStr"/>
    </row>
    <row r="373" ht="15" customHeight="1">
      <c r="A373" t="inlineStr">
        <is>
          <t>A 61681-2024</t>
        </is>
      </c>
      <c r="B373" s="1" t="n">
        <v>45647</v>
      </c>
      <c r="C373" s="1" t="n">
        <v>45883</v>
      </c>
      <c r="D373" t="inlineStr">
        <is>
          <t>VÄSTMANLANDS LÄN</t>
        </is>
      </c>
      <c r="E373" t="inlineStr">
        <is>
          <t>SALA</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54960-2024</t>
        </is>
      </c>
      <c r="B374" s="1" t="n">
        <v>45619.85208333333</v>
      </c>
      <c r="C374" s="1" t="n">
        <v>45883</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1638-2023</t>
        </is>
      </c>
      <c r="B375" s="1" t="n">
        <v>44937</v>
      </c>
      <c r="C375" s="1" t="n">
        <v>45883</v>
      </c>
      <c r="D375" t="inlineStr">
        <is>
          <t>VÄSTMANLANDS LÄN</t>
        </is>
      </c>
      <c r="E375" t="inlineStr">
        <is>
          <t>SALA</t>
        </is>
      </c>
      <c r="G375" t="n">
        <v>3.1</v>
      </c>
      <c r="H375" t="n">
        <v>0</v>
      </c>
      <c r="I375" t="n">
        <v>0</v>
      </c>
      <c r="J375" t="n">
        <v>0</v>
      </c>
      <c r="K375" t="n">
        <v>0</v>
      </c>
      <c r="L375" t="n">
        <v>0</v>
      </c>
      <c r="M375" t="n">
        <v>0</v>
      </c>
      <c r="N375" t="n">
        <v>0</v>
      </c>
      <c r="O375" t="n">
        <v>0</v>
      </c>
      <c r="P375" t="n">
        <v>0</v>
      </c>
      <c r="Q375" t="n">
        <v>0</v>
      </c>
      <c r="R375" s="2" t="inlineStr"/>
    </row>
    <row r="376" ht="15" customHeight="1">
      <c r="A376" t="inlineStr">
        <is>
          <t>A 21968-2024</t>
        </is>
      </c>
      <c r="B376" s="1" t="n">
        <v>45443</v>
      </c>
      <c r="C376" s="1" t="n">
        <v>45883</v>
      </c>
      <c r="D376" t="inlineStr">
        <is>
          <t>VÄSTMANLANDS LÄN</t>
        </is>
      </c>
      <c r="E376" t="inlineStr">
        <is>
          <t>SALA</t>
        </is>
      </c>
      <c r="G376" t="n">
        <v>1.9</v>
      </c>
      <c r="H376" t="n">
        <v>0</v>
      </c>
      <c r="I376" t="n">
        <v>0</v>
      </c>
      <c r="J376" t="n">
        <v>0</v>
      </c>
      <c r="K376" t="n">
        <v>0</v>
      </c>
      <c r="L376" t="n">
        <v>0</v>
      </c>
      <c r="M376" t="n">
        <v>0</v>
      </c>
      <c r="N376" t="n">
        <v>0</v>
      </c>
      <c r="O376" t="n">
        <v>0</v>
      </c>
      <c r="P376" t="n">
        <v>0</v>
      </c>
      <c r="Q376" t="n">
        <v>0</v>
      </c>
      <c r="R376" s="2" t="inlineStr"/>
    </row>
    <row r="377" ht="15" customHeight="1">
      <c r="A377" t="inlineStr">
        <is>
          <t>A 7953-2024</t>
        </is>
      </c>
      <c r="B377" s="1" t="n">
        <v>45350</v>
      </c>
      <c r="C377" s="1" t="n">
        <v>45883</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31082-2021</t>
        </is>
      </c>
      <c r="B378" s="1" t="n">
        <v>44368</v>
      </c>
      <c r="C378" s="1" t="n">
        <v>45883</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20352-2022</t>
        </is>
      </c>
      <c r="B379" s="1" t="n">
        <v>44699.37318287037</v>
      </c>
      <c r="C379" s="1" t="n">
        <v>45883</v>
      </c>
      <c r="D379" t="inlineStr">
        <is>
          <t>VÄSTMANLANDS LÄN</t>
        </is>
      </c>
      <c r="E379" t="inlineStr">
        <is>
          <t>SALA</t>
        </is>
      </c>
      <c r="G379" t="n">
        <v>1.3</v>
      </c>
      <c r="H379" t="n">
        <v>0</v>
      </c>
      <c r="I379" t="n">
        <v>0</v>
      </c>
      <c r="J379" t="n">
        <v>0</v>
      </c>
      <c r="K379" t="n">
        <v>0</v>
      </c>
      <c r="L379" t="n">
        <v>0</v>
      </c>
      <c r="M379" t="n">
        <v>0</v>
      </c>
      <c r="N379" t="n">
        <v>0</v>
      </c>
      <c r="O379" t="n">
        <v>0</v>
      </c>
      <c r="P379" t="n">
        <v>0</v>
      </c>
      <c r="Q379" t="n">
        <v>0</v>
      </c>
      <c r="R379" s="2" t="inlineStr"/>
    </row>
    <row r="380" ht="15" customHeight="1">
      <c r="A380" t="inlineStr">
        <is>
          <t>A 5477-2024</t>
        </is>
      </c>
      <c r="B380" s="1" t="n">
        <v>45333.67833333334</v>
      </c>
      <c r="C380" s="1" t="n">
        <v>45883</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42416-2022</t>
        </is>
      </c>
      <c r="B381" s="1" t="n">
        <v>44831</v>
      </c>
      <c r="C381" s="1" t="n">
        <v>45883</v>
      </c>
      <c r="D381" t="inlineStr">
        <is>
          <t>VÄSTMANLANDS LÄN</t>
        </is>
      </c>
      <c r="E381" t="inlineStr">
        <is>
          <t>SALA</t>
        </is>
      </c>
      <c r="G381" t="n">
        <v>2.2</v>
      </c>
      <c r="H381" t="n">
        <v>0</v>
      </c>
      <c r="I381" t="n">
        <v>0</v>
      </c>
      <c r="J381" t="n">
        <v>0</v>
      </c>
      <c r="K381" t="n">
        <v>0</v>
      </c>
      <c r="L381" t="n">
        <v>0</v>
      </c>
      <c r="M381" t="n">
        <v>0</v>
      </c>
      <c r="N381" t="n">
        <v>0</v>
      </c>
      <c r="O381" t="n">
        <v>0</v>
      </c>
      <c r="P381" t="n">
        <v>0</v>
      </c>
      <c r="Q381" t="n">
        <v>0</v>
      </c>
      <c r="R381" s="2" t="inlineStr"/>
    </row>
    <row r="382" ht="15" customHeight="1">
      <c r="A382" t="inlineStr">
        <is>
          <t>A 19381-2025</t>
        </is>
      </c>
      <c r="B382" s="1" t="n">
        <v>45769</v>
      </c>
      <c r="C382" s="1" t="n">
        <v>45883</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48688-2024</t>
        </is>
      </c>
      <c r="B383" s="1" t="n">
        <v>45593.50541666667</v>
      </c>
      <c r="C383" s="1" t="n">
        <v>45883</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27657-2023</t>
        </is>
      </c>
      <c r="B384" s="1" t="n">
        <v>45097.76631944445</v>
      </c>
      <c r="C384" s="1" t="n">
        <v>45883</v>
      </c>
      <c r="D384" t="inlineStr">
        <is>
          <t>VÄSTMANLANDS LÄN</t>
        </is>
      </c>
      <c r="E384" t="inlineStr">
        <is>
          <t>SALA</t>
        </is>
      </c>
      <c r="G384" t="n">
        <v>0.1</v>
      </c>
      <c r="H384" t="n">
        <v>0</v>
      </c>
      <c r="I384" t="n">
        <v>0</v>
      </c>
      <c r="J384" t="n">
        <v>0</v>
      </c>
      <c r="K384" t="n">
        <v>0</v>
      </c>
      <c r="L384" t="n">
        <v>0</v>
      </c>
      <c r="M384" t="n">
        <v>0</v>
      </c>
      <c r="N384" t="n">
        <v>0</v>
      </c>
      <c r="O384" t="n">
        <v>0</v>
      </c>
      <c r="P384" t="n">
        <v>0</v>
      </c>
      <c r="Q384" t="n">
        <v>0</v>
      </c>
      <c r="R384" s="2" t="inlineStr"/>
    </row>
    <row r="385" ht="15" customHeight="1">
      <c r="A385" t="inlineStr">
        <is>
          <t>A 2766-2024</t>
        </is>
      </c>
      <c r="B385" s="1" t="n">
        <v>45314.60950231482</v>
      </c>
      <c r="C385" s="1" t="n">
        <v>45883</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26507-2023</t>
        </is>
      </c>
      <c r="B386" s="1" t="n">
        <v>45092</v>
      </c>
      <c r="C386" s="1" t="n">
        <v>45883</v>
      </c>
      <c r="D386" t="inlineStr">
        <is>
          <t>VÄSTMANLANDS LÄN</t>
        </is>
      </c>
      <c r="E386" t="inlineStr">
        <is>
          <t>SALA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6032-2025</t>
        </is>
      </c>
      <c r="B387" s="1" t="n">
        <v>45695.6371875</v>
      </c>
      <c r="C387" s="1" t="n">
        <v>45883</v>
      </c>
      <c r="D387" t="inlineStr">
        <is>
          <t>VÄSTMANLANDS LÄN</t>
        </is>
      </c>
      <c r="E387" t="inlineStr">
        <is>
          <t>SALA</t>
        </is>
      </c>
      <c r="F387" t="inlineStr">
        <is>
          <t>Bergvik skog öst AB</t>
        </is>
      </c>
      <c r="G387" t="n">
        <v>8.1</v>
      </c>
      <c r="H387" t="n">
        <v>0</v>
      </c>
      <c r="I387" t="n">
        <v>0</v>
      </c>
      <c r="J387" t="n">
        <v>0</v>
      </c>
      <c r="K387" t="n">
        <v>0</v>
      </c>
      <c r="L387" t="n">
        <v>0</v>
      </c>
      <c r="M387" t="n">
        <v>0</v>
      </c>
      <c r="N387" t="n">
        <v>0</v>
      </c>
      <c r="O387" t="n">
        <v>0</v>
      </c>
      <c r="P387" t="n">
        <v>0</v>
      </c>
      <c r="Q387" t="n">
        <v>0</v>
      </c>
      <c r="R387" s="2" t="inlineStr"/>
    </row>
    <row r="388" ht="15" customHeight="1">
      <c r="A388" t="inlineStr">
        <is>
          <t>A 60550-2024</t>
        </is>
      </c>
      <c r="B388" s="1" t="n">
        <v>45643</v>
      </c>
      <c r="C388" s="1" t="n">
        <v>45883</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14690-2025</t>
        </is>
      </c>
      <c r="B389" s="1" t="n">
        <v>45742.58212962963</v>
      </c>
      <c r="C389" s="1" t="n">
        <v>45883</v>
      </c>
      <c r="D389" t="inlineStr">
        <is>
          <t>VÄSTMANLANDS LÄN</t>
        </is>
      </c>
      <c r="E389" t="inlineStr">
        <is>
          <t>SALA</t>
        </is>
      </c>
      <c r="G389" t="n">
        <v>3.4</v>
      </c>
      <c r="H389" t="n">
        <v>0</v>
      </c>
      <c r="I389" t="n">
        <v>0</v>
      </c>
      <c r="J389" t="n">
        <v>0</v>
      </c>
      <c r="K389" t="n">
        <v>0</v>
      </c>
      <c r="L389" t="n">
        <v>0</v>
      </c>
      <c r="M389" t="n">
        <v>0</v>
      </c>
      <c r="N389" t="n">
        <v>0</v>
      </c>
      <c r="O389" t="n">
        <v>0</v>
      </c>
      <c r="P389" t="n">
        <v>0</v>
      </c>
      <c r="Q389" t="n">
        <v>0</v>
      </c>
      <c r="R389" s="2" t="inlineStr"/>
    </row>
    <row r="390" ht="15" customHeight="1">
      <c r="A390" t="inlineStr">
        <is>
          <t>A 24175-2024</t>
        </is>
      </c>
      <c r="B390" s="1" t="n">
        <v>45456</v>
      </c>
      <c r="C390" s="1" t="n">
        <v>45883</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62449-2023</t>
        </is>
      </c>
      <c r="B391" s="1" t="n">
        <v>45268.49008101852</v>
      </c>
      <c r="C391" s="1" t="n">
        <v>45883</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54910-2023</t>
        </is>
      </c>
      <c r="B392" s="1" t="n">
        <v>45229</v>
      </c>
      <c r="C392" s="1" t="n">
        <v>45883</v>
      </c>
      <c r="D392" t="inlineStr">
        <is>
          <t>VÄSTMANLANDS LÄN</t>
        </is>
      </c>
      <c r="E392" t="inlineStr">
        <is>
          <t>SALA</t>
        </is>
      </c>
      <c r="G392" t="n">
        <v>2.4</v>
      </c>
      <c r="H392" t="n">
        <v>0</v>
      </c>
      <c r="I392" t="n">
        <v>0</v>
      </c>
      <c r="J392" t="n">
        <v>0</v>
      </c>
      <c r="K392" t="n">
        <v>0</v>
      </c>
      <c r="L392" t="n">
        <v>0</v>
      </c>
      <c r="M392" t="n">
        <v>0</v>
      </c>
      <c r="N392" t="n">
        <v>0</v>
      </c>
      <c r="O392" t="n">
        <v>0</v>
      </c>
      <c r="P392" t="n">
        <v>0</v>
      </c>
      <c r="Q392" t="n">
        <v>0</v>
      </c>
      <c r="R392" s="2" t="inlineStr"/>
    </row>
    <row r="393" ht="15" customHeight="1">
      <c r="A393" t="inlineStr">
        <is>
          <t>A 34814-2021</t>
        </is>
      </c>
      <c r="B393" s="1" t="n">
        <v>44383</v>
      </c>
      <c r="C393" s="1" t="n">
        <v>45883</v>
      </c>
      <c r="D393" t="inlineStr">
        <is>
          <t>VÄSTMANLANDS LÄN</t>
        </is>
      </c>
      <c r="E393" t="inlineStr">
        <is>
          <t>SALA</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54118-2023</t>
        </is>
      </c>
      <c r="B394" s="1" t="n">
        <v>45232</v>
      </c>
      <c r="C394" s="1" t="n">
        <v>45883</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19222-2025</t>
        </is>
      </c>
      <c r="B395" s="1" t="n">
        <v>45769</v>
      </c>
      <c r="C395" s="1" t="n">
        <v>45883</v>
      </c>
      <c r="D395" t="inlineStr">
        <is>
          <t>VÄSTMANLANDS LÄN</t>
        </is>
      </c>
      <c r="E395" t="inlineStr">
        <is>
          <t>SALA</t>
        </is>
      </c>
      <c r="G395" t="n">
        <v>1.8</v>
      </c>
      <c r="H395" t="n">
        <v>0</v>
      </c>
      <c r="I395" t="n">
        <v>0</v>
      </c>
      <c r="J395" t="n">
        <v>0</v>
      </c>
      <c r="K395" t="n">
        <v>0</v>
      </c>
      <c r="L395" t="n">
        <v>0</v>
      </c>
      <c r="M395" t="n">
        <v>0</v>
      </c>
      <c r="N395" t="n">
        <v>0</v>
      </c>
      <c r="O395" t="n">
        <v>0</v>
      </c>
      <c r="P395" t="n">
        <v>0</v>
      </c>
      <c r="Q395" t="n">
        <v>0</v>
      </c>
      <c r="R395" s="2" t="inlineStr"/>
    </row>
    <row r="396" ht="15" customHeight="1">
      <c r="A396" t="inlineStr">
        <is>
          <t>A 19241-2025</t>
        </is>
      </c>
      <c r="B396" s="1" t="n">
        <v>45769</v>
      </c>
      <c r="C396" s="1" t="n">
        <v>45883</v>
      </c>
      <c r="D396" t="inlineStr">
        <is>
          <t>VÄSTMANLANDS LÄN</t>
        </is>
      </c>
      <c r="E396" t="inlineStr">
        <is>
          <t>SALA</t>
        </is>
      </c>
      <c r="G396" t="n">
        <v>3.6</v>
      </c>
      <c r="H396" t="n">
        <v>0</v>
      </c>
      <c r="I396" t="n">
        <v>0</v>
      </c>
      <c r="J396" t="n">
        <v>0</v>
      </c>
      <c r="K396" t="n">
        <v>0</v>
      </c>
      <c r="L396" t="n">
        <v>0</v>
      </c>
      <c r="M396" t="n">
        <v>0</v>
      </c>
      <c r="N396" t="n">
        <v>0</v>
      </c>
      <c r="O396" t="n">
        <v>0</v>
      </c>
      <c r="P396" t="n">
        <v>0</v>
      </c>
      <c r="Q396" t="n">
        <v>0</v>
      </c>
      <c r="R396" s="2" t="inlineStr"/>
    </row>
    <row r="397" ht="15" customHeight="1">
      <c r="A397" t="inlineStr">
        <is>
          <t>A 35462-2024</t>
        </is>
      </c>
      <c r="B397" s="1" t="n">
        <v>45531</v>
      </c>
      <c r="C397" s="1" t="n">
        <v>45883</v>
      </c>
      <c r="D397" t="inlineStr">
        <is>
          <t>VÄSTMANLANDS LÄN</t>
        </is>
      </c>
      <c r="E397" t="inlineStr">
        <is>
          <t>SALA</t>
        </is>
      </c>
      <c r="G397" t="n">
        <v>0.6</v>
      </c>
      <c r="H397" t="n">
        <v>0</v>
      </c>
      <c r="I397" t="n">
        <v>0</v>
      </c>
      <c r="J397" t="n">
        <v>0</v>
      </c>
      <c r="K397" t="n">
        <v>0</v>
      </c>
      <c r="L397" t="n">
        <v>0</v>
      </c>
      <c r="M397" t="n">
        <v>0</v>
      </c>
      <c r="N397" t="n">
        <v>0</v>
      </c>
      <c r="O397" t="n">
        <v>0</v>
      </c>
      <c r="P397" t="n">
        <v>0</v>
      </c>
      <c r="Q397" t="n">
        <v>0</v>
      </c>
      <c r="R397" s="2" t="inlineStr"/>
    </row>
    <row r="398" ht="15" customHeight="1">
      <c r="A398" t="inlineStr">
        <is>
          <t>A 45187-2024</t>
        </is>
      </c>
      <c r="B398" s="1" t="n">
        <v>45575</v>
      </c>
      <c r="C398" s="1" t="n">
        <v>45883</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15968-2024</t>
        </is>
      </c>
      <c r="B399" s="1" t="n">
        <v>45405.56021990741</v>
      </c>
      <c r="C399" s="1" t="n">
        <v>45883</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36393-2023</t>
        </is>
      </c>
      <c r="B400" s="1" t="n">
        <v>45152</v>
      </c>
      <c r="C400" s="1" t="n">
        <v>45883</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45790-2023</t>
        </is>
      </c>
      <c r="B401" s="1" t="n">
        <v>45195.45958333334</v>
      </c>
      <c r="C401" s="1" t="n">
        <v>45883</v>
      </c>
      <c r="D401" t="inlineStr">
        <is>
          <t>VÄSTMANLANDS LÄN</t>
        </is>
      </c>
      <c r="E401" t="inlineStr">
        <is>
          <t>SALA</t>
        </is>
      </c>
      <c r="G401" t="n">
        <v>5.7</v>
      </c>
      <c r="H401" t="n">
        <v>0</v>
      </c>
      <c r="I401" t="n">
        <v>0</v>
      </c>
      <c r="J401" t="n">
        <v>0</v>
      </c>
      <c r="K401" t="n">
        <v>0</v>
      </c>
      <c r="L401" t="n">
        <v>0</v>
      </c>
      <c r="M401" t="n">
        <v>0</v>
      </c>
      <c r="N401" t="n">
        <v>0</v>
      </c>
      <c r="O401" t="n">
        <v>0</v>
      </c>
      <c r="P401" t="n">
        <v>0</v>
      </c>
      <c r="Q401" t="n">
        <v>0</v>
      </c>
      <c r="R401" s="2" t="inlineStr"/>
    </row>
    <row r="402" ht="15" customHeight="1">
      <c r="A402" t="inlineStr">
        <is>
          <t>A 56949-2023</t>
        </is>
      </c>
      <c r="B402" s="1" t="n">
        <v>45244.61589120371</v>
      </c>
      <c r="C402" s="1" t="n">
        <v>45883</v>
      </c>
      <c r="D402" t="inlineStr">
        <is>
          <t>VÄSTMANLANDS LÄN</t>
        </is>
      </c>
      <c r="E402" t="inlineStr">
        <is>
          <t>SALA</t>
        </is>
      </c>
      <c r="G402" t="n">
        <v>4.7</v>
      </c>
      <c r="H402" t="n">
        <v>0</v>
      </c>
      <c r="I402" t="n">
        <v>0</v>
      </c>
      <c r="J402" t="n">
        <v>0</v>
      </c>
      <c r="K402" t="n">
        <v>0</v>
      </c>
      <c r="L402" t="n">
        <v>0</v>
      </c>
      <c r="M402" t="n">
        <v>0</v>
      </c>
      <c r="N402" t="n">
        <v>0</v>
      </c>
      <c r="O402" t="n">
        <v>0</v>
      </c>
      <c r="P402" t="n">
        <v>0</v>
      </c>
      <c r="Q402" t="n">
        <v>0</v>
      </c>
      <c r="R402" s="2" t="inlineStr"/>
    </row>
    <row r="403" ht="15" customHeight="1">
      <c r="A403" t="inlineStr">
        <is>
          <t>A 3733-2023</t>
        </is>
      </c>
      <c r="B403" s="1" t="n">
        <v>44951.42501157407</v>
      </c>
      <c r="C403" s="1" t="n">
        <v>45883</v>
      </c>
      <c r="D403" t="inlineStr">
        <is>
          <t>VÄSTMANLANDS LÄN</t>
        </is>
      </c>
      <c r="E403" t="inlineStr">
        <is>
          <t>SALA</t>
        </is>
      </c>
      <c r="G403" t="n">
        <v>3.1</v>
      </c>
      <c r="H403" t="n">
        <v>0</v>
      </c>
      <c r="I403" t="n">
        <v>0</v>
      </c>
      <c r="J403" t="n">
        <v>0</v>
      </c>
      <c r="K403" t="n">
        <v>0</v>
      </c>
      <c r="L403" t="n">
        <v>0</v>
      </c>
      <c r="M403" t="n">
        <v>0</v>
      </c>
      <c r="N403" t="n">
        <v>0</v>
      </c>
      <c r="O403" t="n">
        <v>0</v>
      </c>
      <c r="P403" t="n">
        <v>0</v>
      </c>
      <c r="Q403" t="n">
        <v>0</v>
      </c>
      <c r="R403" s="2" t="inlineStr"/>
    </row>
    <row r="404" ht="15" customHeight="1">
      <c r="A404" t="inlineStr">
        <is>
          <t>A 40214-2023</t>
        </is>
      </c>
      <c r="B404" s="1" t="n">
        <v>45169.45173611111</v>
      </c>
      <c r="C404" s="1" t="n">
        <v>45883</v>
      </c>
      <c r="D404" t="inlineStr">
        <is>
          <t>VÄSTMANLANDS LÄN</t>
        </is>
      </c>
      <c r="E404" t="inlineStr">
        <is>
          <t>SALA</t>
        </is>
      </c>
      <c r="G404" t="n">
        <v>5.5</v>
      </c>
      <c r="H404" t="n">
        <v>0</v>
      </c>
      <c r="I404" t="n">
        <v>0</v>
      </c>
      <c r="J404" t="n">
        <v>0</v>
      </c>
      <c r="K404" t="n">
        <v>0</v>
      </c>
      <c r="L404" t="n">
        <v>0</v>
      </c>
      <c r="M404" t="n">
        <v>0</v>
      </c>
      <c r="N404" t="n">
        <v>0</v>
      </c>
      <c r="O404" t="n">
        <v>0</v>
      </c>
      <c r="P404" t="n">
        <v>0</v>
      </c>
      <c r="Q404" t="n">
        <v>0</v>
      </c>
      <c r="R404" s="2" t="inlineStr"/>
    </row>
    <row r="405" ht="15" customHeight="1">
      <c r="A405" t="inlineStr">
        <is>
          <t>A 25891-2024</t>
        </is>
      </c>
      <c r="B405" s="1" t="n">
        <v>45467.53137731482</v>
      </c>
      <c r="C405" s="1" t="n">
        <v>45883</v>
      </c>
      <c r="D405" t="inlineStr">
        <is>
          <t>VÄSTMANLANDS LÄN</t>
        </is>
      </c>
      <c r="E405" t="inlineStr">
        <is>
          <t>SALA</t>
        </is>
      </c>
      <c r="G405" t="n">
        <v>2.3</v>
      </c>
      <c r="H405" t="n">
        <v>0</v>
      </c>
      <c r="I405" t="n">
        <v>0</v>
      </c>
      <c r="J405" t="n">
        <v>0</v>
      </c>
      <c r="K405" t="n">
        <v>0</v>
      </c>
      <c r="L405" t="n">
        <v>0</v>
      </c>
      <c r="M405" t="n">
        <v>0</v>
      </c>
      <c r="N405" t="n">
        <v>0</v>
      </c>
      <c r="O405" t="n">
        <v>0</v>
      </c>
      <c r="P405" t="n">
        <v>0</v>
      </c>
      <c r="Q405" t="n">
        <v>0</v>
      </c>
      <c r="R405" s="2" t="inlineStr"/>
    </row>
    <row r="406" ht="15" customHeight="1">
      <c r="A406" t="inlineStr">
        <is>
          <t>A 44544-2024</t>
        </is>
      </c>
      <c r="B406" s="1" t="n">
        <v>45574.46119212963</v>
      </c>
      <c r="C406" s="1" t="n">
        <v>45883</v>
      </c>
      <c r="D406" t="inlineStr">
        <is>
          <t>VÄSTMANLANDS LÄN</t>
        </is>
      </c>
      <c r="E406" t="inlineStr">
        <is>
          <t>SALA</t>
        </is>
      </c>
      <c r="G406" t="n">
        <v>3.3</v>
      </c>
      <c r="H406" t="n">
        <v>0</v>
      </c>
      <c r="I406" t="n">
        <v>0</v>
      </c>
      <c r="J406" t="n">
        <v>0</v>
      </c>
      <c r="K406" t="n">
        <v>0</v>
      </c>
      <c r="L406" t="n">
        <v>0</v>
      </c>
      <c r="M406" t="n">
        <v>0</v>
      </c>
      <c r="N406" t="n">
        <v>0</v>
      </c>
      <c r="O406" t="n">
        <v>0</v>
      </c>
      <c r="P406" t="n">
        <v>0</v>
      </c>
      <c r="Q406" t="n">
        <v>0</v>
      </c>
      <c r="R406" s="2" t="inlineStr"/>
    </row>
    <row r="407" ht="15" customHeight="1">
      <c r="A407" t="inlineStr">
        <is>
          <t>A 64729-2023</t>
        </is>
      </c>
      <c r="B407" s="1" t="n">
        <v>45281</v>
      </c>
      <c r="C407" s="1" t="n">
        <v>45883</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26416-2023</t>
        </is>
      </c>
      <c r="B408" s="1" t="n">
        <v>45092.38087962963</v>
      </c>
      <c r="C408" s="1" t="n">
        <v>45883</v>
      </c>
      <c r="D408" t="inlineStr">
        <is>
          <t>VÄSTMANLANDS LÄN</t>
        </is>
      </c>
      <c r="E408" t="inlineStr">
        <is>
          <t>SALA</t>
        </is>
      </c>
      <c r="G408" t="n">
        <v>2.9</v>
      </c>
      <c r="H408" t="n">
        <v>0</v>
      </c>
      <c r="I408" t="n">
        <v>0</v>
      </c>
      <c r="J408" t="n">
        <v>0</v>
      </c>
      <c r="K408" t="n">
        <v>0</v>
      </c>
      <c r="L408" t="n">
        <v>0</v>
      </c>
      <c r="M408" t="n">
        <v>0</v>
      </c>
      <c r="N408" t="n">
        <v>0</v>
      </c>
      <c r="O408" t="n">
        <v>0</v>
      </c>
      <c r="P408" t="n">
        <v>0</v>
      </c>
      <c r="Q408" t="n">
        <v>0</v>
      </c>
      <c r="R408" s="2" t="inlineStr"/>
    </row>
    <row r="409" ht="15" customHeight="1">
      <c r="A409" t="inlineStr">
        <is>
          <t>A 35016-2024</t>
        </is>
      </c>
      <c r="B409" s="1" t="n">
        <v>45527.59115740741</v>
      </c>
      <c r="C409" s="1" t="n">
        <v>45883</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26692-2023</t>
        </is>
      </c>
      <c r="B410" s="1" t="n">
        <v>45093.360625</v>
      </c>
      <c r="C410" s="1" t="n">
        <v>45883</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15681-2025</t>
        </is>
      </c>
      <c r="B411" s="1" t="n">
        <v>45748.45454861111</v>
      </c>
      <c r="C411" s="1" t="n">
        <v>45883</v>
      </c>
      <c r="D411" t="inlineStr">
        <is>
          <t>VÄSTMANLANDS LÄN</t>
        </is>
      </c>
      <c r="E411" t="inlineStr">
        <is>
          <t>SALA</t>
        </is>
      </c>
      <c r="F411" t="inlineStr">
        <is>
          <t>Bergvik skog öst AB</t>
        </is>
      </c>
      <c r="G411" t="n">
        <v>4.3</v>
      </c>
      <c r="H411" t="n">
        <v>0</v>
      </c>
      <c r="I411" t="n">
        <v>0</v>
      </c>
      <c r="J411" t="n">
        <v>0</v>
      </c>
      <c r="K411" t="n">
        <v>0</v>
      </c>
      <c r="L411" t="n">
        <v>0</v>
      </c>
      <c r="M411" t="n">
        <v>0</v>
      </c>
      <c r="N411" t="n">
        <v>0</v>
      </c>
      <c r="O411" t="n">
        <v>0</v>
      </c>
      <c r="P411" t="n">
        <v>0</v>
      </c>
      <c r="Q411" t="n">
        <v>0</v>
      </c>
      <c r="R411" s="2" t="inlineStr"/>
    </row>
    <row r="412" ht="15" customHeight="1">
      <c r="A412" t="inlineStr">
        <is>
          <t>A 37612-2024</t>
        </is>
      </c>
      <c r="B412" s="1" t="n">
        <v>45541</v>
      </c>
      <c r="C412" s="1" t="n">
        <v>45883</v>
      </c>
      <c r="D412" t="inlineStr">
        <is>
          <t>VÄSTMANLANDS LÄN</t>
        </is>
      </c>
      <c r="E412" t="inlineStr">
        <is>
          <t>SALA</t>
        </is>
      </c>
      <c r="G412" t="n">
        <v>2.2</v>
      </c>
      <c r="H412" t="n">
        <v>0</v>
      </c>
      <c r="I412" t="n">
        <v>0</v>
      </c>
      <c r="J412" t="n">
        <v>0</v>
      </c>
      <c r="K412" t="n">
        <v>0</v>
      </c>
      <c r="L412" t="n">
        <v>0</v>
      </c>
      <c r="M412" t="n">
        <v>0</v>
      </c>
      <c r="N412" t="n">
        <v>0</v>
      </c>
      <c r="O412" t="n">
        <v>0</v>
      </c>
      <c r="P412" t="n">
        <v>0</v>
      </c>
      <c r="Q412" t="n">
        <v>0</v>
      </c>
      <c r="R412" s="2" t="inlineStr"/>
    </row>
    <row r="413" ht="15" customHeight="1">
      <c r="A413" t="inlineStr">
        <is>
          <t>A 37615-2024</t>
        </is>
      </c>
      <c r="B413" s="1" t="n">
        <v>45541.50673611111</v>
      </c>
      <c r="C413" s="1" t="n">
        <v>45883</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5728-2022</t>
        </is>
      </c>
      <c r="B414" s="1" t="n">
        <v>44596.42082175926</v>
      </c>
      <c r="C414" s="1" t="n">
        <v>45883</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7681-2021</t>
        </is>
      </c>
      <c r="B415" s="1" t="n">
        <v>44242</v>
      </c>
      <c r="C415" s="1" t="n">
        <v>45883</v>
      </c>
      <c r="D415" t="inlineStr">
        <is>
          <t>VÄSTMANLANDS LÄN</t>
        </is>
      </c>
      <c r="E415" t="inlineStr">
        <is>
          <t>SALA</t>
        </is>
      </c>
      <c r="F415" t="inlineStr">
        <is>
          <t>Sveaskog</t>
        </is>
      </c>
      <c r="G415" t="n">
        <v>16.1</v>
      </c>
      <c r="H415" t="n">
        <v>0</v>
      </c>
      <c r="I415" t="n">
        <v>0</v>
      </c>
      <c r="J415" t="n">
        <v>0</v>
      </c>
      <c r="K415" t="n">
        <v>0</v>
      </c>
      <c r="L415" t="n">
        <v>0</v>
      </c>
      <c r="M415" t="n">
        <v>0</v>
      </c>
      <c r="N415" t="n">
        <v>0</v>
      </c>
      <c r="O415" t="n">
        <v>0</v>
      </c>
      <c r="P415" t="n">
        <v>0</v>
      </c>
      <c r="Q415" t="n">
        <v>0</v>
      </c>
      <c r="R415" s="2" t="inlineStr"/>
    </row>
    <row r="416" ht="15" customHeight="1">
      <c r="A416" t="inlineStr">
        <is>
          <t>A 43359-2024</t>
        </is>
      </c>
      <c r="B416" s="1" t="n">
        <v>45568.57724537037</v>
      </c>
      <c r="C416" s="1" t="n">
        <v>45883</v>
      </c>
      <c r="D416" t="inlineStr">
        <is>
          <t>VÄSTMANLANDS LÄN</t>
        </is>
      </c>
      <c r="E416" t="inlineStr">
        <is>
          <t>SALA</t>
        </is>
      </c>
      <c r="G416" t="n">
        <v>1.6</v>
      </c>
      <c r="H416" t="n">
        <v>0</v>
      </c>
      <c r="I416" t="n">
        <v>0</v>
      </c>
      <c r="J416" t="n">
        <v>0</v>
      </c>
      <c r="K416" t="n">
        <v>0</v>
      </c>
      <c r="L416" t="n">
        <v>0</v>
      </c>
      <c r="M416" t="n">
        <v>0</v>
      </c>
      <c r="N416" t="n">
        <v>0</v>
      </c>
      <c r="O416" t="n">
        <v>0</v>
      </c>
      <c r="P416" t="n">
        <v>0</v>
      </c>
      <c r="Q416" t="n">
        <v>0</v>
      </c>
      <c r="R416" s="2" t="inlineStr"/>
    </row>
    <row r="417" ht="15" customHeight="1">
      <c r="A417" t="inlineStr">
        <is>
          <t>A 68864-2021</t>
        </is>
      </c>
      <c r="B417" s="1" t="n">
        <v>44530</v>
      </c>
      <c r="C417" s="1" t="n">
        <v>45883</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19751-2022</t>
        </is>
      </c>
      <c r="B418" s="1" t="n">
        <v>44694</v>
      </c>
      <c r="C418" s="1" t="n">
        <v>45883</v>
      </c>
      <c r="D418" t="inlineStr">
        <is>
          <t>VÄSTMANLANDS LÄN</t>
        </is>
      </c>
      <c r="E418" t="inlineStr">
        <is>
          <t>SALA</t>
        </is>
      </c>
      <c r="G418" t="n">
        <v>2.7</v>
      </c>
      <c r="H418" t="n">
        <v>0</v>
      </c>
      <c r="I418" t="n">
        <v>0</v>
      </c>
      <c r="J418" t="n">
        <v>0</v>
      </c>
      <c r="K418" t="n">
        <v>0</v>
      </c>
      <c r="L418" t="n">
        <v>0</v>
      </c>
      <c r="M418" t="n">
        <v>0</v>
      </c>
      <c r="N418" t="n">
        <v>0</v>
      </c>
      <c r="O418" t="n">
        <v>0</v>
      </c>
      <c r="P418" t="n">
        <v>0</v>
      </c>
      <c r="Q418" t="n">
        <v>0</v>
      </c>
      <c r="R418" s="2" t="inlineStr"/>
    </row>
    <row r="419" ht="15" customHeight="1">
      <c r="A419" t="inlineStr">
        <is>
          <t>A 17495-2024</t>
        </is>
      </c>
      <c r="B419" s="1" t="n">
        <v>45415</v>
      </c>
      <c r="C419" s="1" t="n">
        <v>45883</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64925-2023</t>
        </is>
      </c>
      <c r="B420" s="1" t="n">
        <v>45282</v>
      </c>
      <c r="C420" s="1" t="n">
        <v>45883</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48570-2024</t>
        </is>
      </c>
      <c r="B421" s="1" t="n">
        <v>45591</v>
      </c>
      <c r="C421" s="1" t="n">
        <v>45883</v>
      </c>
      <c r="D421" t="inlineStr">
        <is>
          <t>VÄSTMANLANDS LÄN</t>
        </is>
      </c>
      <c r="E421" t="inlineStr">
        <is>
          <t>SALA</t>
        </is>
      </c>
      <c r="G421" t="n">
        <v>3</v>
      </c>
      <c r="H421" t="n">
        <v>0</v>
      </c>
      <c r="I421" t="n">
        <v>0</v>
      </c>
      <c r="J421" t="n">
        <v>0</v>
      </c>
      <c r="K421" t="n">
        <v>0</v>
      </c>
      <c r="L421" t="n">
        <v>0</v>
      </c>
      <c r="M421" t="n">
        <v>0</v>
      </c>
      <c r="N421" t="n">
        <v>0</v>
      </c>
      <c r="O421" t="n">
        <v>0</v>
      </c>
      <c r="P421" t="n">
        <v>0</v>
      </c>
      <c r="Q421" t="n">
        <v>0</v>
      </c>
      <c r="R421" s="2" t="inlineStr"/>
    </row>
    <row r="422" ht="15" customHeight="1">
      <c r="A422" t="inlineStr">
        <is>
          <t>A 2925-2024</t>
        </is>
      </c>
      <c r="B422" s="1" t="n">
        <v>45315.58909722222</v>
      </c>
      <c r="C422" s="1" t="n">
        <v>45883</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61517-2024</t>
        </is>
      </c>
      <c r="B423" s="1" t="n">
        <v>45645</v>
      </c>
      <c r="C423" s="1" t="n">
        <v>45883</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44746-2024</t>
        </is>
      </c>
      <c r="B424" s="1" t="n">
        <v>45574.59813657407</v>
      </c>
      <c r="C424" s="1" t="n">
        <v>45883</v>
      </c>
      <c r="D424" t="inlineStr">
        <is>
          <t>VÄSTMANLANDS LÄN</t>
        </is>
      </c>
      <c r="E424" t="inlineStr">
        <is>
          <t>SALA</t>
        </is>
      </c>
      <c r="G424" t="n">
        <v>6.7</v>
      </c>
      <c r="H424" t="n">
        <v>0</v>
      </c>
      <c r="I424" t="n">
        <v>0</v>
      </c>
      <c r="J424" t="n">
        <v>0</v>
      </c>
      <c r="K424" t="n">
        <v>0</v>
      </c>
      <c r="L424" t="n">
        <v>0</v>
      </c>
      <c r="M424" t="n">
        <v>0</v>
      </c>
      <c r="N424" t="n">
        <v>0</v>
      </c>
      <c r="O424" t="n">
        <v>0</v>
      </c>
      <c r="P424" t="n">
        <v>0</v>
      </c>
      <c r="Q424" t="n">
        <v>0</v>
      </c>
      <c r="R424" s="2" t="inlineStr"/>
    </row>
    <row r="425" ht="15" customHeight="1">
      <c r="A425" t="inlineStr">
        <is>
          <t>A 44713-2023</t>
        </is>
      </c>
      <c r="B425" s="1" t="n">
        <v>45184</v>
      </c>
      <c r="C425" s="1" t="n">
        <v>45883</v>
      </c>
      <c r="D425" t="inlineStr">
        <is>
          <t>VÄSTMANLANDS LÄN</t>
        </is>
      </c>
      <c r="E425" t="inlineStr">
        <is>
          <t>SALA</t>
        </is>
      </c>
      <c r="F425" t="inlineStr">
        <is>
          <t>Kyrkan</t>
        </is>
      </c>
      <c r="G425" t="n">
        <v>7.6</v>
      </c>
      <c r="H425" t="n">
        <v>0</v>
      </c>
      <c r="I425" t="n">
        <v>0</v>
      </c>
      <c r="J425" t="n">
        <v>0</v>
      </c>
      <c r="K425" t="n">
        <v>0</v>
      </c>
      <c r="L425" t="n">
        <v>0</v>
      </c>
      <c r="M425" t="n">
        <v>0</v>
      </c>
      <c r="N425" t="n">
        <v>0</v>
      </c>
      <c r="O425" t="n">
        <v>0</v>
      </c>
      <c r="P425" t="n">
        <v>0</v>
      </c>
      <c r="Q425" t="n">
        <v>0</v>
      </c>
      <c r="R425" s="2" t="inlineStr"/>
    </row>
    <row r="426" ht="15" customHeight="1">
      <c r="A426" t="inlineStr">
        <is>
          <t>A 16760-2024</t>
        </is>
      </c>
      <c r="B426" s="1" t="n">
        <v>45411</v>
      </c>
      <c r="C426" s="1" t="n">
        <v>45883</v>
      </c>
      <c r="D426" t="inlineStr">
        <is>
          <t>VÄSTMANLANDS LÄN</t>
        </is>
      </c>
      <c r="E426" t="inlineStr">
        <is>
          <t>SALA</t>
        </is>
      </c>
      <c r="G426" t="n">
        <v>2.6</v>
      </c>
      <c r="H426" t="n">
        <v>0</v>
      </c>
      <c r="I426" t="n">
        <v>0</v>
      </c>
      <c r="J426" t="n">
        <v>0</v>
      </c>
      <c r="K426" t="n">
        <v>0</v>
      </c>
      <c r="L426" t="n">
        <v>0</v>
      </c>
      <c r="M426" t="n">
        <v>0</v>
      </c>
      <c r="N426" t="n">
        <v>0</v>
      </c>
      <c r="O426" t="n">
        <v>0</v>
      </c>
      <c r="P426" t="n">
        <v>0</v>
      </c>
      <c r="Q426" t="n">
        <v>0</v>
      </c>
      <c r="R426" s="2" t="inlineStr"/>
    </row>
    <row r="427" ht="15" customHeight="1">
      <c r="A427" t="inlineStr">
        <is>
          <t>A 46279-2021</t>
        </is>
      </c>
      <c r="B427" s="1" t="n">
        <v>44442.57797453704</v>
      </c>
      <c r="C427" s="1" t="n">
        <v>45883</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53164-2024</t>
        </is>
      </c>
      <c r="B428" s="1" t="n">
        <v>45611.64887731482</v>
      </c>
      <c r="C428" s="1" t="n">
        <v>45883</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54603-2024</t>
        </is>
      </c>
      <c r="B429" s="1" t="n">
        <v>45617.68224537037</v>
      </c>
      <c r="C429" s="1" t="n">
        <v>45883</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23431-2024</t>
        </is>
      </c>
      <c r="B430" s="1" t="n">
        <v>45453</v>
      </c>
      <c r="C430" s="1" t="n">
        <v>45883</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6312-2025</t>
        </is>
      </c>
      <c r="B431" s="1" t="n">
        <v>45698</v>
      </c>
      <c r="C431" s="1" t="n">
        <v>45883</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39604-2023</t>
        </is>
      </c>
      <c r="B432" s="1" t="n">
        <v>45163</v>
      </c>
      <c r="C432" s="1" t="n">
        <v>45883</v>
      </c>
      <c r="D432" t="inlineStr">
        <is>
          <t>VÄSTMANLANDS LÄN</t>
        </is>
      </c>
      <c r="E432" t="inlineStr">
        <is>
          <t>SALA</t>
        </is>
      </c>
      <c r="G432" t="n">
        <v>2.7</v>
      </c>
      <c r="H432" t="n">
        <v>0</v>
      </c>
      <c r="I432" t="n">
        <v>0</v>
      </c>
      <c r="J432" t="n">
        <v>0</v>
      </c>
      <c r="K432" t="n">
        <v>0</v>
      </c>
      <c r="L432" t="n">
        <v>0</v>
      </c>
      <c r="M432" t="n">
        <v>0</v>
      </c>
      <c r="N432" t="n">
        <v>0</v>
      </c>
      <c r="O432" t="n">
        <v>0</v>
      </c>
      <c r="P432" t="n">
        <v>0</v>
      </c>
      <c r="Q432" t="n">
        <v>0</v>
      </c>
      <c r="R432" s="2" t="inlineStr"/>
    </row>
    <row r="433" ht="15" customHeight="1">
      <c r="A433" t="inlineStr">
        <is>
          <t>A 55035-2023</t>
        </is>
      </c>
      <c r="B433" s="1" t="n">
        <v>45229</v>
      </c>
      <c r="C433" s="1" t="n">
        <v>45883</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21168-2025</t>
        </is>
      </c>
      <c r="B434" s="1" t="n">
        <v>45777</v>
      </c>
      <c r="C434" s="1" t="n">
        <v>45883</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4736-2021</t>
        </is>
      </c>
      <c r="B435" s="1" t="n">
        <v>44225</v>
      </c>
      <c r="C435" s="1" t="n">
        <v>45883</v>
      </c>
      <c r="D435" t="inlineStr">
        <is>
          <t>VÄSTMANLANDS LÄN</t>
        </is>
      </c>
      <c r="E435" t="inlineStr">
        <is>
          <t>SALA</t>
        </is>
      </c>
      <c r="G435" t="n">
        <v>4.2</v>
      </c>
      <c r="H435" t="n">
        <v>0</v>
      </c>
      <c r="I435" t="n">
        <v>0</v>
      </c>
      <c r="J435" t="n">
        <v>0</v>
      </c>
      <c r="K435" t="n">
        <v>0</v>
      </c>
      <c r="L435" t="n">
        <v>0</v>
      </c>
      <c r="M435" t="n">
        <v>0</v>
      </c>
      <c r="N435" t="n">
        <v>0</v>
      </c>
      <c r="O435" t="n">
        <v>0</v>
      </c>
      <c r="P435" t="n">
        <v>0</v>
      </c>
      <c r="Q435" t="n">
        <v>0</v>
      </c>
      <c r="R435" s="2" t="inlineStr"/>
    </row>
    <row r="436" ht="15" customHeight="1">
      <c r="A436" t="inlineStr">
        <is>
          <t>A 18762-2024</t>
        </is>
      </c>
      <c r="B436" s="1" t="n">
        <v>45426.55240740741</v>
      </c>
      <c r="C436" s="1" t="n">
        <v>45883</v>
      </c>
      <c r="D436" t="inlineStr">
        <is>
          <t>VÄSTMANLANDS LÄN</t>
        </is>
      </c>
      <c r="E436" t="inlineStr">
        <is>
          <t>SALA</t>
        </is>
      </c>
      <c r="G436" t="n">
        <v>6.2</v>
      </c>
      <c r="H436" t="n">
        <v>0</v>
      </c>
      <c r="I436" t="n">
        <v>0</v>
      </c>
      <c r="J436" t="n">
        <v>0</v>
      </c>
      <c r="K436" t="n">
        <v>0</v>
      </c>
      <c r="L436" t="n">
        <v>0</v>
      </c>
      <c r="M436" t="n">
        <v>0</v>
      </c>
      <c r="N436" t="n">
        <v>0</v>
      </c>
      <c r="O436" t="n">
        <v>0</v>
      </c>
      <c r="P436" t="n">
        <v>0</v>
      </c>
      <c r="Q436" t="n">
        <v>0</v>
      </c>
      <c r="R436" s="2" t="inlineStr"/>
    </row>
    <row r="437" ht="15" customHeight="1">
      <c r="A437" t="inlineStr">
        <is>
          <t>A 17120-2023</t>
        </is>
      </c>
      <c r="B437" s="1" t="n">
        <v>45034</v>
      </c>
      <c r="C437" s="1" t="n">
        <v>45883</v>
      </c>
      <c r="D437" t="inlineStr">
        <is>
          <t>VÄSTMANLANDS LÄN</t>
        </is>
      </c>
      <c r="E437" t="inlineStr">
        <is>
          <t>SALA</t>
        </is>
      </c>
      <c r="G437" t="n">
        <v>0.1</v>
      </c>
      <c r="H437" t="n">
        <v>0</v>
      </c>
      <c r="I437" t="n">
        <v>0</v>
      </c>
      <c r="J437" t="n">
        <v>0</v>
      </c>
      <c r="K437" t="n">
        <v>0</v>
      </c>
      <c r="L437" t="n">
        <v>0</v>
      </c>
      <c r="M437" t="n">
        <v>0</v>
      </c>
      <c r="N437" t="n">
        <v>0</v>
      </c>
      <c r="O437" t="n">
        <v>0</v>
      </c>
      <c r="P437" t="n">
        <v>0</v>
      </c>
      <c r="Q437" t="n">
        <v>0</v>
      </c>
      <c r="R437" s="2" t="inlineStr"/>
    </row>
    <row r="438" ht="15" customHeight="1">
      <c r="A438" t="inlineStr">
        <is>
          <t>A 42938-2023</t>
        </is>
      </c>
      <c r="B438" s="1" t="n">
        <v>45179</v>
      </c>
      <c r="C438" s="1" t="n">
        <v>45883</v>
      </c>
      <c r="D438" t="inlineStr">
        <is>
          <t>VÄSTMANLANDS LÄN</t>
        </is>
      </c>
      <c r="E438" t="inlineStr">
        <is>
          <t>SALA</t>
        </is>
      </c>
      <c r="G438" t="n">
        <v>10.9</v>
      </c>
      <c r="H438" t="n">
        <v>0</v>
      </c>
      <c r="I438" t="n">
        <v>0</v>
      </c>
      <c r="J438" t="n">
        <v>0</v>
      </c>
      <c r="K438" t="n">
        <v>0</v>
      </c>
      <c r="L438" t="n">
        <v>0</v>
      </c>
      <c r="M438" t="n">
        <v>0</v>
      </c>
      <c r="N438" t="n">
        <v>0</v>
      </c>
      <c r="O438" t="n">
        <v>0</v>
      </c>
      <c r="P438" t="n">
        <v>0</v>
      </c>
      <c r="Q438" t="n">
        <v>0</v>
      </c>
      <c r="R438" s="2" t="inlineStr"/>
    </row>
    <row r="439" ht="15" customHeight="1">
      <c r="A439" t="inlineStr">
        <is>
          <t>A 42984-2023</t>
        </is>
      </c>
      <c r="B439" s="1" t="n">
        <v>45179</v>
      </c>
      <c r="C439" s="1" t="n">
        <v>45883</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15972-2024</t>
        </is>
      </c>
      <c r="B440" s="1" t="n">
        <v>45405.56498842593</v>
      </c>
      <c r="C440" s="1" t="n">
        <v>45883</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39714-2023</t>
        </is>
      </c>
      <c r="B441" s="1" t="n">
        <v>45167.62133101852</v>
      </c>
      <c r="C441" s="1" t="n">
        <v>45883</v>
      </c>
      <c r="D441" t="inlineStr">
        <is>
          <t>VÄSTMANLANDS LÄN</t>
        </is>
      </c>
      <c r="E441" t="inlineStr">
        <is>
          <t>SALA</t>
        </is>
      </c>
      <c r="G441" t="n">
        <v>1.3</v>
      </c>
      <c r="H441" t="n">
        <v>0</v>
      </c>
      <c r="I441" t="n">
        <v>0</v>
      </c>
      <c r="J441" t="n">
        <v>0</v>
      </c>
      <c r="K441" t="n">
        <v>0</v>
      </c>
      <c r="L441" t="n">
        <v>0</v>
      </c>
      <c r="M441" t="n">
        <v>0</v>
      </c>
      <c r="N441" t="n">
        <v>0</v>
      </c>
      <c r="O441" t="n">
        <v>0</v>
      </c>
      <c r="P441" t="n">
        <v>0</v>
      </c>
      <c r="Q441" t="n">
        <v>0</v>
      </c>
      <c r="R441" s="2" t="inlineStr"/>
    </row>
    <row r="442" ht="15" customHeight="1">
      <c r="A442" t="inlineStr">
        <is>
          <t>A 52500-2024</t>
        </is>
      </c>
      <c r="B442" s="1" t="n">
        <v>45609</v>
      </c>
      <c r="C442" s="1" t="n">
        <v>45883</v>
      </c>
      <c r="D442" t="inlineStr">
        <is>
          <t>VÄSTMANLANDS LÄN</t>
        </is>
      </c>
      <c r="E442" t="inlineStr">
        <is>
          <t>SALA</t>
        </is>
      </c>
      <c r="G442" t="n">
        <v>1.3</v>
      </c>
      <c r="H442" t="n">
        <v>0</v>
      </c>
      <c r="I442" t="n">
        <v>0</v>
      </c>
      <c r="J442" t="n">
        <v>0</v>
      </c>
      <c r="K442" t="n">
        <v>0</v>
      </c>
      <c r="L442" t="n">
        <v>0</v>
      </c>
      <c r="M442" t="n">
        <v>0</v>
      </c>
      <c r="N442" t="n">
        <v>0</v>
      </c>
      <c r="O442" t="n">
        <v>0</v>
      </c>
      <c r="P442" t="n">
        <v>0</v>
      </c>
      <c r="Q442" t="n">
        <v>0</v>
      </c>
      <c r="R442" s="2" t="inlineStr"/>
    </row>
    <row r="443" ht="15" customHeight="1">
      <c r="A443" t="inlineStr">
        <is>
          <t>A 21751-2025</t>
        </is>
      </c>
      <c r="B443" s="1" t="n">
        <v>45783.61372685185</v>
      </c>
      <c r="C443" s="1" t="n">
        <v>45883</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33527-2023</t>
        </is>
      </c>
      <c r="B444" s="1" t="n">
        <v>45131</v>
      </c>
      <c r="C444" s="1" t="n">
        <v>45883</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21721-2025</t>
        </is>
      </c>
      <c r="B445" s="1" t="n">
        <v>45783</v>
      </c>
      <c r="C445" s="1" t="n">
        <v>45883</v>
      </c>
      <c r="D445" t="inlineStr">
        <is>
          <t>VÄSTMANLANDS LÄN</t>
        </is>
      </c>
      <c r="E445" t="inlineStr">
        <is>
          <t>SALA</t>
        </is>
      </c>
      <c r="G445" t="n">
        <v>6.1</v>
      </c>
      <c r="H445" t="n">
        <v>0</v>
      </c>
      <c r="I445" t="n">
        <v>0</v>
      </c>
      <c r="J445" t="n">
        <v>0</v>
      </c>
      <c r="K445" t="n">
        <v>0</v>
      </c>
      <c r="L445" t="n">
        <v>0</v>
      </c>
      <c r="M445" t="n">
        <v>0</v>
      </c>
      <c r="N445" t="n">
        <v>0</v>
      </c>
      <c r="O445" t="n">
        <v>0</v>
      </c>
      <c r="P445" t="n">
        <v>0</v>
      </c>
      <c r="Q445" t="n">
        <v>0</v>
      </c>
      <c r="R445" s="2" t="inlineStr"/>
    </row>
    <row r="446" ht="15" customHeight="1">
      <c r="A446" t="inlineStr">
        <is>
          <t>A 10913-2025</t>
        </is>
      </c>
      <c r="B446" s="1" t="n">
        <v>45722.73423611111</v>
      </c>
      <c r="C446" s="1" t="n">
        <v>45883</v>
      </c>
      <c r="D446" t="inlineStr">
        <is>
          <t>VÄSTMANLANDS LÄN</t>
        </is>
      </c>
      <c r="E446" t="inlineStr">
        <is>
          <t>SALA</t>
        </is>
      </c>
      <c r="G446" t="n">
        <v>7.6</v>
      </c>
      <c r="H446" t="n">
        <v>0</v>
      </c>
      <c r="I446" t="n">
        <v>0</v>
      </c>
      <c r="J446" t="n">
        <v>0</v>
      </c>
      <c r="K446" t="n">
        <v>0</v>
      </c>
      <c r="L446" t="n">
        <v>0</v>
      </c>
      <c r="M446" t="n">
        <v>0</v>
      </c>
      <c r="N446" t="n">
        <v>0</v>
      </c>
      <c r="O446" t="n">
        <v>0</v>
      </c>
      <c r="P446" t="n">
        <v>0</v>
      </c>
      <c r="Q446" t="n">
        <v>0</v>
      </c>
      <c r="R446" s="2" t="inlineStr"/>
    </row>
    <row r="447" ht="15" customHeight="1">
      <c r="A447" t="inlineStr">
        <is>
          <t>A 58107-2021</t>
        </is>
      </c>
      <c r="B447" s="1" t="n">
        <v>44487</v>
      </c>
      <c r="C447" s="1" t="n">
        <v>45883</v>
      </c>
      <c r="D447" t="inlineStr">
        <is>
          <t>VÄSTMANLANDS LÄN</t>
        </is>
      </c>
      <c r="E447" t="inlineStr">
        <is>
          <t>SALA</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21738-2025</t>
        </is>
      </c>
      <c r="B448" s="1" t="n">
        <v>45783.59173611111</v>
      </c>
      <c r="C448" s="1" t="n">
        <v>45883</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21754-2025</t>
        </is>
      </c>
      <c r="B449" s="1" t="n">
        <v>45783.61837962963</v>
      </c>
      <c r="C449" s="1" t="n">
        <v>45883</v>
      </c>
      <c r="D449" t="inlineStr">
        <is>
          <t>VÄSTMANLANDS LÄN</t>
        </is>
      </c>
      <c r="E449" t="inlineStr">
        <is>
          <t>SALA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7950-2025</t>
        </is>
      </c>
      <c r="B450" s="1" t="n">
        <v>45707.41799768519</v>
      </c>
      <c r="C450" s="1" t="n">
        <v>45883</v>
      </c>
      <c r="D450" t="inlineStr">
        <is>
          <t>VÄSTMANLANDS LÄN</t>
        </is>
      </c>
      <c r="E450" t="inlineStr">
        <is>
          <t>SALA</t>
        </is>
      </c>
      <c r="G450" t="n">
        <v>3.2</v>
      </c>
      <c r="H450" t="n">
        <v>0</v>
      </c>
      <c r="I450" t="n">
        <v>0</v>
      </c>
      <c r="J450" t="n">
        <v>0</v>
      </c>
      <c r="K450" t="n">
        <v>0</v>
      </c>
      <c r="L450" t="n">
        <v>0</v>
      </c>
      <c r="M450" t="n">
        <v>0</v>
      </c>
      <c r="N450" t="n">
        <v>0</v>
      </c>
      <c r="O450" t="n">
        <v>0</v>
      </c>
      <c r="P450" t="n">
        <v>0</v>
      </c>
      <c r="Q450" t="n">
        <v>0</v>
      </c>
      <c r="R450" s="2" t="inlineStr"/>
    </row>
    <row r="451" ht="15" customHeight="1">
      <c r="A451" t="inlineStr">
        <is>
          <t>A 2927-2024</t>
        </is>
      </c>
      <c r="B451" s="1" t="n">
        <v>45315.58989583333</v>
      </c>
      <c r="C451" s="1" t="n">
        <v>45883</v>
      </c>
      <c r="D451" t="inlineStr">
        <is>
          <t>VÄSTMANLANDS LÄN</t>
        </is>
      </c>
      <c r="E451" t="inlineStr">
        <is>
          <t>SALA</t>
        </is>
      </c>
      <c r="G451" t="n">
        <v>2.5</v>
      </c>
      <c r="H451" t="n">
        <v>0</v>
      </c>
      <c r="I451" t="n">
        <v>0</v>
      </c>
      <c r="J451" t="n">
        <v>0</v>
      </c>
      <c r="K451" t="n">
        <v>0</v>
      </c>
      <c r="L451" t="n">
        <v>0</v>
      </c>
      <c r="M451" t="n">
        <v>0</v>
      </c>
      <c r="N451" t="n">
        <v>0</v>
      </c>
      <c r="O451" t="n">
        <v>0</v>
      </c>
      <c r="P451" t="n">
        <v>0</v>
      </c>
      <c r="Q451" t="n">
        <v>0</v>
      </c>
      <c r="R451" s="2" t="inlineStr"/>
    </row>
    <row r="452" ht="15" customHeight="1">
      <c r="A452" t="inlineStr">
        <is>
          <t>A 37183-2024</t>
        </is>
      </c>
      <c r="B452" s="1" t="n">
        <v>45539</v>
      </c>
      <c r="C452" s="1" t="n">
        <v>45883</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10812-2021</t>
        </is>
      </c>
      <c r="B453" s="1" t="n">
        <v>44259</v>
      </c>
      <c r="C453" s="1" t="n">
        <v>45883</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10154-2021</t>
        </is>
      </c>
      <c r="B454" s="1" t="n">
        <v>44256</v>
      </c>
      <c r="C454" s="1" t="n">
        <v>45883</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37587-2024</t>
        </is>
      </c>
      <c r="B455" s="1" t="n">
        <v>45541</v>
      </c>
      <c r="C455" s="1" t="n">
        <v>45883</v>
      </c>
      <c r="D455" t="inlineStr">
        <is>
          <t>VÄSTMANLANDS LÄN</t>
        </is>
      </c>
      <c r="E455" t="inlineStr">
        <is>
          <t>SALA</t>
        </is>
      </c>
      <c r="G455" t="n">
        <v>1.2</v>
      </c>
      <c r="H455" t="n">
        <v>0</v>
      </c>
      <c r="I455" t="n">
        <v>0</v>
      </c>
      <c r="J455" t="n">
        <v>0</v>
      </c>
      <c r="K455" t="n">
        <v>0</v>
      </c>
      <c r="L455" t="n">
        <v>0</v>
      </c>
      <c r="M455" t="n">
        <v>0</v>
      </c>
      <c r="N455" t="n">
        <v>0</v>
      </c>
      <c r="O455" t="n">
        <v>0</v>
      </c>
      <c r="P455" t="n">
        <v>0</v>
      </c>
      <c r="Q455" t="n">
        <v>0</v>
      </c>
      <c r="R455" s="2" t="inlineStr"/>
    </row>
    <row r="456" ht="15" customHeight="1">
      <c r="A456" t="inlineStr">
        <is>
          <t>A 54199-2024</t>
        </is>
      </c>
      <c r="B456" s="1" t="n">
        <v>45616.64703703704</v>
      </c>
      <c r="C456" s="1" t="n">
        <v>45883</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60548-2024</t>
        </is>
      </c>
      <c r="B457" s="1" t="n">
        <v>45643.80978009259</v>
      </c>
      <c r="C457" s="1" t="n">
        <v>45883</v>
      </c>
      <c r="D457" t="inlineStr">
        <is>
          <t>VÄSTMANLANDS LÄN</t>
        </is>
      </c>
      <c r="E457" t="inlineStr">
        <is>
          <t>SALA</t>
        </is>
      </c>
      <c r="G457" t="n">
        <v>1.6</v>
      </c>
      <c r="H457" t="n">
        <v>0</v>
      </c>
      <c r="I457" t="n">
        <v>0</v>
      </c>
      <c r="J457" t="n">
        <v>0</v>
      </c>
      <c r="K457" t="n">
        <v>0</v>
      </c>
      <c r="L457" t="n">
        <v>0</v>
      </c>
      <c r="M457" t="n">
        <v>0</v>
      </c>
      <c r="N457" t="n">
        <v>0</v>
      </c>
      <c r="O457" t="n">
        <v>0</v>
      </c>
      <c r="P457" t="n">
        <v>0</v>
      </c>
      <c r="Q457" t="n">
        <v>0</v>
      </c>
      <c r="R457" s="2" t="inlineStr"/>
    </row>
    <row r="458" ht="15" customHeight="1">
      <c r="A458" t="inlineStr">
        <is>
          <t>A 16328-2025</t>
        </is>
      </c>
      <c r="B458" s="1" t="n">
        <v>45751</v>
      </c>
      <c r="C458" s="1" t="n">
        <v>45883</v>
      </c>
      <c r="D458" t="inlineStr">
        <is>
          <t>VÄSTMANLANDS LÄN</t>
        </is>
      </c>
      <c r="E458" t="inlineStr">
        <is>
          <t>SALA</t>
        </is>
      </c>
      <c r="G458" t="n">
        <v>2.9</v>
      </c>
      <c r="H458" t="n">
        <v>0</v>
      </c>
      <c r="I458" t="n">
        <v>0</v>
      </c>
      <c r="J458" t="n">
        <v>0</v>
      </c>
      <c r="K458" t="n">
        <v>0</v>
      </c>
      <c r="L458" t="n">
        <v>0</v>
      </c>
      <c r="M458" t="n">
        <v>0</v>
      </c>
      <c r="N458" t="n">
        <v>0</v>
      </c>
      <c r="O458" t="n">
        <v>0</v>
      </c>
      <c r="P458" t="n">
        <v>0</v>
      </c>
      <c r="Q458" t="n">
        <v>0</v>
      </c>
      <c r="R458" s="2" t="inlineStr"/>
    </row>
    <row r="459" ht="15" customHeight="1">
      <c r="A459" t="inlineStr">
        <is>
          <t>A 22353-2025</t>
        </is>
      </c>
      <c r="B459" s="1" t="n">
        <v>45786</v>
      </c>
      <c r="C459" s="1" t="n">
        <v>45883</v>
      </c>
      <c r="D459" t="inlineStr">
        <is>
          <t>VÄSTMANLANDS LÄN</t>
        </is>
      </c>
      <c r="E459" t="inlineStr">
        <is>
          <t>SALA</t>
        </is>
      </c>
      <c r="G459" t="n">
        <v>2.5</v>
      </c>
      <c r="H459" t="n">
        <v>0</v>
      </c>
      <c r="I459" t="n">
        <v>0</v>
      </c>
      <c r="J459" t="n">
        <v>0</v>
      </c>
      <c r="K459" t="n">
        <v>0</v>
      </c>
      <c r="L459" t="n">
        <v>0</v>
      </c>
      <c r="M459" t="n">
        <v>0</v>
      </c>
      <c r="N459" t="n">
        <v>0</v>
      </c>
      <c r="O459" t="n">
        <v>0</v>
      </c>
      <c r="P459" t="n">
        <v>0</v>
      </c>
      <c r="Q459" t="n">
        <v>0</v>
      </c>
      <c r="R459" s="2" t="inlineStr"/>
    </row>
    <row r="460" ht="15" customHeight="1">
      <c r="A460" t="inlineStr">
        <is>
          <t>A 64724-2023</t>
        </is>
      </c>
      <c r="B460" s="1" t="n">
        <v>45281.7602662037</v>
      </c>
      <c r="C460" s="1" t="n">
        <v>45883</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12922-2025</t>
        </is>
      </c>
      <c r="B461" s="1" t="n">
        <v>45734.28572916667</v>
      </c>
      <c r="C461" s="1" t="n">
        <v>45883</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31609-2024</t>
        </is>
      </c>
      <c r="B462" s="1" t="n">
        <v>45506</v>
      </c>
      <c r="C462" s="1" t="n">
        <v>45883</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22370-2025</t>
        </is>
      </c>
      <c r="B463" s="1" t="n">
        <v>45786</v>
      </c>
      <c r="C463" s="1" t="n">
        <v>45883</v>
      </c>
      <c r="D463" t="inlineStr">
        <is>
          <t>VÄSTMANLANDS LÄN</t>
        </is>
      </c>
      <c r="E463" t="inlineStr">
        <is>
          <t>SALA</t>
        </is>
      </c>
      <c r="G463" t="n">
        <v>3.2</v>
      </c>
      <c r="H463" t="n">
        <v>0</v>
      </c>
      <c r="I463" t="n">
        <v>0</v>
      </c>
      <c r="J463" t="n">
        <v>0</v>
      </c>
      <c r="K463" t="n">
        <v>0</v>
      </c>
      <c r="L463" t="n">
        <v>0</v>
      </c>
      <c r="M463" t="n">
        <v>0</v>
      </c>
      <c r="N463" t="n">
        <v>0</v>
      </c>
      <c r="O463" t="n">
        <v>0</v>
      </c>
      <c r="P463" t="n">
        <v>0</v>
      </c>
      <c r="Q463" t="n">
        <v>0</v>
      </c>
      <c r="R463" s="2" t="inlineStr"/>
    </row>
    <row r="464" ht="15" customHeight="1">
      <c r="A464" t="inlineStr">
        <is>
          <t>A 22383-2025</t>
        </is>
      </c>
      <c r="B464" s="1" t="n">
        <v>45786</v>
      </c>
      <c r="C464" s="1" t="n">
        <v>45883</v>
      </c>
      <c r="D464" t="inlineStr">
        <is>
          <t>VÄSTMANLANDS LÄN</t>
        </is>
      </c>
      <c r="E464" t="inlineStr">
        <is>
          <t>SALA</t>
        </is>
      </c>
      <c r="G464" t="n">
        <v>2.2</v>
      </c>
      <c r="H464" t="n">
        <v>0</v>
      </c>
      <c r="I464" t="n">
        <v>0</v>
      </c>
      <c r="J464" t="n">
        <v>0</v>
      </c>
      <c r="K464" t="n">
        <v>0</v>
      </c>
      <c r="L464" t="n">
        <v>0</v>
      </c>
      <c r="M464" t="n">
        <v>0</v>
      </c>
      <c r="N464" t="n">
        <v>0</v>
      </c>
      <c r="O464" t="n">
        <v>0</v>
      </c>
      <c r="P464" t="n">
        <v>0</v>
      </c>
      <c r="Q464" t="n">
        <v>0</v>
      </c>
      <c r="R464" s="2" t="inlineStr"/>
    </row>
    <row r="465" ht="15" customHeight="1">
      <c r="A465" t="inlineStr">
        <is>
          <t>A 35410-2022</t>
        </is>
      </c>
      <c r="B465" s="1" t="n">
        <v>44798.62576388889</v>
      </c>
      <c r="C465" s="1" t="n">
        <v>45883</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7176-2023</t>
        </is>
      </c>
      <c r="B466" s="1" t="n">
        <v>44970</v>
      </c>
      <c r="C466" s="1" t="n">
        <v>45883</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57895-2024</t>
        </is>
      </c>
      <c r="B467" s="1" t="n">
        <v>45631</v>
      </c>
      <c r="C467" s="1" t="n">
        <v>45883</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22624-2025</t>
        </is>
      </c>
      <c r="B468" s="1" t="n">
        <v>45789.43327546296</v>
      </c>
      <c r="C468" s="1" t="n">
        <v>45883</v>
      </c>
      <c r="D468" t="inlineStr">
        <is>
          <t>VÄSTMANLANDS LÄN</t>
        </is>
      </c>
      <c r="E468" t="inlineStr">
        <is>
          <t>SALA</t>
        </is>
      </c>
      <c r="G468" t="n">
        <v>1.5</v>
      </c>
      <c r="H468" t="n">
        <v>0</v>
      </c>
      <c r="I468" t="n">
        <v>0</v>
      </c>
      <c r="J468" t="n">
        <v>0</v>
      </c>
      <c r="K468" t="n">
        <v>0</v>
      </c>
      <c r="L468" t="n">
        <v>0</v>
      </c>
      <c r="M468" t="n">
        <v>0</v>
      </c>
      <c r="N468" t="n">
        <v>0</v>
      </c>
      <c r="O468" t="n">
        <v>0</v>
      </c>
      <c r="P468" t="n">
        <v>0</v>
      </c>
      <c r="Q468" t="n">
        <v>0</v>
      </c>
      <c r="R468" s="2" t="inlineStr"/>
    </row>
    <row r="469" ht="15" customHeight="1">
      <c r="A469" t="inlineStr">
        <is>
          <t>A 31597-2024</t>
        </is>
      </c>
      <c r="B469" s="1" t="n">
        <v>45506</v>
      </c>
      <c r="C469" s="1" t="n">
        <v>45883</v>
      </c>
      <c r="D469" t="inlineStr">
        <is>
          <t>VÄSTMANLANDS LÄN</t>
        </is>
      </c>
      <c r="E469" t="inlineStr">
        <is>
          <t>SALA</t>
        </is>
      </c>
      <c r="G469" t="n">
        <v>2.4</v>
      </c>
      <c r="H469" t="n">
        <v>0</v>
      </c>
      <c r="I469" t="n">
        <v>0</v>
      </c>
      <c r="J469" t="n">
        <v>0</v>
      </c>
      <c r="K469" t="n">
        <v>0</v>
      </c>
      <c r="L469" t="n">
        <v>0</v>
      </c>
      <c r="M469" t="n">
        <v>0</v>
      </c>
      <c r="N469" t="n">
        <v>0</v>
      </c>
      <c r="O469" t="n">
        <v>0</v>
      </c>
      <c r="P469" t="n">
        <v>0</v>
      </c>
      <c r="Q469" t="n">
        <v>0</v>
      </c>
      <c r="R469" s="2" t="inlineStr"/>
    </row>
    <row r="470" ht="15" customHeight="1">
      <c r="A470" t="inlineStr">
        <is>
          <t>A 17458-2024</t>
        </is>
      </c>
      <c r="B470" s="1" t="n">
        <v>45415</v>
      </c>
      <c r="C470" s="1" t="n">
        <v>45883</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50801-2020</t>
        </is>
      </c>
      <c r="B471" s="1" t="n">
        <v>44111</v>
      </c>
      <c r="C471" s="1" t="n">
        <v>45883</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31405-2024</t>
        </is>
      </c>
      <c r="B472" s="1" t="n">
        <v>45505.5490625</v>
      </c>
      <c r="C472" s="1" t="n">
        <v>45883</v>
      </c>
      <c r="D472" t="inlineStr">
        <is>
          <t>VÄSTMANLANDS LÄN</t>
        </is>
      </c>
      <c r="E472" t="inlineStr">
        <is>
          <t>SALA</t>
        </is>
      </c>
      <c r="G472" t="n">
        <v>5.2</v>
      </c>
      <c r="H472" t="n">
        <v>0</v>
      </c>
      <c r="I472" t="n">
        <v>0</v>
      </c>
      <c r="J472" t="n">
        <v>0</v>
      </c>
      <c r="K472" t="n">
        <v>0</v>
      </c>
      <c r="L472" t="n">
        <v>0</v>
      </c>
      <c r="M472" t="n">
        <v>0</v>
      </c>
      <c r="N472" t="n">
        <v>0</v>
      </c>
      <c r="O472" t="n">
        <v>0</v>
      </c>
      <c r="P472" t="n">
        <v>0</v>
      </c>
      <c r="Q472" t="n">
        <v>0</v>
      </c>
      <c r="R472" s="2" t="inlineStr"/>
    </row>
    <row r="473" ht="15" customHeight="1">
      <c r="A473" t="inlineStr">
        <is>
          <t>A 21159-2022</t>
        </is>
      </c>
      <c r="B473" s="1" t="n">
        <v>44704</v>
      </c>
      <c r="C473" s="1" t="n">
        <v>45883</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41292-2021</t>
        </is>
      </c>
      <c r="B474" s="1" t="n">
        <v>44424</v>
      </c>
      <c r="C474" s="1" t="n">
        <v>45883</v>
      </c>
      <c r="D474" t="inlineStr">
        <is>
          <t>VÄSTMANLANDS LÄN</t>
        </is>
      </c>
      <c r="E474" t="inlineStr">
        <is>
          <t>SALA</t>
        </is>
      </c>
      <c r="G474" t="n">
        <v>0.3</v>
      </c>
      <c r="H474" t="n">
        <v>0</v>
      </c>
      <c r="I474" t="n">
        <v>0</v>
      </c>
      <c r="J474" t="n">
        <v>0</v>
      </c>
      <c r="K474" t="n">
        <v>0</v>
      </c>
      <c r="L474" t="n">
        <v>0</v>
      </c>
      <c r="M474" t="n">
        <v>0</v>
      </c>
      <c r="N474" t="n">
        <v>0</v>
      </c>
      <c r="O474" t="n">
        <v>0</v>
      </c>
      <c r="P474" t="n">
        <v>0</v>
      </c>
      <c r="Q474" t="n">
        <v>0</v>
      </c>
      <c r="R474" s="2" t="inlineStr"/>
    </row>
    <row r="475" ht="15" customHeight="1">
      <c r="A475" t="inlineStr">
        <is>
          <t>A 60328-2024</t>
        </is>
      </c>
      <c r="B475" s="1" t="n">
        <v>45643.38416666666</v>
      </c>
      <c r="C475" s="1" t="n">
        <v>45883</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22616-2025</t>
        </is>
      </c>
      <c r="B476" s="1" t="n">
        <v>45789.42752314815</v>
      </c>
      <c r="C476" s="1" t="n">
        <v>45883</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43600-2024</t>
        </is>
      </c>
      <c r="B477" s="1" t="n">
        <v>45569</v>
      </c>
      <c r="C477" s="1" t="n">
        <v>45883</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13130-2025</t>
        </is>
      </c>
      <c r="B478" s="1" t="n">
        <v>45734</v>
      </c>
      <c r="C478" s="1" t="n">
        <v>45883</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6088-2021</t>
        </is>
      </c>
      <c r="B479" s="1" t="n">
        <v>44232</v>
      </c>
      <c r="C479" s="1" t="n">
        <v>45883</v>
      </c>
      <c r="D479" t="inlineStr">
        <is>
          <t>VÄSTMANLANDS LÄN</t>
        </is>
      </c>
      <c r="E479" t="inlineStr">
        <is>
          <t>SALA</t>
        </is>
      </c>
      <c r="G479" t="n">
        <v>0.2</v>
      </c>
      <c r="H479" t="n">
        <v>0</v>
      </c>
      <c r="I479" t="n">
        <v>0</v>
      </c>
      <c r="J479" t="n">
        <v>0</v>
      </c>
      <c r="K479" t="n">
        <v>0</v>
      </c>
      <c r="L479" t="n">
        <v>0</v>
      </c>
      <c r="M479" t="n">
        <v>0</v>
      </c>
      <c r="N479" t="n">
        <v>0</v>
      </c>
      <c r="O479" t="n">
        <v>0</v>
      </c>
      <c r="P479" t="n">
        <v>0</v>
      </c>
      <c r="Q479" t="n">
        <v>0</v>
      </c>
      <c r="R479" s="2" t="inlineStr"/>
    </row>
    <row r="480" ht="15" customHeight="1">
      <c r="A480" t="inlineStr">
        <is>
          <t>A 33273-2023</t>
        </is>
      </c>
      <c r="B480" s="1" t="n">
        <v>45127</v>
      </c>
      <c r="C480" s="1" t="n">
        <v>45883</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52827-2024</t>
        </is>
      </c>
      <c r="B481" s="1" t="n">
        <v>45610</v>
      </c>
      <c r="C481" s="1" t="n">
        <v>45883</v>
      </c>
      <c r="D481" t="inlineStr">
        <is>
          <t>VÄSTMANLANDS LÄN</t>
        </is>
      </c>
      <c r="E481" t="inlineStr">
        <is>
          <t>SALA</t>
        </is>
      </c>
      <c r="G481" t="n">
        <v>0.2</v>
      </c>
      <c r="H481" t="n">
        <v>0</v>
      </c>
      <c r="I481" t="n">
        <v>0</v>
      </c>
      <c r="J481" t="n">
        <v>0</v>
      </c>
      <c r="K481" t="n">
        <v>0</v>
      </c>
      <c r="L481" t="n">
        <v>0</v>
      </c>
      <c r="M481" t="n">
        <v>0</v>
      </c>
      <c r="N481" t="n">
        <v>0</v>
      </c>
      <c r="O481" t="n">
        <v>0</v>
      </c>
      <c r="P481" t="n">
        <v>0</v>
      </c>
      <c r="Q481" t="n">
        <v>0</v>
      </c>
      <c r="R481" s="2" t="inlineStr"/>
    </row>
    <row r="482" ht="15" customHeight="1">
      <c r="A482" t="inlineStr">
        <is>
          <t>A 53166-2024</t>
        </is>
      </c>
      <c r="B482" s="1" t="n">
        <v>45611</v>
      </c>
      <c r="C482" s="1" t="n">
        <v>45883</v>
      </c>
      <c r="D482" t="inlineStr">
        <is>
          <t>VÄSTMANLANDS LÄN</t>
        </is>
      </c>
      <c r="E482" t="inlineStr">
        <is>
          <t>SALA</t>
        </is>
      </c>
      <c r="G482" t="n">
        <v>1.5</v>
      </c>
      <c r="H482" t="n">
        <v>0</v>
      </c>
      <c r="I482" t="n">
        <v>0</v>
      </c>
      <c r="J482" t="n">
        <v>0</v>
      </c>
      <c r="K482" t="n">
        <v>0</v>
      </c>
      <c r="L482" t="n">
        <v>0</v>
      </c>
      <c r="M482" t="n">
        <v>0</v>
      </c>
      <c r="N482" t="n">
        <v>0</v>
      </c>
      <c r="O482" t="n">
        <v>0</v>
      </c>
      <c r="P482" t="n">
        <v>0</v>
      </c>
      <c r="Q482" t="n">
        <v>0</v>
      </c>
      <c r="R482" s="2" t="inlineStr"/>
    </row>
    <row r="483" ht="15" customHeight="1">
      <c r="A483" t="inlineStr">
        <is>
          <t>A 56543-2024</t>
        </is>
      </c>
      <c r="B483" s="1" t="n">
        <v>45625</v>
      </c>
      <c r="C483" s="1" t="n">
        <v>45883</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11244-2024</t>
        </is>
      </c>
      <c r="B484" s="1" t="n">
        <v>45371</v>
      </c>
      <c r="C484" s="1" t="n">
        <v>45883</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62654-2022</t>
        </is>
      </c>
      <c r="B485" s="1" t="n">
        <v>44917</v>
      </c>
      <c r="C485" s="1" t="n">
        <v>45883</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6135-2023</t>
        </is>
      </c>
      <c r="B486" s="1" t="n">
        <v>44964.62628472222</v>
      </c>
      <c r="C486" s="1" t="n">
        <v>45883</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53864-2022</t>
        </is>
      </c>
      <c r="B487" s="1" t="n">
        <v>44880.64016203704</v>
      </c>
      <c r="C487" s="1" t="n">
        <v>45883</v>
      </c>
      <c r="D487" t="inlineStr">
        <is>
          <t>VÄSTMANLANDS LÄN</t>
        </is>
      </c>
      <c r="E487" t="inlineStr">
        <is>
          <t>SALA</t>
        </is>
      </c>
      <c r="G487" t="n">
        <v>5.9</v>
      </c>
      <c r="H487" t="n">
        <v>0</v>
      </c>
      <c r="I487" t="n">
        <v>0</v>
      </c>
      <c r="J487" t="n">
        <v>0</v>
      </c>
      <c r="K487" t="n">
        <v>0</v>
      </c>
      <c r="L487" t="n">
        <v>0</v>
      </c>
      <c r="M487" t="n">
        <v>0</v>
      </c>
      <c r="N487" t="n">
        <v>0</v>
      </c>
      <c r="O487" t="n">
        <v>0</v>
      </c>
      <c r="P487" t="n">
        <v>0</v>
      </c>
      <c r="Q487" t="n">
        <v>0</v>
      </c>
      <c r="R487" s="2" t="inlineStr"/>
    </row>
    <row r="488" ht="15" customHeight="1">
      <c r="A488" t="inlineStr">
        <is>
          <t>A 27255-2023</t>
        </is>
      </c>
      <c r="B488" s="1" t="n">
        <v>45096</v>
      </c>
      <c r="C488" s="1" t="n">
        <v>45883</v>
      </c>
      <c r="D488" t="inlineStr">
        <is>
          <t>VÄSTMANLANDS LÄN</t>
        </is>
      </c>
      <c r="E488" t="inlineStr">
        <is>
          <t>SALA</t>
        </is>
      </c>
      <c r="F488" t="inlineStr">
        <is>
          <t>Sveaskog</t>
        </is>
      </c>
      <c r="G488" t="n">
        <v>2.3</v>
      </c>
      <c r="H488" t="n">
        <v>0</v>
      </c>
      <c r="I488" t="n">
        <v>0</v>
      </c>
      <c r="J488" t="n">
        <v>0</v>
      </c>
      <c r="K488" t="n">
        <v>0</v>
      </c>
      <c r="L488" t="n">
        <v>0</v>
      </c>
      <c r="M488" t="n">
        <v>0</v>
      </c>
      <c r="N488" t="n">
        <v>0</v>
      </c>
      <c r="O488" t="n">
        <v>0</v>
      </c>
      <c r="P488" t="n">
        <v>0</v>
      </c>
      <c r="Q488" t="n">
        <v>0</v>
      </c>
      <c r="R488" s="2" t="inlineStr"/>
    </row>
    <row r="489" ht="15" customHeight="1">
      <c r="A489" t="inlineStr">
        <is>
          <t>A 24169-2025</t>
        </is>
      </c>
      <c r="B489" s="1" t="n">
        <v>45796</v>
      </c>
      <c r="C489" s="1" t="n">
        <v>45883</v>
      </c>
      <c r="D489" t="inlineStr">
        <is>
          <t>VÄSTMANLANDS LÄN</t>
        </is>
      </c>
      <c r="E489" t="inlineStr">
        <is>
          <t>SALA</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22126-2025</t>
        </is>
      </c>
      <c r="B490" s="1" t="n">
        <v>45785</v>
      </c>
      <c r="C490" s="1" t="n">
        <v>45883</v>
      </c>
      <c r="D490" t="inlineStr">
        <is>
          <t>VÄSTMANLANDS LÄN</t>
        </is>
      </c>
      <c r="E490" t="inlineStr">
        <is>
          <t>SALA</t>
        </is>
      </c>
      <c r="G490" t="n">
        <v>10.6</v>
      </c>
      <c r="H490" t="n">
        <v>0</v>
      </c>
      <c r="I490" t="n">
        <v>0</v>
      </c>
      <c r="J490" t="n">
        <v>0</v>
      </c>
      <c r="K490" t="n">
        <v>0</v>
      </c>
      <c r="L490" t="n">
        <v>0</v>
      </c>
      <c r="M490" t="n">
        <v>0</v>
      </c>
      <c r="N490" t="n">
        <v>0</v>
      </c>
      <c r="O490" t="n">
        <v>0</v>
      </c>
      <c r="P490" t="n">
        <v>0</v>
      </c>
      <c r="Q490" t="n">
        <v>0</v>
      </c>
      <c r="R490" s="2" t="inlineStr"/>
    </row>
    <row r="491" ht="15" customHeight="1">
      <c r="A491" t="inlineStr">
        <is>
          <t>A 23810-2025</t>
        </is>
      </c>
      <c r="B491" s="1" t="n">
        <v>45793.56989583333</v>
      </c>
      <c r="C491" s="1" t="n">
        <v>45883</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60034-2024</t>
        </is>
      </c>
      <c r="B492" s="1" t="n">
        <v>45642.46261574074</v>
      </c>
      <c r="C492" s="1" t="n">
        <v>45883</v>
      </c>
      <c r="D492" t="inlineStr">
        <is>
          <t>VÄSTMANLANDS LÄN</t>
        </is>
      </c>
      <c r="E492" t="inlineStr">
        <is>
          <t>SALA</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3810-2023</t>
        </is>
      </c>
      <c r="B493" s="1" t="n">
        <v>44951.60454861111</v>
      </c>
      <c r="C493" s="1" t="n">
        <v>45883</v>
      </c>
      <c r="D493" t="inlineStr">
        <is>
          <t>VÄSTMANLANDS LÄN</t>
        </is>
      </c>
      <c r="E493" t="inlineStr">
        <is>
          <t>SALA</t>
        </is>
      </c>
      <c r="G493" t="n">
        <v>4.2</v>
      </c>
      <c r="H493" t="n">
        <v>0</v>
      </c>
      <c r="I493" t="n">
        <v>0</v>
      </c>
      <c r="J493" t="n">
        <v>0</v>
      </c>
      <c r="K493" t="n">
        <v>0</v>
      </c>
      <c r="L493" t="n">
        <v>0</v>
      </c>
      <c r="M493" t="n">
        <v>0</v>
      </c>
      <c r="N493" t="n">
        <v>0</v>
      </c>
      <c r="O493" t="n">
        <v>0</v>
      </c>
      <c r="P493" t="n">
        <v>0</v>
      </c>
      <c r="Q493" t="n">
        <v>0</v>
      </c>
      <c r="R493" s="2" t="inlineStr"/>
    </row>
    <row r="494" ht="15" customHeight="1">
      <c r="A494" t="inlineStr">
        <is>
          <t>A 24944-2023</t>
        </is>
      </c>
      <c r="B494" s="1" t="n">
        <v>45085</v>
      </c>
      <c r="C494" s="1" t="n">
        <v>45883</v>
      </c>
      <c r="D494" t="inlineStr">
        <is>
          <t>VÄSTMANLANDS LÄN</t>
        </is>
      </c>
      <c r="E494" t="inlineStr">
        <is>
          <t>SALA</t>
        </is>
      </c>
      <c r="G494" t="n">
        <v>3.8</v>
      </c>
      <c r="H494" t="n">
        <v>0</v>
      </c>
      <c r="I494" t="n">
        <v>0</v>
      </c>
      <c r="J494" t="n">
        <v>0</v>
      </c>
      <c r="K494" t="n">
        <v>0</v>
      </c>
      <c r="L494" t="n">
        <v>0</v>
      </c>
      <c r="M494" t="n">
        <v>0</v>
      </c>
      <c r="N494" t="n">
        <v>0</v>
      </c>
      <c r="O494" t="n">
        <v>0</v>
      </c>
      <c r="P494" t="n">
        <v>0</v>
      </c>
      <c r="Q494" t="n">
        <v>0</v>
      </c>
      <c r="R494" s="2" t="inlineStr"/>
    </row>
    <row r="495" ht="15" customHeight="1">
      <c r="A495" t="inlineStr">
        <is>
          <t>A 23804-2025</t>
        </is>
      </c>
      <c r="B495" s="1" t="n">
        <v>45793.55995370371</v>
      </c>
      <c r="C495" s="1" t="n">
        <v>45883</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11210-2025</t>
        </is>
      </c>
      <c r="B496" s="1" t="n">
        <v>45726</v>
      </c>
      <c r="C496" s="1" t="n">
        <v>45883</v>
      </c>
      <c r="D496" t="inlineStr">
        <is>
          <t>VÄSTMANLANDS LÄN</t>
        </is>
      </c>
      <c r="E496" t="inlineStr">
        <is>
          <t>SALA</t>
        </is>
      </c>
      <c r="G496" t="n">
        <v>4.1</v>
      </c>
      <c r="H496" t="n">
        <v>0</v>
      </c>
      <c r="I496" t="n">
        <v>0</v>
      </c>
      <c r="J496" t="n">
        <v>0</v>
      </c>
      <c r="K496" t="n">
        <v>0</v>
      </c>
      <c r="L496" t="n">
        <v>0</v>
      </c>
      <c r="M496" t="n">
        <v>0</v>
      </c>
      <c r="N496" t="n">
        <v>0</v>
      </c>
      <c r="O496" t="n">
        <v>0</v>
      </c>
      <c r="P496" t="n">
        <v>0</v>
      </c>
      <c r="Q496" t="n">
        <v>0</v>
      </c>
      <c r="R496" s="2" t="inlineStr"/>
    </row>
    <row r="497" ht="15" customHeight="1">
      <c r="A497" t="inlineStr">
        <is>
          <t>A 19297-2025</t>
        </is>
      </c>
      <c r="B497" s="1" t="n">
        <v>45769.56261574074</v>
      </c>
      <c r="C497" s="1" t="n">
        <v>45883</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52503-2024</t>
        </is>
      </c>
      <c r="B498" s="1" t="n">
        <v>45609.58806712963</v>
      </c>
      <c r="C498" s="1" t="n">
        <v>45883</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2521-2025</t>
        </is>
      </c>
      <c r="B499" s="1" t="n">
        <v>45674</v>
      </c>
      <c r="C499" s="1" t="n">
        <v>45883</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24460-2025</t>
        </is>
      </c>
      <c r="B500" s="1" t="n">
        <v>45798</v>
      </c>
      <c r="C500" s="1" t="n">
        <v>45883</v>
      </c>
      <c r="D500" t="inlineStr">
        <is>
          <t>VÄSTMANLANDS LÄN</t>
        </is>
      </c>
      <c r="E500" t="inlineStr">
        <is>
          <t>SALA</t>
        </is>
      </c>
      <c r="F500" t="inlineStr">
        <is>
          <t>Bergvik skog öst AB</t>
        </is>
      </c>
      <c r="G500" t="n">
        <v>2.6</v>
      </c>
      <c r="H500" t="n">
        <v>0</v>
      </c>
      <c r="I500" t="n">
        <v>0</v>
      </c>
      <c r="J500" t="n">
        <v>0</v>
      </c>
      <c r="K500" t="n">
        <v>0</v>
      </c>
      <c r="L500" t="n">
        <v>0</v>
      </c>
      <c r="M500" t="n">
        <v>0</v>
      </c>
      <c r="N500" t="n">
        <v>0</v>
      </c>
      <c r="O500" t="n">
        <v>0</v>
      </c>
      <c r="P500" t="n">
        <v>0</v>
      </c>
      <c r="Q500" t="n">
        <v>0</v>
      </c>
      <c r="R500" s="2" t="inlineStr"/>
    </row>
    <row r="501" ht="15" customHeight="1">
      <c r="A501" t="inlineStr">
        <is>
          <t>A 31000-2022</t>
        </is>
      </c>
      <c r="B501" s="1" t="n">
        <v>44768</v>
      </c>
      <c r="C501" s="1" t="n">
        <v>45883</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55065-2024</t>
        </is>
      </c>
      <c r="B502" s="1" t="n">
        <v>45618</v>
      </c>
      <c r="C502" s="1" t="n">
        <v>45883</v>
      </c>
      <c r="D502" t="inlineStr">
        <is>
          <t>VÄSTMANLANDS LÄN</t>
        </is>
      </c>
      <c r="E502" t="inlineStr">
        <is>
          <t>SALA</t>
        </is>
      </c>
      <c r="G502" t="n">
        <v>3.5</v>
      </c>
      <c r="H502" t="n">
        <v>0</v>
      </c>
      <c r="I502" t="n">
        <v>0</v>
      </c>
      <c r="J502" t="n">
        <v>0</v>
      </c>
      <c r="K502" t="n">
        <v>0</v>
      </c>
      <c r="L502" t="n">
        <v>0</v>
      </c>
      <c r="M502" t="n">
        <v>0</v>
      </c>
      <c r="N502" t="n">
        <v>0</v>
      </c>
      <c r="O502" t="n">
        <v>0</v>
      </c>
      <c r="P502" t="n">
        <v>0</v>
      </c>
      <c r="Q502" t="n">
        <v>0</v>
      </c>
      <c r="R502" s="2" t="inlineStr"/>
    </row>
    <row r="503" ht="15" customHeight="1">
      <c r="A503" t="inlineStr">
        <is>
          <t>A 24463-2025</t>
        </is>
      </c>
      <c r="B503" s="1" t="n">
        <v>45798</v>
      </c>
      <c r="C503" s="1" t="n">
        <v>45883</v>
      </c>
      <c r="D503" t="inlineStr">
        <is>
          <t>VÄSTMANLANDS LÄN</t>
        </is>
      </c>
      <c r="E503" t="inlineStr">
        <is>
          <t>SALA</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28661-2024</t>
        </is>
      </c>
      <c r="B504" s="1" t="n">
        <v>45478</v>
      </c>
      <c r="C504" s="1" t="n">
        <v>45883</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2529-2022</t>
        </is>
      </c>
      <c r="B505" s="1" t="n">
        <v>44579.86452546297</v>
      </c>
      <c r="C505" s="1" t="n">
        <v>45883</v>
      </c>
      <c r="D505" t="inlineStr">
        <is>
          <t>VÄSTMANLANDS LÄN</t>
        </is>
      </c>
      <c r="E505" t="inlineStr">
        <is>
          <t>SALA</t>
        </is>
      </c>
      <c r="G505" t="n">
        <v>1.7</v>
      </c>
      <c r="H505" t="n">
        <v>0</v>
      </c>
      <c r="I505" t="n">
        <v>0</v>
      </c>
      <c r="J505" t="n">
        <v>0</v>
      </c>
      <c r="K505" t="n">
        <v>0</v>
      </c>
      <c r="L505" t="n">
        <v>0</v>
      </c>
      <c r="M505" t="n">
        <v>0</v>
      </c>
      <c r="N505" t="n">
        <v>0</v>
      </c>
      <c r="O505" t="n">
        <v>0</v>
      </c>
      <c r="P505" t="n">
        <v>0</v>
      </c>
      <c r="Q505" t="n">
        <v>0</v>
      </c>
      <c r="R505" s="2" t="inlineStr"/>
    </row>
    <row r="506" ht="15" customHeight="1">
      <c r="A506" t="inlineStr">
        <is>
          <t>A 56540-2024</t>
        </is>
      </c>
      <c r="B506" s="1" t="n">
        <v>45625</v>
      </c>
      <c r="C506" s="1" t="n">
        <v>45883</v>
      </c>
      <c r="D506" t="inlineStr">
        <is>
          <t>VÄSTMANLANDS LÄN</t>
        </is>
      </c>
      <c r="E506" t="inlineStr">
        <is>
          <t>SALA</t>
        </is>
      </c>
      <c r="G506" t="n">
        <v>1.8</v>
      </c>
      <c r="H506" t="n">
        <v>0</v>
      </c>
      <c r="I506" t="n">
        <v>0</v>
      </c>
      <c r="J506" t="n">
        <v>0</v>
      </c>
      <c r="K506" t="n">
        <v>0</v>
      </c>
      <c r="L506" t="n">
        <v>0</v>
      </c>
      <c r="M506" t="n">
        <v>0</v>
      </c>
      <c r="N506" t="n">
        <v>0</v>
      </c>
      <c r="O506" t="n">
        <v>0</v>
      </c>
      <c r="P506" t="n">
        <v>0</v>
      </c>
      <c r="Q506" t="n">
        <v>0</v>
      </c>
      <c r="R506" s="2" t="inlineStr"/>
    </row>
    <row r="507" ht="15" customHeight="1">
      <c r="A507" t="inlineStr">
        <is>
          <t>A 31599-2024</t>
        </is>
      </c>
      <c r="B507" s="1" t="n">
        <v>45506</v>
      </c>
      <c r="C507" s="1" t="n">
        <v>45883</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31601-2024</t>
        </is>
      </c>
      <c r="B508" s="1" t="n">
        <v>45506</v>
      </c>
      <c r="C508" s="1" t="n">
        <v>45883</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31608-2024</t>
        </is>
      </c>
      <c r="B509" s="1" t="n">
        <v>45506</v>
      </c>
      <c r="C509" s="1" t="n">
        <v>45883</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31612-2024</t>
        </is>
      </c>
      <c r="B510" s="1" t="n">
        <v>45506</v>
      </c>
      <c r="C510" s="1" t="n">
        <v>45883</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31950-2023</t>
        </is>
      </c>
      <c r="B511" s="1" t="n">
        <v>45107</v>
      </c>
      <c r="C511" s="1" t="n">
        <v>45883</v>
      </c>
      <c r="D511" t="inlineStr">
        <is>
          <t>VÄSTMANLANDS LÄN</t>
        </is>
      </c>
      <c r="E511" t="inlineStr">
        <is>
          <t>SALA</t>
        </is>
      </c>
      <c r="G511" t="n">
        <v>0.1</v>
      </c>
      <c r="H511" t="n">
        <v>0</v>
      </c>
      <c r="I511" t="n">
        <v>0</v>
      </c>
      <c r="J511" t="n">
        <v>0</v>
      </c>
      <c r="K511" t="n">
        <v>0</v>
      </c>
      <c r="L511" t="n">
        <v>0</v>
      </c>
      <c r="M511" t="n">
        <v>0</v>
      </c>
      <c r="N511" t="n">
        <v>0</v>
      </c>
      <c r="O511" t="n">
        <v>0</v>
      </c>
      <c r="P511" t="n">
        <v>0</v>
      </c>
      <c r="Q511" t="n">
        <v>0</v>
      </c>
      <c r="R511" s="2" t="inlineStr"/>
    </row>
    <row r="512" ht="15" customHeight="1">
      <c r="A512" t="inlineStr">
        <is>
          <t>A 10579-2022</t>
        </is>
      </c>
      <c r="B512" s="1" t="n">
        <v>44624</v>
      </c>
      <c r="C512" s="1" t="n">
        <v>45883</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64693-2023</t>
        </is>
      </c>
      <c r="B513" s="1" t="n">
        <v>45281.63850694444</v>
      </c>
      <c r="C513" s="1" t="n">
        <v>45883</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64695-2023</t>
        </is>
      </c>
      <c r="B514" s="1" t="n">
        <v>45281.64099537037</v>
      </c>
      <c r="C514" s="1" t="n">
        <v>45883</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24907-2025</t>
        </is>
      </c>
      <c r="B515" s="1" t="n">
        <v>45799</v>
      </c>
      <c r="C515" s="1" t="n">
        <v>45883</v>
      </c>
      <c r="D515" t="inlineStr">
        <is>
          <t>VÄSTMANLANDS LÄN</t>
        </is>
      </c>
      <c r="E515" t="inlineStr">
        <is>
          <t>SALA</t>
        </is>
      </c>
      <c r="G515" t="n">
        <v>3.5</v>
      </c>
      <c r="H515" t="n">
        <v>0</v>
      </c>
      <c r="I515" t="n">
        <v>0</v>
      </c>
      <c r="J515" t="n">
        <v>0</v>
      </c>
      <c r="K515" t="n">
        <v>0</v>
      </c>
      <c r="L515" t="n">
        <v>0</v>
      </c>
      <c r="M515" t="n">
        <v>0</v>
      </c>
      <c r="N515" t="n">
        <v>0</v>
      </c>
      <c r="O515" t="n">
        <v>0</v>
      </c>
      <c r="P515" t="n">
        <v>0</v>
      </c>
      <c r="Q515" t="n">
        <v>0</v>
      </c>
      <c r="R515" s="2" t="inlineStr"/>
    </row>
    <row r="516" ht="15" customHeight="1">
      <c r="A516" t="inlineStr">
        <is>
          <t>A 24910-2025</t>
        </is>
      </c>
      <c r="B516" s="1" t="n">
        <v>45799.53775462963</v>
      </c>
      <c r="C516" s="1" t="n">
        <v>45883</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16693-2023</t>
        </is>
      </c>
      <c r="B517" s="1" t="n">
        <v>45028</v>
      </c>
      <c r="C517" s="1" t="n">
        <v>45883</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23182-2022</t>
        </is>
      </c>
      <c r="B518" s="1" t="n">
        <v>44719.79707175926</v>
      </c>
      <c r="C518" s="1" t="n">
        <v>45883</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57371-2022</t>
        </is>
      </c>
      <c r="B519" s="1" t="n">
        <v>44896.43832175926</v>
      </c>
      <c r="C519" s="1" t="n">
        <v>45883</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10909-2024</t>
        </is>
      </c>
      <c r="B520" s="1" t="n">
        <v>45370</v>
      </c>
      <c r="C520" s="1" t="n">
        <v>45883</v>
      </c>
      <c r="D520" t="inlineStr">
        <is>
          <t>VÄSTMANLANDS LÄN</t>
        </is>
      </c>
      <c r="E520" t="inlineStr">
        <is>
          <t>SALA</t>
        </is>
      </c>
      <c r="G520" t="n">
        <v>3.3</v>
      </c>
      <c r="H520" t="n">
        <v>0</v>
      </c>
      <c r="I520" t="n">
        <v>0</v>
      </c>
      <c r="J520" t="n">
        <v>0</v>
      </c>
      <c r="K520" t="n">
        <v>0</v>
      </c>
      <c r="L520" t="n">
        <v>0</v>
      </c>
      <c r="M520" t="n">
        <v>0</v>
      </c>
      <c r="N520" t="n">
        <v>0</v>
      </c>
      <c r="O520" t="n">
        <v>0</v>
      </c>
      <c r="P520" t="n">
        <v>0</v>
      </c>
      <c r="Q520" t="n">
        <v>0</v>
      </c>
      <c r="R520" s="2" t="inlineStr"/>
    </row>
    <row r="521" ht="15" customHeight="1">
      <c r="A521" t="inlineStr">
        <is>
          <t>A 55784-2024</t>
        </is>
      </c>
      <c r="B521" s="1" t="n">
        <v>45623</v>
      </c>
      <c r="C521" s="1" t="n">
        <v>45883</v>
      </c>
      <c r="D521" t="inlineStr">
        <is>
          <t>VÄSTMANLANDS LÄN</t>
        </is>
      </c>
      <c r="E521" t="inlineStr">
        <is>
          <t>SALA</t>
        </is>
      </c>
      <c r="F521" t="inlineStr">
        <is>
          <t>Bergvik skog öst AB</t>
        </is>
      </c>
      <c r="G521" t="n">
        <v>28.4</v>
      </c>
      <c r="H521" t="n">
        <v>0</v>
      </c>
      <c r="I521" t="n">
        <v>0</v>
      </c>
      <c r="J521" t="n">
        <v>0</v>
      </c>
      <c r="K521" t="n">
        <v>0</v>
      </c>
      <c r="L521" t="n">
        <v>0</v>
      </c>
      <c r="M521" t="n">
        <v>0</v>
      </c>
      <c r="N521" t="n">
        <v>0</v>
      </c>
      <c r="O521" t="n">
        <v>0</v>
      </c>
      <c r="P521" t="n">
        <v>0</v>
      </c>
      <c r="Q521" t="n">
        <v>0</v>
      </c>
      <c r="R521" s="2" t="inlineStr"/>
    </row>
    <row r="522" ht="15" customHeight="1">
      <c r="A522" t="inlineStr">
        <is>
          <t>A 17722-2025</t>
        </is>
      </c>
      <c r="B522" s="1" t="n">
        <v>45758</v>
      </c>
      <c r="C522" s="1" t="n">
        <v>45883</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34069-2025</t>
        </is>
      </c>
      <c r="B523" s="1" t="n">
        <v>45845.43560185185</v>
      </c>
      <c r="C523" s="1" t="n">
        <v>45883</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c r="U523">
        <f>HYPERLINK("https://klasma.github.io/Logging_1981/knärot/A 34069-2025 karta knärot.png", "A 34069-2025")</f>
        <v/>
      </c>
      <c r="V523">
        <f>HYPERLINK("https://klasma.github.io/Logging_1981/klagomål/A 34069-2025 FSC-klagomål.docx", "A 34069-2025")</f>
        <v/>
      </c>
      <c r="W523">
        <f>HYPERLINK("https://klasma.github.io/Logging_1981/klagomålsmail/A 34069-2025 FSC-klagomål mail.docx", "A 34069-2025")</f>
        <v/>
      </c>
      <c r="X523">
        <f>HYPERLINK("https://klasma.github.io/Logging_1981/tillsyn/A 34069-2025 tillsynsbegäran.docx", "A 34069-2025")</f>
        <v/>
      </c>
      <c r="Y523">
        <f>HYPERLINK("https://klasma.github.io/Logging_1981/tillsynsmail/A 34069-2025 tillsynsbegäran mail.docx", "A 34069-2025")</f>
        <v/>
      </c>
    </row>
    <row r="524" ht="15" customHeight="1">
      <c r="A524" t="inlineStr">
        <is>
          <t>A 29542-2023</t>
        </is>
      </c>
      <c r="B524" s="1" t="n">
        <v>45098</v>
      </c>
      <c r="C524" s="1" t="n">
        <v>45883</v>
      </c>
      <c r="D524" t="inlineStr">
        <is>
          <t>VÄSTMANLANDS LÄN</t>
        </is>
      </c>
      <c r="E524" t="inlineStr">
        <is>
          <t>SALA</t>
        </is>
      </c>
      <c r="G524" t="n">
        <v>4.8</v>
      </c>
      <c r="H524" t="n">
        <v>0</v>
      </c>
      <c r="I524" t="n">
        <v>0</v>
      </c>
      <c r="J524" t="n">
        <v>0</v>
      </c>
      <c r="K524" t="n">
        <v>0</v>
      </c>
      <c r="L524" t="n">
        <v>0</v>
      </c>
      <c r="M524" t="n">
        <v>0</v>
      </c>
      <c r="N524" t="n">
        <v>0</v>
      </c>
      <c r="O524" t="n">
        <v>0</v>
      </c>
      <c r="P524" t="n">
        <v>0</v>
      </c>
      <c r="Q524" t="n">
        <v>0</v>
      </c>
      <c r="R524" s="2" t="inlineStr"/>
    </row>
    <row r="525" ht="15" customHeight="1">
      <c r="A525" t="inlineStr">
        <is>
          <t>A 27038-2023</t>
        </is>
      </c>
      <c r="B525" s="1" t="n">
        <v>45095</v>
      </c>
      <c r="C525" s="1" t="n">
        <v>45883</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66821-2020</t>
        </is>
      </c>
      <c r="B526" s="1" t="n">
        <v>44179.88008101852</v>
      </c>
      <c r="C526" s="1" t="n">
        <v>45883</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17051-2025</t>
        </is>
      </c>
      <c r="B527" s="1" t="n">
        <v>45755</v>
      </c>
      <c r="C527" s="1" t="n">
        <v>45883</v>
      </c>
      <c r="D527" t="inlineStr">
        <is>
          <t>VÄSTMANLANDS LÄN</t>
        </is>
      </c>
      <c r="E527" t="inlineStr">
        <is>
          <t>SALA</t>
        </is>
      </c>
      <c r="G527" t="n">
        <v>2.9</v>
      </c>
      <c r="H527" t="n">
        <v>0</v>
      </c>
      <c r="I527" t="n">
        <v>0</v>
      </c>
      <c r="J527" t="n">
        <v>0</v>
      </c>
      <c r="K527" t="n">
        <v>0</v>
      </c>
      <c r="L527" t="n">
        <v>0</v>
      </c>
      <c r="M527" t="n">
        <v>0</v>
      </c>
      <c r="N527" t="n">
        <v>0</v>
      </c>
      <c r="O527" t="n">
        <v>0</v>
      </c>
      <c r="P527" t="n">
        <v>0</v>
      </c>
      <c r="Q527" t="n">
        <v>0</v>
      </c>
      <c r="R527" s="2" t="inlineStr"/>
    </row>
    <row r="528" ht="15" customHeight="1">
      <c r="A528" t="inlineStr">
        <is>
          <t>A 8285-2025</t>
        </is>
      </c>
      <c r="B528" s="1" t="n">
        <v>45708</v>
      </c>
      <c r="C528" s="1" t="n">
        <v>45883</v>
      </c>
      <c r="D528" t="inlineStr">
        <is>
          <t>VÄSTMANLANDS LÄN</t>
        </is>
      </c>
      <c r="E528" t="inlineStr">
        <is>
          <t>SALA</t>
        </is>
      </c>
      <c r="G528" t="n">
        <v>5.7</v>
      </c>
      <c r="H528" t="n">
        <v>0</v>
      </c>
      <c r="I528" t="n">
        <v>0</v>
      </c>
      <c r="J528" t="n">
        <v>0</v>
      </c>
      <c r="K528" t="n">
        <v>0</v>
      </c>
      <c r="L528" t="n">
        <v>0</v>
      </c>
      <c r="M528" t="n">
        <v>0</v>
      </c>
      <c r="N528" t="n">
        <v>0</v>
      </c>
      <c r="O528" t="n">
        <v>0</v>
      </c>
      <c r="P528" t="n">
        <v>0</v>
      </c>
      <c r="Q528" t="n">
        <v>0</v>
      </c>
      <c r="R528" s="2" t="inlineStr"/>
    </row>
    <row r="529" ht="15" customHeight="1">
      <c r="A529" t="inlineStr">
        <is>
          <t>A 14010-2021</t>
        </is>
      </c>
      <c r="B529" s="1" t="n">
        <v>44277.63396990741</v>
      </c>
      <c r="C529" s="1" t="n">
        <v>45883</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22019-2021</t>
        </is>
      </c>
      <c r="B530" s="1" t="n">
        <v>44323</v>
      </c>
      <c r="C530" s="1" t="n">
        <v>45883</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57404-2024</t>
        </is>
      </c>
      <c r="B531" s="1" t="n">
        <v>45629.71967592592</v>
      </c>
      <c r="C531" s="1" t="n">
        <v>45883</v>
      </c>
      <c r="D531" t="inlineStr">
        <is>
          <t>VÄSTMANLANDS LÄN</t>
        </is>
      </c>
      <c r="E531" t="inlineStr">
        <is>
          <t>SALA</t>
        </is>
      </c>
      <c r="G531" t="n">
        <v>0.3</v>
      </c>
      <c r="H531" t="n">
        <v>0</v>
      </c>
      <c r="I531" t="n">
        <v>0</v>
      </c>
      <c r="J531" t="n">
        <v>0</v>
      </c>
      <c r="K531" t="n">
        <v>0</v>
      </c>
      <c r="L531" t="n">
        <v>0</v>
      </c>
      <c r="M531" t="n">
        <v>0</v>
      </c>
      <c r="N531" t="n">
        <v>0</v>
      </c>
      <c r="O531" t="n">
        <v>0</v>
      </c>
      <c r="P531" t="n">
        <v>0</v>
      </c>
      <c r="Q531" t="n">
        <v>0</v>
      </c>
      <c r="R531" s="2" t="inlineStr"/>
    </row>
    <row r="532" ht="15" customHeight="1">
      <c r="A532" t="inlineStr">
        <is>
          <t>A 21777-2022</t>
        </is>
      </c>
      <c r="B532" s="1" t="n">
        <v>44708.48194444444</v>
      </c>
      <c r="C532" s="1" t="n">
        <v>45883</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17866-2025</t>
        </is>
      </c>
      <c r="B533" s="1" t="n">
        <v>45758</v>
      </c>
      <c r="C533" s="1" t="n">
        <v>45883</v>
      </c>
      <c r="D533" t="inlineStr">
        <is>
          <t>VÄSTMANLANDS LÄN</t>
        </is>
      </c>
      <c r="E533" t="inlineStr">
        <is>
          <t>SALA</t>
        </is>
      </c>
      <c r="F533" t="inlineStr">
        <is>
          <t>Bergvik skog öst AB</t>
        </is>
      </c>
      <c r="G533" t="n">
        <v>2.1</v>
      </c>
      <c r="H533" t="n">
        <v>0</v>
      </c>
      <c r="I533" t="n">
        <v>0</v>
      </c>
      <c r="J533" t="n">
        <v>0</v>
      </c>
      <c r="K533" t="n">
        <v>0</v>
      </c>
      <c r="L533" t="n">
        <v>0</v>
      </c>
      <c r="M533" t="n">
        <v>0</v>
      </c>
      <c r="N533" t="n">
        <v>0</v>
      </c>
      <c r="O533" t="n">
        <v>0</v>
      </c>
      <c r="P533" t="n">
        <v>0</v>
      </c>
      <c r="Q533" t="n">
        <v>0</v>
      </c>
      <c r="R533" s="2" t="inlineStr"/>
    </row>
    <row r="534" ht="15" customHeight="1">
      <c r="A534" t="inlineStr">
        <is>
          <t>A 33732-2023</t>
        </is>
      </c>
      <c r="B534" s="1" t="n">
        <v>45133.32409722222</v>
      </c>
      <c r="C534" s="1" t="n">
        <v>45883</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7166-2025</t>
        </is>
      </c>
      <c r="B535" s="1" t="n">
        <v>45702</v>
      </c>
      <c r="C535" s="1" t="n">
        <v>45883</v>
      </c>
      <c r="D535" t="inlineStr">
        <is>
          <t>VÄSTMANLANDS LÄN</t>
        </is>
      </c>
      <c r="E535" t="inlineStr">
        <is>
          <t>SALA</t>
        </is>
      </c>
      <c r="G535" t="n">
        <v>6.1</v>
      </c>
      <c r="H535" t="n">
        <v>0</v>
      </c>
      <c r="I535" t="n">
        <v>0</v>
      </c>
      <c r="J535" t="n">
        <v>0</v>
      </c>
      <c r="K535" t="n">
        <v>0</v>
      </c>
      <c r="L535" t="n">
        <v>0</v>
      </c>
      <c r="M535" t="n">
        <v>0</v>
      </c>
      <c r="N535" t="n">
        <v>0</v>
      </c>
      <c r="O535" t="n">
        <v>0</v>
      </c>
      <c r="P535" t="n">
        <v>0</v>
      </c>
      <c r="Q535" t="n">
        <v>0</v>
      </c>
      <c r="R535" s="2" t="inlineStr"/>
    </row>
    <row r="536" ht="15" customHeight="1">
      <c r="A536" t="inlineStr">
        <is>
          <t>A 44857-2023</t>
        </is>
      </c>
      <c r="B536" s="1" t="n">
        <v>45190.58479166667</v>
      </c>
      <c r="C536" s="1" t="n">
        <v>45883</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46352-2023</t>
        </is>
      </c>
      <c r="B537" s="1" t="n">
        <v>45192</v>
      </c>
      <c r="C537" s="1" t="n">
        <v>45883</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22397-2022</t>
        </is>
      </c>
      <c r="B538" s="1" t="n">
        <v>44713</v>
      </c>
      <c r="C538" s="1" t="n">
        <v>45883</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27424-2023</t>
        </is>
      </c>
      <c r="B539" s="1" t="n">
        <v>45097.37690972222</v>
      </c>
      <c r="C539" s="1" t="n">
        <v>45883</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7469-2025</t>
        </is>
      </c>
      <c r="B540" s="1" t="n">
        <v>45705</v>
      </c>
      <c r="C540" s="1" t="n">
        <v>45883</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6691-2025</t>
        </is>
      </c>
      <c r="B541" s="1" t="n">
        <v>45700.50625</v>
      </c>
      <c r="C541" s="1" t="n">
        <v>45883</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60036-2024</t>
        </is>
      </c>
      <c r="B542" s="1" t="n">
        <v>45642.46434027778</v>
      </c>
      <c r="C542" s="1" t="n">
        <v>45883</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26661-2025</t>
        </is>
      </c>
      <c r="B543" s="1" t="n">
        <v>45810</v>
      </c>
      <c r="C543" s="1" t="n">
        <v>45883</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43188-2023</t>
        </is>
      </c>
      <c r="B544" s="1" t="n">
        <v>45183</v>
      </c>
      <c r="C544" s="1" t="n">
        <v>45883</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43205-2023</t>
        </is>
      </c>
      <c r="B545" s="1" t="n">
        <v>45183</v>
      </c>
      <c r="C545" s="1" t="n">
        <v>45883</v>
      </c>
      <c r="D545" t="inlineStr">
        <is>
          <t>VÄSTMANLANDS LÄN</t>
        </is>
      </c>
      <c r="E545" t="inlineStr">
        <is>
          <t>SALA</t>
        </is>
      </c>
      <c r="G545" t="n">
        <v>2.1</v>
      </c>
      <c r="H545" t="n">
        <v>0</v>
      </c>
      <c r="I545" t="n">
        <v>0</v>
      </c>
      <c r="J545" t="n">
        <v>0</v>
      </c>
      <c r="K545" t="n">
        <v>0</v>
      </c>
      <c r="L545" t="n">
        <v>0</v>
      </c>
      <c r="M545" t="n">
        <v>0</v>
      </c>
      <c r="N545" t="n">
        <v>0</v>
      </c>
      <c r="O545" t="n">
        <v>0</v>
      </c>
      <c r="P545" t="n">
        <v>0</v>
      </c>
      <c r="Q545" t="n">
        <v>0</v>
      </c>
      <c r="R545" s="2" t="inlineStr"/>
    </row>
    <row r="546" ht="15" customHeight="1">
      <c r="A546" t="inlineStr">
        <is>
          <t>A 28827-2022</t>
        </is>
      </c>
      <c r="B546" s="1" t="n">
        <v>44749.45561342593</v>
      </c>
      <c r="C546" s="1" t="n">
        <v>45883</v>
      </c>
      <c r="D546" t="inlineStr">
        <is>
          <t>VÄSTMANLANDS LÄN</t>
        </is>
      </c>
      <c r="E546" t="inlineStr">
        <is>
          <t>SALA</t>
        </is>
      </c>
      <c r="F546" t="inlineStr">
        <is>
          <t>Kommuner</t>
        </is>
      </c>
      <c r="G546" t="n">
        <v>11.9</v>
      </c>
      <c r="H546" t="n">
        <v>0</v>
      </c>
      <c r="I546" t="n">
        <v>0</v>
      </c>
      <c r="J546" t="n">
        <v>0</v>
      </c>
      <c r="K546" t="n">
        <v>0</v>
      </c>
      <c r="L546" t="n">
        <v>0</v>
      </c>
      <c r="M546" t="n">
        <v>0</v>
      </c>
      <c r="N546" t="n">
        <v>0</v>
      </c>
      <c r="O546" t="n">
        <v>0</v>
      </c>
      <c r="P546" t="n">
        <v>0</v>
      </c>
      <c r="Q546" t="n">
        <v>0</v>
      </c>
      <c r="R546" s="2" t="inlineStr"/>
    </row>
    <row r="547" ht="15" customHeight="1">
      <c r="A547" t="inlineStr">
        <is>
          <t>A 15756-2025</t>
        </is>
      </c>
      <c r="B547" s="1" t="n">
        <v>45748.56810185185</v>
      </c>
      <c r="C547" s="1" t="n">
        <v>45883</v>
      </c>
      <c r="D547" t="inlineStr">
        <is>
          <t>VÄSTMANLANDS LÄN</t>
        </is>
      </c>
      <c r="E547" t="inlineStr">
        <is>
          <t>SALA</t>
        </is>
      </c>
      <c r="F547" t="inlineStr">
        <is>
          <t>Bergvik skog öst AB</t>
        </is>
      </c>
      <c r="G547" t="n">
        <v>0.8</v>
      </c>
      <c r="H547" t="n">
        <v>0</v>
      </c>
      <c r="I547" t="n">
        <v>0</v>
      </c>
      <c r="J547" t="n">
        <v>0</v>
      </c>
      <c r="K547" t="n">
        <v>0</v>
      </c>
      <c r="L547" t="n">
        <v>0</v>
      </c>
      <c r="M547" t="n">
        <v>0</v>
      </c>
      <c r="N547" t="n">
        <v>0</v>
      </c>
      <c r="O547" t="n">
        <v>0</v>
      </c>
      <c r="P547" t="n">
        <v>0</v>
      </c>
      <c r="Q547" t="n">
        <v>0</v>
      </c>
      <c r="R547" s="2" t="inlineStr"/>
    </row>
    <row r="548" ht="15" customHeight="1">
      <c r="A548" t="inlineStr">
        <is>
          <t>A 19243-2025</t>
        </is>
      </c>
      <c r="B548" s="1" t="n">
        <v>45769</v>
      </c>
      <c r="C548" s="1" t="n">
        <v>45883</v>
      </c>
      <c r="D548" t="inlineStr">
        <is>
          <t>VÄSTMANLANDS LÄN</t>
        </is>
      </c>
      <c r="E548" t="inlineStr">
        <is>
          <t>SALA</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59297-2023</t>
        </is>
      </c>
      <c r="B549" s="1" t="n">
        <v>45253</v>
      </c>
      <c r="C549" s="1" t="n">
        <v>45883</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6136-2025</t>
        </is>
      </c>
      <c r="B550" s="1" t="n">
        <v>45698.37601851852</v>
      </c>
      <c r="C550" s="1" t="n">
        <v>45883</v>
      </c>
      <c r="D550" t="inlineStr">
        <is>
          <t>VÄSTMANLANDS LÄN</t>
        </is>
      </c>
      <c r="E550" t="inlineStr">
        <is>
          <t>SALA</t>
        </is>
      </c>
      <c r="F550" t="inlineStr">
        <is>
          <t>Bergvik skog öst AB</t>
        </is>
      </c>
      <c r="G550" t="n">
        <v>2.2</v>
      </c>
      <c r="H550" t="n">
        <v>0</v>
      </c>
      <c r="I550" t="n">
        <v>0</v>
      </c>
      <c r="J550" t="n">
        <v>0</v>
      </c>
      <c r="K550" t="n">
        <v>0</v>
      </c>
      <c r="L550" t="n">
        <v>0</v>
      </c>
      <c r="M550" t="n">
        <v>0</v>
      </c>
      <c r="N550" t="n">
        <v>0</v>
      </c>
      <c r="O550" t="n">
        <v>0</v>
      </c>
      <c r="P550" t="n">
        <v>0</v>
      </c>
      <c r="Q550" t="n">
        <v>0</v>
      </c>
      <c r="R550" s="2" t="inlineStr"/>
    </row>
    <row r="551" ht="15" customHeight="1">
      <c r="A551" t="inlineStr">
        <is>
          <t>A 6190-2025</t>
        </is>
      </c>
      <c r="B551" s="1" t="n">
        <v>45698</v>
      </c>
      <c r="C551" s="1" t="n">
        <v>45883</v>
      </c>
      <c r="D551" t="inlineStr">
        <is>
          <t>VÄSTMANLANDS LÄN</t>
        </is>
      </c>
      <c r="E551" t="inlineStr">
        <is>
          <t>SALA</t>
        </is>
      </c>
      <c r="F551" t="inlineStr">
        <is>
          <t>Bergvik skog öst AB</t>
        </is>
      </c>
      <c r="G551" t="n">
        <v>4.6</v>
      </c>
      <c r="H551" t="n">
        <v>0</v>
      </c>
      <c r="I551" t="n">
        <v>0</v>
      </c>
      <c r="J551" t="n">
        <v>0</v>
      </c>
      <c r="K551" t="n">
        <v>0</v>
      </c>
      <c r="L551" t="n">
        <v>0</v>
      </c>
      <c r="M551" t="n">
        <v>0</v>
      </c>
      <c r="N551" t="n">
        <v>0</v>
      </c>
      <c r="O551" t="n">
        <v>0</v>
      </c>
      <c r="P551" t="n">
        <v>0</v>
      </c>
      <c r="Q551" t="n">
        <v>0</v>
      </c>
      <c r="R551" s="2" t="inlineStr"/>
    </row>
    <row r="552" ht="15" customHeight="1">
      <c r="A552" t="inlineStr">
        <is>
          <t>A 28863-2022</t>
        </is>
      </c>
      <c r="B552" s="1" t="n">
        <v>44749.50649305555</v>
      </c>
      <c r="C552" s="1" t="n">
        <v>45883</v>
      </c>
      <c r="D552" t="inlineStr">
        <is>
          <t>VÄSTMANLANDS LÄN</t>
        </is>
      </c>
      <c r="E552" t="inlineStr">
        <is>
          <t>SALA</t>
        </is>
      </c>
      <c r="G552" t="n">
        <v>1.6</v>
      </c>
      <c r="H552" t="n">
        <v>0</v>
      </c>
      <c r="I552" t="n">
        <v>0</v>
      </c>
      <c r="J552" t="n">
        <v>0</v>
      </c>
      <c r="K552" t="n">
        <v>0</v>
      </c>
      <c r="L552" t="n">
        <v>0</v>
      </c>
      <c r="M552" t="n">
        <v>0</v>
      </c>
      <c r="N552" t="n">
        <v>0</v>
      </c>
      <c r="O552" t="n">
        <v>0</v>
      </c>
      <c r="P552" t="n">
        <v>0</v>
      </c>
      <c r="Q552" t="n">
        <v>0</v>
      </c>
      <c r="R552" s="2" t="inlineStr"/>
    </row>
    <row r="553" ht="15" customHeight="1">
      <c r="A553" t="inlineStr">
        <is>
          <t>A 15744-2025</t>
        </is>
      </c>
      <c r="B553" s="1" t="n">
        <v>45748</v>
      </c>
      <c r="C553" s="1" t="n">
        <v>45883</v>
      </c>
      <c r="D553" t="inlineStr">
        <is>
          <t>VÄSTMANLANDS LÄN</t>
        </is>
      </c>
      <c r="E553" t="inlineStr">
        <is>
          <t>SALA</t>
        </is>
      </c>
      <c r="G553" t="n">
        <v>1.6</v>
      </c>
      <c r="H553" t="n">
        <v>0</v>
      </c>
      <c r="I553" t="n">
        <v>0</v>
      </c>
      <c r="J553" t="n">
        <v>0</v>
      </c>
      <c r="K553" t="n">
        <v>0</v>
      </c>
      <c r="L553" t="n">
        <v>0</v>
      </c>
      <c r="M553" t="n">
        <v>0</v>
      </c>
      <c r="N553" t="n">
        <v>0</v>
      </c>
      <c r="O553" t="n">
        <v>0</v>
      </c>
      <c r="P553" t="n">
        <v>0</v>
      </c>
      <c r="Q553" t="n">
        <v>0</v>
      </c>
      <c r="R553" s="2" t="inlineStr"/>
    </row>
    <row r="554" ht="15" customHeight="1">
      <c r="A554" t="inlineStr">
        <is>
          <t>A 35776-2025</t>
        </is>
      </c>
      <c r="B554" s="1" t="n">
        <v>45860.69211805556</v>
      </c>
      <c r="C554" s="1" t="n">
        <v>45883</v>
      </c>
      <c r="D554" t="inlineStr">
        <is>
          <t>VÄSTMANLANDS LÄN</t>
        </is>
      </c>
      <c r="E554" t="inlineStr">
        <is>
          <t>SALA</t>
        </is>
      </c>
      <c r="G554" t="n">
        <v>14.2</v>
      </c>
      <c r="H554" t="n">
        <v>0</v>
      </c>
      <c r="I554" t="n">
        <v>0</v>
      </c>
      <c r="J554" t="n">
        <v>0</v>
      </c>
      <c r="K554" t="n">
        <v>0</v>
      </c>
      <c r="L554" t="n">
        <v>0</v>
      </c>
      <c r="M554" t="n">
        <v>0</v>
      </c>
      <c r="N554" t="n">
        <v>0</v>
      </c>
      <c r="O554" t="n">
        <v>0</v>
      </c>
      <c r="P554" t="n">
        <v>0</v>
      </c>
      <c r="Q554" t="n">
        <v>0</v>
      </c>
      <c r="R554" s="2" t="inlineStr"/>
    </row>
    <row r="555" ht="15" customHeight="1">
      <c r="A555" t="inlineStr">
        <is>
          <t>A 28193-2025</t>
        </is>
      </c>
      <c r="B555" s="1" t="n">
        <v>45818.425625</v>
      </c>
      <c r="C555" s="1" t="n">
        <v>45883</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35779-2025</t>
        </is>
      </c>
      <c r="B556" s="1" t="n">
        <v>45860.69495370371</v>
      </c>
      <c r="C556" s="1" t="n">
        <v>45883</v>
      </c>
      <c r="D556" t="inlineStr">
        <is>
          <t>VÄSTMANLANDS LÄN</t>
        </is>
      </c>
      <c r="E556" t="inlineStr">
        <is>
          <t>SALA</t>
        </is>
      </c>
      <c r="G556" t="n">
        <v>2.4</v>
      </c>
      <c r="H556" t="n">
        <v>0</v>
      </c>
      <c r="I556" t="n">
        <v>0</v>
      </c>
      <c r="J556" t="n">
        <v>0</v>
      </c>
      <c r="K556" t="n">
        <v>0</v>
      </c>
      <c r="L556" t="n">
        <v>0</v>
      </c>
      <c r="M556" t="n">
        <v>0</v>
      </c>
      <c r="N556" t="n">
        <v>0</v>
      </c>
      <c r="O556" t="n">
        <v>0</v>
      </c>
      <c r="P556" t="n">
        <v>0</v>
      </c>
      <c r="Q556" t="n">
        <v>0</v>
      </c>
      <c r="R556" s="2" t="inlineStr"/>
    </row>
    <row r="557" ht="15" customHeight="1">
      <c r="A557" t="inlineStr">
        <is>
          <t>A 27981-2025</t>
        </is>
      </c>
      <c r="B557" s="1" t="n">
        <v>45817.57471064815</v>
      </c>
      <c r="C557" s="1" t="n">
        <v>45883</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25541-2024</t>
        </is>
      </c>
      <c r="B558" s="1" t="n">
        <v>45463.56337962963</v>
      </c>
      <c r="C558" s="1" t="n">
        <v>45883</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28278-2025</t>
        </is>
      </c>
      <c r="B559" s="1" t="n">
        <v>45818.58454861111</v>
      </c>
      <c r="C559" s="1" t="n">
        <v>45883</v>
      </c>
      <c r="D559" t="inlineStr">
        <is>
          <t>VÄSTMANLANDS LÄN</t>
        </is>
      </c>
      <c r="E559" t="inlineStr">
        <is>
          <t>SALA</t>
        </is>
      </c>
      <c r="G559" t="n">
        <v>7.6</v>
      </c>
      <c r="H559" t="n">
        <v>0</v>
      </c>
      <c r="I559" t="n">
        <v>0</v>
      </c>
      <c r="J559" t="n">
        <v>0</v>
      </c>
      <c r="K559" t="n">
        <v>0</v>
      </c>
      <c r="L559" t="n">
        <v>0</v>
      </c>
      <c r="M559" t="n">
        <v>0</v>
      </c>
      <c r="N559" t="n">
        <v>0</v>
      </c>
      <c r="O559" t="n">
        <v>0</v>
      </c>
      <c r="P559" t="n">
        <v>0</v>
      </c>
      <c r="Q559" t="n">
        <v>0</v>
      </c>
      <c r="R559" s="2" t="inlineStr"/>
    </row>
    <row r="560" ht="15" customHeight="1">
      <c r="A560" t="inlineStr">
        <is>
          <t>A 35715-2025</t>
        </is>
      </c>
      <c r="B560" s="1" t="n">
        <v>45860.42148148148</v>
      </c>
      <c r="C560" s="1" t="n">
        <v>45883</v>
      </c>
      <c r="D560" t="inlineStr">
        <is>
          <t>VÄSTMANLANDS LÄN</t>
        </is>
      </c>
      <c r="E560" t="inlineStr">
        <is>
          <t>SALA</t>
        </is>
      </c>
      <c r="G560" t="n">
        <v>3.8</v>
      </c>
      <c r="H560" t="n">
        <v>0</v>
      </c>
      <c r="I560" t="n">
        <v>0</v>
      </c>
      <c r="J560" t="n">
        <v>0</v>
      </c>
      <c r="K560" t="n">
        <v>0</v>
      </c>
      <c r="L560" t="n">
        <v>0</v>
      </c>
      <c r="M560" t="n">
        <v>0</v>
      </c>
      <c r="N560" t="n">
        <v>0</v>
      </c>
      <c r="O560" t="n">
        <v>0</v>
      </c>
      <c r="P560" t="n">
        <v>0</v>
      </c>
      <c r="Q560" t="n">
        <v>0</v>
      </c>
      <c r="R560" s="2" t="inlineStr"/>
    </row>
    <row r="561" ht="15" customHeight="1">
      <c r="A561" t="inlineStr">
        <is>
          <t>A 29213-2022</t>
        </is>
      </c>
      <c r="B561" s="1" t="n">
        <v>44750.57474537037</v>
      </c>
      <c r="C561" s="1" t="n">
        <v>45883</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35651-2025</t>
        </is>
      </c>
      <c r="B562" s="1" t="n">
        <v>45859.52435185185</v>
      </c>
      <c r="C562" s="1" t="n">
        <v>45883</v>
      </c>
      <c r="D562" t="inlineStr">
        <is>
          <t>VÄSTMANLANDS LÄN</t>
        </is>
      </c>
      <c r="E562" t="inlineStr">
        <is>
          <t>SALA</t>
        </is>
      </c>
      <c r="G562" t="n">
        <v>6.3</v>
      </c>
      <c r="H562" t="n">
        <v>0</v>
      </c>
      <c r="I562" t="n">
        <v>0</v>
      </c>
      <c r="J562" t="n">
        <v>0</v>
      </c>
      <c r="K562" t="n">
        <v>0</v>
      </c>
      <c r="L562" t="n">
        <v>0</v>
      </c>
      <c r="M562" t="n">
        <v>0</v>
      </c>
      <c r="N562" t="n">
        <v>0</v>
      </c>
      <c r="O562" t="n">
        <v>0</v>
      </c>
      <c r="P562" t="n">
        <v>0</v>
      </c>
      <c r="Q562" t="n">
        <v>0</v>
      </c>
      <c r="R562" s="2" t="inlineStr"/>
    </row>
    <row r="563" ht="15" customHeight="1">
      <c r="A563" t="inlineStr">
        <is>
          <t>A 27989-2025</t>
        </is>
      </c>
      <c r="B563" s="1" t="n">
        <v>45817.58716435185</v>
      </c>
      <c r="C563" s="1" t="n">
        <v>45883</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56964-2023</t>
        </is>
      </c>
      <c r="B564" s="1" t="n">
        <v>45244.63140046296</v>
      </c>
      <c r="C564" s="1" t="n">
        <v>45883</v>
      </c>
      <c r="D564" t="inlineStr">
        <is>
          <t>VÄSTMANLANDS LÄN</t>
        </is>
      </c>
      <c r="E564" t="inlineStr">
        <is>
          <t>SALA</t>
        </is>
      </c>
      <c r="G564" t="n">
        <v>4.6</v>
      </c>
      <c r="H564" t="n">
        <v>0</v>
      </c>
      <c r="I564" t="n">
        <v>0</v>
      </c>
      <c r="J564" t="n">
        <v>0</v>
      </c>
      <c r="K564" t="n">
        <v>0</v>
      </c>
      <c r="L564" t="n">
        <v>0</v>
      </c>
      <c r="M564" t="n">
        <v>0</v>
      </c>
      <c r="N564" t="n">
        <v>0</v>
      </c>
      <c r="O564" t="n">
        <v>0</v>
      </c>
      <c r="P564" t="n">
        <v>0</v>
      </c>
      <c r="Q564" t="n">
        <v>0</v>
      </c>
      <c r="R564" s="2" t="inlineStr"/>
    </row>
    <row r="565" ht="15" customHeight="1">
      <c r="A565" t="inlineStr">
        <is>
          <t>A 28284-2025</t>
        </is>
      </c>
      <c r="B565" s="1" t="n">
        <v>45818.58893518519</v>
      </c>
      <c r="C565" s="1" t="n">
        <v>45883</v>
      </c>
      <c r="D565" t="inlineStr">
        <is>
          <t>VÄSTMANLANDS LÄN</t>
        </is>
      </c>
      <c r="E565" t="inlineStr">
        <is>
          <t>SALA</t>
        </is>
      </c>
      <c r="G565" t="n">
        <v>2.4</v>
      </c>
      <c r="H565" t="n">
        <v>0</v>
      </c>
      <c r="I565" t="n">
        <v>0</v>
      </c>
      <c r="J565" t="n">
        <v>0</v>
      </c>
      <c r="K565" t="n">
        <v>0</v>
      </c>
      <c r="L565" t="n">
        <v>0</v>
      </c>
      <c r="M565" t="n">
        <v>0</v>
      </c>
      <c r="N565" t="n">
        <v>0</v>
      </c>
      <c r="O565" t="n">
        <v>0</v>
      </c>
      <c r="P565" t="n">
        <v>0</v>
      </c>
      <c r="Q565" t="n">
        <v>0</v>
      </c>
      <c r="R565" s="2" t="inlineStr"/>
    </row>
    <row r="566" ht="15" customHeight="1">
      <c r="A566" t="inlineStr">
        <is>
          <t>A 35774-2025</t>
        </is>
      </c>
      <c r="B566" s="1" t="n">
        <v>45860.68780092592</v>
      </c>
      <c r="C566" s="1" t="n">
        <v>45883</v>
      </c>
      <c r="D566" t="inlineStr">
        <is>
          <t>VÄSTMANLANDS LÄN</t>
        </is>
      </c>
      <c r="E566" t="inlineStr">
        <is>
          <t>SALA</t>
        </is>
      </c>
      <c r="G566" t="n">
        <v>6.5</v>
      </c>
      <c r="H566" t="n">
        <v>0</v>
      </c>
      <c r="I566" t="n">
        <v>0</v>
      </c>
      <c r="J566" t="n">
        <v>0</v>
      </c>
      <c r="K566" t="n">
        <v>0</v>
      </c>
      <c r="L566" t="n">
        <v>0</v>
      </c>
      <c r="M566" t="n">
        <v>0</v>
      </c>
      <c r="N566" t="n">
        <v>0</v>
      </c>
      <c r="O566" t="n">
        <v>0</v>
      </c>
      <c r="P566" t="n">
        <v>0</v>
      </c>
      <c r="Q566" t="n">
        <v>0</v>
      </c>
      <c r="R566" s="2" t="inlineStr"/>
    </row>
    <row r="567" ht="15" customHeight="1">
      <c r="A567" t="inlineStr">
        <is>
          <t>A 28632-2025</t>
        </is>
      </c>
      <c r="B567" s="1" t="n">
        <v>45819.62344907408</v>
      </c>
      <c r="C567" s="1" t="n">
        <v>45883</v>
      </c>
      <c r="D567" t="inlineStr">
        <is>
          <t>VÄSTMANLANDS LÄN</t>
        </is>
      </c>
      <c r="E567" t="inlineStr">
        <is>
          <t>SALA</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28628-2025</t>
        </is>
      </c>
      <c r="B568" s="1" t="n">
        <v>45819.62158564815</v>
      </c>
      <c r="C568" s="1" t="n">
        <v>45883</v>
      </c>
      <c r="D568" t="inlineStr">
        <is>
          <t>VÄSTMANLANDS LÄN</t>
        </is>
      </c>
      <c r="E568" t="inlineStr">
        <is>
          <t>SALA</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28630-2025</t>
        </is>
      </c>
      <c r="B569" s="1" t="n">
        <v>45819.62274305556</v>
      </c>
      <c r="C569" s="1" t="n">
        <v>45883</v>
      </c>
      <c r="D569" t="inlineStr">
        <is>
          <t>VÄSTMANLANDS LÄN</t>
        </is>
      </c>
      <c r="E569" t="inlineStr">
        <is>
          <t>SALA</t>
        </is>
      </c>
      <c r="F569" t="inlineStr">
        <is>
          <t>Sveaskog</t>
        </is>
      </c>
      <c r="G569" t="n">
        <v>9</v>
      </c>
      <c r="H569" t="n">
        <v>0</v>
      </c>
      <c r="I569" t="n">
        <v>0</v>
      </c>
      <c r="J569" t="n">
        <v>0</v>
      </c>
      <c r="K569" t="n">
        <v>0</v>
      </c>
      <c r="L569" t="n">
        <v>0</v>
      </c>
      <c r="M569" t="n">
        <v>0</v>
      </c>
      <c r="N569" t="n">
        <v>0</v>
      </c>
      <c r="O569" t="n">
        <v>0</v>
      </c>
      <c r="P569" t="n">
        <v>0</v>
      </c>
      <c r="Q569" t="n">
        <v>0</v>
      </c>
      <c r="R569" s="2" t="inlineStr"/>
    </row>
    <row r="570" ht="15" customHeight="1">
      <c r="A570" t="inlineStr">
        <is>
          <t>A 28837-2025</t>
        </is>
      </c>
      <c r="B570" s="1" t="n">
        <v>45820.56243055555</v>
      </c>
      <c r="C570" s="1" t="n">
        <v>45883</v>
      </c>
      <c r="D570" t="inlineStr">
        <is>
          <t>VÄSTMANLANDS LÄN</t>
        </is>
      </c>
      <c r="E570" t="inlineStr">
        <is>
          <t>SALA</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28849-2025</t>
        </is>
      </c>
      <c r="B571" s="1" t="n">
        <v>45820</v>
      </c>
      <c r="C571" s="1" t="n">
        <v>45883</v>
      </c>
      <c r="D571" t="inlineStr">
        <is>
          <t>VÄSTMANLANDS LÄN</t>
        </is>
      </c>
      <c r="E571" t="inlineStr">
        <is>
          <t>SALA</t>
        </is>
      </c>
      <c r="G571" t="n">
        <v>1.1</v>
      </c>
      <c r="H571" t="n">
        <v>0</v>
      </c>
      <c r="I571" t="n">
        <v>0</v>
      </c>
      <c r="J571" t="n">
        <v>0</v>
      </c>
      <c r="K571" t="n">
        <v>0</v>
      </c>
      <c r="L571" t="n">
        <v>0</v>
      </c>
      <c r="M571" t="n">
        <v>0</v>
      </c>
      <c r="N571" t="n">
        <v>0</v>
      </c>
      <c r="O571" t="n">
        <v>0</v>
      </c>
      <c r="P571" t="n">
        <v>0</v>
      </c>
      <c r="Q571" t="n">
        <v>0</v>
      </c>
      <c r="R571" s="2" t="inlineStr"/>
    </row>
    <row r="572" ht="15" customHeight="1">
      <c r="A572" t="inlineStr">
        <is>
          <t>A 1555-2024</t>
        </is>
      </c>
      <c r="B572" s="1" t="n">
        <v>45306</v>
      </c>
      <c r="C572" s="1" t="n">
        <v>45883</v>
      </c>
      <c r="D572" t="inlineStr">
        <is>
          <t>VÄSTMANLANDS LÄN</t>
        </is>
      </c>
      <c r="E572" t="inlineStr">
        <is>
          <t>SALA</t>
        </is>
      </c>
      <c r="G572" t="n">
        <v>1.3</v>
      </c>
      <c r="H572" t="n">
        <v>0</v>
      </c>
      <c r="I572" t="n">
        <v>0</v>
      </c>
      <c r="J572" t="n">
        <v>0</v>
      </c>
      <c r="K572" t="n">
        <v>0</v>
      </c>
      <c r="L572" t="n">
        <v>0</v>
      </c>
      <c r="M572" t="n">
        <v>0</v>
      </c>
      <c r="N572" t="n">
        <v>0</v>
      </c>
      <c r="O572" t="n">
        <v>0</v>
      </c>
      <c r="P572" t="n">
        <v>0</v>
      </c>
      <c r="Q572" t="n">
        <v>0</v>
      </c>
      <c r="R572" s="2" t="inlineStr"/>
    </row>
    <row r="573" ht="15" customHeight="1">
      <c r="A573" t="inlineStr">
        <is>
          <t>A 13128-2025</t>
        </is>
      </c>
      <c r="B573" s="1" t="n">
        <v>45734.9083912037</v>
      </c>
      <c r="C573" s="1" t="n">
        <v>45883</v>
      </c>
      <c r="D573" t="inlineStr">
        <is>
          <t>VÄSTMANLANDS LÄN</t>
        </is>
      </c>
      <c r="E573" t="inlineStr">
        <is>
          <t>SALA</t>
        </is>
      </c>
      <c r="G573" t="n">
        <v>2.5</v>
      </c>
      <c r="H573" t="n">
        <v>0</v>
      </c>
      <c r="I573" t="n">
        <v>0</v>
      </c>
      <c r="J573" t="n">
        <v>0</v>
      </c>
      <c r="K573" t="n">
        <v>0</v>
      </c>
      <c r="L573" t="n">
        <v>0</v>
      </c>
      <c r="M573" t="n">
        <v>0</v>
      </c>
      <c r="N573" t="n">
        <v>0</v>
      </c>
      <c r="O573" t="n">
        <v>0</v>
      </c>
      <c r="P573" t="n">
        <v>0</v>
      </c>
      <c r="Q573" t="n">
        <v>0</v>
      </c>
      <c r="R573" s="2" t="inlineStr"/>
    </row>
    <row r="574" ht="15" customHeight="1">
      <c r="A574" t="inlineStr">
        <is>
          <t>A 13188-2025</t>
        </is>
      </c>
      <c r="B574" s="1" t="n">
        <v>45735.39246527778</v>
      </c>
      <c r="C574" s="1" t="n">
        <v>45883</v>
      </c>
      <c r="D574" t="inlineStr">
        <is>
          <t>VÄSTMANLANDS LÄN</t>
        </is>
      </c>
      <c r="E574" t="inlineStr">
        <is>
          <t>SALA</t>
        </is>
      </c>
      <c r="F574" t="inlineStr">
        <is>
          <t>Naturvårdsverket</t>
        </is>
      </c>
      <c r="G574" t="n">
        <v>18.4</v>
      </c>
      <c r="H574" t="n">
        <v>0</v>
      </c>
      <c r="I574" t="n">
        <v>0</v>
      </c>
      <c r="J574" t="n">
        <v>0</v>
      </c>
      <c r="K574" t="n">
        <v>0</v>
      </c>
      <c r="L574" t="n">
        <v>0</v>
      </c>
      <c r="M574" t="n">
        <v>0</v>
      </c>
      <c r="N574" t="n">
        <v>0</v>
      </c>
      <c r="O574" t="n">
        <v>0</v>
      </c>
      <c r="P574" t="n">
        <v>0</v>
      </c>
      <c r="Q574" t="n">
        <v>0</v>
      </c>
      <c r="R574" s="2" t="inlineStr"/>
    </row>
    <row r="575" ht="15" customHeight="1">
      <c r="A575" t="inlineStr">
        <is>
          <t>A 35775-2025</t>
        </is>
      </c>
      <c r="B575" s="1" t="n">
        <v>45860</v>
      </c>
      <c r="C575" s="1" t="n">
        <v>45883</v>
      </c>
      <c r="D575" t="inlineStr">
        <is>
          <t>VÄSTMANLANDS LÄN</t>
        </is>
      </c>
      <c r="E575" t="inlineStr">
        <is>
          <t>SALA</t>
        </is>
      </c>
      <c r="G575" t="n">
        <v>2.6</v>
      </c>
      <c r="H575" t="n">
        <v>0</v>
      </c>
      <c r="I575" t="n">
        <v>0</v>
      </c>
      <c r="J575" t="n">
        <v>0</v>
      </c>
      <c r="K575" t="n">
        <v>0</v>
      </c>
      <c r="L575" t="n">
        <v>0</v>
      </c>
      <c r="M575" t="n">
        <v>0</v>
      </c>
      <c r="N575" t="n">
        <v>0</v>
      </c>
      <c r="O575" t="n">
        <v>0</v>
      </c>
      <c r="P575" t="n">
        <v>0</v>
      </c>
      <c r="Q575" t="n">
        <v>0</v>
      </c>
      <c r="R575" s="2" t="inlineStr"/>
    </row>
    <row r="576" ht="15" customHeight="1">
      <c r="A576" t="inlineStr">
        <is>
          <t>A 7197-2025</t>
        </is>
      </c>
      <c r="B576" s="1" t="n">
        <v>45702</v>
      </c>
      <c r="C576" s="1" t="n">
        <v>45883</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29085-2025</t>
        </is>
      </c>
      <c r="B577" s="1" t="n">
        <v>45821</v>
      </c>
      <c r="C577" s="1" t="n">
        <v>45883</v>
      </c>
      <c r="D577" t="inlineStr">
        <is>
          <t>VÄSTMANLANDS LÄN</t>
        </is>
      </c>
      <c r="E577" t="inlineStr">
        <is>
          <t>SALA</t>
        </is>
      </c>
      <c r="G577" t="n">
        <v>3.5</v>
      </c>
      <c r="H577" t="n">
        <v>0</v>
      </c>
      <c r="I577" t="n">
        <v>0</v>
      </c>
      <c r="J577" t="n">
        <v>0</v>
      </c>
      <c r="K577" t="n">
        <v>0</v>
      </c>
      <c r="L577" t="n">
        <v>0</v>
      </c>
      <c r="M577" t="n">
        <v>0</v>
      </c>
      <c r="N577" t="n">
        <v>0</v>
      </c>
      <c r="O577" t="n">
        <v>0</v>
      </c>
      <c r="P577" t="n">
        <v>0</v>
      </c>
      <c r="Q577" t="n">
        <v>0</v>
      </c>
      <c r="R577" s="2" t="inlineStr"/>
    </row>
    <row r="578" ht="15" customHeight="1">
      <c r="A578" t="inlineStr">
        <is>
          <t>A 36031-2025</t>
        </is>
      </c>
      <c r="B578" s="1" t="n">
        <v>45865.46111111111</v>
      </c>
      <c r="C578" s="1" t="n">
        <v>45883</v>
      </c>
      <c r="D578" t="inlineStr">
        <is>
          <t>VÄSTMANLANDS LÄN</t>
        </is>
      </c>
      <c r="E578" t="inlineStr">
        <is>
          <t>SALA</t>
        </is>
      </c>
      <c r="G578" t="n">
        <v>7.2</v>
      </c>
      <c r="H578" t="n">
        <v>0</v>
      </c>
      <c r="I578" t="n">
        <v>0</v>
      </c>
      <c r="J578" t="n">
        <v>0</v>
      </c>
      <c r="K578" t="n">
        <v>0</v>
      </c>
      <c r="L578" t="n">
        <v>0</v>
      </c>
      <c r="M578" t="n">
        <v>0</v>
      </c>
      <c r="N578" t="n">
        <v>0</v>
      </c>
      <c r="O578" t="n">
        <v>0</v>
      </c>
      <c r="P578" t="n">
        <v>0</v>
      </c>
      <c r="Q578" t="n">
        <v>0</v>
      </c>
      <c r="R578" s="2" t="inlineStr"/>
    </row>
    <row r="579" ht="15" customHeight="1">
      <c r="A579" t="inlineStr">
        <is>
          <t>A 36043-2025</t>
        </is>
      </c>
      <c r="B579" s="1" t="n">
        <v>45866.35333333333</v>
      </c>
      <c r="C579" s="1" t="n">
        <v>45883</v>
      </c>
      <c r="D579" t="inlineStr">
        <is>
          <t>VÄSTMANLANDS LÄN</t>
        </is>
      </c>
      <c r="E579" t="inlineStr">
        <is>
          <t>SALA</t>
        </is>
      </c>
      <c r="F579" t="inlineStr">
        <is>
          <t>Kommuner</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15099-2025</t>
        </is>
      </c>
      <c r="B580" s="1" t="n">
        <v>45744.3434837963</v>
      </c>
      <c r="C580" s="1" t="n">
        <v>45883</v>
      </c>
      <c r="D580" t="inlineStr">
        <is>
          <t>VÄSTMANLANDS LÄN</t>
        </is>
      </c>
      <c r="E580" t="inlineStr">
        <is>
          <t>SALA</t>
        </is>
      </c>
      <c r="F580" t="inlineStr">
        <is>
          <t>Sveaskog</t>
        </is>
      </c>
      <c r="G580" t="n">
        <v>14.4</v>
      </c>
      <c r="H580" t="n">
        <v>0</v>
      </c>
      <c r="I580" t="n">
        <v>0</v>
      </c>
      <c r="J580" t="n">
        <v>0</v>
      </c>
      <c r="K580" t="n">
        <v>0</v>
      </c>
      <c r="L580" t="n">
        <v>0</v>
      </c>
      <c r="M580" t="n">
        <v>0</v>
      </c>
      <c r="N580" t="n">
        <v>0</v>
      </c>
      <c r="O580" t="n">
        <v>0</v>
      </c>
      <c r="P580" t="n">
        <v>0</v>
      </c>
      <c r="Q580" t="n">
        <v>0</v>
      </c>
      <c r="R580" s="2" t="inlineStr"/>
    </row>
    <row r="581" ht="15" customHeight="1">
      <c r="A581" t="inlineStr">
        <is>
          <t>A 36045-2025</t>
        </is>
      </c>
      <c r="B581" s="1" t="n">
        <v>45866.36200231482</v>
      </c>
      <c r="C581" s="1" t="n">
        <v>45883</v>
      </c>
      <c r="D581" t="inlineStr">
        <is>
          <t>VÄSTMANLANDS LÄN</t>
        </is>
      </c>
      <c r="E581" t="inlineStr">
        <is>
          <t>SALA</t>
        </is>
      </c>
      <c r="F581" t="inlineStr">
        <is>
          <t>Kommuner</t>
        </is>
      </c>
      <c r="G581" t="n">
        <v>1.7</v>
      </c>
      <c r="H581" t="n">
        <v>0</v>
      </c>
      <c r="I581" t="n">
        <v>0</v>
      </c>
      <c r="J581" t="n">
        <v>0</v>
      </c>
      <c r="K581" t="n">
        <v>0</v>
      </c>
      <c r="L581" t="n">
        <v>0</v>
      </c>
      <c r="M581" t="n">
        <v>0</v>
      </c>
      <c r="N581" t="n">
        <v>0</v>
      </c>
      <c r="O581" t="n">
        <v>0</v>
      </c>
      <c r="P581" t="n">
        <v>0</v>
      </c>
      <c r="Q581" t="n">
        <v>0</v>
      </c>
      <c r="R581" s="2" t="inlineStr"/>
    </row>
    <row r="582" ht="15" customHeight="1">
      <c r="A582" t="inlineStr">
        <is>
          <t>A 36032-2025</t>
        </is>
      </c>
      <c r="B582" s="1" t="n">
        <v>45865.48740740741</v>
      </c>
      <c r="C582" s="1" t="n">
        <v>45883</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2928-2024</t>
        </is>
      </c>
      <c r="B583" s="1" t="n">
        <v>45315.59041666667</v>
      </c>
      <c r="C583" s="1" t="n">
        <v>45883</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36049-2025</t>
        </is>
      </c>
      <c r="B584" s="1" t="n">
        <v>45866.37065972222</v>
      </c>
      <c r="C584" s="1" t="n">
        <v>45883</v>
      </c>
      <c r="D584" t="inlineStr">
        <is>
          <t>VÄSTMANLANDS LÄN</t>
        </is>
      </c>
      <c r="E584" t="inlineStr">
        <is>
          <t>SALA</t>
        </is>
      </c>
      <c r="F584" t="inlineStr">
        <is>
          <t>Kommuner</t>
        </is>
      </c>
      <c r="G584" t="n">
        <v>1.9</v>
      </c>
      <c r="H584" t="n">
        <v>0</v>
      </c>
      <c r="I584" t="n">
        <v>0</v>
      </c>
      <c r="J584" t="n">
        <v>0</v>
      </c>
      <c r="K584" t="n">
        <v>0</v>
      </c>
      <c r="L584" t="n">
        <v>0</v>
      </c>
      <c r="M584" t="n">
        <v>0</v>
      </c>
      <c r="N584" t="n">
        <v>0</v>
      </c>
      <c r="O584" t="n">
        <v>0</v>
      </c>
      <c r="P584" t="n">
        <v>0</v>
      </c>
      <c r="Q584" t="n">
        <v>0</v>
      </c>
      <c r="R584" s="2" t="inlineStr"/>
    </row>
    <row r="585" ht="15" customHeight="1">
      <c r="A585" t="inlineStr">
        <is>
          <t>A 60541-2024</t>
        </is>
      </c>
      <c r="B585" s="1" t="n">
        <v>45643</v>
      </c>
      <c r="C585" s="1" t="n">
        <v>45883</v>
      </c>
      <c r="D585" t="inlineStr">
        <is>
          <t>VÄSTMANLANDS LÄN</t>
        </is>
      </c>
      <c r="E585" t="inlineStr">
        <is>
          <t>SALA</t>
        </is>
      </c>
      <c r="G585" t="n">
        <v>10.6</v>
      </c>
      <c r="H585" t="n">
        <v>0</v>
      </c>
      <c r="I585" t="n">
        <v>0</v>
      </c>
      <c r="J585" t="n">
        <v>0</v>
      </c>
      <c r="K585" t="n">
        <v>0</v>
      </c>
      <c r="L585" t="n">
        <v>0</v>
      </c>
      <c r="M585" t="n">
        <v>0</v>
      </c>
      <c r="N585" t="n">
        <v>0</v>
      </c>
      <c r="O585" t="n">
        <v>0</v>
      </c>
      <c r="P585" t="n">
        <v>0</v>
      </c>
      <c r="Q585" t="n">
        <v>0</v>
      </c>
      <c r="R585" s="2" t="inlineStr"/>
    </row>
    <row r="586" ht="15" customHeight="1">
      <c r="A586" t="inlineStr">
        <is>
          <t>A 36060-2025</t>
        </is>
      </c>
      <c r="B586" s="1" t="n">
        <v>45866.39469907407</v>
      </c>
      <c r="C586" s="1" t="n">
        <v>45883</v>
      </c>
      <c r="D586" t="inlineStr">
        <is>
          <t>VÄSTMANLANDS LÄN</t>
        </is>
      </c>
      <c r="E586" t="inlineStr">
        <is>
          <t>SALA</t>
        </is>
      </c>
      <c r="F586" t="inlineStr">
        <is>
          <t>Kommuner</t>
        </is>
      </c>
      <c r="G586" t="n">
        <v>4.3</v>
      </c>
      <c r="H586" t="n">
        <v>0</v>
      </c>
      <c r="I586" t="n">
        <v>0</v>
      </c>
      <c r="J586" t="n">
        <v>0</v>
      </c>
      <c r="K586" t="n">
        <v>0</v>
      </c>
      <c r="L586" t="n">
        <v>0</v>
      </c>
      <c r="M586" t="n">
        <v>0</v>
      </c>
      <c r="N586" t="n">
        <v>0</v>
      </c>
      <c r="O586" t="n">
        <v>0</v>
      </c>
      <c r="P586" t="n">
        <v>0</v>
      </c>
      <c r="Q586" t="n">
        <v>0</v>
      </c>
      <c r="R586" s="2" t="inlineStr"/>
    </row>
    <row r="587" ht="15" customHeight="1">
      <c r="A587" t="inlineStr">
        <is>
          <t>A 29826-2025</t>
        </is>
      </c>
      <c r="B587" s="1" t="n">
        <v>45825.85761574074</v>
      </c>
      <c r="C587" s="1" t="n">
        <v>45883</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9962-2025</t>
        </is>
      </c>
      <c r="B588" s="1" t="n">
        <v>45719.37072916667</v>
      </c>
      <c r="C588" s="1" t="n">
        <v>45883</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14024-2025</t>
        </is>
      </c>
      <c r="B589" s="1" t="n">
        <v>45740.34650462963</v>
      </c>
      <c r="C589" s="1" t="n">
        <v>45883</v>
      </c>
      <c r="D589" t="inlineStr">
        <is>
          <t>VÄSTMANLANDS LÄN</t>
        </is>
      </c>
      <c r="E589" t="inlineStr">
        <is>
          <t>SALA</t>
        </is>
      </c>
      <c r="G589" t="n">
        <v>1.1</v>
      </c>
      <c r="H589" t="n">
        <v>0</v>
      </c>
      <c r="I589" t="n">
        <v>0</v>
      </c>
      <c r="J589" t="n">
        <v>0</v>
      </c>
      <c r="K589" t="n">
        <v>0</v>
      </c>
      <c r="L589" t="n">
        <v>0</v>
      </c>
      <c r="M589" t="n">
        <v>0</v>
      </c>
      <c r="N589" t="n">
        <v>0</v>
      </c>
      <c r="O589" t="n">
        <v>0</v>
      </c>
      <c r="P589" t="n">
        <v>0</v>
      </c>
      <c r="Q589" t="n">
        <v>0</v>
      </c>
      <c r="R589" s="2" t="inlineStr"/>
    </row>
    <row r="590" ht="15" customHeight="1">
      <c r="A590" t="inlineStr">
        <is>
          <t>A 3551-2024</t>
        </is>
      </c>
      <c r="B590" s="1" t="n">
        <v>45320.61099537037</v>
      </c>
      <c r="C590" s="1" t="n">
        <v>45883</v>
      </c>
      <c r="D590" t="inlineStr">
        <is>
          <t>VÄSTMANLANDS LÄN</t>
        </is>
      </c>
      <c r="E590" t="inlineStr">
        <is>
          <t>SALA</t>
        </is>
      </c>
      <c r="F590" t="inlineStr">
        <is>
          <t>Kommuner</t>
        </is>
      </c>
      <c r="G590" t="n">
        <v>6</v>
      </c>
      <c r="H590" t="n">
        <v>0</v>
      </c>
      <c r="I590" t="n">
        <v>0</v>
      </c>
      <c r="J590" t="n">
        <v>0</v>
      </c>
      <c r="K590" t="n">
        <v>0</v>
      </c>
      <c r="L590" t="n">
        <v>0</v>
      </c>
      <c r="M590" t="n">
        <v>0</v>
      </c>
      <c r="N590" t="n">
        <v>0</v>
      </c>
      <c r="O590" t="n">
        <v>0</v>
      </c>
      <c r="P590" t="n">
        <v>0</v>
      </c>
      <c r="Q590" t="n">
        <v>0</v>
      </c>
      <c r="R590" s="2" t="inlineStr"/>
    </row>
    <row r="591" ht="15" customHeight="1">
      <c r="A591" t="inlineStr">
        <is>
          <t>A 62635-2022</t>
        </is>
      </c>
      <c r="B591" s="1" t="n">
        <v>44917</v>
      </c>
      <c r="C591" s="1" t="n">
        <v>45883</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29691-2025</t>
        </is>
      </c>
      <c r="B592" s="1" t="n">
        <v>45825.53645833334</v>
      </c>
      <c r="C592" s="1" t="n">
        <v>45883</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19304-2025</t>
        </is>
      </c>
      <c r="B593" s="1" t="n">
        <v>45769</v>
      </c>
      <c r="C593" s="1" t="n">
        <v>45883</v>
      </c>
      <c r="D593" t="inlineStr">
        <is>
          <t>VÄSTMANLANDS LÄN</t>
        </is>
      </c>
      <c r="E593" t="inlineStr">
        <is>
          <t>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29972-2025</t>
        </is>
      </c>
      <c r="B594" s="1" t="n">
        <v>45826</v>
      </c>
      <c r="C594" s="1" t="n">
        <v>45883</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56057-2023</t>
        </is>
      </c>
      <c r="B595" s="1" t="n">
        <v>45233</v>
      </c>
      <c r="C595" s="1" t="n">
        <v>45883</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17766-2025</t>
        </is>
      </c>
      <c r="B596" s="1" t="n">
        <v>45758</v>
      </c>
      <c r="C596" s="1" t="n">
        <v>45883</v>
      </c>
      <c r="D596" t="inlineStr">
        <is>
          <t>VÄSTMANLANDS LÄN</t>
        </is>
      </c>
      <c r="E596" t="inlineStr">
        <is>
          <t>SALA</t>
        </is>
      </c>
      <c r="G596" t="n">
        <v>16.5</v>
      </c>
      <c r="H596" t="n">
        <v>0</v>
      </c>
      <c r="I596" t="n">
        <v>0</v>
      </c>
      <c r="J596" t="n">
        <v>0</v>
      </c>
      <c r="K596" t="n">
        <v>0</v>
      </c>
      <c r="L596" t="n">
        <v>0</v>
      </c>
      <c r="M596" t="n">
        <v>0</v>
      </c>
      <c r="N596" t="n">
        <v>0</v>
      </c>
      <c r="O596" t="n">
        <v>0</v>
      </c>
      <c r="P596" t="n">
        <v>0</v>
      </c>
      <c r="Q596" t="n">
        <v>0</v>
      </c>
      <c r="R596" s="2" t="inlineStr"/>
    </row>
    <row r="597" ht="15" customHeight="1">
      <c r="A597" t="inlineStr">
        <is>
          <t>A 55024-2023</t>
        </is>
      </c>
      <c r="B597" s="1" t="n">
        <v>45229</v>
      </c>
      <c r="C597" s="1" t="n">
        <v>45883</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55032-2023</t>
        </is>
      </c>
      <c r="B598" s="1" t="n">
        <v>45229</v>
      </c>
      <c r="C598" s="1" t="n">
        <v>45883</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29248-2022</t>
        </is>
      </c>
      <c r="B599" s="1" t="n">
        <v>44750</v>
      </c>
      <c r="C599" s="1" t="n">
        <v>45883</v>
      </c>
      <c r="D599" t="inlineStr">
        <is>
          <t>VÄSTMANLANDS LÄN</t>
        </is>
      </c>
      <c r="E599" t="inlineStr">
        <is>
          <t>SALA</t>
        </is>
      </c>
      <c r="G599" t="n">
        <v>1.6</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44904.48502314815</v>
      </c>
      <c r="C600" s="1" t="n">
        <v>45883</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39451-2022</t>
        </is>
      </c>
      <c r="B601" s="1" t="n">
        <v>44818.36606481481</v>
      </c>
      <c r="C601" s="1" t="n">
        <v>45883</v>
      </c>
      <c r="D601" t="inlineStr">
        <is>
          <t>VÄSTMANLANDS LÄN</t>
        </is>
      </c>
      <c r="E601" t="inlineStr">
        <is>
          <t>SALA</t>
        </is>
      </c>
      <c r="G601" t="n">
        <v>9.4</v>
      </c>
      <c r="H601" t="n">
        <v>0</v>
      </c>
      <c r="I601" t="n">
        <v>0</v>
      </c>
      <c r="J601" t="n">
        <v>0</v>
      </c>
      <c r="K601" t="n">
        <v>0</v>
      </c>
      <c r="L601" t="n">
        <v>0</v>
      </c>
      <c r="M601" t="n">
        <v>0</v>
      </c>
      <c r="N601" t="n">
        <v>0</v>
      </c>
      <c r="O601" t="n">
        <v>0</v>
      </c>
      <c r="P601" t="n">
        <v>0</v>
      </c>
      <c r="Q601" t="n">
        <v>0</v>
      </c>
      <c r="R601" s="2" t="inlineStr"/>
    </row>
    <row r="602" ht="15" customHeight="1">
      <c r="A602" t="inlineStr">
        <is>
          <t>A 30874-2025</t>
        </is>
      </c>
      <c r="B602" s="1" t="n">
        <v>45832.34430555555</v>
      </c>
      <c r="C602" s="1" t="n">
        <v>45883</v>
      </c>
      <c r="D602" t="inlineStr">
        <is>
          <t>VÄSTMANLANDS LÄN</t>
        </is>
      </c>
      <c r="E602" t="inlineStr">
        <is>
          <t>SALA</t>
        </is>
      </c>
      <c r="G602" t="n">
        <v>8.4</v>
      </c>
      <c r="H602" t="n">
        <v>0</v>
      </c>
      <c r="I602" t="n">
        <v>0</v>
      </c>
      <c r="J602" t="n">
        <v>0</v>
      </c>
      <c r="K602" t="n">
        <v>0</v>
      </c>
      <c r="L602" t="n">
        <v>0</v>
      </c>
      <c r="M602" t="n">
        <v>0</v>
      </c>
      <c r="N602" t="n">
        <v>0</v>
      </c>
      <c r="O602" t="n">
        <v>0</v>
      </c>
      <c r="P602" t="n">
        <v>0</v>
      </c>
      <c r="Q602" t="n">
        <v>0</v>
      </c>
      <c r="R602" s="2" t="inlineStr"/>
    </row>
    <row r="603" ht="15" customHeight="1">
      <c r="A603" t="inlineStr">
        <is>
          <t>A 11631-2023</t>
        </is>
      </c>
      <c r="B603" s="1" t="n">
        <v>44994.44001157407</v>
      </c>
      <c r="C603" s="1" t="n">
        <v>45883</v>
      </c>
      <c r="D603" t="inlineStr">
        <is>
          <t>VÄSTMANLANDS LÄN</t>
        </is>
      </c>
      <c r="E603" t="inlineStr">
        <is>
          <t>SALA</t>
        </is>
      </c>
      <c r="F603" t="inlineStr">
        <is>
          <t>Kommuner</t>
        </is>
      </c>
      <c r="G603" t="n">
        <v>1.9</v>
      </c>
      <c r="H603" t="n">
        <v>0</v>
      </c>
      <c r="I603" t="n">
        <v>0</v>
      </c>
      <c r="J603" t="n">
        <v>0</v>
      </c>
      <c r="K603" t="n">
        <v>0</v>
      </c>
      <c r="L603" t="n">
        <v>0</v>
      </c>
      <c r="M603" t="n">
        <v>0</v>
      </c>
      <c r="N603" t="n">
        <v>0</v>
      </c>
      <c r="O603" t="n">
        <v>0</v>
      </c>
      <c r="P603" t="n">
        <v>0</v>
      </c>
      <c r="Q603" t="n">
        <v>0</v>
      </c>
      <c r="R603" s="2" t="inlineStr"/>
    </row>
    <row r="604" ht="15" customHeight="1">
      <c r="A604" t="inlineStr">
        <is>
          <t>A 37017-2025</t>
        </is>
      </c>
      <c r="B604" s="1" t="n">
        <v>45874</v>
      </c>
      <c r="C604" s="1" t="n">
        <v>45883</v>
      </c>
      <c r="D604" t="inlineStr">
        <is>
          <t>VÄSTMANLANDS LÄN</t>
        </is>
      </c>
      <c r="E604" t="inlineStr">
        <is>
          <t>SALA</t>
        </is>
      </c>
      <c r="G604" t="n">
        <v>11.1</v>
      </c>
      <c r="H604" t="n">
        <v>0</v>
      </c>
      <c r="I604" t="n">
        <v>0</v>
      </c>
      <c r="J604" t="n">
        <v>0</v>
      </c>
      <c r="K604" t="n">
        <v>0</v>
      </c>
      <c r="L604" t="n">
        <v>0</v>
      </c>
      <c r="M604" t="n">
        <v>0</v>
      </c>
      <c r="N604" t="n">
        <v>0</v>
      </c>
      <c r="O604" t="n">
        <v>0</v>
      </c>
      <c r="P604" t="n">
        <v>0</v>
      </c>
      <c r="Q604" t="n">
        <v>0</v>
      </c>
      <c r="R604" s="2" t="inlineStr"/>
    </row>
    <row r="605" ht="15" customHeight="1">
      <c r="A605" t="inlineStr">
        <is>
          <t>A 30899-2025</t>
        </is>
      </c>
      <c r="B605" s="1" t="n">
        <v>45832.35767361111</v>
      </c>
      <c r="C605" s="1" t="n">
        <v>45883</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30866-2025</t>
        </is>
      </c>
      <c r="B606" s="1" t="n">
        <v>45832.3246875</v>
      </c>
      <c r="C606" s="1" t="n">
        <v>45883</v>
      </c>
      <c r="D606" t="inlineStr">
        <is>
          <t>VÄSTMANLANDS LÄN</t>
        </is>
      </c>
      <c r="E606" t="inlineStr">
        <is>
          <t>SALA</t>
        </is>
      </c>
      <c r="G606" t="n">
        <v>14.3</v>
      </c>
      <c r="H606" t="n">
        <v>0</v>
      </c>
      <c r="I606" t="n">
        <v>0</v>
      </c>
      <c r="J606" t="n">
        <v>0</v>
      </c>
      <c r="K606" t="n">
        <v>0</v>
      </c>
      <c r="L606" t="n">
        <v>0</v>
      </c>
      <c r="M606" t="n">
        <v>0</v>
      </c>
      <c r="N606" t="n">
        <v>0</v>
      </c>
      <c r="O606" t="n">
        <v>0</v>
      </c>
      <c r="P606" t="n">
        <v>0</v>
      </c>
      <c r="Q606" t="n">
        <v>0</v>
      </c>
      <c r="R606" s="2" t="inlineStr"/>
    </row>
    <row r="607" ht="15" customHeight="1">
      <c r="A607" t="inlineStr">
        <is>
          <t>A 62648-2022</t>
        </is>
      </c>
      <c r="B607" s="1" t="n">
        <v>44917</v>
      </c>
      <c r="C607" s="1" t="n">
        <v>45883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1934-2023</t>
        </is>
      </c>
      <c r="B608" s="1" t="n">
        <v>44939.43024305555</v>
      </c>
      <c r="C608" s="1" t="n">
        <v>45883</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31065-2025</t>
        </is>
      </c>
      <c r="B609" s="1" t="n">
        <v>45832.57571759259</v>
      </c>
      <c r="C609" s="1" t="n">
        <v>45883</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11927-2025</t>
        </is>
      </c>
      <c r="B610" s="1" t="n">
        <v>45728.5137962963</v>
      </c>
      <c r="C610" s="1" t="n">
        <v>45883</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60823-2024</t>
        </is>
      </c>
      <c r="B611" s="1" t="n">
        <v>45644</v>
      </c>
      <c r="C611" s="1" t="n">
        <v>45883</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96-2024</t>
        </is>
      </c>
      <c r="B612" s="1" t="n">
        <v>45293.85872685185</v>
      </c>
      <c r="C612" s="1" t="n">
        <v>45883</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31612-2025</t>
        </is>
      </c>
      <c r="B613" s="1" t="n">
        <v>45833.80056712963</v>
      </c>
      <c r="C613" s="1" t="n">
        <v>45883</v>
      </c>
      <c r="D613" t="inlineStr">
        <is>
          <t>VÄSTMANLANDS LÄN</t>
        </is>
      </c>
      <c r="E613" t="inlineStr">
        <is>
          <t>SALA</t>
        </is>
      </c>
      <c r="G613" t="n">
        <v>6.3</v>
      </c>
      <c r="H613" t="n">
        <v>0</v>
      </c>
      <c r="I613" t="n">
        <v>0</v>
      </c>
      <c r="J613" t="n">
        <v>0</v>
      </c>
      <c r="K613" t="n">
        <v>0</v>
      </c>
      <c r="L613" t="n">
        <v>0</v>
      </c>
      <c r="M613" t="n">
        <v>0</v>
      </c>
      <c r="N613" t="n">
        <v>0</v>
      </c>
      <c r="O613" t="n">
        <v>0</v>
      </c>
      <c r="P613" t="n">
        <v>0</v>
      </c>
      <c r="Q613" t="n">
        <v>0</v>
      </c>
      <c r="R613" s="2" t="inlineStr"/>
    </row>
    <row r="614" ht="15" customHeight="1">
      <c r="A614" t="inlineStr">
        <is>
          <t>A 23374-2023</t>
        </is>
      </c>
      <c r="B614" s="1" t="n">
        <v>45076.4399537037</v>
      </c>
      <c r="C614" s="1" t="n">
        <v>45883</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31748-2025</t>
        </is>
      </c>
      <c r="B615" s="1" t="n">
        <v>45834</v>
      </c>
      <c r="C615" s="1" t="n">
        <v>45883</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31288-2025</t>
        </is>
      </c>
      <c r="B616" s="1" t="n">
        <v>45833</v>
      </c>
      <c r="C616" s="1" t="n">
        <v>45883</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61874-2021</t>
        </is>
      </c>
      <c r="B617" s="1" t="n">
        <v>44502</v>
      </c>
      <c r="C617" s="1" t="n">
        <v>45883</v>
      </c>
      <c r="D617" t="inlineStr">
        <is>
          <t>VÄSTMANLANDS LÄN</t>
        </is>
      </c>
      <c r="E617" t="inlineStr">
        <is>
          <t>SALA</t>
        </is>
      </c>
      <c r="F617" t="inlineStr">
        <is>
          <t>Kyrkan</t>
        </is>
      </c>
      <c r="G617" t="n">
        <v>1.3</v>
      </c>
      <c r="H617" t="n">
        <v>0</v>
      </c>
      <c r="I617" t="n">
        <v>0</v>
      </c>
      <c r="J617" t="n">
        <v>0</v>
      </c>
      <c r="K617" t="n">
        <v>0</v>
      </c>
      <c r="L617" t="n">
        <v>0</v>
      </c>
      <c r="M617" t="n">
        <v>0</v>
      </c>
      <c r="N617" t="n">
        <v>0</v>
      </c>
      <c r="O617" t="n">
        <v>0</v>
      </c>
      <c r="P617" t="n">
        <v>0</v>
      </c>
      <c r="Q617" t="n">
        <v>0</v>
      </c>
      <c r="R617" s="2" t="inlineStr"/>
    </row>
    <row r="618" ht="15" customHeight="1">
      <c r="A618" t="inlineStr">
        <is>
          <t>A 31771-2025</t>
        </is>
      </c>
      <c r="B618" s="1" t="n">
        <v>45834.50910879629</v>
      </c>
      <c r="C618" s="1" t="n">
        <v>45883</v>
      </c>
      <c r="D618" t="inlineStr">
        <is>
          <t>VÄSTMANLANDS LÄN</t>
        </is>
      </c>
      <c r="E618" t="inlineStr">
        <is>
          <t>SALA</t>
        </is>
      </c>
      <c r="G618" t="n">
        <v>5.1</v>
      </c>
      <c r="H618" t="n">
        <v>0</v>
      </c>
      <c r="I618" t="n">
        <v>0</v>
      </c>
      <c r="J618" t="n">
        <v>0</v>
      </c>
      <c r="K618" t="n">
        <v>0</v>
      </c>
      <c r="L618" t="n">
        <v>0</v>
      </c>
      <c r="M618" t="n">
        <v>0</v>
      </c>
      <c r="N618" t="n">
        <v>0</v>
      </c>
      <c r="O618" t="n">
        <v>0</v>
      </c>
      <c r="P618" t="n">
        <v>0</v>
      </c>
      <c r="Q618" t="n">
        <v>0</v>
      </c>
      <c r="R618" s="2" t="inlineStr"/>
    </row>
    <row r="619" ht="15" customHeight="1">
      <c r="A619" t="inlineStr">
        <is>
          <t>A 9856-2022</t>
        </is>
      </c>
      <c r="B619" s="1" t="n">
        <v>44620</v>
      </c>
      <c r="C619" s="1" t="n">
        <v>45883</v>
      </c>
      <c r="D619" t="inlineStr">
        <is>
          <t>VÄSTMANLANDS LÄN</t>
        </is>
      </c>
      <c r="E619" t="inlineStr">
        <is>
          <t>SALA</t>
        </is>
      </c>
      <c r="G619" t="n">
        <v>2.4</v>
      </c>
      <c r="H619" t="n">
        <v>0</v>
      </c>
      <c r="I619" t="n">
        <v>0</v>
      </c>
      <c r="J619" t="n">
        <v>0</v>
      </c>
      <c r="K619" t="n">
        <v>0</v>
      </c>
      <c r="L619" t="n">
        <v>0</v>
      </c>
      <c r="M619" t="n">
        <v>0</v>
      </c>
      <c r="N619" t="n">
        <v>0</v>
      </c>
      <c r="O619" t="n">
        <v>0</v>
      </c>
      <c r="P619" t="n">
        <v>0</v>
      </c>
      <c r="Q619" t="n">
        <v>0</v>
      </c>
      <c r="R619" s="2" t="inlineStr"/>
    </row>
    <row r="620" ht="15" customHeight="1">
      <c r="A620" t="inlineStr">
        <is>
          <t>A 16159-2024</t>
        </is>
      </c>
      <c r="B620" s="1" t="n">
        <v>45406</v>
      </c>
      <c r="C620" s="1" t="n">
        <v>45883</v>
      </c>
      <c r="D620" t="inlineStr">
        <is>
          <t>VÄSTMANLANDS LÄN</t>
        </is>
      </c>
      <c r="E620" t="inlineStr">
        <is>
          <t>SALA</t>
        </is>
      </c>
      <c r="G620" t="n">
        <v>0.4</v>
      </c>
      <c r="H620" t="n">
        <v>0</v>
      </c>
      <c r="I620" t="n">
        <v>0</v>
      </c>
      <c r="J620" t="n">
        <v>0</v>
      </c>
      <c r="K620" t="n">
        <v>0</v>
      </c>
      <c r="L620" t="n">
        <v>0</v>
      </c>
      <c r="M620" t="n">
        <v>0</v>
      </c>
      <c r="N620" t="n">
        <v>0</v>
      </c>
      <c r="O620" t="n">
        <v>0</v>
      </c>
      <c r="P620" t="n">
        <v>0</v>
      </c>
      <c r="Q620" t="n">
        <v>0</v>
      </c>
      <c r="R620" s="2" t="inlineStr"/>
    </row>
    <row r="621" ht="15" customHeight="1">
      <c r="A621" t="inlineStr">
        <is>
          <t>A 50241-2023</t>
        </is>
      </c>
      <c r="B621" s="1" t="n">
        <v>45216</v>
      </c>
      <c r="C621" s="1" t="n">
        <v>45883</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3332-2024</t>
        </is>
      </c>
      <c r="B622" s="1" t="n">
        <v>45317</v>
      </c>
      <c r="C622" s="1" t="n">
        <v>45883</v>
      </c>
      <c r="D622" t="inlineStr">
        <is>
          <t>VÄSTMANLANDS LÄN</t>
        </is>
      </c>
      <c r="E622" t="inlineStr">
        <is>
          <t>SALA</t>
        </is>
      </c>
      <c r="G622" t="n">
        <v>2</v>
      </c>
      <c r="H622" t="n">
        <v>0</v>
      </c>
      <c r="I622" t="n">
        <v>0</v>
      </c>
      <c r="J622" t="n">
        <v>0</v>
      </c>
      <c r="K622" t="n">
        <v>0</v>
      </c>
      <c r="L622" t="n">
        <v>0</v>
      </c>
      <c r="M622" t="n">
        <v>0</v>
      </c>
      <c r="N622" t="n">
        <v>0</v>
      </c>
      <c r="O622" t="n">
        <v>0</v>
      </c>
      <c r="P622" t="n">
        <v>0</v>
      </c>
      <c r="Q622" t="n">
        <v>0</v>
      </c>
      <c r="R622" s="2" t="inlineStr"/>
    </row>
    <row r="623" ht="15" customHeight="1">
      <c r="A623" t="inlineStr">
        <is>
          <t>A 31860-2025</t>
        </is>
      </c>
      <c r="B623" s="1" t="n">
        <v>45834</v>
      </c>
      <c r="C623" s="1" t="n">
        <v>45883</v>
      </c>
      <c r="D623" t="inlineStr">
        <is>
          <t>VÄSTMANLANDS LÄN</t>
        </is>
      </c>
      <c r="E623" t="inlineStr">
        <is>
          <t>SALA</t>
        </is>
      </c>
      <c r="G623" t="n">
        <v>7.4</v>
      </c>
      <c r="H623" t="n">
        <v>0</v>
      </c>
      <c r="I623" t="n">
        <v>0</v>
      </c>
      <c r="J623" t="n">
        <v>0</v>
      </c>
      <c r="K623" t="n">
        <v>0</v>
      </c>
      <c r="L623" t="n">
        <v>0</v>
      </c>
      <c r="M623" t="n">
        <v>0</v>
      </c>
      <c r="N623" t="n">
        <v>0</v>
      </c>
      <c r="O623" t="n">
        <v>0</v>
      </c>
      <c r="P623" t="n">
        <v>0</v>
      </c>
      <c r="Q623" t="n">
        <v>0</v>
      </c>
      <c r="R623" s="2" t="inlineStr"/>
    </row>
    <row r="624" ht="15" customHeight="1">
      <c r="A624" t="inlineStr">
        <is>
          <t>A 31864-2025</t>
        </is>
      </c>
      <c r="B624" s="1" t="n">
        <v>45834.63819444444</v>
      </c>
      <c r="C624" s="1" t="n">
        <v>45883</v>
      </c>
      <c r="D624" t="inlineStr">
        <is>
          <t>VÄSTMANLANDS LÄN</t>
        </is>
      </c>
      <c r="E624" t="inlineStr">
        <is>
          <t>SALA</t>
        </is>
      </c>
      <c r="G624" t="n">
        <v>6.3</v>
      </c>
      <c r="H624" t="n">
        <v>0</v>
      </c>
      <c r="I624" t="n">
        <v>0</v>
      </c>
      <c r="J624" t="n">
        <v>0</v>
      </c>
      <c r="K624" t="n">
        <v>0</v>
      </c>
      <c r="L624" t="n">
        <v>0</v>
      </c>
      <c r="M624" t="n">
        <v>0</v>
      </c>
      <c r="N624" t="n">
        <v>0</v>
      </c>
      <c r="O624" t="n">
        <v>0</v>
      </c>
      <c r="P624" t="n">
        <v>0</v>
      </c>
      <c r="Q624" t="n">
        <v>0</v>
      </c>
      <c r="R624" s="2" t="inlineStr"/>
    </row>
    <row r="625" ht="15" customHeight="1">
      <c r="A625" t="inlineStr">
        <is>
          <t>A 37263-2025</t>
        </is>
      </c>
      <c r="B625" s="1" t="n">
        <v>45876.4584837963</v>
      </c>
      <c r="C625" s="1" t="n">
        <v>45883</v>
      </c>
      <c r="D625" t="inlineStr">
        <is>
          <t>VÄSTMANLANDS LÄN</t>
        </is>
      </c>
      <c r="E625" t="inlineStr">
        <is>
          <t>SALA</t>
        </is>
      </c>
      <c r="G625" t="n">
        <v>2.3</v>
      </c>
      <c r="H625" t="n">
        <v>0</v>
      </c>
      <c r="I625" t="n">
        <v>0</v>
      </c>
      <c r="J625" t="n">
        <v>0</v>
      </c>
      <c r="K625" t="n">
        <v>0</v>
      </c>
      <c r="L625" t="n">
        <v>0</v>
      </c>
      <c r="M625" t="n">
        <v>0</v>
      </c>
      <c r="N625" t="n">
        <v>0</v>
      </c>
      <c r="O625" t="n">
        <v>0</v>
      </c>
      <c r="P625" t="n">
        <v>0</v>
      </c>
      <c r="Q625" t="n">
        <v>0</v>
      </c>
      <c r="R625" s="2" t="inlineStr"/>
    </row>
    <row r="626" ht="15" customHeight="1">
      <c r="A626" t="inlineStr">
        <is>
          <t>A 31887-2025</t>
        </is>
      </c>
      <c r="B626" s="1" t="n">
        <v>45834.6608449074</v>
      </c>
      <c r="C626" s="1" t="n">
        <v>45883</v>
      </c>
      <c r="D626" t="inlineStr">
        <is>
          <t>VÄSTMANLANDS LÄN</t>
        </is>
      </c>
      <c r="E626" t="inlineStr">
        <is>
          <t>SALA</t>
        </is>
      </c>
      <c r="G626" t="n">
        <v>7</v>
      </c>
      <c r="H626" t="n">
        <v>0</v>
      </c>
      <c r="I626" t="n">
        <v>0</v>
      </c>
      <c r="J626" t="n">
        <v>0</v>
      </c>
      <c r="K626" t="n">
        <v>0</v>
      </c>
      <c r="L626" t="n">
        <v>0</v>
      </c>
      <c r="M626" t="n">
        <v>0</v>
      </c>
      <c r="N626" t="n">
        <v>0</v>
      </c>
      <c r="O626" t="n">
        <v>0</v>
      </c>
      <c r="P626" t="n">
        <v>0</v>
      </c>
      <c r="Q626" t="n">
        <v>0</v>
      </c>
      <c r="R626" s="2" t="inlineStr"/>
    </row>
    <row r="627" ht="15" customHeight="1">
      <c r="A627" t="inlineStr">
        <is>
          <t>A 37253-2025</t>
        </is>
      </c>
      <c r="B627" s="1" t="n">
        <v>45876.42290509259</v>
      </c>
      <c r="C627" s="1" t="n">
        <v>45883</v>
      </c>
      <c r="D627" t="inlineStr">
        <is>
          <t>VÄSTMANLANDS LÄN</t>
        </is>
      </c>
      <c r="E627" t="inlineStr">
        <is>
          <t>SALA</t>
        </is>
      </c>
      <c r="G627" t="n">
        <v>2.6</v>
      </c>
      <c r="H627" t="n">
        <v>0</v>
      </c>
      <c r="I627" t="n">
        <v>0</v>
      </c>
      <c r="J627" t="n">
        <v>0</v>
      </c>
      <c r="K627" t="n">
        <v>0</v>
      </c>
      <c r="L627" t="n">
        <v>0</v>
      </c>
      <c r="M627" t="n">
        <v>0</v>
      </c>
      <c r="N627" t="n">
        <v>0</v>
      </c>
      <c r="O627" t="n">
        <v>0</v>
      </c>
      <c r="P627" t="n">
        <v>0</v>
      </c>
      <c r="Q627" t="n">
        <v>0</v>
      </c>
      <c r="R627" s="2" t="inlineStr"/>
    </row>
    <row r="628" ht="15" customHeight="1">
      <c r="A628" t="inlineStr">
        <is>
          <t>A 31554-2025</t>
        </is>
      </c>
      <c r="B628" s="1" t="n">
        <v>45833</v>
      </c>
      <c r="C628" s="1" t="n">
        <v>45883</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37103-2025</t>
        </is>
      </c>
      <c r="B629" s="1" t="n">
        <v>45875.47743055555</v>
      </c>
      <c r="C629" s="1" t="n">
        <v>45883</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31762-2025</t>
        </is>
      </c>
      <c r="B630" s="1" t="n">
        <v>45834.49288194445</v>
      </c>
      <c r="C630" s="1" t="n">
        <v>45883</v>
      </c>
      <c r="D630" t="inlineStr">
        <is>
          <t>VÄSTMANLANDS LÄN</t>
        </is>
      </c>
      <c r="E630" t="inlineStr">
        <is>
          <t>SALA</t>
        </is>
      </c>
      <c r="G630" t="n">
        <v>5.9</v>
      </c>
      <c r="H630" t="n">
        <v>0</v>
      </c>
      <c r="I630" t="n">
        <v>0</v>
      </c>
      <c r="J630" t="n">
        <v>0</v>
      </c>
      <c r="K630" t="n">
        <v>0</v>
      </c>
      <c r="L630" t="n">
        <v>0</v>
      </c>
      <c r="M630" t="n">
        <v>0</v>
      </c>
      <c r="N630" t="n">
        <v>0</v>
      </c>
      <c r="O630" t="n">
        <v>0</v>
      </c>
      <c r="P630" t="n">
        <v>0</v>
      </c>
      <c r="Q630" t="n">
        <v>0</v>
      </c>
      <c r="R630" s="2" t="inlineStr"/>
    </row>
    <row r="631" ht="15" customHeight="1">
      <c r="A631" t="inlineStr">
        <is>
          <t>A 31608-2025</t>
        </is>
      </c>
      <c r="B631" s="1" t="n">
        <v>45833</v>
      </c>
      <c r="C631" s="1" t="n">
        <v>45883</v>
      </c>
      <c r="D631" t="inlineStr">
        <is>
          <t>VÄSTMANLANDS LÄN</t>
        </is>
      </c>
      <c r="E631" t="inlineStr">
        <is>
          <t>SALA</t>
        </is>
      </c>
      <c r="G631" t="n">
        <v>6.1</v>
      </c>
      <c r="H631" t="n">
        <v>0</v>
      </c>
      <c r="I631" t="n">
        <v>0</v>
      </c>
      <c r="J631" t="n">
        <v>0</v>
      </c>
      <c r="K631" t="n">
        <v>0</v>
      </c>
      <c r="L631" t="n">
        <v>0</v>
      </c>
      <c r="M631" t="n">
        <v>0</v>
      </c>
      <c r="N631" t="n">
        <v>0</v>
      </c>
      <c r="O631" t="n">
        <v>0</v>
      </c>
      <c r="P631" t="n">
        <v>0</v>
      </c>
      <c r="Q631" t="n">
        <v>0</v>
      </c>
      <c r="R631" s="2" t="inlineStr"/>
    </row>
    <row r="632" ht="15" customHeight="1">
      <c r="A632" t="inlineStr">
        <is>
          <t>A 31863-2025</t>
        </is>
      </c>
      <c r="B632" s="1" t="n">
        <v>45834.63303240741</v>
      </c>
      <c r="C632" s="1" t="n">
        <v>45883</v>
      </c>
      <c r="D632" t="inlineStr">
        <is>
          <t>VÄSTMANLANDS LÄN</t>
        </is>
      </c>
      <c r="E632" t="inlineStr">
        <is>
          <t>SALA</t>
        </is>
      </c>
      <c r="G632" t="n">
        <v>2.5</v>
      </c>
      <c r="H632" t="n">
        <v>0</v>
      </c>
      <c r="I632" t="n">
        <v>0</v>
      </c>
      <c r="J632" t="n">
        <v>0</v>
      </c>
      <c r="K632" t="n">
        <v>0</v>
      </c>
      <c r="L632" t="n">
        <v>0</v>
      </c>
      <c r="M632" t="n">
        <v>0</v>
      </c>
      <c r="N632" t="n">
        <v>0</v>
      </c>
      <c r="O632" t="n">
        <v>0</v>
      </c>
      <c r="P632" t="n">
        <v>0</v>
      </c>
      <c r="Q632" t="n">
        <v>0</v>
      </c>
      <c r="R632" s="2" t="inlineStr"/>
    </row>
    <row r="633" ht="15" customHeight="1">
      <c r="A633" t="inlineStr">
        <is>
          <t>A 31610-2025</t>
        </is>
      </c>
      <c r="B633" s="1" t="n">
        <v>45833.78650462963</v>
      </c>
      <c r="C633" s="1" t="n">
        <v>45883</v>
      </c>
      <c r="D633" t="inlineStr">
        <is>
          <t>VÄSTMANLANDS LÄN</t>
        </is>
      </c>
      <c r="E633" t="inlineStr">
        <is>
          <t>SALA</t>
        </is>
      </c>
      <c r="G633" t="n">
        <v>8</v>
      </c>
      <c r="H633" t="n">
        <v>0</v>
      </c>
      <c r="I633" t="n">
        <v>0</v>
      </c>
      <c r="J633" t="n">
        <v>0</v>
      </c>
      <c r="K633" t="n">
        <v>0</v>
      </c>
      <c r="L633" t="n">
        <v>0</v>
      </c>
      <c r="M633" t="n">
        <v>0</v>
      </c>
      <c r="N633" t="n">
        <v>0</v>
      </c>
      <c r="O633" t="n">
        <v>0</v>
      </c>
      <c r="P633" t="n">
        <v>0</v>
      </c>
      <c r="Q633" t="n">
        <v>0</v>
      </c>
      <c r="R633" s="2" t="inlineStr"/>
    </row>
    <row r="634" ht="15" customHeight="1">
      <c r="A634" t="inlineStr">
        <is>
          <t>A 35637-2022</t>
        </is>
      </c>
      <c r="B634" s="1" t="n">
        <v>44799.55194444444</v>
      </c>
      <c r="C634" s="1" t="n">
        <v>45883</v>
      </c>
      <c r="D634" t="inlineStr">
        <is>
          <t>VÄSTMANLANDS LÄN</t>
        </is>
      </c>
      <c r="E634" t="inlineStr">
        <is>
          <t>SALA</t>
        </is>
      </c>
      <c r="G634" t="n">
        <v>1</v>
      </c>
      <c r="H634" t="n">
        <v>0</v>
      </c>
      <c r="I634" t="n">
        <v>0</v>
      </c>
      <c r="J634" t="n">
        <v>0</v>
      </c>
      <c r="K634" t="n">
        <v>0</v>
      </c>
      <c r="L634" t="n">
        <v>0</v>
      </c>
      <c r="M634" t="n">
        <v>0</v>
      </c>
      <c r="N634" t="n">
        <v>0</v>
      </c>
      <c r="O634" t="n">
        <v>0</v>
      </c>
      <c r="P634" t="n">
        <v>0</v>
      </c>
      <c r="Q634" t="n">
        <v>0</v>
      </c>
      <c r="R634" s="2" t="inlineStr"/>
    </row>
    <row r="635" ht="15" customHeight="1">
      <c r="A635" t="inlineStr">
        <is>
          <t>A 19033-2025</t>
        </is>
      </c>
      <c r="B635" s="1" t="n">
        <v>45764.65796296296</v>
      </c>
      <c r="C635" s="1" t="n">
        <v>45883</v>
      </c>
      <c r="D635" t="inlineStr">
        <is>
          <t>VÄSTMANLANDS LÄN</t>
        </is>
      </c>
      <c r="E635" t="inlineStr">
        <is>
          <t>SALA</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31869-2025</t>
        </is>
      </c>
      <c r="B636" s="1" t="n">
        <v>45834.64555555556</v>
      </c>
      <c r="C636" s="1" t="n">
        <v>45883</v>
      </c>
      <c r="D636" t="inlineStr">
        <is>
          <t>VÄSTMANLANDS LÄN</t>
        </is>
      </c>
      <c r="E636" t="inlineStr">
        <is>
          <t>SALA</t>
        </is>
      </c>
      <c r="G636" t="n">
        <v>17.5</v>
      </c>
      <c r="H636" t="n">
        <v>0</v>
      </c>
      <c r="I636" t="n">
        <v>0</v>
      </c>
      <c r="J636" t="n">
        <v>0</v>
      </c>
      <c r="K636" t="n">
        <v>0</v>
      </c>
      <c r="L636" t="n">
        <v>0</v>
      </c>
      <c r="M636" t="n">
        <v>0</v>
      </c>
      <c r="N636" t="n">
        <v>0</v>
      </c>
      <c r="O636" t="n">
        <v>0</v>
      </c>
      <c r="P636" t="n">
        <v>0</v>
      </c>
      <c r="Q636" t="n">
        <v>0</v>
      </c>
      <c r="R636" s="2" t="inlineStr"/>
    </row>
    <row r="637" ht="15" customHeight="1">
      <c r="A637" t="inlineStr">
        <is>
          <t>A 31296-2025</t>
        </is>
      </c>
      <c r="B637" s="1" t="n">
        <v>45833.36765046296</v>
      </c>
      <c r="C637" s="1" t="n">
        <v>45883</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37246-2025</t>
        </is>
      </c>
      <c r="B638" s="1" t="n">
        <v>45876.39435185185</v>
      </c>
      <c r="C638" s="1" t="n">
        <v>45883</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31573-2025</t>
        </is>
      </c>
      <c r="B639" s="1" t="n">
        <v>45833</v>
      </c>
      <c r="C639" s="1" t="n">
        <v>45883</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57883-2024</t>
        </is>
      </c>
      <c r="B640" s="1" t="n">
        <v>45630</v>
      </c>
      <c r="C640" s="1" t="n">
        <v>45883</v>
      </c>
      <c r="D640" t="inlineStr">
        <is>
          <t>VÄSTMANLANDS LÄN</t>
        </is>
      </c>
      <c r="E640" t="inlineStr">
        <is>
          <t>SALA</t>
        </is>
      </c>
      <c r="G640" t="n">
        <v>5.4</v>
      </c>
      <c r="H640" t="n">
        <v>0</v>
      </c>
      <c r="I640" t="n">
        <v>0</v>
      </c>
      <c r="J640" t="n">
        <v>0</v>
      </c>
      <c r="K640" t="n">
        <v>0</v>
      </c>
      <c r="L640" t="n">
        <v>0</v>
      </c>
      <c r="M640" t="n">
        <v>0</v>
      </c>
      <c r="N640" t="n">
        <v>0</v>
      </c>
      <c r="O640" t="n">
        <v>0</v>
      </c>
      <c r="P640" t="n">
        <v>0</v>
      </c>
      <c r="Q640" t="n">
        <v>0</v>
      </c>
      <c r="R640" s="2" t="inlineStr"/>
    </row>
    <row r="641" ht="15" customHeight="1">
      <c r="A641" t="inlineStr">
        <is>
          <t>A 32201-2025</t>
        </is>
      </c>
      <c r="B641" s="1" t="n">
        <v>45835</v>
      </c>
      <c r="C641" s="1" t="n">
        <v>45883</v>
      </c>
      <c r="D641" t="inlineStr">
        <is>
          <t>VÄSTMANLANDS LÄN</t>
        </is>
      </c>
      <c r="E641" t="inlineStr">
        <is>
          <t>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32205-2025</t>
        </is>
      </c>
      <c r="B642" s="1" t="n">
        <v>45835</v>
      </c>
      <c r="C642" s="1" t="n">
        <v>45883</v>
      </c>
      <c r="D642" t="inlineStr">
        <is>
          <t>VÄSTMANLANDS LÄN</t>
        </is>
      </c>
      <c r="E642" t="inlineStr">
        <is>
          <t>SALA</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32210-2025</t>
        </is>
      </c>
      <c r="B643" s="1" t="n">
        <v>45835</v>
      </c>
      <c r="C643" s="1" t="n">
        <v>45883</v>
      </c>
      <c r="D643" t="inlineStr">
        <is>
          <t>VÄSTMANLANDS LÄN</t>
        </is>
      </c>
      <c r="E643" t="inlineStr">
        <is>
          <t>SALA</t>
        </is>
      </c>
      <c r="F643" t="inlineStr">
        <is>
          <t>Bergvik skog öst AB</t>
        </is>
      </c>
      <c r="G643" t="n">
        <v>1.5</v>
      </c>
      <c r="H643" t="n">
        <v>0</v>
      </c>
      <c r="I643" t="n">
        <v>0</v>
      </c>
      <c r="J643" t="n">
        <v>0</v>
      </c>
      <c r="K643" t="n">
        <v>0</v>
      </c>
      <c r="L643" t="n">
        <v>0</v>
      </c>
      <c r="M643" t="n">
        <v>0</v>
      </c>
      <c r="N643" t="n">
        <v>0</v>
      </c>
      <c r="O643" t="n">
        <v>0</v>
      </c>
      <c r="P643" t="n">
        <v>0</v>
      </c>
      <c r="Q643" t="n">
        <v>0</v>
      </c>
      <c r="R643" s="2" t="inlineStr"/>
    </row>
    <row r="644" ht="15" customHeight="1">
      <c r="A644" t="inlineStr">
        <is>
          <t>A 32286-2025</t>
        </is>
      </c>
      <c r="B644" s="1" t="n">
        <v>45835</v>
      </c>
      <c r="C644" s="1" t="n">
        <v>45883</v>
      </c>
      <c r="D644" t="inlineStr">
        <is>
          <t>VÄSTMANLANDS LÄN</t>
        </is>
      </c>
      <c r="E644" t="inlineStr">
        <is>
          <t>SALA</t>
        </is>
      </c>
      <c r="G644" t="n">
        <v>6.4</v>
      </c>
      <c r="H644" t="n">
        <v>0</v>
      </c>
      <c r="I644" t="n">
        <v>0</v>
      </c>
      <c r="J644" t="n">
        <v>0</v>
      </c>
      <c r="K644" t="n">
        <v>0</v>
      </c>
      <c r="L644" t="n">
        <v>0</v>
      </c>
      <c r="M644" t="n">
        <v>0</v>
      </c>
      <c r="N644" t="n">
        <v>0</v>
      </c>
      <c r="O644" t="n">
        <v>0</v>
      </c>
      <c r="P644" t="n">
        <v>0</v>
      </c>
      <c r="Q644" t="n">
        <v>0</v>
      </c>
      <c r="R644" s="2" t="inlineStr"/>
    </row>
    <row r="645" ht="15" customHeight="1">
      <c r="A645" t="inlineStr">
        <is>
          <t>A 50876-2023</t>
        </is>
      </c>
      <c r="B645" s="1" t="n">
        <v>45211</v>
      </c>
      <c r="C645" s="1" t="n">
        <v>45883</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37624-2024</t>
        </is>
      </c>
      <c r="B646" s="1" t="n">
        <v>45541</v>
      </c>
      <c r="C646" s="1" t="n">
        <v>45883</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32207-2025</t>
        </is>
      </c>
      <c r="B647" s="1" t="n">
        <v>45835</v>
      </c>
      <c r="C647" s="1" t="n">
        <v>45883</v>
      </c>
      <c r="D647" t="inlineStr">
        <is>
          <t>VÄSTMANLANDS LÄN</t>
        </is>
      </c>
      <c r="E647" t="inlineStr">
        <is>
          <t>SALA</t>
        </is>
      </c>
      <c r="F647" t="inlineStr">
        <is>
          <t>Bergvik skog öst AB</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40398-2021</t>
        </is>
      </c>
      <c r="B648" s="1" t="n">
        <v>44419</v>
      </c>
      <c r="C648" s="1" t="n">
        <v>45883</v>
      </c>
      <c r="D648" t="inlineStr">
        <is>
          <t>VÄSTMANLANDS LÄN</t>
        </is>
      </c>
      <c r="E648" t="inlineStr">
        <is>
          <t>SALA</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41493-2020</t>
        </is>
      </c>
      <c r="B649" s="1" t="n">
        <v>44074</v>
      </c>
      <c r="C649" s="1" t="n">
        <v>45883</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6351-2023</t>
        </is>
      </c>
      <c r="B650" s="1" t="n">
        <v>44965</v>
      </c>
      <c r="C650" s="1" t="n">
        <v>45883</v>
      </c>
      <c r="D650" t="inlineStr">
        <is>
          <t>VÄSTMANLANDS LÄN</t>
        </is>
      </c>
      <c r="E650" t="inlineStr">
        <is>
          <t>SALA</t>
        </is>
      </c>
      <c r="F650" t="inlineStr">
        <is>
          <t>Kommuner</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37590-2025</t>
        </is>
      </c>
      <c r="B651" s="1" t="n">
        <v>45880.41138888889</v>
      </c>
      <c r="C651" s="1" t="n">
        <v>45883</v>
      </c>
      <c r="D651" t="inlineStr">
        <is>
          <t>VÄSTMANLANDS LÄN</t>
        </is>
      </c>
      <c r="E651" t="inlineStr">
        <is>
          <t>SALA</t>
        </is>
      </c>
      <c r="G651" t="n">
        <v>2.2</v>
      </c>
      <c r="H651" t="n">
        <v>0</v>
      </c>
      <c r="I651" t="n">
        <v>0</v>
      </c>
      <c r="J651" t="n">
        <v>0</v>
      </c>
      <c r="K651" t="n">
        <v>0</v>
      </c>
      <c r="L651" t="n">
        <v>0</v>
      </c>
      <c r="M651" t="n">
        <v>0</v>
      </c>
      <c r="N651" t="n">
        <v>0</v>
      </c>
      <c r="O651" t="n">
        <v>0</v>
      </c>
      <c r="P651" t="n">
        <v>0</v>
      </c>
      <c r="Q651" t="n">
        <v>0</v>
      </c>
      <c r="R651" s="2" t="inlineStr"/>
    </row>
    <row r="652" ht="15" customHeight="1">
      <c r="A652" t="inlineStr">
        <is>
          <t>A 37593-2025</t>
        </is>
      </c>
      <c r="B652" s="1" t="n">
        <v>45880.41325231481</v>
      </c>
      <c r="C652" s="1" t="n">
        <v>45883</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27262-2024</t>
        </is>
      </c>
      <c r="B653" s="1" t="n">
        <v>45471</v>
      </c>
      <c r="C653" s="1" t="n">
        <v>45883</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15584-2021</t>
        </is>
      </c>
      <c r="B654" s="1" t="n">
        <v>44285</v>
      </c>
      <c r="C654" s="1" t="n">
        <v>45883</v>
      </c>
      <c r="D654" t="inlineStr">
        <is>
          <t>VÄSTMANLANDS LÄN</t>
        </is>
      </c>
      <c r="E654" t="inlineStr">
        <is>
          <t>SALA</t>
        </is>
      </c>
      <c r="G654" t="n">
        <v>3.4</v>
      </c>
      <c r="H654" t="n">
        <v>0</v>
      </c>
      <c r="I654" t="n">
        <v>0</v>
      </c>
      <c r="J654" t="n">
        <v>0</v>
      </c>
      <c r="K654" t="n">
        <v>0</v>
      </c>
      <c r="L654" t="n">
        <v>0</v>
      </c>
      <c r="M654" t="n">
        <v>0</v>
      </c>
      <c r="N654" t="n">
        <v>0</v>
      </c>
      <c r="O654" t="n">
        <v>0</v>
      </c>
      <c r="P654" t="n">
        <v>0</v>
      </c>
      <c r="Q654" t="n">
        <v>0</v>
      </c>
      <c r="R654" s="2" t="inlineStr"/>
    </row>
    <row r="655" ht="15" customHeight="1">
      <c r="A655" t="inlineStr">
        <is>
          <t>A 32902-2025</t>
        </is>
      </c>
      <c r="B655" s="1" t="n">
        <v>45839</v>
      </c>
      <c r="C655" s="1" t="n">
        <v>45883</v>
      </c>
      <c r="D655" t="inlineStr">
        <is>
          <t>VÄSTMANLANDS LÄN</t>
        </is>
      </c>
      <c r="E655" t="inlineStr">
        <is>
          <t>SALA</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23119-2022</t>
        </is>
      </c>
      <c r="B656" s="1" t="n">
        <v>44719.56697916667</v>
      </c>
      <c r="C656" s="1" t="n">
        <v>45883</v>
      </c>
      <c r="D656" t="inlineStr">
        <is>
          <t>VÄSTMANLANDS LÄN</t>
        </is>
      </c>
      <c r="E656" t="inlineStr">
        <is>
          <t>SALA</t>
        </is>
      </c>
      <c r="G656" t="n">
        <v>7</v>
      </c>
      <c r="H656" t="n">
        <v>0</v>
      </c>
      <c r="I656" t="n">
        <v>0</v>
      </c>
      <c r="J656" t="n">
        <v>0</v>
      </c>
      <c r="K656" t="n">
        <v>0</v>
      </c>
      <c r="L656" t="n">
        <v>0</v>
      </c>
      <c r="M656" t="n">
        <v>0</v>
      </c>
      <c r="N656" t="n">
        <v>0</v>
      </c>
      <c r="O656" t="n">
        <v>0</v>
      </c>
      <c r="P656" t="n">
        <v>0</v>
      </c>
      <c r="Q656" t="n">
        <v>0</v>
      </c>
      <c r="R656" s="2" t="inlineStr"/>
    </row>
    <row r="657" ht="15" customHeight="1">
      <c r="A657" t="inlineStr">
        <is>
          <t>A 43751-2021</t>
        </is>
      </c>
      <c r="B657" s="1" t="n">
        <v>44433</v>
      </c>
      <c r="C657" s="1" t="n">
        <v>45883</v>
      </c>
      <c r="D657" t="inlineStr">
        <is>
          <t>VÄSTMANLANDS LÄN</t>
        </is>
      </c>
      <c r="E657" t="inlineStr">
        <is>
          <t>SALA</t>
        </is>
      </c>
      <c r="G657" t="n">
        <v>1.5</v>
      </c>
      <c r="H657" t="n">
        <v>0</v>
      </c>
      <c r="I657" t="n">
        <v>0</v>
      </c>
      <c r="J657" t="n">
        <v>0</v>
      </c>
      <c r="K657" t="n">
        <v>0</v>
      </c>
      <c r="L657" t="n">
        <v>0</v>
      </c>
      <c r="M657" t="n">
        <v>0</v>
      </c>
      <c r="N657" t="n">
        <v>0</v>
      </c>
      <c r="O657" t="n">
        <v>0</v>
      </c>
      <c r="P657" t="n">
        <v>0</v>
      </c>
      <c r="Q657" t="n">
        <v>0</v>
      </c>
      <c r="R657" s="2" t="inlineStr"/>
    </row>
    <row r="658" ht="15" customHeight="1">
      <c r="A658" t="inlineStr">
        <is>
          <t>A 59483-2022</t>
        </is>
      </c>
      <c r="B658" s="1" t="n">
        <v>44907.45679398148</v>
      </c>
      <c r="C658" s="1" t="n">
        <v>45883</v>
      </c>
      <c r="D658" t="inlineStr">
        <is>
          <t>VÄSTMANLANDS LÄN</t>
        </is>
      </c>
      <c r="E658" t="inlineStr">
        <is>
          <t>SALA</t>
        </is>
      </c>
      <c r="G658" t="n">
        <v>5.2</v>
      </c>
      <c r="H658" t="n">
        <v>0</v>
      </c>
      <c r="I658" t="n">
        <v>0</v>
      </c>
      <c r="J658" t="n">
        <v>0</v>
      </c>
      <c r="K658" t="n">
        <v>0</v>
      </c>
      <c r="L658" t="n">
        <v>0</v>
      </c>
      <c r="M658" t="n">
        <v>0</v>
      </c>
      <c r="N658" t="n">
        <v>0</v>
      </c>
      <c r="O658" t="n">
        <v>0</v>
      </c>
      <c r="P658" t="n">
        <v>0</v>
      </c>
      <c r="Q658" t="n">
        <v>0</v>
      </c>
      <c r="R658" s="2" t="inlineStr"/>
    </row>
    <row r="659" ht="15" customHeight="1">
      <c r="A659" t="inlineStr">
        <is>
          <t>A 73673-2021</t>
        </is>
      </c>
      <c r="B659" s="1" t="n">
        <v>44552.46501157407</v>
      </c>
      <c r="C659" s="1" t="n">
        <v>45883</v>
      </c>
      <c r="D659" t="inlineStr">
        <is>
          <t>VÄSTMANLANDS LÄN</t>
        </is>
      </c>
      <c r="E659" t="inlineStr">
        <is>
          <t>SALA</t>
        </is>
      </c>
      <c r="G659" t="n">
        <v>11.4</v>
      </c>
      <c r="H659" t="n">
        <v>0</v>
      </c>
      <c r="I659" t="n">
        <v>0</v>
      </c>
      <c r="J659" t="n">
        <v>0</v>
      </c>
      <c r="K659" t="n">
        <v>0</v>
      </c>
      <c r="L659" t="n">
        <v>0</v>
      </c>
      <c r="M659" t="n">
        <v>0</v>
      </c>
      <c r="N659" t="n">
        <v>0</v>
      </c>
      <c r="O659" t="n">
        <v>0</v>
      </c>
      <c r="P659" t="n">
        <v>0</v>
      </c>
      <c r="Q659" t="n">
        <v>0</v>
      </c>
      <c r="R659" s="2" t="inlineStr"/>
    </row>
    <row r="660" ht="15" customHeight="1">
      <c r="A660" t="inlineStr">
        <is>
          <t>A 922-2025</t>
        </is>
      </c>
      <c r="B660" s="1" t="n">
        <v>45665.80069444444</v>
      </c>
      <c r="C660" s="1" t="n">
        <v>45883</v>
      </c>
      <c r="D660" t="inlineStr">
        <is>
          <t>VÄSTMANLANDS LÄN</t>
        </is>
      </c>
      <c r="E660" t="inlineStr">
        <is>
          <t>SALA</t>
        </is>
      </c>
      <c r="G660" t="n">
        <v>6.2</v>
      </c>
      <c r="H660" t="n">
        <v>0</v>
      </c>
      <c r="I660" t="n">
        <v>0</v>
      </c>
      <c r="J660" t="n">
        <v>0</v>
      </c>
      <c r="K660" t="n">
        <v>0</v>
      </c>
      <c r="L660" t="n">
        <v>0</v>
      </c>
      <c r="M660" t="n">
        <v>0</v>
      </c>
      <c r="N660" t="n">
        <v>0</v>
      </c>
      <c r="O660" t="n">
        <v>0</v>
      </c>
      <c r="P660" t="n">
        <v>0</v>
      </c>
      <c r="Q660" t="n">
        <v>0</v>
      </c>
      <c r="R660" s="2" t="inlineStr"/>
    </row>
    <row r="661" ht="15" customHeight="1">
      <c r="A661" t="inlineStr">
        <is>
          <t>A 4853-2023</t>
        </is>
      </c>
      <c r="B661" s="1" t="n">
        <v>44957.73234953704</v>
      </c>
      <c r="C661" s="1" t="n">
        <v>45883</v>
      </c>
      <c r="D661" t="inlineStr">
        <is>
          <t>VÄSTMANLANDS LÄN</t>
        </is>
      </c>
      <c r="E661" t="inlineStr">
        <is>
          <t>SALA</t>
        </is>
      </c>
      <c r="G661" t="n">
        <v>2.7</v>
      </c>
      <c r="H661" t="n">
        <v>0</v>
      </c>
      <c r="I661" t="n">
        <v>0</v>
      </c>
      <c r="J661" t="n">
        <v>0</v>
      </c>
      <c r="K661" t="n">
        <v>0</v>
      </c>
      <c r="L661" t="n">
        <v>0</v>
      </c>
      <c r="M661" t="n">
        <v>0</v>
      </c>
      <c r="N661" t="n">
        <v>0</v>
      </c>
      <c r="O661" t="n">
        <v>0</v>
      </c>
      <c r="P661" t="n">
        <v>0</v>
      </c>
      <c r="Q661" t="n">
        <v>0</v>
      </c>
      <c r="R661" s="2" t="inlineStr"/>
    </row>
    <row r="662" ht="15" customHeight="1">
      <c r="A662" t="inlineStr">
        <is>
          <t>A 1993-2022</t>
        </is>
      </c>
      <c r="B662" s="1" t="n">
        <v>44575</v>
      </c>
      <c r="C662" s="1" t="n">
        <v>45883</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1793-2023</t>
        </is>
      </c>
      <c r="B663" s="1" t="n">
        <v>44937</v>
      </c>
      <c r="C663" s="1" t="n">
        <v>45883</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42447-2022</t>
        </is>
      </c>
      <c r="B664" s="1" t="n">
        <v>44831</v>
      </c>
      <c r="C664" s="1" t="n">
        <v>45883</v>
      </c>
      <c r="D664" t="inlineStr">
        <is>
          <t>VÄSTMANLANDS LÄN</t>
        </is>
      </c>
      <c r="E664" t="inlineStr">
        <is>
          <t>SALA</t>
        </is>
      </c>
      <c r="G664" t="n">
        <v>1.1</v>
      </c>
      <c r="H664" t="n">
        <v>0</v>
      </c>
      <c r="I664" t="n">
        <v>0</v>
      </c>
      <c r="J664" t="n">
        <v>0</v>
      </c>
      <c r="K664" t="n">
        <v>0</v>
      </c>
      <c r="L664" t="n">
        <v>0</v>
      </c>
      <c r="M664" t="n">
        <v>0</v>
      </c>
      <c r="N664" t="n">
        <v>0</v>
      </c>
      <c r="O664" t="n">
        <v>0</v>
      </c>
      <c r="P664" t="n">
        <v>0</v>
      </c>
      <c r="Q664" t="n">
        <v>0</v>
      </c>
      <c r="R664" s="2" t="inlineStr"/>
    </row>
    <row r="665" ht="15" customHeight="1">
      <c r="A665" t="inlineStr">
        <is>
          <t>A 11183-2023</t>
        </is>
      </c>
      <c r="B665" s="1" t="n">
        <v>44992.57782407408</v>
      </c>
      <c r="C665" s="1" t="n">
        <v>45883</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11190-2023</t>
        </is>
      </c>
      <c r="B666" s="1" t="n">
        <v>44992</v>
      </c>
      <c r="C666" s="1" t="n">
        <v>45883</v>
      </c>
      <c r="D666" t="inlineStr">
        <is>
          <t>VÄSTMANLANDS LÄN</t>
        </is>
      </c>
      <c r="E666" t="inlineStr">
        <is>
          <t>SALA</t>
        </is>
      </c>
      <c r="G666" t="n">
        <v>1</v>
      </c>
      <c r="H666" t="n">
        <v>0</v>
      </c>
      <c r="I666" t="n">
        <v>0</v>
      </c>
      <c r="J666" t="n">
        <v>0</v>
      </c>
      <c r="K666" t="n">
        <v>0</v>
      </c>
      <c r="L666" t="n">
        <v>0</v>
      </c>
      <c r="M666" t="n">
        <v>0</v>
      </c>
      <c r="N666" t="n">
        <v>0</v>
      </c>
      <c r="O666" t="n">
        <v>0</v>
      </c>
      <c r="P666" t="n">
        <v>0</v>
      </c>
      <c r="Q666" t="n">
        <v>0</v>
      </c>
      <c r="R666" s="2" t="inlineStr"/>
    </row>
    <row r="667" ht="15" customHeight="1">
      <c r="A667" t="inlineStr">
        <is>
          <t>A 31950-2023</t>
        </is>
      </c>
      <c r="B667" s="1" t="n">
        <v>45107</v>
      </c>
      <c r="C667" s="1" t="n">
        <v>45883</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48710-2024</t>
        </is>
      </c>
      <c r="B668" s="1" t="n">
        <v>45593.53636574074</v>
      </c>
      <c r="C668" s="1" t="n">
        <v>45883</v>
      </c>
      <c r="D668" t="inlineStr">
        <is>
          <t>VÄSTMANLANDS LÄN</t>
        </is>
      </c>
      <c r="E668" t="inlineStr">
        <is>
          <t>SALA</t>
        </is>
      </c>
      <c r="G668" t="n">
        <v>6.5</v>
      </c>
      <c r="H668" t="n">
        <v>0</v>
      </c>
      <c r="I668" t="n">
        <v>0</v>
      </c>
      <c r="J668" t="n">
        <v>0</v>
      </c>
      <c r="K668" t="n">
        <v>0</v>
      </c>
      <c r="L668" t="n">
        <v>0</v>
      </c>
      <c r="M668" t="n">
        <v>0</v>
      </c>
      <c r="N668" t="n">
        <v>0</v>
      </c>
      <c r="O668" t="n">
        <v>0</v>
      </c>
      <c r="P668" t="n">
        <v>0</v>
      </c>
      <c r="Q668" t="n">
        <v>0</v>
      </c>
      <c r="R668" s="2" t="inlineStr"/>
    </row>
    <row r="669" ht="15" customHeight="1">
      <c r="A669" t="inlineStr">
        <is>
          <t>A 23406-2024</t>
        </is>
      </c>
      <c r="B669" s="1" t="n">
        <v>45453.58296296297</v>
      </c>
      <c r="C669" s="1" t="n">
        <v>45883</v>
      </c>
      <c r="D669" t="inlineStr">
        <is>
          <t>VÄSTMANLANDS LÄN</t>
        </is>
      </c>
      <c r="E669" t="inlineStr">
        <is>
          <t>SALA</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12246-2023</t>
        </is>
      </c>
      <c r="B670" s="1" t="n">
        <v>44995</v>
      </c>
      <c r="C670" s="1" t="n">
        <v>45883</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57800-2020</t>
        </is>
      </c>
      <c r="B671" s="1" t="n">
        <v>44141</v>
      </c>
      <c r="C671" s="1" t="n">
        <v>45883</v>
      </c>
      <c r="D671" t="inlineStr">
        <is>
          <t>VÄSTMANLANDS LÄN</t>
        </is>
      </c>
      <c r="E671" t="inlineStr">
        <is>
          <t>SALA</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48571-2024</t>
        </is>
      </c>
      <c r="B672" s="1" t="n">
        <v>45591</v>
      </c>
      <c r="C672" s="1" t="n">
        <v>45883</v>
      </c>
      <c r="D672" t="inlineStr">
        <is>
          <t>VÄSTMANLANDS LÄN</t>
        </is>
      </c>
      <c r="E672" t="inlineStr">
        <is>
          <t>SALA</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43362-2023</t>
        </is>
      </c>
      <c r="B673" s="1" t="n">
        <v>45183</v>
      </c>
      <c r="C673" s="1" t="n">
        <v>45883</v>
      </c>
      <c r="D673" t="inlineStr">
        <is>
          <t>VÄSTMANLANDS LÄN</t>
        </is>
      </c>
      <c r="E673" t="inlineStr">
        <is>
          <t>SALA</t>
        </is>
      </c>
      <c r="G673" t="n">
        <v>2</v>
      </c>
      <c r="H673" t="n">
        <v>0</v>
      </c>
      <c r="I673" t="n">
        <v>0</v>
      </c>
      <c r="J673" t="n">
        <v>0</v>
      </c>
      <c r="K673" t="n">
        <v>0</v>
      </c>
      <c r="L673" t="n">
        <v>0</v>
      </c>
      <c r="M673" t="n">
        <v>0</v>
      </c>
      <c r="N673" t="n">
        <v>0</v>
      </c>
      <c r="O673" t="n">
        <v>0</v>
      </c>
      <c r="P673" t="n">
        <v>0</v>
      </c>
      <c r="Q673" t="n">
        <v>0</v>
      </c>
      <c r="R673" s="2" t="inlineStr"/>
    </row>
    <row r="674" ht="15" customHeight="1">
      <c r="A674" t="inlineStr">
        <is>
          <t>A 16767-2024</t>
        </is>
      </c>
      <c r="B674" s="1" t="n">
        <v>45411.38171296296</v>
      </c>
      <c r="C674" s="1" t="n">
        <v>45883</v>
      </c>
      <c r="D674" t="inlineStr">
        <is>
          <t>VÄSTMANLANDS LÄN</t>
        </is>
      </c>
      <c r="E674" t="inlineStr">
        <is>
          <t>SALA</t>
        </is>
      </c>
      <c r="G674" t="n">
        <v>2.5</v>
      </c>
      <c r="H674" t="n">
        <v>0</v>
      </c>
      <c r="I674" t="n">
        <v>0</v>
      </c>
      <c r="J674" t="n">
        <v>0</v>
      </c>
      <c r="K674" t="n">
        <v>0</v>
      </c>
      <c r="L674" t="n">
        <v>0</v>
      </c>
      <c r="M674" t="n">
        <v>0</v>
      </c>
      <c r="N674" t="n">
        <v>0</v>
      </c>
      <c r="O674" t="n">
        <v>0</v>
      </c>
      <c r="P674" t="n">
        <v>0</v>
      </c>
      <c r="Q674" t="n">
        <v>0</v>
      </c>
      <c r="R674" s="2" t="inlineStr"/>
    </row>
    <row r="675" ht="15" customHeight="1">
      <c r="A675" t="inlineStr">
        <is>
          <t>A 31470-2021</t>
        </is>
      </c>
      <c r="B675" s="1" t="n">
        <v>44369</v>
      </c>
      <c r="C675" s="1" t="n">
        <v>45883</v>
      </c>
      <c r="D675" t="inlineStr">
        <is>
          <t>VÄSTMANLANDS LÄN</t>
        </is>
      </c>
      <c r="E675" t="inlineStr">
        <is>
          <t>SALA</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18461-2024</t>
        </is>
      </c>
      <c r="B676" s="1" t="n">
        <v>45425.47435185185</v>
      </c>
      <c r="C676" s="1" t="n">
        <v>45883</v>
      </c>
      <c r="D676" t="inlineStr">
        <is>
          <t>VÄSTMANLANDS LÄN</t>
        </is>
      </c>
      <c r="E676" t="inlineStr">
        <is>
          <t>SALA</t>
        </is>
      </c>
      <c r="G676" t="n">
        <v>1.7</v>
      </c>
      <c r="H676" t="n">
        <v>0</v>
      </c>
      <c r="I676" t="n">
        <v>0</v>
      </c>
      <c r="J676" t="n">
        <v>0</v>
      </c>
      <c r="K676" t="n">
        <v>0</v>
      </c>
      <c r="L676" t="n">
        <v>0</v>
      </c>
      <c r="M676" t="n">
        <v>0</v>
      </c>
      <c r="N676" t="n">
        <v>0</v>
      </c>
      <c r="O676" t="n">
        <v>0</v>
      </c>
      <c r="P676" t="n">
        <v>0</v>
      </c>
      <c r="Q676" t="n">
        <v>0</v>
      </c>
      <c r="R676" s="2" t="inlineStr"/>
    </row>
    <row r="677" ht="15" customHeight="1">
      <c r="A677" t="inlineStr">
        <is>
          <t>A 29230-2022</t>
        </is>
      </c>
      <c r="B677" s="1" t="n">
        <v>44750</v>
      </c>
      <c r="C677" s="1" t="n">
        <v>45883</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9335-2022</t>
        </is>
      </c>
      <c r="B678" s="1" t="n">
        <v>44616.56579861111</v>
      </c>
      <c r="C678" s="1" t="n">
        <v>45883</v>
      </c>
      <c r="D678" t="inlineStr">
        <is>
          <t>VÄSTMANLANDS LÄN</t>
        </is>
      </c>
      <c r="E678" t="inlineStr">
        <is>
          <t>SALA</t>
        </is>
      </c>
      <c r="G678" t="n">
        <v>1.5</v>
      </c>
      <c r="H678" t="n">
        <v>0</v>
      </c>
      <c r="I678" t="n">
        <v>0</v>
      </c>
      <c r="J678" t="n">
        <v>0</v>
      </c>
      <c r="K678" t="n">
        <v>0</v>
      </c>
      <c r="L678" t="n">
        <v>0</v>
      </c>
      <c r="M678" t="n">
        <v>0</v>
      </c>
      <c r="N678" t="n">
        <v>0</v>
      </c>
      <c r="O678" t="n">
        <v>0</v>
      </c>
      <c r="P678" t="n">
        <v>0</v>
      </c>
      <c r="Q678" t="n">
        <v>0</v>
      </c>
      <c r="R678" s="2" t="inlineStr"/>
    </row>
    <row r="679" ht="15" customHeight="1">
      <c r="A679" t="inlineStr">
        <is>
          <t>A 47479-2024</t>
        </is>
      </c>
      <c r="B679" s="1" t="n">
        <v>45587</v>
      </c>
      <c r="C679" s="1" t="n">
        <v>45883</v>
      </c>
      <c r="D679" t="inlineStr">
        <is>
          <t>VÄSTMANLANDS LÄN</t>
        </is>
      </c>
      <c r="E679" t="inlineStr">
        <is>
          <t>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19065-2022</t>
        </is>
      </c>
      <c r="B680" s="1" t="n">
        <v>44691.44309027777</v>
      </c>
      <c r="C680" s="1" t="n">
        <v>45883</v>
      </c>
      <c r="D680" t="inlineStr">
        <is>
          <t>VÄSTMANLANDS LÄN</t>
        </is>
      </c>
      <c r="E680" t="inlineStr">
        <is>
          <t>SALA</t>
        </is>
      </c>
      <c r="G680" t="n">
        <v>3.4</v>
      </c>
      <c r="H680" t="n">
        <v>0</v>
      </c>
      <c r="I680" t="n">
        <v>0</v>
      </c>
      <c r="J680" t="n">
        <v>0</v>
      </c>
      <c r="K680" t="n">
        <v>0</v>
      </c>
      <c r="L680" t="n">
        <v>0</v>
      </c>
      <c r="M680" t="n">
        <v>0</v>
      </c>
      <c r="N680" t="n">
        <v>0</v>
      </c>
      <c r="O680" t="n">
        <v>0</v>
      </c>
      <c r="P680" t="n">
        <v>0</v>
      </c>
      <c r="Q680" t="n">
        <v>0</v>
      </c>
      <c r="R680" s="2" t="inlineStr"/>
    </row>
    <row r="681" ht="15" customHeight="1">
      <c r="A681" t="inlineStr">
        <is>
          <t>A 22961-2023</t>
        </is>
      </c>
      <c r="B681" s="1" t="n">
        <v>45072</v>
      </c>
      <c r="C681" s="1" t="n">
        <v>45883</v>
      </c>
      <c r="D681" t="inlineStr">
        <is>
          <t>VÄSTMANLANDS LÄN</t>
        </is>
      </c>
      <c r="E681" t="inlineStr">
        <is>
          <t>SALA</t>
        </is>
      </c>
      <c r="G681" t="n">
        <v>2.7</v>
      </c>
      <c r="H681" t="n">
        <v>0</v>
      </c>
      <c r="I681" t="n">
        <v>0</v>
      </c>
      <c r="J681" t="n">
        <v>0</v>
      </c>
      <c r="K681" t="n">
        <v>0</v>
      </c>
      <c r="L681" t="n">
        <v>0</v>
      </c>
      <c r="M681" t="n">
        <v>0</v>
      </c>
      <c r="N681" t="n">
        <v>0</v>
      </c>
      <c r="O681" t="n">
        <v>0</v>
      </c>
      <c r="P681" t="n">
        <v>0</v>
      </c>
      <c r="Q681" t="n">
        <v>0</v>
      </c>
      <c r="R681" s="2" t="inlineStr"/>
    </row>
    <row r="682">
      <c r="A682" t="inlineStr">
        <is>
          <t>A 22963-2023</t>
        </is>
      </c>
      <c r="B682" s="1" t="n">
        <v>45072</v>
      </c>
      <c r="C682" s="1" t="n">
        <v>45883</v>
      </c>
      <c r="D682" t="inlineStr">
        <is>
          <t>VÄSTMANLANDS LÄN</t>
        </is>
      </c>
      <c r="E682" t="inlineStr">
        <is>
          <t>SALA</t>
        </is>
      </c>
      <c r="G682" t="n">
        <v>1.2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2025-08-14T08:28:52Z</dcterms:created>
  <dcterms:modified xmlns:dcterms="http://purl.org/dc/terms/" xmlns:xsi="http://www.w3.org/2001/XMLSchema-instance" xsi:type="dcterms:W3CDTF">2025-08-14T08:28:53Z</dcterms:modified>
</cp:coreProperties>
</file>