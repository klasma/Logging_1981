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46133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13033-2026</t>
        </is>
      </c>
      <c r="B4" s="1" t="n">
        <v>46092.91247685185</v>
      </c>
      <c r="C4" s="1" t="n">
        <v>46133</v>
      </c>
      <c r="D4" t="inlineStr">
        <is>
          <t>VÄSTMANLANDS LÄN</t>
        </is>
      </c>
      <c r="E4" t="inlineStr">
        <is>
          <t>SALA</t>
        </is>
      </c>
      <c r="G4" t="n">
        <v>11.7</v>
      </c>
      <c r="H4" t="n">
        <v>1</v>
      </c>
      <c r="I4" t="n">
        <v>5</v>
      </c>
      <c r="J4" t="n">
        <v>3</v>
      </c>
      <c r="K4" t="n">
        <v>2</v>
      </c>
      <c r="L4" t="n">
        <v>0</v>
      </c>
      <c r="M4" t="n">
        <v>0</v>
      </c>
      <c r="N4" t="n">
        <v>0</v>
      </c>
      <c r="O4" t="n">
        <v>6</v>
      </c>
      <c r="P4" t="n">
        <v>2</v>
      </c>
      <c r="Q4" t="n">
        <v>12</v>
      </c>
      <c r="R4" s="2" t="inlineStr">
        <is>
          <t>Gräddticka
Ulltickeporing
Garnlav
Rosenticka
Ullticka
Mörk kådsvartspik
Bronshjon
Kamjordstjärna
Thomsons trägnagare
Vedticka
Åttafläckig praktbagge
Tjäder</t>
        </is>
      </c>
      <c r="S4">
        <f>HYPERLINK("https://klasma.github.io/Logging_1981/artfynd/A 13033-2026 artfynd.xlsx", "A 13033-2026")</f>
        <v/>
      </c>
      <c r="T4">
        <f>HYPERLINK("https://klasma.github.io/Logging_1981/kartor/A 13033-2026 karta.png", "A 13033-2026")</f>
        <v/>
      </c>
      <c r="U4">
        <f>HYPERLINK("https://klasma.github.io/Logging_1981/knärot/A 13033-2026 karta knärot.png", "A 13033-2026")</f>
        <v/>
      </c>
      <c r="V4">
        <f>HYPERLINK("https://klasma.github.io/Logging_1981/klagomål/A 13033-2026 FSC-klagomål.docx", "A 13033-2026")</f>
        <v/>
      </c>
      <c r="W4">
        <f>HYPERLINK("https://klasma.github.io/Logging_1981/klagomålsmail/A 13033-2026 FSC-klagomål mail.docx", "A 13033-2026")</f>
        <v/>
      </c>
      <c r="X4">
        <f>HYPERLINK("https://klasma.github.io/Logging_1981/tillsyn/A 13033-2026 tillsynsbegäran.docx", "A 13033-2026")</f>
        <v/>
      </c>
      <c r="Y4">
        <f>HYPERLINK("https://klasma.github.io/Logging_1981/tillsynsmail/A 13033-2026 tillsynsbegäran mail.docx", "A 13033-2026")</f>
        <v/>
      </c>
      <c r="Z4">
        <f>HYPERLINK("https://klasma.github.io/Logging_1981/fåglar/A 13033-2026 prioriterade fågelarter.docx", "A 13033-2026")</f>
        <v/>
      </c>
    </row>
    <row r="5" ht="15" customHeight="1">
      <c r="A5" t="inlineStr">
        <is>
          <t>A 22353-2024</t>
        </is>
      </c>
      <c r="B5" s="1" t="n">
        <v>45446</v>
      </c>
      <c r="C5" s="1" t="n">
        <v>46133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46133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46133</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46133</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7643-2026</t>
        </is>
      </c>
      <c r="B10" s="1" t="n">
        <v>46062.37700231482</v>
      </c>
      <c r="C10" s="1" t="n">
        <v>46133</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3566-2024</t>
        </is>
      </c>
      <c r="B11" s="1" t="n">
        <v>45320.63596064815</v>
      </c>
      <c r="C11" s="1" t="n">
        <v>46133</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46133</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46133</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46133</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46133</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46133</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46133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46133</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46133</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34065-2025</t>
        </is>
      </c>
      <c r="B20" s="1" t="n">
        <v>45845.42806712963</v>
      </c>
      <c r="C20" s="1" t="n">
        <v>46133</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46133</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3930-2026</t>
        </is>
      </c>
      <c r="B22" s="1" t="n">
        <v>46043</v>
      </c>
      <c r="C22" s="1" t="n">
        <v>46133</v>
      </c>
      <c r="D22" t="inlineStr">
        <is>
          <t>VÄSTMANLANDS LÄN</t>
        </is>
      </c>
      <c r="E22" t="inlineStr">
        <is>
          <t>SALA</t>
        </is>
      </c>
      <c r="G22" t="n">
        <v>17.4</v>
      </c>
      <c r="H22" t="n">
        <v>1</v>
      </c>
      <c r="I22" t="n">
        <v>0</v>
      </c>
      <c r="J22" t="n">
        <v>2</v>
      </c>
      <c r="K22" t="n">
        <v>1</v>
      </c>
      <c r="L22" t="n">
        <v>0</v>
      </c>
      <c r="M22" t="n">
        <v>0</v>
      </c>
      <c r="N22" t="n">
        <v>0</v>
      </c>
      <c r="O22" t="n">
        <v>3</v>
      </c>
      <c r="P22" t="n">
        <v>1</v>
      </c>
      <c r="Q22" t="n">
        <v>3</v>
      </c>
      <c r="R22" s="2" t="inlineStr">
        <is>
          <t>Knärot
Gränsticka
Ullticka</t>
        </is>
      </c>
      <c r="S22">
        <f>HYPERLINK("https://klasma.github.io/Logging_1981/artfynd/A 3930-2026 artfynd.xlsx", "A 3930-2026")</f>
        <v/>
      </c>
      <c r="T22">
        <f>HYPERLINK("https://klasma.github.io/Logging_1981/kartor/A 3930-2026 karta.png", "A 3930-2026")</f>
        <v/>
      </c>
      <c r="U22">
        <f>HYPERLINK("https://klasma.github.io/Logging_1981/knärot/A 3930-2026 karta knärot.png", "A 3930-2026")</f>
        <v/>
      </c>
      <c r="V22">
        <f>HYPERLINK("https://klasma.github.io/Logging_1981/klagomål/A 3930-2026 FSC-klagomål.docx", "A 3930-2026")</f>
        <v/>
      </c>
      <c r="W22">
        <f>HYPERLINK("https://klasma.github.io/Logging_1981/klagomålsmail/A 3930-2026 FSC-klagomål mail.docx", "A 3930-2026")</f>
        <v/>
      </c>
      <c r="X22">
        <f>HYPERLINK("https://klasma.github.io/Logging_1981/tillsyn/A 3930-2026 tillsynsbegäran.docx", "A 3930-2026")</f>
        <v/>
      </c>
      <c r="Y22">
        <f>HYPERLINK("https://klasma.github.io/Logging_1981/tillsynsmail/A 3930-2026 tillsynsbegäran mail.docx", "A 3930-2026")</f>
        <v/>
      </c>
    </row>
    <row r="23" ht="15" customHeight="1">
      <c r="A23" t="inlineStr">
        <is>
          <t>A 53019-2024</t>
        </is>
      </c>
      <c r="B23" s="1" t="n">
        <v>45610</v>
      </c>
      <c r="C23" s="1" t="n">
        <v>46133</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3567-2024</t>
        </is>
      </c>
      <c r="B24" s="1" t="n">
        <v>45320.63706018519</v>
      </c>
      <c r="C24" s="1" t="n">
        <v>46133</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46133</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46133</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46133</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46133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46133</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46133</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46133</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63584-2025</t>
        </is>
      </c>
      <c r="B32" s="1" t="n">
        <v>46013.77002314815</v>
      </c>
      <c r="C32" s="1" t="n">
        <v>46133</v>
      </c>
      <c r="D32" t="inlineStr">
        <is>
          <t>VÄSTMANLANDS LÄN</t>
        </is>
      </c>
      <c r="E32" t="inlineStr">
        <is>
          <t>SALA</t>
        </is>
      </c>
      <c r="G32" t="n">
        <v>7.3</v>
      </c>
      <c r="H32" t="n">
        <v>1</v>
      </c>
      <c r="I32" t="n">
        <v>0</v>
      </c>
      <c r="J32" t="n">
        <v>1</v>
      </c>
      <c r="K32" t="n">
        <v>1</v>
      </c>
      <c r="L32" t="n">
        <v>0</v>
      </c>
      <c r="M32" t="n">
        <v>0</v>
      </c>
      <c r="N32" t="n">
        <v>0</v>
      </c>
      <c r="O32" t="n">
        <v>2</v>
      </c>
      <c r="P32" t="n">
        <v>1</v>
      </c>
      <c r="Q32" t="n">
        <v>2</v>
      </c>
      <c r="R32" s="2" t="inlineStr">
        <is>
          <t>Knärot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1500-2022</t>
        </is>
      </c>
      <c r="B33" s="1" t="n">
        <v>44573.54357638889</v>
      </c>
      <c r="C33" s="1" t="n">
        <v>46133</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53048-2025</t>
        </is>
      </c>
      <c r="B34" s="1" t="n">
        <v>45958.36018518519</v>
      </c>
      <c r="C34" s="1" t="n">
        <v>46133</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15102-2025</t>
        </is>
      </c>
      <c r="B35" s="1" t="n">
        <v>45744.34585648148</v>
      </c>
      <c r="C35" s="1" t="n">
        <v>46133</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59826-2025</t>
        </is>
      </c>
      <c r="B36" s="1" t="n">
        <v>45992.65416666667</v>
      </c>
      <c r="C36" s="1" t="n">
        <v>46133</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14485-2026</t>
        </is>
      </c>
      <c r="B37" s="1" t="n">
        <v>46100.59055555556</v>
      </c>
      <c r="C37" s="1" t="n">
        <v>46133</v>
      </c>
      <c r="D37" t="inlineStr">
        <is>
          <t>VÄSTMANLANDS LÄN</t>
        </is>
      </c>
      <c r="E37" t="inlineStr">
        <is>
          <t>SALA</t>
        </is>
      </c>
      <c r="F37" t="inlineStr">
        <is>
          <t>Sveaskog</t>
        </is>
      </c>
      <c r="G37" t="n">
        <v>13.6</v>
      </c>
      <c r="H37" t="n">
        <v>1</v>
      </c>
      <c r="I37" t="n">
        <v>0</v>
      </c>
      <c r="J37" t="n">
        <v>2</v>
      </c>
      <c r="K37" t="n">
        <v>0</v>
      </c>
      <c r="L37" t="n">
        <v>0</v>
      </c>
      <c r="M37" t="n">
        <v>0</v>
      </c>
      <c r="N37" t="n">
        <v>0</v>
      </c>
      <c r="O37" t="n">
        <v>2</v>
      </c>
      <c r="P37" t="n">
        <v>0</v>
      </c>
      <c r="Q37" t="n">
        <v>2</v>
      </c>
      <c r="R37" s="2" t="inlineStr">
        <is>
          <t>Motaggsvamp
Talltita</t>
        </is>
      </c>
      <c r="S37">
        <f>HYPERLINK("https://klasma.github.io/Logging_1981/artfynd/A 14485-2026 artfynd.xlsx", "A 14485-2026")</f>
        <v/>
      </c>
      <c r="T37">
        <f>HYPERLINK("https://klasma.github.io/Logging_1981/kartor/A 14485-2026 karta.png", "A 14485-2026")</f>
        <v/>
      </c>
      <c r="V37">
        <f>HYPERLINK("https://klasma.github.io/Logging_1981/klagomål/A 14485-2026 FSC-klagomål.docx", "A 14485-2026")</f>
        <v/>
      </c>
      <c r="W37">
        <f>HYPERLINK("https://klasma.github.io/Logging_1981/klagomålsmail/A 14485-2026 FSC-klagomål mail.docx", "A 14485-2026")</f>
        <v/>
      </c>
      <c r="X37">
        <f>HYPERLINK("https://klasma.github.io/Logging_1981/tillsyn/A 14485-2026 tillsynsbegäran.docx", "A 14485-2026")</f>
        <v/>
      </c>
      <c r="Y37">
        <f>HYPERLINK("https://klasma.github.io/Logging_1981/tillsynsmail/A 14485-2026 tillsynsbegäran mail.docx", "A 14485-2026")</f>
        <v/>
      </c>
      <c r="Z37">
        <f>HYPERLINK("https://klasma.github.io/Logging_1981/fåglar/A 14485-2026 prioriterade fågelarter.docx", "A 14485-2026")</f>
        <v/>
      </c>
    </row>
    <row r="38" ht="15" customHeight="1">
      <c r="A38" t="inlineStr">
        <is>
          <t>A 11846-2024</t>
        </is>
      </c>
      <c r="B38" s="1" t="n">
        <v>45376.4047337963</v>
      </c>
      <c r="C38" s="1" t="n">
        <v>46133</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12444-2024</t>
        </is>
      </c>
      <c r="B39" s="1" t="n">
        <v>45379.46285879629</v>
      </c>
      <c r="C39" s="1" t="n">
        <v>46133</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44970-2021</t>
        </is>
      </c>
      <c r="B40" s="1" t="n">
        <v>44438.74399305556</v>
      </c>
      <c r="C40" s="1" t="n">
        <v>46133</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46133</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22950-2025</t>
        </is>
      </c>
      <c r="B42" s="1" t="n">
        <v>45790.50728009259</v>
      </c>
      <c r="C42" s="1" t="n">
        <v>46133</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37166-2024</t>
        </is>
      </c>
      <c r="B43" s="1" t="n">
        <v>45539</v>
      </c>
      <c r="C43" s="1" t="n">
        <v>46133</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46133</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32594-2025</t>
        </is>
      </c>
      <c r="B45" s="1" t="n">
        <v>45838</v>
      </c>
      <c r="C45" s="1" t="n">
        <v>46133</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22350-2024</t>
        </is>
      </c>
      <c r="B46" s="1" t="n">
        <v>45446</v>
      </c>
      <c r="C46" s="1" t="n">
        <v>46133</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14775-2023</t>
        </is>
      </c>
      <c r="B47" s="1" t="n">
        <v>45014</v>
      </c>
      <c r="C47" s="1" t="n">
        <v>46133</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12509-2023</t>
        </is>
      </c>
      <c r="B48" s="1" t="n">
        <v>44999.95988425926</v>
      </c>
      <c r="C48" s="1" t="n">
        <v>46133</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48705-2025</t>
        </is>
      </c>
      <c r="B49" s="1" t="n">
        <v>45936.62290509259</v>
      </c>
      <c r="C49" s="1" t="n">
        <v>46133</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46133</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38255-2025</t>
        </is>
      </c>
      <c r="B51" s="1" t="n">
        <v>45883.38020833334</v>
      </c>
      <c r="C51" s="1" t="n">
        <v>46133</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60852-2024</t>
        </is>
      </c>
      <c r="B52" s="1" t="n">
        <v>45644</v>
      </c>
      <c r="C52" s="1" t="n">
        <v>46133</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53052-2025</t>
        </is>
      </c>
      <c r="B53" s="1" t="n">
        <v>45958.36266203703</v>
      </c>
      <c r="C53" s="1" t="n">
        <v>46133</v>
      </c>
      <c r="D53" t="inlineStr">
        <is>
          <t>VÄSTMANLANDS LÄN</t>
        </is>
      </c>
      <c r="E53" t="inlineStr">
        <is>
          <t>SALA</t>
        </is>
      </c>
      <c r="F53" t="inlineStr">
        <is>
          <t>Sveaskog</t>
        </is>
      </c>
      <c r="G53" t="n">
        <v>1.1</v>
      </c>
      <c r="H53" t="n">
        <v>0</v>
      </c>
      <c r="I53" t="n">
        <v>0</v>
      </c>
      <c r="J53" t="n">
        <v>1</v>
      </c>
      <c r="K53" t="n">
        <v>0</v>
      </c>
      <c r="L53" t="n">
        <v>0</v>
      </c>
      <c r="M53" t="n">
        <v>0</v>
      </c>
      <c r="N53" t="n">
        <v>0</v>
      </c>
      <c r="O53" t="n">
        <v>1</v>
      </c>
      <c r="P53" t="n">
        <v>0</v>
      </c>
      <c r="Q53" t="n">
        <v>1</v>
      </c>
      <c r="R53" s="2" t="inlineStr">
        <is>
          <t>Motaggsvamp</t>
        </is>
      </c>
      <c r="S53">
        <f>HYPERLINK("https://klasma.github.io/Logging_1981/artfynd/A 53052-2025 artfynd.xlsx", "A 53052-2025")</f>
        <v/>
      </c>
      <c r="T53">
        <f>HYPERLINK("https://klasma.github.io/Logging_1981/kartor/A 53052-2025 karta.png", "A 53052-2025")</f>
        <v/>
      </c>
      <c r="V53">
        <f>HYPERLINK("https://klasma.github.io/Logging_1981/klagomål/A 53052-2025 FSC-klagomål.docx", "A 53052-2025")</f>
        <v/>
      </c>
      <c r="W53">
        <f>HYPERLINK("https://klasma.github.io/Logging_1981/klagomålsmail/A 53052-2025 FSC-klagomål mail.docx", "A 53052-2025")</f>
        <v/>
      </c>
      <c r="X53">
        <f>HYPERLINK("https://klasma.github.io/Logging_1981/tillsyn/A 53052-2025 tillsynsbegäran.docx", "A 53052-2025")</f>
        <v/>
      </c>
      <c r="Y53">
        <f>HYPERLINK("https://klasma.github.io/Logging_1981/tillsynsmail/A 53052-2025 tillsynsbegäran mail.docx", "A 53052-2025")</f>
        <v/>
      </c>
    </row>
    <row r="54" ht="15" customHeight="1">
      <c r="A54" t="inlineStr">
        <is>
          <t>A 19361-2025</t>
        </is>
      </c>
      <c r="B54" s="1" t="n">
        <v>45769.63357638889</v>
      </c>
      <c r="C54" s="1" t="n">
        <v>46133</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46133</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55995-2025</t>
        </is>
      </c>
      <c r="B56" s="1" t="n">
        <v>45973.56733796297</v>
      </c>
      <c r="C56" s="1" t="n">
        <v>46133</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43175-2023</t>
        </is>
      </c>
      <c r="B57" s="1" t="n">
        <v>45183</v>
      </c>
      <c r="C57" s="1" t="n">
        <v>46133</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55550-2023</t>
        </is>
      </c>
      <c r="B58" s="1" t="n">
        <v>45232</v>
      </c>
      <c r="C58" s="1" t="n">
        <v>46133</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14488-2026</t>
        </is>
      </c>
      <c r="B59" s="1" t="n">
        <v>46100.59216435185</v>
      </c>
      <c r="C59" s="1" t="n">
        <v>46133</v>
      </c>
      <c r="D59" t="inlineStr">
        <is>
          <t>VÄSTMANLANDS LÄN</t>
        </is>
      </c>
      <c r="E59" t="inlineStr">
        <is>
          <t>SALA</t>
        </is>
      </c>
      <c r="F59" t="inlineStr">
        <is>
          <t>Sveaskog</t>
        </is>
      </c>
      <c r="G59" t="n">
        <v>1.5</v>
      </c>
      <c r="H59" t="n">
        <v>1</v>
      </c>
      <c r="I59" t="n">
        <v>0</v>
      </c>
      <c r="J59" t="n">
        <v>0</v>
      </c>
      <c r="K59" t="n">
        <v>0</v>
      </c>
      <c r="L59" t="n">
        <v>0</v>
      </c>
      <c r="M59" t="n">
        <v>0</v>
      </c>
      <c r="N59" t="n">
        <v>0</v>
      </c>
      <c r="O59" t="n">
        <v>0</v>
      </c>
      <c r="P59" t="n">
        <v>0</v>
      </c>
      <c r="Q59" t="n">
        <v>1</v>
      </c>
      <c r="R59" s="2" t="inlineStr">
        <is>
          <t>Mattlummer</t>
        </is>
      </c>
      <c r="S59">
        <f>HYPERLINK("https://klasma.github.io/Logging_1981/artfynd/A 14488-2026 artfynd.xlsx", "A 14488-2026")</f>
        <v/>
      </c>
      <c r="T59">
        <f>HYPERLINK("https://klasma.github.io/Logging_1981/kartor/A 14488-2026 karta.png", "A 14488-2026")</f>
        <v/>
      </c>
      <c r="V59">
        <f>HYPERLINK("https://klasma.github.io/Logging_1981/klagomål/A 14488-2026 FSC-klagomål.docx", "A 14488-2026")</f>
        <v/>
      </c>
      <c r="W59">
        <f>HYPERLINK("https://klasma.github.io/Logging_1981/klagomålsmail/A 14488-2026 FSC-klagomål mail.docx", "A 14488-2026")</f>
        <v/>
      </c>
      <c r="X59">
        <f>HYPERLINK("https://klasma.github.io/Logging_1981/tillsyn/A 14488-2026 tillsynsbegäran.docx", "A 14488-2026")</f>
        <v/>
      </c>
      <c r="Y59">
        <f>HYPERLINK("https://klasma.github.io/Logging_1981/tillsynsmail/A 14488-2026 tillsynsbegäran mail.docx", "A 14488-2026")</f>
        <v/>
      </c>
    </row>
    <row r="60" ht="15" customHeight="1">
      <c r="A60" t="inlineStr">
        <is>
          <t>A 14487-2026</t>
        </is>
      </c>
      <c r="B60" s="1" t="n">
        <v>46100.59162037037</v>
      </c>
      <c r="C60" s="1" t="n">
        <v>46133</v>
      </c>
      <c r="D60" t="inlineStr">
        <is>
          <t>VÄSTMANLANDS LÄN</t>
        </is>
      </c>
      <c r="E60" t="inlineStr">
        <is>
          <t>SALA</t>
        </is>
      </c>
      <c r="F60" t="inlineStr">
        <is>
          <t>Sveaskog</t>
        </is>
      </c>
      <c r="G60" t="n">
        <v>6.7</v>
      </c>
      <c r="H60" t="n">
        <v>0</v>
      </c>
      <c r="I60" t="n">
        <v>0</v>
      </c>
      <c r="J60" t="n">
        <v>1</v>
      </c>
      <c r="K60" t="n">
        <v>0</v>
      </c>
      <c r="L60" t="n">
        <v>0</v>
      </c>
      <c r="M60" t="n">
        <v>0</v>
      </c>
      <c r="N60" t="n">
        <v>0</v>
      </c>
      <c r="O60" t="n">
        <v>1</v>
      </c>
      <c r="P60" t="n">
        <v>0</v>
      </c>
      <c r="Q60" t="n">
        <v>1</v>
      </c>
      <c r="R60" s="2" t="inlineStr">
        <is>
          <t>Motaggsvamp</t>
        </is>
      </c>
      <c r="S60">
        <f>HYPERLINK("https://klasma.github.io/Logging_1981/artfynd/A 14487-2026 artfynd.xlsx", "A 14487-2026")</f>
        <v/>
      </c>
      <c r="T60">
        <f>HYPERLINK("https://klasma.github.io/Logging_1981/kartor/A 14487-2026 karta.png", "A 14487-2026")</f>
        <v/>
      </c>
      <c r="V60">
        <f>HYPERLINK("https://klasma.github.io/Logging_1981/klagomål/A 14487-2026 FSC-klagomål.docx", "A 14487-2026")</f>
        <v/>
      </c>
      <c r="W60">
        <f>HYPERLINK("https://klasma.github.io/Logging_1981/klagomålsmail/A 14487-2026 FSC-klagomål mail.docx", "A 14487-2026")</f>
        <v/>
      </c>
      <c r="X60">
        <f>HYPERLINK("https://klasma.github.io/Logging_1981/tillsyn/A 14487-2026 tillsynsbegäran.docx", "A 14487-2026")</f>
        <v/>
      </c>
      <c r="Y60">
        <f>HYPERLINK("https://klasma.github.io/Logging_1981/tillsynsmail/A 14487-2026 tillsynsbegäran mail.docx", "A 14487-2026")</f>
        <v/>
      </c>
    </row>
    <row r="61" ht="15" customHeight="1">
      <c r="A61" t="inlineStr">
        <is>
          <t>A 7672-2026</t>
        </is>
      </c>
      <c r="B61" s="1" t="n">
        <v>46062.42077546296</v>
      </c>
      <c r="C61" s="1" t="n">
        <v>46133</v>
      </c>
      <c r="D61" t="inlineStr">
        <is>
          <t>VÄSTMANLANDS LÄN</t>
        </is>
      </c>
      <c r="E61" t="inlineStr">
        <is>
          <t>SALA</t>
        </is>
      </c>
      <c r="G61" t="n">
        <v>2.9</v>
      </c>
      <c r="H61" t="n">
        <v>1</v>
      </c>
      <c r="I61" t="n">
        <v>0</v>
      </c>
      <c r="J61" t="n">
        <v>0</v>
      </c>
      <c r="K61" t="n">
        <v>0</v>
      </c>
      <c r="L61" t="n">
        <v>0</v>
      </c>
      <c r="M61" t="n">
        <v>0</v>
      </c>
      <c r="N61" t="n">
        <v>0</v>
      </c>
      <c r="O61" t="n">
        <v>0</v>
      </c>
      <c r="P61" t="n">
        <v>0</v>
      </c>
      <c r="Q61" t="n">
        <v>1</v>
      </c>
      <c r="R61" s="2" t="inlineStr">
        <is>
          <t>Nattviol</t>
        </is>
      </c>
      <c r="S61">
        <f>HYPERLINK("https://klasma.github.io/Logging_1981/artfynd/A 7672-2026 artfynd.xlsx", "A 7672-2026")</f>
        <v/>
      </c>
      <c r="T61">
        <f>HYPERLINK("https://klasma.github.io/Logging_1981/kartor/A 7672-2026 karta.png", "A 7672-2026")</f>
        <v/>
      </c>
      <c r="V61">
        <f>HYPERLINK("https://klasma.github.io/Logging_1981/klagomål/A 7672-2026 FSC-klagomål.docx", "A 7672-2026")</f>
        <v/>
      </c>
      <c r="W61">
        <f>HYPERLINK("https://klasma.github.io/Logging_1981/klagomålsmail/A 7672-2026 FSC-klagomål mail.docx", "A 7672-2026")</f>
        <v/>
      </c>
      <c r="X61">
        <f>HYPERLINK("https://klasma.github.io/Logging_1981/tillsyn/A 7672-2026 tillsynsbegäran.docx", "A 7672-2026")</f>
        <v/>
      </c>
      <c r="Y61">
        <f>HYPERLINK("https://klasma.github.io/Logging_1981/tillsynsmail/A 7672-2026 tillsynsbegäran mail.docx", "A 7672-2026")</f>
        <v/>
      </c>
    </row>
    <row r="62" ht="15" customHeight="1">
      <c r="A62" t="inlineStr">
        <is>
          <t>A 41270-2024</t>
        </is>
      </c>
      <c r="B62" s="1" t="n">
        <v>45559</v>
      </c>
      <c r="C62" s="1" t="n">
        <v>46133</v>
      </c>
      <c r="D62" t="inlineStr">
        <is>
          <t>VÄSTMANLANDS LÄN</t>
        </is>
      </c>
      <c r="E62" t="inlineStr">
        <is>
          <t>SALA</t>
        </is>
      </c>
      <c r="G62" t="n">
        <v>15.2</v>
      </c>
      <c r="H62" t="n">
        <v>1</v>
      </c>
      <c r="I62" t="n">
        <v>0</v>
      </c>
      <c r="J62" t="n">
        <v>1</v>
      </c>
      <c r="K62" t="n">
        <v>0</v>
      </c>
      <c r="L62" t="n">
        <v>0</v>
      </c>
      <c r="M62" t="n">
        <v>0</v>
      </c>
      <c r="N62" t="n">
        <v>0</v>
      </c>
      <c r="O62" t="n">
        <v>1</v>
      </c>
      <c r="P62" t="n">
        <v>0</v>
      </c>
      <c r="Q62" t="n">
        <v>1</v>
      </c>
      <c r="R62" s="2" t="inlineStr">
        <is>
          <t>Havsörn</t>
        </is>
      </c>
      <c r="S62">
        <f>HYPERLINK("https://klasma.github.io/Logging_1981/artfynd/A 41270-2024 artfynd.xlsx", "A 41270-2024")</f>
        <v/>
      </c>
      <c r="T62">
        <f>HYPERLINK("https://klasma.github.io/Logging_1981/kartor/A 41270-2024 karta.png", "A 41270-2024")</f>
        <v/>
      </c>
      <c r="V62">
        <f>HYPERLINK("https://klasma.github.io/Logging_1981/klagomål/A 41270-2024 FSC-klagomål.docx", "A 41270-2024")</f>
        <v/>
      </c>
      <c r="W62">
        <f>HYPERLINK("https://klasma.github.io/Logging_1981/klagomålsmail/A 41270-2024 FSC-klagomål mail.docx", "A 41270-2024")</f>
        <v/>
      </c>
      <c r="X62">
        <f>HYPERLINK("https://klasma.github.io/Logging_1981/tillsyn/A 41270-2024 tillsynsbegäran.docx", "A 41270-2024")</f>
        <v/>
      </c>
      <c r="Y62">
        <f>HYPERLINK("https://klasma.github.io/Logging_1981/tillsynsmail/A 41270-2024 tillsynsbegäran mail.docx", "A 41270-2024")</f>
        <v/>
      </c>
      <c r="Z62">
        <f>HYPERLINK("https://klasma.github.io/Logging_1981/fåglar/A 41270-2024 prioriterade fågelarter.docx", "A 41270-2024")</f>
        <v/>
      </c>
    </row>
    <row r="63" ht="15" customHeight="1">
      <c r="A63" t="inlineStr">
        <is>
          <t>A 18896-2026</t>
        </is>
      </c>
      <c r="B63" s="1" t="n">
        <v>46129</v>
      </c>
      <c r="C63" s="1" t="n">
        <v>46133</v>
      </c>
      <c r="D63" t="inlineStr">
        <is>
          <t>VÄSTMANLANDS LÄN</t>
        </is>
      </c>
      <c r="E63" t="inlineStr">
        <is>
          <t>SALA</t>
        </is>
      </c>
      <c r="F63" t="inlineStr">
        <is>
          <t>Kommuner</t>
        </is>
      </c>
      <c r="G63" t="n">
        <v>1.1</v>
      </c>
      <c r="H63" t="n">
        <v>0</v>
      </c>
      <c r="I63" t="n">
        <v>0</v>
      </c>
      <c r="J63" t="n">
        <v>1</v>
      </c>
      <c r="K63" t="n">
        <v>0</v>
      </c>
      <c r="L63" t="n">
        <v>0</v>
      </c>
      <c r="M63" t="n">
        <v>0</v>
      </c>
      <c r="N63" t="n">
        <v>0</v>
      </c>
      <c r="O63" t="n">
        <v>1</v>
      </c>
      <c r="P63" t="n">
        <v>0</v>
      </c>
      <c r="Q63" t="n">
        <v>1</v>
      </c>
      <c r="R63" s="2" t="inlineStr">
        <is>
          <t>Ullticka</t>
        </is>
      </c>
      <c r="S63">
        <f>HYPERLINK("https://klasma.github.io/Logging_1981/artfynd/A 18896-2026 artfynd.xlsx", "A 18896-2026")</f>
        <v/>
      </c>
      <c r="T63">
        <f>HYPERLINK("https://klasma.github.io/Logging_1981/kartor/A 18896-2026 karta.png", "A 18896-2026")</f>
        <v/>
      </c>
      <c r="V63">
        <f>HYPERLINK("https://klasma.github.io/Logging_1981/klagomål/A 18896-2026 FSC-klagomål.docx", "A 18896-2026")</f>
        <v/>
      </c>
      <c r="W63">
        <f>HYPERLINK("https://klasma.github.io/Logging_1981/klagomålsmail/A 18896-2026 FSC-klagomål mail.docx", "A 18896-2026")</f>
        <v/>
      </c>
      <c r="X63">
        <f>HYPERLINK("https://klasma.github.io/Logging_1981/tillsyn/A 18896-2026 tillsynsbegäran.docx", "A 18896-2026")</f>
        <v/>
      </c>
      <c r="Y63">
        <f>HYPERLINK("https://klasma.github.io/Logging_1981/tillsynsmail/A 18896-2026 tillsynsbegäran mail.docx", "A 18896-2026")</f>
        <v/>
      </c>
    </row>
    <row r="64" ht="15" customHeight="1">
      <c r="A64" t="inlineStr">
        <is>
          <t>A 43068-2024</t>
        </is>
      </c>
      <c r="B64" s="1" t="n">
        <v>45567</v>
      </c>
      <c r="C64" s="1" t="n">
        <v>46133</v>
      </c>
      <c r="D64" t="inlineStr">
        <is>
          <t>VÄSTMANLANDS LÄN</t>
        </is>
      </c>
      <c r="E64" t="inlineStr">
        <is>
          <t>SALA</t>
        </is>
      </c>
      <c r="G64" t="n">
        <v>1.1</v>
      </c>
      <c r="H64" t="n">
        <v>0</v>
      </c>
      <c r="I64" t="n">
        <v>1</v>
      </c>
      <c r="J64" t="n">
        <v>0</v>
      </c>
      <c r="K64" t="n">
        <v>0</v>
      </c>
      <c r="L64" t="n">
        <v>0</v>
      </c>
      <c r="M64" t="n">
        <v>0</v>
      </c>
      <c r="N64" t="n">
        <v>0</v>
      </c>
      <c r="O64" t="n">
        <v>0</v>
      </c>
      <c r="P64" t="n">
        <v>0</v>
      </c>
      <c r="Q64" t="n">
        <v>1</v>
      </c>
      <c r="R64" s="2" t="inlineStr">
        <is>
          <t>Vedticka</t>
        </is>
      </c>
      <c r="S64">
        <f>HYPERLINK("https://klasma.github.io/Logging_1981/artfynd/A 43068-2024 artfynd.xlsx", "A 43068-2024")</f>
        <v/>
      </c>
      <c r="T64">
        <f>HYPERLINK("https://klasma.github.io/Logging_1981/kartor/A 43068-2024 karta.png", "A 43068-2024")</f>
        <v/>
      </c>
      <c r="V64">
        <f>HYPERLINK("https://klasma.github.io/Logging_1981/klagomål/A 43068-2024 FSC-klagomål.docx", "A 43068-2024")</f>
        <v/>
      </c>
      <c r="W64">
        <f>HYPERLINK("https://klasma.github.io/Logging_1981/klagomålsmail/A 43068-2024 FSC-klagomål mail.docx", "A 43068-2024")</f>
        <v/>
      </c>
      <c r="X64">
        <f>HYPERLINK("https://klasma.github.io/Logging_1981/tillsyn/A 43068-2024 tillsynsbegäran.docx", "A 43068-2024")</f>
        <v/>
      </c>
      <c r="Y64">
        <f>HYPERLINK("https://klasma.github.io/Logging_1981/tillsynsmail/A 43068-2024 tillsynsbegäran mail.docx", "A 43068-2024")</f>
        <v/>
      </c>
    </row>
    <row r="65" ht="15" customHeight="1">
      <c r="A65" t="inlineStr">
        <is>
          <t>A 7919-2022</t>
        </is>
      </c>
      <c r="B65" s="1" t="n">
        <v>44608</v>
      </c>
      <c r="C65" s="1" t="n">
        <v>46133</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29985-2022</t>
        </is>
      </c>
      <c r="B66" s="1" t="n">
        <v>44756</v>
      </c>
      <c r="C66" s="1" t="n">
        <v>46133</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7731-2023</t>
        </is>
      </c>
      <c r="B67" s="1" t="n">
        <v>44973</v>
      </c>
      <c r="C67" s="1" t="n">
        <v>46133</v>
      </c>
      <c r="D67" t="inlineStr">
        <is>
          <t>VÄSTMANLANDS LÄN</t>
        </is>
      </c>
      <c r="E67" t="inlineStr">
        <is>
          <t>SALA</t>
        </is>
      </c>
      <c r="F67" t="inlineStr">
        <is>
          <t>Bergvik skog öst AB</t>
        </is>
      </c>
      <c r="G67" t="n">
        <v>1.7</v>
      </c>
      <c r="H67" t="n">
        <v>1</v>
      </c>
      <c r="I67" t="n">
        <v>0</v>
      </c>
      <c r="J67" t="n">
        <v>1</v>
      </c>
      <c r="K67" t="n">
        <v>0</v>
      </c>
      <c r="L67" t="n">
        <v>0</v>
      </c>
      <c r="M67" t="n">
        <v>0</v>
      </c>
      <c r="N67" t="n">
        <v>0</v>
      </c>
      <c r="O67" t="n">
        <v>1</v>
      </c>
      <c r="P67" t="n">
        <v>0</v>
      </c>
      <c r="Q67" t="n">
        <v>1</v>
      </c>
      <c r="R67" s="2" t="inlineStr">
        <is>
          <t>Ävjepilört</t>
        </is>
      </c>
      <c r="S67">
        <f>HYPERLINK("https://klasma.github.io/Logging_1981/artfynd/A 7731-2023 artfynd.xlsx", "A 7731-2023")</f>
        <v/>
      </c>
      <c r="T67">
        <f>HYPERLINK("https://klasma.github.io/Logging_1981/kartor/A 7731-2023 karta.png", "A 7731-2023")</f>
        <v/>
      </c>
      <c r="V67">
        <f>HYPERLINK("https://klasma.github.io/Logging_1981/klagomål/A 7731-2023 FSC-klagomål.docx", "A 7731-2023")</f>
        <v/>
      </c>
      <c r="W67">
        <f>HYPERLINK("https://klasma.github.io/Logging_1981/klagomålsmail/A 7731-2023 FSC-klagomål mail.docx", "A 7731-2023")</f>
        <v/>
      </c>
      <c r="X67">
        <f>HYPERLINK("https://klasma.github.io/Logging_1981/tillsyn/A 7731-2023 tillsynsbegäran.docx", "A 7731-2023")</f>
        <v/>
      </c>
      <c r="Y67">
        <f>HYPERLINK("https://klasma.github.io/Logging_1981/tillsynsmail/A 7731-2023 tillsynsbegäran mail.docx", "A 7731-2023")</f>
        <v/>
      </c>
    </row>
    <row r="68" ht="15" customHeight="1">
      <c r="A68" t="inlineStr">
        <is>
          <t>A 56704-2022</t>
        </is>
      </c>
      <c r="B68" s="1" t="n">
        <v>44893.78075231481</v>
      </c>
      <c r="C68" s="1" t="n">
        <v>46133</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21738-2025</t>
        </is>
      </c>
      <c r="B69" s="1" t="n">
        <v>45783.59173611111</v>
      </c>
      <c r="C69" s="1" t="n">
        <v>46133</v>
      </c>
      <c r="D69" t="inlineStr">
        <is>
          <t>VÄSTMANLANDS LÄN</t>
        </is>
      </c>
      <c r="E69" t="inlineStr">
        <is>
          <t>SALA</t>
        </is>
      </c>
      <c r="G69" t="n">
        <v>2.1</v>
      </c>
      <c r="H69" t="n">
        <v>0</v>
      </c>
      <c r="I69" t="n">
        <v>0</v>
      </c>
      <c r="J69" t="n">
        <v>1</v>
      </c>
      <c r="K69" t="n">
        <v>0</v>
      </c>
      <c r="L69" t="n">
        <v>0</v>
      </c>
      <c r="M69" t="n">
        <v>0</v>
      </c>
      <c r="N69" t="n">
        <v>0</v>
      </c>
      <c r="O69" t="n">
        <v>1</v>
      </c>
      <c r="P69" t="n">
        <v>0</v>
      </c>
      <c r="Q69" t="n">
        <v>1</v>
      </c>
      <c r="R69" s="2" t="inlineStr">
        <is>
          <t>Motaggsvamp</t>
        </is>
      </c>
      <c r="S69">
        <f>HYPERLINK("https://klasma.github.io/Logging_1981/artfynd/A 21738-2025 artfynd.xlsx", "A 21738-2025")</f>
        <v/>
      </c>
      <c r="T69">
        <f>HYPERLINK("https://klasma.github.io/Logging_1981/kartor/A 21738-2025 karta.png", "A 21738-2025")</f>
        <v/>
      </c>
      <c r="V69">
        <f>HYPERLINK("https://klasma.github.io/Logging_1981/klagomål/A 21738-2025 FSC-klagomål.docx", "A 21738-2025")</f>
        <v/>
      </c>
      <c r="W69">
        <f>HYPERLINK("https://klasma.github.io/Logging_1981/klagomålsmail/A 21738-2025 FSC-klagomål mail.docx", "A 21738-2025")</f>
        <v/>
      </c>
      <c r="X69">
        <f>HYPERLINK("https://klasma.github.io/Logging_1981/tillsyn/A 21738-2025 tillsynsbegäran.docx", "A 21738-2025")</f>
        <v/>
      </c>
      <c r="Y69">
        <f>HYPERLINK("https://klasma.github.io/Logging_1981/tillsynsmail/A 21738-2025 tillsynsbegäran mail.docx", "A 21738-2025")</f>
        <v/>
      </c>
    </row>
    <row r="70" ht="15" customHeight="1">
      <c r="A70" t="inlineStr">
        <is>
          <t>A 66561-2021</t>
        </is>
      </c>
      <c r="B70" s="1" t="n">
        <v>44519.41648148148</v>
      </c>
      <c r="C70" s="1" t="n">
        <v>46133</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73124-2021</t>
        </is>
      </c>
      <c r="B71" s="1" t="n">
        <v>44550</v>
      </c>
      <c r="C71" s="1" t="n">
        <v>46133</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46133</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46133</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46133</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46133</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46133</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46133</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46133</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46133</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46133</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46133</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46133</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46133</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10083-2022</t>
        </is>
      </c>
      <c r="B84" s="1" t="n">
        <v>44621.66173611111</v>
      </c>
      <c r="C84" s="1" t="n">
        <v>46133</v>
      </c>
      <c r="D84" t="inlineStr">
        <is>
          <t>VÄSTMANLANDS LÄN</t>
        </is>
      </c>
      <c r="E84" t="inlineStr">
        <is>
          <t>SALA</t>
        </is>
      </c>
      <c r="G84" t="n">
        <v>7.8</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46133</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46133</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46133</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46133</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46133</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46133</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46133</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46133</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46133</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46133</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46133</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46133</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46133</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46133</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46133</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46133</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46133</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46133</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46133</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46133</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46133</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46133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46133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46133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46133</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46133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46133</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46133</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46133</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46133</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46133</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46133</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46133</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46133</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46133</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46133</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46133</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46133</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46133</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46133</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46133</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22811-2022</t>
        </is>
      </c>
      <c r="B127" s="1" t="n">
        <v>44715</v>
      </c>
      <c r="C127" s="1" t="n">
        <v>46133</v>
      </c>
      <c r="D127" t="inlineStr">
        <is>
          <t>VÄSTMANLANDS LÄN</t>
        </is>
      </c>
      <c r="E127" t="inlineStr">
        <is>
          <t>SALA</t>
        </is>
      </c>
      <c r="G127" t="n">
        <v>5</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46133</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46133</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46133</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46133</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46133</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46133</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46133</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46133</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46133</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46133</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46133</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46133</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46133</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46133</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46133</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46133</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46133</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46133</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46133</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46133</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46133</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46133</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46133</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46133</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46133</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46133</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30904-2021</t>
        </is>
      </c>
      <c r="B154" s="1" t="n">
        <v>44365.5983449074</v>
      </c>
      <c r="C154" s="1" t="n">
        <v>46133</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46133</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46133</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46133</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46133</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46133</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46133</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63290-2021</t>
        </is>
      </c>
      <c r="B161" s="1" t="n">
        <v>44505</v>
      </c>
      <c r="C161" s="1" t="n">
        <v>46133</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72405-2021</t>
        </is>
      </c>
      <c r="B162" s="1" t="n">
        <v>44545</v>
      </c>
      <c r="C162" s="1" t="n">
        <v>46133</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46133</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46133</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46133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46133</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46133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46133</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46133</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46133</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46133</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46133</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46133</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46133</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46133</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46133</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35462-2024</t>
        </is>
      </c>
      <c r="B177" s="1" t="n">
        <v>45531</v>
      </c>
      <c r="C177" s="1" t="n">
        <v>46133</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14024-2025</t>
        </is>
      </c>
      <c r="B178" s="1" t="n">
        <v>45740.34650462963</v>
      </c>
      <c r="C178" s="1" t="n">
        <v>46133</v>
      </c>
      <c r="D178" t="inlineStr">
        <is>
          <t>VÄSTMANLANDS LÄN</t>
        </is>
      </c>
      <c r="E178" t="inlineStr">
        <is>
          <t>SALA</t>
        </is>
      </c>
      <c r="G178" t="n">
        <v>1.1</v>
      </c>
      <c r="H178" t="n">
        <v>0</v>
      </c>
      <c r="I178" t="n">
        <v>0</v>
      </c>
      <c r="J178" t="n">
        <v>0</v>
      </c>
      <c r="K178" t="n">
        <v>0</v>
      </c>
      <c r="L178" t="n">
        <v>0</v>
      </c>
      <c r="M178" t="n">
        <v>0</v>
      </c>
      <c r="N178" t="n">
        <v>0</v>
      </c>
      <c r="O178" t="n">
        <v>0</v>
      </c>
      <c r="P178" t="n">
        <v>0</v>
      </c>
      <c r="Q178" t="n">
        <v>0</v>
      </c>
      <c r="R178" s="2" t="inlineStr"/>
    </row>
    <row r="179" ht="15" customHeight="1">
      <c r="A179" t="inlineStr">
        <is>
          <t>A 58107-2021</t>
        </is>
      </c>
      <c r="B179" s="1" t="n">
        <v>44487</v>
      </c>
      <c r="C179" s="1" t="n">
        <v>46133</v>
      </c>
      <c r="D179" t="inlineStr">
        <is>
          <t>VÄSTMANLANDS LÄN</t>
        </is>
      </c>
      <c r="E179" t="inlineStr">
        <is>
          <t>SALA</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45093.360625</v>
      </c>
      <c r="C180" s="1" t="n">
        <v>46133</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56543-2024</t>
        </is>
      </c>
      <c r="B181" s="1" t="n">
        <v>45625</v>
      </c>
      <c r="C181" s="1" t="n">
        <v>46133</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31950-2023</t>
        </is>
      </c>
      <c r="B182" s="1" t="n">
        <v>45107</v>
      </c>
      <c r="C182" s="1" t="n">
        <v>46133</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6097-2022</t>
        </is>
      </c>
      <c r="B183" s="1" t="n">
        <v>44599</v>
      </c>
      <c r="C183" s="1" t="n">
        <v>46133</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54910-2023</t>
        </is>
      </c>
      <c r="B184" s="1" t="n">
        <v>45229</v>
      </c>
      <c r="C184" s="1" t="n">
        <v>46133</v>
      </c>
      <c r="D184" t="inlineStr">
        <is>
          <t>VÄSTMANLANDS LÄN</t>
        </is>
      </c>
      <c r="E184" t="inlineStr">
        <is>
          <t>SALA</t>
        </is>
      </c>
      <c r="G184" t="n">
        <v>2.4</v>
      </c>
      <c r="H184" t="n">
        <v>0</v>
      </c>
      <c r="I184" t="n">
        <v>0</v>
      </c>
      <c r="J184" t="n">
        <v>0</v>
      </c>
      <c r="K184" t="n">
        <v>0</v>
      </c>
      <c r="L184" t="n">
        <v>0</v>
      </c>
      <c r="M184" t="n">
        <v>0</v>
      </c>
      <c r="N184" t="n">
        <v>0</v>
      </c>
      <c r="O184" t="n">
        <v>0</v>
      </c>
      <c r="P184" t="n">
        <v>0</v>
      </c>
      <c r="Q184" t="n">
        <v>0</v>
      </c>
      <c r="R184" s="2" t="inlineStr"/>
    </row>
    <row r="185" ht="15" customHeight="1">
      <c r="A185" t="inlineStr">
        <is>
          <t>A 16767-2024</t>
        </is>
      </c>
      <c r="B185" s="1" t="n">
        <v>45411.38171296296</v>
      </c>
      <c r="C185" s="1" t="n">
        <v>46133</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13022-2023</t>
        </is>
      </c>
      <c r="B186" s="1" t="n">
        <v>45002.33291666667</v>
      </c>
      <c r="C186" s="1" t="n">
        <v>46133</v>
      </c>
      <c r="D186" t="inlineStr">
        <is>
          <t>VÄSTMANLANDS LÄN</t>
        </is>
      </c>
      <c r="E186" t="inlineStr">
        <is>
          <t>SALA</t>
        </is>
      </c>
      <c r="G186" t="n">
        <v>1.5</v>
      </c>
      <c r="H186" t="n">
        <v>0</v>
      </c>
      <c r="I186" t="n">
        <v>0</v>
      </c>
      <c r="J186" t="n">
        <v>0</v>
      </c>
      <c r="K186" t="n">
        <v>0</v>
      </c>
      <c r="L186" t="n">
        <v>0</v>
      </c>
      <c r="M186" t="n">
        <v>0</v>
      </c>
      <c r="N186" t="n">
        <v>0</v>
      </c>
      <c r="O186" t="n">
        <v>0</v>
      </c>
      <c r="P186" t="n">
        <v>0</v>
      </c>
      <c r="Q186" t="n">
        <v>0</v>
      </c>
      <c r="R186" s="2" t="inlineStr"/>
    </row>
    <row r="187" ht="15" customHeight="1">
      <c r="A187" t="inlineStr">
        <is>
          <t>A 62449-2023</t>
        </is>
      </c>
      <c r="B187" s="1" t="n">
        <v>45268.49008101852</v>
      </c>
      <c r="C187" s="1" t="n">
        <v>46133</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12246-2023</t>
        </is>
      </c>
      <c r="B188" s="1" t="n">
        <v>44995</v>
      </c>
      <c r="C188" s="1" t="n">
        <v>46133</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4853-2023</t>
        </is>
      </c>
      <c r="B189" s="1" t="n">
        <v>44957.73234953704</v>
      </c>
      <c r="C189" s="1" t="n">
        <v>46133</v>
      </c>
      <c r="D189" t="inlineStr">
        <is>
          <t>VÄSTMANLANDS LÄN</t>
        </is>
      </c>
      <c r="E189" t="inlineStr">
        <is>
          <t>SALA</t>
        </is>
      </c>
      <c r="G189" t="n">
        <v>2.7</v>
      </c>
      <c r="H189" t="n">
        <v>0</v>
      </c>
      <c r="I189" t="n">
        <v>0</v>
      </c>
      <c r="J189" t="n">
        <v>0</v>
      </c>
      <c r="K189" t="n">
        <v>0</v>
      </c>
      <c r="L189" t="n">
        <v>0</v>
      </c>
      <c r="M189" t="n">
        <v>0</v>
      </c>
      <c r="N189" t="n">
        <v>0</v>
      </c>
      <c r="O189" t="n">
        <v>0</v>
      </c>
      <c r="P189" t="n">
        <v>0</v>
      </c>
      <c r="Q189" t="n">
        <v>0</v>
      </c>
      <c r="R189" s="2" t="inlineStr"/>
    </row>
    <row r="190" ht="15" customHeight="1">
      <c r="A190" t="inlineStr">
        <is>
          <t>A 42447-2022</t>
        </is>
      </c>
      <c r="B190" s="1" t="n">
        <v>44831</v>
      </c>
      <c r="C190" s="1" t="n">
        <v>46133</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33732-2023</t>
        </is>
      </c>
      <c r="B191" s="1" t="n">
        <v>45133.32409722222</v>
      </c>
      <c r="C191" s="1" t="n">
        <v>46133</v>
      </c>
      <c r="D191" t="inlineStr">
        <is>
          <t>VÄSTMANLANDS LÄN</t>
        </is>
      </c>
      <c r="E191" t="inlineStr">
        <is>
          <t>SALA</t>
        </is>
      </c>
      <c r="G191" t="n">
        <v>2</v>
      </c>
      <c r="H191" t="n">
        <v>0</v>
      </c>
      <c r="I191" t="n">
        <v>0</v>
      </c>
      <c r="J191" t="n">
        <v>0</v>
      </c>
      <c r="K191" t="n">
        <v>0</v>
      </c>
      <c r="L191" t="n">
        <v>0</v>
      </c>
      <c r="M191" t="n">
        <v>0</v>
      </c>
      <c r="N191" t="n">
        <v>0</v>
      </c>
      <c r="O191" t="n">
        <v>0</v>
      </c>
      <c r="P191" t="n">
        <v>0</v>
      </c>
      <c r="Q191" t="n">
        <v>0</v>
      </c>
      <c r="R191" s="2" t="inlineStr"/>
    </row>
    <row r="192" ht="15" customHeight="1">
      <c r="A192" t="inlineStr">
        <is>
          <t>A 17458-2024</t>
        </is>
      </c>
      <c r="B192" s="1" t="n">
        <v>45415</v>
      </c>
      <c r="C192" s="1" t="n">
        <v>46133</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59909-2024</t>
        </is>
      </c>
      <c r="B193" s="1" t="n">
        <v>45641</v>
      </c>
      <c r="C193" s="1" t="n">
        <v>46133</v>
      </c>
      <c r="D193" t="inlineStr">
        <is>
          <t>VÄSTMANLANDS LÄN</t>
        </is>
      </c>
      <c r="E193" t="inlineStr">
        <is>
          <t>SALA</t>
        </is>
      </c>
      <c r="G193" t="n">
        <v>2.1</v>
      </c>
      <c r="H193" t="n">
        <v>0</v>
      </c>
      <c r="I193" t="n">
        <v>0</v>
      </c>
      <c r="J193" t="n">
        <v>0</v>
      </c>
      <c r="K193" t="n">
        <v>0</v>
      </c>
      <c r="L193" t="n">
        <v>0</v>
      </c>
      <c r="M193" t="n">
        <v>0</v>
      </c>
      <c r="N193" t="n">
        <v>0</v>
      </c>
      <c r="O193" t="n">
        <v>0</v>
      </c>
      <c r="P193" t="n">
        <v>0</v>
      </c>
      <c r="Q193" t="n">
        <v>0</v>
      </c>
      <c r="R193" s="2" t="inlineStr"/>
    </row>
    <row r="194" ht="15" customHeight="1">
      <c r="A194" t="inlineStr">
        <is>
          <t>A 69232-2021</t>
        </is>
      </c>
      <c r="B194" s="1" t="n">
        <v>44531.39696759259</v>
      </c>
      <c r="C194" s="1" t="n">
        <v>46133</v>
      </c>
      <c r="D194" t="inlineStr">
        <is>
          <t>VÄSTMANLANDS LÄN</t>
        </is>
      </c>
      <c r="E194" t="inlineStr">
        <is>
          <t>SALA</t>
        </is>
      </c>
      <c r="G194" t="n">
        <v>2.3</v>
      </c>
      <c r="H194" t="n">
        <v>0</v>
      </c>
      <c r="I194" t="n">
        <v>0</v>
      </c>
      <c r="J194" t="n">
        <v>0</v>
      </c>
      <c r="K194" t="n">
        <v>0</v>
      </c>
      <c r="L194" t="n">
        <v>0</v>
      </c>
      <c r="M194" t="n">
        <v>0</v>
      </c>
      <c r="N194" t="n">
        <v>0</v>
      </c>
      <c r="O194" t="n">
        <v>0</v>
      </c>
      <c r="P194" t="n">
        <v>0</v>
      </c>
      <c r="Q194" t="n">
        <v>0</v>
      </c>
      <c r="R194" s="2" t="inlineStr"/>
    </row>
    <row r="195" ht="15" customHeight="1">
      <c r="A195" t="inlineStr">
        <is>
          <t>A 41292-2021</t>
        </is>
      </c>
      <c r="B195" s="1" t="n">
        <v>44424</v>
      </c>
      <c r="C195" s="1" t="n">
        <v>46133</v>
      </c>
      <c r="D195" t="inlineStr">
        <is>
          <t>VÄSTMANLANDS LÄN</t>
        </is>
      </c>
      <c r="E195" t="inlineStr">
        <is>
          <t>SALA</t>
        </is>
      </c>
      <c r="G195" t="n">
        <v>0.3</v>
      </c>
      <c r="H195" t="n">
        <v>0</v>
      </c>
      <c r="I195" t="n">
        <v>0</v>
      </c>
      <c r="J195" t="n">
        <v>0</v>
      </c>
      <c r="K195" t="n">
        <v>0</v>
      </c>
      <c r="L195" t="n">
        <v>0</v>
      </c>
      <c r="M195" t="n">
        <v>0</v>
      </c>
      <c r="N195" t="n">
        <v>0</v>
      </c>
      <c r="O195" t="n">
        <v>0</v>
      </c>
      <c r="P195" t="n">
        <v>0</v>
      </c>
      <c r="Q195" t="n">
        <v>0</v>
      </c>
      <c r="R195" s="2" t="inlineStr"/>
    </row>
    <row r="196" ht="15" customHeight="1">
      <c r="A196" t="inlineStr">
        <is>
          <t>A 51464-2024</t>
        </is>
      </c>
      <c r="B196" s="1" t="n">
        <v>45604.49768518518</v>
      </c>
      <c r="C196" s="1" t="n">
        <v>46133</v>
      </c>
      <c r="D196" t="inlineStr">
        <is>
          <t>VÄSTMANLANDS LÄN</t>
        </is>
      </c>
      <c r="E196" t="inlineStr">
        <is>
          <t>SALA</t>
        </is>
      </c>
      <c r="G196" t="n">
        <v>3.9</v>
      </c>
      <c r="H196" t="n">
        <v>0</v>
      </c>
      <c r="I196" t="n">
        <v>0</v>
      </c>
      <c r="J196" t="n">
        <v>0</v>
      </c>
      <c r="K196" t="n">
        <v>0</v>
      </c>
      <c r="L196" t="n">
        <v>0</v>
      </c>
      <c r="M196" t="n">
        <v>0</v>
      </c>
      <c r="N196" t="n">
        <v>0</v>
      </c>
      <c r="O196" t="n">
        <v>0</v>
      </c>
      <c r="P196" t="n">
        <v>0</v>
      </c>
      <c r="Q196" t="n">
        <v>0</v>
      </c>
      <c r="R196" s="2" t="inlineStr"/>
    </row>
    <row r="197" ht="15" customHeight="1">
      <c r="A197" t="inlineStr">
        <is>
          <t>A 19398-2025</t>
        </is>
      </c>
      <c r="B197" s="1" t="n">
        <v>45769</v>
      </c>
      <c r="C197" s="1" t="n">
        <v>46133</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4797-2023</t>
        </is>
      </c>
      <c r="B198" s="1" t="n">
        <v>44957</v>
      </c>
      <c r="C198" s="1" t="n">
        <v>46133</v>
      </c>
      <c r="D198" t="inlineStr">
        <is>
          <t>VÄSTMANLANDS LÄN</t>
        </is>
      </c>
      <c r="E198" t="inlineStr">
        <is>
          <t>SALA</t>
        </is>
      </c>
      <c r="G198" t="n">
        <v>5.7</v>
      </c>
      <c r="H198" t="n">
        <v>0</v>
      </c>
      <c r="I198" t="n">
        <v>0</v>
      </c>
      <c r="J198" t="n">
        <v>0</v>
      </c>
      <c r="K198" t="n">
        <v>0</v>
      </c>
      <c r="L198" t="n">
        <v>0</v>
      </c>
      <c r="M198" t="n">
        <v>0</v>
      </c>
      <c r="N198" t="n">
        <v>0</v>
      </c>
      <c r="O198" t="n">
        <v>0</v>
      </c>
      <c r="P198" t="n">
        <v>0</v>
      </c>
      <c r="Q198" t="n">
        <v>0</v>
      </c>
      <c r="R198" s="2" t="inlineStr"/>
    </row>
    <row r="199" ht="15" customHeight="1">
      <c r="A199" t="inlineStr">
        <is>
          <t>A 54603-2024</t>
        </is>
      </c>
      <c r="B199" s="1" t="n">
        <v>45617.68224537037</v>
      </c>
      <c r="C199" s="1" t="n">
        <v>46133</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1638-2023</t>
        </is>
      </c>
      <c r="B200" s="1" t="n">
        <v>44937</v>
      </c>
      <c r="C200" s="1" t="n">
        <v>46133</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15972-2024</t>
        </is>
      </c>
      <c r="B201" s="1" t="n">
        <v>45405.56498842593</v>
      </c>
      <c r="C201" s="1" t="n">
        <v>46133</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61517-2024</t>
        </is>
      </c>
      <c r="B202" s="1" t="n">
        <v>45645</v>
      </c>
      <c r="C202" s="1" t="n">
        <v>46133</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22616-2025</t>
        </is>
      </c>
      <c r="B203" s="1" t="n">
        <v>45789.42752314815</v>
      </c>
      <c r="C203" s="1" t="n">
        <v>46133</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22353-2025</t>
        </is>
      </c>
      <c r="B204" s="1" t="n">
        <v>45786</v>
      </c>
      <c r="C204" s="1" t="n">
        <v>46133</v>
      </c>
      <c r="D204" t="inlineStr">
        <is>
          <t>VÄSTMANLANDS LÄN</t>
        </is>
      </c>
      <c r="E204" t="inlineStr">
        <is>
          <t>SALA</t>
        </is>
      </c>
      <c r="G204" t="n">
        <v>2.5</v>
      </c>
      <c r="H204" t="n">
        <v>0</v>
      </c>
      <c r="I204" t="n">
        <v>0</v>
      </c>
      <c r="J204" t="n">
        <v>0</v>
      </c>
      <c r="K204" t="n">
        <v>0</v>
      </c>
      <c r="L204" t="n">
        <v>0</v>
      </c>
      <c r="M204" t="n">
        <v>0</v>
      </c>
      <c r="N204" t="n">
        <v>0</v>
      </c>
      <c r="O204" t="n">
        <v>0</v>
      </c>
      <c r="P204" t="n">
        <v>0</v>
      </c>
      <c r="Q204" t="n">
        <v>0</v>
      </c>
      <c r="R204" s="2" t="inlineStr"/>
    </row>
    <row r="205" ht="15" customHeight="1">
      <c r="A205" t="inlineStr">
        <is>
          <t>A 37958-2024</t>
        </is>
      </c>
      <c r="B205" s="1" t="n">
        <v>45544</v>
      </c>
      <c r="C205" s="1" t="n">
        <v>46133</v>
      </c>
      <c r="D205" t="inlineStr">
        <is>
          <t>VÄSTMANLANDS LÄN</t>
        </is>
      </c>
      <c r="E205" t="inlineStr">
        <is>
          <t>SALA</t>
        </is>
      </c>
      <c r="G205" t="n">
        <v>5.6</v>
      </c>
      <c r="H205" t="n">
        <v>0</v>
      </c>
      <c r="I205" t="n">
        <v>0</v>
      </c>
      <c r="J205" t="n">
        <v>0</v>
      </c>
      <c r="K205" t="n">
        <v>0</v>
      </c>
      <c r="L205" t="n">
        <v>0</v>
      </c>
      <c r="M205" t="n">
        <v>0</v>
      </c>
      <c r="N205" t="n">
        <v>0</v>
      </c>
      <c r="O205" t="n">
        <v>0</v>
      </c>
      <c r="P205" t="n">
        <v>0</v>
      </c>
      <c r="Q205" t="n">
        <v>0</v>
      </c>
      <c r="R205" s="2" t="inlineStr"/>
    </row>
    <row r="206" ht="15" customHeight="1">
      <c r="A206" t="inlineStr">
        <is>
          <t>A 22383-2025</t>
        </is>
      </c>
      <c r="B206" s="1" t="n">
        <v>45786</v>
      </c>
      <c r="C206" s="1" t="n">
        <v>46133</v>
      </c>
      <c r="D206" t="inlineStr">
        <is>
          <t>VÄSTMANLANDS LÄN</t>
        </is>
      </c>
      <c r="E206" t="inlineStr">
        <is>
          <t>SALA</t>
        </is>
      </c>
      <c r="G206" t="n">
        <v>2.2</v>
      </c>
      <c r="H206" t="n">
        <v>0</v>
      </c>
      <c r="I206" t="n">
        <v>0</v>
      </c>
      <c r="J206" t="n">
        <v>0</v>
      </c>
      <c r="K206" t="n">
        <v>0</v>
      </c>
      <c r="L206" t="n">
        <v>0</v>
      </c>
      <c r="M206" t="n">
        <v>0</v>
      </c>
      <c r="N206" t="n">
        <v>0</v>
      </c>
      <c r="O206" t="n">
        <v>0</v>
      </c>
      <c r="P206" t="n">
        <v>0</v>
      </c>
      <c r="Q206" t="n">
        <v>0</v>
      </c>
      <c r="R206" s="2" t="inlineStr"/>
    </row>
    <row r="207" ht="15" customHeight="1">
      <c r="A207" t="inlineStr">
        <is>
          <t>A 61522-2025</t>
        </is>
      </c>
      <c r="B207" s="1" t="n">
        <v>46001.68684027778</v>
      </c>
      <c r="C207" s="1" t="n">
        <v>46133</v>
      </c>
      <c r="D207" t="inlineStr">
        <is>
          <t>VÄSTMANLANDS LÄN</t>
        </is>
      </c>
      <c r="E207" t="inlineStr">
        <is>
          <t>SALA</t>
        </is>
      </c>
      <c r="G207" t="n">
        <v>5.7</v>
      </c>
      <c r="H207" t="n">
        <v>0</v>
      </c>
      <c r="I207" t="n">
        <v>0</v>
      </c>
      <c r="J207" t="n">
        <v>0</v>
      </c>
      <c r="K207" t="n">
        <v>0</v>
      </c>
      <c r="L207" t="n">
        <v>0</v>
      </c>
      <c r="M207" t="n">
        <v>0</v>
      </c>
      <c r="N207" t="n">
        <v>0</v>
      </c>
      <c r="O207" t="n">
        <v>0</v>
      </c>
      <c r="P207" t="n">
        <v>0</v>
      </c>
      <c r="Q207" t="n">
        <v>0</v>
      </c>
      <c r="R207" s="2" t="inlineStr"/>
    </row>
    <row r="208" ht="15" customHeight="1">
      <c r="A208" t="inlineStr">
        <is>
          <t>A 22624-2025</t>
        </is>
      </c>
      <c r="B208" s="1" t="n">
        <v>45789.43327546296</v>
      </c>
      <c r="C208" s="1" t="n">
        <v>46133</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1555-2024</t>
        </is>
      </c>
      <c r="B209" s="1" t="n">
        <v>45306</v>
      </c>
      <c r="C209" s="1" t="n">
        <v>46133</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22370-2025</t>
        </is>
      </c>
      <c r="B210" s="1" t="n">
        <v>45786</v>
      </c>
      <c r="C210" s="1" t="n">
        <v>46133</v>
      </c>
      <c r="D210" t="inlineStr">
        <is>
          <t>VÄSTMANLANDS LÄN</t>
        </is>
      </c>
      <c r="E210" t="inlineStr">
        <is>
          <t>SALA</t>
        </is>
      </c>
      <c r="G210" t="n">
        <v>3.2</v>
      </c>
      <c r="H210" t="n">
        <v>0</v>
      </c>
      <c r="I210" t="n">
        <v>0</v>
      </c>
      <c r="J210" t="n">
        <v>0</v>
      </c>
      <c r="K210" t="n">
        <v>0</v>
      </c>
      <c r="L210" t="n">
        <v>0</v>
      </c>
      <c r="M210" t="n">
        <v>0</v>
      </c>
      <c r="N210" t="n">
        <v>0</v>
      </c>
      <c r="O210" t="n">
        <v>0</v>
      </c>
      <c r="P210" t="n">
        <v>0</v>
      </c>
      <c r="Q210" t="n">
        <v>0</v>
      </c>
      <c r="R210" s="2" t="inlineStr"/>
    </row>
    <row r="211" ht="15" customHeight="1">
      <c r="A211" t="inlineStr">
        <is>
          <t>A 13130-2025</t>
        </is>
      </c>
      <c r="B211" s="1" t="n">
        <v>45734</v>
      </c>
      <c r="C211" s="1" t="n">
        <v>46133</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38574-2025</t>
        </is>
      </c>
      <c r="B212" s="1" t="n">
        <v>45884.46390046296</v>
      </c>
      <c r="C212" s="1" t="n">
        <v>46133</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15756-2025</t>
        </is>
      </c>
      <c r="B213" s="1" t="n">
        <v>45748.56810185185</v>
      </c>
      <c r="C213" s="1" t="n">
        <v>46133</v>
      </c>
      <c r="D213" t="inlineStr">
        <is>
          <t>VÄSTMANLANDS LÄN</t>
        </is>
      </c>
      <c r="E213" t="inlineStr">
        <is>
          <t>SALA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31000-2022</t>
        </is>
      </c>
      <c r="B214" s="1" t="n">
        <v>44768</v>
      </c>
      <c r="C214" s="1" t="n">
        <v>46133</v>
      </c>
      <c r="D214" t="inlineStr">
        <is>
          <t>VÄSTMANLANDS LÄN</t>
        </is>
      </c>
      <c r="E214" t="inlineStr">
        <is>
          <t>SALA</t>
        </is>
      </c>
      <c r="G214" t="n">
        <v>5.7</v>
      </c>
      <c r="H214" t="n">
        <v>0</v>
      </c>
      <c r="I214" t="n">
        <v>0</v>
      </c>
      <c r="J214" t="n">
        <v>0</v>
      </c>
      <c r="K214" t="n">
        <v>0</v>
      </c>
      <c r="L214" t="n">
        <v>0</v>
      </c>
      <c r="M214" t="n">
        <v>0</v>
      </c>
      <c r="N214" t="n">
        <v>0</v>
      </c>
      <c r="O214" t="n">
        <v>0</v>
      </c>
      <c r="P214" t="n">
        <v>0</v>
      </c>
      <c r="Q214" t="n">
        <v>0</v>
      </c>
      <c r="R214" s="2" t="inlineStr"/>
    </row>
    <row r="215" ht="15" customHeight="1">
      <c r="A215" t="inlineStr">
        <is>
          <t>A 37183-2024</t>
        </is>
      </c>
      <c r="B215" s="1" t="n">
        <v>45539</v>
      </c>
      <c r="C215" s="1" t="n">
        <v>46133</v>
      </c>
      <c r="D215" t="inlineStr">
        <is>
          <t>VÄSTMANLANDS LÄN</t>
        </is>
      </c>
      <c r="E215" t="inlineStr">
        <is>
          <t>SALA</t>
        </is>
      </c>
      <c r="G215" t="n">
        <v>1.2</v>
      </c>
      <c r="H215" t="n">
        <v>0</v>
      </c>
      <c r="I215" t="n">
        <v>0</v>
      </c>
      <c r="J215" t="n">
        <v>0</v>
      </c>
      <c r="K215" t="n">
        <v>0</v>
      </c>
      <c r="L215" t="n">
        <v>0</v>
      </c>
      <c r="M215" t="n">
        <v>0</v>
      </c>
      <c r="N215" t="n">
        <v>0</v>
      </c>
      <c r="O215" t="n">
        <v>0</v>
      </c>
      <c r="P215" t="n">
        <v>0</v>
      </c>
      <c r="Q215" t="n">
        <v>0</v>
      </c>
      <c r="R215" s="2" t="inlineStr"/>
    </row>
    <row r="216" ht="15" customHeight="1">
      <c r="A216" t="inlineStr">
        <is>
          <t>A 23804-2025</t>
        </is>
      </c>
      <c r="B216" s="1" t="n">
        <v>45793.55995370371</v>
      </c>
      <c r="C216" s="1" t="n">
        <v>46133</v>
      </c>
      <c r="D216" t="inlineStr">
        <is>
          <t>VÄSTMANLANDS LÄN</t>
        </is>
      </c>
      <c r="E216" t="inlineStr">
        <is>
          <t>SALA</t>
        </is>
      </c>
      <c r="G216" t="n">
        <v>1.9</v>
      </c>
      <c r="H216" t="n">
        <v>0</v>
      </c>
      <c r="I216" t="n">
        <v>0</v>
      </c>
      <c r="J216" t="n">
        <v>0</v>
      </c>
      <c r="K216" t="n">
        <v>0</v>
      </c>
      <c r="L216" t="n">
        <v>0</v>
      </c>
      <c r="M216" t="n">
        <v>0</v>
      </c>
      <c r="N216" t="n">
        <v>0</v>
      </c>
      <c r="O216" t="n">
        <v>0</v>
      </c>
      <c r="P216" t="n">
        <v>0</v>
      </c>
      <c r="Q216" t="n">
        <v>0</v>
      </c>
      <c r="R216" s="2" t="inlineStr"/>
    </row>
    <row r="217" ht="15" customHeight="1">
      <c r="A217" t="inlineStr">
        <is>
          <t>A 22126-2025</t>
        </is>
      </c>
      <c r="B217" s="1" t="n">
        <v>45785</v>
      </c>
      <c r="C217" s="1" t="n">
        <v>46133</v>
      </c>
      <c r="D217" t="inlineStr">
        <is>
          <t>VÄSTMANLANDS LÄN</t>
        </is>
      </c>
      <c r="E217" t="inlineStr">
        <is>
          <t>SALA</t>
        </is>
      </c>
      <c r="G217" t="n">
        <v>10.6</v>
      </c>
      <c r="H217" t="n">
        <v>0</v>
      </c>
      <c r="I217" t="n">
        <v>0</v>
      </c>
      <c r="J217" t="n">
        <v>0</v>
      </c>
      <c r="K217" t="n">
        <v>0</v>
      </c>
      <c r="L217" t="n">
        <v>0</v>
      </c>
      <c r="M217" t="n">
        <v>0</v>
      </c>
      <c r="N217" t="n">
        <v>0</v>
      </c>
      <c r="O217" t="n">
        <v>0</v>
      </c>
      <c r="P217" t="n">
        <v>0</v>
      </c>
      <c r="Q217" t="n">
        <v>0</v>
      </c>
      <c r="R217" s="2" t="inlineStr"/>
    </row>
    <row r="218" ht="15" customHeight="1">
      <c r="A218" t="inlineStr">
        <is>
          <t>A 19297-2025</t>
        </is>
      </c>
      <c r="B218" s="1" t="n">
        <v>45769.56261574074</v>
      </c>
      <c r="C218" s="1" t="n">
        <v>46133</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23810-2025</t>
        </is>
      </c>
      <c r="B219" s="1" t="n">
        <v>45793.56989583333</v>
      </c>
      <c r="C219" s="1" t="n">
        <v>46133</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27229-2022</t>
        </is>
      </c>
      <c r="B220" s="1" t="n">
        <v>44741</v>
      </c>
      <c r="C220" s="1" t="n">
        <v>46133</v>
      </c>
      <c r="D220" t="inlineStr">
        <is>
          <t>VÄSTMANLANDS LÄN</t>
        </is>
      </c>
      <c r="E220" t="inlineStr">
        <is>
          <t>SALA</t>
        </is>
      </c>
      <c r="F220" t="inlineStr">
        <is>
          <t>Kommuner</t>
        </is>
      </c>
      <c r="G220" t="n">
        <v>1.4</v>
      </c>
      <c r="H220" t="n">
        <v>0</v>
      </c>
      <c r="I220" t="n">
        <v>0</v>
      </c>
      <c r="J220" t="n">
        <v>0</v>
      </c>
      <c r="K220" t="n">
        <v>0</v>
      </c>
      <c r="L220" t="n">
        <v>0</v>
      </c>
      <c r="M220" t="n">
        <v>0</v>
      </c>
      <c r="N220" t="n">
        <v>0</v>
      </c>
      <c r="O220" t="n">
        <v>0</v>
      </c>
      <c r="P220" t="n">
        <v>0</v>
      </c>
      <c r="Q220" t="n">
        <v>0</v>
      </c>
      <c r="R220" s="2" t="inlineStr"/>
    </row>
    <row r="221" ht="15" customHeight="1">
      <c r="A221" t="inlineStr">
        <is>
          <t>A 31864-2025</t>
        </is>
      </c>
      <c r="B221" s="1" t="n">
        <v>45834.63819444444</v>
      </c>
      <c r="C221" s="1" t="n">
        <v>46133</v>
      </c>
      <c r="D221" t="inlineStr">
        <is>
          <t>VÄSTMANLANDS LÄN</t>
        </is>
      </c>
      <c r="E221" t="inlineStr">
        <is>
          <t>SALA</t>
        </is>
      </c>
      <c r="G221" t="n">
        <v>6.3</v>
      </c>
      <c r="H221" t="n">
        <v>0</v>
      </c>
      <c r="I221" t="n">
        <v>0</v>
      </c>
      <c r="J221" t="n">
        <v>0</v>
      </c>
      <c r="K221" t="n">
        <v>0</v>
      </c>
      <c r="L221" t="n">
        <v>0</v>
      </c>
      <c r="M221" t="n">
        <v>0</v>
      </c>
      <c r="N221" t="n">
        <v>0</v>
      </c>
      <c r="O221" t="n">
        <v>0</v>
      </c>
      <c r="P221" t="n">
        <v>0</v>
      </c>
      <c r="Q221" t="n">
        <v>0</v>
      </c>
      <c r="R221" s="2" t="inlineStr"/>
    </row>
    <row r="222" ht="15" customHeight="1">
      <c r="A222" t="inlineStr">
        <is>
          <t>A 24169-2025</t>
        </is>
      </c>
      <c r="B222" s="1" t="n">
        <v>45796</v>
      </c>
      <c r="C222" s="1" t="n">
        <v>46133</v>
      </c>
      <c r="D222" t="inlineStr">
        <is>
          <t>VÄSTMANLANDS LÄN</t>
        </is>
      </c>
      <c r="E222" t="inlineStr">
        <is>
          <t>SALA</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1793-2023</t>
        </is>
      </c>
      <c r="B223" s="1" t="n">
        <v>44937</v>
      </c>
      <c r="C223" s="1" t="n">
        <v>46133</v>
      </c>
      <c r="D223" t="inlineStr">
        <is>
          <t>VÄSTMANLANDS LÄN</t>
        </is>
      </c>
      <c r="E223" t="inlineStr">
        <is>
          <t>SALA</t>
        </is>
      </c>
      <c r="G223" t="n">
        <v>2.6</v>
      </c>
      <c r="H223" t="n">
        <v>0</v>
      </c>
      <c r="I223" t="n">
        <v>0</v>
      </c>
      <c r="J223" t="n">
        <v>0</v>
      </c>
      <c r="K223" t="n">
        <v>0</v>
      </c>
      <c r="L223" t="n">
        <v>0</v>
      </c>
      <c r="M223" t="n">
        <v>0</v>
      </c>
      <c r="N223" t="n">
        <v>0</v>
      </c>
      <c r="O223" t="n">
        <v>0</v>
      </c>
      <c r="P223" t="n">
        <v>0</v>
      </c>
      <c r="Q223" t="n">
        <v>0</v>
      </c>
      <c r="R223" s="2" t="inlineStr"/>
    </row>
    <row r="224" ht="15" customHeight="1">
      <c r="A224" t="inlineStr">
        <is>
          <t>A 11210-2025</t>
        </is>
      </c>
      <c r="B224" s="1" t="n">
        <v>45726</v>
      </c>
      <c r="C224" s="1" t="n">
        <v>46133</v>
      </c>
      <c r="D224" t="inlineStr">
        <is>
          <t>VÄSTMANLANDS LÄN</t>
        </is>
      </c>
      <c r="E224" t="inlineStr">
        <is>
          <t>SALA</t>
        </is>
      </c>
      <c r="G224" t="n">
        <v>4.1</v>
      </c>
      <c r="H224" t="n">
        <v>0</v>
      </c>
      <c r="I224" t="n">
        <v>0</v>
      </c>
      <c r="J224" t="n">
        <v>0</v>
      </c>
      <c r="K224" t="n">
        <v>0</v>
      </c>
      <c r="L224" t="n">
        <v>0</v>
      </c>
      <c r="M224" t="n">
        <v>0</v>
      </c>
      <c r="N224" t="n">
        <v>0</v>
      </c>
      <c r="O224" t="n">
        <v>0</v>
      </c>
      <c r="P224" t="n">
        <v>0</v>
      </c>
      <c r="Q224" t="n">
        <v>0</v>
      </c>
      <c r="R224" s="2" t="inlineStr"/>
    </row>
    <row r="225" ht="15" customHeight="1">
      <c r="A225" t="inlineStr">
        <is>
          <t>A 24944-2023</t>
        </is>
      </c>
      <c r="B225" s="1" t="n">
        <v>45085</v>
      </c>
      <c r="C225" s="1" t="n">
        <v>46133</v>
      </c>
      <c r="D225" t="inlineStr">
        <is>
          <t>VÄSTMANLANDS LÄN</t>
        </is>
      </c>
      <c r="E225" t="inlineStr">
        <is>
          <t>SALA</t>
        </is>
      </c>
      <c r="G225" t="n">
        <v>3.8</v>
      </c>
      <c r="H225" t="n">
        <v>0</v>
      </c>
      <c r="I225" t="n">
        <v>0</v>
      </c>
      <c r="J225" t="n">
        <v>0</v>
      </c>
      <c r="K225" t="n">
        <v>0</v>
      </c>
      <c r="L225" t="n">
        <v>0</v>
      </c>
      <c r="M225" t="n">
        <v>0</v>
      </c>
      <c r="N225" t="n">
        <v>0</v>
      </c>
      <c r="O225" t="n">
        <v>0</v>
      </c>
      <c r="P225" t="n">
        <v>0</v>
      </c>
      <c r="Q225" t="n">
        <v>0</v>
      </c>
      <c r="R225" s="2" t="inlineStr"/>
    </row>
    <row r="226" ht="15" customHeight="1">
      <c r="A226" t="inlineStr">
        <is>
          <t>A 62523-2025</t>
        </is>
      </c>
      <c r="B226" s="1" t="n">
        <v>46007.61512731481</v>
      </c>
      <c r="C226" s="1" t="n">
        <v>46133</v>
      </c>
      <c r="D226" t="inlineStr">
        <is>
          <t>VÄSTMANLANDS LÄN</t>
        </is>
      </c>
      <c r="E226" t="inlineStr">
        <is>
          <t>SALA</t>
        </is>
      </c>
      <c r="G226" t="n">
        <v>1.5</v>
      </c>
      <c r="H226" t="n">
        <v>0</v>
      </c>
      <c r="I226" t="n">
        <v>0</v>
      </c>
      <c r="J226" t="n">
        <v>0</v>
      </c>
      <c r="K226" t="n">
        <v>0</v>
      </c>
      <c r="L226" t="n">
        <v>0</v>
      </c>
      <c r="M226" t="n">
        <v>0</v>
      </c>
      <c r="N226" t="n">
        <v>0</v>
      </c>
      <c r="O226" t="n">
        <v>0</v>
      </c>
      <c r="P226" t="n">
        <v>0</v>
      </c>
      <c r="Q226" t="n">
        <v>0</v>
      </c>
      <c r="R226" s="2" t="inlineStr"/>
    </row>
    <row r="227" ht="15" customHeight="1">
      <c r="A227" t="inlineStr">
        <is>
          <t>A 39167-2025</t>
        </is>
      </c>
      <c r="B227" s="1" t="n">
        <v>45888</v>
      </c>
      <c r="C227" s="1" t="n">
        <v>46133</v>
      </c>
      <c r="D227" t="inlineStr">
        <is>
          <t>VÄSTMANLANDS LÄN</t>
        </is>
      </c>
      <c r="E227" t="inlineStr">
        <is>
          <t>SALA</t>
        </is>
      </c>
      <c r="G227" t="n">
        <v>5.5</v>
      </c>
      <c r="H227" t="n">
        <v>0</v>
      </c>
      <c r="I227" t="n">
        <v>0</v>
      </c>
      <c r="J227" t="n">
        <v>0</v>
      </c>
      <c r="K227" t="n">
        <v>0</v>
      </c>
      <c r="L227" t="n">
        <v>0</v>
      </c>
      <c r="M227" t="n">
        <v>0</v>
      </c>
      <c r="N227" t="n">
        <v>0</v>
      </c>
      <c r="O227" t="n">
        <v>0</v>
      </c>
      <c r="P227" t="n">
        <v>0</v>
      </c>
      <c r="Q227" t="n">
        <v>0</v>
      </c>
      <c r="R227" s="2" t="inlineStr"/>
    </row>
    <row r="228" ht="15" customHeight="1">
      <c r="A228" t="inlineStr">
        <is>
          <t>A 39182-2025</t>
        </is>
      </c>
      <c r="B228" s="1" t="n">
        <v>45888.66204861111</v>
      </c>
      <c r="C228" s="1" t="n">
        <v>46133</v>
      </c>
      <c r="D228" t="inlineStr">
        <is>
          <t>VÄSTMANLANDS LÄN</t>
        </is>
      </c>
      <c r="E228" t="inlineStr">
        <is>
          <t>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29248-2022</t>
        </is>
      </c>
      <c r="B229" s="1" t="n">
        <v>44750</v>
      </c>
      <c r="C229" s="1" t="n">
        <v>46133</v>
      </c>
      <c r="D229" t="inlineStr">
        <is>
          <t>VÄSTMANLANDS LÄN</t>
        </is>
      </c>
      <c r="E229" t="inlineStr">
        <is>
          <t>SALA</t>
        </is>
      </c>
      <c r="G229" t="n">
        <v>1.6</v>
      </c>
      <c r="H229" t="n">
        <v>0</v>
      </c>
      <c r="I229" t="n">
        <v>0</v>
      </c>
      <c r="J229" t="n">
        <v>0</v>
      </c>
      <c r="K229" t="n">
        <v>0</v>
      </c>
      <c r="L229" t="n">
        <v>0</v>
      </c>
      <c r="M229" t="n">
        <v>0</v>
      </c>
      <c r="N229" t="n">
        <v>0</v>
      </c>
      <c r="O229" t="n">
        <v>0</v>
      </c>
      <c r="P229" t="n">
        <v>0</v>
      </c>
      <c r="Q229" t="n">
        <v>0</v>
      </c>
      <c r="R229" s="2" t="inlineStr"/>
    </row>
    <row r="230" ht="15" customHeight="1">
      <c r="A230" t="inlineStr">
        <is>
          <t>A 24460-2025</t>
        </is>
      </c>
      <c r="B230" s="1" t="n">
        <v>45798</v>
      </c>
      <c r="C230" s="1" t="n">
        <v>46133</v>
      </c>
      <c r="D230" t="inlineStr">
        <is>
          <t>VÄSTMANLANDS LÄN</t>
        </is>
      </c>
      <c r="E230" t="inlineStr">
        <is>
          <t>SALA</t>
        </is>
      </c>
      <c r="F230" t="inlineStr">
        <is>
          <t>Bergvik skog öst AB</t>
        </is>
      </c>
      <c r="G230" t="n">
        <v>2.6</v>
      </c>
      <c r="H230" t="n">
        <v>0</v>
      </c>
      <c r="I230" t="n">
        <v>0</v>
      </c>
      <c r="J230" t="n">
        <v>0</v>
      </c>
      <c r="K230" t="n">
        <v>0</v>
      </c>
      <c r="L230" t="n">
        <v>0</v>
      </c>
      <c r="M230" t="n">
        <v>0</v>
      </c>
      <c r="N230" t="n">
        <v>0</v>
      </c>
      <c r="O230" t="n">
        <v>0</v>
      </c>
      <c r="P230" t="n">
        <v>0</v>
      </c>
      <c r="Q230" t="n">
        <v>0</v>
      </c>
      <c r="R230" s="2" t="inlineStr"/>
    </row>
    <row r="231" ht="15" customHeight="1">
      <c r="A231" t="inlineStr">
        <is>
          <t>A 22397-2022</t>
        </is>
      </c>
      <c r="B231" s="1" t="n">
        <v>44713</v>
      </c>
      <c r="C231" s="1" t="n">
        <v>46133</v>
      </c>
      <c r="D231" t="inlineStr">
        <is>
          <t>VÄSTMANLANDS LÄN</t>
        </is>
      </c>
      <c r="E231" t="inlineStr">
        <is>
          <t>SALA</t>
        </is>
      </c>
      <c r="G231" t="n">
        <v>2.1</v>
      </c>
      <c r="H231" t="n">
        <v>0</v>
      </c>
      <c r="I231" t="n">
        <v>0</v>
      </c>
      <c r="J231" t="n">
        <v>0</v>
      </c>
      <c r="K231" t="n">
        <v>0</v>
      </c>
      <c r="L231" t="n">
        <v>0</v>
      </c>
      <c r="M231" t="n">
        <v>0</v>
      </c>
      <c r="N231" t="n">
        <v>0</v>
      </c>
      <c r="O231" t="n">
        <v>0</v>
      </c>
      <c r="P231" t="n">
        <v>0</v>
      </c>
      <c r="Q231" t="n">
        <v>0</v>
      </c>
      <c r="R231" s="2" t="inlineStr"/>
    </row>
    <row r="232" ht="15" customHeight="1">
      <c r="A232" t="inlineStr">
        <is>
          <t>A 28863-2022</t>
        </is>
      </c>
      <c r="B232" s="1" t="n">
        <v>44749.50649305555</v>
      </c>
      <c r="C232" s="1" t="n">
        <v>46133</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24463-2025</t>
        </is>
      </c>
      <c r="B233" s="1" t="n">
        <v>45798</v>
      </c>
      <c r="C233" s="1" t="n">
        <v>46133</v>
      </c>
      <c r="D233" t="inlineStr">
        <is>
          <t>VÄSTMANLANDS LÄN</t>
        </is>
      </c>
      <c r="E233" t="inlineStr">
        <is>
          <t>SALA</t>
        </is>
      </c>
      <c r="F233" t="inlineStr">
        <is>
          <t>Bergvik skog öst AB</t>
        </is>
      </c>
      <c r="G233" t="n">
        <v>1.5</v>
      </c>
      <c r="H233" t="n">
        <v>0</v>
      </c>
      <c r="I233" t="n">
        <v>0</v>
      </c>
      <c r="J233" t="n">
        <v>0</v>
      </c>
      <c r="K233" t="n">
        <v>0</v>
      </c>
      <c r="L233" t="n">
        <v>0</v>
      </c>
      <c r="M233" t="n">
        <v>0</v>
      </c>
      <c r="N233" t="n">
        <v>0</v>
      </c>
      <c r="O233" t="n">
        <v>0</v>
      </c>
      <c r="P233" t="n">
        <v>0</v>
      </c>
      <c r="Q233" t="n">
        <v>0</v>
      </c>
      <c r="R233" s="2" t="inlineStr"/>
    </row>
    <row r="234" ht="15" customHeight="1">
      <c r="A234" t="inlineStr">
        <is>
          <t>A 55065-2024</t>
        </is>
      </c>
      <c r="B234" s="1" t="n">
        <v>45618</v>
      </c>
      <c r="C234" s="1" t="n">
        <v>46133</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14919-2025</t>
        </is>
      </c>
      <c r="B235" s="1" t="n">
        <v>45743.54256944444</v>
      </c>
      <c r="C235" s="1" t="n">
        <v>46133</v>
      </c>
      <c r="D235" t="inlineStr">
        <is>
          <t>VÄSTMANLANDS LÄN</t>
        </is>
      </c>
      <c r="E235" t="inlineStr">
        <is>
          <t>SALA</t>
        </is>
      </c>
      <c r="G235" t="n">
        <v>0.6</v>
      </c>
      <c r="H235" t="n">
        <v>0</v>
      </c>
      <c r="I235" t="n">
        <v>0</v>
      </c>
      <c r="J235" t="n">
        <v>0</v>
      </c>
      <c r="K235" t="n">
        <v>0</v>
      </c>
      <c r="L235" t="n">
        <v>0</v>
      </c>
      <c r="M235" t="n">
        <v>0</v>
      </c>
      <c r="N235" t="n">
        <v>0</v>
      </c>
      <c r="O235" t="n">
        <v>0</v>
      </c>
      <c r="P235" t="n">
        <v>0</v>
      </c>
      <c r="Q235" t="n">
        <v>0</v>
      </c>
      <c r="R235" s="2" t="inlineStr"/>
    </row>
    <row r="236" ht="15" customHeight="1">
      <c r="A236" t="inlineStr">
        <is>
          <t>A 14920-2025</t>
        </is>
      </c>
      <c r="B236" s="1" t="n">
        <v>45743</v>
      </c>
      <c r="C236" s="1" t="n">
        <v>46133</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40398-2021</t>
        </is>
      </c>
      <c r="B237" s="1" t="n">
        <v>44419</v>
      </c>
      <c r="C237" s="1" t="n">
        <v>46133</v>
      </c>
      <c r="D237" t="inlineStr">
        <is>
          <t>VÄSTMANLANDS LÄN</t>
        </is>
      </c>
      <c r="E237" t="inlineStr">
        <is>
          <t>SALA</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52498-2022</t>
        </is>
      </c>
      <c r="B238" s="1" t="n">
        <v>44874.50152777778</v>
      </c>
      <c r="C238" s="1" t="n">
        <v>46133</v>
      </c>
      <c r="D238" t="inlineStr">
        <is>
          <t>VÄSTMANLANDS LÄN</t>
        </is>
      </c>
      <c r="E238" t="inlineStr">
        <is>
          <t>SALA</t>
        </is>
      </c>
      <c r="G238" t="n">
        <v>2.1</v>
      </c>
      <c r="H238" t="n">
        <v>0</v>
      </c>
      <c r="I238" t="n">
        <v>0</v>
      </c>
      <c r="J238" t="n">
        <v>0</v>
      </c>
      <c r="K238" t="n">
        <v>0</v>
      </c>
      <c r="L238" t="n">
        <v>0</v>
      </c>
      <c r="M238" t="n">
        <v>0</v>
      </c>
      <c r="N238" t="n">
        <v>0</v>
      </c>
      <c r="O238" t="n">
        <v>0</v>
      </c>
      <c r="P238" t="n">
        <v>0</v>
      </c>
      <c r="Q238" t="n">
        <v>0</v>
      </c>
      <c r="R238" s="2" t="inlineStr"/>
    </row>
    <row r="239" ht="15" customHeight="1">
      <c r="A239" t="inlineStr">
        <is>
          <t>A 24907-2025</t>
        </is>
      </c>
      <c r="B239" s="1" t="n">
        <v>45799</v>
      </c>
      <c r="C239" s="1" t="n">
        <v>46133</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24910-2025</t>
        </is>
      </c>
      <c r="B240" s="1" t="n">
        <v>45799.53775462963</v>
      </c>
      <c r="C240" s="1" t="n">
        <v>46133</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43362-2023</t>
        </is>
      </c>
      <c r="B241" s="1" t="n">
        <v>45183</v>
      </c>
      <c r="C241" s="1" t="n">
        <v>46133</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63055-2025</t>
        </is>
      </c>
      <c r="B242" s="1" t="n">
        <v>46009.63619212963</v>
      </c>
      <c r="C242" s="1" t="n">
        <v>46133</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2900-2023</t>
        </is>
      </c>
      <c r="B243" s="1" t="n">
        <v>44943</v>
      </c>
      <c r="C243" s="1" t="n">
        <v>46133</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6030-2024</t>
        </is>
      </c>
      <c r="B244" s="1" t="n">
        <v>45336.62782407407</v>
      </c>
      <c r="C244" s="1" t="n">
        <v>46133</v>
      </c>
      <c r="D244" t="inlineStr">
        <is>
          <t>VÄSTMANLANDS LÄN</t>
        </is>
      </c>
      <c r="E244" t="inlineStr">
        <is>
          <t>SALA</t>
        </is>
      </c>
      <c r="G244" t="n">
        <v>3.9</v>
      </c>
      <c r="H244" t="n">
        <v>0</v>
      </c>
      <c r="I244" t="n">
        <v>0</v>
      </c>
      <c r="J244" t="n">
        <v>0</v>
      </c>
      <c r="K244" t="n">
        <v>0</v>
      </c>
      <c r="L244" t="n">
        <v>0</v>
      </c>
      <c r="M244" t="n">
        <v>0</v>
      </c>
      <c r="N244" t="n">
        <v>0</v>
      </c>
      <c r="O244" t="n">
        <v>0</v>
      </c>
      <c r="P244" t="n">
        <v>0</v>
      </c>
      <c r="Q244" t="n">
        <v>0</v>
      </c>
      <c r="R244" s="2" t="inlineStr"/>
    </row>
    <row r="245" ht="15" customHeight="1">
      <c r="A245" t="inlineStr">
        <is>
          <t>A 63051-2025</t>
        </is>
      </c>
      <c r="B245" s="1" t="n">
        <v>46009.63134259259</v>
      </c>
      <c r="C245" s="1" t="n">
        <v>46133</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52630-2022</t>
        </is>
      </c>
      <c r="B246" s="1" t="n">
        <v>44874</v>
      </c>
      <c r="C246" s="1" t="n">
        <v>46133</v>
      </c>
      <c r="D246" t="inlineStr">
        <is>
          <t>VÄSTMANLANDS LÄN</t>
        </is>
      </c>
      <c r="E246" t="inlineStr">
        <is>
          <t>SALA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14690-2025</t>
        </is>
      </c>
      <c r="B247" s="1" t="n">
        <v>45742.58212962963</v>
      </c>
      <c r="C247" s="1" t="n">
        <v>46133</v>
      </c>
      <c r="D247" t="inlineStr">
        <is>
          <t>VÄSTMANLANDS LÄN</t>
        </is>
      </c>
      <c r="E247" t="inlineStr">
        <is>
          <t>SALA</t>
        </is>
      </c>
      <c r="G247" t="n">
        <v>3.4</v>
      </c>
      <c r="H247" t="n">
        <v>0</v>
      </c>
      <c r="I247" t="n">
        <v>0</v>
      </c>
      <c r="J247" t="n">
        <v>0</v>
      </c>
      <c r="K247" t="n">
        <v>0</v>
      </c>
      <c r="L247" t="n">
        <v>0</v>
      </c>
      <c r="M247" t="n">
        <v>0</v>
      </c>
      <c r="N247" t="n">
        <v>0</v>
      </c>
      <c r="O247" t="n">
        <v>0</v>
      </c>
      <c r="P247" t="n">
        <v>0</v>
      </c>
      <c r="Q247" t="n">
        <v>0</v>
      </c>
      <c r="R247" s="2" t="inlineStr"/>
    </row>
    <row r="248" ht="15" customHeight="1">
      <c r="A248" t="inlineStr">
        <is>
          <t>A 63046-2025</t>
        </is>
      </c>
      <c r="B248" s="1" t="n">
        <v>46009.62373842593</v>
      </c>
      <c r="C248" s="1" t="n">
        <v>46133</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40559-2025</t>
        </is>
      </c>
      <c r="B249" s="1" t="n">
        <v>45896.45037037037</v>
      </c>
      <c r="C249" s="1" t="n">
        <v>46133</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40556-2025</t>
        </is>
      </c>
      <c r="B250" s="1" t="n">
        <v>45896.44944444444</v>
      </c>
      <c r="C250" s="1" t="n">
        <v>46133</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2521-2025</t>
        </is>
      </c>
      <c r="B251" s="1" t="n">
        <v>45674</v>
      </c>
      <c r="C251" s="1" t="n">
        <v>46133</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40620-2025</t>
        </is>
      </c>
      <c r="B252" s="1" t="n">
        <v>45896.58609953704</v>
      </c>
      <c r="C252" s="1" t="n">
        <v>46133</v>
      </c>
      <c r="D252" t="inlineStr">
        <is>
          <t>VÄSTMANLANDS LÄN</t>
        </is>
      </c>
      <c r="E252" t="inlineStr">
        <is>
          <t>SALA</t>
        </is>
      </c>
      <c r="G252" t="n">
        <v>6.7</v>
      </c>
      <c r="H252" t="n">
        <v>0</v>
      </c>
      <c r="I252" t="n">
        <v>0</v>
      </c>
      <c r="J252" t="n">
        <v>0</v>
      </c>
      <c r="K252" t="n">
        <v>0</v>
      </c>
      <c r="L252" t="n">
        <v>0</v>
      </c>
      <c r="M252" t="n">
        <v>0</v>
      </c>
      <c r="N252" t="n">
        <v>0</v>
      </c>
      <c r="O252" t="n">
        <v>0</v>
      </c>
      <c r="P252" t="n">
        <v>0</v>
      </c>
      <c r="Q252" t="n">
        <v>0</v>
      </c>
      <c r="R252" s="2" t="inlineStr"/>
    </row>
    <row r="253" ht="15" customHeight="1">
      <c r="A253" t="inlineStr">
        <is>
          <t>A 10909-2024</t>
        </is>
      </c>
      <c r="B253" s="1" t="n">
        <v>45370</v>
      </c>
      <c r="C253" s="1" t="n">
        <v>46133</v>
      </c>
      <c r="D253" t="inlineStr">
        <is>
          <t>VÄSTMANLANDS LÄN</t>
        </is>
      </c>
      <c r="E253" t="inlineStr">
        <is>
          <t>SALA</t>
        </is>
      </c>
      <c r="G253" t="n">
        <v>3.3</v>
      </c>
      <c r="H253" t="n">
        <v>0</v>
      </c>
      <c r="I253" t="n">
        <v>0</v>
      </c>
      <c r="J253" t="n">
        <v>0</v>
      </c>
      <c r="K253" t="n">
        <v>0</v>
      </c>
      <c r="L253" t="n">
        <v>0</v>
      </c>
      <c r="M253" t="n">
        <v>0</v>
      </c>
      <c r="N253" t="n">
        <v>0</v>
      </c>
      <c r="O253" t="n">
        <v>0</v>
      </c>
      <c r="P253" t="n">
        <v>0</v>
      </c>
      <c r="Q253" t="n">
        <v>0</v>
      </c>
      <c r="R253" s="2" t="inlineStr"/>
    </row>
    <row r="254" ht="15" customHeight="1">
      <c r="A254" t="inlineStr">
        <is>
          <t>A 60548-2024</t>
        </is>
      </c>
      <c r="B254" s="1" t="n">
        <v>45643.80978009259</v>
      </c>
      <c r="C254" s="1" t="n">
        <v>46133</v>
      </c>
      <c r="D254" t="inlineStr">
        <is>
          <t>VÄSTMANLANDS LÄN</t>
        </is>
      </c>
      <c r="E254" t="inlineStr">
        <is>
          <t>SALA</t>
        </is>
      </c>
      <c r="G254" t="n">
        <v>1.6</v>
      </c>
      <c r="H254" t="n">
        <v>0</v>
      </c>
      <c r="I254" t="n">
        <v>0</v>
      </c>
      <c r="J254" t="n">
        <v>0</v>
      </c>
      <c r="K254" t="n">
        <v>0</v>
      </c>
      <c r="L254" t="n">
        <v>0</v>
      </c>
      <c r="M254" t="n">
        <v>0</v>
      </c>
      <c r="N254" t="n">
        <v>0</v>
      </c>
      <c r="O254" t="n">
        <v>0</v>
      </c>
      <c r="P254" t="n">
        <v>0</v>
      </c>
      <c r="Q254" t="n">
        <v>0</v>
      </c>
      <c r="R254" s="2" t="inlineStr"/>
    </row>
    <row r="255" ht="15" customHeight="1">
      <c r="A255" t="inlineStr">
        <is>
          <t>A 26761-2023</t>
        </is>
      </c>
      <c r="B255" s="1" t="n">
        <v>45093</v>
      </c>
      <c r="C255" s="1" t="n">
        <v>46133</v>
      </c>
      <c r="D255" t="inlineStr">
        <is>
          <t>VÄSTMANLANDS LÄN</t>
        </is>
      </c>
      <c r="E255" t="inlineStr">
        <is>
          <t>SALA</t>
        </is>
      </c>
      <c r="G255" t="n">
        <v>4.3</v>
      </c>
      <c r="H255" t="n">
        <v>0</v>
      </c>
      <c r="I255" t="n">
        <v>0</v>
      </c>
      <c r="J255" t="n">
        <v>0</v>
      </c>
      <c r="K255" t="n">
        <v>0</v>
      </c>
      <c r="L255" t="n">
        <v>0</v>
      </c>
      <c r="M255" t="n">
        <v>0</v>
      </c>
      <c r="N255" t="n">
        <v>0</v>
      </c>
      <c r="O255" t="n">
        <v>0</v>
      </c>
      <c r="P255" t="n">
        <v>0</v>
      </c>
      <c r="Q255" t="n">
        <v>0</v>
      </c>
      <c r="R255" s="2" t="inlineStr"/>
    </row>
    <row r="256" ht="15" customHeight="1">
      <c r="A256" t="inlineStr">
        <is>
          <t>A 41230-2025</t>
        </is>
      </c>
      <c r="B256" s="1" t="n">
        <v>45898</v>
      </c>
      <c r="C256" s="1" t="n">
        <v>46133</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55035-2023</t>
        </is>
      </c>
      <c r="B257" s="1" t="n">
        <v>45229</v>
      </c>
      <c r="C257" s="1" t="n">
        <v>46133</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41414-2025</t>
        </is>
      </c>
      <c r="B258" s="1" t="n">
        <v>45901.360625</v>
      </c>
      <c r="C258" s="1" t="n">
        <v>46133</v>
      </c>
      <c r="D258" t="inlineStr">
        <is>
          <t>VÄSTMANLANDS LÄN</t>
        </is>
      </c>
      <c r="E258" t="inlineStr">
        <is>
          <t>SALA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60249-2023</t>
        </is>
      </c>
      <c r="B259" s="1" t="n">
        <v>45258</v>
      </c>
      <c r="C259" s="1" t="n">
        <v>46133</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26661-2025</t>
        </is>
      </c>
      <c r="B260" s="1" t="n">
        <v>45810</v>
      </c>
      <c r="C260" s="1" t="n">
        <v>46133</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61717-2024</t>
        </is>
      </c>
      <c r="B261" s="1" t="n">
        <v>45648</v>
      </c>
      <c r="C261" s="1" t="n">
        <v>46133</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53164-2024</t>
        </is>
      </c>
      <c r="B262" s="1" t="n">
        <v>45611.64887731482</v>
      </c>
      <c r="C262" s="1" t="n">
        <v>46133</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41431-2025</t>
        </is>
      </c>
      <c r="B263" s="1" t="n">
        <v>45901.39347222223</v>
      </c>
      <c r="C263" s="1" t="n">
        <v>46133</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63353-2025</t>
        </is>
      </c>
      <c r="B264" s="1" t="n">
        <v>46010.66670138889</v>
      </c>
      <c r="C264" s="1" t="n">
        <v>46133</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31597-2024</t>
        </is>
      </c>
      <c r="B265" s="1" t="n">
        <v>45506</v>
      </c>
      <c r="C265" s="1" t="n">
        <v>46133</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31599-2024</t>
        </is>
      </c>
      <c r="B266" s="1" t="n">
        <v>45506</v>
      </c>
      <c r="C266" s="1" t="n">
        <v>46133</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31601-2024</t>
        </is>
      </c>
      <c r="B267" s="1" t="n">
        <v>45506</v>
      </c>
      <c r="C267" s="1" t="n">
        <v>46133</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31608-2024</t>
        </is>
      </c>
      <c r="B268" s="1" t="n">
        <v>45506</v>
      </c>
      <c r="C268" s="1" t="n">
        <v>46133</v>
      </c>
      <c r="D268" t="inlineStr">
        <is>
          <t>VÄSTMANLANDS LÄN</t>
        </is>
      </c>
      <c r="E268" t="inlineStr">
        <is>
          <t>SALA</t>
        </is>
      </c>
      <c r="G268" t="n">
        <v>1.7</v>
      </c>
      <c r="H268" t="n">
        <v>0</v>
      </c>
      <c r="I268" t="n">
        <v>0</v>
      </c>
      <c r="J268" t="n">
        <v>0</v>
      </c>
      <c r="K268" t="n">
        <v>0</v>
      </c>
      <c r="L268" t="n">
        <v>0</v>
      </c>
      <c r="M268" t="n">
        <v>0</v>
      </c>
      <c r="N268" t="n">
        <v>0</v>
      </c>
      <c r="O268" t="n">
        <v>0</v>
      </c>
      <c r="P268" t="n">
        <v>0</v>
      </c>
      <c r="Q268" t="n">
        <v>0</v>
      </c>
      <c r="R268" s="2" t="inlineStr"/>
    </row>
    <row r="269" ht="15" customHeight="1">
      <c r="A269" t="inlineStr">
        <is>
          <t>A 31612-2024</t>
        </is>
      </c>
      <c r="B269" s="1" t="n">
        <v>45506</v>
      </c>
      <c r="C269" s="1" t="n">
        <v>46133</v>
      </c>
      <c r="D269" t="inlineStr">
        <is>
          <t>VÄSTMANLANDS LÄN</t>
        </is>
      </c>
      <c r="E269" t="inlineStr">
        <is>
          <t>SALA</t>
        </is>
      </c>
      <c r="G269" t="n">
        <v>3.2</v>
      </c>
      <c r="H269" t="n">
        <v>0</v>
      </c>
      <c r="I269" t="n">
        <v>0</v>
      </c>
      <c r="J269" t="n">
        <v>0</v>
      </c>
      <c r="K269" t="n">
        <v>0</v>
      </c>
      <c r="L269" t="n">
        <v>0</v>
      </c>
      <c r="M269" t="n">
        <v>0</v>
      </c>
      <c r="N269" t="n">
        <v>0</v>
      </c>
      <c r="O269" t="n">
        <v>0</v>
      </c>
      <c r="P269" t="n">
        <v>0</v>
      </c>
      <c r="Q269" t="n">
        <v>0</v>
      </c>
      <c r="R269" s="2" t="inlineStr"/>
    </row>
    <row r="270" ht="15" customHeight="1">
      <c r="A270" t="inlineStr">
        <is>
          <t>A 52500-2024</t>
        </is>
      </c>
      <c r="B270" s="1" t="n">
        <v>45609</v>
      </c>
      <c r="C270" s="1" t="n">
        <v>46133</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21968-2024</t>
        </is>
      </c>
      <c r="B271" s="1" t="n">
        <v>45443</v>
      </c>
      <c r="C271" s="1" t="n">
        <v>46133</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56949-2023</t>
        </is>
      </c>
      <c r="B272" s="1" t="n">
        <v>45244.61589120371</v>
      </c>
      <c r="C272" s="1" t="n">
        <v>46133</v>
      </c>
      <c r="D272" t="inlineStr">
        <is>
          <t>VÄSTMANLANDS LÄN</t>
        </is>
      </c>
      <c r="E272" t="inlineStr">
        <is>
          <t>SALA</t>
        </is>
      </c>
      <c r="G272" t="n">
        <v>4.7</v>
      </c>
      <c r="H272" t="n">
        <v>0</v>
      </c>
      <c r="I272" t="n">
        <v>0</v>
      </c>
      <c r="J272" t="n">
        <v>0</v>
      </c>
      <c r="K272" t="n">
        <v>0</v>
      </c>
      <c r="L272" t="n">
        <v>0</v>
      </c>
      <c r="M272" t="n">
        <v>0</v>
      </c>
      <c r="N272" t="n">
        <v>0</v>
      </c>
      <c r="O272" t="n">
        <v>0</v>
      </c>
      <c r="P272" t="n">
        <v>0</v>
      </c>
      <c r="Q272" t="n">
        <v>0</v>
      </c>
      <c r="R272" s="2" t="inlineStr"/>
    </row>
    <row r="273" ht="15" customHeight="1">
      <c r="A273" t="inlineStr">
        <is>
          <t>A 27989-2025</t>
        </is>
      </c>
      <c r="B273" s="1" t="n">
        <v>45817.58716435185</v>
      </c>
      <c r="C273" s="1" t="n">
        <v>46133</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42421-2025</t>
        </is>
      </c>
      <c r="B274" s="1" t="n">
        <v>45905.40067129629</v>
      </c>
      <c r="C274" s="1" t="n">
        <v>46133</v>
      </c>
      <c r="D274" t="inlineStr">
        <is>
          <t>VÄSTMANLANDS LÄN</t>
        </is>
      </c>
      <c r="E274" t="inlineStr">
        <is>
          <t>SALA</t>
        </is>
      </c>
      <c r="G274" t="n">
        <v>1.3</v>
      </c>
      <c r="H274" t="n">
        <v>0</v>
      </c>
      <c r="I274" t="n">
        <v>0</v>
      </c>
      <c r="J274" t="n">
        <v>0</v>
      </c>
      <c r="K274" t="n">
        <v>0</v>
      </c>
      <c r="L274" t="n">
        <v>0</v>
      </c>
      <c r="M274" t="n">
        <v>0</v>
      </c>
      <c r="N274" t="n">
        <v>0</v>
      </c>
      <c r="O274" t="n">
        <v>0</v>
      </c>
      <c r="P274" t="n">
        <v>0</v>
      </c>
      <c r="Q274" t="n">
        <v>0</v>
      </c>
      <c r="R274" s="2" t="inlineStr"/>
    </row>
    <row r="275" ht="15" customHeight="1">
      <c r="A275" t="inlineStr">
        <is>
          <t>A 27981-2025</t>
        </is>
      </c>
      <c r="B275" s="1" t="n">
        <v>45817.57471064815</v>
      </c>
      <c r="C275" s="1" t="n">
        <v>46133</v>
      </c>
      <c r="D275" t="inlineStr">
        <is>
          <t>VÄSTMANLANDS LÄN</t>
        </is>
      </c>
      <c r="E275" t="inlineStr">
        <is>
          <t>SALA</t>
        </is>
      </c>
      <c r="G275" t="n">
        <v>1.7</v>
      </c>
      <c r="H275" t="n">
        <v>0</v>
      </c>
      <c r="I275" t="n">
        <v>0</v>
      </c>
      <c r="J275" t="n">
        <v>0</v>
      </c>
      <c r="K275" t="n">
        <v>0</v>
      </c>
      <c r="L275" t="n">
        <v>0</v>
      </c>
      <c r="M275" t="n">
        <v>0</v>
      </c>
      <c r="N275" t="n">
        <v>0</v>
      </c>
      <c r="O275" t="n">
        <v>0</v>
      </c>
      <c r="P275" t="n">
        <v>0</v>
      </c>
      <c r="Q275" t="n">
        <v>0</v>
      </c>
      <c r="R275" s="2" t="inlineStr"/>
    </row>
    <row r="276" ht="15" customHeight="1">
      <c r="A276" t="inlineStr">
        <is>
          <t>A 28193-2025</t>
        </is>
      </c>
      <c r="B276" s="1" t="n">
        <v>45818.425625</v>
      </c>
      <c r="C276" s="1" t="n">
        <v>46133</v>
      </c>
      <c r="D276" t="inlineStr">
        <is>
          <t>VÄSTMANLANDS LÄN</t>
        </is>
      </c>
      <c r="E276" t="inlineStr">
        <is>
          <t>SALA</t>
        </is>
      </c>
      <c r="G276" t="n">
        <v>1.8</v>
      </c>
      <c r="H276" t="n">
        <v>0</v>
      </c>
      <c r="I276" t="n">
        <v>0</v>
      </c>
      <c r="J276" t="n">
        <v>0</v>
      </c>
      <c r="K276" t="n">
        <v>0</v>
      </c>
      <c r="L276" t="n">
        <v>0</v>
      </c>
      <c r="M276" t="n">
        <v>0</v>
      </c>
      <c r="N276" t="n">
        <v>0</v>
      </c>
      <c r="O276" t="n">
        <v>0</v>
      </c>
      <c r="P276" t="n">
        <v>0</v>
      </c>
      <c r="Q276" t="n">
        <v>0</v>
      </c>
      <c r="R276" s="2" t="inlineStr"/>
    </row>
    <row r="277" ht="15" customHeight="1">
      <c r="A277" t="inlineStr">
        <is>
          <t>A 28284-2025</t>
        </is>
      </c>
      <c r="B277" s="1" t="n">
        <v>45818.58893518519</v>
      </c>
      <c r="C277" s="1" t="n">
        <v>46133</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96-2024</t>
        </is>
      </c>
      <c r="B278" s="1" t="n">
        <v>45293.85872685185</v>
      </c>
      <c r="C278" s="1" t="n">
        <v>46133</v>
      </c>
      <c r="D278" t="inlineStr">
        <is>
          <t>VÄSTMANLANDS LÄN</t>
        </is>
      </c>
      <c r="E278" t="inlineStr">
        <is>
          <t>SALA</t>
        </is>
      </c>
      <c r="G278" t="n">
        <v>1.1</v>
      </c>
      <c r="H278" t="n">
        <v>0</v>
      </c>
      <c r="I278" t="n">
        <v>0</v>
      </c>
      <c r="J278" t="n">
        <v>0</v>
      </c>
      <c r="K278" t="n">
        <v>0</v>
      </c>
      <c r="L278" t="n">
        <v>0</v>
      </c>
      <c r="M278" t="n">
        <v>0</v>
      </c>
      <c r="N278" t="n">
        <v>0</v>
      </c>
      <c r="O278" t="n">
        <v>0</v>
      </c>
      <c r="P278" t="n">
        <v>0</v>
      </c>
      <c r="Q278" t="n">
        <v>0</v>
      </c>
      <c r="R278" s="2" t="inlineStr"/>
    </row>
    <row r="279" ht="15" customHeight="1">
      <c r="A279" t="inlineStr">
        <is>
          <t>A 54118-2023</t>
        </is>
      </c>
      <c r="B279" s="1" t="n">
        <v>45232</v>
      </c>
      <c r="C279" s="1" t="n">
        <v>46133</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17495-2024</t>
        </is>
      </c>
      <c r="B280" s="1" t="n">
        <v>45415</v>
      </c>
      <c r="C280" s="1" t="n">
        <v>46133</v>
      </c>
      <c r="D280" t="inlineStr">
        <is>
          <t>VÄSTMANLANDS LÄN</t>
        </is>
      </c>
      <c r="E280" t="inlineStr">
        <is>
          <t>SALA</t>
        </is>
      </c>
      <c r="G280" t="n">
        <v>3.1</v>
      </c>
      <c r="H280" t="n">
        <v>0</v>
      </c>
      <c r="I280" t="n">
        <v>0</v>
      </c>
      <c r="J280" t="n">
        <v>0</v>
      </c>
      <c r="K280" t="n">
        <v>0</v>
      </c>
      <c r="L280" t="n">
        <v>0</v>
      </c>
      <c r="M280" t="n">
        <v>0</v>
      </c>
      <c r="N280" t="n">
        <v>0</v>
      </c>
      <c r="O280" t="n">
        <v>0</v>
      </c>
      <c r="P280" t="n">
        <v>0</v>
      </c>
      <c r="Q280" t="n">
        <v>0</v>
      </c>
      <c r="R280" s="2" t="inlineStr"/>
    </row>
    <row r="281" ht="15" customHeight="1">
      <c r="A281" t="inlineStr">
        <is>
          <t>A 28278-2025</t>
        </is>
      </c>
      <c r="B281" s="1" t="n">
        <v>45818.58454861111</v>
      </c>
      <c r="C281" s="1" t="n">
        <v>46133</v>
      </c>
      <c r="D281" t="inlineStr">
        <is>
          <t>VÄSTMANLANDS LÄN</t>
        </is>
      </c>
      <c r="E281" t="inlineStr">
        <is>
          <t>SALA</t>
        </is>
      </c>
      <c r="G281" t="n">
        <v>7.6</v>
      </c>
      <c r="H281" t="n">
        <v>0</v>
      </c>
      <c r="I281" t="n">
        <v>0</v>
      </c>
      <c r="J281" t="n">
        <v>0</v>
      </c>
      <c r="K281" t="n">
        <v>0</v>
      </c>
      <c r="L281" t="n">
        <v>0</v>
      </c>
      <c r="M281" t="n">
        <v>0</v>
      </c>
      <c r="N281" t="n">
        <v>0</v>
      </c>
      <c r="O281" t="n">
        <v>0</v>
      </c>
      <c r="P281" t="n">
        <v>0</v>
      </c>
      <c r="Q281" t="n">
        <v>0</v>
      </c>
      <c r="R281" s="2" t="inlineStr"/>
    </row>
    <row r="282" ht="15" customHeight="1">
      <c r="A282" t="inlineStr">
        <is>
          <t>A 37263-2025</t>
        </is>
      </c>
      <c r="B282" s="1" t="n">
        <v>45876.4584837963</v>
      </c>
      <c r="C282" s="1" t="n">
        <v>46133</v>
      </c>
      <c r="D282" t="inlineStr">
        <is>
          <t>VÄSTMANLANDS LÄN</t>
        </is>
      </c>
      <c r="E282" t="inlineStr">
        <is>
          <t>SALA</t>
        </is>
      </c>
      <c r="G282" t="n">
        <v>2.3</v>
      </c>
      <c r="H282" t="n">
        <v>0</v>
      </c>
      <c r="I282" t="n">
        <v>0</v>
      </c>
      <c r="J282" t="n">
        <v>0</v>
      </c>
      <c r="K282" t="n">
        <v>0</v>
      </c>
      <c r="L282" t="n">
        <v>0</v>
      </c>
      <c r="M282" t="n">
        <v>0</v>
      </c>
      <c r="N282" t="n">
        <v>0</v>
      </c>
      <c r="O282" t="n">
        <v>0</v>
      </c>
      <c r="P282" t="n">
        <v>0</v>
      </c>
      <c r="Q282" t="n">
        <v>0</v>
      </c>
      <c r="R282" s="2" t="inlineStr"/>
    </row>
    <row r="283" ht="15" customHeight="1">
      <c r="A283" t="inlineStr">
        <is>
          <t>A 43127-2025</t>
        </is>
      </c>
      <c r="B283" s="1" t="n">
        <v>45909</v>
      </c>
      <c r="C283" s="1" t="n">
        <v>46133</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63269-2025</t>
        </is>
      </c>
      <c r="B284" s="1" t="n">
        <v>46010</v>
      </c>
      <c r="C284" s="1" t="n">
        <v>46133</v>
      </c>
      <c r="D284" t="inlineStr">
        <is>
          <t>VÄSTMANLANDS LÄN</t>
        </is>
      </c>
      <c r="E284" t="inlineStr">
        <is>
          <t>SALA</t>
        </is>
      </c>
      <c r="G284" t="n">
        <v>6.4</v>
      </c>
      <c r="H284" t="n">
        <v>0</v>
      </c>
      <c r="I284" t="n">
        <v>0</v>
      </c>
      <c r="J284" t="n">
        <v>0</v>
      </c>
      <c r="K284" t="n">
        <v>0</v>
      </c>
      <c r="L284" t="n">
        <v>0</v>
      </c>
      <c r="M284" t="n">
        <v>0</v>
      </c>
      <c r="N284" t="n">
        <v>0</v>
      </c>
      <c r="O284" t="n">
        <v>0</v>
      </c>
      <c r="P284" t="n">
        <v>0</v>
      </c>
      <c r="Q284" t="n">
        <v>0</v>
      </c>
      <c r="R284" s="2" t="inlineStr"/>
    </row>
    <row r="285" ht="15" customHeight="1">
      <c r="A285" t="inlineStr">
        <is>
          <t>A 28628-2025</t>
        </is>
      </c>
      <c r="B285" s="1" t="n">
        <v>45819.62158564815</v>
      </c>
      <c r="C285" s="1" t="n">
        <v>46133</v>
      </c>
      <c r="D285" t="inlineStr">
        <is>
          <t>VÄSTMANLANDS LÄN</t>
        </is>
      </c>
      <c r="E285" t="inlineStr">
        <is>
          <t>SALA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28632-2025</t>
        </is>
      </c>
      <c r="B286" s="1" t="n">
        <v>45819.62344907408</v>
      </c>
      <c r="C286" s="1" t="n">
        <v>46133</v>
      </c>
      <c r="D286" t="inlineStr">
        <is>
          <t>VÄSTMANLANDS LÄN</t>
        </is>
      </c>
      <c r="E286" t="inlineStr">
        <is>
          <t>SALA</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28630-2025</t>
        </is>
      </c>
      <c r="B287" s="1" t="n">
        <v>45819.62274305556</v>
      </c>
      <c r="C287" s="1" t="n">
        <v>46133</v>
      </c>
      <c r="D287" t="inlineStr">
        <is>
          <t>VÄSTMANLANDS LÄN</t>
        </is>
      </c>
      <c r="E287" t="inlineStr">
        <is>
          <t>SALA</t>
        </is>
      </c>
      <c r="F287" t="inlineStr">
        <is>
          <t>Sveaskog</t>
        </is>
      </c>
      <c r="G287" t="n">
        <v>9</v>
      </c>
      <c r="H287" t="n">
        <v>0</v>
      </c>
      <c r="I287" t="n">
        <v>0</v>
      </c>
      <c r="J287" t="n">
        <v>0</v>
      </c>
      <c r="K287" t="n">
        <v>0</v>
      </c>
      <c r="L287" t="n">
        <v>0</v>
      </c>
      <c r="M287" t="n">
        <v>0</v>
      </c>
      <c r="N287" t="n">
        <v>0</v>
      </c>
      <c r="O287" t="n">
        <v>0</v>
      </c>
      <c r="P287" t="n">
        <v>0</v>
      </c>
      <c r="Q287" t="n">
        <v>0</v>
      </c>
      <c r="R287" s="2" t="inlineStr"/>
    </row>
    <row r="288" ht="15" customHeight="1">
      <c r="A288" t="inlineStr">
        <is>
          <t>A 34814-2021</t>
        </is>
      </c>
      <c r="B288" s="1" t="n">
        <v>44383</v>
      </c>
      <c r="C288" s="1" t="n">
        <v>46133</v>
      </c>
      <c r="D288" t="inlineStr">
        <is>
          <t>VÄSTMANLANDS LÄN</t>
        </is>
      </c>
      <c r="E288" t="inlineStr">
        <is>
          <t>SALA</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43128-2025</t>
        </is>
      </c>
      <c r="B289" s="1" t="n">
        <v>45909</v>
      </c>
      <c r="C289" s="1" t="n">
        <v>46133</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40554-2025</t>
        </is>
      </c>
      <c r="B290" s="1" t="n">
        <v>45896.44506944445</v>
      </c>
      <c r="C290" s="1" t="n">
        <v>46133</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43129-2025</t>
        </is>
      </c>
      <c r="B291" s="1" t="n">
        <v>45909</v>
      </c>
      <c r="C291" s="1" t="n">
        <v>46133</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43130-2025</t>
        </is>
      </c>
      <c r="B292" s="1" t="n">
        <v>45909</v>
      </c>
      <c r="C292" s="1" t="n">
        <v>46133</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25748-2022</t>
        </is>
      </c>
      <c r="B293" s="1" t="n">
        <v>44732</v>
      </c>
      <c r="C293" s="1" t="n">
        <v>46133</v>
      </c>
      <c r="D293" t="inlineStr">
        <is>
          <t>VÄSTMANLANDS LÄN</t>
        </is>
      </c>
      <c r="E293" t="inlineStr">
        <is>
          <t>SALA</t>
        </is>
      </c>
      <c r="G293" t="n">
        <v>7.7</v>
      </c>
      <c r="H293" t="n">
        <v>0</v>
      </c>
      <c r="I293" t="n">
        <v>0</v>
      </c>
      <c r="J293" t="n">
        <v>0</v>
      </c>
      <c r="K293" t="n">
        <v>0</v>
      </c>
      <c r="L293" t="n">
        <v>0</v>
      </c>
      <c r="M293" t="n">
        <v>0</v>
      </c>
      <c r="N293" t="n">
        <v>0</v>
      </c>
      <c r="O293" t="n">
        <v>0</v>
      </c>
      <c r="P293" t="n">
        <v>0</v>
      </c>
      <c r="Q293" t="n">
        <v>0</v>
      </c>
      <c r="R293" s="2" t="inlineStr"/>
    </row>
    <row r="294" ht="15" customHeight="1">
      <c r="A294" t="inlineStr">
        <is>
          <t>A 28837-2025</t>
        </is>
      </c>
      <c r="B294" s="1" t="n">
        <v>45820.56243055555</v>
      </c>
      <c r="C294" s="1" t="n">
        <v>46133</v>
      </c>
      <c r="D294" t="inlineStr">
        <is>
          <t>VÄSTMANLANDS LÄN</t>
        </is>
      </c>
      <c r="E294" t="inlineStr">
        <is>
          <t>SALA</t>
        </is>
      </c>
      <c r="F294" t="inlineStr">
        <is>
          <t>Sveaskog</t>
        </is>
      </c>
      <c r="G294" t="n">
        <v>1.4</v>
      </c>
      <c r="H294" t="n">
        <v>0</v>
      </c>
      <c r="I294" t="n">
        <v>0</v>
      </c>
      <c r="J294" t="n">
        <v>0</v>
      </c>
      <c r="K294" t="n">
        <v>0</v>
      </c>
      <c r="L294" t="n">
        <v>0</v>
      </c>
      <c r="M294" t="n">
        <v>0</v>
      </c>
      <c r="N294" t="n">
        <v>0</v>
      </c>
      <c r="O294" t="n">
        <v>0</v>
      </c>
      <c r="P294" t="n">
        <v>0</v>
      </c>
      <c r="Q294" t="n">
        <v>0</v>
      </c>
      <c r="R294" s="2" t="inlineStr"/>
    </row>
    <row r="295" ht="15" customHeight="1">
      <c r="A295" t="inlineStr">
        <is>
          <t>A 28849-2025</t>
        </is>
      </c>
      <c r="B295" s="1" t="n">
        <v>45820</v>
      </c>
      <c r="C295" s="1" t="n">
        <v>46133</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43028-2025</t>
        </is>
      </c>
      <c r="B296" s="1" t="n">
        <v>45909.53472222222</v>
      </c>
      <c r="C296" s="1" t="n">
        <v>46133</v>
      </c>
      <c r="D296" t="inlineStr">
        <is>
          <t>VÄSTMANLANDS LÄN</t>
        </is>
      </c>
      <c r="E296" t="inlineStr">
        <is>
          <t>SALA</t>
        </is>
      </c>
      <c r="G296" t="n">
        <v>3.8</v>
      </c>
      <c r="H296" t="n">
        <v>0</v>
      </c>
      <c r="I296" t="n">
        <v>0</v>
      </c>
      <c r="J296" t="n">
        <v>0</v>
      </c>
      <c r="K296" t="n">
        <v>0</v>
      </c>
      <c r="L296" t="n">
        <v>0</v>
      </c>
      <c r="M296" t="n">
        <v>0</v>
      </c>
      <c r="N296" t="n">
        <v>0</v>
      </c>
      <c r="O296" t="n">
        <v>0</v>
      </c>
      <c r="P296" t="n">
        <v>0</v>
      </c>
      <c r="Q296" t="n">
        <v>0</v>
      </c>
      <c r="R296" s="2" t="inlineStr"/>
    </row>
    <row r="297" ht="15" customHeight="1">
      <c r="A297" t="inlineStr">
        <is>
          <t>A 43031-2025</t>
        </is>
      </c>
      <c r="B297" s="1" t="n">
        <v>45909.53856481481</v>
      </c>
      <c r="C297" s="1" t="n">
        <v>46133</v>
      </c>
      <c r="D297" t="inlineStr">
        <is>
          <t>VÄSTMANLANDS LÄN</t>
        </is>
      </c>
      <c r="E297" t="inlineStr">
        <is>
          <t>SALA</t>
        </is>
      </c>
      <c r="G297" t="n">
        <v>0.2</v>
      </c>
      <c r="H297" t="n">
        <v>0</v>
      </c>
      <c r="I297" t="n">
        <v>0</v>
      </c>
      <c r="J297" t="n">
        <v>0</v>
      </c>
      <c r="K297" t="n">
        <v>0</v>
      </c>
      <c r="L297" t="n">
        <v>0</v>
      </c>
      <c r="M297" t="n">
        <v>0</v>
      </c>
      <c r="N297" t="n">
        <v>0</v>
      </c>
      <c r="O297" t="n">
        <v>0</v>
      </c>
      <c r="P297" t="n">
        <v>0</v>
      </c>
      <c r="Q297" t="n">
        <v>0</v>
      </c>
      <c r="R297" s="2" t="inlineStr"/>
    </row>
    <row r="298" ht="15" customHeight="1">
      <c r="A298" t="inlineStr">
        <is>
          <t>A 3733-2023</t>
        </is>
      </c>
      <c r="B298" s="1" t="n">
        <v>44951.42501157407</v>
      </c>
      <c r="C298" s="1" t="n">
        <v>46133</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6136-2025</t>
        </is>
      </c>
      <c r="B299" s="1" t="n">
        <v>45698.37601851852</v>
      </c>
      <c r="C299" s="1" t="n">
        <v>46133</v>
      </c>
      <c r="D299" t="inlineStr">
        <is>
          <t>VÄSTMANLANDS LÄN</t>
        </is>
      </c>
      <c r="E299" t="inlineStr">
        <is>
          <t>SALA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6190-2025</t>
        </is>
      </c>
      <c r="B300" s="1" t="n">
        <v>45698</v>
      </c>
      <c r="C300" s="1" t="n">
        <v>46133</v>
      </c>
      <c r="D300" t="inlineStr">
        <is>
          <t>VÄSTMANLANDS LÄN</t>
        </is>
      </c>
      <c r="E300" t="inlineStr">
        <is>
          <t>SALA</t>
        </is>
      </c>
      <c r="F300" t="inlineStr">
        <is>
          <t>Bergvik skog öst AB</t>
        </is>
      </c>
      <c r="G300" t="n">
        <v>4.6</v>
      </c>
      <c r="H300" t="n">
        <v>0</v>
      </c>
      <c r="I300" t="n">
        <v>0</v>
      </c>
      <c r="J300" t="n">
        <v>0</v>
      </c>
      <c r="K300" t="n">
        <v>0</v>
      </c>
      <c r="L300" t="n">
        <v>0</v>
      </c>
      <c r="M300" t="n">
        <v>0</v>
      </c>
      <c r="N300" t="n">
        <v>0</v>
      </c>
      <c r="O300" t="n">
        <v>0</v>
      </c>
      <c r="P300" t="n">
        <v>0</v>
      </c>
      <c r="Q300" t="n">
        <v>0</v>
      </c>
      <c r="R300" s="2" t="inlineStr"/>
    </row>
    <row r="301" ht="15" customHeight="1">
      <c r="A301" t="inlineStr">
        <is>
          <t>A 29085-2025</t>
        </is>
      </c>
      <c r="B301" s="1" t="n">
        <v>45821</v>
      </c>
      <c r="C301" s="1" t="n">
        <v>46133</v>
      </c>
      <c r="D301" t="inlineStr">
        <is>
          <t>VÄSTMANLANDS LÄN</t>
        </is>
      </c>
      <c r="E301" t="inlineStr">
        <is>
          <t>SALA</t>
        </is>
      </c>
      <c r="G301" t="n">
        <v>3.5</v>
      </c>
      <c r="H301" t="n">
        <v>0</v>
      </c>
      <c r="I301" t="n">
        <v>0</v>
      </c>
      <c r="J301" t="n">
        <v>0</v>
      </c>
      <c r="K301" t="n">
        <v>0</v>
      </c>
      <c r="L301" t="n">
        <v>0</v>
      </c>
      <c r="M301" t="n">
        <v>0</v>
      </c>
      <c r="N301" t="n">
        <v>0</v>
      </c>
      <c r="O301" t="n">
        <v>0</v>
      </c>
      <c r="P301" t="n">
        <v>0</v>
      </c>
      <c r="Q301" t="n">
        <v>0</v>
      </c>
      <c r="R301" s="2" t="inlineStr"/>
    </row>
    <row r="302" ht="15" customHeight="1">
      <c r="A302" t="inlineStr">
        <is>
          <t>A 16760-2024</t>
        </is>
      </c>
      <c r="B302" s="1" t="n">
        <v>45411</v>
      </c>
      <c r="C302" s="1" t="n">
        <v>46133</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43328-2025</t>
        </is>
      </c>
      <c r="B303" s="1" t="n">
        <v>45910</v>
      </c>
      <c r="C303" s="1" t="n">
        <v>46133</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29691-2025</t>
        </is>
      </c>
      <c r="B304" s="1" t="n">
        <v>45825.53645833334</v>
      </c>
      <c r="C304" s="1" t="n">
        <v>46133</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60541-2024</t>
        </is>
      </c>
      <c r="B305" s="1" t="n">
        <v>45643</v>
      </c>
      <c r="C305" s="1" t="n">
        <v>46133</v>
      </c>
      <c r="D305" t="inlineStr">
        <is>
          <t>VÄSTMANLANDS LÄN</t>
        </is>
      </c>
      <c r="E305" t="inlineStr">
        <is>
          <t>SALA</t>
        </is>
      </c>
      <c r="G305" t="n">
        <v>10.6</v>
      </c>
      <c r="H305" t="n">
        <v>0</v>
      </c>
      <c r="I305" t="n">
        <v>0</v>
      </c>
      <c r="J305" t="n">
        <v>0</v>
      </c>
      <c r="K305" t="n">
        <v>0</v>
      </c>
      <c r="L305" t="n">
        <v>0</v>
      </c>
      <c r="M305" t="n">
        <v>0</v>
      </c>
      <c r="N305" t="n">
        <v>0</v>
      </c>
      <c r="O305" t="n">
        <v>0</v>
      </c>
      <c r="P305" t="n">
        <v>0</v>
      </c>
      <c r="Q305" t="n">
        <v>0</v>
      </c>
      <c r="R305" s="2" t="inlineStr"/>
    </row>
    <row r="306" ht="15" customHeight="1">
      <c r="A306" t="inlineStr">
        <is>
          <t>A 6127-2025</t>
        </is>
      </c>
      <c r="B306" s="1" t="n">
        <v>45698</v>
      </c>
      <c r="C306" s="1" t="n">
        <v>46133</v>
      </c>
      <c r="D306" t="inlineStr">
        <is>
          <t>VÄSTMANLANDS LÄN</t>
        </is>
      </c>
      <c r="E306" t="inlineStr">
        <is>
          <t>SALA</t>
        </is>
      </c>
      <c r="F306" t="inlineStr">
        <is>
          <t>Bergvik skog öst AB</t>
        </is>
      </c>
      <c r="G306" t="n">
        <v>4.3</v>
      </c>
      <c r="H306" t="n">
        <v>0</v>
      </c>
      <c r="I306" t="n">
        <v>0</v>
      </c>
      <c r="J306" t="n">
        <v>0</v>
      </c>
      <c r="K306" t="n">
        <v>0</v>
      </c>
      <c r="L306" t="n">
        <v>0</v>
      </c>
      <c r="M306" t="n">
        <v>0</v>
      </c>
      <c r="N306" t="n">
        <v>0</v>
      </c>
      <c r="O306" t="n">
        <v>0</v>
      </c>
      <c r="P306" t="n">
        <v>0</v>
      </c>
      <c r="Q306" t="n">
        <v>0</v>
      </c>
      <c r="R306" s="2" t="inlineStr"/>
    </row>
    <row r="307" ht="15" customHeight="1">
      <c r="A307" t="inlineStr">
        <is>
          <t>A 29826-2025</t>
        </is>
      </c>
      <c r="B307" s="1" t="n">
        <v>45825.85761574074</v>
      </c>
      <c r="C307" s="1" t="n">
        <v>46133</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988-2025</t>
        </is>
      </c>
      <c r="B308" s="1" t="n">
        <v>45666.44038194444</v>
      </c>
      <c r="C308" s="1" t="n">
        <v>46133</v>
      </c>
      <c r="D308" t="inlineStr">
        <is>
          <t>VÄSTMANLANDS LÄN</t>
        </is>
      </c>
      <c r="E308" t="inlineStr">
        <is>
          <t>SALA</t>
        </is>
      </c>
      <c r="G308" t="n">
        <v>1.3</v>
      </c>
      <c r="H308" t="n">
        <v>0</v>
      </c>
      <c r="I308" t="n">
        <v>0</v>
      </c>
      <c r="J308" t="n">
        <v>0</v>
      </c>
      <c r="K308" t="n">
        <v>0</v>
      </c>
      <c r="L308" t="n">
        <v>0</v>
      </c>
      <c r="M308" t="n">
        <v>0</v>
      </c>
      <c r="N308" t="n">
        <v>0</v>
      </c>
      <c r="O308" t="n">
        <v>0</v>
      </c>
      <c r="P308" t="n">
        <v>0</v>
      </c>
      <c r="Q308" t="n">
        <v>0</v>
      </c>
      <c r="R308" s="2" t="inlineStr"/>
    </row>
    <row r="309" ht="15" customHeight="1">
      <c r="A309" t="inlineStr">
        <is>
          <t>A 60328-2024</t>
        </is>
      </c>
      <c r="B309" s="1" t="n">
        <v>45643.38416666666</v>
      </c>
      <c r="C309" s="1" t="n">
        <v>46133</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44100-2025</t>
        </is>
      </c>
      <c r="B310" s="1" t="n">
        <v>45915.56707175926</v>
      </c>
      <c r="C310" s="1" t="n">
        <v>46133</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35016-2024</t>
        </is>
      </c>
      <c r="B311" s="1" t="n">
        <v>45527.59115740741</v>
      </c>
      <c r="C311" s="1" t="n">
        <v>46133</v>
      </c>
      <c r="D311" t="inlineStr">
        <is>
          <t>VÄSTMANLANDS LÄN</t>
        </is>
      </c>
      <c r="E311" t="inlineStr">
        <is>
          <t>SALA</t>
        </is>
      </c>
      <c r="G311" t="n">
        <v>0.4</v>
      </c>
      <c r="H311" t="n">
        <v>0</v>
      </c>
      <c r="I311" t="n">
        <v>0</v>
      </c>
      <c r="J311" t="n">
        <v>0</v>
      </c>
      <c r="K311" t="n">
        <v>0</v>
      </c>
      <c r="L311" t="n">
        <v>0</v>
      </c>
      <c r="M311" t="n">
        <v>0</v>
      </c>
      <c r="N311" t="n">
        <v>0</v>
      </c>
      <c r="O311" t="n">
        <v>0</v>
      </c>
      <c r="P311" t="n">
        <v>0</v>
      </c>
      <c r="Q311" t="n">
        <v>0</v>
      </c>
      <c r="R311" s="2" t="inlineStr"/>
    </row>
    <row r="312" ht="15" customHeight="1">
      <c r="A312" t="inlineStr">
        <is>
          <t>A 25897-2024</t>
        </is>
      </c>
      <c r="B312" s="1" t="n">
        <v>45467.54435185185</v>
      </c>
      <c r="C312" s="1" t="n">
        <v>46133</v>
      </c>
      <c r="D312" t="inlineStr">
        <is>
          <t>VÄSTMANLANDS LÄN</t>
        </is>
      </c>
      <c r="E312" t="inlineStr">
        <is>
          <t>SALA</t>
        </is>
      </c>
      <c r="G312" t="n">
        <v>9.9</v>
      </c>
      <c r="H312" t="n">
        <v>0</v>
      </c>
      <c r="I312" t="n">
        <v>0</v>
      </c>
      <c r="J312" t="n">
        <v>0</v>
      </c>
      <c r="K312" t="n">
        <v>0</v>
      </c>
      <c r="L312" t="n">
        <v>0</v>
      </c>
      <c r="M312" t="n">
        <v>0</v>
      </c>
      <c r="N312" t="n">
        <v>0</v>
      </c>
      <c r="O312" t="n">
        <v>0</v>
      </c>
      <c r="P312" t="n">
        <v>0</v>
      </c>
      <c r="Q312" t="n">
        <v>0</v>
      </c>
      <c r="R312" s="2" t="inlineStr"/>
    </row>
    <row r="313" ht="15" customHeight="1">
      <c r="A313" t="inlineStr">
        <is>
          <t>A 31072-2021</t>
        </is>
      </c>
      <c r="B313" s="1" t="n">
        <v>44368</v>
      </c>
      <c r="C313" s="1" t="n">
        <v>46133</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57371-2022</t>
        </is>
      </c>
      <c r="B314" s="1" t="n">
        <v>44896.43832175926</v>
      </c>
      <c r="C314" s="1" t="n">
        <v>46133</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22019-2021</t>
        </is>
      </c>
      <c r="B315" s="1" t="n">
        <v>44323</v>
      </c>
      <c r="C315" s="1" t="n">
        <v>46133</v>
      </c>
      <c r="D315" t="inlineStr">
        <is>
          <t>VÄSTMANLANDS LÄN</t>
        </is>
      </c>
      <c r="E315" t="inlineStr">
        <is>
          <t>SALA</t>
        </is>
      </c>
      <c r="G315" t="n">
        <v>1.9</v>
      </c>
      <c r="H315" t="n">
        <v>0</v>
      </c>
      <c r="I315" t="n">
        <v>0</v>
      </c>
      <c r="J315" t="n">
        <v>0</v>
      </c>
      <c r="K315" t="n">
        <v>0</v>
      </c>
      <c r="L315" t="n">
        <v>0</v>
      </c>
      <c r="M315" t="n">
        <v>0</v>
      </c>
      <c r="N315" t="n">
        <v>0</v>
      </c>
      <c r="O315" t="n">
        <v>0</v>
      </c>
      <c r="P315" t="n">
        <v>0</v>
      </c>
      <c r="Q315" t="n">
        <v>0</v>
      </c>
      <c r="R315" s="2" t="inlineStr"/>
    </row>
    <row r="316" ht="15" customHeight="1">
      <c r="A316" t="inlineStr">
        <is>
          <t>A 55784-2024</t>
        </is>
      </c>
      <c r="B316" s="1" t="n">
        <v>45623</v>
      </c>
      <c r="C316" s="1" t="n">
        <v>46133</v>
      </c>
      <c r="D316" t="inlineStr">
        <is>
          <t>VÄSTMANLANDS LÄN</t>
        </is>
      </c>
      <c r="E316" t="inlineStr">
        <is>
          <t>SALA</t>
        </is>
      </c>
      <c r="F316" t="inlineStr">
        <is>
          <t>Bergvik skog öst AB</t>
        </is>
      </c>
      <c r="G316" t="n">
        <v>28.4</v>
      </c>
      <c r="H316" t="n">
        <v>0</v>
      </c>
      <c r="I316" t="n">
        <v>0</v>
      </c>
      <c r="J316" t="n">
        <v>0</v>
      </c>
      <c r="K316" t="n">
        <v>0</v>
      </c>
      <c r="L316" t="n">
        <v>0</v>
      </c>
      <c r="M316" t="n">
        <v>0</v>
      </c>
      <c r="N316" t="n">
        <v>0</v>
      </c>
      <c r="O316" t="n">
        <v>0</v>
      </c>
      <c r="P316" t="n">
        <v>0</v>
      </c>
      <c r="Q316" t="n">
        <v>0</v>
      </c>
      <c r="R316" s="2" t="inlineStr"/>
    </row>
    <row r="317" ht="15" customHeight="1">
      <c r="A317" t="inlineStr">
        <is>
          <t>A 31608-2025</t>
        </is>
      </c>
      <c r="B317" s="1" t="n">
        <v>45833</v>
      </c>
      <c r="C317" s="1" t="n">
        <v>46133</v>
      </c>
      <c r="D317" t="inlineStr">
        <is>
          <t>VÄSTMANLANDS LÄN</t>
        </is>
      </c>
      <c r="E317" t="inlineStr">
        <is>
          <t>SALA</t>
        </is>
      </c>
      <c r="G317" t="n">
        <v>6.1</v>
      </c>
      <c r="H317" t="n">
        <v>0</v>
      </c>
      <c r="I317" t="n">
        <v>0</v>
      </c>
      <c r="J317" t="n">
        <v>0</v>
      </c>
      <c r="K317" t="n">
        <v>0</v>
      </c>
      <c r="L317" t="n">
        <v>0</v>
      </c>
      <c r="M317" t="n">
        <v>0</v>
      </c>
      <c r="N317" t="n">
        <v>0</v>
      </c>
      <c r="O317" t="n">
        <v>0</v>
      </c>
      <c r="P317" t="n">
        <v>0</v>
      </c>
      <c r="Q317" t="n">
        <v>0</v>
      </c>
      <c r="R317" s="2" t="inlineStr"/>
    </row>
    <row r="318" ht="15" customHeight="1">
      <c r="A318" t="inlineStr">
        <is>
          <t>A 30866-2025</t>
        </is>
      </c>
      <c r="B318" s="1" t="n">
        <v>45832.3246875</v>
      </c>
      <c r="C318" s="1" t="n">
        <v>46133</v>
      </c>
      <c r="D318" t="inlineStr">
        <is>
          <t>VÄSTMANLANDS LÄN</t>
        </is>
      </c>
      <c r="E318" t="inlineStr">
        <is>
          <t>SALA</t>
        </is>
      </c>
      <c r="G318" t="n">
        <v>14.3</v>
      </c>
      <c r="H318" t="n">
        <v>0</v>
      </c>
      <c r="I318" t="n">
        <v>0</v>
      </c>
      <c r="J318" t="n">
        <v>0</v>
      </c>
      <c r="K318" t="n">
        <v>0</v>
      </c>
      <c r="L318" t="n">
        <v>0</v>
      </c>
      <c r="M318" t="n">
        <v>0</v>
      </c>
      <c r="N318" t="n">
        <v>0</v>
      </c>
      <c r="O318" t="n">
        <v>0</v>
      </c>
      <c r="P318" t="n">
        <v>0</v>
      </c>
      <c r="Q318" t="n">
        <v>0</v>
      </c>
      <c r="R318" s="2" t="inlineStr"/>
    </row>
    <row r="319" ht="15" customHeight="1">
      <c r="A319" t="inlineStr">
        <is>
          <t>A 30874-2025</t>
        </is>
      </c>
      <c r="B319" s="1" t="n">
        <v>45832.34430555555</v>
      </c>
      <c r="C319" s="1" t="n">
        <v>46133</v>
      </c>
      <c r="D319" t="inlineStr">
        <is>
          <t>VÄSTMANLANDS LÄN</t>
        </is>
      </c>
      <c r="E319" t="inlineStr">
        <is>
          <t>SALA</t>
        </is>
      </c>
      <c r="G319" t="n">
        <v>8.4</v>
      </c>
      <c r="H319" t="n">
        <v>0</v>
      </c>
      <c r="I319" t="n">
        <v>0</v>
      </c>
      <c r="J319" t="n">
        <v>0</v>
      </c>
      <c r="K319" t="n">
        <v>0</v>
      </c>
      <c r="L319" t="n">
        <v>0</v>
      </c>
      <c r="M319" t="n">
        <v>0</v>
      </c>
      <c r="N319" t="n">
        <v>0</v>
      </c>
      <c r="O319" t="n">
        <v>0</v>
      </c>
      <c r="P319" t="n">
        <v>0</v>
      </c>
      <c r="Q319" t="n">
        <v>0</v>
      </c>
      <c r="R319" s="2" t="inlineStr"/>
    </row>
    <row r="320" ht="15" customHeight="1">
      <c r="A320" t="inlineStr">
        <is>
          <t>A 44524-2025</t>
        </is>
      </c>
      <c r="B320" s="1" t="n">
        <v>45916.72920138889</v>
      </c>
      <c r="C320" s="1" t="n">
        <v>46133</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31573-2025</t>
        </is>
      </c>
      <c r="B321" s="1" t="n">
        <v>45833</v>
      </c>
      <c r="C321" s="1" t="n">
        <v>46133</v>
      </c>
      <c r="D321" t="inlineStr">
        <is>
          <t>VÄSTMANLANDS LÄN</t>
        </is>
      </c>
      <c r="E321" t="inlineStr">
        <is>
          <t>SALA</t>
        </is>
      </c>
      <c r="G321" t="n">
        <v>0.6</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46133</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19803-2024</t>
        </is>
      </c>
      <c r="B323" s="1" t="n">
        <v>45432</v>
      </c>
      <c r="C323" s="1" t="n">
        <v>46133</v>
      </c>
      <c r="D323" t="inlineStr">
        <is>
          <t>VÄSTMANLANDS LÄN</t>
        </is>
      </c>
      <c r="E323" t="inlineStr">
        <is>
          <t>SALA</t>
        </is>
      </c>
      <c r="G323" t="n">
        <v>3.1</v>
      </c>
      <c r="H323" t="n">
        <v>0</v>
      </c>
      <c r="I323" t="n">
        <v>0</v>
      </c>
      <c r="J323" t="n">
        <v>0</v>
      </c>
      <c r="K323" t="n">
        <v>0</v>
      </c>
      <c r="L323" t="n">
        <v>0</v>
      </c>
      <c r="M323" t="n">
        <v>0</v>
      </c>
      <c r="N323" t="n">
        <v>0</v>
      </c>
      <c r="O323" t="n">
        <v>0</v>
      </c>
      <c r="P323" t="n">
        <v>0</v>
      </c>
      <c r="Q323" t="n">
        <v>0</v>
      </c>
      <c r="R323" s="2" t="inlineStr"/>
    </row>
    <row r="324" ht="15" customHeight="1">
      <c r="A324" t="inlineStr">
        <is>
          <t>A 31554-2025</t>
        </is>
      </c>
      <c r="B324" s="1" t="n">
        <v>45833</v>
      </c>
      <c r="C324" s="1" t="n">
        <v>46133</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44486-2025</t>
        </is>
      </c>
      <c r="B325" s="1" t="n">
        <v>45916.65517361111</v>
      </c>
      <c r="C325" s="1" t="n">
        <v>46133</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17722-2025</t>
        </is>
      </c>
      <c r="B326" s="1" t="n">
        <v>45758</v>
      </c>
      <c r="C326" s="1" t="n">
        <v>46133</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30899-2025</t>
        </is>
      </c>
      <c r="B327" s="1" t="n">
        <v>45832.35767361111</v>
      </c>
      <c r="C327" s="1" t="n">
        <v>46133</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63749-2025</t>
        </is>
      </c>
      <c r="B328" s="1" t="n">
        <v>46017.75243055556</v>
      </c>
      <c r="C328" s="1" t="n">
        <v>46133</v>
      </c>
      <c r="D328" t="inlineStr">
        <is>
          <t>VÄSTMANLANDS LÄN</t>
        </is>
      </c>
      <c r="E328" t="inlineStr">
        <is>
          <t>SALA</t>
        </is>
      </c>
      <c r="G328" t="n">
        <v>1.5</v>
      </c>
      <c r="H328" t="n">
        <v>0</v>
      </c>
      <c r="I328" t="n">
        <v>0</v>
      </c>
      <c r="J328" t="n">
        <v>0</v>
      </c>
      <c r="K328" t="n">
        <v>0</v>
      </c>
      <c r="L328" t="n">
        <v>0</v>
      </c>
      <c r="M328" t="n">
        <v>0</v>
      </c>
      <c r="N328" t="n">
        <v>0</v>
      </c>
      <c r="O328" t="n">
        <v>0</v>
      </c>
      <c r="P328" t="n">
        <v>0</v>
      </c>
      <c r="Q328" t="n">
        <v>0</v>
      </c>
      <c r="R328" s="2" t="inlineStr"/>
    </row>
    <row r="329" ht="15" customHeight="1">
      <c r="A329" t="inlineStr">
        <is>
          <t>A 31065-2025</t>
        </is>
      </c>
      <c r="B329" s="1" t="n">
        <v>45832.57571759259</v>
      </c>
      <c r="C329" s="1" t="n">
        <v>46133</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45177-2025</t>
        </is>
      </c>
      <c r="B330" s="1" t="n">
        <v>45919.52444444445</v>
      </c>
      <c r="C330" s="1" t="n">
        <v>46133</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63748-2025</t>
        </is>
      </c>
      <c r="B331" s="1" t="n">
        <v>46017.71640046296</v>
      </c>
      <c r="C331" s="1" t="n">
        <v>46133</v>
      </c>
      <c r="D331" t="inlineStr">
        <is>
          <t>VÄSTMANLANDS LÄN</t>
        </is>
      </c>
      <c r="E331" t="inlineStr">
        <is>
          <t>SALA</t>
        </is>
      </c>
      <c r="G331" t="n">
        <v>1.6</v>
      </c>
      <c r="H331" t="n">
        <v>0</v>
      </c>
      <c r="I331" t="n">
        <v>0</v>
      </c>
      <c r="J331" t="n">
        <v>0</v>
      </c>
      <c r="K331" t="n">
        <v>0</v>
      </c>
      <c r="L331" t="n">
        <v>0</v>
      </c>
      <c r="M331" t="n">
        <v>0</v>
      </c>
      <c r="N331" t="n">
        <v>0</v>
      </c>
      <c r="O331" t="n">
        <v>0</v>
      </c>
      <c r="P331" t="n">
        <v>0</v>
      </c>
      <c r="Q331" t="n">
        <v>0</v>
      </c>
      <c r="R331" s="2" t="inlineStr"/>
    </row>
    <row r="332" ht="15" customHeight="1">
      <c r="A332" t="inlineStr">
        <is>
          <t>A 31296-2025</t>
        </is>
      </c>
      <c r="B332" s="1" t="n">
        <v>45833.36765046296</v>
      </c>
      <c r="C332" s="1" t="n">
        <v>46133</v>
      </c>
      <c r="D332" t="inlineStr">
        <is>
          <t>VÄSTMANLANDS LÄN</t>
        </is>
      </c>
      <c r="E332" t="inlineStr">
        <is>
          <t>SALA</t>
        </is>
      </c>
      <c r="G332" t="n">
        <v>3.7</v>
      </c>
      <c r="H332" t="n">
        <v>0</v>
      </c>
      <c r="I332" t="n">
        <v>0</v>
      </c>
      <c r="J332" t="n">
        <v>0</v>
      </c>
      <c r="K332" t="n">
        <v>0</v>
      </c>
      <c r="L332" t="n">
        <v>0</v>
      </c>
      <c r="M332" t="n">
        <v>0</v>
      </c>
      <c r="N332" t="n">
        <v>0</v>
      </c>
      <c r="O332" t="n">
        <v>0</v>
      </c>
      <c r="P332" t="n">
        <v>0</v>
      </c>
      <c r="Q332" t="n">
        <v>0</v>
      </c>
      <c r="R332" s="2" t="inlineStr"/>
    </row>
    <row r="333" ht="15" customHeight="1">
      <c r="A333" t="inlineStr">
        <is>
          <t>A 7196-2025</t>
        </is>
      </c>
      <c r="B333" s="1" t="n">
        <v>45702</v>
      </c>
      <c r="C333" s="1" t="n">
        <v>46133</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31748-2025</t>
        </is>
      </c>
      <c r="B334" s="1" t="n">
        <v>45834</v>
      </c>
      <c r="C334" s="1" t="n">
        <v>46133</v>
      </c>
      <c r="D334" t="inlineStr">
        <is>
          <t>VÄSTMANLANDS LÄN</t>
        </is>
      </c>
      <c r="E334" t="inlineStr">
        <is>
          <t>SALA</t>
        </is>
      </c>
      <c r="G334" t="n">
        <v>2</v>
      </c>
      <c r="H334" t="n">
        <v>0</v>
      </c>
      <c r="I334" t="n">
        <v>0</v>
      </c>
      <c r="J334" t="n">
        <v>0</v>
      </c>
      <c r="K334" t="n">
        <v>0</v>
      </c>
      <c r="L334" t="n">
        <v>0</v>
      </c>
      <c r="M334" t="n">
        <v>0</v>
      </c>
      <c r="N334" t="n">
        <v>0</v>
      </c>
      <c r="O334" t="n">
        <v>0</v>
      </c>
      <c r="P334" t="n">
        <v>0</v>
      </c>
      <c r="Q334" t="n">
        <v>0</v>
      </c>
      <c r="R334" s="2" t="inlineStr"/>
    </row>
    <row r="335" ht="15" customHeight="1">
      <c r="A335" t="inlineStr">
        <is>
          <t>A 32210-2025</t>
        </is>
      </c>
      <c r="B335" s="1" t="n">
        <v>45835</v>
      </c>
      <c r="C335" s="1" t="n">
        <v>46133</v>
      </c>
      <c r="D335" t="inlineStr">
        <is>
          <t>VÄSTMANLANDS LÄN</t>
        </is>
      </c>
      <c r="E335" t="inlineStr">
        <is>
          <t>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40597-2022</t>
        </is>
      </c>
      <c r="B336" s="1" t="n">
        <v>44823.84862268518</v>
      </c>
      <c r="C336" s="1" t="n">
        <v>46133</v>
      </c>
      <c r="D336" t="inlineStr">
        <is>
          <t>VÄSTMANLANDS LÄN</t>
        </is>
      </c>
      <c r="E336" t="inlineStr">
        <is>
          <t>SALA</t>
        </is>
      </c>
      <c r="G336" t="n">
        <v>3.5</v>
      </c>
      <c r="H336" t="n">
        <v>0</v>
      </c>
      <c r="I336" t="n">
        <v>0</v>
      </c>
      <c r="J336" t="n">
        <v>0</v>
      </c>
      <c r="K336" t="n">
        <v>0</v>
      </c>
      <c r="L336" t="n">
        <v>0</v>
      </c>
      <c r="M336" t="n">
        <v>0</v>
      </c>
      <c r="N336" t="n">
        <v>0</v>
      </c>
      <c r="O336" t="n">
        <v>0</v>
      </c>
      <c r="P336" t="n">
        <v>0</v>
      </c>
      <c r="Q336" t="n">
        <v>0</v>
      </c>
      <c r="R336" s="2" t="inlineStr"/>
    </row>
    <row r="337" ht="15" customHeight="1">
      <c r="A337" t="inlineStr">
        <is>
          <t>A 31610-2025</t>
        </is>
      </c>
      <c r="B337" s="1" t="n">
        <v>45833.78650462963</v>
      </c>
      <c r="C337" s="1" t="n">
        <v>46133</v>
      </c>
      <c r="D337" t="inlineStr">
        <is>
          <t>VÄSTMANLANDS LÄN</t>
        </is>
      </c>
      <c r="E337" t="inlineStr">
        <is>
          <t>SALA</t>
        </is>
      </c>
      <c r="G337" t="n">
        <v>8</v>
      </c>
      <c r="H337" t="n">
        <v>0</v>
      </c>
      <c r="I337" t="n">
        <v>0</v>
      </c>
      <c r="J337" t="n">
        <v>0</v>
      </c>
      <c r="K337" t="n">
        <v>0</v>
      </c>
      <c r="L337" t="n">
        <v>0</v>
      </c>
      <c r="M337" t="n">
        <v>0</v>
      </c>
      <c r="N337" t="n">
        <v>0</v>
      </c>
      <c r="O337" t="n">
        <v>0</v>
      </c>
      <c r="P337" t="n">
        <v>0</v>
      </c>
      <c r="Q337" t="n">
        <v>0</v>
      </c>
      <c r="R337" s="2" t="inlineStr"/>
    </row>
    <row r="338" ht="15" customHeight="1">
      <c r="A338" t="inlineStr">
        <is>
          <t>A 43122-2025</t>
        </is>
      </c>
      <c r="B338" s="1" t="n">
        <v>45909</v>
      </c>
      <c r="C338" s="1" t="n">
        <v>46133</v>
      </c>
      <c r="D338" t="inlineStr">
        <is>
          <t>VÄSTMANLANDS LÄN</t>
        </is>
      </c>
      <c r="E338" t="inlineStr">
        <is>
          <t>SALA</t>
        </is>
      </c>
      <c r="G338" t="n">
        <v>3.2</v>
      </c>
      <c r="H338" t="n">
        <v>0</v>
      </c>
      <c r="I338" t="n">
        <v>0</v>
      </c>
      <c r="J338" t="n">
        <v>0</v>
      </c>
      <c r="K338" t="n">
        <v>0</v>
      </c>
      <c r="L338" t="n">
        <v>0</v>
      </c>
      <c r="M338" t="n">
        <v>0</v>
      </c>
      <c r="N338" t="n">
        <v>0</v>
      </c>
      <c r="O338" t="n">
        <v>0</v>
      </c>
      <c r="P338" t="n">
        <v>0</v>
      </c>
      <c r="Q338" t="n">
        <v>0</v>
      </c>
      <c r="R338" s="2" t="inlineStr"/>
    </row>
    <row r="339" ht="15" customHeight="1">
      <c r="A339" t="inlineStr">
        <is>
          <t>A 32201-2025</t>
        </is>
      </c>
      <c r="B339" s="1" t="n">
        <v>45835</v>
      </c>
      <c r="C339" s="1" t="n">
        <v>46133</v>
      </c>
      <c r="D339" t="inlineStr">
        <is>
          <t>VÄSTMANLANDS LÄN</t>
        </is>
      </c>
      <c r="E339" t="inlineStr">
        <is>
          <t>SALA</t>
        </is>
      </c>
      <c r="F339" t="inlineStr">
        <is>
          <t>Bergvik skog öst AB</t>
        </is>
      </c>
      <c r="G339" t="n">
        <v>1.8</v>
      </c>
      <c r="H339" t="n">
        <v>0</v>
      </c>
      <c r="I339" t="n">
        <v>0</v>
      </c>
      <c r="J339" t="n">
        <v>0</v>
      </c>
      <c r="K339" t="n">
        <v>0</v>
      </c>
      <c r="L339" t="n">
        <v>0</v>
      </c>
      <c r="M339" t="n">
        <v>0</v>
      </c>
      <c r="N339" t="n">
        <v>0</v>
      </c>
      <c r="O339" t="n">
        <v>0</v>
      </c>
      <c r="P339" t="n">
        <v>0</v>
      </c>
      <c r="Q339" t="n">
        <v>0</v>
      </c>
      <c r="R339" s="2" t="inlineStr"/>
    </row>
    <row r="340" ht="15" customHeight="1">
      <c r="A340" t="inlineStr">
        <is>
          <t>A 31612-2025</t>
        </is>
      </c>
      <c r="B340" s="1" t="n">
        <v>45833.80056712963</v>
      </c>
      <c r="C340" s="1" t="n">
        <v>46133</v>
      </c>
      <c r="D340" t="inlineStr">
        <is>
          <t>VÄSTMANLANDS LÄN</t>
        </is>
      </c>
      <c r="E340" t="inlineStr">
        <is>
          <t>SALA</t>
        </is>
      </c>
      <c r="G340" t="n">
        <v>6.3</v>
      </c>
      <c r="H340" t="n">
        <v>0</v>
      </c>
      <c r="I340" t="n">
        <v>0</v>
      </c>
      <c r="J340" t="n">
        <v>0</v>
      </c>
      <c r="K340" t="n">
        <v>0</v>
      </c>
      <c r="L340" t="n">
        <v>0</v>
      </c>
      <c r="M340" t="n">
        <v>0</v>
      </c>
      <c r="N340" t="n">
        <v>0</v>
      </c>
      <c r="O340" t="n">
        <v>0</v>
      </c>
      <c r="P340" t="n">
        <v>0</v>
      </c>
      <c r="Q340" t="n">
        <v>0</v>
      </c>
      <c r="R340" s="2" t="inlineStr"/>
    </row>
    <row r="341" ht="15" customHeight="1">
      <c r="A341" t="inlineStr">
        <is>
          <t>A 32207-2025</t>
        </is>
      </c>
      <c r="B341" s="1" t="n">
        <v>45835</v>
      </c>
      <c r="C341" s="1" t="n">
        <v>46133</v>
      </c>
      <c r="D341" t="inlineStr">
        <is>
          <t>VÄSTMANLANDS LÄN</t>
        </is>
      </c>
      <c r="E341" t="inlineStr">
        <is>
          <t>SALA</t>
        </is>
      </c>
      <c r="F341" t="inlineStr">
        <is>
          <t>Bergvik skog öst AB</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31762-2025</t>
        </is>
      </c>
      <c r="B342" s="1" t="n">
        <v>45834.49288194445</v>
      </c>
      <c r="C342" s="1" t="n">
        <v>46133</v>
      </c>
      <c r="D342" t="inlineStr">
        <is>
          <t>VÄSTMANLANDS LÄN</t>
        </is>
      </c>
      <c r="E342" t="inlineStr">
        <is>
          <t>SALA</t>
        </is>
      </c>
      <c r="G342" t="n">
        <v>5.9</v>
      </c>
      <c r="H342" t="n">
        <v>0</v>
      </c>
      <c r="I342" t="n">
        <v>0</v>
      </c>
      <c r="J342" t="n">
        <v>0</v>
      </c>
      <c r="K342" t="n">
        <v>0</v>
      </c>
      <c r="L342" t="n">
        <v>0</v>
      </c>
      <c r="M342" t="n">
        <v>0</v>
      </c>
      <c r="N342" t="n">
        <v>0</v>
      </c>
      <c r="O342" t="n">
        <v>0</v>
      </c>
      <c r="P342" t="n">
        <v>0</v>
      </c>
      <c r="Q342" t="n">
        <v>0</v>
      </c>
      <c r="R342" s="2" t="inlineStr"/>
    </row>
    <row r="343" ht="15" customHeight="1">
      <c r="A343" t="inlineStr">
        <is>
          <t>A 31771-2025</t>
        </is>
      </c>
      <c r="B343" s="1" t="n">
        <v>45834.50910879629</v>
      </c>
      <c r="C343" s="1" t="n">
        <v>46133</v>
      </c>
      <c r="D343" t="inlineStr">
        <is>
          <t>VÄSTMANLANDS LÄN</t>
        </is>
      </c>
      <c r="E343" t="inlineStr">
        <is>
          <t>SALA</t>
        </is>
      </c>
      <c r="G343" t="n">
        <v>5.1</v>
      </c>
      <c r="H343" t="n">
        <v>0</v>
      </c>
      <c r="I343" t="n">
        <v>0</v>
      </c>
      <c r="J343" t="n">
        <v>0</v>
      </c>
      <c r="K343" t="n">
        <v>0</v>
      </c>
      <c r="L343" t="n">
        <v>0</v>
      </c>
      <c r="M343" t="n">
        <v>0</v>
      </c>
      <c r="N343" t="n">
        <v>0</v>
      </c>
      <c r="O343" t="n">
        <v>0</v>
      </c>
      <c r="P343" t="n">
        <v>0</v>
      </c>
      <c r="Q343" t="n">
        <v>0</v>
      </c>
      <c r="R343" s="2" t="inlineStr"/>
    </row>
    <row r="344" ht="15" customHeight="1">
      <c r="A344" t="inlineStr">
        <is>
          <t>A 32205-2025</t>
        </is>
      </c>
      <c r="B344" s="1" t="n">
        <v>45835</v>
      </c>
      <c r="C344" s="1" t="n">
        <v>46133</v>
      </c>
      <c r="D344" t="inlineStr">
        <is>
          <t>VÄSTMANLANDS LÄN</t>
        </is>
      </c>
      <c r="E344" t="inlineStr">
        <is>
          <t>SALA</t>
        </is>
      </c>
      <c r="F344" t="inlineStr">
        <is>
          <t>Bergvik skog öst AB</t>
        </is>
      </c>
      <c r="G344" t="n">
        <v>1.1</v>
      </c>
      <c r="H344" t="n">
        <v>0</v>
      </c>
      <c r="I344" t="n">
        <v>0</v>
      </c>
      <c r="J344" t="n">
        <v>0</v>
      </c>
      <c r="K344" t="n">
        <v>0</v>
      </c>
      <c r="L344" t="n">
        <v>0</v>
      </c>
      <c r="M344" t="n">
        <v>0</v>
      </c>
      <c r="N344" t="n">
        <v>0</v>
      </c>
      <c r="O344" t="n">
        <v>0</v>
      </c>
      <c r="P344" t="n">
        <v>0</v>
      </c>
      <c r="Q344" t="n">
        <v>0</v>
      </c>
      <c r="R344" s="2" t="inlineStr"/>
    </row>
    <row r="345" ht="15" customHeight="1">
      <c r="A345" t="inlineStr">
        <is>
          <t>A 32286-2025</t>
        </is>
      </c>
      <c r="B345" s="1" t="n">
        <v>45835</v>
      </c>
      <c r="C345" s="1" t="n">
        <v>46133</v>
      </c>
      <c r="D345" t="inlineStr">
        <is>
          <t>VÄSTMANLANDS LÄN</t>
        </is>
      </c>
      <c r="E345" t="inlineStr">
        <is>
          <t>SALA</t>
        </is>
      </c>
      <c r="G345" t="n">
        <v>6.4</v>
      </c>
      <c r="H345" t="n">
        <v>0</v>
      </c>
      <c r="I345" t="n">
        <v>0</v>
      </c>
      <c r="J345" t="n">
        <v>0</v>
      </c>
      <c r="K345" t="n">
        <v>0</v>
      </c>
      <c r="L345" t="n">
        <v>0</v>
      </c>
      <c r="M345" t="n">
        <v>0</v>
      </c>
      <c r="N345" t="n">
        <v>0</v>
      </c>
      <c r="O345" t="n">
        <v>0</v>
      </c>
      <c r="P345" t="n">
        <v>0</v>
      </c>
      <c r="Q345" t="n">
        <v>0</v>
      </c>
      <c r="R345" s="2" t="inlineStr"/>
    </row>
    <row r="346" ht="15" customHeight="1">
      <c r="A346" t="inlineStr">
        <is>
          <t>A 64925-2023</t>
        </is>
      </c>
      <c r="B346" s="1" t="n">
        <v>45282</v>
      </c>
      <c r="C346" s="1" t="n">
        <v>46133</v>
      </c>
      <c r="D346" t="inlineStr">
        <is>
          <t>VÄSTMANLANDS LÄN</t>
        </is>
      </c>
      <c r="E346" t="inlineStr">
        <is>
          <t>SALA</t>
        </is>
      </c>
      <c r="G346" t="n">
        <v>2.5</v>
      </c>
      <c r="H346" t="n">
        <v>0</v>
      </c>
      <c r="I346" t="n">
        <v>0</v>
      </c>
      <c r="J346" t="n">
        <v>0</v>
      </c>
      <c r="K346" t="n">
        <v>0</v>
      </c>
      <c r="L346" t="n">
        <v>0</v>
      </c>
      <c r="M346" t="n">
        <v>0</v>
      </c>
      <c r="N346" t="n">
        <v>0</v>
      </c>
      <c r="O346" t="n">
        <v>0</v>
      </c>
      <c r="P346" t="n">
        <v>0</v>
      </c>
      <c r="Q346" t="n">
        <v>0</v>
      </c>
      <c r="R346" s="2" t="inlineStr"/>
    </row>
    <row r="347" ht="15" customHeight="1">
      <c r="A347" t="inlineStr">
        <is>
          <t>A 23406-2024</t>
        </is>
      </c>
      <c r="B347" s="1" t="n">
        <v>45453.58296296297</v>
      </c>
      <c r="C347" s="1" t="n">
        <v>46133</v>
      </c>
      <c r="D347" t="inlineStr">
        <is>
          <t>VÄSTMANLANDS LÄN</t>
        </is>
      </c>
      <c r="E347" t="inlineStr">
        <is>
          <t>SALA</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32902-2025</t>
        </is>
      </c>
      <c r="B348" s="1" t="n">
        <v>45839</v>
      </c>
      <c r="C348" s="1" t="n">
        <v>46133</v>
      </c>
      <c r="D348" t="inlineStr">
        <is>
          <t>VÄSTMANLANDS LÄN</t>
        </is>
      </c>
      <c r="E348" t="inlineStr">
        <is>
          <t>SALA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16133-2025</t>
        </is>
      </c>
      <c r="B349" s="1" t="n">
        <v>45750</v>
      </c>
      <c r="C349" s="1" t="n">
        <v>46133</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45371-2025</t>
        </is>
      </c>
      <c r="B350" s="1" t="n">
        <v>45922.39001157408</v>
      </c>
      <c r="C350" s="1" t="n">
        <v>46133</v>
      </c>
      <c r="D350" t="inlineStr">
        <is>
          <t>VÄSTMANLANDS LÄN</t>
        </is>
      </c>
      <c r="E350" t="inlineStr">
        <is>
          <t>SALA</t>
        </is>
      </c>
      <c r="G350" t="n">
        <v>2.1</v>
      </c>
      <c r="H350" t="n">
        <v>0</v>
      </c>
      <c r="I350" t="n">
        <v>0</v>
      </c>
      <c r="J350" t="n">
        <v>0</v>
      </c>
      <c r="K350" t="n">
        <v>0</v>
      </c>
      <c r="L350" t="n">
        <v>0</v>
      </c>
      <c r="M350" t="n">
        <v>0</v>
      </c>
      <c r="N350" t="n">
        <v>0</v>
      </c>
      <c r="O350" t="n">
        <v>0</v>
      </c>
      <c r="P350" t="n">
        <v>0</v>
      </c>
      <c r="Q350" t="n">
        <v>0</v>
      </c>
      <c r="R350" s="2" t="inlineStr"/>
    </row>
    <row r="351" ht="15" customHeight="1">
      <c r="A351" t="inlineStr">
        <is>
          <t>A 15099-2025</t>
        </is>
      </c>
      <c r="B351" s="1" t="n">
        <v>45744.3434837963</v>
      </c>
      <c r="C351" s="1" t="n">
        <v>46133</v>
      </c>
      <c r="D351" t="inlineStr">
        <is>
          <t>VÄSTMANLANDS LÄN</t>
        </is>
      </c>
      <c r="E351" t="inlineStr">
        <is>
          <t>SALA</t>
        </is>
      </c>
      <c r="F351" t="inlineStr">
        <is>
          <t>Sveaskog</t>
        </is>
      </c>
      <c r="G351" t="n">
        <v>14.4</v>
      </c>
      <c r="H351" t="n">
        <v>0</v>
      </c>
      <c r="I351" t="n">
        <v>0</v>
      </c>
      <c r="J351" t="n">
        <v>0</v>
      </c>
      <c r="K351" t="n">
        <v>0</v>
      </c>
      <c r="L351" t="n">
        <v>0</v>
      </c>
      <c r="M351" t="n">
        <v>0</v>
      </c>
      <c r="N351" t="n">
        <v>0</v>
      </c>
      <c r="O351" t="n">
        <v>0</v>
      </c>
      <c r="P351" t="n">
        <v>0</v>
      </c>
      <c r="Q351" t="n">
        <v>0</v>
      </c>
      <c r="R351" s="2" t="inlineStr"/>
    </row>
    <row r="352" ht="15" customHeight="1">
      <c r="A352" t="inlineStr">
        <is>
          <t>A 60036-2024</t>
        </is>
      </c>
      <c r="B352" s="1" t="n">
        <v>45642.46434027778</v>
      </c>
      <c r="C352" s="1" t="n">
        <v>46133</v>
      </c>
      <c r="D352" t="inlineStr">
        <is>
          <t>VÄSTMANLANDS LÄN</t>
        </is>
      </c>
      <c r="E352" t="inlineStr">
        <is>
          <t>SALA</t>
        </is>
      </c>
      <c r="G352" t="n">
        <v>2.5</v>
      </c>
      <c r="H352" t="n">
        <v>0</v>
      </c>
      <c r="I352" t="n">
        <v>0</v>
      </c>
      <c r="J352" t="n">
        <v>0</v>
      </c>
      <c r="K352" t="n">
        <v>0</v>
      </c>
      <c r="L352" t="n">
        <v>0</v>
      </c>
      <c r="M352" t="n">
        <v>0</v>
      </c>
      <c r="N352" t="n">
        <v>0</v>
      </c>
      <c r="O352" t="n">
        <v>0</v>
      </c>
      <c r="P352" t="n">
        <v>0</v>
      </c>
      <c r="Q352" t="n">
        <v>0</v>
      </c>
      <c r="R352" s="2" t="inlineStr"/>
    </row>
    <row r="353" ht="15" customHeight="1">
      <c r="A353" t="inlineStr">
        <is>
          <t>A 52827-2024</t>
        </is>
      </c>
      <c r="B353" s="1" t="n">
        <v>45610</v>
      </c>
      <c r="C353" s="1" t="n">
        <v>46133</v>
      </c>
      <c r="D353" t="inlineStr">
        <is>
          <t>VÄSTMANLANDS LÄN</t>
        </is>
      </c>
      <c r="E353" t="inlineStr">
        <is>
          <t>SALA</t>
        </is>
      </c>
      <c r="G353" t="n">
        <v>0.2</v>
      </c>
      <c r="H353" t="n">
        <v>0</v>
      </c>
      <c r="I353" t="n">
        <v>0</v>
      </c>
      <c r="J353" t="n">
        <v>0</v>
      </c>
      <c r="K353" t="n">
        <v>0</v>
      </c>
      <c r="L353" t="n">
        <v>0</v>
      </c>
      <c r="M353" t="n">
        <v>0</v>
      </c>
      <c r="N353" t="n">
        <v>0</v>
      </c>
      <c r="O353" t="n">
        <v>0</v>
      </c>
      <c r="P353" t="n">
        <v>0</v>
      </c>
      <c r="Q353" t="n">
        <v>0</v>
      </c>
      <c r="R353" s="2" t="inlineStr"/>
    </row>
    <row r="354" ht="15" customHeight="1">
      <c r="A354" t="inlineStr">
        <is>
          <t>A 16328-2025</t>
        </is>
      </c>
      <c r="B354" s="1" t="n">
        <v>45751</v>
      </c>
      <c r="C354" s="1" t="n">
        <v>46133</v>
      </c>
      <c r="D354" t="inlineStr">
        <is>
          <t>VÄSTMANLANDS LÄN</t>
        </is>
      </c>
      <c r="E354" t="inlineStr">
        <is>
          <t>SALA</t>
        </is>
      </c>
      <c r="G354" t="n">
        <v>2.9</v>
      </c>
      <c r="H354" t="n">
        <v>0</v>
      </c>
      <c r="I354" t="n">
        <v>0</v>
      </c>
      <c r="J354" t="n">
        <v>0</v>
      </c>
      <c r="K354" t="n">
        <v>0</v>
      </c>
      <c r="L354" t="n">
        <v>0</v>
      </c>
      <c r="M354" t="n">
        <v>0</v>
      </c>
      <c r="N354" t="n">
        <v>0</v>
      </c>
      <c r="O354" t="n">
        <v>0</v>
      </c>
      <c r="P354" t="n">
        <v>0</v>
      </c>
      <c r="Q354" t="n">
        <v>0</v>
      </c>
      <c r="R354" s="2" t="inlineStr"/>
    </row>
    <row r="355" ht="15" customHeight="1">
      <c r="A355" t="inlineStr">
        <is>
          <t>A 45914-2025</t>
        </is>
      </c>
      <c r="B355" s="1" t="n">
        <v>45923.82582175926</v>
      </c>
      <c r="C355" s="1" t="n">
        <v>46133</v>
      </c>
      <c r="D355" t="inlineStr">
        <is>
          <t>VÄSTMANLANDS LÄN</t>
        </is>
      </c>
      <c r="E355" t="inlineStr">
        <is>
          <t>SALA</t>
        </is>
      </c>
      <c r="F355" t="inlineStr">
        <is>
          <t>Kommuner</t>
        </is>
      </c>
      <c r="G355" t="n">
        <v>18.2</v>
      </c>
      <c r="H355" t="n">
        <v>0</v>
      </c>
      <c r="I355" t="n">
        <v>0</v>
      </c>
      <c r="J355" t="n">
        <v>0</v>
      </c>
      <c r="K355" t="n">
        <v>0</v>
      </c>
      <c r="L355" t="n">
        <v>0</v>
      </c>
      <c r="M355" t="n">
        <v>0</v>
      </c>
      <c r="N355" t="n">
        <v>0</v>
      </c>
      <c r="O355" t="n">
        <v>0</v>
      </c>
      <c r="P355" t="n">
        <v>0</v>
      </c>
      <c r="Q355" t="n">
        <v>0</v>
      </c>
      <c r="R355" s="2" t="inlineStr"/>
    </row>
    <row r="356" ht="15" customHeight="1">
      <c r="A356" t="inlineStr">
        <is>
          <t>A 66908-2021</t>
        </is>
      </c>
      <c r="B356" s="1" t="n">
        <v>44522</v>
      </c>
      <c r="C356" s="1" t="n">
        <v>46133</v>
      </c>
      <c r="D356" t="inlineStr">
        <is>
          <t>VÄSTMANLANDS LÄN</t>
        </is>
      </c>
      <c r="E356" t="inlineStr">
        <is>
          <t>SALA</t>
        </is>
      </c>
      <c r="G356" t="n">
        <v>2.6</v>
      </c>
      <c r="H356" t="n">
        <v>0</v>
      </c>
      <c r="I356" t="n">
        <v>0</v>
      </c>
      <c r="J356" t="n">
        <v>0</v>
      </c>
      <c r="K356" t="n">
        <v>0</v>
      </c>
      <c r="L356" t="n">
        <v>0</v>
      </c>
      <c r="M356" t="n">
        <v>0</v>
      </c>
      <c r="N356" t="n">
        <v>0</v>
      </c>
      <c r="O356" t="n">
        <v>0</v>
      </c>
      <c r="P356" t="n">
        <v>0</v>
      </c>
      <c r="Q356" t="n">
        <v>0</v>
      </c>
      <c r="R356" s="2" t="inlineStr"/>
    </row>
    <row r="357" ht="15" customHeight="1">
      <c r="A357" t="inlineStr">
        <is>
          <t>A 73835-2021</t>
        </is>
      </c>
      <c r="B357" s="1" t="n">
        <v>44552.92112268518</v>
      </c>
      <c r="C357" s="1" t="n">
        <v>46133</v>
      </c>
      <c r="D357" t="inlineStr">
        <is>
          <t>VÄSTMANLANDS LÄN</t>
        </is>
      </c>
      <c r="E357" t="inlineStr">
        <is>
          <t>SALA</t>
        </is>
      </c>
      <c r="G357" t="n">
        <v>2</v>
      </c>
      <c r="H357" t="n">
        <v>0</v>
      </c>
      <c r="I357" t="n">
        <v>0</v>
      </c>
      <c r="J357" t="n">
        <v>0</v>
      </c>
      <c r="K357" t="n">
        <v>0</v>
      </c>
      <c r="L357" t="n">
        <v>0</v>
      </c>
      <c r="M357" t="n">
        <v>0</v>
      </c>
      <c r="N357" t="n">
        <v>0</v>
      </c>
      <c r="O357" t="n">
        <v>0</v>
      </c>
      <c r="P357" t="n">
        <v>0</v>
      </c>
      <c r="Q357" t="n">
        <v>0</v>
      </c>
      <c r="R357" s="2" t="inlineStr"/>
    </row>
    <row r="358" ht="15" customHeight="1">
      <c r="A358" t="inlineStr">
        <is>
          <t>A 3810-2023</t>
        </is>
      </c>
      <c r="B358" s="1" t="n">
        <v>44951.60454861111</v>
      </c>
      <c r="C358" s="1" t="n">
        <v>46133</v>
      </c>
      <c r="D358" t="inlineStr">
        <is>
          <t>VÄSTMANLANDS LÄN</t>
        </is>
      </c>
      <c r="E358" t="inlineStr">
        <is>
          <t>SALA</t>
        </is>
      </c>
      <c r="G358" t="n">
        <v>4.2</v>
      </c>
      <c r="H358" t="n">
        <v>0</v>
      </c>
      <c r="I358" t="n">
        <v>0</v>
      </c>
      <c r="J358" t="n">
        <v>0</v>
      </c>
      <c r="K358" t="n">
        <v>0</v>
      </c>
      <c r="L358" t="n">
        <v>0</v>
      </c>
      <c r="M358" t="n">
        <v>0</v>
      </c>
      <c r="N358" t="n">
        <v>0</v>
      </c>
      <c r="O358" t="n">
        <v>0</v>
      </c>
      <c r="P358" t="n">
        <v>0</v>
      </c>
      <c r="Q358" t="n">
        <v>0</v>
      </c>
      <c r="R358" s="2" t="inlineStr"/>
    </row>
    <row r="359" ht="15" customHeight="1">
      <c r="A359" t="inlineStr">
        <is>
          <t>A 45909-2025</t>
        </is>
      </c>
      <c r="B359" s="1" t="n">
        <v>45923.75078703704</v>
      </c>
      <c r="C359" s="1" t="n">
        <v>46133</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34069-2025</t>
        </is>
      </c>
      <c r="B360" s="1" t="n">
        <v>45845.43560185185</v>
      </c>
      <c r="C360" s="1" t="n">
        <v>46133</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c r="U360">
        <f>HYPERLINK("https://klasma.github.io/Logging_1981/knärot/A 34069-2025 karta knärot.png", "A 34069-2025")</f>
        <v/>
      </c>
      <c r="V360">
        <f>HYPERLINK("https://klasma.github.io/Logging_1981/klagomål/A 34069-2025 FSC-klagomål.docx", "A 34069-2025")</f>
        <v/>
      </c>
      <c r="W360">
        <f>HYPERLINK("https://klasma.github.io/Logging_1981/klagomålsmail/A 34069-2025 FSC-klagomål mail.docx", "A 34069-2025")</f>
        <v/>
      </c>
      <c r="X360">
        <f>HYPERLINK("https://klasma.github.io/Logging_1981/tillsyn/A 34069-2025 tillsynsbegäran.docx", "A 34069-2025")</f>
        <v/>
      </c>
      <c r="Y360">
        <f>HYPERLINK("https://klasma.github.io/Logging_1981/tillsynsmail/A 34069-2025 tillsynsbegäran mail.docx", "A 34069-2025")</f>
        <v/>
      </c>
    </row>
    <row r="361" ht="15" customHeight="1">
      <c r="A361" t="inlineStr">
        <is>
          <t>A 15744-2025</t>
        </is>
      </c>
      <c r="B361" s="1" t="n">
        <v>45748</v>
      </c>
      <c r="C361" s="1" t="n">
        <v>46133</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12252-2023</t>
        </is>
      </c>
      <c r="B362" s="1" t="n">
        <v>44995</v>
      </c>
      <c r="C362" s="1" t="n">
        <v>46133</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46133</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910-2026</t>
        </is>
      </c>
      <c r="B364" s="1" t="n">
        <v>46030.4771412037</v>
      </c>
      <c r="C364" s="1" t="n">
        <v>46133</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914-2026</t>
        </is>
      </c>
      <c r="B365" s="1" t="n">
        <v>46030.47952546296</v>
      </c>
      <c r="C365" s="1" t="n">
        <v>46133</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948-2026</t>
        </is>
      </c>
      <c r="B366" s="1" t="n">
        <v>46030.53986111111</v>
      </c>
      <c r="C366" s="1" t="n">
        <v>46133</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46597-2025</t>
        </is>
      </c>
      <c r="B367" s="1" t="n">
        <v>45926.40113425926</v>
      </c>
      <c r="C367" s="1" t="n">
        <v>46133</v>
      </c>
      <c r="D367" t="inlineStr">
        <is>
          <t>VÄSTMANLANDS LÄN</t>
        </is>
      </c>
      <c r="E367" t="inlineStr">
        <is>
          <t>SALA</t>
        </is>
      </c>
      <c r="G367" t="n">
        <v>3.4</v>
      </c>
      <c r="H367" t="n">
        <v>0</v>
      </c>
      <c r="I367" t="n">
        <v>0</v>
      </c>
      <c r="J367" t="n">
        <v>0</v>
      </c>
      <c r="K367" t="n">
        <v>0</v>
      </c>
      <c r="L367" t="n">
        <v>0</v>
      </c>
      <c r="M367" t="n">
        <v>0</v>
      </c>
      <c r="N367" t="n">
        <v>0</v>
      </c>
      <c r="O367" t="n">
        <v>0</v>
      </c>
      <c r="P367" t="n">
        <v>0</v>
      </c>
      <c r="Q367" t="n">
        <v>0</v>
      </c>
      <c r="R367" s="2" t="inlineStr"/>
    </row>
    <row r="368" ht="15" customHeight="1">
      <c r="A368" t="inlineStr">
        <is>
          <t>A 25260-2023</t>
        </is>
      </c>
      <c r="B368" s="1" t="n">
        <v>45086</v>
      </c>
      <c r="C368" s="1" t="n">
        <v>46133</v>
      </c>
      <c r="D368" t="inlineStr">
        <is>
          <t>VÄSTMANLANDS LÄN</t>
        </is>
      </c>
      <c r="E368" t="inlineStr">
        <is>
          <t>SALA</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1705-2026</t>
        </is>
      </c>
      <c r="B369" s="1" t="n">
        <v>46034.59930555556</v>
      </c>
      <c r="C369" s="1" t="n">
        <v>46133</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57404-2024</t>
        </is>
      </c>
      <c r="B370" s="1" t="n">
        <v>45629.71967592592</v>
      </c>
      <c r="C370" s="1" t="n">
        <v>46133</v>
      </c>
      <c r="D370" t="inlineStr">
        <is>
          <t>VÄSTMANLANDS LÄN</t>
        </is>
      </c>
      <c r="E370" t="inlineStr">
        <is>
          <t>SALA</t>
        </is>
      </c>
      <c r="G370" t="n">
        <v>0.3</v>
      </c>
      <c r="H370" t="n">
        <v>0</v>
      </c>
      <c r="I370" t="n">
        <v>0</v>
      </c>
      <c r="J370" t="n">
        <v>0</v>
      </c>
      <c r="K370" t="n">
        <v>0</v>
      </c>
      <c r="L370" t="n">
        <v>0</v>
      </c>
      <c r="M370" t="n">
        <v>0</v>
      </c>
      <c r="N370" t="n">
        <v>0</v>
      </c>
      <c r="O370" t="n">
        <v>0</v>
      </c>
      <c r="P370" t="n">
        <v>0</v>
      </c>
      <c r="Q370" t="n">
        <v>0</v>
      </c>
      <c r="R370" s="2" t="inlineStr"/>
    </row>
    <row r="371" ht="15" customHeight="1">
      <c r="A371" t="inlineStr">
        <is>
          <t>A 47577-2025</t>
        </is>
      </c>
      <c r="B371" s="1" t="n">
        <v>45931.4047337963</v>
      </c>
      <c r="C371" s="1" t="n">
        <v>46133</v>
      </c>
      <c r="D371" t="inlineStr">
        <is>
          <t>VÄSTMANLANDS LÄN</t>
        </is>
      </c>
      <c r="E371" t="inlineStr">
        <is>
          <t>SALA</t>
        </is>
      </c>
      <c r="G371" t="n">
        <v>3.7</v>
      </c>
      <c r="H371" t="n">
        <v>0</v>
      </c>
      <c r="I371" t="n">
        <v>0</v>
      </c>
      <c r="J371" t="n">
        <v>0</v>
      </c>
      <c r="K371" t="n">
        <v>0</v>
      </c>
      <c r="L371" t="n">
        <v>0</v>
      </c>
      <c r="M371" t="n">
        <v>0</v>
      </c>
      <c r="N371" t="n">
        <v>0</v>
      </c>
      <c r="O371" t="n">
        <v>0</v>
      </c>
      <c r="P371" t="n">
        <v>0</v>
      </c>
      <c r="Q371" t="n">
        <v>0</v>
      </c>
      <c r="R371" s="2" t="inlineStr"/>
    </row>
    <row r="372" ht="15" customHeight="1">
      <c r="A372" t="inlineStr">
        <is>
          <t>A 13128-2023</t>
        </is>
      </c>
      <c r="B372" s="1" t="n">
        <v>45002</v>
      </c>
      <c r="C372" s="1" t="n">
        <v>46133</v>
      </c>
      <c r="D372" t="inlineStr">
        <is>
          <t>VÄSTMANLANDS LÄN</t>
        </is>
      </c>
      <c r="E372" t="inlineStr">
        <is>
          <t>SALA</t>
        </is>
      </c>
      <c r="G372" t="n">
        <v>7.9</v>
      </c>
      <c r="H372" t="n">
        <v>0</v>
      </c>
      <c r="I372" t="n">
        <v>0</v>
      </c>
      <c r="J372" t="n">
        <v>0</v>
      </c>
      <c r="K372" t="n">
        <v>0</v>
      </c>
      <c r="L372" t="n">
        <v>0</v>
      </c>
      <c r="M372" t="n">
        <v>0</v>
      </c>
      <c r="N372" t="n">
        <v>0</v>
      </c>
      <c r="O372" t="n">
        <v>0</v>
      </c>
      <c r="P372" t="n">
        <v>0</v>
      </c>
      <c r="Q372" t="n">
        <v>0</v>
      </c>
      <c r="R372" s="2" t="inlineStr"/>
    </row>
    <row r="373" ht="15" customHeight="1">
      <c r="A373" t="inlineStr">
        <is>
          <t>A 46661-2025</t>
        </is>
      </c>
      <c r="B373" s="1" t="n">
        <v>45926</v>
      </c>
      <c r="C373" s="1" t="n">
        <v>46133</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35775-2025</t>
        </is>
      </c>
      <c r="B374" s="1" t="n">
        <v>45860</v>
      </c>
      <c r="C374" s="1" t="n">
        <v>46133</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35779-2025</t>
        </is>
      </c>
      <c r="B375" s="1" t="n">
        <v>45860.69495370371</v>
      </c>
      <c r="C375" s="1" t="n">
        <v>46133</v>
      </c>
      <c r="D375" t="inlineStr">
        <is>
          <t>VÄSTMANLANDS LÄN</t>
        </is>
      </c>
      <c r="E375" t="inlineStr">
        <is>
          <t>SALA</t>
        </is>
      </c>
      <c r="G375" t="n">
        <v>2.4</v>
      </c>
      <c r="H375" t="n">
        <v>0</v>
      </c>
      <c r="I375" t="n">
        <v>0</v>
      </c>
      <c r="J375" t="n">
        <v>0</v>
      </c>
      <c r="K375" t="n">
        <v>0</v>
      </c>
      <c r="L375" t="n">
        <v>0</v>
      </c>
      <c r="M375" t="n">
        <v>0</v>
      </c>
      <c r="N375" t="n">
        <v>0</v>
      </c>
      <c r="O375" t="n">
        <v>0</v>
      </c>
      <c r="P375" t="n">
        <v>0</v>
      </c>
      <c r="Q375" t="n">
        <v>0</v>
      </c>
      <c r="R375" s="2" t="inlineStr"/>
    </row>
    <row r="376" ht="15" customHeight="1">
      <c r="A376" t="inlineStr">
        <is>
          <t>A 35776-2025</t>
        </is>
      </c>
      <c r="B376" s="1" t="n">
        <v>45860.69211805556</v>
      </c>
      <c r="C376" s="1" t="n">
        <v>46133</v>
      </c>
      <c r="D376" t="inlineStr">
        <is>
          <t>VÄSTMANLANDS LÄN</t>
        </is>
      </c>
      <c r="E376" t="inlineStr">
        <is>
          <t>SALA</t>
        </is>
      </c>
      <c r="G376" t="n">
        <v>14.2</v>
      </c>
      <c r="H376" t="n">
        <v>0</v>
      </c>
      <c r="I376" t="n">
        <v>0</v>
      </c>
      <c r="J376" t="n">
        <v>0</v>
      </c>
      <c r="K376" t="n">
        <v>0</v>
      </c>
      <c r="L376" t="n">
        <v>0</v>
      </c>
      <c r="M376" t="n">
        <v>0</v>
      </c>
      <c r="N376" t="n">
        <v>0</v>
      </c>
      <c r="O376" t="n">
        <v>0</v>
      </c>
      <c r="P376" t="n">
        <v>0</v>
      </c>
      <c r="Q376" t="n">
        <v>0</v>
      </c>
      <c r="R376" s="2" t="inlineStr"/>
    </row>
    <row r="377" ht="15" customHeight="1">
      <c r="A377" t="inlineStr">
        <is>
          <t>A 35715-2025</t>
        </is>
      </c>
      <c r="B377" s="1" t="n">
        <v>45860.42148148148</v>
      </c>
      <c r="C377" s="1" t="n">
        <v>46133</v>
      </c>
      <c r="D377" t="inlineStr">
        <is>
          <t>VÄSTMANLANDS LÄN</t>
        </is>
      </c>
      <c r="E377" t="inlineStr">
        <is>
          <t>SALA</t>
        </is>
      </c>
      <c r="G377" t="n">
        <v>3.8</v>
      </c>
      <c r="H377" t="n">
        <v>0</v>
      </c>
      <c r="I377" t="n">
        <v>0</v>
      </c>
      <c r="J377" t="n">
        <v>0</v>
      </c>
      <c r="K377" t="n">
        <v>0</v>
      </c>
      <c r="L377" t="n">
        <v>0</v>
      </c>
      <c r="M377" t="n">
        <v>0</v>
      </c>
      <c r="N377" t="n">
        <v>0</v>
      </c>
      <c r="O377" t="n">
        <v>0</v>
      </c>
      <c r="P377" t="n">
        <v>0</v>
      </c>
      <c r="Q377" t="n">
        <v>0</v>
      </c>
      <c r="R377" s="2" t="inlineStr"/>
    </row>
    <row r="378" ht="15" customHeight="1">
      <c r="A378" t="inlineStr">
        <is>
          <t>A 24864-2024</t>
        </is>
      </c>
      <c r="B378" s="1" t="n">
        <v>45461.48888888889</v>
      </c>
      <c r="C378" s="1" t="n">
        <v>46133</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35651-2025</t>
        </is>
      </c>
      <c r="B379" s="1" t="n">
        <v>45859.52435185185</v>
      </c>
      <c r="C379" s="1" t="n">
        <v>46133</v>
      </c>
      <c r="D379" t="inlineStr">
        <is>
          <t>VÄSTMANLANDS LÄN</t>
        </is>
      </c>
      <c r="E379" t="inlineStr">
        <is>
          <t>SALA</t>
        </is>
      </c>
      <c r="G379" t="n">
        <v>6.3</v>
      </c>
      <c r="H379" t="n">
        <v>0</v>
      </c>
      <c r="I379" t="n">
        <v>0</v>
      </c>
      <c r="J379" t="n">
        <v>0</v>
      </c>
      <c r="K379" t="n">
        <v>0</v>
      </c>
      <c r="L379" t="n">
        <v>0</v>
      </c>
      <c r="M379" t="n">
        <v>0</v>
      </c>
      <c r="N379" t="n">
        <v>0</v>
      </c>
      <c r="O379" t="n">
        <v>0</v>
      </c>
      <c r="P379" t="n">
        <v>0</v>
      </c>
      <c r="Q379" t="n">
        <v>0</v>
      </c>
      <c r="R379" s="2" t="inlineStr"/>
    </row>
    <row r="380" ht="15" customHeight="1">
      <c r="A380" t="inlineStr">
        <is>
          <t>A 35774-2025</t>
        </is>
      </c>
      <c r="B380" s="1" t="n">
        <v>45860.68780092592</v>
      </c>
      <c r="C380" s="1" t="n">
        <v>46133</v>
      </c>
      <c r="D380" t="inlineStr">
        <is>
          <t>VÄSTMANLANDS LÄN</t>
        </is>
      </c>
      <c r="E380" t="inlineStr">
        <is>
          <t>SALA</t>
        </is>
      </c>
      <c r="G380" t="n">
        <v>6.5</v>
      </c>
      <c r="H380" t="n">
        <v>0</v>
      </c>
      <c r="I380" t="n">
        <v>0</v>
      </c>
      <c r="J380" t="n">
        <v>0</v>
      </c>
      <c r="K380" t="n">
        <v>0</v>
      </c>
      <c r="L380" t="n">
        <v>0</v>
      </c>
      <c r="M380" t="n">
        <v>0</v>
      </c>
      <c r="N380" t="n">
        <v>0</v>
      </c>
      <c r="O380" t="n">
        <v>0</v>
      </c>
      <c r="P380" t="n">
        <v>0</v>
      </c>
      <c r="Q380" t="n">
        <v>0</v>
      </c>
      <c r="R380" s="2" t="inlineStr"/>
    </row>
    <row r="381" ht="15" customHeight="1">
      <c r="A381" t="inlineStr">
        <is>
          <t>A 36060-2025</t>
        </is>
      </c>
      <c r="B381" s="1" t="n">
        <v>45866.39469907407</v>
      </c>
      <c r="C381" s="1" t="n">
        <v>46133</v>
      </c>
      <c r="D381" t="inlineStr">
        <is>
          <t>VÄSTMANLANDS LÄN</t>
        </is>
      </c>
      <c r="E381" t="inlineStr">
        <is>
          <t>SALA</t>
        </is>
      </c>
      <c r="F381" t="inlineStr">
        <is>
          <t>Kommuner</t>
        </is>
      </c>
      <c r="G381" t="n">
        <v>4.3</v>
      </c>
      <c r="H381" t="n">
        <v>0</v>
      </c>
      <c r="I381" t="n">
        <v>0</v>
      </c>
      <c r="J381" t="n">
        <v>0</v>
      </c>
      <c r="K381" t="n">
        <v>0</v>
      </c>
      <c r="L381" t="n">
        <v>0</v>
      </c>
      <c r="M381" t="n">
        <v>0</v>
      </c>
      <c r="N381" t="n">
        <v>0</v>
      </c>
      <c r="O381" t="n">
        <v>0</v>
      </c>
      <c r="P381" t="n">
        <v>0</v>
      </c>
      <c r="Q381" t="n">
        <v>0</v>
      </c>
      <c r="R381" s="2" t="inlineStr"/>
    </row>
    <row r="382" ht="15" customHeight="1">
      <c r="A382" t="inlineStr">
        <is>
          <t>A 48057-2025</t>
        </is>
      </c>
      <c r="B382" s="1" t="n">
        <v>45932.67947916667</v>
      </c>
      <c r="C382" s="1" t="n">
        <v>46133</v>
      </c>
      <c r="D382" t="inlineStr">
        <is>
          <t>VÄSTMANLANDS LÄN</t>
        </is>
      </c>
      <c r="E382" t="inlineStr">
        <is>
          <t>SALA</t>
        </is>
      </c>
      <c r="G382" t="n">
        <v>4.3</v>
      </c>
      <c r="H382" t="n">
        <v>0</v>
      </c>
      <c r="I382" t="n">
        <v>0</v>
      </c>
      <c r="J382" t="n">
        <v>0</v>
      </c>
      <c r="K382" t="n">
        <v>0</v>
      </c>
      <c r="L382" t="n">
        <v>0</v>
      </c>
      <c r="M382" t="n">
        <v>0</v>
      </c>
      <c r="N382" t="n">
        <v>0</v>
      </c>
      <c r="O382" t="n">
        <v>0</v>
      </c>
      <c r="P382" t="n">
        <v>0</v>
      </c>
      <c r="Q382" t="n">
        <v>0</v>
      </c>
      <c r="R382" s="2" t="inlineStr"/>
    </row>
    <row r="383" ht="15" customHeight="1">
      <c r="A383" t="inlineStr">
        <is>
          <t>A 36031-2025</t>
        </is>
      </c>
      <c r="B383" s="1" t="n">
        <v>45865.46111111111</v>
      </c>
      <c r="C383" s="1" t="n">
        <v>46133</v>
      </c>
      <c r="D383" t="inlineStr">
        <is>
          <t>VÄSTMANLANDS LÄN</t>
        </is>
      </c>
      <c r="E383" t="inlineStr">
        <is>
          <t>SALA</t>
        </is>
      </c>
      <c r="G383" t="n">
        <v>7.2</v>
      </c>
      <c r="H383" t="n">
        <v>0</v>
      </c>
      <c r="I383" t="n">
        <v>0</v>
      </c>
      <c r="J383" t="n">
        <v>0</v>
      </c>
      <c r="K383" t="n">
        <v>0</v>
      </c>
      <c r="L383" t="n">
        <v>0</v>
      </c>
      <c r="M383" t="n">
        <v>0</v>
      </c>
      <c r="N383" t="n">
        <v>0</v>
      </c>
      <c r="O383" t="n">
        <v>0</v>
      </c>
      <c r="P383" t="n">
        <v>0</v>
      </c>
      <c r="Q383" t="n">
        <v>0</v>
      </c>
      <c r="R383" s="2" t="inlineStr"/>
    </row>
    <row r="384" ht="15" customHeight="1">
      <c r="A384" t="inlineStr">
        <is>
          <t>A 36043-2025</t>
        </is>
      </c>
      <c r="B384" s="1" t="n">
        <v>45866.35333333333</v>
      </c>
      <c r="C384" s="1" t="n">
        <v>46133</v>
      </c>
      <c r="D384" t="inlineStr">
        <is>
          <t>VÄSTMANLANDS LÄN</t>
        </is>
      </c>
      <c r="E384" t="inlineStr">
        <is>
          <t>SALA</t>
        </is>
      </c>
      <c r="F384" t="inlineStr">
        <is>
          <t>Kommuner</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36032-2025</t>
        </is>
      </c>
      <c r="B385" s="1" t="n">
        <v>45865.48740740741</v>
      </c>
      <c r="C385" s="1" t="n">
        <v>46133</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36049-2025</t>
        </is>
      </c>
      <c r="B386" s="1" t="n">
        <v>45866.37065972222</v>
      </c>
      <c r="C386" s="1" t="n">
        <v>46133</v>
      </c>
      <c r="D386" t="inlineStr">
        <is>
          <t>VÄSTMANLANDS LÄN</t>
        </is>
      </c>
      <c r="E386" t="inlineStr">
        <is>
          <t>SALA</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24755-2021</t>
        </is>
      </c>
      <c r="B387" s="1" t="n">
        <v>44340</v>
      </c>
      <c r="C387" s="1" t="n">
        <v>46133</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48710-2025</t>
        </is>
      </c>
      <c r="B388" s="1" t="n">
        <v>45936.63184027778</v>
      </c>
      <c r="C388" s="1" t="n">
        <v>46133</v>
      </c>
      <c r="D388" t="inlineStr">
        <is>
          <t>VÄSTMANLANDS LÄN</t>
        </is>
      </c>
      <c r="E388" t="inlineStr">
        <is>
          <t>SALA</t>
        </is>
      </c>
      <c r="G388" t="n">
        <v>2.7</v>
      </c>
      <c r="H388" t="n">
        <v>0</v>
      </c>
      <c r="I388" t="n">
        <v>0</v>
      </c>
      <c r="J388" t="n">
        <v>0</v>
      </c>
      <c r="K388" t="n">
        <v>0</v>
      </c>
      <c r="L388" t="n">
        <v>0</v>
      </c>
      <c r="M388" t="n">
        <v>0</v>
      </c>
      <c r="N388" t="n">
        <v>0</v>
      </c>
      <c r="O388" t="n">
        <v>0</v>
      </c>
      <c r="P388" t="n">
        <v>0</v>
      </c>
      <c r="Q388" t="n">
        <v>0</v>
      </c>
      <c r="R388" s="2" t="inlineStr"/>
    </row>
    <row r="389" ht="15" customHeight="1">
      <c r="A389" t="inlineStr">
        <is>
          <t>A 36045-2025</t>
        </is>
      </c>
      <c r="B389" s="1" t="n">
        <v>45866.36200231482</v>
      </c>
      <c r="C389" s="1" t="n">
        <v>46133</v>
      </c>
      <c r="D389" t="inlineStr">
        <is>
          <t>VÄSTMANLANDS LÄN</t>
        </is>
      </c>
      <c r="E389" t="inlineStr">
        <is>
          <t>SALA</t>
        </is>
      </c>
      <c r="F389" t="inlineStr">
        <is>
          <t>Kommuner</t>
        </is>
      </c>
      <c r="G389" t="n">
        <v>1.7</v>
      </c>
      <c r="H389" t="n">
        <v>0</v>
      </c>
      <c r="I389" t="n">
        <v>0</v>
      </c>
      <c r="J389" t="n">
        <v>0</v>
      </c>
      <c r="K389" t="n">
        <v>0</v>
      </c>
      <c r="L389" t="n">
        <v>0</v>
      </c>
      <c r="M389" t="n">
        <v>0</v>
      </c>
      <c r="N389" t="n">
        <v>0</v>
      </c>
      <c r="O389" t="n">
        <v>0</v>
      </c>
      <c r="P389" t="n">
        <v>0</v>
      </c>
      <c r="Q389" t="n">
        <v>0</v>
      </c>
      <c r="R389" s="2" t="inlineStr"/>
    </row>
    <row r="390" ht="15" customHeight="1">
      <c r="A390" t="inlineStr">
        <is>
          <t>A 48910-2025</t>
        </is>
      </c>
      <c r="B390" s="1" t="n">
        <v>45937.48649305556</v>
      </c>
      <c r="C390" s="1" t="n">
        <v>46133</v>
      </c>
      <c r="D390" t="inlineStr">
        <is>
          <t>VÄSTMANLANDS LÄN</t>
        </is>
      </c>
      <c r="E390" t="inlineStr">
        <is>
          <t>SALA</t>
        </is>
      </c>
      <c r="G390" t="n">
        <v>7.8</v>
      </c>
      <c r="H390" t="n">
        <v>0</v>
      </c>
      <c r="I390" t="n">
        <v>0</v>
      </c>
      <c r="J390" t="n">
        <v>0</v>
      </c>
      <c r="K390" t="n">
        <v>0</v>
      </c>
      <c r="L390" t="n">
        <v>0</v>
      </c>
      <c r="M390" t="n">
        <v>0</v>
      </c>
      <c r="N390" t="n">
        <v>0</v>
      </c>
      <c r="O390" t="n">
        <v>0</v>
      </c>
      <c r="P390" t="n">
        <v>0</v>
      </c>
      <c r="Q390" t="n">
        <v>0</v>
      </c>
      <c r="R390" s="2" t="inlineStr"/>
    </row>
    <row r="391" ht="15" customHeight="1">
      <c r="A391" t="inlineStr">
        <is>
          <t>A 17766-2025</t>
        </is>
      </c>
      <c r="B391" s="1" t="n">
        <v>45758</v>
      </c>
      <c r="C391" s="1" t="n">
        <v>46133</v>
      </c>
      <c r="D391" t="inlineStr">
        <is>
          <t>VÄSTMANLANDS LÄN</t>
        </is>
      </c>
      <c r="E391" t="inlineStr">
        <is>
          <t>SALA</t>
        </is>
      </c>
      <c r="G391" t="n">
        <v>16.5</v>
      </c>
      <c r="H391" t="n">
        <v>0</v>
      </c>
      <c r="I391" t="n">
        <v>0</v>
      </c>
      <c r="J391" t="n">
        <v>0</v>
      </c>
      <c r="K391" t="n">
        <v>0</v>
      </c>
      <c r="L391" t="n">
        <v>0</v>
      </c>
      <c r="M391" t="n">
        <v>0</v>
      </c>
      <c r="N391" t="n">
        <v>0</v>
      </c>
      <c r="O391" t="n">
        <v>0</v>
      </c>
      <c r="P391" t="n">
        <v>0</v>
      </c>
      <c r="Q391" t="n">
        <v>0</v>
      </c>
      <c r="R391" s="2" t="inlineStr"/>
    </row>
    <row r="392" ht="15" customHeight="1">
      <c r="A392" t="inlineStr">
        <is>
          <t>A 49585-2025</t>
        </is>
      </c>
      <c r="B392" s="1" t="n">
        <v>45939.5043287037</v>
      </c>
      <c r="C392" s="1" t="n">
        <v>46133</v>
      </c>
      <c r="D392" t="inlineStr">
        <is>
          <t>VÄSTMANLANDS LÄN</t>
        </is>
      </c>
      <c r="E392" t="inlineStr">
        <is>
          <t>SALA</t>
        </is>
      </c>
      <c r="G392" t="n">
        <v>2.2</v>
      </c>
      <c r="H392" t="n">
        <v>0</v>
      </c>
      <c r="I392" t="n">
        <v>0</v>
      </c>
      <c r="J392" t="n">
        <v>0</v>
      </c>
      <c r="K392" t="n">
        <v>0</v>
      </c>
      <c r="L392" t="n">
        <v>0</v>
      </c>
      <c r="M392" t="n">
        <v>0</v>
      </c>
      <c r="N392" t="n">
        <v>0</v>
      </c>
      <c r="O392" t="n">
        <v>0</v>
      </c>
      <c r="P392" t="n">
        <v>0</v>
      </c>
      <c r="Q392" t="n">
        <v>0</v>
      </c>
      <c r="R392" s="2" t="inlineStr"/>
    </row>
    <row r="393" ht="15" customHeight="1">
      <c r="A393" t="inlineStr">
        <is>
          <t>A 31863-2025</t>
        </is>
      </c>
      <c r="B393" s="1" t="n">
        <v>45834.63303240741</v>
      </c>
      <c r="C393" s="1" t="n">
        <v>46133</v>
      </c>
      <c r="D393" t="inlineStr">
        <is>
          <t>VÄSTMANLANDS LÄN</t>
        </is>
      </c>
      <c r="E393" t="inlineStr">
        <is>
          <t>SALA</t>
        </is>
      </c>
      <c r="G393" t="n">
        <v>2.5</v>
      </c>
      <c r="H393" t="n">
        <v>0</v>
      </c>
      <c r="I393" t="n">
        <v>0</v>
      </c>
      <c r="J393" t="n">
        <v>0</v>
      </c>
      <c r="K393" t="n">
        <v>0</v>
      </c>
      <c r="L393" t="n">
        <v>0</v>
      </c>
      <c r="M393" t="n">
        <v>0</v>
      </c>
      <c r="N393" t="n">
        <v>0</v>
      </c>
      <c r="O393" t="n">
        <v>0</v>
      </c>
      <c r="P393" t="n">
        <v>0</v>
      </c>
      <c r="Q393" t="n">
        <v>0</v>
      </c>
      <c r="R393" s="2" t="inlineStr"/>
    </row>
    <row r="394" ht="15" customHeight="1">
      <c r="A394" t="inlineStr">
        <is>
          <t>A 3546-2025</t>
        </is>
      </c>
      <c r="B394" s="1" t="n">
        <v>45680</v>
      </c>
      <c r="C394" s="1" t="n">
        <v>46133</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31869-2025</t>
        </is>
      </c>
      <c r="B395" s="1" t="n">
        <v>45834.64555555556</v>
      </c>
      <c r="C395" s="1" t="n">
        <v>46133</v>
      </c>
      <c r="D395" t="inlineStr">
        <is>
          <t>VÄSTMANLANDS LÄN</t>
        </is>
      </c>
      <c r="E395" t="inlineStr">
        <is>
          <t>SALA</t>
        </is>
      </c>
      <c r="G395" t="n">
        <v>17.5</v>
      </c>
      <c r="H395" t="n">
        <v>0</v>
      </c>
      <c r="I395" t="n">
        <v>0</v>
      </c>
      <c r="J395" t="n">
        <v>0</v>
      </c>
      <c r="K395" t="n">
        <v>0</v>
      </c>
      <c r="L395" t="n">
        <v>0</v>
      </c>
      <c r="M395" t="n">
        <v>0</v>
      </c>
      <c r="N395" t="n">
        <v>0</v>
      </c>
      <c r="O395" t="n">
        <v>0</v>
      </c>
      <c r="P395" t="n">
        <v>0</v>
      </c>
      <c r="Q395" t="n">
        <v>0</v>
      </c>
      <c r="R395" s="2" t="inlineStr"/>
    </row>
    <row r="396" ht="15" customHeight="1">
      <c r="A396" t="inlineStr">
        <is>
          <t>A 7664-2023</t>
        </is>
      </c>
      <c r="B396" s="1" t="n">
        <v>44972</v>
      </c>
      <c r="C396" s="1" t="n">
        <v>46133</v>
      </c>
      <c r="D396" t="inlineStr">
        <is>
          <t>VÄSTMANLANDS LÄN</t>
        </is>
      </c>
      <c r="E396" t="inlineStr">
        <is>
          <t>SALA</t>
        </is>
      </c>
      <c r="G396" t="n">
        <v>1.4</v>
      </c>
      <c r="H396" t="n">
        <v>0</v>
      </c>
      <c r="I396" t="n">
        <v>0</v>
      </c>
      <c r="J396" t="n">
        <v>0</v>
      </c>
      <c r="K396" t="n">
        <v>0</v>
      </c>
      <c r="L396" t="n">
        <v>0</v>
      </c>
      <c r="M396" t="n">
        <v>0</v>
      </c>
      <c r="N396" t="n">
        <v>0</v>
      </c>
      <c r="O396" t="n">
        <v>0</v>
      </c>
      <c r="P396" t="n">
        <v>0</v>
      </c>
      <c r="Q396" t="n">
        <v>0</v>
      </c>
      <c r="R396" s="2" t="inlineStr"/>
    </row>
    <row r="397" ht="15" customHeight="1">
      <c r="A397" t="inlineStr">
        <is>
          <t>A 49640-2025</t>
        </is>
      </c>
      <c r="B397" s="1" t="n">
        <v>45939.61459490741</v>
      </c>
      <c r="C397" s="1" t="n">
        <v>46133</v>
      </c>
      <c r="D397" t="inlineStr">
        <is>
          <t>VÄSTMANLANDS LÄN</t>
        </is>
      </c>
      <c r="E397" t="inlineStr">
        <is>
          <t>SALA</t>
        </is>
      </c>
      <c r="F397" t="inlineStr">
        <is>
          <t>Kommuner</t>
        </is>
      </c>
      <c r="G397" t="n">
        <v>18.8</v>
      </c>
      <c r="H397" t="n">
        <v>0</v>
      </c>
      <c r="I397" t="n">
        <v>0</v>
      </c>
      <c r="J397" t="n">
        <v>0</v>
      </c>
      <c r="K397" t="n">
        <v>0</v>
      </c>
      <c r="L397" t="n">
        <v>0</v>
      </c>
      <c r="M397" t="n">
        <v>0</v>
      </c>
      <c r="N397" t="n">
        <v>0</v>
      </c>
      <c r="O397" t="n">
        <v>0</v>
      </c>
      <c r="P397" t="n">
        <v>0</v>
      </c>
      <c r="Q397" t="n">
        <v>0</v>
      </c>
      <c r="R397" s="2" t="inlineStr"/>
    </row>
    <row r="398" ht="15" customHeight="1">
      <c r="A398" t="inlineStr">
        <is>
          <t>A 17985-2025</t>
        </is>
      </c>
      <c r="B398" s="1" t="n">
        <v>45761</v>
      </c>
      <c r="C398" s="1" t="n">
        <v>46133</v>
      </c>
      <c r="D398" t="inlineStr">
        <is>
          <t>VÄSTMANLANDS LÄN</t>
        </is>
      </c>
      <c r="E398" t="inlineStr">
        <is>
          <t>SALA</t>
        </is>
      </c>
      <c r="G398" t="n">
        <v>12.5</v>
      </c>
      <c r="H398" t="n">
        <v>0</v>
      </c>
      <c r="I398" t="n">
        <v>0</v>
      </c>
      <c r="J398" t="n">
        <v>0</v>
      </c>
      <c r="K398" t="n">
        <v>0</v>
      </c>
      <c r="L398" t="n">
        <v>0</v>
      </c>
      <c r="M398" t="n">
        <v>0</v>
      </c>
      <c r="N398" t="n">
        <v>0</v>
      </c>
      <c r="O398" t="n">
        <v>0</v>
      </c>
      <c r="P398" t="n">
        <v>0</v>
      </c>
      <c r="Q398" t="n">
        <v>0</v>
      </c>
      <c r="R398" s="2" t="inlineStr"/>
    </row>
    <row r="399" ht="15" customHeight="1">
      <c r="A399" t="inlineStr">
        <is>
          <t>A 28696-2023</t>
        </is>
      </c>
      <c r="B399" s="1" t="n">
        <v>45103.71759259259</v>
      </c>
      <c r="C399" s="1" t="n">
        <v>46133</v>
      </c>
      <c r="D399" t="inlineStr">
        <is>
          <t>VÄSTMANLANDS LÄN</t>
        </is>
      </c>
      <c r="E399" t="inlineStr">
        <is>
          <t>SALA</t>
        </is>
      </c>
      <c r="F399" t="inlineStr">
        <is>
          <t>Kommuner</t>
        </is>
      </c>
      <c r="G399" t="n">
        <v>5.9</v>
      </c>
      <c r="H399" t="n">
        <v>0</v>
      </c>
      <c r="I399" t="n">
        <v>0</v>
      </c>
      <c r="J399" t="n">
        <v>0</v>
      </c>
      <c r="K399" t="n">
        <v>0</v>
      </c>
      <c r="L399" t="n">
        <v>0</v>
      </c>
      <c r="M399" t="n">
        <v>0</v>
      </c>
      <c r="N399" t="n">
        <v>0</v>
      </c>
      <c r="O399" t="n">
        <v>0</v>
      </c>
      <c r="P399" t="n">
        <v>0</v>
      </c>
      <c r="Q399" t="n">
        <v>0</v>
      </c>
      <c r="R399" s="2" t="inlineStr"/>
    </row>
    <row r="400" ht="15" customHeight="1">
      <c r="A400" t="inlineStr">
        <is>
          <t>A 6691-2025</t>
        </is>
      </c>
      <c r="B400" s="1" t="n">
        <v>45700.50625</v>
      </c>
      <c r="C400" s="1" t="n">
        <v>46133</v>
      </c>
      <c r="D400" t="inlineStr">
        <is>
          <t>VÄSTMANLANDS LÄN</t>
        </is>
      </c>
      <c r="E400" t="inlineStr">
        <is>
          <t>SALA</t>
        </is>
      </c>
      <c r="G400" t="n">
        <v>2.1</v>
      </c>
      <c r="H400" t="n">
        <v>0</v>
      </c>
      <c r="I400" t="n">
        <v>0</v>
      </c>
      <c r="J400" t="n">
        <v>0</v>
      </c>
      <c r="K400" t="n">
        <v>0</v>
      </c>
      <c r="L400" t="n">
        <v>0</v>
      </c>
      <c r="M400" t="n">
        <v>0</v>
      </c>
      <c r="N400" t="n">
        <v>0</v>
      </c>
      <c r="O400" t="n">
        <v>0</v>
      </c>
      <c r="P400" t="n">
        <v>0</v>
      </c>
      <c r="Q400" t="n">
        <v>0</v>
      </c>
      <c r="R400" s="2" t="inlineStr"/>
    </row>
    <row r="401" ht="15" customHeight="1">
      <c r="A401" t="inlineStr">
        <is>
          <t>A 1934-2023</t>
        </is>
      </c>
      <c r="B401" s="1" t="n">
        <v>44939.43024305555</v>
      </c>
      <c r="C401" s="1" t="n">
        <v>46133</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35519-2024</t>
        </is>
      </c>
      <c r="B402" s="1" t="n">
        <v>45531</v>
      </c>
      <c r="C402" s="1" t="n">
        <v>46133</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37103-2025</t>
        </is>
      </c>
      <c r="B403" s="1" t="n">
        <v>45875.47743055555</v>
      </c>
      <c r="C403" s="1" t="n">
        <v>46133</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50128-2025</t>
        </is>
      </c>
      <c r="B404" s="1" t="n">
        <v>45943.55318287037</v>
      </c>
      <c r="C404" s="1" t="n">
        <v>46133</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50119-2025</t>
        </is>
      </c>
      <c r="B405" s="1" t="n">
        <v>45943.54883101852</v>
      </c>
      <c r="C405" s="1" t="n">
        <v>46133</v>
      </c>
      <c r="D405" t="inlineStr">
        <is>
          <t>VÄSTMANLANDS LÄN</t>
        </is>
      </c>
      <c r="E405" t="inlineStr">
        <is>
          <t>SALA</t>
        </is>
      </c>
      <c r="G405" t="n">
        <v>3.3</v>
      </c>
      <c r="H405" t="n">
        <v>0</v>
      </c>
      <c r="I405" t="n">
        <v>0</v>
      </c>
      <c r="J405" t="n">
        <v>0</v>
      </c>
      <c r="K405" t="n">
        <v>0</v>
      </c>
      <c r="L405" t="n">
        <v>0</v>
      </c>
      <c r="M405" t="n">
        <v>0</v>
      </c>
      <c r="N405" t="n">
        <v>0</v>
      </c>
      <c r="O405" t="n">
        <v>0</v>
      </c>
      <c r="P405" t="n">
        <v>0</v>
      </c>
      <c r="Q405" t="n">
        <v>0</v>
      </c>
      <c r="R405" s="2" t="inlineStr"/>
    </row>
    <row r="406" ht="15" customHeight="1">
      <c r="A406" t="inlineStr">
        <is>
          <t>A 37017-2025</t>
        </is>
      </c>
      <c r="B406" s="1" t="n">
        <v>45874</v>
      </c>
      <c r="C406" s="1" t="n">
        <v>46133</v>
      </c>
      <c r="D406" t="inlineStr">
        <is>
          <t>VÄSTMANLANDS LÄN</t>
        </is>
      </c>
      <c r="E406" t="inlineStr">
        <is>
          <t>SALA</t>
        </is>
      </c>
      <c r="G406" t="n">
        <v>11.1</v>
      </c>
      <c r="H406" t="n">
        <v>0</v>
      </c>
      <c r="I406" t="n">
        <v>0</v>
      </c>
      <c r="J406" t="n">
        <v>0</v>
      </c>
      <c r="K406" t="n">
        <v>0</v>
      </c>
      <c r="L406" t="n">
        <v>0</v>
      </c>
      <c r="M406" t="n">
        <v>0</v>
      </c>
      <c r="N406" t="n">
        <v>0</v>
      </c>
      <c r="O406" t="n">
        <v>0</v>
      </c>
      <c r="P406" t="n">
        <v>0</v>
      </c>
      <c r="Q406" t="n">
        <v>0</v>
      </c>
      <c r="R406" s="2" t="inlineStr"/>
    </row>
    <row r="407" ht="15" customHeight="1">
      <c r="A407" t="inlineStr">
        <is>
          <t>A 50059-2025</t>
        </is>
      </c>
      <c r="B407" s="1" t="n">
        <v>45943.44125</v>
      </c>
      <c r="C407" s="1" t="n">
        <v>46133</v>
      </c>
      <c r="D407" t="inlineStr">
        <is>
          <t>VÄSTMANLANDS LÄN</t>
        </is>
      </c>
      <c r="E407" t="inlineStr">
        <is>
          <t>SALA</t>
        </is>
      </c>
      <c r="G407" t="n">
        <v>4.4</v>
      </c>
      <c r="H407" t="n">
        <v>0</v>
      </c>
      <c r="I407" t="n">
        <v>0</v>
      </c>
      <c r="J407" t="n">
        <v>0</v>
      </c>
      <c r="K407" t="n">
        <v>0</v>
      </c>
      <c r="L407" t="n">
        <v>0</v>
      </c>
      <c r="M407" t="n">
        <v>0</v>
      </c>
      <c r="N407" t="n">
        <v>0</v>
      </c>
      <c r="O407" t="n">
        <v>0</v>
      </c>
      <c r="P407" t="n">
        <v>0</v>
      </c>
      <c r="Q407" t="n">
        <v>0</v>
      </c>
      <c r="R407" s="2" t="inlineStr"/>
    </row>
    <row r="408" ht="15" customHeight="1">
      <c r="A408" t="inlineStr">
        <is>
          <t>A 37246-2025</t>
        </is>
      </c>
      <c r="B408" s="1" t="n">
        <v>45876.39435185185</v>
      </c>
      <c r="C408" s="1" t="n">
        <v>46133</v>
      </c>
      <c r="D408" t="inlineStr">
        <is>
          <t>VÄSTMANLANDS LÄN</t>
        </is>
      </c>
      <c r="E408" t="inlineStr">
        <is>
          <t>SALA</t>
        </is>
      </c>
      <c r="G408" t="n">
        <v>2.3</v>
      </c>
      <c r="H408" t="n">
        <v>0</v>
      </c>
      <c r="I408" t="n">
        <v>0</v>
      </c>
      <c r="J408" t="n">
        <v>0</v>
      </c>
      <c r="K408" t="n">
        <v>0</v>
      </c>
      <c r="L408" t="n">
        <v>0</v>
      </c>
      <c r="M408" t="n">
        <v>0</v>
      </c>
      <c r="N408" t="n">
        <v>0</v>
      </c>
      <c r="O408" t="n">
        <v>0</v>
      </c>
      <c r="P408" t="n">
        <v>0</v>
      </c>
      <c r="Q408" t="n">
        <v>0</v>
      </c>
      <c r="R408" s="2" t="inlineStr"/>
    </row>
    <row r="409" ht="15" customHeight="1">
      <c r="A409" t="inlineStr">
        <is>
          <t>A 50241-2023</t>
        </is>
      </c>
      <c r="B409" s="1" t="n">
        <v>45216</v>
      </c>
      <c r="C409" s="1" t="n">
        <v>46133</v>
      </c>
      <c r="D409" t="inlineStr">
        <is>
          <t>VÄSTMANLANDS LÄN</t>
        </is>
      </c>
      <c r="E409" t="inlineStr">
        <is>
          <t>SALA</t>
        </is>
      </c>
      <c r="G409" t="n">
        <v>1.9</v>
      </c>
      <c r="H409" t="n">
        <v>0</v>
      </c>
      <c r="I409" t="n">
        <v>0</v>
      </c>
      <c r="J409" t="n">
        <v>0</v>
      </c>
      <c r="K409" t="n">
        <v>0</v>
      </c>
      <c r="L409" t="n">
        <v>0</v>
      </c>
      <c r="M409" t="n">
        <v>0</v>
      </c>
      <c r="N409" t="n">
        <v>0</v>
      </c>
      <c r="O409" t="n">
        <v>0</v>
      </c>
      <c r="P409" t="n">
        <v>0</v>
      </c>
      <c r="Q409" t="n">
        <v>0</v>
      </c>
      <c r="R409" s="2" t="inlineStr"/>
    </row>
    <row r="410" ht="15" customHeight="1">
      <c r="A410" t="inlineStr">
        <is>
          <t>A 50249-2025</t>
        </is>
      </c>
      <c r="B410" s="1" t="n">
        <v>45944.31508101852</v>
      </c>
      <c r="C410" s="1" t="n">
        <v>46133</v>
      </c>
      <c r="D410" t="inlineStr">
        <is>
          <t>VÄSTMANLANDS LÄN</t>
        </is>
      </c>
      <c r="E410" t="inlineStr">
        <is>
          <t>SALA</t>
        </is>
      </c>
      <c r="G410" t="n">
        <v>2.3</v>
      </c>
      <c r="H410" t="n">
        <v>0</v>
      </c>
      <c r="I410" t="n">
        <v>0</v>
      </c>
      <c r="J410" t="n">
        <v>0</v>
      </c>
      <c r="K410" t="n">
        <v>0</v>
      </c>
      <c r="L410" t="n">
        <v>0</v>
      </c>
      <c r="M410" t="n">
        <v>0</v>
      </c>
      <c r="N410" t="n">
        <v>0</v>
      </c>
      <c r="O410" t="n">
        <v>0</v>
      </c>
      <c r="P410" t="n">
        <v>0</v>
      </c>
      <c r="Q410" t="n">
        <v>0</v>
      </c>
      <c r="R410" s="2" t="inlineStr"/>
    </row>
    <row r="411" ht="15" customHeight="1">
      <c r="A411" t="inlineStr">
        <is>
          <t>A 30971-2022</t>
        </is>
      </c>
      <c r="B411" s="1" t="n">
        <v>44768.46725694444</v>
      </c>
      <c r="C411" s="1" t="n">
        <v>46133</v>
      </c>
      <c r="D411" t="inlineStr">
        <is>
          <t>VÄSTMANLANDS LÄN</t>
        </is>
      </c>
      <c r="E411" t="inlineStr">
        <is>
          <t>SALA</t>
        </is>
      </c>
      <c r="G411" t="n">
        <v>2.4</v>
      </c>
      <c r="H411" t="n">
        <v>0</v>
      </c>
      <c r="I411" t="n">
        <v>0</v>
      </c>
      <c r="J411" t="n">
        <v>0</v>
      </c>
      <c r="K411" t="n">
        <v>0</v>
      </c>
      <c r="L411" t="n">
        <v>0</v>
      </c>
      <c r="M411" t="n">
        <v>0</v>
      </c>
      <c r="N411" t="n">
        <v>0</v>
      </c>
      <c r="O411" t="n">
        <v>0</v>
      </c>
      <c r="P411" t="n">
        <v>0</v>
      </c>
      <c r="Q411" t="n">
        <v>0</v>
      </c>
      <c r="R411" s="2" t="inlineStr"/>
    </row>
    <row r="412" ht="15" customHeight="1">
      <c r="A412" t="inlineStr">
        <is>
          <t>A 35637-2022</t>
        </is>
      </c>
      <c r="B412" s="1" t="n">
        <v>44799.55194444444</v>
      </c>
      <c r="C412" s="1" t="n">
        <v>46133</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19304-2025</t>
        </is>
      </c>
      <c r="B413" s="1" t="n">
        <v>45769</v>
      </c>
      <c r="C413" s="1" t="n">
        <v>46133</v>
      </c>
      <c r="D413" t="inlineStr">
        <is>
          <t>VÄSTMANLANDS LÄN</t>
        </is>
      </c>
      <c r="E413" t="inlineStr">
        <is>
          <t>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27038-2023</t>
        </is>
      </c>
      <c r="B414" s="1" t="n">
        <v>45095</v>
      </c>
      <c r="C414" s="1" t="n">
        <v>46133</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37590-2025</t>
        </is>
      </c>
      <c r="B415" s="1" t="n">
        <v>45880.41138888889</v>
      </c>
      <c r="C415" s="1" t="n">
        <v>46133</v>
      </c>
      <c r="D415" t="inlineStr">
        <is>
          <t>VÄSTMANLANDS LÄN</t>
        </is>
      </c>
      <c r="E415" t="inlineStr">
        <is>
          <t>SALA</t>
        </is>
      </c>
      <c r="G415" t="n">
        <v>2.2</v>
      </c>
      <c r="H415" t="n">
        <v>0</v>
      </c>
      <c r="I415" t="n">
        <v>0</v>
      </c>
      <c r="J415" t="n">
        <v>0</v>
      </c>
      <c r="K415" t="n">
        <v>0</v>
      </c>
      <c r="L415" t="n">
        <v>0</v>
      </c>
      <c r="M415" t="n">
        <v>0</v>
      </c>
      <c r="N415" t="n">
        <v>0</v>
      </c>
      <c r="O415" t="n">
        <v>0</v>
      </c>
      <c r="P415" t="n">
        <v>0</v>
      </c>
      <c r="Q415" t="n">
        <v>0</v>
      </c>
      <c r="R415" s="2" t="inlineStr"/>
    </row>
    <row r="416" ht="15" customHeight="1">
      <c r="A416" t="inlineStr">
        <is>
          <t>A 37593-2025</t>
        </is>
      </c>
      <c r="B416" s="1" t="n">
        <v>45880.41325231481</v>
      </c>
      <c r="C416" s="1" t="n">
        <v>46133</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23182-2022</t>
        </is>
      </c>
      <c r="B417" s="1" t="n">
        <v>44719.79707175926</v>
      </c>
      <c r="C417" s="1" t="n">
        <v>46133</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31859-2023</t>
        </is>
      </c>
      <c r="B418" s="1" t="n">
        <v>45118</v>
      </c>
      <c r="C418" s="1" t="n">
        <v>46133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c r="U418">
        <f>HYPERLINK("https://klasma.github.io/Logging_1981/knärot/A 31859-2023 karta knärot.png", "A 31859-2023")</f>
        <v/>
      </c>
      <c r="V418">
        <f>HYPERLINK("https://klasma.github.io/Logging_1981/klagomål/A 31859-2023 FSC-klagomål.docx", "A 31859-2023")</f>
        <v/>
      </c>
      <c r="W418">
        <f>HYPERLINK("https://klasma.github.io/Logging_1981/klagomålsmail/A 31859-2023 FSC-klagomål mail.docx", "A 31859-2023")</f>
        <v/>
      </c>
      <c r="X418">
        <f>HYPERLINK("https://klasma.github.io/Logging_1981/tillsyn/A 31859-2023 tillsynsbegäran.docx", "A 31859-2023")</f>
        <v/>
      </c>
      <c r="Y418">
        <f>HYPERLINK("https://klasma.github.io/Logging_1981/tillsynsmail/A 31859-2023 tillsynsbegäran mail.docx", "A 31859-2023")</f>
        <v/>
      </c>
    </row>
    <row r="419" ht="15" customHeight="1">
      <c r="A419" t="inlineStr">
        <is>
          <t>A 7469-2025</t>
        </is>
      </c>
      <c r="B419" s="1" t="n">
        <v>45705</v>
      </c>
      <c r="C419" s="1" t="n">
        <v>46133</v>
      </c>
      <c r="D419" t="inlineStr">
        <is>
          <t>VÄSTMANLANDS LÄN</t>
        </is>
      </c>
      <c r="E419" t="inlineStr">
        <is>
          <t>SALA</t>
        </is>
      </c>
      <c r="G419" t="n">
        <v>2.1</v>
      </c>
      <c r="H419" t="n">
        <v>0</v>
      </c>
      <c r="I419" t="n">
        <v>0</v>
      </c>
      <c r="J419" t="n">
        <v>0</v>
      </c>
      <c r="K419" t="n">
        <v>0</v>
      </c>
      <c r="L419" t="n">
        <v>0</v>
      </c>
      <c r="M419" t="n">
        <v>0</v>
      </c>
      <c r="N419" t="n">
        <v>0</v>
      </c>
      <c r="O419" t="n">
        <v>0</v>
      </c>
      <c r="P419" t="n">
        <v>0</v>
      </c>
      <c r="Q419" t="n">
        <v>0</v>
      </c>
      <c r="R419" s="2" t="inlineStr"/>
    </row>
    <row r="420" ht="15" customHeight="1">
      <c r="A420" t="inlineStr">
        <is>
          <t>A 60034-2024</t>
        </is>
      </c>
      <c r="B420" s="1" t="n">
        <v>45642.46261574074</v>
      </c>
      <c r="C420" s="1" t="n">
        <v>46133</v>
      </c>
      <c r="D420" t="inlineStr">
        <is>
          <t>VÄSTMANLANDS LÄN</t>
        </is>
      </c>
      <c r="E420" t="inlineStr">
        <is>
          <t>SALA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38294-2025</t>
        </is>
      </c>
      <c r="B421" s="1" t="n">
        <v>45883.44854166666</v>
      </c>
      <c r="C421" s="1" t="n">
        <v>46133</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51764-2025</t>
        </is>
      </c>
      <c r="B422" s="1" t="n">
        <v>45951.63636574074</v>
      </c>
      <c r="C422" s="1" t="n">
        <v>46133</v>
      </c>
      <c r="D422" t="inlineStr">
        <is>
          <t>VÄSTMANLANDS LÄN</t>
        </is>
      </c>
      <c r="E422" t="inlineStr">
        <is>
          <t>SALA</t>
        </is>
      </c>
      <c r="G422" t="n">
        <v>1.5</v>
      </c>
      <c r="H422" t="n">
        <v>0</v>
      </c>
      <c r="I422" t="n">
        <v>0</v>
      </c>
      <c r="J422" t="n">
        <v>0</v>
      </c>
      <c r="K422" t="n">
        <v>0</v>
      </c>
      <c r="L422" t="n">
        <v>0</v>
      </c>
      <c r="M422" t="n">
        <v>0</v>
      </c>
      <c r="N422" t="n">
        <v>0</v>
      </c>
      <c r="O422" t="n">
        <v>0</v>
      </c>
      <c r="P422" t="n">
        <v>0</v>
      </c>
      <c r="Q422" t="n">
        <v>0</v>
      </c>
      <c r="R422" s="2" t="inlineStr"/>
    </row>
    <row r="423" ht="15" customHeight="1">
      <c r="A423" t="inlineStr">
        <is>
          <t>A 43359-2024</t>
        </is>
      </c>
      <c r="B423" s="1" t="n">
        <v>45568.57724537037</v>
      </c>
      <c r="C423" s="1" t="n">
        <v>46133</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29972-2025</t>
        </is>
      </c>
      <c r="B424" s="1" t="n">
        <v>45826</v>
      </c>
      <c r="C424" s="1" t="n">
        <v>46133</v>
      </c>
      <c r="D424" t="inlineStr">
        <is>
          <t>VÄSTMANLANDS LÄN</t>
        </is>
      </c>
      <c r="E424" t="inlineStr">
        <is>
          <t>SALA</t>
        </is>
      </c>
      <c r="G424" t="n">
        <v>2.7</v>
      </c>
      <c r="H424" t="n">
        <v>0</v>
      </c>
      <c r="I424" t="n">
        <v>0</v>
      </c>
      <c r="J424" t="n">
        <v>0</v>
      </c>
      <c r="K424" t="n">
        <v>0</v>
      </c>
      <c r="L424" t="n">
        <v>0</v>
      </c>
      <c r="M424" t="n">
        <v>0</v>
      </c>
      <c r="N424" t="n">
        <v>0</v>
      </c>
      <c r="O424" t="n">
        <v>0</v>
      </c>
      <c r="P424" t="n">
        <v>0</v>
      </c>
      <c r="Q424" t="n">
        <v>0</v>
      </c>
      <c r="R424" s="2" t="inlineStr"/>
    </row>
    <row r="425" ht="15" customHeight="1">
      <c r="A425" t="inlineStr">
        <is>
          <t>A 51626-2025</t>
        </is>
      </c>
      <c r="B425" s="1" t="n">
        <v>45951.41769675926</v>
      </c>
      <c r="C425" s="1" t="n">
        <v>46133</v>
      </c>
      <c r="D425" t="inlineStr">
        <is>
          <t>VÄSTMANLANDS LÄN</t>
        </is>
      </c>
      <c r="E425" t="inlineStr">
        <is>
          <t>SALA</t>
        </is>
      </c>
      <c r="G425" t="n">
        <v>2.6</v>
      </c>
      <c r="H425" t="n">
        <v>0</v>
      </c>
      <c r="I425" t="n">
        <v>0</v>
      </c>
      <c r="J425" t="n">
        <v>0</v>
      </c>
      <c r="K425" t="n">
        <v>0</v>
      </c>
      <c r="L425" t="n">
        <v>0</v>
      </c>
      <c r="M425" t="n">
        <v>0</v>
      </c>
      <c r="N425" t="n">
        <v>0</v>
      </c>
      <c r="O425" t="n">
        <v>0</v>
      </c>
      <c r="P425" t="n">
        <v>0</v>
      </c>
      <c r="Q425" t="n">
        <v>0</v>
      </c>
      <c r="R425" s="2" t="inlineStr"/>
    </row>
    <row r="426" ht="15" customHeight="1">
      <c r="A426" t="inlineStr">
        <is>
          <t>A 34867-2023</t>
        </is>
      </c>
      <c r="B426" s="1" t="n">
        <v>45142.33481481481</v>
      </c>
      <c r="C426" s="1" t="n">
        <v>46133</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51690-2025</t>
        </is>
      </c>
      <c r="B427" s="1" t="n">
        <v>45951.53462962963</v>
      </c>
      <c r="C427" s="1" t="n">
        <v>46133</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11631-2023</t>
        </is>
      </c>
      <c r="B428" s="1" t="n">
        <v>44994.44001157407</v>
      </c>
      <c r="C428" s="1" t="n">
        <v>46133</v>
      </c>
      <c r="D428" t="inlineStr">
        <is>
          <t>VÄSTMANLANDS LÄN</t>
        </is>
      </c>
      <c r="E428" t="inlineStr">
        <is>
          <t>SALA</t>
        </is>
      </c>
      <c r="F428" t="inlineStr">
        <is>
          <t>Kommuner</t>
        </is>
      </c>
      <c r="G428" t="n">
        <v>1.9</v>
      </c>
      <c r="H428" t="n">
        <v>0</v>
      </c>
      <c r="I428" t="n">
        <v>0</v>
      </c>
      <c r="J428" t="n">
        <v>0</v>
      </c>
      <c r="K428" t="n">
        <v>0</v>
      </c>
      <c r="L428" t="n">
        <v>0</v>
      </c>
      <c r="M428" t="n">
        <v>0</v>
      </c>
      <c r="N428" t="n">
        <v>0</v>
      </c>
      <c r="O428" t="n">
        <v>0</v>
      </c>
      <c r="P428" t="n">
        <v>0</v>
      </c>
      <c r="Q428" t="n">
        <v>0</v>
      </c>
      <c r="R428" s="2" t="inlineStr"/>
    </row>
    <row r="429" ht="15" customHeight="1">
      <c r="A429" t="inlineStr">
        <is>
          <t>A 51804-2025</t>
        </is>
      </c>
      <c r="B429" s="1" t="n">
        <v>45951.77697916667</v>
      </c>
      <c r="C429" s="1" t="n">
        <v>46133</v>
      </c>
      <c r="D429" t="inlineStr">
        <is>
          <t>VÄSTMANLANDS LÄN</t>
        </is>
      </c>
      <c r="E429" t="inlineStr">
        <is>
          <t>SALA</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51808-2025</t>
        </is>
      </c>
      <c r="B430" s="1" t="n">
        <v>45951.79302083333</v>
      </c>
      <c r="C430" s="1" t="n">
        <v>46133</v>
      </c>
      <c r="D430" t="inlineStr">
        <is>
          <t>VÄSTMANLANDS LÄN</t>
        </is>
      </c>
      <c r="E430" t="inlineStr">
        <is>
          <t>SALA</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51803-2025</t>
        </is>
      </c>
      <c r="B431" s="1" t="n">
        <v>45951.76818287037</v>
      </c>
      <c r="C431" s="1" t="n">
        <v>46133</v>
      </c>
      <c r="D431" t="inlineStr">
        <is>
          <t>VÄSTMANLANDS LÄN</t>
        </is>
      </c>
      <c r="E431" t="inlineStr">
        <is>
          <t>SALA</t>
        </is>
      </c>
      <c r="F431" t="inlineStr">
        <is>
          <t>Kommuner</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51805-2025</t>
        </is>
      </c>
      <c r="B432" s="1" t="n">
        <v>45951.78359953704</v>
      </c>
      <c r="C432" s="1" t="n">
        <v>46133</v>
      </c>
      <c r="D432" t="inlineStr">
        <is>
          <t>VÄSTMANLANDS LÄN</t>
        </is>
      </c>
      <c r="E432" t="inlineStr">
        <is>
          <t>SALA</t>
        </is>
      </c>
      <c r="F432" t="inlineStr">
        <is>
          <t>Kommuner</t>
        </is>
      </c>
      <c r="G432" t="n">
        <v>1.3</v>
      </c>
      <c r="H432" t="n">
        <v>0</v>
      </c>
      <c r="I432" t="n">
        <v>0</v>
      </c>
      <c r="J432" t="n">
        <v>0</v>
      </c>
      <c r="K432" t="n">
        <v>0</v>
      </c>
      <c r="L432" t="n">
        <v>0</v>
      </c>
      <c r="M432" t="n">
        <v>0</v>
      </c>
      <c r="N432" t="n">
        <v>0</v>
      </c>
      <c r="O432" t="n">
        <v>0</v>
      </c>
      <c r="P432" t="n">
        <v>0</v>
      </c>
      <c r="Q432" t="n">
        <v>0</v>
      </c>
      <c r="R432" s="2" t="inlineStr"/>
    </row>
    <row r="433" ht="15" customHeight="1">
      <c r="A433" t="inlineStr">
        <is>
          <t>A 46279-2021</t>
        </is>
      </c>
      <c r="B433" s="1" t="n">
        <v>44442.57797453704</v>
      </c>
      <c r="C433" s="1" t="n">
        <v>46133</v>
      </c>
      <c r="D433" t="inlineStr">
        <is>
          <t>VÄSTMANLANDS LÄN</t>
        </is>
      </c>
      <c r="E433" t="inlineStr">
        <is>
          <t>SALA</t>
        </is>
      </c>
      <c r="G433" t="n">
        <v>1.4</v>
      </c>
      <c r="H433" t="n">
        <v>0</v>
      </c>
      <c r="I433" t="n">
        <v>0</v>
      </c>
      <c r="J433" t="n">
        <v>0</v>
      </c>
      <c r="K433" t="n">
        <v>0</v>
      </c>
      <c r="L433" t="n">
        <v>0</v>
      </c>
      <c r="M433" t="n">
        <v>0</v>
      </c>
      <c r="N433" t="n">
        <v>0</v>
      </c>
      <c r="O433" t="n">
        <v>0</v>
      </c>
      <c r="P433" t="n">
        <v>0</v>
      </c>
      <c r="Q433" t="n">
        <v>0</v>
      </c>
      <c r="R433" s="2" t="inlineStr"/>
    </row>
    <row r="434" ht="15" customHeight="1">
      <c r="A434" t="inlineStr">
        <is>
          <t>A 51809-2025</t>
        </is>
      </c>
      <c r="B434" s="1" t="n">
        <v>45951.80116898148</v>
      </c>
      <c r="C434" s="1" t="n">
        <v>46133</v>
      </c>
      <c r="D434" t="inlineStr">
        <is>
          <t>VÄSTMANLANDS LÄN</t>
        </is>
      </c>
      <c r="E434" t="inlineStr">
        <is>
          <t>SALA</t>
        </is>
      </c>
      <c r="F434" t="inlineStr">
        <is>
          <t>Kommuner</t>
        </is>
      </c>
      <c r="G434" t="n">
        <v>3.5</v>
      </c>
      <c r="H434" t="n">
        <v>0</v>
      </c>
      <c r="I434" t="n">
        <v>0</v>
      </c>
      <c r="J434" t="n">
        <v>0</v>
      </c>
      <c r="K434" t="n">
        <v>0</v>
      </c>
      <c r="L434" t="n">
        <v>0</v>
      </c>
      <c r="M434" t="n">
        <v>0</v>
      </c>
      <c r="N434" t="n">
        <v>0</v>
      </c>
      <c r="O434" t="n">
        <v>0</v>
      </c>
      <c r="P434" t="n">
        <v>0</v>
      </c>
      <c r="Q434" t="n">
        <v>0</v>
      </c>
      <c r="R434" s="2" t="inlineStr"/>
    </row>
    <row r="435" ht="15" customHeight="1">
      <c r="A435" t="inlineStr">
        <is>
          <t>A 8775-2024</t>
        </is>
      </c>
      <c r="B435" s="1" t="n">
        <v>45356</v>
      </c>
      <c r="C435" s="1" t="n">
        <v>46133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48710-2024</t>
        </is>
      </c>
      <c r="B436" s="1" t="n">
        <v>45593.53636574074</v>
      </c>
      <c r="C436" s="1" t="n">
        <v>46133</v>
      </c>
      <c r="D436" t="inlineStr">
        <is>
          <t>VÄSTMANLANDS LÄN</t>
        </is>
      </c>
      <c r="E436" t="inlineStr">
        <is>
          <t>SALA</t>
        </is>
      </c>
      <c r="G436" t="n">
        <v>6.5</v>
      </c>
      <c r="H436" t="n">
        <v>0</v>
      </c>
      <c r="I436" t="n">
        <v>0</v>
      </c>
      <c r="J436" t="n">
        <v>0</v>
      </c>
      <c r="K436" t="n">
        <v>0</v>
      </c>
      <c r="L436" t="n">
        <v>0</v>
      </c>
      <c r="M436" t="n">
        <v>0</v>
      </c>
      <c r="N436" t="n">
        <v>0</v>
      </c>
      <c r="O436" t="n">
        <v>0</v>
      </c>
      <c r="P436" t="n">
        <v>0</v>
      </c>
      <c r="Q436" t="n">
        <v>0</v>
      </c>
      <c r="R436" s="2" t="inlineStr"/>
    </row>
    <row r="437" ht="15" customHeight="1">
      <c r="A437" t="inlineStr">
        <is>
          <t>A 16404-2022</t>
        </is>
      </c>
      <c r="B437" s="1" t="n">
        <v>44671</v>
      </c>
      <c r="C437" s="1" t="n">
        <v>46133</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24248-2023</t>
        </is>
      </c>
      <c r="B438" s="1" t="n">
        <v>45079</v>
      </c>
      <c r="C438" s="1" t="n">
        <v>46133</v>
      </c>
      <c r="D438" t="inlineStr">
        <is>
          <t>VÄSTMANLANDS LÄN</t>
        </is>
      </c>
      <c r="E438" t="inlineStr">
        <is>
          <t>SALA</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10559-2024</t>
        </is>
      </c>
      <c r="B439" s="1" t="n">
        <v>45366</v>
      </c>
      <c r="C439" s="1" t="n">
        <v>46133</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40214-2023</t>
        </is>
      </c>
      <c r="B440" s="1" t="n">
        <v>45169.45173611111</v>
      </c>
      <c r="C440" s="1" t="n">
        <v>46133</v>
      </c>
      <c r="D440" t="inlineStr">
        <is>
          <t>VÄSTMANLANDS LÄN</t>
        </is>
      </c>
      <c r="E440" t="inlineStr">
        <is>
          <t>SALA</t>
        </is>
      </c>
      <c r="G440" t="n">
        <v>5.5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46133</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73673-2021</t>
        </is>
      </c>
      <c r="B442" s="1" t="n">
        <v>44552.46501157407</v>
      </c>
      <c r="C442" s="1" t="n">
        <v>46133</v>
      </c>
      <c r="D442" t="inlineStr">
        <is>
          <t>VÄSTMANLANDS LÄN</t>
        </is>
      </c>
      <c r="E442" t="inlineStr">
        <is>
          <t>SALA</t>
        </is>
      </c>
      <c r="G442" t="n">
        <v>11.4</v>
      </c>
      <c r="H442" t="n">
        <v>0</v>
      </c>
      <c r="I442" t="n">
        <v>0</v>
      </c>
      <c r="J442" t="n">
        <v>0</v>
      </c>
      <c r="K442" t="n">
        <v>0</v>
      </c>
      <c r="L442" t="n">
        <v>0</v>
      </c>
      <c r="M442" t="n">
        <v>0</v>
      </c>
      <c r="N442" t="n">
        <v>0</v>
      </c>
      <c r="O442" t="n">
        <v>0</v>
      </c>
      <c r="P442" t="n">
        <v>0</v>
      </c>
      <c r="Q442" t="n">
        <v>0</v>
      </c>
      <c r="R442" s="2" t="inlineStr"/>
    </row>
    <row r="443" ht="15" customHeight="1">
      <c r="A443" t="inlineStr">
        <is>
          <t>A 53725-2025</t>
        </is>
      </c>
      <c r="B443" s="1" t="n">
        <v>45960.63394675926</v>
      </c>
      <c r="C443" s="1" t="n">
        <v>46133</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18100-2023</t>
        </is>
      </c>
      <c r="B444" s="1" t="n">
        <v>45040</v>
      </c>
      <c r="C444" s="1" t="n">
        <v>46133</v>
      </c>
      <c r="D444" t="inlineStr">
        <is>
          <t>VÄSTMANLANDS LÄN</t>
        </is>
      </c>
      <c r="E444" t="inlineStr">
        <is>
          <t>SALA</t>
        </is>
      </c>
      <c r="G444" t="n">
        <v>1.8</v>
      </c>
      <c r="H444" t="n">
        <v>0</v>
      </c>
      <c r="I444" t="n">
        <v>0</v>
      </c>
      <c r="J444" t="n">
        <v>0</v>
      </c>
      <c r="K444" t="n">
        <v>0</v>
      </c>
      <c r="L444" t="n">
        <v>0</v>
      </c>
      <c r="M444" t="n">
        <v>0</v>
      </c>
      <c r="N444" t="n">
        <v>0</v>
      </c>
      <c r="O444" t="n">
        <v>0</v>
      </c>
      <c r="P444" t="n">
        <v>0</v>
      </c>
      <c r="Q444" t="n">
        <v>0</v>
      </c>
      <c r="R444" s="2" t="inlineStr"/>
    </row>
    <row r="445" ht="15" customHeight="1">
      <c r="A445" t="inlineStr">
        <is>
          <t>A 4214-2026</t>
        </is>
      </c>
      <c r="B445" s="1" t="n">
        <v>46044.76459490741</v>
      </c>
      <c r="C445" s="1" t="n">
        <v>46133</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38636-2024</t>
        </is>
      </c>
      <c r="B446" s="1" t="n">
        <v>45546</v>
      </c>
      <c r="C446" s="1" t="n">
        <v>46133</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53744-2025</t>
        </is>
      </c>
      <c r="B447" s="1" t="n">
        <v>45960.64863425926</v>
      </c>
      <c r="C447" s="1" t="n">
        <v>46133</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53724-2025</t>
        </is>
      </c>
      <c r="B448" s="1" t="n">
        <v>45960.63174768518</v>
      </c>
      <c r="C448" s="1" t="n">
        <v>46133</v>
      </c>
      <c r="D448" t="inlineStr">
        <is>
          <t>VÄSTMANLANDS LÄN</t>
        </is>
      </c>
      <c r="E448" t="inlineStr">
        <is>
          <t>SALA</t>
        </is>
      </c>
      <c r="G448" t="n">
        <v>2.8</v>
      </c>
      <c r="H448" t="n">
        <v>0</v>
      </c>
      <c r="I448" t="n">
        <v>0</v>
      </c>
      <c r="J448" t="n">
        <v>0</v>
      </c>
      <c r="K448" t="n">
        <v>0</v>
      </c>
      <c r="L448" t="n">
        <v>0</v>
      </c>
      <c r="M448" t="n">
        <v>0</v>
      </c>
      <c r="N448" t="n">
        <v>0</v>
      </c>
      <c r="O448" t="n">
        <v>0</v>
      </c>
      <c r="P448" t="n">
        <v>0</v>
      </c>
      <c r="Q448" t="n">
        <v>0</v>
      </c>
      <c r="R448" s="2" t="inlineStr"/>
    </row>
    <row r="449" ht="15" customHeight="1">
      <c r="A449" t="inlineStr">
        <is>
          <t>A 4712-2026</t>
        </is>
      </c>
      <c r="B449" s="1" t="n">
        <v>46048.46082175926</v>
      </c>
      <c r="C449" s="1" t="n">
        <v>46133</v>
      </c>
      <c r="D449" t="inlineStr">
        <is>
          <t>VÄSTMANLANDS LÄN</t>
        </is>
      </c>
      <c r="E449" t="inlineStr">
        <is>
          <t>SALA</t>
        </is>
      </c>
      <c r="G449" t="n">
        <v>4.1</v>
      </c>
      <c r="H449" t="n">
        <v>0</v>
      </c>
      <c r="I449" t="n">
        <v>0</v>
      </c>
      <c r="J449" t="n">
        <v>0</v>
      </c>
      <c r="K449" t="n">
        <v>0</v>
      </c>
      <c r="L449" t="n">
        <v>0</v>
      </c>
      <c r="M449" t="n">
        <v>0</v>
      </c>
      <c r="N449" t="n">
        <v>0</v>
      </c>
      <c r="O449" t="n">
        <v>0</v>
      </c>
      <c r="P449" t="n">
        <v>0</v>
      </c>
      <c r="Q449" t="n">
        <v>0</v>
      </c>
      <c r="R449" s="2" t="inlineStr"/>
    </row>
    <row r="450" ht="15" customHeight="1">
      <c r="A450" t="inlineStr">
        <is>
          <t>A 23374-2023</t>
        </is>
      </c>
      <c r="B450" s="1" t="n">
        <v>45076.4399537037</v>
      </c>
      <c r="C450" s="1" t="n">
        <v>46133</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6134-2024</t>
        </is>
      </c>
      <c r="B451" s="1" t="n">
        <v>45337</v>
      </c>
      <c r="C451" s="1" t="n">
        <v>46133</v>
      </c>
      <c r="D451" t="inlineStr">
        <is>
          <t>VÄSTMANLANDS LÄN</t>
        </is>
      </c>
      <c r="E451" t="inlineStr">
        <is>
          <t>SALA</t>
        </is>
      </c>
      <c r="G451" t="n">
        <v>1.8</v>
      </c>
      <c r="H451" t="n">
        <v>0</v>
      </c>
      <c r="I451" t="n">
        <v>0</v>
      </c>
      <c r="J451" t="n">
        <v>0</v>
      </c>
      <c r="K451" t="n">
        <v>0</v>
      </c>
      <c r="L451" t="n">
        <v>0</v>
      </c>
      <c r="M451" t="n">
        <v>0</v>
      </c>
      <c r="N451" t="n">
        <v>0</v>
      </c>
      <c r="O451" t="n">
        <v>0</v>
      </c>
      <c r="P451" t="n">
        <v>0</v>
      </c>
      <c r="Q451" t="n">
        <v>0</v>
      </c>
      <c r="R451" s="2" t="inlineStr"/>
    </row>
    <row r="452" ht="15" customHeight="1">
      <c r="A452" t="inlineStr">
        <is>
          <t>A 48117-2024</t>
        </is>
      </c>
      <c r="B452" s="1" t="n">
        <v>45589</v>
      </c>
      <c r="C452" s="1" t="n">
        <v>46133</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54344-2025</t>
        </is>
      </c>
      <c r="B453" s="1" t="n">
        <v>45965.36462962963</v>
      </c>
      <c r="C453" s="1" t="n">
        <v>46133</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54590-2025</t>
        </is>
      </c>
      <c r="B454" s="1" t="n">
        <v>45965.74199074074</v>
      </c>
      <c r="C454" s="1" t="n">
        <v>46133</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4664-2026</t>
        </is>
      </c>
      <c r="B455" s="1" t="n">
        <v>46048.41061342593</v>
      </c>
      <c r="C455" s="1" t="n">
        <v>46133</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54201-2025</t>
        </is>
      </c>
      <c r="B456" s="1" t="n">
        <v>45964.58055555556</v>
      </c>
      <c r="C456" s="1" t="n">
        <v>46133</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31082-2021</t>
        </is>
      </c>
      <c r="B457" s="1" t="n">
        <v>44368</v>
      </c>
      <c r="C457" s="1" t="n">
        <v>46133</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54893-2025</t>
        </is>
      </c>
      <c r="B458" s="1" t="n">
        <v>45967.36383101852</v>
      </c>
      <c r="C458" s="1" t="n">
        <v>46133</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31470-2021</t>
        </is>
      </c>
      <c r="B459" s="1" t="n">
        <v>44369</v>
      </c>
      <c r="C459" s="1" t="n">
        <v>46133</v>
      </c>
      <c r="D459" t="inlineStr">
        <is>
          <t>VÄSTMANLANDS LÄN</t>
        </is>
      </c>
      <c r="E459" t="inlineStr">
        <is>
          <t>SALA</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24175-2024</t>
        </is>
      </c>
      <c r="B460" s="1" t="n">
        <v>45456</v>
      </c>
      <c r="C460" s="1" t="n">
        <v>46133</v>
      </c>
      <c r="D460" t="inlineStr">
        <is>
          <t>VÄSTMANLANDS LÄN</t>
        </is>
      </c>
      <c r="E460" t="inlineStr">
        <is>
          <t>SALA</t>
        </is>
      </c>
      <c r="G460" t="n">
        <v>0.6</v>
      </c>
      <c r="H460" t="n">
        <v>0</v>
      </c>
      <c r="I460" t="n">
        <v>0</v>
      </c>
      <c r="J460" t="n">
        <v>0</v>
      </c>
      <c r="K460" t="n">
        <v>0</v>
      </c>
      <c r="L460" t="n">
        <v>0</v>
      </c>
      <c r="M460" t="n">
        <v>0</v>
      </c>
      <c r="N460" t="n">
        <v>0</v>
      </c>
      <c r="O460" t="n">
        <v>0</v>
      </c>
      <c r="P460" t="n">
        <v>0</v>
      </c>
      <c r="Q460" t="n">
        <v>0</v>
      </c>
      <c r="R460" s="2" t="inlineStr"/>
    </row>
    <row r="461" ht="15" customHeight="1">
      <c r="A461" t="inlineStr">
        <is>
          <t>A 28328-2023</t>
        </is>
      </c>
      <c r="B461" s="1" t="n">
        <v>45099.71063657408</v>
      </c>
      <c r="C461" s="1" t="n">
        <v>46133</v>
      </c>
      <c r="D461" t="inlineStr">
        <is>
          <t>VÄSTMANLANDS LÄN</t>
        </is>
      </c>
      <c r="E461" t="inlineStr">
        <is>
          <t>SALA</t>
        </is>
      </c>
      <c r="G461" t="n">
        <v>1.8</v>
      </c>
      <c r="H461" t="n">
        <v>0</v>
      </c>
      <c r="I461" t="n">
        <v>0</v>
      </c>
      <c r="J461" t="n">
        <v>0</v>
      </c>
      <c r="K461" t="n">
        <v>0</v>
      </c>
      <c r="L461" t="n">
        <v>0</v>
      </c>
      <c r="M461" t="n">
        <v>0</v>
      </c>
      <c r="N461" t="n">
        <v>0</v>
      </c>
      <c r="O461" t="n">
        <v>0</v>
      </c>
      <c r="P461" t="n">
        <v>0</v>
      </c>
      <c r="Q461" t="n">
        <v>0</v>
      </c>
      <c r="R461" s="2" t="inlineStr"/>
    </row>
    <row r="462" ht="15" customHeight="1">
      <c r="A462" t="inlineStr">
        <is>
          <t>A 4683-2026</t>
        </is>
      </c>
      <c r="B462" s="1" t="n">
        <v>46048.43489583334</v>
      </c>
      <c r="C462" s="1" t="n">
        <v>46133</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4681-2026</t>
        </is>
      </c>
      <c r="B463" s="1" t="n">
        <v>46048.43016203704</v>
      </c>
      <c r="C463" s="1" t="n">
        <v>46133</v>
      </c>
      <c r="D463" t="inlineStr">
        <is>
          <t>VÄSTMANLANDS LÄN</t>
        </is>
      </c>
      <c r="E463" t="inlineStr">
        <is>
          <t>SALA</t>
        </is>
      </c>
      <c r="G463" t="n">
        <v>2.5</v>
      </c>
      <c r="H463" t="n">
        <v>0</v>
      </c>
      <c r="I463" t="n">
        <v>0</v>
      </c>
      <c r="J463" t="n">
        <v>0</v>
      </c>
      <c r="K463" t="n">
        <v>0</v>
      </c>
      <c r="L463" t="n">
        <v>0</v>
      </c>
      <c r="M463" t="n">
        <v>0</v>
      </c>
      <c r="N463" t="n">
        <v>0</v>
      </c>
      <c r="O463" t="n">
        <v>0</v>
      </c>
      <c r="P463" t="n">
        <v>0</v>
      </c>
      <c r="Q463" t="n">
        <v>0</v>
      </c>
      <c r="R463" s="2" t="inlineStr"/>
    </row>
    <row r="464" ht="15" customHeight="1">
      <c r="A464" t="inlineStr">
        <is>
          <t>A 19033-2025</t>
        </is>
      </c>
      <c r="B464" s="1" t="n">
        <v>45764.65796296296</v>
      </c>
      <c r="C464" s="1" t="n">
        <v>46133</v>
      </c>
      <c r="D464" t="inlineStr">
        <is>
          <t>VÄSTMANLANDS LÄN</t>
        </is>
      </c>
      <c r="E464" t="inlineStr">
        <is>
          <t>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61715-2024</t>
        </is>
      </c>
      <c r="B465" s="1" t="n">
        <v>45648.89519675926</v>
      </c>
      <c r="C465" s="1" t="n">
        <v>46133</v>
      </c>
      <c r="D465" t="inlineStr">
        <is>
          <t>VÄSTMANLANDS LÄN</t>
        </is>
      </c>
      <c r="E465" t="inlineStr">
        <is>
          <t>SALA</t>
        </is>
      </c>
      <c r="G465" t="n">
        <v>2.5</v>
      </c>
      <c r="H465" t="n">
        <v>0</v>
      </c>
      <c r="I465" t="n">
        <v>0</v>
      </c>
      <c r="J465" t="n">
        <v>0</v>
      </c>
      <c r="K465" t="n">
        <v>0</v>
      </c>
      <c r="L465" t="n">
        <v>0</v>
      </c>
      <c r="M465" t="n">
        <v>0</v>
      </c>
      <c r="N465" t="n">
        <v>0</v>
      </c>
      <c r="O465" t="n">
        <v>0</v>
      </c>
      <c r="P465" t="n">
        <v>0</v>
      </c>
      <c r="Q465" t="n">
        <v>0</v>
      </c>
      <c r="R465" s="2" t="inlineStr"/>
    </row>
    <row r="466" ht="15" customHeight="1">
      <c r="A466" t="inlineStr">
        <is>
          <t>A 38195-2021</t>
        </is>
      </c>
      <c r="B466" s="1" t="n">
        <v>44405</v>
      </c>
      <c r="C466" s="1" t="n">
        <v>46133</v>
      </c>
      <c r="D466" t="inlineStr">
        <is>
          <t>VÄSTMANLANDS LÄN</t>
        </is>
      </c>
      <c r="E466" t="inlineStr">
        <is>
          <t>SALA</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6132-2025</t>
        </is>
      </c>
      <c r="B467" s="1" t="n">
        <v>45698</v>
      </c>
      <c r="C467" s="1" t="n">
        <v>46133</v>
      </c>
      <c r="D467" t="inlineStr">
        <is>
          <t>VÄSTMANLANDS LÄN</t>
        </is>
      </c>
      <c r="E467" t="inlineStr">
        <is>
          <t>SALA</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21777-2022</t>
        </is>
      </c>
      <c r="B468" s="1" t="n">
        <v>44708.48194444444</v>
      </c>
      <c r="C468" s="1" t="n">
        <v>46133</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55997-2025</t>
        </is>
      </c>
      <c r="B469" s="1" t="n">
        <v>45973.56833333334</v>
      </c>
      <c r="C469" s="1" t="n">
        <v>46133</v>
      </c>
      <c r="D469" t="inlineStr">
        <is>
          <t>VÄSTMANLANDS LÄN</t>
        </is>
      </c>
      <c r="E469" t="inlineStr">
        <is>
          <t>SALA</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11389-2024</t>
        </is>
      </c>
      <c r="B470" s="1" t="n">
        <v>45372.45016203704</v>
      </c>
      <c r="C470" s="1" t="n">
        <v>46133</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4624-2026</t>
        </is>
      </c>
      <c r="B471" s="1" t="n">
        <v>46048.38107638889</v>
      </c>
      <c r="C471" s="1" t="n">
        <v>46133</v>
      </c>
      <c r="D471" t="inlineStr">
        <is>
          <t>VÄSTMANLANDS LÄN</t>
        </is>
      </c>
      <c r="E471" t="inlineStr">
        <is>
          <t>SALA</t>
        </is>
      </c>
      <c r="G471" t="n">
        <v>12.3</v>
      </c>
      <c r="H471" t="n">
        <v>0</v>
      </c>
      <c r="I471" t="n">
        <v>0</v>
      </c>
      <c r="J471" t="n">
        <v>0</v>
      </c>
      <c r="K471" t="n">
        <v>0</v>
      </c>
      <c r="L471" t="n">
        <v>0</v>
      </c>
      <c r="M471" t="n">
        <v>0</v>
      </c>
      <c r="N471" t="n">
        <v>0</v>
      </c>
      <c r="O471" t="n">
        <v>0</v>
      </c>
      <c r="P471" t="n">
        <v>0</v>
      </c>
      <c r="Q471" t="n">
        <v>0</v>
      </c>
      <c r="R471" s="2" t="inlineStr"/>
    </row>
    <row r="472" ht="15" customHeight="1">
      <c r="A472" t="inlineStr">
        <is>
          <t>A 55714-2025</t>
        </is>
      </c>
      <c r="B472" s="1" t="n">
        <v>45972.49131944445</v>
      </c>
      <c r="C472" s="1" t="n">
        <v>46133</v>
      </c>
      <c r="D472" t="inlineStr">
        <is>
          <t>VÄSTMANLANDS LÄN</t>
        </is>
      </c>
      <c r="E472" t="inlineStr">
        <is>
          <t>SALA</t>
        </is>
      </c>
      <c r="G472" t="n">
        <v>6.6</v>
      </c>
      <c r="H472" t="n">
        <v>0</v>
      </c>
      <c r="I472" t="n">
        <v>0</v>
      </c>
      <c r="J472" t="n">
        <v>0</v>
      </c>
      <c r="K472" t="n">
        <v>0</v>
      </c>
      <c r="L472" t="n">
        <v>0</v>
      </c>
      <c r="M472" t="n">
        <v>0</v>
      </c>
      <c r="N472" t="n">
        <v>0</v>
      </c>
      <c r="O472" t="n">
        <v>0</v>
      </c>
      <c r="P472" t="n">
        <v>0</v>
      </c>
      <c r="Q472" t="n">
        <v>0</v>
      </c>
      <c r="R472" s="2" t="inlineStr"/>
    </row>
    <row r="473" ht="15" customHeight="1">
      <c r="A473" t="inlineStr">
        <is>
          <t>A 56593-2025</t>
        </is>
      </c>
      <c r="B473" s="1" t="n">
        <v>45975</v>
      </c>
      <c r="C473" s="1" t="n">
        <v>46133</v>
      </c>
      <c r="D473" t="inlineStr">
        <is>
          <t>VÄSTMANLANDS LÄN</t>
        </is>
      </c>
      <c r="E473" t="inlineStr">
        <is>
          <t>SALA</t>
        </is>
      </c>
      <c r="F473" t="inlineStr">
        <is>
          <t>Kyrkan</t>
        </is>
      </c>
      <c r="G473" t="n">
        <v>0.1</v>
      </c>
      <c r="H473" t="n">
        <v>0</v>
      </c>
      <c r="I473" t="n">
        <v>0</v>
      </c>
      <c r="J473" t="n">
        <v>0</v>
      </c>
      <c r="K473" t="n">
        <v>0</v>
      </c>
      <c r="L473" t="n">
        <v>0</v>
      </c>
      <c r="M473" t="n">
        <v>0</v>
      </c>
      <c r="N473" t="n">
        <v>0</v>
      </c>
      <c r="O473" t="n">
        <v>0</v>
      </c>
      <c r="P473" t="n">
        <v>0</v>
      </c>
      <c r="Q473" t="n">
        <v>0</v>
      </c>
      <c r="R473" s="2" t="inlineStr"/>
    </row>
    <row r="474" ht="15" customHeight="1">
      <c r="A474" t="inlineStr">
        <is>
          <t>A 56645-2025</t>
        </is>
      </c>
      <c r="B474" s="1" t="n">
        <v>45975.63063657407</v>
      </c>
      <c r="C474" s="1" t="n">
        <v>46133</v>
      </c>
      <c r="D474" t="inlineStr">
        <is>
          <t>VÄSTMANLANDS LÄN</t>
        </is>
      </c>
      <c r="E474" t="inlineStr">
        <is>
          <t>SALA</t>
        </is>
      </c>
      <c r="F474" t="inlineStr">
        <is>
          <t>Bergvik skog öst AB</t>
        </is>
      </c>
      <c r="G474" t="n">
        <v>5.3</v>
      </c>
      <c r="H474" t="n">
        <v>0</v>
      </c>
      <c r="I474" t="n">
        <v>0</v>
      </c>
      <c r="J474" t="n">
        <v>0</v>
      </c>
      <c r="K474" t="n">
        <v>0</v>
      </c>
      <c r="L474" t="n">
        <v>0</v>
      </c>
      <c r="M474" t="n">
        <v>0</v>
      </c>
      <c r="N474" t="n">
        <v>0</v>
      </c>
      <c r="O474" t="n">
        <v>0</v>
      </c>
      <c r="P474" t="n">
        <v>0</v>
      </c>
      <c r="Q474" t="n">
        <v>0</v>
      </c>
      <c r="R474" s="2" t="inlineStr"/>
    </row>
    <row r="475" ht="15" customHeight="1">
      <c r="A475" t="inlineStr">
        <is>
          <t>A 2925-2024</t>
        </is>
      </c>
      <c r="B475" s="1" t="n">
        <v>45315.58909722222</v>
      </c>
      <c r="C475" s="1" t="n">
        <v>46133</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56502-2025</t>
        </is>
      </c>
      <c r="B476" s="1" t="n">
        <v>45975</v>
      </c>
      <c r="C476" s="1" t="n">
        <v>46133</v>
      </c>
      <c r="D476" t="inlineStr">
        <is>
          <t>VÄSTMANLANDS LÄN</t>
        </is>
      </c>
      <c r="E476" t="inlineStr">
        <is>
          <t>SALA</t>
        </is>
      </c>
      <c r="F476" t="inlineStr">
        <is>
          <t>Sveaskog</t>
        </is>
      </c>
      <c r="G476" t="n">
        <v>1.9</v>
      </c>
      <c r="H476" t="n">
        <v>0</v>
      </c>
      <c r="I476" t="n">
        <v>0</v>
      </c>
      <c r="J476" t="n">
        <v>0</v>
      </c>
      <c r="K476" t="n">
        <v>0</v>
      </c>
      <c r="L476" t="n">
        <v>0</v>
      </c>
      <c r="M476" t="n">
        <v>0</v>
      </c>
      <c r="N476" t="n">
        <v>0</v>
      </c>
      <c r="O476" t="n">
        <v>0</v>
      </c>
      <c r="P476" t="n">
        <v>0</v>
      </c>
      <c r="Q476" t="n">
        <v>0</v>
      </c>
      <c r="R476" s="2" t="inlineStr"/>
    </row>
    <row r="477" ht="15" customHeight="1">
      <c r="A477" t="inlineStr">
        <is>
          <t>A 56614-2025</t>
        </is>
      </c>
      <c r="B477" s="1" t="n">
        <v>45975.59288194445</v>
      </c>
      <c r="C477" s="1" t="n">
        <v>46133</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56611-2025</t>
        </is>
      </c>
      <c r="B478" s="1" t="n">
        <v>45975</v>
      </c>
      <c r="C478" s="1" t="n">
        <v>46133</v>
      </c>
      <c r="D478" t="inlineStr">
        <is>
          <t>VÄSTMANLANDS LÄN</t>
        </is>
      </c>
      <c r="E478" t="inlineStr">
        <is>
          <t>SALA</t>
        </is>
      </c>
      <c r="G478" t="n">
        <v>2.8</v>
      </c>
      <c r="H478" t="n">
        <v>0</v>
      </c>
      <c r="I478" t="n">
        <v>0</v>
      </c>
      <c r="J478" t="n">
        <v>0</v>
      </c>
      <c r="K478" t="n">
        <v>0</v>
      </c>
      <c r="L478" t="n">
        <v>0</v>
      </c>
      <c r="M478" t="n">
        <v>0</v>
      </c>
      <c r="N478" t="n">
        <v>0</v>
      </c>
      <c r="O478" t="n">
        <v>0</v>
      </c>
      <c r="P478" t="n">
        <v>0</v>
      </c>
      <c r="Q478" t="n">
        <v>0</v>
      </c>
      <c r="R478" s="2" t="inlineStr"/>
    </row>
    <row r="479" ht="15" customHeight="1">
      <c r="A479" t="inlineStr">
        <is>
          <t>A 39439-2021</t>
        </is>
      </c>
      <c r="B479" s="1" t="n">
        <v>44414</v>
      </c>
      <c r="C479" s="1" t="n">
        <v>46133</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5525-2026</t>
        </is>
      </c>
      <c r="B480" s="1" t="n">
        <v>46050.65055555556</v>
      </c>
      <c r="C480" s="1" t="n">
        <v>46133</v>
      </c>
      <c r="D480" t="inlineStr">
        <is>
          <t>VÄSTMANLANDS LÄN</t>
        </is>
      </c>
      <c r="E480" t="inlineStr">
        <is>
          <t>SALA</t>
        </is>
      </c>
      <c r="G480" t="n">
        <v>13.1</v>
      </c>
      <c r="H480" t="n">
        <v>0</v>
      </c>
      <c r="I480" t="n">
        <v>0</v>
      </c>
      <c r="J480" t="n">
        <v>0</v>
      </c>
      <c r="K480" t="n">
        <v>0</v>
      </c>
      <c r="L480" t="n">
        <v>0</v>
      </c>
      <c r="M480" t="n">
        <v>0</v>
      </c>
      <c r="N480" t="n">
        <v>0</v>
      </c>
      <c r="O480" t="n">
        <v>0</v>
      </c>
      <c r="P480" t="n">
        <v>0</v>
      </c>
      <c r="Q480" t="n">
        <v>0</v>
      </c>
      <c r="R480" s="2" t="inlineStr"/>
    </row>
    <row r="481" ht="15" customHeight="1">
      <c r="A481" t="inlineStr">
        <is>
          <t>A 3332-2024</t>
        </is>
      </c>
      <c r="B481" s="1" t="n">
        <v>45317</v>
      </c>
      <c r="C481" s="1" t="n">
        <v>46133</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57014-2025</t>
        </is>
      </c>
      <c r="B482" s="1" t="n">
        <v>45978</v>
      </c>
      <c r="C482" s="1" t="n">
        <v>46133</v>
      </c>
      <c r="D482" t="inlineStr">
        <is>
          <t>VÄSTMANLANDS LÄN</t>
        </is>
      </c>
      <c r="E482" t="inlineStr">
        <is>
          <t>SALA</t>
        </is>
      </c>
      <c r="G482" t="n">
        <v>2.2</v>
      </c>
      <c r="H482" t="n">
        <v>0</v>
      </c>
      <c r="I482" t="n">
        <v>0</v>
      </c>
      <c r="J482" t="n">
        <v>0</v>
      </c>
      <c r="K482" t="n">
        <v>0</v>
      </c>
      <c r="L482" t="n">
        <v>0</v>
      </c>
      <c r="M482" t="n">
        <v>0</v>
      </c>
      <c r="N482" t="n">
        <v>0</v>
      </c>
      <c r="O482" t="n">
        <v>0</v>
      </c>
      <c r="P482" t="n">
        <v>0</v>
      </c>
      <c r="Q482" t="n">
        <v>0</v>
      </c>
      <c r="R482" s="2" t="inlineStr"/>
    </row>
    <row r="483" ht="15" customHeight="1">
      <c r="A483" t="inlineStr">
        <is>
          <t>A 2529-2022</t>
        </is>
      </c>
      <c r="B483" s="1" t="n">
        <v>44579.86452546297</v>
      </c>
      <c r="C483" s="1" t="n">
        <v>46133</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13471-2025</t>
        </is>
      </c>
      <c r="B484" s="1" t="n">
        <v>45736.40579861111</v>
      </c>
      <c r="C484" s="1" t="n">
        <v>46133</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15681-2025</t>
        </is>
      </c>
      <c r="B485" s="1" t="n">
        <v>45748.45454861111</v>
      </c>
      <c r="C485" s="1" t="n">
        <v>46133</v>
      </c>
      <c r="D485" t="inlineStr">
        <is>
          <t>VÄSTMANLANDS LÄN</t>
        </is>
      </c>
      <c r="E485" t="inlineStr">
        <is>
          <t>SALA</t>
        </is>
      </c>
      <c r="F485" t="inlineStr">
        <is>
          <t>Bergvik skog öst AB</t>
        </is>
      </c>
      <c r="G485" t="n">
        <v>4.3</v>
      </c>
      <c r="H485" t="n">
        <v>0</v>
      </c>
      <c r="I485" t="n">
        <v>0</v>
      </c>
      <c r="J485" t="n">
        <v>0</v>
      </c>
      <c r="K485" t="n">
        <v>0</v>
      </c>
      <c r="L485" t="n">
        <v>0</v>
      </c>
      <c r="M485" t="n">
        <v>0</v>
      </c>
      <c r="N485" t="n">
        <v>0</v>
      </c>
      <c r="O485" t="n">
        <v>0</v>
      </c>
      <c r="P485" t="n">
        <v>0</v>
      </c>
      <c r="Q485" t="n">
        <v>0</v>
      </c>
      <c r="R485" s="2" t="inlineStr"/>
    </row>
    <row r="486" ht="15" customHeight="1">
      <c r="A486" t="inlineStr">
        <is>
          <t>A 18431-2023</t>
        </is>
      </c>
      <c r="B486" s="1" t="n">
        <v>45042</v>
      </c>
      <c r="C486" s="1" t="n">
        <v>46133</v>
      </c>
      <c r="D486" t="inlineStr">
        <is>
          <t>VÄSTMANLANDS LÄN</t>
        </is>
      </c>
      <c r="E486" t="inlineStr">
        <is>
          <t>SALA</t>
        </is>
      </c>
      <c r="G486" t="n">
        <v>1.9</v>
      </c>
      <c r="H486" t="n">
        <v>0</v>
      </c>
      <c r="I486" t="n">
        <v>0</v>
      </c>
      <c r="J486" t="n">
        <v>0</v>
      </c>
      <c r="K486" t="n">
        <v>0</v>
      </c>
      <c r="L486" t="n">
        <v>0</v>
      </c>
      <c r="M486" t="n">
        <v>0</v>
      </c>
      <c r="N486" t="n">
        <v>0</v>
      </c>
      <c r="O486" t="n">
        <v>0</v>
      </c>
      <c r="P486" t="n">
        <v>0</v>
      </c>
      <c r="Q486" t="n">
        <v>0</v>
      </c>
      <c r="R486" s="2" t="inlineStr"/>
    </row>
    <row r="487" ht="15" customHeight="1">
      <c r="A487" t="inlineStr">
        <is>
          <t>A 27424-2023</t>
        </is>
      </c>
      <c r="B487" s="1" t="n">
        <v>45097.37690972222</v>
      </c>
      <c r="C487" s="1" t="n">
        <v>46133</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58701-2021</t>
        </is>
      </c>
      <c r="B488" s="1" t="n">
        <v>44489.46454861111</v>
      </c>
      <c r="C488" s="1" t="n">
        <v>46133</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11244-2024</t>
        </is>
      </c>
      <c r="B489" s="1" t="n">
        <v>45371</v>
      </c>
      <c r="C489" s="1" t="n">
        <v>46133</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57414-2025</t>
        </is>
      </c>
      <c r="B490" s="1" t="n">
        <v>45980.45003472222</v>
      </c>
      <c r="C490" s="1" t="n">
        <v>46133</v>
      </c>
      <c r="D490" t="inlineStr">
        <is>
          <t>VÄSTMANLANDS LÄN</t>
        </is>
      </c>
      <c r="E490" t="inlineStr">
        <is>
          <t>SALA</t>
        </is>
      </c>
      <c r="F490" t="inlineStr">
        <is>
          <t>Bergvik skog öst AB</t>
        </is>
      </c>
      <c r="G490" t="n">
        <v>2</v>
      </c>
      <c r="H490" t="n">
        <v>0</v>
      </c>
      <c r="I490" t="n">
        <v>0</v>
      </c>
      <c r="J490" t="n">
        <v>0</v>
      </c>
      <c r="K490" t="n">
        <v>0</v>
      </c>
      <c r="L490" t="n">
        <v>0</v>
      </c>
      <c r="M490" t="n">
        <v>0</v>
      </c>
      <c r="N490" t="n">
        <v>0</v>
      </c>
      <c r="O490" t="n">
        <v>0</v>
      </c>
      <c r="P490" t="n">
        <v>0</v>
      </c>
      <c r="Q490" t="n">
        <v>0</v>
      </c>
      <c r="R490" s="2" t="inlineStr"/>
    </row>
    <row r="491" ht="15" customHeight="1">
      <c r="A491" t="inlineStr">
        <is>
          <t>A 57415-2025</t>
        </is>
      </c>
      <c r="B491" s="1" t="n">
        <v>45980.45099537037</v>
      </c>
      <c r="C491" s="1" t="n">
        <v>46133</v>
      </c>
      <c r="D491" t="inlineStr">
        <is>
          <t>VÄSTMANLANDS LÄN</t>
        </is>
      </c>
      <c r="E491" t="inlineStr">
        <is>
          <t>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57412-2025</t>
        </is>
      </c>
      <c r="B492" s="1" t="n">
        <v>45980.44883101852</v>
      </c>
      <c r="C492" s="1" t="n">
        <v>46133</v>
      </c>
      <c r="D492" t="inlineStr">
        <is>
          <t>VÄSTMANLANDS LÄN</t>
        </is>
      </c>
      <c r="E492" t="inlineStr">
        <is>
          <t>SALA</t>
        </is>
      </c>
      <c r="F492" t="inlineStr">
        <is>
          <t>Bergvik skog öst AB</t>
        </is>
      </c>
      <c r="G492" t="n">
        <v>4.5</v>
      </c>
      <c r="H492" t="n">
        <v>0</v>
      </c>
      <c r="I492" t="n">
        <v>0</v>
      </c>
      <c r="J492" t="n">
        <v>0</v>
      </c>
      <c r="K492" t="n">
        <v>0</v>
      </c>
      <c r="L492" t="n">
        <v>0</v>
      </c>
      <c r="M492" t="n">
        <v>0</v>
      </c>
      <c r="N492" t="n">
        <v>0</v>
      </c>
      <c r="O492" t="n">
        <v>0</v>
      </c>
      <c r="P492" t="n">
        <v>0</v>
      </c>
      <c r="Q492" t="n">
        <v>0</v>
      </c>
      <c r="R492" s="2" t="inlineStr"/>
    </row>
    <row r="493" ht="15" customHeight="1">
      <c r="A493" t="inlineStr">
        <is>
          <t>A 12225-2023</t>
        </is>
      </c>
      <c r="B493" s="1" t="n">
        <v>44995</v>
      </c>
      <c r="C493" s="1" t="n">
        <v>46133</v>
      </c>
      <c r="D493" t="inlineStr">
        <is>
          <t>VÄSTMANLANDS LÄN</t>
        </is>
      </c>
      <c r="E493" t="inlineStr">
        <is>
          <t>SALA</t>
        </is>
      </c>
      <c r="G493" t="n">
        <v>0.9</v>
      </c>
      <c r="H493" t="n">
        <v>0</v>
      </c>
      <c r="I493" t="n">
        <v>0</v>
      </c>
      <c r="J493" t="n">
        <v>0</v>
      </c>
      <c r="K493" t="n">
        <v>0</v>
      </c>
      <c r="L493" t="n">
        <v>0</v>
      </c>
      <c r="M493" t="n">
        <v>0</v>
      </c>
      <c r="N493" t="n">
        <v>0</v>
      </c>
      <c r="O493" t="n">
        <v>0</v>
      </c>
      <c r="P493" t="n">
        <v>0</v>
      </c>
      <c r="Q493" t="n">
        <v>0</v>
      </c>
      <c r="R493" s="2" t="inlineStr"/>
    </row>
    <row r="494" ht="15" customHeight="1">
      <c r="A494" t="inlineStr">
        <is>
          <t>A 5219-2026</t>
        </is>
      </c>
      <c r="B494" s="1" t="n">
        <v>46049.76225694444</v>
      </c>
      <c r="C494" s="1" t="n">
        <v>46133</v>
      </c>
      <c r="D494" t="inlineStr">
        <is>
          <t>VÄSTMANLANDS LÄN</t>
        </is>
      </c>
      <c r="E494" t="inlineStr">
        <is>
          <t>SALA</t>
        </is>
      </c>
      <c r="G494" t="n">
        <v>1.9</v>
      </c>
      <c r="H494" t="n">
        <v>0</v>
      </c>
      <c r="I494" t="n">
        <v>0</v>
      </c>
      <c r="J494" t="n">
        <v>0</v>
      </c>
      <c r="K494" t="n">
        <v>0</v>
      </c>
      <c r="L494" t="n">
        <v>0</v>
      </c>
      <c r="M494" t="n">
        <v>0</v>
      </c>
      <c r="N494" t="n">
        <v>0</v>
      </c>
      <c r="O494" t="n">
        <v>0</v>
      </c>
      <c r="P494" t="n">
        <v>0</v>
      </c>
      <c r="Q494" t="n">
        <v>0</v>
      </c>
      <c r="R494" s="2" t="inlineStr"/>
    </row>
    <row r="495" ht="15" customHeight="1">
      <c r="A495" t="inlineStr">
        <is>
          <t>A 5418-2026</t>
        </is>
      </c>
      <c r="B495" s="1" t="n">
        <v>46050.53740740741</v>
      </c>
      <c r="C495" s="1" t="n">
        <v>46133</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61874-2021</t>
        </is>
      </c>
      <c r="B496" s="1" t="n">
        <v>44502</v>
      </c>
      <c r="C496" s="1" t="n">
        <v>46133</v>
      </c>
      <c r="D496" t="inlineStr">
        <is>
          <t>VÄSTMANLANDS LÄN</t>
        </is>
      </c>
      <c r="E496" t="inlineStr">
        <is>
          <t>SALA</t>
        </is>
      </c>
      <c r="F496" t="inlineStr">
        <is>
          <t>Kyrkan</t>
        </is>
      </c>
      <c r="G496" t="n">
        <v>1.3</v>
      </c>
      <c r="H496" t="n">
        <v>0</v>
      </c>
      <c r="I496" t="n">
        <v>0</v>
      </c>
      <c r="J496" t="n">
        <v>0</v>
      </c>
      <c r="K496" t="n">
        <v>0</v>
      </c>
      <c r="L496" t="n">
        <v>0</v>
      </c>
      <c r="M496" t="n">
        <v>0</v>
      </c>
      <c r="N496" t="n">
        <v>0</v>
      </c>
      <c r="O496" t="n">
        <v>0</v>
      </c>
      <c r="P496" t="n">
        <v>0</v>
      </c>
      <c r="Q496" t="n">
        <v>0</v>
      </c>
      <c r="R496" s="2" t="inlineStr"/>
    </row>
    <row r="497" ht="15" customHeight="1">
      <c r="A497" t="inlineStr">
        <is>
          <t>A 58359-2025</t>
        </is>
      </c>
      <c r="B497" s="1" t="n">
        <v>45985.51594907408</v>
      </c>
      <c r="C497" s="1" t="n">
        <v>46133</v>
      </c>
      <c r="D497" t="inlineStr">
        <is>
          <t>VÄSTMANLANDS LÄN</t>
        </is>
      </c>
      <c r="E497" t="inlineStr">
        <is>
          <t>SALA</t>
        </is>
      </c>
      <c r="G497" t="n">
        <v>3.7</v>
      </c>
      <c r="H497" t="n">
        <v>0</v>
      </c>
      <c r="I497" t="n">
        <v>0</v>
      </c>
      <c r="J497" t="n">
        <v>0</v>
      </c>
      <c r="K497" t="n">
        <v>0</v>
      </c>
      <c r="L497" t="n">
        <v>0</v>
      </c>
      <c r="M497" t="n">
        <v>0</v>
      </c>
      <c r="N497" t="n">
        <v>0</v>
      </c>
      <c r="O497" t="n">
        <v>0</v>
      </c>
      <c r="P497" t="n">
        <v>0</v>
      </c>
      <c r="Q497" t="n">
        <v>0</v>
      </c>
      <c r="R497" s="2" t="inlineStr"/>
    </row>
    <row r="498" ht="15" customHeight="1">
      <c r="A498" t="inlineStr">
        <is>
          <t>A 58364-2025</t>
        </is>
      </c>
      <c r="B498" s="1" t="n">
        <v>45985.5228125</v>
      </c>
      <c r="C498" s="1" t="n">
        <v>46133</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58282-2025</t>
        </is>
      </c>
      <c r="B499" s="1" t="n">
        <v>45985.44309027777</v>
      </c>
      <c r="C499" s="1" t="n">
        <v>46133</v>
      </c>
      <c r="D499" t="inlineStr">
        <is>
          <t>VÄSTMANLANDS LÄN</t>
        </is>
      </c>
      <c r="E499" t="inlineStr">
        <is>
          <t>SALA</t>
        </is>
      </c>
      <c r="G499" t="n">
        <v>8.9</v>
      </c>
      <c r="H499" t="n">
        <v>0</v>
      </c>
      <c r="I499" t="n">
        <v>0</v>
      </c>
      <c r="J499" t="n">
        <v>0</v>
      </c>
      <c r="K499" t="n">
        <v>0</v>
      </c>
      <c r="L499" t="n">
        <v>0</v>
      </c>
      <c r="M499" t="n">
        <v>0</v>
      </c>
      <c r="N499" t="n">
        <v>0</v>
      </c>
      <c r="O499" t="n">
        <v>0</v>
      </c>
      <c r="P499" t="n">
        <v>0</v>
      </c>
      <c r="Q499" t="n">
        <v>0</v>
      </c>
      <c r="R499" s="2" t="inlineStr"/>
    </row>
    <row r="500" ht="15" customHeight="1">
      <c r="A500" t="inlineStr">
        <is>
          <t>A 55760-2025</t>
        </is>
      </c>
      <c r="B500" s="1" t="n">
        <v>45972</v>
      </c>
      <c r="C500" s="1" t="n">
        <v>46133</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62651-2022</t>
        </is>
      </c>
      <c r="B501" s="1" t="n">
        <v>44917</v>
      </c>
      <c r="C501" s="1" t="n">
        <v>46133</v>
      </c>
      <c r="D501" t="inlineStr">
        <is>
          <t>VÄSTMANLANDS LÄN</t>
        </is>
      </c>
      <c r="E501" t="inlineStr">
        <is>
          <t>SALA</t>
        </is>
      </c>
      <c r="G501" t="n">
        <v>0.4</v>
      </c>
      <c r="H501" t="n">
        <v>0</v>
      </c>
      <c r="I501" t="n">
        <v>0</v>
      </c>
      <c r="J501" t="n">
        <v>0</v>
      </c>
      <c r="K501" t="n">
        <v>0</v>
      </c>
      <c r="L501" t="n">
        <v>0</v>
      </c>
      <c r="M501" t="n">
        <v>0</v>
      </c>
      <c r="N501" t="n">
        <v>0</v>
      </c>
      <c r="O501" t="n">
        <v>0</v>
      </c>
      <c r="P501" t="n">
        <v>0</v>
      </c>
      <c r="Q501" t="n">
        <v>0</v>
      </c>
      <c r="R501" s="2" t="inlineStr"/>
    </row>
    <row r="502" ht="15" customHeight="1">
      <c r="A502" t="inlineStr">
        <is>
          <t>A 58357-2025</t>
        </is>
      </c>
      <c r="B502" s="1" t="n">
        <v>45985.51518518518</v>
      </c>
      <c r="C502" s="1" t="n">
        <v>46133</v>
      </c>
      <c r="D502" t="inlineStr">
        <is>
          <t>VÄSTMANLANDS LÄN</t>
        </is>
      </c>
      <c r="E502" t="inlineStr">
        <is>
          <t>SALA</t>
        </is>
      </c>
      <c r="G502" t="n">
        <v>3</v>
      </c>
      <c r="H502" t="n">
        <v>0</v>
      </c>
      <c r="I502" t="n">
        <v>0</v>
      </c>
      <c r="J502" t="n">
        <v>0</v>
      </c>
      <c r="K502" t="n">
        <v>0</v>
      </c>
      <c r="L502" t="n">
        <v>0</v>
      </c>
      <c r="M502" t="n">
        <v>0</v>
      </c>
      <c r="N502" t="n">
        <v>0</v>
      </c>
      <c r="O502" t="n">
        <v>0</v>
      </c>
      <c r="P502" t="n">
        <v>0</v>
      </c>
      <c r="Q502" t="n">
        <v>0</v>
      </c>
      <c r="R502" s="2" t="inlineStr"/>
    </row>
    <row r="503" ht="15" customHeight="1">
      <c r="A503" t="inlineStr">
        <is>
          <t>A 58365-2025</t>
        </is>
      </c>
      <c r="B503" s="1" t="n">
        <v>45985.52288194445</v>
      </c>
      <c r="C503" s="1" t="n">
        <v>46133</v>
      </c>
      <c r="D503" t="inlineStr">
        <is>
          <t>VÄSTMANLANDS LÄN</t>
        </is>
      </c>
      <c r="E503" t="inlineStr">
        <is>
          <t>SALA</t>
        </is>
      </c>
      <c r="G503" t="n">
        <v>3.9</v>
      </c>
      <c r="H503" t="n">
        <v>0</v>
      </c>
      <c r="I503" t="n">
        <v>0</v>
      </c>
      <c r="J503" t="n">
        <v>0</v>
      </c>
      <c r="K503" t="n">
        <v>0</v>
      </c>
      <c r="L503" t="n">
        <v>0</v>
      </c>
      <c r="M503" t="n">
        <v>0</v>
      </c>
      <c r="N503" t="n">
        <v>0</v>
      </c>
      <c r="O503" t="n">
        <v>0</v>
      </c>
      <c r="P503" t="n">
        <v>0</v>
      </c>
      <c r="Q503" t="n">
        <v>0</v>
      </c>
      <c r="R503" s="2" t="inlineStr"/>
    </row>
    <row r="504" ht="15" customHeight="1">
      <c r="A504" t="inlineStr">
        <is>
          <t>A 15968-2024</t>
        </is>
      </c>
      <c r="B504" s="1" t="n">
        <v>45405.56021990741</v>
      </c>
      <c r="C504" s="1" t="n">
        <v>46133</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13032-2026</t>
        </is>
      </c>
      <c r="B505" s="1" t="n">
        <v>46092.90436342593</v>
      </c>
      <c r="C505" s="1" t="n">
        <v>46133</v>
      </c>
      <c r="D505" t="inlineStr">
        <is>
          <t>VÄSTMANLANDS LÄN</t>
        </is>
      </c>
      <c r="E505" t="inlineStr">
        <is>
          <t>SALA</t>
        </is>
      </c>
      <c r="G505" t="n">
        <v>3.4</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46133</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46133</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46133</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46133</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6032-2025</t>
        </is>
      </c>
      <c r="B510" s="1" t="n">
        <v>45695.6371875</v>
      </c>
      <c r="C510" s="1" t="n">
        <v>46133</v>
      </c>
      <c r="D510" t="inlineStr">
        <is>
          <t>VÄSTMANLANDS LÄN</t>
        </is>
      </c>
      <c r="E510" t="inlineStr">
        <is>
          <t>SALA</t>
        </is>
      </c>
      <c r="F510" t="inlineStr">
        <is>
          <t>Bergvik skog öst AB</t>
        </is>
      </c>
      <c r="G510" t="n">
        <v>8.1</v>
      </c>
      <c r="H510" t="n">
        <v>0</v>
      </c>
      <c r="I510" t="n">
        <v>0</v>
      </c>
      <c r="J510" t="n">
        <v>0</v>
      </c>
      <c r="K510" t="n">
        <v>0</v>
      </c>
      <c r="L510" t="n">
        <v>0</v>
      </c>
      <c r="M510" t="n">
        <v>0</v>
      </c>
      <c r="N510" t="n">
        <v>0</v>
      </c>
      <c r="O510" t="n">
        <v>0</v>
      </c>
      <c r="P510" t="n">
        <v>0</v>
      </c>
      <c r="Q510" t="n">
        <v>0</v>
      </c>
      <c r="R510" s="2" t="inlineStr"/>
    </row>
    <row r="511" ht="15" customHeight="1">
      <c r="A511" t="inlineStr">
        <is>
          <t>A 59385-2025</t>
        </is>
      </c>
      <c r="B511" s="1" t="n">
        <v>45989.45746527778</v>
      </c>
      <c r="C511" s="1" t="n">
        <v>46133</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59390-2025</t>
        </is>
      </c>
      <c r="B512" s="1" t="n">
        <v>45989.4640162037</v>
      </c>
      <c r="C512" s="1" t="n">
        <v>46133</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51247-2025</t>
        </is>
      </c>
      <c r="B513" s="1" t="n">
        <v>45947.86487268518</v>
      </c>
      <c r="C513" s="1" t="n">
        <v>46133</v>
      </c>
      <c r="D513" t="inlineStr">
        <is>
          <t>VÄSTMANLANDS LÄN</t>
        </is>
      </c>
      <c r="E513" t="inlineStr">
        <is>
          <t>SALA</t>
        </is>
      </c>
      <c r="G513" t="n">
        <v>10.4</v>
      </c>
      <c r="H513" t="n">
        <v>0</v>
      </c>
      <c r="I513" t="n">
        <v>0</v>
      </c>
      <c r="J513" t="n">
        <v>0</v>
      </c>
      <c r="K513" t="n">
        <v>0</v>
      </c>
      <c r="L513" t="n">
        <v>0</v>
      </c>
      <c r="M513" t="n">
        <v>0</v>
      </c>
      <c r="N513" t="n">
        <v>0</v>
      </c>
      <c r="O513" t="n">
        <v>0</v>
      </c>
      <c r="P513" t="n">
        <v>0</v>
      </c>
      <c r="Q513" t="n">
        <v>0</v>
      </c>
      <c r="R513" s="2" t="inlineStr"/>
    </row>
    <row r="514" ht="15" customHeight="1">
      <c r="A514" t="inlineStr">
        <is>
          <t>A 59817-2025</t>
        </is>
      </c>
      <c r="B514" s="1" t="n">
        <v>45992.63711805556</v>
      </c>
      <c r="C514" s="1" t="n">
        <v>46133</v>
      </c>
      <c r="D514" t="inlineStr">
        <is>
          <t>VÄSTMANLANDS LÄN</t>
        </is>
      </c>
      <c r="E514" t="inlineStr">
        <is>
          <t>SALA</t>
        </is>
      </c>
      <c r="G514" t="n">
        <v>6.9</v>
      </c>
      <c r="H514" t="n">
        <v>0</v>
      </c>
      <c r="I514" t="n">
        <v>0</v>
      </c>
      <c r="J514" t="n">
        <v>0</v>
      </c>
      <c r="K514" t="n">
        <v>0</v>
      </c>
      <c r="L514" t="n">
        <v>0</v>
      </c>
      <c r="M514" t="n">
        <v>0</v>
      </c>
      <c r="N514" t="n">
        <v>0</v>
      </c>
      <c r="O514" t="n">
        <v>0</v>
      </c>
      <c r="P514" t="n">
        <v>0</v>
      </c>
      <c r="Q514" t="n">
        <v>0</v>
      </c>
      <c r="R514" s="2" t="inlineStr"/>
    </row>
    <row r="515" ht="15" customHeight="1">
      <c r="A515" t="inlineStr">
        <is>
          <t>A 2766-2024</t>
        </is>
      </c>
      <c r="B515" s="1" t="n">
        <v>45314.60950231482</v>
      </c>
      <c r="C515" s="1" t="n">
        <v>46133</v>
      </c>
      <c r="D515" t="inlineStr">
        <is>
          <t>VÄSTMANLANDS LÄN</t>
        </is>
      </c>
      <c r="E515" t="inlineStr">
        <is>
          <t>SALA</t>
        </is>
      </c>
      <c r="G515" t="n">
        <v>2.8</v>
      </c>
      <c r="H515" t="n">
        <v>0</v>
      </c>
      <c r="I515" t="n">
        <v>0</v>
      </c>
      <c r="J515" t="n">
        <v>0</v>
      </c>
      <c r="K515" t="n">
        <v>0</v>
      </c>
      <c r="L515" t="n">
        <v>0</v>
      </c>
      <c r="M515" t="n">
        <v>0</v>
      </c>
      <c r="N515" t="n">
        <v>0</v>
      </c>
      <c r="O515" t="n">
        <v>0</v>
      </c>
      <c r="P515" t="n">
        <v>0</v>
      </c>
      <c r="Q515" t="n">
        <v>0</v>
      </c>
      <c r="R515" s="2" t="inlineStr"/>
    </row>
    <row r="516" ht="15" customHeight="1">
      <c r="A516" t="inlineStr">
        <is>
          <t>A 59870-2025</t>
        </is>
      </c>
      <c r="B516" s="1" t="n">
        <v>45992.92226851852</v>
      </c>
      <c r="C516" s="1" t="n">
        <v>46133</v>
      </c>
      <c r="D516" t="inlineStr">
        <is>
          <t>VÄSTMANLANDS LÄN</t>
        </is>
      </c>
      <c r="E516" t="inlineStr">
        <is>
          <t>SALA</t>
        </is>
      </c>
      <c r="G516" t="n">
        <v>3.4</v>
      </c>
      <c r="H516" t="n">
        <v>0</v>
      </c>
      <c r="I516" t="n">
        <v>0</v>
      </c>
      <c r="J516" t="n">
        <v>0</v>
      </c>
      <c r="K516" t="n">
        <v>0</v>
      </c>
      <c r="L516" t="n">
        <v>0</v>
      </c>
      <c r="M516" t="n">
        <v>0</v>
      </c>
      <c r="N516" t="n">
        <v>0</v>
      </c>
      <c r="O516" t="n">
        <v>0</v>
      </c>
      <c r="P516" t="n">
        <v>0</v>
      </c>
      <c r="Q516" t="n">
        <v>0</v>
      </c>
      <c r="R516" s="2" t="inlineStr"/>
    </row>
    <row r="517" ht="15" customHeight="1">
      <c r="A517" t="inlineStr">
        <is>
          <t>A 6351-2023</t>
        </is>
      </c>
      <c r="B517" s="1" t="n">
        <v>44965</v>
      </c>
      <c r="C517" s="1" t="n">
        <v>46133</v>
      </c>
      <c r="D517" t="inlineStr">
        <is>
          <t>VÄSTMANLANDS LÄN</t>
        </is>
      </c>
      <c r="E517" t="inlineStr">
        <is>
          <t>SALA</t>
        </is>
      </c>
      <c r="F517" t="inlineStr">
        <is>
          <t>Kommuner</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59926-2025</t>
        </is>
      </c>
      <c r="B518" s="1" t="n">
        <v>45993.39221064815</v>
      </c>
      <c r="C518" s="1" t="n">
        <v>46133</v>
      </c>
      <c r="D518" t="inlineStr">
        <is>
          <t>VÄSTMANLANDS LÄN</t>
        </is>
      </c>
      <c r="E518" t="inlineStr">
        <is>
          <t>SALA</t>
        </is>
      </c>
      <c r="G518" t="n">
        <v>7.1</v>
      </c>
      <c r="H518" t="n">
        <v>0</v>
      </c>
      <c r="I518" t="n">
        <v>0</v>
      </c>
      <c r="J518" t="n">
        <v>0</v>
      </c>
      <c r="K518" t="n">
        <v>0</v>
      </c>
      <c r="L518" t="n">
        <v>0</v>
      </c>
      <c r="M518" t="n">
        <v>0</v>
      </c>
      <c r="N518" t="n">
        <v>0</v>
      </c>
      <c r="O518" t="n">
        <v>0</v>
      </c>
      <c r="P518" t="n">
        <v>0</v>
      </c>
      <c r="Q518" t="n">
        <v>0</v>
      </c>
      <c r="R518" s="2" t="inlineStr"/>
    </row>
    <row r="519" ht="15" customHeight="1">
      <c r="A519" t="inlineStr">
        <is>
          <t>A 45187-2024</t>
        </is>
      </c>
      <c r="B519" s="1" t="n">
        <v>45575</v>
      </c>
      <c r="C519" s="1" t="n">
        <v>46133</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60017-2025</t>
        </is>
      </c>
      <c r="B520" s="1" t="n">
        <v>45993.59998842593</v>
      </c>
      <c r="C520" s="1" t="n">
        <v>46133</v>
      </c>
      <c r="D520" t="inlineStr">
        <is>
          <t>VÄSTMANLANDS LÄN</t>
        </is>
      </c>
      <c r="E520" t="inlineStr">
        <is>
          <t>SALA</t>
        </is>
      </c>
      <c r="G520" t="n">
        <v>4.4</v>
      </c>
      <c r="H520" t="n">
        <v>0</v>
      </c>
      <c r="I520" t="n">
        <v>0</v>
      </c>
      <c r="J520" t="n">
        <v>0</v>
      </c>
      <c r="K520" t="n">
        <v>0</v>
      </c>
      <c r="L520" t="n">
        <v>0</v>
      </c>
      <c r="M520" t="n">
        <v>0</v>
      </c>
      <c r="N520" t="n">
        <v>0</v>
      </c>
      <c r="O520" t="n">
        <v>0</v>
      </c>
      <c r="P520" t="n">
        <v>0</v>
      </c>
      <c r="Q520" t="n">
        <v>0</v>
      </c>
      <c r="R520" s="2" t="inlineStr"/>
    </row>
    <row r="521" ht="15" customHeight="1">
      <c r="A521" t="inlineStr">
        <is>
          <t>A 60254-2025</t>
        </is>
      </c>
      <c r="B521" s="1" t="n">
        <v>45994.60146990741</v>
      </c>
      <c r="C521" s="1" t="n">
        <v>46133</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60259-2025</t>
        </is>
      </c>
      <c r="B522" s="1" t="n">
        <v>45994.60913194445</v>
      </c>
      <c r="C522" s="1" t="n">
        <v>46133</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60241-2025</t>
        </is>
      </c>
      <c r="B523" s="1" t="n">
        <v>45994.58454861111</v>
      </c>
      <c r="C523" s="1" t="n">
        <v>46133</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33527-2023</t>
        </is>
      </c>
      <c r="B524" s="1" t="n">
        <v>45131</v>
      </c>
      <c r="C524" s="1" t="n">
        <v>46133</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7377-2023</t>
        </is>
      </c>
      <c r="B525" s="1" t="n">
        <v>44971</v>
      </c>
      <c r="C525" s="1" t="n">
        <v>46133</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21159-2022</t>
        </is>
      </c>
      <c r="B526" s="1" t="n">
        <v>44704</v>
      </c>
      <c r="C526" s="1" t="n">
        <v>46133</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60258-2025</t>
        </is>
      </c>
      <c r="B527" s="1" t="n">
        <v>45994.6064699074</v>
      </c>
      <c r="C527" s="1" t="n">
        <v>46133</v>
      </c>
      <c r="D527" t="inlineStr">
        <is>
          <t>VÄSTMANLANDS LÄN</t>
        </is>
      </c>
      <c r="E527" t="inlineStr">
        <is>
          <t>SALA</t>
        </is>
      </c>
      <c r="G527" t="n">
        <v>2.2</v>
      </c>
      <c r="H527" t="n">
        <v>0</v>
      </c>
      <c r="I527" t="n">
        <v>0</v>
      </c>
      <c r="J527" t="n">
        <v>0</v>
      </c>
      <c r="K527" t="n">
        <v>0</v>
      </c>
      <c r="L527" t="n">
        <v>0</v>
      </c>
      <c r="M527" t="n">
        <v>0</v>
      </c>
      <c r="N527" t="n">
        <v>0</v>
      </c>
      <c r="O527" t="n">
        <v>0</v>
      </c>
      <c r="P527" t="n">
        <v>0</v>
      </c>
      <c r="Q527" t="n">
        <v>0</v>
      </c>
      <c r="R527" s="2" t="inlineStr"/>
    </row>
    <row r="528" ht="15" customHeight="1">
      <c r="A528" t="inlineStr">
        <is>
          <t>A 60246-2025</t>
        </is>
      </c>
      <c r="B528" s="1" t="n">
        <v>45994.58931712963</v>
      </c>
      <c r="C528" s="1" t="n">
        <v>46133</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60629-2025</t>
        </is>
      </c>
      <c r="B529" s="1" t="n">
        <v>45996.41972222222</v>
      </c>
      <c r="C529" s="1" t="n">
        <v>46133</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56688-2024</t>
        </is>
      </c>
      <c r="B530" s="1" t="n">
        <v>45627.66478009259</v>
      </c>
      <c r="C530" s="1" t="n">
        <v>46133</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16159-2024</t>
        </is>
      </c>
      <c r="B531" s="1" t="n">
        <v>45406</v>
      </c>
      <c r="C531" s="1" t="n">
        <v>46133</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66307-2021</t>
        </is>
      </c>
      <c r="B532" s="1" t="n">
        <v>44518.48670138889</v>
      </c>
      <c r="C532" s="1" t="n">
        <v>46133</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5894-2026</t>
        </is>
      </c>
      <c r="B533" s="1" t="n">
        <v>46052.42412037037</v>
      </c>
      <c r="C533" s="1" t="n">
        <v>46133</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27262-2024</t>
        </is>
      </c>
      <c r="B534" s="1" t="n">
        <v>45471</v>
      </c>
      <c r="C534" s="1" t="n">
        <v>46133</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10913-2025</t>
        </is>
      </c>
      <c r="B535" s="1" t="n">
        <v>45722.73423611111</v>
      </c>
      <c r="C535" s="1" t="n">
        <v>46133</v>
      </c>
      <c r="D535" t="inlineStr">
        <is>
          <t>VÄSTMANLANDS LÄN</t>
        </is>
      </c>
      <c r="E535" t="inlineStr">
        <is>
          <t>SALA</t>
        </is>
      </c>
      <c r="G535" t="n">
        <v>7.6</v>
      </c>
      <c r="H535" t="n">
        <v>0</v>
      </c>
      <c r="I535" t="n">
        <v>0</v>
      </c>
      <c r="J535" t="n">
        <v>0</v>
      </c>
      <c r="K535" t="n">
        <v>0</v>
      </c>
      <c r="L535" t="n">
        <v>0</v>
      </c>
      <c r="M535" t="n">
        <v>0</v>
      </c>
      <c r="N535" t="n">
        <v>0</v>
      </c>
      <c r="O535" t="n">
        <v>0</v>
      </c>
      <c r="P535" t="n">
        <v>0</v>
      </c>
      <c r="Q535" t="n">
        <v>0</v>
      </c>
      <c r="R535" s="2" t="inlineStr"/>
    </row>
    <row r="536" ht="15" customHeight="1">
      <c r="A536" t="inlineStr">
        <is>
          <t>A 13996-2026</t>
        </is>
      </c>
      <c r="B536" s="1" t="n">
        <v>46098.63159722222</v>
      </c>
      <c r="C536" s="1" t="n">
        <v>46133</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35410-2022</t>
        </is>
      </c>
      <c r="B537" s="1" t="n">
        <v>44798.62576388889</v>
      </c>
      <c r="C537" s="1" t="n">
        <v>46133</v>
      </c>
      <c r="D537" t="inlineStr">
        <is>
          <t>VÄSTMANLANDS LÄN</t>
        </is>
      </c>
      <c r="E537" t="inlineStr">
        <is>
          <t>SALA</t>
        </is>
      </c>
      <c r="G537" t="n">
        <v>1.6</v>
      </c>
      <c r="H537" t="n">
        <v>0</v>
      </c>
      <c r="I537" t="n">
        <v>0</v>
      </c>
      <c r="J537" t="n">
        <v>0</v>
      </c>
      <c r="K537" t="n">
        <v>0</v>
      </c>
      <c r="L537" t="n">
        <v>0</v>
      </c>
      <c r="M537" t="n">
        <v>0</v>
      </c>
      <c r="N537" t="n">
        <v>0</v>
      </c>
      <c r="O537" t="n">
        <v>0</v>
      </c>
      <c r="P537" t="n">
        <v>0</v>
      </c>
      <c r="Q537" t="n">
        <v>0</v>
      </c>
      <c r="R537" s="2" t="inlineStr"/>
    </row>
    <row r="538" ht="15" customHeight="1">
      <c r="A538" t="inlineStr">
        <is>
          <t>A 1118-2024</t>
        </is>
      </c>
      <c r="B538" s="1" t="n">
        <v>45302</v>
      </c>
      <c r="C538" s="1" t="n">
        <v>46133</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6021-2026</t>
        </is>
      </c>
      <c r="B539" s="1" t="n">
        <v>46050</v>
      </c>
      <c r="C539" s="1" t="n">
        <v>46133</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53864-2022</t>
        </is>
      </c>
      <c r="B540" s="1" t="n">
        <v>44880.64016203704</v>
      </c>
      <c r="C540" s="1" t="n">
        <v>46133</v>
      </c>
      <c r="D540" t="inlineStr">
        <is>
          <t>VÄSTMANLANDS LÄN</t>
        </is>
      </c>
      <c r="E540" t="inlineStr">
        <is>
          <t>SALA</t>
        </is>
      </c>
      <c r="G540" t="n">
        <v>5.9</v>
      </c>
      <c r="H540" t="n">
        <v>0</v>
      </c>
      <c r="I540" t="n">
        <v>0</v>
      </c>
      <c r="J540" t="n">
        <v>0</v>
      </c>
      <c r="K540" t="n">
        <v>0</v>
      </c>
      <c r="L540" t="n">
        <v>0</v>
      </c>
      <c r="M540" t="n">
        <v>0</v>
      </c>
      <c r="N540" t="n">
        <v>0</v>
      </c>
      <c r="O540" t="n">
        <v>0</v>
      </c>
      <c r="P540" t="n">
        <v>0</v>
      </c>
      <c r="Q540" t="n">
        <v>0</v>
      </c>
      <c r="R540" s="2" t="inlineStr"/>
    </row>
    <row r="541" ht="15" customHeight="1">
      <c r="A541" t="inlineStr">
        <is>
          <t>A 40085-2024</t>
        </is>
      </c>
      <c r="B541" s="1" t="n">
        <v>45554</v>
      </c>
      <c r="C541" s="1" t="n">
        <v>46133</v>
      </c>
      <c r="D541" t="inlineStr">
        <is>
          <t>VÄSTMANLANDS LÄN</t>
        </is>
      </c>
      <c r="E541" t="inlineStr">
        <is>
          <t>SALA</t>
        </is>
      </c>
      <c r="G541" t="n">
        <v>2.8</v>
      </c>
      <c r="H541" t="n">
        <v>0</v>
      </c>
      <c r="I541" t="n">
        <v>0</v>
      </c>
      <c r="J541" t="n">
        <v>0</v>
      </c>
      <c r="K541" t="n">
        <v>0</v>
      </c>
      <c r="L541" t="n">
        <v>0</v>
      </c>
      <c r="M541" t="n">
        <v>0</v>
      </c>
      <c r="N541" t="n">
        <v>0</v>
      </c>
      <c r="O541" t="n">
        <v>0</v>
      </c>
      <c r="P541" t="n">
        <v>0</v>
      </c>
      <c r="Q541" t="n">
        <v>0</v>
      </c>
      <c r="R541" s="2" t="inlineStr"/>
    </row>
    <row r="542" ht="15" customHeight="1">
      <c r="A542" t="inlineStr">
        <is>
          <t>A 14000-2026</t>
        </is>
      </c>
      <c r="B542" s="1" t="n">
        <v>46098.64246527778</v>
      </c>
      <c r="C542" s="1" t="n">
        <v>46133</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3551-2024</t>
        </is>
      </c>
      <c r="B543" s="1" t="n">
        <v>45320.61099537037</v>
      </c>
      <c r="C543" s="1" t="n">
        <v>46133</v>
      </c>
      <c r="D543" t="inlineStr">
        <is>
          <t>VÄSTMANLANDS LÄN</t>
        </is>
      </c>
      <c r="E543" t="inlineStr">
        <is>
          <t>SALA</t>
        </is>
      </c>
      <c r="F543" t="inlineStr">
        <is>
          <t>Kommuner</t>
        </is>
      </c>
      <c r="G543" t="n">
        <v>6</v>
      </c>
      <c r="H543" t="n">
        <v>0</v>
      </c>
      <c r="I543" t="n">
        <v>0</v>
      </c>
      <c r="J543" t="n">
        <v>0</v>
      </c>
      <c r="K543" t="n">
        <v>0</v>
      </c>
      <c r="L543" t="n">
        <v>0</v>
      </c>
      <c r="M543" t="n">
        <v>0</v>
      </c>
      <c r="N543" t="n">
        <v>0</v>
      </c>
      <c r="O543" t="n">
        <v>0</v>
      </c>
      <c r="P543" t="n">
        <v>0</v>
      </c>
      <c r="Q543" t="n">
        <v>0</v>
      </c>
      <c r="R543" s="2" t="inlineStr"/>
    </row>
    <row r="544" ht="15" customHeight="1">
      <c r="A544" t="inlineStr">
        <is>
          <t>A 14490-2026</t>
        </is>
      </c>
      <c r="B544" s="1" t="n">
        <v>46100.59277777778</v>
      </c>
      <c r="C544" s="1" t="n">
        <v>46133</v>
      </c>
      <c r="D544" t="inlineStr">
        <is>
          <t>VÄSTMANLANDS LÄN</t>
        </is>
      </c>
      <c r="E544" t="inlineStr">
        <is>
          <t>SALA</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22961-2023</t>
        </is>
      </c>
      <c r="B545" s="1" t="n">
        <v>45072</v>
      </c>
      <c r="C545" s="1" t="n">
        <v>46133</v>
      </c>
      <c r="D545" t="inlineStr">
        <is>
          <t>VÄSTMANLANDS LÄN</t>
        </is>
      </c>
      <c r="E545" t="inlineStr">
        <is>
          <t>SALA</t>
        </is>
      </c>
      <c r="G545" t="n">
        <v>2.7</v>
      </c>
      <c r="H545" t="n">
        <v>0</v>
      </c>
      <c r="I545" t="n">
        <v>0</v>
      </c>
      <c r="J545" t="n">
        <v>0</v>
      </c>
      <c r="K545" t="n">
        <v>0</v>
      </c>
      <c r="L545" t="n">
        <v>0</v>
      </c>
      <c r="M545" t="n">
        <v>0</v>
      </c>
      <c r="N545" t="n">
        <v>0</v>
      </c>
      <c r="O545" t="n">
        <v>0</v>
      </c>
      <c r="P545" t="n">
        <v>0</v>
      </c>
      <c r="Q545" t="n">
        <v>0</v>
      </c>
      <c r="R545" s="2" t="inlineStr"/>
    </row>
    <row r="546" ht="15" customHeight="1">
      <c r="A546" t="inlineStr">
        <is>
          <t>A 22963-2023</t>
        </is>
      </c>
      <c r="B546" s="1" t="n">
        <v>45072</v>
      </c>
      <c r="C546" s="1" t="n">
        <v>46133</v>
      </c>
      <c r="D546" t="inlineStr">
        <is>
          <t>VÄSTMANLANDS LÄN</t>
        </is>
      </c>
      <c r="E546" t="inlineStr">
        <is>
          <t>SALA</t>
        </is>
      </c>
      <c r="G546" t="n">
        <v>1.2</v>
      </c>
      <c r="H546" t="n">
        <v>0</v>
      </c>
      <c r="I546" t="n">
        <v>0</v>
      </c>
      <c r="J546" t="n">
        <v>0</v>
      </c>
      <c r="K546" t="n">
        <v>0</v>
      </c>
      <c r="L546" t="n">
        <v>0</v>
      </c>
      <c r="M546" t="n">
        <v>0</v>
      </c>
      <c r="N546" t="n">
        <v>0</v>
      </c>
      <c r="O546" t="n">
        <v>0</v>
      </c>
      <c r="P546" t="n">
        <v>0</v>
      </c>
      <c r="Q546" t="n">
        <v>0</v>
      </c>
      <c r="R546" s="2" t="inlineStr"/>
    </row>
    <row r="547" ht="15" customHeight="1">
      <c r="A547" t="inlineStr">
        <is>
          <t>A 14481-2026</t>
        </is>
      </c>
      <c r="B547" s="1" t="n">
        <v>46100.58707175926</v>
      </c>
      <c r="C547" s="1" t="n">
        <v>46133</v>
      </c>
      <c r="D547" t="inlineStr">
        <is>
          <t>VÄSTMANLANDS LÄN</t>
        </is>
      </c>
      <c r="E547" t="inlineStr">
        <is>
          <t>SALA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14482-2026</t>
        </is>
      </c>
      <c r="B548" s="1" t="n">
        <v>46100.588125</v>
      </c>
      <c r="C548" s="1" t="n">
        <v>46133</v>
      </c>
      <c r="D548" t="inlineStr">
        <is>
          <t>VÄSTMANLANDS LÄN</t>
        </is>
      </c>
      <c r="E548" t="inlineStr">
        <is>
          <t>SALA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14484-2026</t>
        </is>
      </c>
      <c r="B549" s="1" t="n">
        <v>46100.5887962963</v>
      </c>
      <c r="C549" s="1" t="n">
        <v>46133</v>
      </c>
      <c r="D549" t="inlineStr">
        <is>
          <t>VÄSTMANLANDS LÄN</t>
        </is>
      </c>
      <c r="E549" t="inlineStr">
        <is>
          <t>SALA</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7327-2026</t>
        </is>
      </c>
      <c r="B550" s="1" t="n">
        <v>46058.68371527778</v>
      </c>
      <c r="C550" s="1" t="n">
        <v>46133</v>
      </c>
      <c r="D550" t="inlineStr">
        <is>
          <t>VÄSTMANLANDS LÄN</t>
        </is>
      </c>
      <c r="E550" t="inlineStr">
        <is>
          <t>SALA</t>
        </is>
      </c>
      <c r="G550" t="n">
        <v>5.8</v>
      </c>
      <c r="H550" t="n">
        <v>0</v>
      </c>
      <c r="I550" t="n">
        <v>0</v>
      </c>
      <c r="J550" t="n">
        <v>0</v>
      </c>
      <c r="K550" t="n">
        <v>0</v>
      </c>
      <c r="L550" t="n">
        <v>0</v>
      </c>
      <c r="M550" t="n">
        <v>0</v>
      </c>
      <c r="N550" t="n">
        <v>0</v>
      </c>
      <c r="O550" t="n">
        <v>0</v>
      </c>
      <c r="P550" t="n">
        <v>0</v>
      </c>
      <c r="Q550" t="n">
        <v>0</v>
      </c>
      <c r="R550" s="2" t="inlineStr"/>
    </row>
    <row r="551" ht="15" customHeight="1">
      <c r="A551" t="inlineStr">
        <is>
          <t>A 7332-2026</t>
        </is>
      </c>
      <c r="B551" s="1" t="n">
        <v>46058.68884259259</v>
      </c>
      <c r="C551" s="1" t="n">
        <v>46133</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54960-2024</t>
        </is>
      </c>
      <c r="B552" s="1" t="n">
        <v>45619.85208333333</v>
      </c>
      <c r="C552" s="1" t="n">
        <v>46133</v>
      </c>
      <c r="D552" t="inlineStr">
        <is>
          <t>VÄSTMANLANDS LÄN</t>
        </is>
      </c>
      <c r="E552" t="inlineStr">
        <is>
          <t>SALA</t>
        </is>
      </c>
      <c r="G552" t="n">
        <v>2.6</v>
      </c>
      <c r="H552" t="n">
        <v>0</v>
      </c>
      <c r="I552" t="n">
        <v>0</v>
      </c>
      <c r="J552" t="n">
        <v>0</v>
      </c>
      <c r="K552" t="n">
        <v>0</v>
      </c>
      <c r="L552" t="n">
        <v>0</v>
      </c>
      <c r="M552" t="n">
        <v>0</v>
      </c>
      <c r="N552" t="n">
        <v>0</v>
      </c>
      <c r="O552" t="n">
        <v>0</v>
      </c>
      <c r="P552" t="n">
        <v>0</v>
      </c>
      <c r="Q552" t="n">
        <v>0</v>
      </c>
      <c r="R552" s="2" t="inlineStr"/>
    </row>
    <row r="553" ht="15" customHeight="1">
      <c r="A553" t="inlineStr">
        <is>
          <t>A 11617-2026</t>
        </is>
      </c>
      <c r="B553" s="1" t="n">
        <v>46084</v>
      </c>
      <c r="C553" s="1" t="n">
        <v>46133</v>
      </c>
      <c r="D553" t="inlineStr">
        <is>
          <t>VÄSTMANLANDS LÄN</t>
        </is>
      </c>
      <c r="E553" t="inlineStr">
        <is>
          <t>SALA</t>
        </is>
      </c>
      <c r="F553" t="inlineStr">
        <is>
          <t>Kyrkan</t>
        </is>
      </c>
      <c r="G553" t="n">
        <v>3.7</v>
      </c>
      <c r="H553" t="n">
        <v>0</v>
      </c>
      <c r="I553" t="n">
        <v>0</v>
      </c>
      <c r="J553" t="n">
        <v>0</v>
      </c>
      <c r="K553" t="n">
        <v>0</v>
      </c>
      <c r="L553" t="n">
        <v>0</v>
      </c>
      <c r="M553" t="n">
        <v>0</v>
      </c>
      <c r="N553" t="n">
        <v>0</v>
      </c>
      <c r="O553" t="n">
        <v>0</v>
      </c>
      <c r="P553" t="n">
        <v>0</v>
      </c>
      <c r="Q553" t="n">
        <v>0</v>
      </c>
      <c r="R553" s="2" t="inlineStr"/>
    </row>
    <row r="554" ht="15" customHeight="1">
      <c r="A554" t="inlineStr">
        <is>
          <t>A 7324-2026</t>
        </is>
      </c>
      <c r="B554" s="1" t="n">
        <v>46058.68023148148</v>
      </c>
      <c r="C554" s="1" t="n">
        <v>46133</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7329-2026</t>
        </is>
      </c>
      <c r="B555" s="1" t="n">
        <v>46058.68678240741</v>
      </c>
      <c r="C555" s="1" t="n">
        <v>46133</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27228-2023</t>
        </is>
      </c>
      <c r="B556" s="1" t="n">
        <v>45096.59189814814</v>
      </c>
      <c r="C556" s="1" t="n">
        <v>46133</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26507-2023</t>
        </is>
      </c>
      <c r="B557" s="1" t="n">
        <v>45092</v>
      </c>
      <c r="C557" s="1" t="n">
        <v>46133</v>
      </c>
      <c r="D557" t="inlineStr">
        <is>
          <t>VÄSTMANLANDS LÄN</t>
        </is>
      </c>
      <c r="E557" t="inlineStr">
        <is>
          <t>SALA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6183-2025</t>
        </is>
      </c>
      <c r="B558" s="1" t="n">
        <v>45698</v>
      </c>
      <c r="C558" s="1" t="n">
        <v>46133</v>
      </c>
      <c r="D558" t="inlineStr">
        <is>
          <t>VÄSTMANLANDS LÄN</t>
        </is>
      </c>
      <c r="E558" t="inlineStr">
        <is>
          <t>SALA</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16543-2023</t>
        </is>
      </c>
      <c r="B559" s="1" t="n">
        <v>45029</v>
      </c>
      <c r="C559" s="1" t="n">
        <v>46133</v>
      </c>
      <c r="D559" t="inlineStr">
        <is>
          <t>VÄSTMANLANDS LÄN</t>
        </is>
      </c>
      <c r="E559" t="inlineStr">
        <is>
          <t>SALA</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43176-2023</t>
        </is>
      </c>
      <c r="B560" s="1" t="n">
        <v>45183</v>
      </c>
      <c r="C560" s="1" t="n">
        <v>46133</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37624-2024</t>
        </is>
      </c>
      <c r="B561" s="1" t="n">
        <v>45541</v>
      </c>
      <c r="C561" s="1" t="n">
        <v>46133</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7654-2026</t>
        </is>
      </c>
      <c r="B562" s="1" t="n">
        <v>46062.38828703704</v>
      </c>
      <c r="C562" s="1" t="n">
        <v>46133</v>
      </c>
      <c r="D562" t="inlineStr">
        <is>
          <t>VÄSTMANLANDS LÄN</t>
        </is>
      </c>
      <c r="E562" t="inlineStr">
        <is>
          <t>SALA</t>
        </is>
      </c>
      <c r="G562" t="n">
        <v>4.5</v>
      </c>
      <c r="H562" t="n">
        <v>0</v>
      </c>
      <c r="I562" t="n">
        <v>0</v>
      </c>
      <c r="J562" t="n">
        <v>0</v>
      </c>
      <c r="K562" t="n">
        <v>0</v>
      </c>
      <c r="L562" t="n">
        <v>0</v>
      </c>
      <c r="M562" t="n">
        <v>0</v>
      </c>
      <c r="N562" t="n">
        <v>0</v>
      </c>
      <c r="O562" t="n">
        <v>0</v>
      </c>
      <c r="P562" t="n">
        <v>0</v>
      </c>
      <c r="Q562" t="n">
        <v>0</v>
      </c>
      <c r="R562" s="2" t="inlineStr"/>
    </row>
    <row r="563" ht="15" customHeight="1">
      <c r="A563" t="inlineStr">
        <is>
          <t>A 57895-2024</t>
        </is>
      </c>
      <c r="B563" s="1" t="n">
        <v>45631</v>
      </c>
      <c r="C563" s="1" t="n">
        <v>46133</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47086-2022</t>
        </is>
      </c>
      <c r="B564" s="1" t="n">
        <v>44852</v>
      </c>
      <c r="C564" s="1" t="n">
        <v>46133</v>
      </c>
      <c r="D564" t="inlineStr">
        <is>
          <t>VÄSTMANLANDS LÄN</t>
        </is>
      </c>
      <c r="E564" t="inlineStr">
        <is>
          <t>SALA</t>
        </is>
      </c>
      <c r="G564" t="n">
        <v>12.5</v>
      </c>
      <c r="H564" t="n">
        <v>0</v>
      </c>
      <c r="I564" t="n">
        <v>0</v>
      </c>
      <c r="J564" t="n">
        <v>0</v>
      </c>
      <c r="K564" t="n">
        <v>0</v>
      </c>
      <c r="L564" t="n">
        <v>0</v>
      </c>
      <c r="M564" t="n">
        <v>0</v>
      </c>
      <c r="N564" t="n">
        <v>0</v>
      </c>
      <c r="O564" t="n">
        <v>0</v>
      </c>
      <c r="P564" t="n">
        <v>0</v>
      </c>
      <c r="Q564" t="n">
        <v>0</v>
      </c>
      <c r="R564" s="2" t="inlineStr"/>
    </row>
    <row r="565" ht="15" customHeight="1">
      <c r="A565" t="inlineStr">
        <is>
          <t>A 7588-2026</t>
        </is>
      </c>
      <c r="B565" s="1" t="n">
        <v>46061.83528935185</v>
      </c>
      <c r="C565" s="1" t="n">
        <v>46133</v>
      </c>
      <c r="D565" t="inlineStr">
        <is>
          <t>VÄSTMANLANDS LÄN</t>
        </is>
      </c>
      <c r="E565" t="inlineStr">
        <is>
          <t>SALA</t>
        </is>
      </c>
      <c r="G565" t="n">
        <v>2.8</v>
      </c>
      <c r="H565" t="n">
        <v>0</v>
      </c>
      <c r="I565" t="n">
        <v>0</v>
      </c>
      <c r="J565" t="n">
        <v>0</v>
      </c>
      <c r="K565" t="n">
        <v>0</v>
      </c>
      <c r="L565" t="n">
        <v>0</v>
      </c>
      <c r="M565" t="n">
        <v>0</v>
      </c>
      <c r="N565" t="n">
        <v>0</v>
      </c>
      <c r="O565" t="n">
        <v>0</v>
      </c>
      <c r="P565" t="n">
        <v>0</v>
      </c>
      <c r="Q565" t="n">
        <v>0</v>
      </c>
      <c r="R565" s="2" t="inlineStr"/>
    </row>
    <row r="566" ht="15" customHeight="1">
      <c r="A566" t="inlineStr">
        <is>
          <t>A 7611-2026</t>
        </is>
      </c>
      <c r="B566" s="1" t="n">
        <v>46062.32387731481</v>
      </c>
      <c r="C566" s="1" t="n">
        <v>46133</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7676-2026</t>
        </is>
      </c>
      <c r="B567" s="1" t="n">
        <v>46062.42498842593</v>
      </c>
      <c r="C567" s="1" t="n">
        <v>46133</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7593-2026</t>
        </is>
      </c>
      <c r="B568" s="1" t="n">
        <v>46061.88057870371</v>
      </c>
      <c r="C568" s="1" t="n">
        <v>46133</v>
      </c>
      <c r="D568" t="inlineStr">
        <is>
          <t>VÄSTMANLANDS LÄN</t>
        </is>
      </c>
      <c r="E568" t="inlineStr">
        <is>
          <t>SALA</t>
        </is>
      </c>
      <c r="G568" t="n">
        <v>7.5</v>
      </c>
      <c r="H568" t="n">
        <v>0</v>
      </c>
      <c r="I568" t="n">
        <v>0</v>
      </c>
      <c r="J568" t="n">
        <v>0</v>
      </c>
      <c r="K568" t="n">
        <v>0</v>
      </c>
      <c r="L568" t="n">
        <v>0</v>
      </c>
      <c r="M568" t="n">
        <v>0</v>
      </c>
      <c r="N568" t="n">
        <v>0</v>
      </c>
      <c r="O568" t="n">
        <v>0</v>
      </c>
      <c r="P568" t="n">
        <v>0</v>
      </c>
      <c r="Q568" t="n">
        <v>0</v>
      </c>
      <c r="R568" s="2" t="inlineStr"/>
    </row>
    <row r="569" ht="15" customHeight="1">
      <c r="A569" t="inlineStr">
        <is>
          <t>A 7597-2026</t>
        </is>
      </c>
      <c r="B569" s="1" t="n">
        <v>46061.91765046296</v>
      </c>
      <c r="C569" s="1" t="n">
        <v>46133</v>
      </c>
      <c r="D569" t="inlineStr">
        <is>
          <t>VÄSTMANLANDS LÄN</t>
        </is>
      </c>
      <c r="E569" t="inlineStr">
        <is>
          <t>SALA</t>
        </is>
      </c>
      <c r="G569" t="n">
        <v>0.6</v>
      </c>
      <c r="H569" t="n">
        <v>0</v>
      </c>
      <c r="I569" t="n">
        <v>0</v>
      </c>
      <c r="J569" t="n">
        <v>0</v>
      </c>
      <c r="K569" t="n">
        <v>0</v>
      </c>
      <c r="L569" t="n">
        <v>0</v>
      </c>
      <c r="M569" t="n">
        <v>0</v>
      </c>
      <c r="N569" t="n">
        <v>0</v>
      </c>
      <c r="O569" t="n">
        <v>0</v>
      </c>
      <c r="P569" t="n">
        <v>0</v>
      </c>
      <c r="Q569" t="n">
        <v>0</v>
      </c>
      <c r="R569" s="2" t="inlineStr"/>
    </row>
    <row r="570" ht="15" customHeight="1">
      <c r="A570" t="inlineStr">
        <is>
          <t>A 7661-2026</t>
        </is>
      </c>
      <c r="B570" s="1" t="n">
        <v>46062.39614583334</v>
      </c>
      <c r="C570" s="1" t="n">
        <v>46133</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7584-2026</t>
        </is>
      </c>
      <c r="B571" s="1" t="n">
        <v>46061.81653935185</v>
      </c>
      <c r="C571" s="1" t="n">
        <v>46133</v>
      </c>
      <c r="D571" t="inlineStr">
        <is>
          <t>VÄSTMANLANDS LÄN</t>
        </is>
      </c>
      <c r="E571" t="inlineStr">
        <is>
          <t>SALA</t>
        </is>
      </c>
      <c r="G571" t="n">
        <v>16.7</v>
      </c>
      <c r="H571" t="n">
        <v>0</v>
      </c>
      <c r="I571" t="n">
        <v>0</v>
      </c>
      <c r="J571" t="n">
        <v>0</v>
      </c>
      <c r="K571" t="n">
        <v>0</v>
      </c>
      <c r="L571" t="n">
        <v>0</v>
      </c>
      <c r="M571" t="n">
        <v>0</v>
      </c>
      <c r="N571" t="n">
        <v>0</v>
      </c>
      <c r="O571" t="n">
        <v>0</v>
      </c>
      <c r="P571" t="n">
        <v>0</v>
      </c>
      <c r="Q571" t="n">
        <v>0</v>
      </c>
      <c r="R571" s="2" t="inlineStr"/>
    </row>
    <row r="572" ht="15" customHeight="1">
      <c r="A572" t="inlineStr">
        <is>
          <t>A 7590-2026</t>
        </is>
      </c>
      <c r="B572" s="1" t="n">
        <v>46061.85252314815</v>
      </c>
      <c r="C572" s="1" t="n">
        <v>46133</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7596-2026</t>
        </is>
      </c>
      <c r="B573" s="1" t="n">
        <v>46061.90922453703</v>
      </c>
      <c r="C573" s="1" t="n">
        <v>46133</v>
      </c>
      <c r="D573" t="inlineStr">
        <is>
          <t>VÄSTMANLANDS LÄN</t>
        </is>
      </c>
      <c r="E573" t="inlineStr">
        <is>
          <t>SALA</t>
        </is>
      </c>
      <c r="G573" t="n">
        <v>3.1</v>
      </c>
      <c r="H573" t="n">
        <v>0</v>
      </c>
      <c r="I573" t="n">
        <v>0</v>
      </c>
      <c r="J573" t="n">
        <v>0</v>
      </c>
      <c r="K573" t="n">
        <v>0</v>
      </c>
      <c r="L573" t="n">
        <v>0</v>
      </c>
      <c r="M573" t="n">
        <v>0</v>
      </c>
      <c r="N573" t="n">
        <v>0</v>
      </c>
      <c r="O573" t="n">
        <v>0</v>
      </c>
      <c r="P573" t="n">
        <v>0</v>
      </c>
      <c r="Q573" t="n">
        <v>0</v>
      </c>
      <c r="R573" s="2" t="inlineStr"/>
    </row>
    <row r="574" ht="15" customHeight="1">
      <c r="A574" t="inlineStr">
        <is>
          <t>A 56687-2024</t>
        </is>
      </c>
      <c r="B574" s="1" t="n">
        <v>45627.63271990741</v>
      </c>
      <c r="C574" s="1" t="n">
        <v>46133</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7850-2026</t>
        </is>
      </c>
      <c r="B575" s="1" t="n">
        <v>46062.66236111111</v>
      </c>
      <c r="C575" s="1" t="n">
        <v>46133</v>
      </c>
      <c r="D575" t="inlineStr">
        <is>
          <t>VÄSTMANLANDS LÄN</t>
        </is>
      </c>
      <c r="E575" t="inlineStr">
        <is>
          <t>SALA</t>
        </is>
      </c>
      <c r="G575" t="n">
        <v>2.3</v>
      </c>
      <c r="H575" t="n">
        <v>0</v>
      </c>
      <c r="I575" t="n">
        <v>0</v>
      </c>
      <c r="J575" t="n">
        <v>0</v>
      </c>
      <c r="K575" t="n">
        <v>0</v>
      </c>
      <c r="L575" t="n">
        <v>0</v>
      </c>
      <c r="M575" t="n">
        <v>0</v>
      </c>
      <c r="N575" t="n">
        <v>0</v>
      </c>
      <c r="O575" t="n">
        <v>0</v>
      </c>
      <c r="P575" t="n">
        <v>0</v>
      </c>
      <c r="Q575" t="n">
        <v>0</v>
      </c>
      <c r="R575" s="2" t="inlineStr"/>
    </row>
    <row r="576" ht="15" customHeight="1">
      <c r="A576" t="inlineStr">
        <is>
          <t>A 54347-2024</t>
        </is>
      </c>
      <c r="B576" s="1" t="n">
        <v>45617.39325231482</v>
      </c>
      <c r="C576" s="1" t="n">
        <v>46133</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7595-2026</t>
        </is>
      </c>
      <c r="B577" s="1" t="n">
        <v>46061.90009259259</v>
      </c>
      <c r="C577" s="1" t="n">
        <v>46133</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7680-2026</t>
        </is>
      </c>
      <c r="B578" s="1" t="n">
        <v>46062.43087962963</v>
      </c>
      <c r="C578" s="1" t="n">
        <v>46133</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64693-2023</t>
        </is>
      </c>
      <c r="B579" s="1" t="n">
        <v>45281.63850694444</v>
      </c>
      <c r="C579" s="1" t="n">
        <v>46133</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64695-2023</t>
        </is>
      </c>
      <c r="B580" s="1" t="n">
        <v>45281.64099537037</v>
      </c>
      <c r="C580" s="1" t="n">
        <v>46133</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27486-2022</t>
        </is>
      </c>
      <c r="B581" s="1" t="n">
        <v>44742.60846064815</v>
      </c>
      <c r="C581" s="1" t="n">
        <v>46133</v>
      </c>
      <c r="D581" t="inlineStr">
        <is>
          <t>VÄSTMANLANDS LÄN</t>
        </is>
      </c>
      <c r="E581" t="inlineStr">
        <is>
          <t>SALA</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15630-2026</t>
        </is>
      </c>
      <c r="B582" s="1" t="n">
        <v>46106.62283564815</v>
      </c>
      <c r="C582" s="1" t="n">
        <v>46133</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35003-2024</t>
        </is>
      </c>
      <c r="B583" s="1" t="n">
        <v>45527.56790509259</v>
      </c>
      <c r="C583" s="1" t="n">
        <v>46133</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15823-2026</t>
        </is>
      </c>
      <c r="B584" s="1" t="n">
        <v>46107.54096064815</v>
      </c>
      <c r="C584" s="1" t="n">
        <v>46133</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16364-2026</t>
        </is>
      </c>
      <c r="B585" s="1" t="n">
        <v>46111.6115625</v>
      </c>
      <c r="C585" s="1" t="n">
        <v>46133</v>
      </c>
      <c r="D585" t="inlineStr">
        <is>
          <t>VÄSTMANLANDS LÄN</t>
        </is>
      </c>
      <c r="E585" t="inlineStr">
        <is>
          <t>SALA</t>
        </is>
      </c>
      <c r="G585" t="n">
        <v>4.7</v>
      </c>
      <c r="H585" t="n">
        <v>0</v>
      </c>
      <c r="I585" t="n">
        <v>0</v>
      </c>
      <c r="J585" t="n">
        <v>0</v>
      </c>
      <c r="K585" t="n">
        <v>0</v>
      </c>
      <c r="L585" t="n">
        <v>0</v>
      </c>
      <c r="M585" t="n">
        <v>0</v>
      </c>
      <c r="N585" t="n">
        <v>0</v>
      </c>
      <c r="O585" t="n">
        <v>0</v>
      </c>
      <c r="P585" t="n">
        <v>0</v>
      </c>
      <c r="Q585" t="n">
        <v>0</v>
      </c>
      <c r="R585" s="2" t="inlineStr"/>
    </row>
    <row r="586" ht="15" customHeight="1">
      <c r="A586" t="inlineStr">
        <is>
          <t>A 48688-2024</t>
        </is>
      </c>
      <c r="B586" s="1" t="n">
        <v>45593.50541666667</v>
      </c>
      <c r="C586" s="1" t="n">
        <v>46133</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16354-2026</t>
        </is>
      </c>
      <c r="B587" s="1" t="n">
        <v>46111.5968287037</v>
      </c>
      <c r="C587" s="1" t="n">
        <v>46133</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16367-2026</t>
        </is>
      </c>
      <c r="B588" s="1" t="n">
        <v>46111.61380787037</v>
      </c>
      <c r="C588" s="1" t="n">
        <v>46133</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63933-2023</t>
        </is>
      </c>
      <c r="B589" s="1" t="n">
        <v>45278</v>
      </c>
      <c r="C589" s="1" t="n">
        <v>46133</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44746-2024</t>
        </is>
      </c>
      <c r="B590" s="1" t="n">
        <v>45574.59813657407</v>
      </c>
      <c r="C590" s="1" t="n">
        <v>46133</v>
      </c>
      <c r="D590" t="inlineStr">
        <is>
          <t>VÄSTMANLANDS LÄN</t>
        </is>
      </c>
      <c r="E590" t="inlineStr">
        <is>
          <t>SALA</t>
        </is>
      </c>
      <c r="G590" t="n">
        <v>6.7</v>
      </c>
      <c r="H590" t="n">
        <v>0</v>
      </c>
      <c r="I590" t="n">
        <v>0</v>
      </c>
      <c r="J590" t="n">
        <v>0</v>
      </c>
      <c r="K590" t="n">
        <v>0</v>
      </c>
      <c r="L590" t="n">
        <v>0</v>
      </c>
      <c r="M590" t="n">
        <v>0</v>
      </c>
      <c r="N590" t="n">
        <v>0</v>
      </c>
      <c r="O590" t="n">
        <v>0</v>
      </c>
      <c r="P590" t="n">
        <v>0</v>
      </c>
      <c r="Q590" t="n">
        <v>0</v>
      </c>
      <c r="R590" s="2" t="inlineStr"/>
    </row>
    <row r="591" ht="15" customHeight="1">
      <c r="A591" t="inlineStr">
        <is>
          <t>A 33273-2023</t>
        </is>
      </c>
      <c r="B591" s="1" t="n">
        <v>45127</v>
      </c>
      <c r="C591" s="1" t="n">
        <v>46133</v>
      </c>
      <c r="D591" t="inlineStr">
        <is>
          <t>VÄSTMANLANDS LÄN</t>
        </is>
      </c>
      <c r="E591" t="inlineStr">
        <is>
          <t>SALA</t>
        </is>
      </c>
      <c r="G591" t="n">
        <v>2.6</v>
      </c>
      <c r="H591" t="n">
        <v>0</v>
      </c>
      <c r="I591" t="n">
        <v>0</v>
      </c>
      <c r="J591" t="n">
        <v>0</v>
      </c>
      <c r="K591" t="n">
        <v>0</v>
      </c>
      <c r="L591" t="n">
        <v>0</v>
      </c>
      <c r="M591" t="n">
        <v>0</v>
      </c>
      <c r="N591" t="n">
        <v>0</v>
      </c>
      <c r="O591" t="n">
        <v>0</v>
      </c>
      <c r="P591" t="n">
        <v>0</v>
      </c>
      <c r="Q591" t="n">
        <v>0</v>
      </c>
      <c r="R591" s="2" t="inlineStr"/>
    </row>
    <row r="592" ht="15" customHeight="1">
      <c r="A592" t="inlineStr">
        <is>
          <t>A 11696-2025</t>
        </is>
      </c>
      <c r="B592" s="1" t="n">
        <v>45727</v>
      </c>
      <c r="C592" s="1" t="n">
        <v>46133</v>
      </c>
      <c r="D592" t="inlineStr">
        <is>
          <t>VÄSTMANLANDS LÄN</t>
        </is>
      </c>
      <c r="E592" t="inlineStr">
        <is>
          <t>SALA</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16598-2026</t>
        </is>
      </c>
      <c r="B593" s="1" t="n">
        <v>46112.59598379629</v>
      </c>
      <c r="C593" s="1" t="n">
        <v>46133</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16369-2026</t>
        </is>
      </c>
      <c r="B594" s="1" t="n">
        <v>46111</v>
      </c>
      <c r="C594" s="1" t="n">
        <v>46133</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60545-2024</t>
        </is>
      </c>
      <c r="B595" s="1" t="n">
        <v>45643</v>
      </c>
      <c r="C595" s="1" t="n">
        <v>46133</v>
      </c>
      <c r="D595" t="inlineStr">
        <is>
          <t>VÄSTMANLANDS LÄN</t>
        </is>
      </c>
      <c r="E595" t="inlineStr">
        <is>
          <t>SALA</t>
        </is>
      </c>
      <c r="G595" t="n">
        <v>3.3</v>
      </c>
      <c r="H595" t="n">
        <v>0</v>
      </c>
      <c r="I595" t="n">
        <v>0</v>
      </c>
      <c r="J595" t="n">
        <v>0</v>
      </c>
      <c r="K595" t="n">
        <v>0</v>
      </c>
      <c r="L595" t="n">
        <v>0</v>
      </c>
      <c r="M595" t="n">
        <v>0</v>
      </c>
      <c r="N595" t="n">
        <v>0</v>
      </c>
      <c r="O595" t="n">
        <v>0</v>
      </c>
      <c r="P595" t="n">
        <v>0</v>
      </c>
      <c r="Q595" t="n">
        <v>0</v>
      </c>
      <c r="R595" s="2" t="inlineStr"/>
    </row>
    <row r="596" ht="15" customHeight="1">
      <c r="A596" t="inlineStr">
        <is>
          <t>A 60547-2024</t>
        </is>
      </c>
      <c r="B596" s="1" t="n">
        <v>45643</v>
      </c>
      <c r="C596" s="1" t="n">
        <v>46133</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1985-2022</t>
        </is>
      </c>
      <c r="B597" s="1" t="n">
        <v>44575</v>
      </c>
      <c r="C597" s="1" t="n">
        <v>46133</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27261-2024</t>
        </is>
      </c>
      <c r="B598" s="1" t="n">
        <v>45471</v>
      </c>
      <c r="C598" s="1" t="n">
        <v>46133</v>
      </c>
      <c r="D598" t="inlineStr">
        <is>
          <t>VÄSTMANLANDS LÄN</t>
        </is>
      </c>
      <c r="E598" t="inlineStr">
        <is>
          <t>SALA</t>
        </is>
      </c>
      <c r="G598" t="n">
        <v>6.1</v>
      </c>
      <c r="H598" t="n">
        <v>0</v>
      </c>
      <c r="I598" t="n">
        <v>0</v>
      </c>
      <c r="J598" t="n">
        <v>0</v>
      </c>
      <c r="K598" t="n">
        <v>0</v>
      </c>
      <c r="L598" t="n">
        <v>0</v>
      </c>
      <c r="M598" t="n">
        <v>0</v>
      </c>
      <c r="N598" t="n">
        <v>0</v>
      </c>
      <c r="O598" t="n">
        <v>0</v>
      </c>
      <c r="P598" t="n">
        <v>0</v>
      </c>
      <c r="Q598" t="n">
        <v>0</v>
      </c>
      <c r="R598" s="2" t="inlineStr"/>
    </row>
    <row r="599" ht="15" customHeight="1">
      <c r="A599" t="inlineStr">
        <is>
          <t>A 35976-2024</t>
        </is>
      </c>
      <c r="B599" s="1" t="n">
        <v>45533.49555555556</v>
      </c>
      <c r="C599" s="1" t="n">
        <v>46133</v>
      </c>
      <c r="D599" t="inlineStr">
        <is>
          <t>VÄSTMANLANDS LÄN</t>
        </is>
      </c>
      <c r="E599" t="inlineStr">
        <is>
          <t>SALA</t>
        </is>
      </c>
      <c r="G599" t="n">
        <v>2.3</v>
      </c>
      <c r="H599" t="n">
        <v>0</v>
      </c>
      <c r="I599" t="n">
        <v>0</v>
      </c>
      <c r="J599" t="n">
        <v>0</v>
      </c>
      <c r="K599" t="n">
        <v>0</v>
      </c>
      <c r="L599" t="n">
        <v>0</v>
      </c>
      <c r="M599" t="n">
        <v>0</v>
      </c>
      <c r="N599" t="n">
        <v>0</v>
      </c>
      <c r="O599" t="n">
        <v>0</v>
      </c>
      <c r="P599" t="n">
        <v>0</v>
      </c>
      <c r="Q599" t="n">
        <v>0</v>
      </c>
      <c r="R599" s="2" t="inlineStr"/>
    </row>
    <row r="600" ht="15" customHeight="1">
      <c r="A600" t="inlineStr">
        <is>
          <t>A 55556-2023</t>
        </is>
      </c>
      <c r="B600" s="1" t="n">
        <v>45232</v>
      </c>
      <c r="C600" s="1" t="n">
        <v>46133</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57650-2024</t>
        </is>
      </c>
      <c r="B601" s="1" t="n">
        <v>45630</v>
      </c>
      <c r="C601" s="1" t="n">
        <v>46133</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50479-2022</t>
        </is>
      </c>
      <c r="B602" s="1" t="n">
        <v>44861</v>
      </c>
      <c r="C602" s="1" t="n">
        <v>46133</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45790-2023</t>
        </is>
      </c>
      <c r="B603" s="1" t="n">
        <v>45195.45958333334</v>
      </c>
      <c r="C603" s="1" t="n">
        <v>46133</v>
      </c>
      <c r="D603" t="inlineStr">
        <is>
          <t>VÄSTMANLANDS LÄN</t>
        </is>
      </c>
      <c r="E603" t="inlineStr">
        <is>
          <t>SALA</t>
        </is>
      </c>
      <c r="G603" t="n">
        <v>5.7</v>
      </c>
      <c r="H603" t="n">
        <v>0</v>
      </c>
      <c r="I603" t="n">
        <v>0</v>
      </c>
      <c r="J603" t="n">
        <v>0</v>
      </c>
      <c r="K603" t="n">
        <v>0</v>
      </c>
      <c r="L603" t="n">
        <v>0</v>
      </c>
      <c r="M603" t="n">
        <v>0</v>
      </c>
      <c r="N603" t="n">
        <v>0</v>
      </c>
      <c r="O603" t="n">
        <v>0</v>
      </c>
      <c r="P603" t="n">
        <v>0</v>
      </c>
      <c r="Q603" t="n">
        <v>0</v>
      </c>
      <c r="R603" s="2" t="inlineStr"/>
    </row>
    <row r="604" ht="15" customHeight="1">
      <c r="A604" t="inlineStr">
        <is>
          <t>A 2928-2024</t>
        </is>
      </c>
      <c r="B604" s="1" t="n">
        <v>45315.59041666667</v>
      </c>
      <c r="C604" s="1" t="n">
        <v>46133</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73673-2021</t>
        </is>
      </c>
      <c r="B605" s="1" t="n">
        <v>44552.46501157407</v>
      </c>
      <c r="C605" s="1" t="n">
        <v>46133</v>
      </c>
      <c r="D605" t="inlineStr">
        <is>
          <t>VÄSTMANLANDS LÄN</t>
        </is>
      </c>
      <c r="E605" t="inlineStr">
        <is>
          <t>SALA</t>
        </is>
      </c>
      <c r="G605" t="n">
        <v>11.4</v>
      </c>
      <c r="H605" t="n">
        <v>0</v>
      </c>
      <c r="I605" t="n">
        <v>0</v>
      </c>
      <c r="J605" t="n">
        <v>0</v>
      </c>
      <c r="K605" t="n">
        <v>0</v>
      </c>
      <c r="L605" t="n">
        <v>0</v>
      </c>
      <c r="M605" t="n">
        <v>0</v>
      </c>
      <c r="N605" t="n">
        <v>0</v>
      </c>
      <c r="O605" t="n">
        <v>0</v>
      </c>
      <c r="P605" t="n">
        <v>0</v>
      </c>
      <c r="Q605" t="n">
        <v>0</v>
      </c>
      <c r="R605" s="2" t="inlineStr"/>
    </row>
    <row r="606" ht="15" customHeight="1">
      <c r="A606" t="inlineStr">
        <is>
          <t>A 10239-2026</t>
        </is>
      </c>
      <c r="B606" s="1" t="n">
        <v>46076.54824074074</v>
      </c>
      <c r="C606" s="1" t="n">
        <v>46133</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40871-2021</t>
        </is>
      </c>
      <c r="B607" s="1" t="n">
        <v>44421</v>
      </c>
      <c r="C607" s="1" t="n">
        <v>46133</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14271-2025</t>
        </is>
      </c>
      <c r="B608" s="1" t="n">
        <v>45740.64129629629</v>
      </c>
      <c r="C608" s="1" t="n">
        <v>46133</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10245-2026</t>
        </is>
      </c>
      <c r="B609" s="1" t="n">
        <v>46076.55144675926</v>
      </c>
      <c r="C609" s="1" t="n">
        <v>46133</v>
      </c>
      <c r="D609" t="inlineStr">
        <is>
          <t>VÄSTMANLANDS LÄN</t>
        </is>
      </c>
      <c r="E609" t="inlineStr">
        <is>
          <t>SALA</t>
        </is>
      </c>
      <c r="G609" t="n">
        <v>1.4</v>
      </c>
      <c r="H609" t="n">
        <v>0</v>
      </c>
      <c r="I609" t="n">
        <v>0</v>
      </c>
      <c r="J609" t="n">
        <v>0</v>
      </c>
      <c r="K609" t="n">
        <v>0</v>
      </c>
      <c r="L609" t="n">
        <v>0</v>
      </c>
      <c r="M609" t="n">
        <v>0</v>
      </c>
      <c r="N609" t="n">
        <v>0</v>
      </c>
      <c r="O609" t="n">
        <v>0</v>
      </c>
      <c r="P609" t="n">
        <v>0</v>
      </c>
      <c r="Q609" t="n">
        <v>0</v>
      </c>
      <c r="R609" s="2" t="inlineStr"/>
    </row>
    <row r="610" ht="15" customHeight="1">
      <c r="A610" t="inlineStr">
        <is>
          <t>A 10252-2026</t>
        </is>
      </c>
      <c r="B610" s="1" t="n">
        <v>46076.55700231482</v>
      </c>
      <c r="C610" s="1" t="n">
        <v>46133</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54199-2024</t>
        </is>
      </c>
      <c r="B611" s="1" t="n">
        <v>45616.64703703704</v>
      </c>
      <c r="C611" s="1" t="n">
        <v>46133</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6312-2025</t>
        </is>
      </c>
      <c r="B612" s="1" t="n">
        <v>45698</v>
      </c>
      <c r="C612" s="1" t="n">
        <v>46133</v>
      </c>
      <c r="D612" t="inlineStr">
        <is>
          <t>VÄSTMANLANDS LÄN</t>
        </is>
      </c>
      <c r="E612" t="inlineStr">
        <is>
          <t>SALA</t>
        </is>
      </c>
      <c r="G612" t="n">
        <v>1.2</v>
      </c>
      <c r="H612" t="n">
        <v>0</v>
      </c>
      <c r="I612" t="n">
        <v>0</v>
      </c>
      <c r="J612" t="n">
        <v>0</v>
      </c>
      <c r="K612" t="n">
        <v>0</v>
      </c>
      <c r="L612" t="n">
        <v>0</v>
      </c>
      <c r="M612" t="n">
        <v>0</v>
      </c>
      <c r="N612" t="n">
        <v>0</v>
      </c>
      <c r="O612" t="n">
        <v>0</v>
      </c>
      <c r="P612" t="n">
        <v>0</v>
      </c>
      <c r="Q612" t="n">
        <v>0</v>
      </c>
      <c r="R612" s="2" t="inlineStr"/>
    </row>
    <row r="613" ht="15" customHeight="1">
      <c r="A613" t="inlineStr">
        <is>
          <t>A 13639-2026</t>
        </is>
      </c>
      <c r="B613" s="1" t="n">
        <v>46097</v>
      </c>
      <c r="C613" s="1" t="n">
        <v>46133</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44857-2023</t>
        </is>
      </c>
      <c r="B614" s="1" t="n">
        <v>45190.58479166667</v>
      </c>
      <c r="C614" s="1" t="n">
        <v>46133</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46133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43188-2023</t>
        </is>
      </c>
      <c r="B616" s="1" t="n">
        <v>45183</v>
      </c>
      <c r="C616" s="1" t="n">
        <v>46133</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43205-2023</t>
        </is>
      </c>
      <c r="B617" s="1" t="n">
        <v>45183</v>
      </c>
      <c r="C617" s="1" t="n">
        <v>46133</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61892-2021</t>
        </is>
      </c>
      <c r="B618" s="1" t="n">
        <v>44502</v>
      </c>
      <c r="C618" s="1" t="n">
        <v>46133</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29213-2022</t>
        </is>
      </c>
      <c r="B619" s="1" t="n">
        <v>44750.57474537037</v>
      </c>
      <c r="C619" s="1" t="n">
        <v>46133</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59483-2022</t>
        </is>
      </c>
      <c r="B620" s="1" t="n">
        <v>44907.45679398148</v>
      </c>
      <c r="C620" s="1" t="n">
        <v>46133</v>
      </c>
      <c r="D620" t="inlineStr">
        <is>
          <t>VÄSTMANLANDS LÄN</t>
        </is>
      </c>
      <c r="E620" t="inlineStr">
        <is>
          <t>SALA</t>
        </is>
      </c>
      <c r="G620" t="n">
        <v>5.2</v>
      </c>
      <c r="H620" t="n">
        <v>0</v>
      </c>
      <c r="I620" t="n">
        <v>0</v>
      </c>
      <c r="J620" t="n">
        <v>0</v>
      </c>
      <c r="K620" t="n">
        <v>0</v>
      </c>
      <c r="L620" t="n">
        <v>0</v>
      </c>
      <c r="M620" t="n">
        <v>0</v>
      </c>
      <c r="N620" t="n">
        <v>0</v>
      </c>
      <c r="O620" t="n">
        <v>0</v>
      </c>
      <c r="P620" t="n">
        <v>0</v>
      </c>
      <c r="Q620" t="n">
        <v>0</v>
      </c>
      <c r="R620" s="2" t="inlineStr"/>
    </row>
    <row r="621" ht="15" customHeight="1">
      <c r="A621" t="inlineStr">
        <is>
          <t>A 16160-2024</t>
        </is>
      </c>
      <c r="B621" s="1" t="n">
        <v>45406</v>
      </c>
      <c r="C621" s="1" t="n">
        <v>46133</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39597-2022</t>
        </is>
      </c>
      <c r="B622" s="1" t="n">
        <v>44818</v>
      </c>
      <c r="C622" s="1" t="n">
        <v>46133</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22921-2023</t>
        </is>
      </c>
      <c r="B623" s="1" t="n">
        <v>45070</v>
      </c>
      <c r="C623" s="1" t="n">
        <v>46133</v>
      </c>
      <c r="D623" t="inlineStr">
        <is>
          <t>VÄSTMANLANDS LÄN</t>
        </is>
      </c>
      <c r="E623" t="inlineStr">
        <is>
          <t>SALA</t>
        </is>
      </c>
      <c r="G623" t="n">
        <v>1.3</v>
      </c>
      <c r="H623" t="n">
        <v>0</v>
      </c>
      <c r="I623" t="n">
        <v>0</v>
      </c>
      <c r="J623" t="n">
        <v>0</v>
      </c>
      <c r="K623" t="n">
        <v>0</v>
      </c>
      <c r="L623" t="n">
        <v>0</v>
      </c>
      <c r="M623" t="n">
        <v>0</v>
      </c>
      <c r="N623" t="n">
        <v>0</v>
      </c>
      <c r="O623" t="n">
        <v>0</v>
      </c>
      <c r="P623" t="n">
        <v>0</v>
      </c>
      <c r="Q623" t="n">
        <v>0</v>
      </c>
      <c r="R623" s="2" t="inlineStr"/>
    </row>
    <row r="624" ht="15" customHeight="1">
      <c r="A624" t="inlineStr">
        <is>
          <t>A 36858-2023</t>
        </is>
      </c>
      <c r="B624" s="1" t="n">
        <v>45154.55184027777</v>
      </c>
      <c r="C624" s="1" t="n">
        <v>46133</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55024-2023</t>
        </is>
      </c>
      <c r="B625" s="1" t="n">
        <v>45229</v>
      </c>
      <c r="C625" s="1" t="n">
        <v>46133</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55032-2023</t>
        </is>
      </c>
      <c r="B626" s="1" t="n">
        <v>45229</v>
      </c>
      <c r="C626" s="1" t="n">
        <v>46133</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20352-2022</t>
        </is>
      </c>
      <c r="B627" s="1" t="n">
        <v>44699.37318287037</v>
      </c>
      <c r="C627" s="1" t="n">
        <v>46133</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5032-2025</t>
        </is>
      </c>
      <c r="B628" s="1" t="n">
        <v>45691</v>
      </c>
      <c r="C628" s="1" t="n">
        <v>46133</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17117-2023</t>
        </is>
      </c>
      <c r="B629" s="1" t="n">
        <v>45034</v>
      </c>
      <c r="C629" s="1" t="n">
        <v>46133</v>
      </c>
      <c r="D629" t="inlineStr">
        <is>
          <t>VÄSTMANLANDS LÄN</t>
        </is>
      </c>
      <c r="E629" t="inlineStr">
        <is>
          <t>SALA</t>
        </is>
      </c>
      <c r="G629" t="n">
        <v>0.4</v>
      </c>
      <c r="H629" t="n">
        <v>0</v>
      </c>
      <c r="I629" t="n">
        <v>0</v>
      </c>
      <c r="J629" t="n">
        <v>0</v>
      </c>
      <c r="K629" t="n">
        <v>0</v>
      </c>
      <c r="L629" t="n">
        <v>0</v>
      </c>
      <c r="M629" t="n">
        <v>0</v>
      </c>
      <c r="N629" t="n">
        <v>0</v>
      </c>
      <c r="O629" t="n">
        <v>0</v>
      </c>
      <c r="P629" t="n">
        <v>0</v>
      </c>
      <c r="Q629" t="n">
        <v>0</v>
      </c>
      <c r="R629" s="2" t="inlineStr"/>
    </row>
    <row r="630" ht="15" customHeight="1">
      <c r="A630" t="inlineStr">
        <is>
          <t>A 18382-2026</t>
        </is>
      </c>
      <c r="B630" s="1" t="n">
        <v>46126.63601851852</v>
      </c>
      <c r="C630" s="1" t="n">
        <v>46133</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19243-2025</t>
        </is>
      </c>
      <c r="B631" s="1" t="n">
        <v>45769</v>
      </c>
      <c r="C631" s="1" t="n">
        <v>46133</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12144-2026</t>
        </is>
      </c>
      <c r="B632" s="1" t="n">
        <v>46086.58008101852</v>
      </c>
      <c r="C632" s="1" t="n">
        <v>46133</v>
      </c>
      <c r="D632" t="inlineStr">
        <is>
          <t>VÄSTMANLANDS LÄN</t>
        </is>
      </c>
      <c r="E632" t="inlineStr">
        <is>
          <t>SALA</t>
        </is>
      </c>
      <c r="G632" t="n">
        <v>1</v>
      </c>
      <c r="H632" t="n">
        <v>0</v>
      </c>
      <c r="I632" t="n">
        <v>0</v>
      </c>
      <c r="J632" t="n">
        <v>0</v>
      </c>
      <c r="K632" t="n">
        <v>0</v>
      </c>
      <c r="L632" t="n">
        <v>0</v>
      </c>
      <c r="M632" t="n">
        <v>0</v>
      </c>
      <c r="N632" t="n">
        <v>0</v>
      </c>
      <c r="O632" t="n">
        <v>0</v>
      </c>
      <c r="P632" t="n">
        <v>0</v>
      </c>
      <c r="Q632" t="n">
        <v>0</v>
      </c>
      <c r="R632" s="2" t="inlineStr"/>
    </row>
    <row r="633" ht="15" customHeight="1">
      <c r="A633" t="inlineStr">
        <is>
          <t>A 7166-2025</t>
        </is>
      </c>
      <c r="B633" s="1" t="n">
        <v>45702</v>
      </c>
      <c r="C633" s="1" t="n">
        <v>46133</v>
      </c>
      <c r="D633" t="inlineStr">
        <is>
          <t>VÄSTMANLANDS LÄN</t>
        </is>
      </c>
      <c r="E633" t="inlineStr">
        <is>
          <t>SALA</t>
        </is>
      </c>
      <c r="G633" t="n">
        <v>6.1</v>
      </c>
      <c r="H633" t="n">
        <v>0</v>
      </c>
      <c r="I633" t="n">
        <v>0</v>
      </c>
      <c r="J633" t="n">
        <v>0</v>
      </c>
      <c r="K633" t="n">
        <v>0</v>
      </c>
      <c r="L633" t="n">
        <v>0</v>
      </c>
      <c r="M633" t="n">
        <v>0</v>
      </c>
      <c r="N633" t="n">
        <v>0</v>
      </c>
      <c r="O633" t="n">
        <v>0</v>
      </c>
      <c r="P633" t="n">
        <v>0</v>
      </c>
      <c r="Q633" t="n">
        <v>0</v>
      </c>
      <c r="R633" s="2" t="inlineStr"/>
    </row>
    <row r="634" ht="15" customHeight="1">
      <c r="A634" t="inlineStr">
        <is>
          <t>A 36393-2023</t>
        </is>
      </c>
      <c r="B634" s="1" t="n">
        <v>45152</v>
      </c>
      <c r="C634" s="1" t="n">
        <v>46133</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26416-2023</t>
        </is>
      </c>
      <c r="B635" s="1" t="n">
        <v>45092.38087962963</v>
      </c>
      <c r="C635" s="1" t="n">
        <v>46133</v>
      </c>
      <c r="D635" t="inlineStr">
        <is>
          <t>VÄSTMANLANDS LÄN</t>
        </is>
      </c>
      <c r="E635" t="inlineStr">
        <is>
          <t>SALA</t>
        </is>
      </c>
      <c r="G635" t="n">
        <v>2.9</v>
      </c>
      <c r="H635" t="n">
        <v>0</v>
      </c>
      <c r="I635" t="n">
        <v>0</v>
      </c>
      <c r="J635" t="n">
        <v>0</v>
      </c>
      <c r="K635" t="n">
        <v>0</v>
      </c>
      <c r="L635" t="n">
        <v>0</v>
      </c>
      <c r="M635" t="n">
        <v>0</v>
      </c>
      <c r="N635" t="n">
        <v>0</v>
      </c>
      <c r="O635" t="n">
        <v>0</v>
      </c>
      <c r="P635" t="n">
        <v>0</v>
      </c>
      <c r="Q635" t="n">
        <v>0</v>
      </c>
      <c r="R635" s="2" t="inlineStr"/>
    </row>
    <row r="636" ht="15" customHeight="1">
      <c r="A636" t="inlineStr">
        <is>
          <t>A 18592-2026</t>
        </is>
      </c>
      <c r="B636" s="1" t="n">
        <v>46127.64232638889</v>
      </c>
      <c r="C636" s="1" t="n">
        <v>46133</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28661-2024</t>
        </is>
      </c>
      <c r="B637" s="1" t="n">
        <v>45478</v>
      </c>
      <c r="C637" s="1" t="n">
        <v>46133</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27255-2023</t>
        </is>
      </c>
      <c r="B638" s="1" t="n">
        <v>45096</v>
      </c>
      <c r="C638" s="1" t="n">
        <v>46133</v>
      </c>
      <c r="D638" t="inlineStr">
        <is>
          <t>VÄSTMANLANDS LÄN</t>
        </is>
      </c>
      <c r="E638" t="inlineStr">
        <is>
          <t>SALA</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12497-2026</t>
        </is>
      </c>
      <c r="B639" s="1" t="n">
        <v>46090.57240740741</v>
      </c>
      <c r="C639" s="1" t="n">
        <v>46133</v>
      </c>
      <c r="D639" t="inlineStr">
        <is>
          <t>VÄSTMANLANDS LÄN</t>
        </is>
      </c>
      <c r="E639" t="inlineStr">
        <is>
          <t>SALA</t>
        </is>
      </c>
      <c r="G639" t="n">
        <v>1.3</v>
      </c>
      <c r="H639" t="n">
        <v>0</v>
      </c>
      <c r="I639" t="n">
        <v>0</v>
      </c>
      <c r="J639" t="n">
        <v>0</v>
      </c>
      <c r="K639" t="n">
        <v>0</v>
      </c>
      <c r="L639" t="n">
        <v>0</v>
      </c>
      <c r="M639" t="n">
        <v>0</v>
      </c>
      <c r="N639" t="n">
        <v>0</v>
      </c>
      <c r="O639" t="n">
        <v>0</v>
      </c>
      <c r="P639" t="n">
        <v>0</v>
      </c>
      <c r="Q639" t="n">
        <v>0</v>
      </c>
      <c r="R639" s="2" t="inlineStr"/>
    </row>
    <row r="640" ht="15" customHeight="1">
      <c r="A640" t="inlineStr">
        <is>
          <t>A 7197-2025</t>
        </is>
      </c>
      <c r="B640" s="1" t="n">
        <v>45702</v>
      </c>
      <c r="C640" s="1" t="n">
        <v>46133</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19044-2026</t>
        </is>
      </c>
      <c r="B641" s="1" t="n">
        <v>46132.33789351852</v>
      </c>
      <c r="C641" s="1" t="n">
        <v>46133</v>
      </c>
      <c r="D641" t="inlineStr">
        <is>
          <t>VÄSTMANLANDS LÄN</t>
        </is>
      </c>
      <c r="E641" t="inlineStr">
        <is>
          <t>SALA</t>
        </is>
      </c>
      <c r="G641" t="n">
        <v>1.7</v>
      </c>
      <c r="H641" t="n">
        <v>0</v>
      </c>
      <c r="I641" t="n">
        <v>0</v>
      </c>
      <c r="J641" t="n">
        <v>0</v>
      </c>
      <c r="K641" t="n">
        <v>0</v>
      </c>
      <c r="L641" t="n">
        <v>0</v>
      </c>
      <c r="M641" t="n">
        <v>0</v>
      </c>
      <c r="N641" t="n">
        <v>0</v>
      </c>
      <c r="O641" t="n">
        <v>0</v>
      </c>
      <c r="P641" t="n">
        <v>0</v>
      </c>
      <c r="Q641" t="n">
        <v>0</v>
      </c>
      <c r="R641" s="2" t="inlineStr"/>
    </row>
    <row r="642" ht="15" customHeight="1">
      <c r="A642" t="inlineStr">
        <is>
          <t>A 13752-2025</t>
        </is>
      </c>
      <c r="B642" s="1" t="n">
        <v>45737.41416666667</v>
      </c>
      <c r="C642" s="1" t="n">
        <v>46133</v>
      </c>
      <c r="D642" t="inlineStr">
        <is>
          <t>VÄSTMANLANDS LÄN</t>
        </is>
      </c>
      <c r="E642" t="inlineStr">
        <is>
          <t>SALA</t>
        </is>
      </c>
      <c r="G642" t="n">
        <v>0.4</v>
      </c>
      <c r="H642" t="n">
        <v>0</v>
      </c>
      <c r="I642" t="n">
        <v>0</v>
      </c>
      <c r="J642" t="n">
        <v>0</v>
      </c>
      <c r="K642" t="n">
        <v>0</v>
      </c>
      <c r="L642" t="n">
        <v>0</v>
      </c>
      <c r="M642" t="n">
        <v>0</v>
      </c>
      <c r="N642" t="n">
        <v>0</v>
      </c>
      <c r="O642" t="n">
        <v>0</v>
      </c>
      <c r="P642" t="n">
        <v>0</v>
      </c>
      <c r="Q642" t="n">
        <v>0</v>
      </c>
      <c r="R642" s="2" t="inlineStr"/>
    </row>
    <row r="643" ht="15" customHeight="1">
      <c r="A643" t="inlineStr">
        <is>
          <t>A 2927-2024</t>
        </is>
      </c>
      <c r="B643" s="1" t="n">
        <v>45315.58989583333</v>
      </c>
      <c r="C643" s="1" t="n">
        <v>46133</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26854-2024</t>
        </is>
      </c>
      <c r="B644" s="1" t="n">
        <v>45470</v>
      </c>
      <c r="C644" s="1" t="n">
        <v>46133</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48570-2024</t>
        </is>
      </c>
      <c r="B645" s="1" t="n">
        <v>45591</v>
      </c>
      <c r="C645" s="1" t="n">
        <v>46133</v>
      </c>
      <c r="D645" t="inlineStr">
        <is>
          <t>VÄSTMANLANDS LÄN</t>
        </is>
      </c>
      <c r="E645" t="inlineStr">
        <is>
          <t>SALA</t>
        </is>
      </c>
      <c r="G645" t="n">
        <v>3</v>
      </c>
      <c r="H645" t="n">
        <v>0</v>
      </c>
      <c r="I645" t="n">
        <v>0</v>
      </c>
      <c r="J645" t="n">
        <v>0</v>
      </c>
      <c r="K645" t="n">
        <v>0</v>
      </c>
      <c r="L645" t="n">
        <v>0</v>
      </c>
      <c r="M645" t="n">
        <v>0</v>
      </c>
      <c r="N645" t="n">
        <v>0</v>
      </c>
      <c r="O645" t="n">
        <v>0</v>
      </c>
      <c r="P645" t="n">
        <v>0</v>
      </c>
      <c r="Q645" t="n">
        <v>0</v>
      </c>
      <c r="R645" s="2" t="inlineStr"/>
    </row>
    <row r="646" ht="15" customHeight="1">
      <c r="A646" t="inlineStr">
        <is>
          <t>A 57883-2024</t>
        </is>
      </c>
      <c r="B646" s="1" t="n">
        <v>45630</v>
      </c>
      <c r="C646" s="1" t="n">
        <v>46133</v>
      </c>
      <c r="D646" t="inlineStr">
        <is>
          <t>VÄSTMANLANDS LÄN</t>
        </is>
      </c>
      <c r="E646" t="inlineStr">
        <is>
          <t>SALA</t>
        </is>
      </c>
      <c r="G646" t="n">
        <v>5.4</v>
      </c>
      <c r="H646" t="n">
        <v>0</v>
      </c>
      <c r="I646" t="n">
        <v>0</v>
      </c>
      <c r="J646" t="n">
        <v>0</v>
      </c>
      <c r="K646" t="n">
        <v>0</v>
      </c>
      <c r="L646" t="n">
        <v>0</v>
      </c>
      <c r="M646" t="n">
        <v>0</v>
      </c>
      <c r="N646" t="n">
        <v>0</v>
      </c>
      <c r="O646" t="n">
        <v>0</v>
      </c>
      <c r="P646" t="n">
        <v>0</v>
      </c>
      <c r="Q646" t="n">
        <v>0</v>
      </c>
      <c r="R646" s="2" t="inlineStr"/>
    </row>
    <row r="647" ht="15" customHeight="1">
      <c r="A647" t="inlineStr">
        <is>
          <t>A 16769-2024</t>
        </is>
      </c>
      <c r="B647" s="1" t="n">
        <v>45411.38738425926</v>
      </c>
      <c r="C647" s="1" t="n">
        <v>46133</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18877-2023</t>
        </is>
      </c>
      <c r="B648" s="1" t="n">
        <v>45044</v>
      </c>
      <c r="C648" s="1" t="n">
        <v>46133</v>
      </c>
      <c r="D648" t="inlineStr">
        <is>
          <t>VÄSTMANLANDS LÄN</t>
        </is>
      </c>
      <c r="E648" t="inlineStr">
        <is>
          <t>SALA</t>
        </is>
      </c>
      <c r="F648" t="inlineStr">
        <is>
          <t>Kommuner</t>
        </is>
      </c>
      <c r="G648" t="n">
        <v>4.4</v>
      </c>
      <c r="H648" t="n">
        <v>0</v>
      </c>
      <c r="I648" t="n">
        <v>0</v>
      </c>
      <c r="J648" t="n">
        <v>0</v>
      </c>
      <c r="K648" t="n">
        <v>0</v>
      </c>
      <c r="L648" t="n">
        <v>0</v>
      </c>
      <c r="M648" t="n">
        <v>0</v>
      </c>
      <c r="N648" t="n">
        <v>0</v>
      </c>
      <c r="O648" t="n">
        <v>0</v>
      </c>
      <c r="P648" t="n">
        <v>0</v>
      </c>
      <c r="Q648" t="n">
        <v>0</v>
      </c>
      <c r="R648" s="2" t="inlineStr"/>
    </row>
    <row r="649" ht="15" customHeight="1">
      <c r="A649" t="inlineStr">
        <is>
          <t>A 44544-2024</t>
        </is>
      </c>
      <c r="B649" s="1" t="n">
        <v>45574.46119212963</v>
      </c>
      <c r="C649" s="1" t="n">
        <v>46133</v>
      </c>
      <c r="D649" t="inlineStr">
        <is>
          <t>VÄSTMANLANDS LÄN</t>
        </is>
      </c>
      <c r="E649" t="inlineStr">
        <is>
          <t>SALA</t>
        </is>
      </c>
      <c r="G649" t="n">
        <v>3.3</v>
      </c>
      <c r="H649" t="n">
        <v>0</v>
      </c>
      <c r="I649" t="n">
        <v>0</v>
      </c>
      <c r="J649" t="n">
        <v>0</v>
      </c>
      <c r="K649" t="n">
        <v>0</v>
      </c>
      <c r="L649" t="n">
        <v>0</v>
      </c>
      <c r="M649" t="n">
        <v>0</v>
      </c>
      <c r="N649" t="n">
        <v>0</v>
      </c>
      <c r="O649" t="n">
        <v>0</v>
      </c>
      <c r="P649" t="n">
        <v>0</v>
      </c>
      <c r="Q649" t="n">
        <v>0</v>
      </c>
      <c r="R649" s="2" t="inlineStr"/>
    </row>
    <row r="650" ht="15" customHeight="1">
      <c r="A650" t="inlineStr">
        <is>
          <t>A 60379-2022</t>
        </is>
      </c>
      <c r="B650" s="1" t="n">
        <v>44910</v>
      </c>
      <c r="C650" s="1" t="n">
        <v>46133</v>
      </c>
      <c r="D650" t="inlineStr">
        <is>
          <t>VÄSTMANLANDS LÄN</t>
        </is>
      </c>
      <c r="E650" t="inlineStr">
        <is>
          <t>SALA</t>
        </is>
      </c>
      <c r="F650" t="inlineStr">
        <is>
          <t>Kyrkan</t>
        </is>
      </c>
      <c r="G650" t="n">
        <v>2.5</v>
      </c>
      <c r="H650" t="n">
        <v>0</v>
      </c>
      <c r="I650" t="n">
        <v>0</v>
      </c>
      <c r="J650" t="n">
        <v>0</v>
      </c>
      <c r="K650" t="n">
        <v>0</v>
      </c>
      <c r="L650" t="n">
        <v>0</v>
      </c>
      <c r="M650" t="n">
        <v>0</v>
      </c>
      <c r="N650" t="n">
        <v>0</v>
      </c>
      <c r="O650" t="n">
        <v>0</v>
      </c>
      <c r="P650" t="n">
        <v>0</v>
      </c>
      <c r="Q650" t="n">
        <v>0</v>
      </c>
      <c r="R650" s="2" t="inlineStr"/>
    </row>
    <row r="651" ht="15" customHeight="1">
      <c r="A651" t="inlineStr">
        <is>
          <t>A 56547-2022</t>
        </is>
      </c>
      <c r="B651" s="1" t="n">
        <v>44893.48284722222</v>
      </c>
      <c r="C651" s="1" t="n">
        <v>46133</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29542-2023</t>
        </is>
      </c>
      <c r="B652" s="1" t="n">
        <v>45098</v>
      </c>
      <c r="C652" s="1" t="n">
        <v>46133</v>
      </c>
      <c r="D652" t="inlineStr">
        <is>
          <t>VÄSTMANLANDS LÄN</t>
        </is>
      </c>
      <c r="E652" t="inlineStr">
        <is>
          <t>SALA</t>
        </is>
      </c>
      <c r="G652" t="n">
        <v>4.8</v>
      </c>
      <c r="H652" t="n">
        <v>0</v>
      </c>
      <c r="I652" t="n">
        <v>0</v>
      </c>
      <c r="J652" t="n">
        <v>0</v>
      </c>
      <c r="K652" t="n">
        <v>0</v>
      </c>
      <c r="L652" t="n">
        <v>0</v>
      </c>
      <c r="M652" t="n">
        <v>0</v>
      </c>
      <c r="N652" t="n">
        <v>0</v>
      </c>
      <c r="O652" t="n">
        <v>0</v>
      </c>
      <c r="P652" t="n">
        <v>0</v>
      </c>
      <c r="Q652" t="n">
        <v>0</v>
      </c>
      <c r="R652" s="2" t="inlineStr"/>
    </row>
    <row r="653" ht="15" customHeight="1">
      <c r="A653" t="inlineStr">
        <is>
          <t>A 16638-2023</t>
        </is>
      </c>
      <c r="B653" s="1" t="n">
        <v>45027</v>
      </c>
      <c r="C653" s="1" t="n">
        <v>46133</v>
      </c>
      <c r="D653" t="inlineStr">
        <is>
          <t>VÄSTMANLANDS LÄN</t>
        </is>
      </c>
      <c r="E653" t="inlineStr">
        <is>
          <t>SALA</t>
        </is>
      </c>
      <c r="G653" t="n">
        <v>14.8</v>
      </c>
      <c r="H653" t="n">
        <v>0</v>
      </c>
      <c r="I653" t="n">
        <v>0</v>
      </c>
      <c r="J653" t="n">
        <v>0</v>
      </c>
      <c r="K653" t="n">
        <v>0</v>
      </c>
      <c r="L653" t="n">
        <v>0</v>
      </c>
      <c r="M653" t="n">
        <v>0</v>
      </c>
      <c r="N653" t="n">
        <v>0</v>
      </c>
      <c r="O653" t="n">
        <v>0</v>
      </c>
      <c r="P653" t="n">
        <v>0</v>
      </c>
      <c r="Q653" t="n">
        <v>0</v>
      </c>
      <c r="R653" s="2" t="inlineStr"/>
    </row>
    <row r="654" ht="15" customHeight="1">
      <c r="A654" t="inlineStr">
        <is>
          <t>A 37190-2024</t>
        </is>
      </c>
      <c r="B654" s="1" t="n">
        <v>45539</v>
      </c>
      <c r="C654" s="1" t="n">
        <v>46133</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23222-2023</t>
        </is>
      </c>
      <c r="B655" s="1" t="n">
        <v>45075</v>
      </c>
      <c r="C655" s="1" t="n">
        <v>46133</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23224-2023</t>
        </is>
      </c>
      <c r="B656" s="1" t="n">
        <v>45075.65040509259</v>
      </c>
      <c r="C656" s="1" t="n">
        <v>46133</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22026-2021</t>
        </is>
      </c>
      <c r="B657" s="1" t="n">
        <v>44323</v>
      </c>
      <c r="C657" s="1" t="n">
        <v>46133</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68864-2021</t>
        </is>
      </c>
      <c r="B658" s="1" t="n">
        <v>44530</v>
      </c>
      <c r="C658" s="1" t="n">
        <v>46133</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19065-2022</t>
        </is>
      </c>
      <c r="B659" s="1" t="n">
        <v>44691.44309027777</v>
      </c>
      <c r="C659" s="1" t="n">
        <v>46133</v>
      </c>
      <c r="D659" t="inlineStr">
        <is>
          <t>VÄSTMANLANDS LÄN</t>
        </is>
      </c>
      <c r="E659" t="inlineStr">
        <is>
          <t>SALA</t>
        </is>
      </c>
      <c r="G659" t="n">
        <v>3.4</v>
      </c>
      <c r="H659" t="n">
        <v>0</v>
      </c>
      <c r="I659" t="n">
        <v>0</v>
      </c>
      <c r="J659" t="n">
        <v>0</v>
      </c>
      <c r="K659" t="n">
        <v>0</v>
      </c>
      <c r="L659" t="n">
        <v>0</v>
      </c>
      <c r="M659" t="n">
        <v>0</v>
      </c>
      <c r="N659" t="n">
        <v>0</v>
      </c>
      <c r="O659" t="n">
        <v>0</v>
      </c>
      <c r="P659" t="n">
        <v>0</v>
      </c>
      <c r="Q659" t="n">
        <v>0</v>
      </c>
      <c r="R659" s="2" t="inlineStr"/>
    </row>
    <row r="660" ht="15" customHeight="1">
      <c r="A660" t="inlineStr">
        <is>
          <t>A 37612-2024</t>
        </is>
      </c>
      <c r="B660" s="1" t="n">
        <v>45541</v>
      </c>
      <c r="C660" s="1" t="n">
        <v>46133</v>
      </c>
      <c r="D660" t="inlineStr">
        <is>
          <t>VÄSTMANLANDS LÄN</t>
        </is>
      </c>
      <c r="E660" t="inlineStr">
        <is>
          <t>SALA</t>
        </is>
      </c>
      <c r="G660" t="n">
        <v>2.2</v>
      </c>
      <c r="H660" t="n">
        <v>0</v>
      </c>
      <c r="I660" t="n">
        <v>0</v>
      </c>
      <c r="J660" t="n">
        <v>0</v>
      </c>
      <c r="K660" t="n">
        <v>0</v>
      </c>
      <c r="L660" t="n">
        <v>0</v>
      </c>
      <c r="M660" t="n">
        <v>0</v>
      </c>
      <c r="N660" t="n">
        <v>0</v>
      </c>
      <c r="O660" t="n">
        <v>0</v>
      </c>
      <c r="P660" t="n">
        <v>0</v>
      </c>
      <c r="Q660" t="n">
        <v>0</v>
      </c>
      <c r="R660" s="2" t="inlineStr"/>
    </row>
    <row r="661" ht="15" customHeight="1">
      <c r="A661" t="inlineStr">
        <is>
          <t>A 37615-2024</t>
        </is>
      </c>
      <c r="B661" s="1" t="n">
        <v>45541.50673611111</v>
      </c>
      <c r="C661" s="1" t="n">
        <v>46133</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18158-2025</t>
        </is>
      </c>
      <c r="B662" s="1" t="n">
        <v>45761</v>
      </c>
      <c r="C662" s="1" t="n">
        <v>46133</v>
      </c>
      <c r="D662" t="inlineStr">
        <is>
          <t>VÄSTMANLANDS LÄN</t>
        </is>
      </c>
      <c r="E662" t="inlineStr">
        <is>
          <t>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9962-2025</t>
        </is>
      </c>
      <c r="B663" s="1" t="n">
        <v>45719.37072916667</v>
      </c>
      <c r="C663" s="1" t="n">
        <v>46133</v>
      </c>
      <c r="D663" t="inlineStr">
        <is>
          <t>VÄSTMANLANDS LÄN</t>
        </is>
      </c>
      <c r="E663" t="inlineStr">
        <is>
          <t>SALA</t>
        </is>
      </c>
      <c r="G663" t="n">
        <v>4.5</v>
      </c>
      <c r="H663" t="n">
        <v>0</v>
      </c>
      <c r="I663" t="n">
        <v>0</v>
      </c>
      <c r="J663" t="n">
        <v>0</v>
      </c>
      <c r="K663" t="n">
        <v>0</v>
      </c>
      <c r="L663" t="n">
        <v>0</v>
      </c>
      <c r="M663" t="n">
        <v>0</v>
      </c>
      <c r="N663" t="n">
        <v>0</v>
      </c>
      <c r="O663" t="n">
        <v>0</v>
      </c>
      <c r="P663" t="n">
        <v>0</v>
      </c>
      <c r="Q663" t="n">
        <v>0</v>
      </c>
      <c r="R663" s="2" t="inlineStr"/>
    </row>
    <row r="664" ht="15" customHeight="1">
      <c r="A664" t="inlineStr">
        <is>
          <t>A 37602-2024</t>
        </is>
      </c>
      <c r="B664" s="1" t="n">
        <v>45541</v>
      </c>
      <c r="C664" s="1" t="n">
        <v>46133</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18762-2024</t>
        </is>
      </c>
      <c r="B665" s="1" t="n">
        <v>45426.55240740741</v>
      </c>
      <c r="C665" s="1" t="n">
        <v>46133</v>
      </c>
      <c r="D665" t="inlineStr">
        <is>
          <t>VÄSTMANLANDS LÄN</t>
        </is>
      </c>
      <c r="E665" t="inlineStr">
        <is>
          <t>SALA</t>
        </is>
      </c>
      <c r="G665" t="n">
        <v>6.2</v>
      </c>
      <c r="H665" t="n">
        <v>0</v>
      </c>
      <c r="I665" t="n">
        <v>0</v>
      </c>
      <c r="J665" t="n">
        <v>0</v>
      </c>
      <c r="K665" t="n">
        <v>0</v>
      </c>
      <c r="L665" t="n">
        <v>0</v>
      </c>
      <c r="M665" t="n">
        <v>0</v>
      </c>
      <c r="N665" t="n">
        <v>0</v>
      </c>
      <c r="O665" t="n">
        <v>0</v>
      </c>
      <c r="P665" t="n">
        <v>0</v>
      </c>
      <c r="Q665" t="n">
        <v>0</v>
      </c>
      <c r="R665" s="2" t="inlineStr"/>
    </row>
    <row r="666" ht="15" customHeight="1">
      <c r="A666" t="inlineStr">
        <is>
          <t>A 39011-2023</t>
        </is>
      </c>
      <c r="B666" s="1" t="n">
        <v>45162</v>
      </c>
      <c r="C666" s="1" t="n">
        <v>46133</v>
      </c>
      <c r="D666" t="inlineStr">
        <is>
          <t>VÄSTMANLANDS LÄN</t>
        </is>
      </c>
      <c r="E666" t="inlineStr">
        <is>
          <t>SALA</t>
        </is>
      </c>
      <c r="G666" t="n">
        <v>1.6</v>
      </c>
      <c r="H666" t="n">
        <v>0</v>
      </c>
      <c r="I666" t="n">
        <v>0</v>
      </c>
      <c r="J666" t="n">
        <v>0</v>
      </c>
      <c r="K666" t="n">
        <v>0</v>
      </c>
      <c r="L666" t="n">
        <v>0</v>
      </c>
      <c r="M666" t="n">
        <v>0</v>
      </c>
      <c r="N666" t="n">
        <v>0</v>
      </c>
      <c r="O666" t="n">
        <v>0</v>
      </c>
      <c r="P666" t="n">
        <v>0</v>
      </c>
      <c r="Q666" t="n">
        <v>0</v>
      </c>
      <c r="R666" s="2" t="inlineStr"/>
    </row>
    <row r="667" ht="15" customHeight="1">
      <c r="A667" t="inlineStr">
        <is>
          <t>A 46352-2023</t>
        </is>
      </c>
      <c r="B667" s="1" t="n">
        <v>45192</v>
      </c>
      <c r="C667" s="1" t="n">
        <v>46133</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43751-2021</t>
        </is>
      </c>
      <c r="B668" s="1" t="n">
        <v>44433</v>
      </c>
      <c r="C668" s="1" t="n">
        <v>46133</v>
      </c>
      <c r="D668" t="inlineStr">
        <is>
          <t>VÄSTMANLANDS LÄN</t>
        </is>
      </c>
      <c r="E668" t="inlineStr">
        <is>
          <t>SALA</t>
        </is>
      </c>
      <c r="G668" t="n">
        <v>1.5</v>
      </c>
      <c r="H668" t="n">
        <v>0</v>
      </c>
      <c r="I668" t="n">
        <v>0</v>
      </c>
      <c r="J668" t="n">
        <v>0</v>
      </c>
      <c r="K668" t="n">
        <v>0</v>
      </c>
      <c r="L668" t="n">
        <v>0</v>
      </c>
      <c r="M668" t="n">
        <v>0</v>
      </c>
      <c r="N668" t="n">
        <v>0</v>
      </c>
      <c r="O668" t="n">
        <v>0</v>
      </c>
      <c r="P668" t="n">
        <v>0</v>
      </c>
      <c r="Q668" t="n">
        <v>0</v>
      </c>
      <c r="R668" s="2" t="inlineStr"/>
    </row>
    <row r="669" ht="15" customHeight="1">
      <c r="A669" t="inlineStr">
        <is>
          <t>A 1128-2025</t>
        </is>
      </c>
      <c r="B669" s="1" t="n">
        <v>45666.68469907407</v>
      </c>
      <c r="C669" s="1" t="n">
        <v>46133</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31950-2023</t>
        </is>
      </c>
      <c r="B670" s="1" t="n">
        <v>45107</v>
      </c>
      <c r="C670" s="1" t="n">
        <v>46133</v>
      </c>
      <c r="D670" t="inlineStr">
        <is>
          <t>VÄSTMANLANDS LÄN</t>
        </is>
      </c>
      <c r="E670" t="inlineStr">
        <is>
          <t>SALA</t>
        </is>
      </c>
      <c r="G670" t="n">
        <v>0.1</v>
      </c>
      <c r="H670" t="n">
        <v>0</v>
      </c>
      <c r="I670" t="n">
        <v>0</v>
      </c>
      <c r="J670" t="n">
        <v>0</v>
      </c>
      <c r="K670" t="n">
        <v>0</v>
      </c>
      <c r="L670" t="n">
        <v>0</v>
      </c>
      <c r="M670" t="n">
        <v>0</v>
      </c>
      <c r="N670" t="n">
        <v>0</v>
      </c>
      <c r="O670" t="n">
        <v>0</v>
      </c>
      <c r="P670" t="n">
        <v>0</v>
      </c>
      <c r="Q670" t="n">
        <v>0</v>
      </c>
      <c r="R670" s="2" t="inlineStr"/>
    </row>
    <row r="671" ht="15" customHeight="1">
      <c r="A671" t="inlineStr">
        <is>
          <t>A 56540-2024</t>
        </is>
      </c>
      <c r="B671" s="1" t="n">
        <v>45625</v>
      </c>
      <c r="C671" s="1" t="n">
        <v>46133</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6116-2023</t>
        </is>
      </c>
      <c r="B672" s="1" t="n">
        <v>44964</v>
      </c>
      <c r="C672" s="1" t="n">
        <v>46133</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25860-2024</t>
        </is>
      </c>
      <c r="B673" s="1" t="n">
        <v>45467.46278935186</v>
      </c>
      <c r="C673" s="1" t="n">
        <v>46133</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56916-2022</t>
        </is>
      </c>
      <c r="B674" s="1" t="n">
        <v>44888</v>
      </c>
      <c r="C674" s="1" t="n">
        <v>46133</v>
      </c>
      <c r="D674" t="inlineStr">
        <is>
          <t>VÄSTMANLANDS LÄN</t>
        </is>
      </c>
      <c r="E674" t="inlineStr">
        <is>
          <t>SALA</t>
        </is>
      </c>
      <c r="G674" t="n">
        <v>1.7</v>
      </c>
      <c r="H674" t="n">
        <v>0</v>
      </c>
      <c r="I674" t="n">
        <v>0</v>
      </c>
      <c r="J674" t="n">
        <v>0</v>
      </c>
      <c r="K674" t="n">
        <v>0</v>
      </c>
      <c r="L674" t="n">
        <v>0</v>
      </c>
      <c r="M674" t="n">
        <v>0</v>
      </c>
      <c r="N674" t="n">
        <v>0</v>
      </c>
      <c r="O674" t="n">
        <v>0</v>
      </c>
      <c r="P674" t="n">
        <v>0</v>
      </c>
      <c r="Q674" t="n">
        <v>0</v>
      </c>
      <c r="R674" s="2" t="inlineStr"/>
    </row>
    <row r="675" ht="15" customHeight="1">
      <c r="A675" t="inlineStr">
        <is>
          <t>A 71471-2021</t>
        </is>
      </c>
      <c r="B675" s="1" t="n">
        <v>44540.53421296296</v>
      </c>
      <c r="C675" s="1" t="n">
        <v>46133</v>
      </c>
      <c r="D675" t="inlineStr">
        <is>
          <t>VÄSTMANLANDS LÄN</t>
        </is>
      </c>
      <c r="E675" t="inlineStr">
        <is>
          <t>SALA</t>
        </is>
      </c>
      <c r="G675" t="n">
        <v>13</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46133</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46133</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1993-2022</t>
        </is>
      </c>
      <c r="B678" s="1" t="n">
        <v>44575</v>
      </c>
      <c r="C678" s="1" t="n">
        <v>46133</v>
      </c>
      <c r="D678" t="inlineStr">
        <is>
          <t>VÄSTMANLANDS LÄN</t>
        </is>
      </c>
      <c r="E678" t="inlineStr">
        <is>
          <t>SALA</t>
        </is>
      </c>
      <c r="G678" t="n">
        <v>1.6</v>
      </c>
      <c r="H678" t="n">
        <v>0</v>
      </c>
      <c r="I678" t="n">
        <v>0</v>
      </c>
      <c r="J678" t="n">
        <v>0</v>
      </c>
      <c r="K678" t="n">
        <v>0</v>
      </c>
      <c r="L678" t="n">
        <v>0</v>
      </c>
      <c r="M678" t="n">
        <v>0</v>
      </c>
      <c r="N678" t="n">
        <v>0</v>
      </c>
      <c r="O678" t="n">
        <v>0</v>
      </c>
      <c r="P678" t="n">
        <v>0</v>
      </c>
      <c r="Q678" t="n">
        <v>0</v>
      </c>
      <c r="R678" s="2" t="inlineStr"/>
    </row>
    <row r="679" ht="15" customHeight="1">
      <c r="A679" t="inlineStr">
        <is>
          <t>A 17051-2025</t>
        </is>
      </c>
      <c r="B679" s="1" t="n">
        <v>45755</v>
      </c>
      <c r="C679" s="1" t="n">
        <v>46133</v>
      </c>
      <c r="D679" t="inlineStr">
        <is>
          <t>VÄSTMANLANDS LÄN</t>
        </is>
      </c>
      <c r="E679" t="inlineStr">
        <is>
          <t>SALA</t>
        </is>
      </c>
      <c r="G679" t="n">
        <v>2.9</v>
      </c>
      <c r="H679" t="n">
        <v>0</v>
      </c>
      <c r="I679" t="n">
        <v>0</v>
      </c>
      <c r="J679" t="n">
        <v>0</v>
      </c>
      <c r="K679" t="n">
        <v>0</v>
      </c>
      <c r="L679" t="n">
        <v>0</v>
      </c>
      <c r="M679" t="n">
        <v>0</v>
      </c>
      <c r="N679" t="n">
        <v>0</v>
      </c>
      <c r="O679" t="n">
        <v>0</v>
      </c>
      <c r="P679" t="n">
        <v>0</v>
      </c>
      <c r="Q679" t="n">
        <v>0</v>
      </c>
      <c r="R679" s="2" t="inlineStr"/>
    </row>
    <row r="680" ht="15" customHeight="1">
      <c r="A680" t="inlineStr">
        <is>
          <t>A 43509-2021</t>
        </is>
      </c>
      <c r="B680" s="1" t="n">
        <v>44433</v>
      </c>
      <c r="C680" s="1" t="n">
        <v>46133</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54959-2024</t>
        </is>
      </c>
      <c r="B681" s="1" t="n">
        <v>45619</v>
      </c>
      <c r="C681" s="1" t="n">
        <v>46133</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56964-2023</t>
        </is>
      </c>
      <c r="B682" s="1" t="n">
        <v>45244.63140046296</v>
      </c>
      <c r="C682" s="1" t="n">
        <v>46133</v>
      </c>
      <c r="D682" t="inlineStr">
        <is>
          <t>VÄSTMANLANDS LÄN</t>
        </is>
      </c>
      <c r="E682" t="inlineStr">
        <is>
          <t>SALA</t>
        </is>
      </c>
      <c r="G682" t="n">
        <v>4.6</v>
      </c>
      <c r="H682" t="n">
        <v>0</v>
      </c>
      <c r="I682" t="n">
        <v>0</v>
      </c>
      <c r="J682" t="n">
        <v>0</v>
      </c>
      <c r="K682" t="n">
        <v>0</v>
      </c>
      <c r="L682" t="n">
        <v>0</v>
      </c>
      <c r="M682" t="n">
        <v>0</v>
      </c>
      <c r="N682" t="n">
        <v>0</v>
      </c>
      <c r="O682" t="n">
        <v>0</v>
      </c>
      <c r="P682" t="n">
        <v>0</v>
      </c>
      <c r="Q682" t="n">
        <v>0</v>
      </c>
      <c r="R682" s="2" t="inlineStr"/>
    </row>
    <row r="683" ht="15" customHeight="1">
      <c r="A683" t="inlineStr">
        <is>
          <t>A 37337-2024</t>
        </is>
      </c>
      <c r="B683" s="1" t="n">
        <v>45540</v>
      </c>
      <c r="C683" s="1" t="n">
        <v>46133</v>
      </c>
      <c r="D683" t="inlineStr">
        <is>
          <t>VÄSTMANLANDS LÄN</t>
        </is>
      </c>
      <c r="E683" t="inlineStr">
        <is>
          <t>SALA</t>
        </is>
      </c>
      <c r="G683" t="n">
        <v>6.5</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46133</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34494-2023</t>
        </is>
      </c>
      <c r="B685" s="1" t="n">
        <v>45133</v>
      </c>
      <c r="C685" s="1" t="n">
        <v>46133</v>
      </c>
      <c r="D685" t="inlineStr">
        <is>
          <t>VÄSTMANLANDS LÄN</t>
        </is>
      </c>
      <c r="E685" t="inlineStr">
        <is>
          <t>SALA</t>
        </is>
      </c>
      <c r="G685" t="n">
        <v>0.8</v>
      </c>
      <c r="H685" t="n">
        <v>0</v>
      </c>
      <c r="I685" t="n">
        <v>0</v>
      </c>
      <c r="J685" t="n">
        <v>0</v>
      </c>
      <c r="K685" t="n">
        <v>0</v>
      </c>
      <c r="L685" t="n">
        <v>0</v>
      </c>
      <c r="M685" t="n">
        <v>0</v>
      </c>
      <c r="N685" t="n">
        <v>0</v>
      </c>
      <c r="O685" t="n">
        <v>0</v>
      </c>
      <c r="P685" t="n">
        <v>0</v>
      </c>
      <c r="Q685" t="n">
        <v>0</v>
      </c>
      <c r="R685" s="2" t="inlineStr"/>
    </row>
    <row r="686" ht="15" customHeight="1">
      <c r="A686" t="inlineStr">
        <is>
          <t>A 10579-2022</t>
        </is>
      </c>
      <c r="B686" s="1" t="n">
        <v>44624</v>
      </c>
      <c r="C686" s="1" t="n">
        <v>46133</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9335-2022</t>
        </is>
      </c>
      <c r="B687" s="1" t="n">
        <v>44616.56579861111</v>
      </c>
      <c r="C687" s="1" t="n">
        <v>46133</v>
      </c>
      <c r="D687" t="inlineStr">
        <is>
          <t>VÄSTMANLANDS LÄN</t>
        </is>
      </c>
      <c r="E687" t="inlineStr">
        <is>
          <t>SALA</t>
        </is>
      </c>
      <c r="G687" t="n">
        <v>1.5</v>
      </c>
      <c r="H687" t="n">
        <v>0</v>
      </c>
      <c r="I687" t="n">
        <v>0</v>
      </c>
      <c r="J687" t="n">
        <v>0</v>
      </c>
      <c r="K687" t="n">
        <v>0</v>
      </c>
      <c r="L687" t="n">
        <v>0</v>
      </c>
      <c r="M687" t="n">
        <v>0</v>
      </c>
      <c r="N687" t="n">
        <v>0</v>
      </c>
      <c r="O687" t="n">
        <v>0</v>
      </c>
      <c r="P687" t="n">
        <v>0</v>
      </c>
      <c r="Q687" t="n">
        <v>0</v>
      </c>
      <c r="R687" s="2" t="inlineStr"/>
    </row>
    <row r="688" ht="15" customHeight="1">
      <c r="A688" t="inlineStr">
        <is>
          <t>A 45313-2024</t>
        </is>
      </c>
      <c r="B688" s="1" t="n">
        <v>45576</v>
      </c>
      <c r="C688" s="1" t="n">
        <v>46133</v>
      </c>
      <c r="D688" t="inlineStr">
        <is>
          <t>VÄSTMANLANDS LÄN</t>
        </is>
      </c>
      <c r="E688" t="inlineStr">
        <is>
          <t>SALA</t>
        </is>
      </c>
      <c r="G688" t="n">
        <v>0.7</v>
      </c>
      <c r="H688" t="n">
        <v>0</v>
      </c>
      <c r="I688" t="n">
        <v>0</v>
      </c>
      <c r="J688" t="n">
        <v>0</v>
      </c>
      <c r="K688" t="n">
        <v>0</v>
      </c>
      <c r="L688" t="n">
        <v>0</v>
      </c>
      <c r="M688" t="n">
        <v>0</v>
      </c>
      <c r="N688" t="n">
        <v>0</v>
      </c>
      <c r="O688" t="n">
        <v>0</v>
      </c>
      <c r="P688" t="n">
        <v>0</v>
      </c>
      <c r="Q688" t="n">
        <v>0</v>
      </c>
      <c r="R688" s="2" t="inlineStr"/>
    </row>
    <row r="689" ht="15" customHeight="1">
      <c r="A689" t="inlineStr">
        <is>
          <t>A 23119-2022</t>
        </is>
      </c>
      <c r="B689" s="1" t="n">
        <v>44719.56697916667</v>
      </c>
      <c r="C689" s="1" t="n">
        <v>46133</v>
      </c>
      <c r="D689" t="inlineStr">
        <is>
          <t>VÄSTMANLANDS LÄN</t>
        </is>
      </c>
      <c r="E689" t="inlineStr">
        <is>
          <t>SALA</t>
        </is>
      </c>
      <c r="G689" t="n">
        <v>7</v>
      </c>
      <c r="H689" t="n">
        <v>0</v>
      </c>
      <c r="I689" t="n">
        <v>0</v>
      </c>
      <c r="J689" t="n">
        <v>0</v>
      </c>
      <c r="K689" t="n">
        <v>0</v>
      </c>
      <c r="L689" t="n">
        <v>0</v>
      </c>
      <c r="M689" t="n">
        <v>0</v>
      </c>
      <c r="N689" t="n">
        <v>0</v>
      </c>
      <c r="O689" t="n">
        <v>0</v>
      </c>
      <c r="P689" t="n">
        <v>0</v>
      </c>
      <c r="Q689" t="n">
        <v>0</v>
      </c>
      <c r="R689" s="2" t="inlineStr"/>
    </row>
    <row r="690" ht="15" customHeight="1">
      <c r="A690" t="inlineStr">
        <is>
          <t>A 1196-2023</t>
        </is>
      </c>
      <c r="B690" s="1" t="n">
        <v>44935.82290509259</v>
      </c>
      <c r="C690" s="1" t="n">
        <v>46133</v>
      </c>
      <c r="D690" t="inlineStr">
        <is>
          <t>VÄSTMANLANDS LÄN</t>
        </is>
      </c>
      <c r="E690" t="inlineStr">
        <is>
          <t>SALA</t>
        </is>
      </c>
      <c r="G690" t="n">
        <v>4.1</v>
      </c>
      <c r="H690" t="n">
        <v>0</v>
      </c>
      <c r="I690" t="n">
        <v>0</v>
      </c>
      <c r="J690" t="n">
        <v>0</v>
      </c>
      <c r="K690" t="n">
        <v>0</v>
      </c>
      <c r="L690" t="n">
        <v>0</v>
      </c>
      <c r="M690" t="n">
        <v>0</v>
      </c>
      <c r="N690" t="n">
        <v>0</v>
      </c>
      <c r="O690" t="n">
        <v>0</v>
      </c>
      <c r="P690" t="n">
        <v>0</v>
      </c>
      <c r="Q690" t="n">
        <v>0</v>
      </c>
      <c r="R690" s="2" t="inlineStr"/>
    </row>
    <row r="691" ht="15" customHeight="1">
      <c r="A691" t="inlineStr">
        <is>
          <t>A 52503-2024</t>
        </is>
      </c>
      <c r="B691" s="1" t="n">
        <v>45609.58806712963</v>
      </c>
      <c r="C691" s="1" t="n">
        <v>46133</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7953-2024</t>
        </is>
      </c>
      <c r="B692" s="1" t="n">
        <v>45350</v>
      </c>
      <c r="C692" s="1" t="n">
        <v>46133</v>
      </c>
      <c r="D692" t="inlineStr">
        <is>
          <t>VÄSTMANLANDS LÄN</t>
        </is>
      </c>
      <c r="E692" t="inlineStr">
        <is>
          <t>SALA</t>
        </is>
      </c>
      <c r="G692" t="n">
        <v>2.6</v>
      </c>
      <c r="H692" t="n">
        <v>0</v>
      </c>
      <c r="I692" t="n">
        <v>0</v>
      </c>
      <c r="J692" t="n">
        <v>0</v>
      </c>
      <c r="K692" t="n">
        <v>0</v>
      </c>
      <c r="L692" t="n">
        <v>0</v>
      </c>
      <c r="M692" t="n">
        <v>0</v>
      </c>
      <c r="N692" t="n">
        <v>0</v>
      </c>
      <c r="O692" t="n">
        <v>0</v>
      </c>
      <c r="P692" t="n">
        <v>0</v>
      </c>
      <c r="Q692" t="n">
        <v>0</v>
      </c>
      <c r="R692" s="2" t="inlineStr"/>
    </row>
    <row r="693" ht="15" customHeight="1">
      <c r="A693" t="inlineStr">
        <is>
          <t>A 30028-2024</t>
        </is>
      </c>
      <c r="B693" s="1" t="n">
        <v>45485</v>
      </c>
      <c r="C693" s="1" t="n">
        <v>46133</v>
      </c>
      <c r="D693" t="inlineStr">
        <is>
          <t>VÄSTMANLANDS LÄN</t>
        </is>
      </c>
      <c r="E693" t="inlineStr">
        <is>
          <t>SALA</t>
        </is>
      </c>
      <c r="G693" t="n">
        <v>2.6</v>
      </c>
      <c r="H693" t="n">
        <v>0</v>
      </c>
      <c r="I693" t="n">
        <v>0</v>
      </c>
      <c r="J693" t="n">
        <v>0</v>
      </c>
      <c r="K693" t="n">
        <v>0</v>
      </c>
      <c r="L693" t="n">
        <v>0</v>
      </c>
      <c r="M693" t="n">
        <v>0</v>
      </c>
      <c r="N693" t="n">
        <v>0</v>
      </c>
      <c r="O693" t="n">
        <v>0</v>
      </c>
      <c r="P693" t="n">
        <v>0</v>
      </c>
      <c r="Q693" t="n">
        <v>0</v>
      </c>
      <c r="R693" s="2" t="inlineStr"/>
    </row>
    <row r="694" ht="15" customHeight="1">
      <c r="A694" t="inlineStr">
        <is>
          <t>A 7950-2025</t>
        </is>
      </c>
      <c r="B694" s="1" t="n">
        <v>45707.41799768519</v>
      </c>
      <c r="C694" s="1" t="n">
        <v>46133</v>
      </c>
      <c r="D694" t="inlineStr">
        <is>
          <t>VÄSTMANLANDS LÄN</t>
        </is>
      </c>
      <c r="E694" t="inlineStr">
        <is>
          <t>SALA</t>
        </is>
      </c>
      <c r="G694" t="n">
        <v>3.2</v>
      </c>
      <c r="H694" t="n">
        <v>0</v>
      </c>
      <c r="I694" t="n">
        <v>0</v>
      </c>
      <c r="J694" t="n">
        <v>0</v>
      </c>
      <c r="K694" t="n">
        <v>0</v>
      </c>
      <c r="L694" t="n">
        <v>0</v>
      </c>
      <c r="M694" t="n">
        <v>0</v>
      </c>
      <c r="N694" t="n">
        <v>0</v>
      </c>
      <c r="O694" t="n">
        <v>0</v>
      </c>
      <c r="P694" t="n">
        <v>0</v>
      </c>
      <c r="Q694" t="n">
        <v>0</v>
      </c>
      <c r="R694" s="2" t="inlineStr"/>
    </row>
    <row r="695" ht="15" customHeight="1">
      <c r="A695" t="inlineStr">
        <is>
          <t>A 27657-2023</t>
        </is>
      </c>
      <c r="B695" s="1" t="n">
        <v>45097.76631944445</v>
      </c>
      <c r="C695" s="1" t="n">
        <v>46133</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13855-2023</t>
        </is>
      </c>
      <c r="B696" s="1" t="n">
        <v>45007</v>
      </c>
      <c r="C696" s="1" t="n">
        <v>46133</v>
      </c>
      <c r="D696" t="inlineStr">
        <is>
          <t>VÄSTMANLANDS LÄN</t>
        </is>
      </c>
      <c r="E696" t="inlineStr">
        <is>
          <t>SALA</t>
        </is>
      </c>
      <c r="G696" t="n">
        <v>2.9</v>
      </c>
      <c r="H696" t="n">
        <v>0</v>
      </c>
      <c r="I696" t="n">
        <v>0</v>
      </c>
      <c r="J696" t="n">
        <v>0</v>
      </c>
      <c r="K696" t="n">
        <v>0</v>
      </c>
      <c r="L696" t="n">
        <v>0</v>
      </c>
      <c r="M696" t="n">
        <v>0</v>
      </c>
      <c r="N696" t="n">
        <v>0</v>
      </c>
      <c r="O696" t="n">
        <v>0</v>
      </c>
      <c r="P696" t="n">
        <v>0</v>
      </c>
      <c r="Q696" t="n">
        <v>0</v>
      </c>
      <c r="R696" s="2" t="inlineStr"/>
    </row>
    <row r="697" ht="15" customHeight="1">
      <c r="A697" t="inlineStr">
        <is>
          <t>A 33309-2022</t>
        </is>
      </c>
      <c r="B697" s="1" t="n">
        <v>44788.40986111111</v>
      </c>
      <c r="C697" s="1" t="n">
        <v>46133</v>
      </c>
      <c r="D697" t="inlineStr">
        <is>
          <t>VÄSTMANLANDS LÄN</t>
        </is>
      </c>
      <c r="E697" t="inlineStr">
        <is>
          <t>SALA</t>
        </is>
      </c>
      <c r="G697" t="n">
        <v>2.6</v>
      </c>
      <c r="H697" t="n">
        <v>0</v>
      </c>
      <c r="I697" t="n">
        <v>0</v>
      </c>
      <c r="J697" t="n">
        <v>0</v>
      </c>
      <c r="K697" t="n">
        <v>0</v>
      </c>
      <c r="L697" t="n">
        <v>0</v>
      </c>
      <c r="M697" t="n">
        <v>0</v>
      </c>
      <c r="N697" t="n">
        <v>0</v>
      </c>
      <c r="O697" t="n">
        <v>0</v>
      </c>
      <c r="P697" t="n">
        <v>0</v>
      </c>
      <c r="Q697" t="n">
        <v>0</v>
      </c>
      <c r="R697" s="2" t="inlineStr"/>
    </row>
    <row r="698" ht="15" customHeight="1">
      <c r="A698" t="inlineStr">
        <is>
          <t>A 47909-2022</t>
        </is>
      </c>
      <c r="B698" s="1" t="n">
        <v>44855</v>
      </c>
      <c r="C698" s="1" t="n">
        <v>46133</v>
      </c>
      <c r="D698" t="inlineStr">
        <is>
          <t>VÄSTMANLANDS LÄN</t>
        </is>
      </c>
      <c r="E698" t="inlineStr">
        <is>
          <t>SALA</t>
        </is>
      </c>
      <c r="F698" t="inlineStr">
        <is>
          <t>Bergvik skog öst AB</t>
        </is>
      </c>
      <c r="G698" t="n">
        <v>2</v>
      </c>
      <c r="H698" t="n">
        <v>0</v>
      </c>
      <c r="I698" t="n">
        <v>0</v>
      </c>
      <c r="J698" t="n">
        <v>0</v>
      </c>
      <c r="K698" t="n">
        <v>0</v>
      </c>
      <c r="L698" t="n">
        <v>0</v>
      </c>
      <c r="M698" t="n">
        <v>0</v>
      </c>
      <c r="N698" t="n">
        <v>0</v>
      </c>
      <c r="O698" t="n">
        <v>0</v>
      </c>
      <c r="P698" t="n">
        <v>0</v>
      </c>
      <c r="Q698" t="n">
        <v>0</v>
      </c>
      <c r="R698" s="2" t="inlineStr"/>
    </row>
    <row r="699" ht="15" customHeight="1">
      <c r="A699" t="inlineStr">
        <is>
          <t>A 15272-2025</t>
        </is>
      </c>
      <c r="B699" s="1" t="n">
        <v>45744</v>
      </c>
      <c r="C699" s="1" t="n">
        <v>46133</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11183-2023</t>
        </is>
      </c>
      <c r="B700" s="1" t="n">
        <v>44992.57782407408</v>
      </c>
      <c r="C700" s="1" t="n">
        <v>46133</v>
      </c>
      <c r="D700" t="inlineStr">
        <is>
          <t>VÄSTMANLANDS LÄN</t>
        </is>
      </c>
      <c r="E700" t="inlineStr">
        <is>
          <t>SALA</t>
        </is>
      </c>
      <c r="G700" t="n">
        <v>0.9</v>
      </c>
      <c r="H700" t="n">
        <v>0</v>
      </c>
      <c r="I700" t="n">
        <v>0</v>
      </c>
      <c r="J700" t="n">
        <v>0</v>
      </c>
      <c r="K700" t="n">
        <v>0</v>
      </c>
      <c r="L700" t="n">
        <v>0</v>
      </c>
      <c r="M700" t="n">
        <v>0</v>
      </c>
      <c r="N700" t="n">
        <v>0</v>
      </c>
      <c r="O700" t="n">
        <v>0</v>
      </c>
      <c r="P700" t="n">
        <v>0</v>
      </c>
      <c r="Q700" t="n">
        <v>0</v>
      </c>
      <c r="R700" s="2" t="inlineStr"/>
    </row>
    <row r="701" ht="15" customHeight="1">
      <c r="A701" t="inlineStr">
        <is>
          <t>A 11190-2023</t>
        </is>
      </c>
      <c r="B701" s="1" t="n">
        <v>44992</v>
      </c>
      <c r="C701" s="1" t="n">
        <v>46133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53838-2022</t>
        </is>
      </c>
      <c r="B702" s="1" t="n">
        <v>44880.59363425926</v>
      </c>
      <c r="C702" s="1" t="n">
        <v>46133</v>
      </c>
      <c r="D702" t="inlineStr">
        <is>
          <t>VÄSTMANLANDS LÄN</t>
        </is>
      </c>
      <c r="E702" t="inlineStr">
        <is>
          <t>SALA</t>
        </is>
      </c>
      <c r="G702" t="n">
        <v>3.9</v>
      </c>
      <c r="H702" t="n">
        <v>0</v>
      </c>
      <c r="I702" t="n">
        <v>0</v>
      </c>
      <c r="J702" t="n">
        <v>0</v>
      </c>
      <c r="K702" t="n">
        <v>0</v>
      </c>
      <c r="L702" t="n">
        <v>0</v>
      </c>
      <c r="M702" t="n">
        <v>0</v>
      </c>
      <c r="N702" t="n">
        <v>0</v>
      </c>
      <c r="O702" t="n">
        <v>0</v>
      </c>
      <c r="P702" t="n">
        <v>0</v>
      </c>
      <c r="Q702" t="n">
        <v>0</v>
      </c>
      <c r="R702" s="2" t="inlineStr"/>
    </row>
    <row r="703" ht="15" customHeight="1">
      <c r="A703" t="inlineStr">
        <is>
          <t>A 53166-2024</t>
        </is>
      </c>
      <c r="B703" s="1" t="n">
        <v>45611</v>
      </c>
      <c r="C703" s="1" t="n">
        <v>46133</v>
      </c>
      <c r="D703" t="inlineStr">
        <is>
          <t>VÄSTMANLANDS LÄN</t>
        </is>
      </c>
      <c r="E703" t="inlineStr">
        <is>
          <t>SALA</t>
        </is>
      </c>
      <c r="G703" t="n">
        <v>1.5</v>
      </c>
      <c r="H703" t="n">
        <v>0</v>
      </c>
      <c r="I703" t="n">
        <v>0</v>
      </c>
      <c r="J703" t="n">
        <v>0</v>
      </c>
      <c r="K703" t="n">
        <v>0</v>
      </c>
      <c r="L703" t="n">
        <v>0</v>
      </c>
      <c r="M703" t="n">
        <v>0</v>
      </c>
      <c r="N703" t="n">
        <v>0</v>
      </c>
      <c r="O703" t="n">
        <v>0</v>
      </c>
      <c r="P703" t="n">
        <v>0</v>
      </c>
      <c r="Q703" t="n">
        <v>0</v>
      </c>
      <c r="R703" s="2" t="inlineStr"/>
    </row>
    <row r="704" ht="15" customHeight="1">
      <c r="A704" t="inlineStr">
        <is>
          <t>A 28827-2022</t>
        </is>
      </c>
      <c r="B704" s="1" t="n">
        <v>44749.45561342593</v>
      </c>
      <c r="C704" s="1" t="n">
        <v>46133</v>
      </c>
      <c r="D704" t="inlineStr">
        <is>
          <t>VÄSTMANLANDS LÄN</t>
        </is>
      </c>
      <c r="E704" t="inlineStr">
        <is>
          <t>SALA</t>
        </is>
      </c>
      <c r="F704" t="inlineStr">
        <is>
          <t>Kommuner</t>
        </is>
      </c>
      <c r="G704" t="n">
        <v>11.9</v>
      </c>
      <c r="H704" t="n">
        <v>0</v>
      </c>
      <c r="I704" t="n">
        <v>0</v>
      </c>
      <c r="J704" t="n">
        <v>0</v>
      </c>
      <c r="K704" t="n">
        <v>0</v>
      </c>
      <c r="L704" t="n">
        <v>0</v>
      </c>
      <c r="M704" t="n">
        <v>0</v>
      </c>
      <c r="N704" t="n">
        <v>0</v>
      </c>
      <c r="O704" t="n">
        <v>0</v>
      </c>
      <c r="P704" t="n">
        <v>0</v>
      </c>
      <c r="Q704" t="n">
        <v>0</v>
      </c>
      <c r="R704" s="2" t="inlineStr"/>
    </row>
    <row r="705" ht="15" customHeight="1">
      <c r="A705" t="inlineStr">
        <is>
          <t>A 17866-2025</t>
        </is>
      </c>
      <c r="B705" s="1" t="n">
        <v>45758</v>
      </c>
      <c r="C705" s="1" t="n">
        <v>46133</v>
      </c>
      <c r="D705" t="inlineStr">
        <is>
          <t>VÄSTMANLANDS LÄN</t>
        </is>
      </c>
      <c r="E705" t="inlineStr">
        <is>
          <t>SALA</t>
        </is>
      </c>
      <c r="F705" t="inlineStr">
        <is>
          <t>Bergvik skog öst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54836-2024</t>
        </is>
      </c>
      <c r="B706" s="1" t="n">
        <v>45618</v>
      </c>
      <c r="C706" s="1" t="n">
        <v>46133</v>
      </c>
      <c r="D706" t="inlineStr">
        <is>
          <t>VÄSTMANLANDS LÄN</t>
        </is>
      </c>
      <c r="E706" t="inlineStr">
        <is>
          <t>SALA</t>
        </is>
      </c>
      <c r="G706" t="n">
        <v>0.6</v>
      </c>
      <c r="H706" t="n">
        <v>0</v>
      </c>
      <c r="I706" t="n">
        <v>0</v>
      </c>
      <c r="J706" t="n">
        <v>0</v>
      </c>
      <c r="K706" t="n">
        <v>0</v>
      </c>
      <c r="L706" t="n">
        <v>0</v>
      </c>
      <c r="M706" t="n">
        <v>0</v>
      </c>
      <c r="N706" t="n">
        <v>0</v>
      </c>
      <c r="O706" t="n">
        <v>0</v>
      </c>
      <c r="P706" t="n">
        <v>0</v>
      </c>
      <c r="Q706" t="n">
        <v>0</v>
      </c>
      <c r="R706" s="2" t="inlineStr"/>
    </row>
    <row r="707" ht="15" customHeight="1">
      <c r="A707" t="inlineStr">
        <is>
          <t>A 64729-2023</t>
        </is>
      </c>
      <c r="B707" s="1" t="n">
        <v>45281</v>
      </c>
      <c r="C707" s="1" t="n">
        <v>46133</v>
      </c>
      <c r="D707" t="inlineStr">
        <is>
          <t>VÄSTMANLANDS LÄN</t>
        </is>
      </c>
      <c r="E707" t="inlineStr">
        <is>
          <t>SALA</t>
        </is>
      </c>
      <c r="G707" t="n">
        <v>1.8</v>
      </c>
      <c r="H707" t="n">
        <v>0</v>
      </c>
      <c r="I707" t="n">
        <v>0</v>
      </c>
      <c r="J707" t="n">
        <v>0</v>
      </c>
      <c r="K707" t="n">
        <v>0</v>
      </c>
      <c r="L707" t="n">
        <v>0</v>
      </c>
      <c r="M707" t="n">
        <v>0</v>
      </c>
      <c r="N707" t="n">
        <v>0</v>
      </c>
      <c r="O707" t="n">
        <v>0</v>
      </c>
      <c r="P707" t="n">
        <v>0</v>
      </c>
      <c r="Q707" t="n">
        <v>0</v>
      </c>
      <c r="R707" s="2" t="inlineStr"/>
    </row>
    <row r="708" ht="15" customHeight="1">
      <c r="A708" t="inlineStr">
        <is>
          <t>A 10585-2022</t>
        </is>
      </c>
      <c r="B708" s="1" t="n">
        <v>44624</v>
      </c>
      <c r="C708" s="1" t="n">
        <v>46133</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22523-2023</t>
        </is>
      </c>
      <c r="B709" s="1" t="n">
        <v>45069</v>
      </c>
      <c r="C709" s="1" t="n">
        <v>46133</v>
      </c>
      <c r="D709" t="inlineStr">
        <is>
          <t>VÄSTMANLANDS LÄN</t>
        </is>
      </c>
      <c r="E709" t="inlineStr">
        <is>
          <t>SALA</t>
        </is>
      </c>
      <c r="G709" t="n">
        <v>2.4</v>
      </c>
      <c r="H709" t="n">
        <v>0</v>
      </c>
      <c r="I709" t="n">
        <v>0</v>
      </c>
      <c r="J709" t="n">
        <v>0</v>
      </c>
      <c r="K709" t="n">
        <v>0</v>
      </c>
      <c r="L709" t="n">
        <v>0</v>
      </c>
      <c r="M709" t="n">
        <v>0</v>
      </c>
      <c r="N709" t="n">
        <v>0</v>
      </c>
      <c r="O709" t="n">
        <v>0</v>
      </c>
      <c r="P709" t="n">
        <v>0</v>
      </c>
      <c r="Q709" t="n">
        <v>0</v>
      </c>
      <c r="R709" s="2" t="inlineStr"/>
    </row>
    <row r="710" ht="15" customHeight="1">
      <c r="A710" t="inlineStr">
        <is>
          <t>A 31609-2024</t>
        </is>
      </c>
      <c r="B710" s="1" t="n">
        <v>45506</v>
      </c>
      <c r="C710" s="1" t="n">
        <v>46133</v>
      </c>
      <c r="D710" t="inlineStr">
        <is>
          <t>VÄSTMANLANDS LÄN</t>
        </is>
      </c>
      <c r="E710" t="inlineStr">
        <is>
          <t>SALA</t>
        </is>
      </c>
      <c r="G710" t="n">
        <v>0.8</v>
      </c>
      <c r="H710" t="n">
        <v>0</v>
      </c>
      <c r="I710" t="n">
        <v>0</v>
      </c>
      <c r="J710" t="n">
        <v>0</v>
      </c>
      <c r="K710" t="n">
        <v>0</v>
      </c>
      <c r="L710" t="n">
        <v>0</v>
      </c>
      <c r="M710" t="n">
        <v>0</v>
      </c>
      <c r="N710" t="n">
        <v>0</v>
      </c>
      <c r="O710" t="n">
        <v>0</v>
      </c>
      <c r="P710" t="n">
        <v>0</v>
      </c>
      <c r="Q710" t="n">
        <v>0</v>
      </c>
      <c r="R710" s="2" t="inlineStr"/>
    </row>
    <row r="711" ht="15" customHeight="1">
      <c r="A711" t="inlineStr">
        <is>
          <t>A 56057-2023</t>
        </is>
      </c>
      <c r="B711" s="1" t="n">
        <v>45233</v>
      </c>
      <c r="C711" s="1" t="n">
        <v>46133</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62635-2022</t>
        </is>
      </c>
      <c r="B712" s="1" t="n">
        <v>44917</v>
      </c>
      <c r="C712" s="1" t="n">
        <v>46133</v>
      </c>
      <c r="D712" t="inlineStr">
        <is>
          <t>VÄSTMANLANDS LÄN</t>
        </is>
      </c>
      <c r="E712" t="inlineStr">
        <is>
          <t>SALA</t>
        </is>
      </c>
      <c r="G712" t="n">
        <v>0.4</v>
      </c>
      <c r="H712" t="n">
        <v>0</v>
      </c>
      <c r="I712" t="n">
        <v>0</v>
      </c>
      <c r="J712" t="n">
        <v>0</v>
      </c>
      <c r="K712" t="n">
        <v>0</v>
      </c>
      <c r="L712" t="n">
        <v>0</v>
      </c>
      <c r="M712" t="n">
        <v>0</v>
      </c>
      <c r="N712" t="n">
        <v>0</v>
      </c>
      <c r="O712" t="n">
        <v>0</v>
      </c>
      <c r="P712" t="n">
        <v>0</v>
      </c>
      <c r="Q712" t="n">
        <v>0</v>
      </c>
      <c r="R712" s="2" t="inlineStr"/>
    </row>
    <row r="713" ht="15" customHeight="1">
      <c r="A713" t="inlineStr">
        <is>
          <t>A 4852-2023</t>
        </is>
      </c>
      <c r="B713" s="1" t="n">
        <v>44957.72496527778</v>
      </c>
      <c r="C713" s="1" t="n">
        <v>46133</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39714-2023</t>
        </is>
      </c>
      <c r="B714" s="1" t="n">
        <v>45167.62133101852</v>
      </c>
      <c r="C714" s="1" t="n">
        <v>46133</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42984-2023</t>
        </is>
      </c>
      <c r="B715" s="1" t="n">
        <v>45179</v>
      </c>
      <c r="C715" s="1" t="n">
        <v>46133</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56535-2022</t>
        </is>
      </c>
      <c r="B716" s="1" t="n">
        <v>44893.47173611111</v>
      </c>
      <c r="C716" s="1" t="n">
        <v>46133</v>
      </c>
      <c r="D716" t="inlineStr">
        <is>
          <t>VÄSTMANLANDS LÄN</t>
        </is>
      </c>
      <c r="E716" t="inlineStr">
        <is>
          <t>SALA</t>
        </is>
      </c>
      <c r="G716" t="n">
        <v>0.5</v>
      </c>
      <c r="H716" t="n">
        <v>0</v>
      </c>
      <c r="I716" t="n">
        <v>0</v>
      </c>
      <c r="J716" t="n">
        <v>0</v>
      </c>
      <c r="K716" t="n">
        <v>0</v>
      </c>
      <c r="L716" t="n">
        <v>0</v>
      </c>
      <c r="M716" t="n">
        <v>0</v>
      </c>
      <c r="N716" t="n">
        <v>0</v>
      </c>
      <c r="O716" t="n">
        <v>0</v>
      </c>
      <c r="P716" t="n">
        <v>0</v>
      </c>
      <c r="Q716" t="n">
        <v>0</v>
      </c>
      <c r="R716" s="2" t="inlineStr"/>
    </row>
    <row r="717" ht="15" customHeight="1">
      <c r="A717" t="inlineStr">
        <is>
          <t>A 60550-2024</t>
        </is>
      </c>
      <c r="B717" s="1" t="n">
        <v>45643</v>
      </c>
      <c r="C717" s="1" t="n">
        <v>46133</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13746-2025</t>
        </is>
      </c>
      <c r="B718" s="1" t="n">
        <v>45737.40944444444</v>
      </c>
      <c r="C718" s="1" t="n">
        <v>46133</v>
      </c>
      <c r="D718" t="inlineStr">
        <is>
          <t>VÄSTMANLANDS LÄN</t>
        </is>
      </c>
      <c r="E718" t="inlineStr">
        <is>
          <t>SALA</t>
        </is>
      </c>
      <c r="G718" t="n">
        <v>2.1</v>
      </c>
      <c r="H718" t="n">
        <v>0</v>
      </c>
      <c r="I718" t="n">
        <v>0</v>
      </c>
      <c r="J718" t="n">
        <v>0</v>
      </c>
      <c r="K718" t="n">
        <v>0</v>
      </c>
      <c r="L718" t="n">
        <v>0</v>
      </c>
      <c r="M718" t="n">
        <v>0</v>
      </c>
      <c r="N718" t="n">
        <v>0</v>
      </c>
      <c r="O718" t="n">
        <v>0</v>
      </c>
      <c r="P718" t="n">
        <v>0</v>
      </c>
      <c r="Q718" t="n">
        <v>0</v>
      </c>
      <c r="R718" s="2" t="inlineStr"/>
    </row>
    <row r="719" ht="15" customHeight="1">
      <c r="A719" t="inlineStr">
        <is>
          <t>A 29230-2022</t>
        </is>
      </c>
      <c r="B719" s="1" t="n">
        <v>44750</v>
      </c>
      <c r="C719" s="1" t="n">
        <v>46133</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59175-2022</t>
        </is>
      </c>
      <c r="B720" s="1" t="n">
        <v>44904.48502314815</v>
      </c>
      <c r="C720" s="1" t="n">
        <v>46133</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19381-2025</t>
        </is>
      </c>
      <c r="B721" s="1" t="n">
        <v>45769</v>
      </c>
      <c r="C721" s="1" t="n">
        <v>46133</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42938-2023</t>
        </is>
      </c>
      <c r="B722" s="1" t="n">
        <v>45179</v>
      </c>
      <c r="C722" s="1" t="n">
        <v>46133</v>
      </c>
      <c r="D722" t="inlineStr">
        <is>
          <t>VÄSTMANLANDS LÄN</t>
        </is>
      </c>
      <c r="E722" t="inlineStr">
        <is>
          <t>SALA</t>
        </is>
      </c>
      <c r="G722" t="n">
        <v>10.9</v>
      </c>
      <c r="H722" t="n">
        <v>0</v>
      </c>
      <c r="I722" t="n">
        <v>0</v>
      </c>
      <c r="J722" t="n">
        <v>0</v>
      </c>
      <c r="K722" t="n">
        <v>0</v>
      </c>
      <c r="L722" t="n">
        <v>0</v>
      </c>
      <c r="M722" t="n">
        <v>0</v>
      </c>
      <c r="N722" t="n">
        <v>0</v>
      </c>
      <c r="O722" t="n">
        <v>0</v>
      </c>
      <c r="P722" t="n">
        <v>0</v>
      </c>
      <c r="Q722" t="n">
        <v>0</v>
      </c>
      <c r="R722" s="2" t="inlineStr"/>
    </row>
    <row r="723" ht="15" customHeight="1">
      <c r="A723" t="inlineStr">
        <is>
          <t>A 19222-2025</t>
        </is>
      </c>
      <c r="B723" s="1" t="n">
        <v>45769</v>
      </c>
      <c r="C723" s="1" t="n">
        <v>46133</v>
      </c>
      <c r="D723" t="inlineStr">
        <is>
          <t>VÄSTMANLANDS LÄN</t>
        </is>
      </c>
      <c r="E723" t="inlineStr">
        <is>
          <t>SALA</t>
        </is>
      </c>
      <c r="G723" t="n">
        <v>1.8</v>
      </c>
      <c r="H723" t="n">
        <v>0</v>
      </c>
      <c r="I723" t="n">
        <v>0</v>
      </c>
      <c r="J723" t="n">
        <v>0</v>
      </c>
      <c r="K723" t="n">
        <v>0</v>
      </c>
      <c r="L723" t="n">
        <v>0</v>
      </c>
      <c r="M723" t="n">
        <v>0</v>
      </c>
      <c r="N723" t="n">
        <v>0</v>
      </c>
      <c r="O723" t="n">
        <v>0</v>
      </c>
      <c r="P723" t="n">
        <v>0</v>
      </c>
      <c r="Q723" t="n">
        <v>0</v>
      </c>
      <c r="R723" s="2" t="inlineStr"/>
    </row>
    <row r="724" ht="15" customHeight="1">
      <c r="A724" t="inlineStr">
        <is>
          <t>A 19241-2025</t>
        </is>
      </c>
      <c r="B724" s="1" t="n">
        <v>45769</v>
      </c>
      <c r="C724" s="1" t="n">
        <v>46133</v>
      </c>
      <c r="D724" t="inlineStr">
        <is>
          <t>VÄSTMANLANDS LÄN</t>
        </is>
      </c>
      <c r="E724" t="inlineStr">
        <is>
          <t>SALA</t>
        </is>
      </c>
      <c r="G724" t="n">
        <v>3.6</v>
      </c>
      <c r="H724" t="n">
        <v>0</v>
      </c>
      <c r="I724" t="n">
        <v>0</v>
      </c>
      <c r="J724" t="n">
        <v>0</v>
      </c>
      <c r="K724" t="n">
        <v>0</v>
      </c>
      <c r="L724" t="n">
        <v>0</v>
      </c>
      <c r="M724" t="n">
        <v>0</v>
      </c>
      <c r="N724" t="n">
        <v>0</v>
      </c>
      <c r="O724" t="n">
        <v>0</v>
      </c>
      <c r="P724" t="n">
        <v>0</v>
      </c>
      <c r="Q724" t="n">
        <v>0</v>
      </c>
      <c r="R724" s="2" t="inlineStr"/>
    </row>
    <row r="725" ht="15" customHeight="1">
      <c r="A725" t="inlineStr">
        <is>
          <t>A 60823-2024</t>
        </is>
      </c>
      <c r="B725" s="1" t="n">
        <v>45644</v>
      </c>
      <c r="C725" s="1" t="n">
        <v>46133</v>
      </c>
      <c r="D725" t="inlineStr">
        <is>
          <t>VÄSTMANLANDS LÄN</t>
        </is>
      </c>
      <c r="E725" t="inlineStr">
        <is>
          <t>SALA</t>
        </is>
      </c>
      <c r="G725" t="n">
        <v>0.6</v>
      </c>
      <c r="H725" t="n">
        <v>0</v>
      </c>
      <c r="I725" t="n">
        <v>0</v>
      </c>
      <c r="J725" t="n">
        <v>0</v>
      </c>
      <c r="K725" t="n">
        <v>0</v>
      </c>
      <c r="L725" t="n">
        <v>0</v>
      </c>
      <c r="M725" t="n">
        <v>0</v>
      </c>
      <c r="N725" t="n">
        <v>0</v>
      </c>
      <c r="O725" t="n">
        <v>0</v>
      </c>
      <c r="P725" t="n">
        <v>0</v>
      </c>
      <c r="Q725" t="n">
        <v>0</v>
      </c>
      <c r="R725" s="2" t="inlineStr"/>
    </row>
    <row r="726" ht="15" customHeight="1">
      <c r="A726" t="inlineStr">
        <is>
          <t>A 61681-2024</t>
        </is>
      </c>
      <c r="B726" s="1" t="n">
        <v>45647</v>
      </c>
      <c r="C726" s="1" t="n">
        <v>46133</v>
      </c>
      <c r="D726" t="inlineStr">
        <is>
          <t>VÄSTMANLANDS LÄN</t>
        </is>
      </c>
      <c r="E726" t="inlineStr">
        <is>
          <t>SALA</t>
        </is>
      </c>
      <c r="F726" t="inlineStr">
        <is>
          <t>Kommuner</t>
        </is>
      </c>
      <c r="G726" t="n">
        <v>1</v>
      </c>
      <c r="H726" t="n">
        <v>0</v>
      </c>
      <c r="I726" t="n">
        <v>0</v>
      </c>
      <c r="J726" t="n">
        <v>0</v>
      </c>
      <c r="K726" t="n">
        <v>0</v>
      </c>
      <c r="L726" t="n">
        <v>0</v>
      </c>
      <c r="M726" t="n">
        <v>0</v>
      </c>
      <c r="N726" t="n">
        <v>0</v>
      </c>
      <c r="O726" t="n">
        <v>0</v>
      </c>
      <c r="P726" t="n">
        <v>0</v>
      </c>
      <c r="Q726" t="n">
        <v>0</v>
      </c>
      <c r="R726" s="2" t="inlineStr"/>
    </row>
    <row r="727" ht="15" customHeight="1">
      <c r="A727" t="inlineStr">
        <is>
          <t>A 49661-2024</t>
        </is>
      </c>
      <c r="B727" s="1" t="n">
        <v>45596</v>
      </c>
      <c r="C727" s="1" t="n">
        <v>46133</v>
      </c>
      <c r="D727" t="inlineStr">
        <is>
          <t>VÄSTMANLANDS LÄN</t>
        </is>
      </c>
      <c r="E727" t="inlineStr">
        <is>
          <t>SALA</t>
        </is>
      </c>
      <c r="G727" t="n">
        <v>6.7</v>
      </c>
      <c r="H727" t="n">
        <v>0</v>
      </c>
      <c r="I727" t="n">
        <v>0</v>
      </c>
      <c r="J727" t="n">
        <v>0</v>
      </c>
      <c r="K727" t="n">
        <v>0</v>
      </c>
      <c r="L727" t="n">
        <v>0</v>
      </c>
      <c r="M727" t="n">
        <v>0</v>
      </c>
      <c r="N727" t="n">
        <v>0</v>
      </c>
      <c r="O727" t="n">
        <v>0</v>
      </c>
      <c r="P727" t="n">
        <v>0</v>
      </c>
      <c r="Q727" t="n">
        <v>0</v>
      </c>
      <c r="R727" s="2" t="inlineStr"/>
    </row>
    <row r="728" ht="15" customHeight="1">
      <c r="A728" t="inlineStr">
        <is>
          <t>A 59297-2023</t>
        </is>
      </c>
      <c r="B728" s="1" t="n">
        <v>45253</v>
      </c>
      <c r="C728" s="1" t="n">
        <v>46133</v>
      </c>
      <c r="D728" t="inlineStr">
        <is>
          <t>VÄSTMANLANDS LÄN</t>
        </is>
      </c>
      <c r="E728" t="inlineStr">
        <is>
          <t>SALA</t>
        </is>
      </c>
      <c r="G728" t="n">
        <v>2</v>
      </c>
      <c r="H728" t="n">
        <v>0</v>
      </c>
      <c r="I728" t="n">
        <v>0</v>
      </c>
      <c r="J728" t="n">
        <v>0</v>
      </c>
      <c r="K728" t="n">
        <v>0</v>
      </c>
      <c r="L728" t="n">
        <v>0</v>
      </c>
      <c r="M728" t="n">
        <v>0</v>
      </c>
      <c r="N728" t="n">
        <v>0</v>
      </c>
      <c r="O728" t="n">
        <v>0</v>
      </c>
      <c r="P728" t="n">
        <v>0</v>
      </c>
      <c r="Q728" t="n">
        <v>0</v>
      </c>
      <c r="R728" s="2" t="inlineStr"/>
    </row>
    <row r="729" ht="15" customHeight="1">
      <c r="A729" t="inlineStr">
        <is>
          <t>A 15965-2024</t>
        </is>
      </c>
      <c r="B729" s="1" t="n">
        <v>45405.55740740741</v>
      </c>
      <c r="C729" s="1" t="n">
        <v>46133</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23180-2022</t>
        </is>
      </c>
      <c r="B730" s="1" t="n">
        <v>44719.79344907407</v>
      </c>
      <c r="C730" s="1" t="n">
        <v>46133</v>
      </c>
      <c r="D730" t="inlineStr">
        <is>
          <t>VÄSTMANLANDS LÄN</t>
        </is>
      </c>
      <c r="E730" t="inlineStr">
        <is>
          <t>SALA</t>
        </is>
      </c>
      <c r="G730" t="n">
        <v>1.2</v>
      </c>
      <c r="H730" t="n">
        <v>0</v>
      </c>
      <c r="I730" t="n">
        <v>0</v>
      </c>
      <c r="J730" t="n">
        <v>0</v>
      </c>
      <c r="K730" t="n">
        <v>0</v>
      </c>
      <c r="L730" t="n">
        <v>0</v>
      </c>
      <c r="M730" t="n">
        <v>0</v>
      </c>
      <c r="N730" t="n">
        <v>0</v>
      </c>
      <c r="O730" t="n">
        <v>0</v>
      </c>
      <c r="P730" t="n">
        <v>0</v>
      </c>
      <c r="Q730" t="n">
        <v>0</v>
      </c>
      <c r="R730" s="2" t="inlineStr"/>
    </row>
    <row r="731" ht="15" customHeight="1">
      <c r="A731" t="inlineStr">
        <is>
          <t>A 21455-2023</t>
        </is>
      </c>
      <c r="B731" s="1" t="n">
        <v>45058</v>
      </c>
      <c r="C731" s="1" t="n">
        <v>46133</v>
      </c>
      <c r="D731" t="inlineStr">
        <is>
          <t>VÄSTMANLANDS LÄN</t>
        </is>
      </c>
      <c r="E731" t="inlineStr">
        <is>
          <t>SALA</t>
        </is>
      </c>
      <c r="G731" t="n">
        <v>6.4</v>
      </c>
      <c r="H731" t="n">
        <v>0</v>
      </c>
      <c r="I731" t="n">
        <v>0</v>
      </c>
      <c r="J731" t="n">
        <v>0</v>
      </c>
      <c r="K731" t="n">
        <v>0</v>
      </c>
      <c r="L731" t="n">
        <v>0</v>
      </c>
      <c r="M731" t="n">
        <v>0</v>
      </c>
      <c r="N731" t="n">
        <v>0</v>
      </c>
      <c r="O731" t="n">
        <v>0</v>
      </c>
      <c r="P731" t="n">
        <v>0</v>
      </c>
      <c r="Q731" t="n">
        <v>0</v>
      </c>
      <c r="R731" s="2" t="inlineStr"/>
    </row>
    <row r="732" ht="15" customHeight="1">
      <c r="A732" t="inlineStr">
        <is>
          <t>A 21053-2022</t>
        </is>
      </c>
      <c r="B732" s="1" t="n">
        <v>44704</v>
      </c>
      <c r="C732" s="1" t="n">
        <v>46133</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11927-2025</t>
        </is>
      </c>
      <c r="B733" s="1" t="n">
        <v>45728.5137962963</v>
      </c>
      <c r="C733" s="1" t="n">
        <v>46133</v>
      </c>
      <c r="D733" t="inlineStr">
        <is>
          <t>VÄSTMANLANDS LÄN</t>
        </is>
      </c>
      <c r="E733" t="inlineStr">
        <is>
          <t>SALA</t>
        </is>
      </c>
      <c r="G733" t="n">
        <v>0.7</v>
      </c>
      <c r="H733" t="n">
        <v>0</v>
      </c>
      <c r="I733" t="n">
        <v>0</v>
      </c>
      <c r="J733" t="n">
        <v>0</v>
      </c>
      <c r="K733" t="n">
        <v>0</v>
      </c>
      <c r="L733" t="n">
        <v>0</v>
      </c>
      <c r="M733" t="n">
        <v>0</v>
      </c>
      <c r="N733" t="n">
        <v>0</v>
      </c>
      <c r="O733" t="n">
        <v>0</v>
      </c>
      <c r="P733" t="n">
        <v>0</v>
      </c>
      <c r="Q733" t="n">
        <v>0</v>
      </c>
      <c r="R733" s="2" t="inlineStr"/>
    </row>
    <row r="734" ht="15" customHeight="1">
      <c r="A734" t="inlineStr">
        <is>
          <t>A 50876-2023</t>
        </is>
      </c>
      <c r="B734" s="1" t="n">
        <v>45211</v>
      </c>
      <c r="C734" s="1" t="n">
        <v>46133</v>
      </c>
      <c r="D734" t="inlineStr">
        <is>
          <t>VÄSTMANLANDS LÄN</t>
        </is>
      </c>
      <c r="E734" t="inlineStr">
        <is>
          <t>SALA</t>
        </is>
      </c>
      <c r="G734" t="n">
        <v>1.9</v>
      </c>
      <c r="H734" t="n">
        <v>0</v>
      </c>
      <c r="I734" t="n">
        <v>0</v>
      </c>
      <c r="J734" t="n">
        <v>0</v>
      </c>
      <c r="K734" t="n">
        <v>0</v>
      </c>
      <c r="L734" t="n">
        <v>0</v>
      </c>
      <c r="M734" t="n">
        <v>0</v>
      </c>
      <c r="N734" t="n">
        <v>0</v>
      </c>
      <c r="O734" t="n">
        <v>0</v>
      </c>
      <c r="P734" t="n">
        <v>0</v>
      </c>
      <c r="Q734" t="n">
        <v>0</v>
      </c>
      <c r="R734" s="2" t="inlineStr"/>
    </row>
    <row r="735" ht="15" customHeight="1">
      <c r="A735" t="inlineStr">
        <is>
          <t>A 10255-2024</t>
        </is>
      </c>
      <c r="B735" s="1" t="n">
        <v>45365</v>
      </c>
      <c r="C735" s="1" t="n">
        <v>46133</v>
      </c>
      <c r="D735" t="inlineStr">
        <is>
          <t>VÄSTMANLANDS LÄN</t>
        </is>
      </c>
      <c r="E735" t="inlineStr">
        <is>
          <t>SALA</t>
        </is>
      </c>
      <c r="F735" t="inlineStr">
        <is>
          <t>Kommuner</t>
        </is>
      </c>
      <c r="G735" t="n">
        <v>0.8</v>
      </c>
      <c r="H735" t="n">
        <v>0</v>
      </c>
      <c r="I735" t="n">
        <v>0</v>
      </c>
      <c r="J735" t="n">
        <v>0</v>
      </c>
      <c r="K735" t="n">
        <v>0</v>
      </c>
      <c r="L735" t="n">
        <v>0</v>
      </c>
      <c r="M735" t="n">
        <v>0</v>
      </c>
      <c r="N735" t="n">
        <v>0</v>
      </c>
      <c r="O735" t="n">
        <v>0</v>
      </c>
      <c r="P735" t="n">
        <v>0</v>
      </c>
      <c r="Q735" t="n">
        <v>0</v>
      </c>
      <c r="R735" s="2" t="inlineStr"/>
    </row>
    <row r="736" ht="15" customHeight="1">
      <c r="A736" t="inlineStr">
        <is>
          <t>A 62648-2022</t>
        </is>
      </c>
      <c r="B736" s="1" t="n">
        <v>44917</v>
      </c>
      <c r="C736" s="1" t="n">
        <v>46133</v>
      </c>
      <c r="D736" t="inlineStr">
        <is>
          <t>VÄSTMANLANDS LÄN</t>
        </is>
      </c>
      <c r="E736" t="inlineStr">
        <is>
          <t>SALA</t>
        </is>
      </c>
      <c r="G736" t="n">
        <v>0.5</v>
      </c>
      <c r="H736" t="n">
        <v>0</v>
      </c>
      <c r="I736" t="n">
        <v>0</v>
      </c>
      <c r="J736" t="n">
        <v>0</v>
      </c>
      <c r="K736" t="n">
        <v>0</v>
      </c>
      <c r="L736" t="n">
        <v>0</v>
      </c>
      <c r="M736" t="n">
        <v>0</v>
      </c>
      <c r="N736" t="n">
        <v>0</v>
      </c>
      <c r="O736" t="n">
        <v>0</v>
      </c>
      <c r="P736" t="n">
        <v>0</v>
      </c>
      <c r="Q736" t="n">
        <v>0</v>
      </c>
      <c r="R736" s="2" t="inlineStr"/>
    </row>
    <row r="737" ht="15" customHeight="1">
      <c r="A737" t="inlineStr">
        <is>
          <t>A 56548-2024</t>
        </is>
      </c>
      <c r="B737" s="1" t="n">
        <v>45625</v>
      </c>
      <c r="C737" s="1" t="n">
        <v>46133</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5477-2024</t>
        </is>
      </c>
      <c r="B738" s="1" t="n">
        <v>45333.67833333334</v>
      </c>
      <c r="C738" s="1" t="n">
        <v>46133</v>
      </c>
      <c r="D738" t="inlineStr">
        <is>
          <t>VÄSTMANLANDS LÄN</t>
        </is>
      </c>
      <c r="E738" t="inlineStr">
        <is>
          <t>SALA</t>
        </is>
      </c>
      <c r="G738" t="n">
        <v>2.3</v>
      </c>
      <c r="H738" t="n">
        <v>0</v>
      </c>
      <c r="I738" t="n">
        <v>0</v>
      </c>
      <c r="J738" t="n">
        <v>0</v>
      </c>
      <c r="K738" t="n">
        <v>0</v>
      </c>
      <c r="L738" t="n">
        <v>0</v>
      </c>
      <c r="M738" t="n">
        <v>0</v>
      </c>
      <c r="N738" t="n">
        <v>0</v>
      </c>
      <c r="O738" t="n">
        <v>0</v>
      </c>
      <c r="P738" t="n">
        <v>0</v>
      </c>
      <c r="Q738" t="n">
        <v>0</v>
      </c>
      <c r="R738" s="2" t="inlineStr"/>
    </row>
    <row r="739" ht="15" customHeight="1">
      <c r="A739" t="inlineStr">
        <is>
          <t>A 39451-2022</t>
        </is>
      </c>
      <c r="B739" s="1" t="n">
        <v>44818.36606481481</v>
      </c>
      <c r="C739" s="1" t="n">
        <v>46133</v>
      </c>
      <c r="D739" t="inlineStr">
        <is>
          <t>VÄSTMANLANDS LÄN</t>
        </is>
      </c>
      <c r="E739" t="inlineStr">
        <is>
          <t>SALA</t>
        </is>
      </c>
      <c r="G739" t="n">
        <v>9.4</v>
      </c>
      <c r="H739" t="n">
        <v>0</v>
      </c>
      <c r="I739" t="n">
        <v>0</v>
      </c>
      <c r="J739" t="n">
        <v>0</v>
      </c>
      <c r="K739" t="n">
        <v>0</v>
      </c>
      <c r="L739" t="n">
        <v>0</v>
      </c>
      <c r="M739" t="n">
        <v>0</v>
      </c>
      <c r="N739" t="n">
        <v>0</v>
      </c>
      <c r="O739" t="n">
        <v>0</v>
      </c>
      <c r="P739" t="n">
        <v>0</v>
      </c>
      <c r="Q739" t="n">
        <v>0</v>
      </c>
      <c r="R739" s="2" t="inlineStr"/>
    </row>
    <row r="740" ht="15" customHeight="1">
      <c r="A740" t="inlineStr">
        <is>
          <t>A 7772-2023</t>
        </is>
      </c>
      <c r="B740" s="1" t="n">
        <v>44973.40076388889</v>
      </c>
      <c r="C740" s="1" t="n">
        <v>46133</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19751-2022</t>
        </is>
      </c>
      <c r="B741" s="1" t="n">
        <v>44694</v>
      </c>
      <c r="C741" s="1" t="n">
        <v>46133</v>
      </c>
      <c r="D741" t="inlineStr">
        <is>
          <t>VÄSTMANLANDS LÄN</t>
        </is>
      </c>
      <c r="E741" t="inlineStr">
        <is>
          <t>SALA</t>
        </is>
      </c>
      <c r="G741" t="n">
        <v>2.7</v>
      </c>
      <c r="H741" t="n">
        <v>0</v>
      </c>
      <c r="I741" t="n">
        <v>0</v>
      </c>
      <c r="J741" t="n">
        <v>0</v>
      </c>
      <c r="K741" t="n">
        <v>0</v>
      </c>
      <c r="L741" t="n">
        <v>0</v>
      </c>
      <c r="M741" t="n">
        <v>0</v>
      </c>
      <c r="N741" t="n">
        <v>0</v>
      </c>
      <c r="O741" t="n">
        <v>0</v>
      </c>
      <c r="P741" t="n">
        <v>0</v>
      </c>
      <c r="Q741" t="n">
        <v>0</v>
      </c>
      <c r="R741" s="2" t="inlineStr"/>
    </row>
    <row r="742" ht="15" customHeight="1">
      <c r="A742" t="inlineStr">
        <is>
          <t>A 44713-2023</t>
        </is>
      </c>
      <c r="B742" s="1" t="n">
        <v>45184</v>
      </c>
      <c r="C742" s="1" t="n">
        <v>46133</v>
      </c>
      <c r="D742" t="inlineStr">
        <is>
          <t>VÄSTMANLANDS LÄN</t>
        </is>
      </c>
      <c r="E742" t="inlineStr">
        <is>
          <t>SALA</t>
        </is>
      </c>
      <c r="F742" t="inlineStr">
        <is>
          <t>Kyrkan</t>
        </is>
      </c>
      <c r="G742" t="n">
        <v>7.6</v>
      </c>
      <c r="H742" t="n">
        <v>0</v>
      </c>
      <c r="I742" t="n">
        <v>0</v>
      </c>
      <c r="J742" t="n">
        <v>0</v>
      </c>
      <c r="K742" t="n">
        <v>0</v>
      </c>
      <c r="L742" t="n">
        <v>0</v>
      </c>
      <c r="M742" t="n">
        <v>0</v>
      </c>
      <c r="N742" t="n">
        <v>0</v>
      </c>
      <c r="O742" t="n">
        <v>0</v>
      </c>
      <c r="P742" t="n">
        <v>0</v>
      </c>
      <c r="Q742" t="n">
        <v>0</v>
      </c>
      <c r="R742" s="2" t="inlineStr"/>
    </row>
    <row r="743" ht="15" customHeight="1">
      <c r="A743" t="inlineStr">
        <is>
          <t>A 18713-2025</t>
        </is>
      </c>
      <c r="B743" s="1" t="n">
        <v>45763</v>
      </c>
      <c r="C743" s="1" t="n">
        <v>46133</v>
      </c>
      <c r="D743" t="inlineStr">
        <is>
          <t>VÄSTMANLANDS LÄN</t>
        </is>
      </c>
      <c r="E743" t="inlineStr">
        <is>
          <t>SALA</t>
        </is>
      </c>
      <c r="F743" t="inlineStr">
        <is>
          <t>Bergvik skog öst AB</t>
        </is>
      </c>
      <c r="G743" t="n">
        <v>11.6</v>
      </c>
      <c r="H743" t="n">
        <v>0</v>
      </c>
      <c r="I743" t="n">
        <v>0</v>
      </c>
      <c r="J743" t="n">
        <v>0</v>
      </c>
      <c r="K743" t="n">
        <v>0</v>
      </c>
      <c r="L743" t="n">
        <v>0</v>
      </c>
      <c r="M743" t="n">
        <v>0</v>
      </c>
      <c r="N743" t="n">
        <v>0</v>
      </c>
      <c r="O743" t="n">
        <v>0</v>
      </c>
      <c r="P743" t="n">
        <v>0</v>
      </c>
      <c r="Q743" t="n">
        <v>0</v>
      </c>
      <c r="R743" s="2" t="inlineStr"/>
    </row>
    <row r="744" ht="15" customHeight="1">
      <c r="A744" t="inlineStr">
        <is>
          <t>A 47479-2024</t>
        </is>
      </c>
      <c r="B744" s="1" t="n">
        <v>45587</v>
      </c>
      <c r="C744" s="1" t="n">
        <v>46133</v>
      </c>
      <c r="D744" t="inlineStr">
        <is>
          <t>VÄSTMANLANDS LÄN</t>
        </is>
      </c>
      <c r="E744" t="inlineStr">
        <is>
          <t>SALA</t>
        </is>
      </c>
      <c r="F744" t="inlineStr">
        <is>
          <t>Kommuner</t>
        </is>
      </c>
      <c r="G744" t="n">
        <v>0.8</v>
      </c>
      <c r="H744" t="n">
        <v>0</v>
      </c>
      <c r="I744" t="n">
        <v>0</v>
      </c>
      <c r="J744" t="n">
        <v>0</v>
      </c>
      <c r="K744" t="n">
        <v>0</v>
      </c>
      <c r="L744" t="n">
        <v>0</v>
      </c>
      <c r="M744" t="n">
        <v>0</v>
      </c>
      <c r="N744" t="n">
        <v>0</v>
      </c>
      <c r="O744" t="n">
        <v>0</v>
      </c>
      <c r="P744" t="n">
        <v>0</v>
      </c>
      <c r="Q744" t="n">
        <v>0</v>
      </c>
      <c r="R744" s="2" t="inlineStr"/>
    </row>
    <row r="745" ht="15" customHeight="1">
      <c r="A745" t="inlineStr">
        <is>
          <t>A 69236-2021</t>
        </is>
      </c>
      <c r="B745" s="1" t="n">
        <v>44531.4047337963</v>
      </c>
      <c r="C745" s="1" t="n">
        <v>46133</v>
      </c>
      <c r="D745" t="inlineStr">
        <is>
          <t>VÄSTMANLANDS LÄN</t>
        </is>
      </c>
      <c r="E745" t="inlineStr">
        <is>
          <t>SALA</t>
        </is>
      </c>
      <c r="G745" t="n">
        <v>2.8</v>
      </c>
      <c r="H745" t="n">
        <v>0</v>
      </c>
      <c r="I745" t="n">
        <v>0</v>
      </c>
      <c r="J745" t="n">
        <v>0</v>
      </c>
      <c r="K745" t="n">
        <v>0</v>
      </c>
      <c r="L745" t="n">
        <v>0</v>
      </c>
      <c r="M745" t="n">
        <v>0</v>
      </c>
      <c r="N745" t="n">
        <v>0</v>
      </c>
      <c r="O745" t="n">
        <v>0</v>
      </c>
      <c r="P745" t="n">
        <v>0</v>
      </c>
      <c r="Q745" t="n">
        <v>0</v>
      </c>
      <c r="R745" s="2" t="inlineStr"/>
    </row>
    <row r="746" ht="15" customHeight="1">
      <c r="A746" t="inlineStr">
        <is>
          <t>A 25541-2024</t>
        </is>
      </c>
      <c r="B746" s="1" t="n">
        <v>45463.56337962963</v>
      </c>
      <c r="C746" s="1" t="n">
        <v>46133</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5728-2022</t>
        </is>
      </c>
      <c r="B747" s="1" t="n">
        <v>44596.42082175926</v>
      </c>
      <c r="C747" s="1" t="n">
        <v>46133</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10250-2025</t>
        </is>
      </c>
      <c r="B748" s="1" t="n">
        <v>45720.36165509259</v>
      </c>
      <c r="C748" s="1" t="n">
        <v>46133</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49512-2024</t>
        </is>
      </c>
      <c r="B749" s="1" t="n">
        <v>45591</v>
      </c>
      <c r="C749" s="1" t="n">
        <v>46133</v>
      </c>
      <c r="D749" t="inlineStr">
        <is>
          <t>VÄSTMANLANDS LÄN</t>
        </is>
      </c>
      <c r="E749" t="inlineStr">
        <is>
          <t>SALA</t>
        </is>
      </c>
      <c r="G749" t="n">
        <v>8.1</v>
      </c>
      <c r="H749" t="n">
        <v>0</v>
      </c>
      <c r="I749" t="n">
        <v>0</v>
      </c>
      <c r="J749" t="n">
        <v>0</v>
      </c>
      <c r="K749" t="n">
        <v>0</v>
      </c>
      <c r="L749" t="n">
        <v>0</v>
      </c>
      <c r="M749" t="n">
        <v>0</v>
      </c>
      <c r="N749" t="n">
        <v>0</v>
      </c>
      <c r="O749" t="n">
        <v>0</v>
      </c>
      <c r="P749" t="n">
        <v>0</v>
      </c>
      <c r="Q749" t="n">
        <v>0</v>
      </c>
      <c r="R749" s="2" t="inlineStr"/>
    </row>
    <row r="750" ht="15" customHeight="1">
      <c r="A750" t="inlineStr">
        <is>
          <t>A 42416-2022</t>
        </is>
      </c>
      <c r="B750" s="1" t="n">
        <v>44831</v>
      </c>
      <c r="C750" s="1" t="n">
        <v>46133</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6135-2023</t>
        </is>
      </c>
      <c r="B751" s="1" t="n">
        <v>44964.62628472222</v>
      </c>
      <c r="C751" s="1" t="n">
        <v>46133</v>
      </c>
      <c r="D751" t="inlineStr">
        <is>
          <t>VÄSTMANLANDS LÄN</t>
        </is>
      </c>
      <c r="E751" t="inlineStr">
        <is>
          <t>SALA</t>
        </is>
      </c>
      <c r="G751" t="n">
        <v>0.5</v>
      </c>
      <c r="H751" t="n">
        <v>0</v>
      </c>
      <c r="I751" t="n">
        <v>0</v>
      </c>
      <c r="J751" t="n">
        <v>0</v>
      </c>
      <c r="K751" t="n">
        <v>0</v>
      </c>
      <c r="L751" t="n">
        <v>0</v>
      </c>
      <c r="M751" t="n">
        <v>0</v>
      </c>
      <c r="N751" t="n">
        <v>0</v>
      </c>
      <c r="O751" t="n">
        <v>0</v>
      </c>
      <c r="P751" t="n">
        <v>0</v>
      </c>
      <c r="Q751" t="n">
        <v>0</v>
      </c>
      <c r="R751" s="2" t="inlineStr"/>
    </row>
    <row r="752" ht="15" customHeight="1">
      <c r="A752" t="inlineStr">
        <is>
          <t>A 16693-2023</t>
        </is>
      </c>
      <c r="B752" s="1" t="n">
        <v>45028</v>
      </c>
      <c r="C752" s="1" t="n">
        <v>46133</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8285-2025</t>
        </is>
      </c>
      <c r="B753" s="1" t="n">
        <v>45708</v>
      </c>
      <c r="C753" s="1" t="n">
        <v>46133</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18340-2025</t>
        </is>
      </c>
      <c r="B754" s="1" t="n">
        <v>45762</v>
      </c>
      <c r="C754" s="1" t="n">
        <v>46133</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56706-2022</t>
        </is>
      </c>
      <c r="B755" s="1" t="n">
        <v>44893.78893518518</v>
      </c>
      <c r="C755" s="1" t="n">
        <v>46133</v>
      </c>
      <c r="D755" t="inlineStr">
        <is>
          <t>VÄSTMANLANDS LÄN</t>
        </is>
      </c>
      <c r="E755" t="inlineStr">
        <is>
          <t>SALA</t>
        </is>
      </c>
      <c r="G755" t="n">
        <v>4.5</v>
      </c>
      <c r="H755" t="n">
        <v>0</v>
      </c>
      <c r="I755" t="n">
        <v>0</v>
      </c>
      <c r="J755" t="n">
        <v>0</v>
      </c>
      <c r="K755" t="n">
        <v>0</v>
      </c>
      <c r="L755" t="n">
        <v>0</v>
      </c>
      <c r="M755" t="n">
        <v>0</v>
      </c>
      <c r="N755" t="n">
        <v>0</v>
      </c>
      <c r="O755" t="n">
        <v>0</v>
      </c>
      <c r="P755" t="n">
        <v>0</v>
      </c>
      <c r="Q755" t="n">
        <v>0</v>
      </c>
      <c r="R755" s="2" t="inlineStr"/>
    </row>
    <row r="756" ht="15" customHeight="1">
      <c r="A756" t="inlineStr">
        <is>
          <t>A 56707-2022</t>
        </is>
      </c>
      <c r="B756" s="1" t="n">
        <v>44893.79412037037</v>
      </c>
      <c r="C756" s="1" t="n">
        <v>46133</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48571-2024</t>
        </is>
      </c>
      <c r="B757" s="1" t="n">
        <v>45591</v>
      </c>
      <c r="C757" s="1" t="n">
        <v>46133</v>
      </c>
      <c r="D757" t="inlineStr">
        <is>
          <t>VÄSTMANLANDS LÄN</t>
        </is>
      </c>
      <c r="E757" t="inlineStr">
        <is>
          <t>SALA</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13188-2025</t>
        </is>
      </c>
      <c r="B758" s="1" t="n">
        <v>45735.39246527778</v>
      </c>
      <c r="C758" s="1" t="n">
        <v>46133</v>
      </c>
      <c r="D758" t="inlineStr">
        <is>
          <t>VÄSTMANLANDS LÄN</t>
        </is>
      </c>
      <c r="E758" t="inlineStr">
        <is>
          <t>SALA</t>
        </is>
      </c>
      <c r="F758" t="inlineStr">
        <is>
          <t>Naturvårdsverket</t>
        </is>
      </c>
      <c r="G758" t="n">
        <v>18.4</v>
      </c>
      <c r="H758" t="n">
        <v>0</v>
      </c>
      <c r="I758" t="n">
        <v>0</v>
      </c>
      <c r="J758" t="n">
        <v>0</v>
      </c>
      <c r="K758" t="n">
        <v>0</v>
      </c>
      <c r="L758" t="n">
        <v>0</v>
      </c>
      <c r="M758" t="n">
        <v>0</v>
      </c>
      <c r="N758" t="n">
        <v>0</v>
      </c>
      <c r="O758" t="n">
        <v>0</v>
      </c>
      <c r="P758" t="n">
        <v>0</v>
      </c>
      <c r="Q758" t="n">
        <v>0</v>
      </c>
      <c r="R758" s="2" t="inlineStr"/>
    </row>
    <row r="759" ht="15" customHeight="1">
      <c r="A759" t="inlineStr">
        <is>
          <t>A 23431-2024</t>
        </is>
      </c>
      <c r="B759" s="1" t="n">
        <v>45453</v>
      </c>
      <c r="C759" s="1" t="n">
        <v>46133</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21168-2025</t>
        </is>
      </c>
      <c r="B760" s="1" t="n">
        <v>45777</v>
      </c>
      <c r="C760" s="1" t="n">
        <v>46133</v>
      </c>
      <c r="D760" t="inlineStr">
        <is>
          <t>VÄSTMANLANDS LÄN</t>
        </is>
      </c>
      <c r="E760" t="inlineStr">
        <is>
          <t>SALA</t>
        </is>
      </c>
      <c r="G760" t="n">
        <v>4.5</v>
      </c>
      <c r="H760" t="n">
        <v>0</v>
      </c>
      <c r="I760" t="n">
        <v>0</v>
      </c>
      <c r="J760" t="n">
        <v>0</v>
      </c>
      <c r="K760" t="n">
        <v>0</v>
      </c>
      <c r="L760" t="n">
        <v>0</v>
      </c>
      <c r="M760" t="n">
        <v>0</v>
      </c>
      <c r="N760" t="n">
        <v>0</v>
      </c>
      <c r="O760" t="n">
        <v>0</v>
      </c>
      <c r="P760" t="n">
        <v>0</v>
      </c>
      <c r="Q760" t="n">
        <v>0</v>
      </c>
      <c r="R760" s="2" t="inlineStr"/>
    </row>
    <row r="761" ht="15" customHeight="1">
      <c r="A761" t="inlineStr">
        <is>
          <t>A 21754-2025</t>
        </is>
      </c>
      <c r="B761" s="1" t="n">
        <v>45783.61837962963</v>
      </c>
      <c r="C761" s="1" t="n">
        <v>46133</v>
      </c>
      <c r="D761" t="inlineStr">
        <is>
          <t>VÄSTMANLANDS LÄN</t>
        </is>
      </c>
      <c r="E761" t="inlineStr">
        <is>
          <t>SALA</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21751-2025</t>
        </is>
      </c>
      <c r="B762" s="1" t="n">
        <v>45783.61372685185</v>
      </c>
      <c r="C762" s="1" t="n">
        <v>46133</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37587-2024</t>
        </is>
      </c>
      <c r="B763" s="1" t="n">
        <v>45541</v>
      </c>
      <c r="C763" s="1" t="n">
        <v>46133</v>
      </c>
      <c r="D763" t="inlineStr">
        <is>
          <t>VÄSTMANLANDS LÄN</t>
        </is>
      </c>
      <c r="E763" t="inlineStr">
        <is>
          <t>SALA</t>
        </is>
      </c>
      <c r="G763" t="n">
        <v>1.2</v>
      </c>
      <c r="H763" t="n">
        <v>0</v>
      </c>
      <c r="I763" t="n">
        <v>0</v>
      </c>
      <c r="J763" t="n">
        <v>0</v>
      </c>
      <c r="K763" t="n">
        <v>0</v>
      </c>
      <c r="L763" t="n">
        <v>0</v>
      </c>
      <c r="M763" t="n">
        <v>0</v>
      </c>
      <c r="N763" t="n">
        <v>0</v>
      </c>
      <c r="O763" t="n">
        <v>0</v>
      </c>
      <c r="P763" t="n">
        <v>0</v>
      </c>
      <c r="Q763" t="n">
        <v>0</v>
      </c>
      <c r="R763" s="2" t="inlineStr"/>
    </row>
    <row r="764" ht="15" customHeight="1">
      <c r="A764" t="inlineStr">
        <is>
          <t>A 64724-2023</t>
        </is>
      </c>
      <c r="B764" s="1" t="n">
        <v>45281.7602662037</v>
      </c>
      <c r="C764" s="1" t="n">
        <v>46133</v>
      </c>
      <c r="D764" t="inlineStr">
        <is>
          <t>VÄSTMANLANDS LÄN</t>
        </is>
      </c>
      <c r="E764" t="inlineStr">
        <is>
          <t>SALA</t>
        </is>
      </c>
      <c r="G764" t="n">
        <v>2.3</v>
      </c>
      <c r="H764" t="n">
        <v>0</v>
      </c>
      <c r="I764" t="n">
        <v>0</v>
      </c>
      <c r="J764" t="n">
        <v>0</v>
      </c>
      <c r="K764" t="n">
        <v>0</v>
      </c>
      <c r="L764" t="n">
        <v>0</v>
      </c>
      <c r="M764" t="n">
        <v>0</v>
      </c>
      <c r="N764" t="n">
        <v>0</v>
      </c>
      <c r="O764" t="n">
        <v>0</v>
      </c>
      <c r="P764" t="n">
        <v>0</v>
      </c>
      <c r="Q764" t="n">
        <v>0</v>
      </c>
      <c r="R764" s="2" t="inlineStr"/>
    </row>
    <row r="765" ht="15" customHeight="1">
      <c r="A765" t="inlineStr">
        <is>
          <t>A 7176-2023</t>
        </is>
      </c>
      <c r="B765" s="1" t="n">
        <v>44970</v>
      </c>
      <c r="C765" s="1" t="n">
        <v>46133</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43600-2024</t>
        </is>
      </c>
      <c r="B766" s="1" t="n">
        <v>45569</v>
      </c>
      <c r="C766" s="1" t="n">
        <v>46133</v>
      </c>
      <c r="D766" t="inlineStr">
        <is>
          <t>VÄSTMANLANDS LÄN</t>
        </is>
      </c>
      <c r="E766" t="inlineStr">
        <is>
          <t>SALA</t>
        </is>
      </c>
      <c r="G766" t="n">
        <v>0.9</v>
      </c>
      <c r="H766" t="n">
        <v>0</v>
      </c>
      <c r="I766" t="n">
        <v>0</v>
      </c>
      <c r="J766" t="n">
        <v>0</v>
      </c>
      <c r="K766" t="n">
        <v>0</v>
      </c>
      <c r="L766" t="n">
        <v>0</v>
      </c>
      <c r="M766" t="n">
        <v>0</v>
      </c>
      <c r="N766" t="n">
        <v>0</v>
      </c>
      <c r="O766" t="n">
        <v>0</v>
      </c>
      <c r="P766" t="n">
        <v>0</v>
      </c>
      <c r="Q766" t="n">
        <v>0</v>
      </c>
      <c r="R766" s="2" t="inlineStr"/>
    </row>
    <row r="767">
      <c r="A767" t="inlineStr">
        <is>
          <t>A 31405-2024</t>
        </is>
      </c>
      <c r="B767" s="1" t="n">
        <v>45505.5490625</v>
      </c>
      <c r="C767" s="1" t="n">
        <v>46133</v>
      </c>
      <c r="D767" t="inlineStr">
        <is>
          <t>VÄSTMANLANDS LÄN</t>
        </is>
      </c>
      <c r="E767" t="inlineStr">
        <is>
          <t>SALA</t>
        </is>
      </c>
      <c r="G767" t="n">
        <v>5.2</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2026-04-21T10:50:33Z</dcterms:created>
  <dcterms:modified xmlns:dcterms="http://purl.org/dc/terms/" xmlns:xsi="http://www.w3.org/2001/XMLSchema-instance" xsi:type="dcterms:W3CDTF">2026-04-21T10:50:34Z</dcterms:modified>
</cp:coreProperties>
</file>