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46166</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46166</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46166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46166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46166</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46166</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46166</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46166</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46166</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46166</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46166</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46166</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46166</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Kötticka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46166</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40895-2025</t>
        </is>
      </c>
      <c r="B21" s="1" t="n">
        <v>45897.61241898148</v>
      </c>
      <c r="C21" s="1" t="n">
        <v>46166</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53019-2024</t>
        </is>
      </c>
      <c r="B22" s="1" t="n">
        <v>45610</v>
      </c>
      <c r="C22" s="1" t="n">
        <v>46166</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3567-2024</t>
        </is>
      </c>
      <c r="B23" s="1" t="n">
        <v>45320.63706018519</v>
      </c>
      <c r="C23" s="1" t="n">
        <v>46166</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3930-2026</t>
        </is>
      </c>
      <c r="B24" s="1" t="n">
        <v>46043</v>
      </c>
      <c r="C24" s="1" t="n">
        <v>46166</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21044-2026</t>
        </is>
      </c>
      <c r="B25" s="1" t="n">
        <v>46146.36681712963</v>
      </c>
      <c r="C25" s="1" t="n">
        <v>46166</v>
      </c>
      <c r="D25" t="inlineStr">
        <is>
          <t>VÄSTMANLANDS LÄN</t>
        </is>
      </c>
      <c r="E25" t="inlineStr">
        <is>
          <t>SALA</t>
        </is>
      </c>
      <c r="G25" t="n">
        <v>41.2</v>
      </c>
      <c r="H25" t="n">
        <v>1</v>
      </c>
      <c r="I25" t="n">
        <v>0</v>
      </c>
      <c r="J25" t="n">
        <v>2</v>
      </c>
      <c r="K25" t="n">
        <v>1</v>
      </c>
      <c r="L25" t="n">
        <v>0</v>
      </c>
      <c r="M25" t="n">
        <v>0</v>
      </c>
      <c r="N25" t="n">
        <v>0</v>
      </c>
      <c r="O25" t="n">
        <v>3</v>
      </c>
      <c r="P25" t="n">
        <v>1</v>
      </c>
      <c r="Q25" t="n">
        <v>3</v>
      </c>
      <c r="R25" s="2" t="inlineStr">
        <is>
          <t>Knärot
Garnlav
Motaggsvamp</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4264-2024</t>
        </is>
      </c>
      <c r="B26" s="1" t="n">
        <v>45324</v>
      </c>
      <c r="C26" s="1" t="n">
        <v>46166</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46166</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62768-2021</t>
        </is>
      </c>
      <c r="B28" s="1" t="n">
        <v>44504</v>
      </c>
      <c r="C28" s="1" t="n">
        <v>46166</v>
      </c>
      <c r="D28" t="inlineStr">
        <is>
          <t>VÄSTMANLANDS LÄN</t>
        </is>
      </c>
      <c r="E28" t="inlineStr">
        <is>
          <t>SALA</t>
        </is>
      </c>
      <c r="G28" t="n">
        <v>12.9</v>
      </c>
      <c r="H28" t="n">
        <v>1</v>
      </c>
      <c r="I28" t="n">
        <v>1</v>
      </c>
      <c r="J28" t="n">
        <v>1</v>
      </c>
      <c r="K28" t="n">
        <v>1</v>
      </c>
      <c r="L28" t="n">
        <v>0</v>
      </c>
      <c r="M28" t="n">
        <v>0</v>
      </c>
      <c r="N28" t="n">
        <v>0</v>
      </c>
      <c r="O28" t="n">
        <v>2</v>
      </c>
      <c r="P28" t="n">
        <v>1</v>
      </c>
      <c r="Q28" t="n">
        <v>3</v>
      </c>
      <c r="R28" s="2" t="inlineStr">
        <is>
          <t>Knärot
Vedtrappmossa
Grönpyrola</t>
        </is>
      </c>
      <c r="S28">
        <f>HYPERLINK("https://klasma.github.io/Logging_1981/artfynd/A 62768-2021 artfynd.xlsx", "A 62768-2021")</f>
        <v/>
      </c>
      <c r="T28">
        <f>HYPERLINK("https://klasma.github.io/Logging_1981/kartor/A 62768-2021 karta.png", "A 62768-2021")</f>
        <v/>
      </c>
      <c r="U28">
        <f>HYPERLINK("https://klasma.github.io/Logging_1981/knärot/A 62768-2021 karta knärot.png", "A 62768-2021")</f>
        <v/>
      </c>
      <c r="V28">
        <f>HYPERLINK("https://klasma.github.io/Logging_1981/klagomål/A 62768-2021 FSC-klagomål.docx", "A 62768-2021")</f>
        <v/>
      </c>
      <c r="W28">
        <f>HYPERLINK("https://klasma.github.io/Logging_1981/klagomålsmail/A 62768-2021 FSC-klagomål mail.docx", "A 62768-2021")</f>
        <v/>
      </c>
      <c r="X28">
        <f>HYPERLINK("https://klasma.github.io/Logging_1981/tillsyn/A 62768-2021 tillsynsbegäran.docx", "A 62768-2021")</f>
        <v/>
      </c>
      <c r="Y28">
        <f>HYPERLINK("https://klasma.github.io/Logging_1981/tillsynsmail/A 62768-2021 tillsynsbegäran mail.docx", "A 62768-2021")</f>
        <v/>
      </c>
    </row>
    <row r="29" ht="15" customHeight="1">
      <c r="A29" t="inlineStr">
        <is>
          <t>A 52909-2022</t>
        </is>
      </c>
      <c r="B29" s="1" t="n">
        <v>44875</v>
      </c>
      <c r="C29" s="1" t="n">
        <v>46166</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46166</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13029-2023</t>
        </is>
      </c>
      <c r="B31" s="1" t="n">
        <v>45001</v>
      </c>
      <c r="C31" s="1" t="n">
        <v>46166</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46166</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46166</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53048-2025</t>
        </is>
      </c>
      <c r="B34" s="1" t="n">
        <v>45958.36018518519</v>
      </c>
      <c r="C34" s="1" t="n">
        <v>46166</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46166</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46166</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11846-2024</t>
        </is>
      </c>
      <c r="B37" s="1" t="n">
        <v>45376.4047337963</v>
      </c>
      <c r="C37" s="1" t="n">
        <v>46166</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14485-2026</t>
        </is>
      </c>
      <c r="B38" s="1" t="n">
        <v>46100.59055555556</v>
      </c>
      <c r="C38" s="1" t="n">
        <v>46166</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12444-2024</t>
        </is>
      </c>
      <c r="B39" s="1" t="n">
        <v>45379.46285879629</v>
      </c>
      <c r="C39" s="1" t="n">
        <v>46166</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24872-2025</t>
        </is>
      </c>
      <c r="B40" s="1" t="n">
        <v>45799.49038194444</v>
      </c>
      <c r="C40" s="1" t="n">
        <v>46166</v>
      </c>
      <c r="D40" t="inlineStr">
        <is>
          <t>VÄSTMANLANDS LÄN</t>
        </is>
      </c>
      <c r="E40" t="inlineStr">
        <is>
          <t>SALA</t>
        </is>
      </c>
      <c r="G40" t="n">
        <v>13.9</v>
      </c>
      <c r="H40" t="n">
        <v>1</v>
      </c>
      <c r="I40" t="n">
        <v>0</v>
      </c>
      <c r="J40" t="n">
        <v>1</v>
      </c>
      <c r="K40" t="n">
        <v>1</v>
      </c>
      <c r="L40" t="n">
        <v>0</v>
      </c>
      <c r="M40" t="n">
        <v>0</v>
      </c>
      <c r="N40" t="n">
        <v>0</v>
      </c>
      <c r="O40" t="n">
        <v>2</v>
      </c>
      <c r="P40" t="n">
        <v>1</v>
      </c>
      <c r="Q40" t="n">
        <v>2</v>
      </c>
      <c r="R40" s="2" t="inlineStr">
        <is>
          <t>Knärot
Motaggsvamp</t>
        </is>
      </c>
      <c r="S40">
        <f>HYPERLINK("https://klasma.github.io/Logging_1981/artfynd/A 24872-2025 artfynd.xlsx", "A 24872-2025")</f>
        <v/>
      </c>
      <c r="T40">
        <f>HYPERLINK("https://klasma.github.io/Logging_1981/kartor/A 24872-2025 karta.png", "A 24872-2025")</f>
        <v/>
      </c>
      <c r="U40">
        <f>HYPERLINK("https://klasma.github.io/Logging_1981/knärot/A 24872-2025 karta knärot.png", "A 24872-2025")</f>
        <v/>
      </c>
      <c r="V40">
        <f>HYPERLINK("https://klasma.github.io/Logging_1981/klagomål/A 24872-2025 FSC-klagomål.docx", "A 24872-2025")</f>
        <v/>
      </c>
      <c r="W40">
        <f>HYPERLINK("https://klasma.github.io/Logging_1981/klagomålsmail/A 24872-2025 FSC-klagomål mail.docx", "A 24872-2025")</f>
        <v/>
      </c>
      <c r="X40">
        <f>HYPERLINK("https://klasma.github.io/Logging_1981/tillsyn/A 24872-2025 tillsynsbegäran.docx", "A 24872-2025")</f>
        <v/>
      </c>
      <c r="Y40">
        <f>HYPERLINK("https://klasma.github.io/Logging_1981/tillsynsmail/A 24872-2025 tillsynsbegäran mail.docx", "A 24872-2025")</f>
        <v/>
      </c>
    </row>
    <row r="41" ht="15" customHeight="1">
      <c r="A41" t="inlineStr">
        <is>
          <t>A 44970-2021</t>
        </is>
      </c>
      <c r="B41" s="1" t="n">
        <v>44438.74399305556</v>
      </c>
      <c r="C41" s="1" t="n">
        <v>46166</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46166</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37166-2024</t>
        </is>
      </c>
      <c r="B43" s="1" t="n">
        <v>45539</v>
      </c>
      <c r="C43" s="1" t="n">
        <v>46166</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46166</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14775-2023</t>
        </is>
      </c>
      <c r="B45" s="1" t="n">
        <v>45014</v>
      </c>
      <c r="C45" s="1" t="n">
        <v>46166</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38255-2025</t>
        </is>
      </c>
      <c r="B46" s="1" t="n">
        <v>45883.38020833334</v>
      </c>
      <c r="C46" s="1" t="n">
        <v>46166</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12509-2023</t>
        </is>
      </c>
      <c r="B47" s="1" t="n">
        <v>44999.95988425926</v>
      </c>
      <c r="C47" s="1" t="n">
        <v>46166</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60852-2024</t>
        </is>
      </c>
      <c r="B48" s="1" t="n">
        <v>45644</v>
      </c>
      <c r="C48" s="1" t="n">
        <v>46166</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48705-2025</t>
        </is>
      </c>
      <c r="B49" s="1" t="n">
        <v>45936.62290509259</v>
      </c>
      <c r="C49" s="1" t="n">
        <v>46166</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46166</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19361-2025</t>
        </is>
      </c>
      <c r="B51" s="1" t="n">
        <v>45769.63357638889</v>
      </c>
      <c r="C51" s="1" t="n">
        <v>46166</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46166</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43175-2023</t>
        </is>
      </c>
      <c r="B53" s="1" t="n">
        <v>45183</v>
      </c>
      <c r="C53" s="1" t="n">
        <v>46166</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53052-2025</t>
        </is>
      </c>
      <c r="B54" s="1" t="n">
        <v>45958.36266203703</v>
      </c>
      <c r="C54" s="1" t="n">
        <v>46166</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55995-2025</t>
        </is>
      </c>
      <c r="B55" s="1" t="n">
        <v>45973.56733796297</v>
      </c>
      <c r="C55" s="1" t="n">
        <v>46166</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55550-2023</t>
        </is>
      </c>
      <c r="B56" s="1" t="n">
        <v>45232</v>
      </c>
      <c r="C56" s="1" t="n">
        <v>46166</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46166</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7672-2026</t>
        </is>
      </c>
      <c r="B58" s="1" t="n">
        <v>46062.42077546296</v>
      </c>
      <c r="C58" s="1" t="n">
        <v>46166</v>
      </c>
      <c r="D58" t="inlineStr">
        <is>
          <t>VÄSTMANLANDS LÄN</t>
        </is>
      </c>
      <c r="E58" t="inlineStr">
        <is>
          <t>SALA</t>
        </is>
      </c>
      <c r="G58" t="n">
        <v>2.9</v>
      </c>
      <c r="H58" t="n">
        <v>1</v>
      </c>
      <c r="I58" t="n">
        <v>0</v>
      </c>
      <c r="J58" t="n">
        <v>0</v>
      </c>
      <c r="K58" t="n">
        <v>0</v>
      </c>
      <c r="L58" t="n">
        <v>0</v>
      </c>
      <c r="M58" t="n">
        <v>0</v>
      </c>
      <c r="N58" t="n">
        <v>0</v>
      </c>
      <c r="O58" t="n">
        <v>0</v>
      </c>
      <c r="P58" t="n">
        <v>0</v>
      </c>
      <c r="Q58" t="n">
        <v>1</v>
      </c>
      <c r="R58" s="2" t="inlineStr">
        <is>
          <t>Nattviol</t>
        </is>
      </c>
      <c r="S58">
        <f>HYPERLINK("https://klasma.github.io/Logging_1981/artfynd/A 7672-2026 artfynd.xlsx", "A 7672-2026")</f>
        <v/>
      </c>
      <c r="T58">
        <f>HYPERLINK("https://klasma.github.io/Logging_1981/kartor/A 7672-2026 karta.png", "A 7672-2026")</f>
        <v/>
      </c>
      <c r="V58">
        <f>HYPERLINK("https://klasma.github.io/Logging_1981/klagomål/A 7672-2026 FSC-klagomål.docx", "A 7672-2026")</f>
        <v/>
      </c>
      <c r="W58">
        <f>HYPERLINK("https://klasma.github.io/Logging_1981/klagomålsmail/A 7672-2026 FSC-klagomål mail.docx", "A 7672-2026")</f>
        <v/>
      </c>
      <c r="X58">
        <f>HYPERLINK("https://klasma.github.io/Logging_1981/tillsyn/A 7672-2026 tillsynsbegäran.docx", "A 7672-2026")</f>
        <v/>
      </c>
      <c r="Y58">
        <f>HYPERLINK("https://klasma.github.io/Logging_1981/tillsynsmail/A 7672-2026 tillsynsbegäran mail.docx", "A 7672-2026")</f>
        <v/>
      </c>
    </row>
    <row r="59" ht="15" customHeight="1">
      <c r="A59" t="inlineStr">
        <is>
          <t>A 18896-2026</t>
        </is>
      </c>
      <c r="B59" s="1" t="n">
        <v>46129</v>
      </c>
      <c r="C59" s="1" t="n">
        <v>46166</v>
      </c>
      <c r="D59" t="inlineStr">
        <is>
          <t>VÄSTMANLANDS LÄN</t>
        </is>
      </c>
      <c r="E59" t="inlineStr">
        <is>
          <t>SALA</t>
        </is>
      </c>
      <c r="F59" t="inlineStr">
        <is>
          <t>Kommuner</t>
        </is>
      </c>
      <c r="G59" t="n">
        <v>1.1</v>
      </c>
      <c r="H59" t="n">
        <v>0</v>
      </c>
      <c r="I59" t="n">
        <v>0</v>
      </c>
      <c r="J59" t="n">
        <v>1</v>
      </c>
      <c r="K59" t="n">
        <v>0</v>
      </c>
      <c r="L59" t="n">
        <v>0</v>
      </c>
      <c r="M59" t="n">
        <v>0</v>
      </c>
      <c r="N59" t="n">
        <v>0</v>
      </c>
      <c r="O59" t="n">
        <v>1</v>
      </c>
      <c r="P59" t="n">
        <v>0</v>
      </c>
      <c r="Q59" t="n">
        <v>1</v>
      </c>
      <c r="R59" s="2" t="inlineStr">
        <is>
          <t>Ullticka</t>
        </is>
      </c>
      <c r="S59">
        <f>HYPERLINK("https://klasma.github.io/Logging_1981/artfynd/A 18896-2026 artfynd.xlsx", "A 18896-2026")</f>
        <v/>
      </c>
      <c r="T59">
        <f>HYPERLINK("https://klasma.github.io/Logging_1981/kartor/A 18896-2026 karta.png", "A 18896-2026")</f>
        <v/>
      </c>
      <c r="V59">
        <f>HYPERLINK("https://klasma.github.io/Logging_1981/klagomål/A 18896-2026 FSC-klagomål.docx", "A 18896-2026")</f>
        <v/>
      </c>
      <c r="W59">
        <f>HYPERLINK("https://klasma.github.io/Logging_1981/klagomålsmail/A 18896-2026 FSC-klagomål mail.docx", "A 18896-2026")</f>
        <v/>
      </c>
      <c r="X59">
        <f>HYPERLINK("https://klasma.github.io/Logging_1981/tillsyn/A 18896-2026 tillsynsbegäran.docx", "A 18896-2026")</f>
        <v/>
      </c>
      <c r="Y59">
        <f>HYPERLINK("https://klasma.github.io/Logging_1981/tillsynsmail/A 18896-2026 tillsynsbegäran mail.docx", "A 18896-2026")</f>
        <v/>
      </c>
    </row>
    <row r="60" ht="15" customHeight="1">
      <c r="A60" t="inlineStr">
        <is>
          <t>A 14488-2026</t>
        </is>
      </c>
      <c r="B60" s="1" t="n">
        <v>46100.59216435185</v>
      </c>
      <c r="C60" s="1" t="n">
        <v>46166</v>
      </c>
      <c r="D60" t="inlineStr">
        <is>
          <t>VÄSTMANLANDS LÄN</t>
        </is>
      </c>
      <c r="E60" t="inlineStr">
        <is>
          <t>SALA</t>
        </is>
      </c>
      <c r="F60" t="inlineStr">
        <is>
          <t>Sveaskog</t>
        </is>
      </c>
      <c r="G60" t="n">
        <v>1.5</v>
      </c>
      <c r="H60" t="n">
        <v>1</v>
      </c>
      <c r="I60" t="n">
        <v>0</v>
      </c>
      <c r="J60" t="n">
        <v>0</v>
      </c>
      <c r="K60" t="n">
        <v>0</v>
      </c>
      <c r="L60" t="n">
        <v>0</v>
      </c>
      <c r="M60" t="n">
        <v>0</v>
      </c>
      <c r="N60" t="n">
        <v>0</v>
      </c>
      <c r="O60" t="n">
        <v>0</v>
      </c>
      <c r="P60" t="n">
        <v>0</v>
      </c>
      <c r="Q60" t="n">
        <v>1</v>
      </c>
      <c r="R60" s="2" t="inlineStr">
        <is>
          <t>Mattlummer</t>
        </is>
      </c>
      <c r="S60">
        <f>HYPERLINK("https://klasma.github.io/Logging_1981/artfynd/A 14488-2026 artfynd.xlsx", "A 14488-2026")</f>
        <v/>
      </c>
      <c r="T60">
        <f>HYPERLINK("https://klasma.github.io/Logging_1981/kartor/A 14488-2026 karta.png", "A 14488-2026")</f>
        <v/>
      </c>
      <c r="V60">
        <f>HYPERLINK("https://klasma.github.io/Logging_1981/klagomål/A 14488-2026 FSC-klagomål.docx", "A 14488-2026")</f>
        <v/>
      </c>
      <c r="W60">
        <f>HYPERLINK("https://klasma.github.io/Logging_1981/klagomålsmail/A 14488-2026 FSC-klagomål mail.docx", "A 14488-2026")</f>
        <v/>
      </c>
      <c r="X60">
        <f>HYPERLINK("https://klasma.github.io/Logging_1981/tillsyn/A 14488-2026 tillsynsbegäran.docx", "A 14488-2026")</f>
        <v/>
      </c>
      <c r="Y60">
        <f>HYPERLINK("https://klasma.github.io/Logging_1981/tillsynsmail/A 14488-2026 tillsynsbegäran mail.docx", "A 14488-2026")</f>
        <v/>
      </c>
    </row>
    <row r="61" ht="15" customHeight="1">
      <c r="A61" t="inlineStr">
        <is>
          <t>A 14487-2026</t>
        </is>
      </c>
      <c r="B61" s="1" t="n">
        <v>46100.59162037037</v>
      </c>
      <c r="C61" s="1" t="n">
        <v>46166</v>
      </c>
      <c r="D61" t="inlineStr">
        <is>
          <t>VÄSTMANLANDS LÄN</t>
        </is>
      </c>
      <c r="E61" t="inlineStr">
        <is>
          <t>SALA</t>
        </is>
      </c>
      <c r="F61" t="inlineStr">
        <is>
          <t>Sveaskog</t>
        </is>
      </c>
      <c r="G61" t="n">
        <v>6.7</v>
      </c>
      <c r="H61" t="n">
        <v>0</v>
      </c>
      <c r="I61" t="n">
        <v>0</v>
      </c>
      <c r="J61" t="n">
        <v>1</v>
      </c>
      <c r="K61" t="n">
        <v>0</v>
      </c>
      <c r="L61" t="n">
        <v>0</v>
      </c>
      <c r="M61" t="n">
        <v>0</v>
      </c>
      <c r="N61" t="n">
        <v>0</v>
      </c>
      <c r="O61" t="n">
        <v>1</v>
      </c>
      <c r="P61" t="n">
        <v>0</v>
      </c>
      <c r="Q61" t="n">
        <v>1</v>
      </c>
      <c r="R61" s="2" t="inlineStr">
        <is>
          <t>Motaggsvamp</t>
        </is>
      </c>
      <c r="S61">
        <f>HYPERLINK("https://klasma.github.io/Logging_1981/artfynd/A 14487-2026 artfynd.xlsx", "A 14487-2026")</f>
        <v/>
      </c>
      <c r="T61">
        <f>HYPERLINK("https://klasma.github.io/Logging_1981/kartor/A 14487-2026 karta.png", "A 14487-2026")</f>
        <v/>
      </c>
      <c r="V61">
        <f>HYPERLINK("https://klasma.github.io/Logging_1981/klagomål/A 14487-2026 FSC-klagomål.docx", "A 14487-2026")</f>
        <v/>
      </c>
      <c r="W61">
        <f>HYPERLINK("https://klasma.github.io/Logging_1981/klagomålsmail/A 14487-2026 FSC-klagomål mail.docx", "A 14487-2026")</f>
        <v/>
      </c>
      <c r="X61">
        <f>HYPERLINK("https://klasma.github.io/Logging_1981/tillsyn/A 14487-2026 tillsynsbegäran.docx", "A 14487-2026")</f>
        <v/>
      </c>
      <c r="Y61">
        <f>HYPERLINK("https://klasma.github.io/Logging_1981/tillsynsmail/A 14487-2026 tillsynsbegäran mail.docx", "A 14487-2026")</f>
        <v/>
      </c>
    </row>
    <row r="62" ht="15" customHeight="1">
      <c r="A62" t="inlineStr">
        <is>
          <t>A 43068-2024</t>
        </is>
      </c>
      <c r="B62" s="1" t="n">
        <v>45567</v>
      </c>
      <c r="C62" s="1" t="n">
        <v>46166</v>
      </c>
      <c r="D62" t="inlineStr">
        <is>
          <t>VÄSTMANLANDS LÄN</t>
        </is>
      </c>
      <c r="E62" t="inlineStr">
        <is>
          <t>SALA</t>
        </is>
      </c>
      <c r="G62" t="n">
        <v>1.1</v>
      </c>
      <c r="H62" t="n">
        <v>0</v>
      </c>
      <c r="I62" t="n">
        <v>1</v>
      </c>
      <c r="J62" t="n">
        <v>0</v>
      </c>
      <c r="K62" t="n">
        <v>0</v>
      </c>
      <c r="L62" t="n">
        <v>0</v>
      </c>
      <c r="M62" t="n">
        <v>0</v>
      </c>
      <c r="N62" t="n">
        <v>0</v>
      </c>
      <c r="O62" t="n">
        <v>0</v>
      </c>
      <c r="P62" t="n">
        <v>0</v>
      </c>
      <c r="Q62" t="n">
        <v>1</v>
      </c>
      <c r="R62" s="2" t="inlineStr">
        <is>
          <t>Vedticka</t>
        </is>
      </c>
      <c r="S62">
        <f>HYPERLINK("https://klasma.github.io/Logging_1981/artfynd/A 43068-2024 artfynd.xlsx", "A 43068-2024")</f>
        <v/>
      </c>
      <c r="T62">
        <f>HYPERLINK("https://klasma.github.io/Logging_1981/kartor/A 43068-2024 karta.png", "A 43068-2024")</f>
        <v/>
      </c>
      <c r="V62">
        <f>HYPERLINK("https://klasma.github.io/Logging_1981/klagomål/A 43068-2024 FSC-klagomål.docx", "A 43068-2024")</f>
        <v/>
      </c>
      <c r="W62">
        <f>HYPERLINK("https://klasma.github.io/Logging_1981/klagomålsmail/A 43068-2024 FSC-klagomål mail.docx", "A 43068-2024")</f>
        <v/>
      </c>
      <c r="X62">
        <f>HYPERLINK("https://klasma.github.io/Logging_1981/tillsyn/A 43068-2024 tillsynsbegäran.docx", "A 43068-2024")</f>
        <v/>
      </c>
      <c r="Y62">
        <f>HYPERLINK("https://klasma.github.io/Logging_1981/tillsynsmail/A 43068-2024 tillsynsbegäran mail.docx", "A 43068-2024")</f>
        <v/>
      </c>
    </row>
    <row r="63" ht="15" customHeight="1">
      <c r="A63" t="inlineStr">
        <is>
          <t>A 7919-2022</t>
        </is>
      </c>
      <c r="B63" s="1" t="n">
        <v>44608</v>
      </c>
      <c r="C63" s="1" t="n">
        <v>46166</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29985-2022</t>
        </is>
      </c>
      <c r="B64" s="1" t="n">
        <v>44756</v>
      </c>
      <c r="C64" s="1" t="n">
        <v>46166</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7731-2023</t>
        </is>
      </c>
      <c r="B65" s="1" t="n">
        <v>44973</v>
      </c>
      <c r="C65" s="1" t="n">
        <v>46166</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56704-2022</t>
        </is>
      </c>
      <c r="B66" s="1" t="n">
        <v>44893.78075231481</v>
      </c>
      <c r="C66" s="1" t="n">
        <v>46166</v>
      </c>
      <c r="D66" t="inlineStr">
        <is>
          <t>VÄSTMANLANDS LÄN</t>
        </is>
      </c>
      <c r="E66" t="inlineStr">
        <is>
          <t>SALA</t>
        </is>
      </c>
      <c r="G66" t="n">
        <v>3.2</v>
      </c>
      <c r="H66" t="n">
        <v>1</v>
      </c>
      <c r="I66" t="n">
        <v>0</v>
      </c>
      <c r="J66" t="n">
        <v>0</v>
      </c>
      <c r="K66" t="n">
        <v>1</v>
      </c>
      <c r="L66" t="n">
        <v>0</v>
      </c>
      <c r="M66" t="n">
        <v>0</v>
      </c>
      <c r="N66" t="n">
        <v>0</v>
      </c>
      <c r="O66" t="n">
        <v>1</v>
      </c>
      <c r="P66" t="n">
        <v>1</v>
      </c>
      <c r="Q66" t="n">
        <v>1</v>
      </c>
      <c r="R66" s="2" t="inlineStr">
        <is>
          <t>Knärot</t>
        </is>
      </c>
      <c r="S66">
        <f>HYPERLINK("https://klasma.github.io/Logging_1981/artfynd/A 56704-2022 artfynd.xlsx", "A 56704-2022")</f>
        <v/>
      </c>
      <c r="T66">
        <f>HYPERLINK("https://klasma.github.io/Logging_1981/kartor/A 56704-2022 karta.png", "A 56704-2022")</f>
        <v/>
      </c>
      <c r="U66">
        <f>HYPERLINK("https://klasma.github.io/Logging_1981/knärot/A 56704-2022 karta knärot.png", "A 56704-2022")</f>
        <v/>
      </c>
      <c r="V66">
        <f>HYPERLINK("https://klasma.github.io/Logging_1981/klagomål/A 56704-2022 FSC-klagomål.docx", "A 56704-2022")</f>
        <v/>
      </c>
      <c r="W66">
        <f>HYPERLINK("https://klasma.github.io/Logging_1981/klagomålsmail/A 56704-2022 FSC-klagomål mail.docx", "A 56704-2022")</f>
        <v/>
      </c>
      <c r="X66">
        <f>HYPERLINK("https://klasma.github.io/Logging_1981/tillsyn/A 56704-2022 tillsynsbegäran.docx", "A 56704-2022")</f>
        <v/>
      </c>
      <c r="Y66">
        <f>HYPERLINK("https://klasma.github.io/Logging_1981/tillsynsmail/A 56704-2022 tillsynsbegäran mail.docx", "A 56704-2022")</f>
        <v/>
      </c>
    </row>
    <row r="67" ht="15" customHeight="1">
      <c r="A67" t="inlineStr">
        <is>
          <t>A 21738-2025</t>
        </is>
      </c>
      <c r="B67" s="1" t="n">
        <v>45783.59173611111</v>
      </c>
      <c r="C67" s="1" t="n">
        <v>46166</v>
      </c>
      <c r="D67" t="inlineStr">
        <is>
          <t>VÄSTMANLANDS LÄN</t>
        </is>
      </c>
      <c r="E67" t="inlineStr">
        <is>
          <t>SALA</t>
        </is>
      </c>
      <c r="G67" t="n">
        <v>2.1</v>
      </c>
      <c r="H67" t="n">
        <v>0</v>
      </c>
      <c r="I67" t="n">
        <v>0</v>
      </c>
      <c r="J67" t="n">
        <v>1</v>
      </c>
      <c r="K67" t="n">
        <v>0</v>
      </c>
      <c r="L67" t="n">
        <v>0</v>
      </c>
      <c r="M67" t="n">
        <v>0</v>
      </c>
      <c r="N67" t="n">
        <v>0</v>
      </c>
      <c r="O67" t="n">
        <v>1</v>
      </c>
      <c r="P67" t="n">
        <v>0</v>
      </c>
      <c r="Q67" t="n">
        <v>1</v>
      </c>
      <c r="R67" s="2" t="inlineStr">
        <is>
          <t>Motaggsvamp</t>
        </is>
      </c>
      <c r="S67">
        <f>HYPERLINK("https://klasma.github.io/Logging_1981/artfynd/A 21738-2025 artfynd.xlsx", "A 21738-2025")</f>
        <v/>
      </c>
      <c r="T67">
        <f>HYPERLINK("https://klasma.github.io/Logging_1981/kartor/A 21738-2025 karta.png", "A 21738-2025")</f>
        <v/>
      </c>
      <c r="V67">
        <f>HYPERLINK("https://klasma.github.io/Logging_1981/klagomål/A 21738-2025 FSC-klagomål.docx", "A 21738-2025")</f>
        <v/>
      </c>
      <c r="W67">
        <f>HYPERLINK("https://klasma.github.io/Logging_1981/klagomålsmail/A 21738-2025 FSC-klagomål mail.docx", "A 21738-2025")</f>
        <v/>
      </c>
      <c r="X67">
        <f>HYPERLINK("https://klasma.github.io/Logging_1981/tillsyn/A 21738-2025 tillsynsbegäran.docx", "A 21738-2025")</f>
        <v/>
      </c>
      <c r="Y67">
        <f>HYPERLINK("https://klasma.github.io/Logging_1981/tillsynsmail/A 21738-2025 tillsynsbegäran mail.docx", "A 21738-2025")</f>
        <v/>
      </c>
    </row>
    <row r="68" ht="15" customHeight="1">
      <c r="A68" t="inlineStr">
        <is>
          <t>A 22950-2025</t>
        </is>
      </c>
      <c r="B68" s="1" t="n">
        <v>45790.50728009259</v>
      </c>
      <c r="C68" s="1" t="n">
        <v>46166</v>
      </c>
      <c r="D68" t="inlineStr">
        <is>
          <t>VÄSTMANLANDS LÄN</t>
        </is>
      </c>
      <c r="E68" t="inlineStr">
        <is>
          <t>SALA</t>
        </is>
      </c>
      <c r="G68" t="n">
        <v>6.2</v>
      </c>
      <c r="H68" t="n">
        <v>1</v>
      </c>
      <c r="I68" t="n">
        <v>0</v>
      </c>
      <c r="J68" t="n">
        <v>1</v>
      </c>
      <c r="K68" t="n">
        <v>0</v>
      </c>
      <c r="L68" t="n">
        <v>0</v>
      </c>
      <c r="M68" t="n">
        <v>0</v>
      </c>
      <c r="N68" t="n">
        <v>0</v>
      </c>
      <c r="O68" t="n">
        <v>1</v>
      </c>
      <c r="P68" t="n">
        <v>0</v>
      </c>
      <c r="Q68" t="n">
        <v>1</v>
      </c>
      <c r="R68" s="2" t="inlineStr">
        <is>
          <t>Svartvit flugsnappare</t>
        </is>
      </c>
      <c r="S68">
        <f>HYPERLINK("https://klasma.github.io/Logging_1981/artfynd/A 22950-2025 artfynd.xlsx", "A 22950-2025")</f>
        <v/>
      </c>
      <c r="T68">
        <f>HYPERLINK("https://klasma.github.io/Logging_1981/kartor/A 22950-2025 karta.png", "A 22950-2025")</f>
        <v/>
      </c>
      <c r="V68">
        <f>HYPERLINK("https://klasma.github.io/Logging_1981/klagomål/A 22950-2025 FSC-klagomål.docx", "A 22950-2025")</f>
        <v/>
      </c>
      <c r="W68">
        <f>HYPERLINK("https://klasma.github.io/Logging_1981/klagomålsmail/A 22950-2025 FSC-klagomål mail.docx", "A 22950-2025")</f>
        <v/>
      </c>
      <c r="X68">
        <f>HYPERLINK("https://klasma.github.io/Logging_1981/tillsyn/A 22950-2025 tillsynsbegäran.docx", "A 22950-2025")</f>
        <v/>
      </c>
      <c r="Y68">
        <f>HYPERLINK("https://klasma.github.io/Logging_1981/tillsynsmail/A 22950-2025 tillsynsbegäran mail.docx", "A 22950-2025")</f>
        <v/>
      </c>
      <c r="Z68">
        <f>HYPERLINK("https://klasma.github.io/Logging_1981/fåglar/A 22950-2025 prioriterade fågelarter.docx", "A 22950-2025")</f>
        <v/>
      </c>
    </row>
    <row r="69" ht="15" customHeight="1">
      <c r="A69" t="inlineStr">
        <is>
          <t>A 32594-2025</t>
        </is>
      </c>
      <c r="B69" s="1" t="n">
        <v>45838</v>
      </c>
      <c r="C69" s="1" t="n">
        <v>46166</v>
      </c>
      <c r="D69" t="inlineStr">
        <is>
          <t>VÄSTMANLANDS LÄN</t>
        </is>
      </c>
      <c r="E69" t="inlineStr">
        <is>
          <t>SALA</t>
        </is>
      </c>
      <c r="F69" t="inlineStr">
        <is>
          <t>Bergvik skog öst AB</t>
        </is>
      </c>
      <c r="G69" t="n">
        <v>0.9</v>
      </c>
      <c r="H69" t="n">
        <v>1</v>
      </c>
      <c r="I69" t="n">
        <v>0</v>
      </c>
      <c r="J69" t="n">
        <v>0</v>
      </c>
      <c r="K69" t="n">
        <v>0</v>
      </c>
      <c r="L69" t="n">
        <v>0</v>
      </c>
      <c r="M69" t="n">
        <v>0</v>
      </c>
      <c r="N69" t="n">
        <v>0</v>
      </c>
      <c r="O69" t="n">
        <v>0</v>
      </c>
      <c r="P69" t="n">
        <v>0</v>
      </c>
      <c r="Q69" t="n">
        <v>1</v>
      </c>
      <c r="R69" s="2" t="inlineStr">
        <is>
          <t>Blåsippa</t>
        </is>
      </c>
      <c r="S69">
        <f>HYPERLINK("https://klasma.github.io/Logging_1981/artfynd/A 32594-2025 artfynd.xlsx", "A 32594-2025")</f>
        <v/>
      </c>
      <c r="T69">
        <f>HYPERLINK("https://klasma.github.io/Logging_1981/kartor/A 32594-2025 karta.png", "A 32594-2025")</f>
        <v/>
      </c>
      <c r="V69">
        <f>HYPERLINK("https://klasma.github.io/Logging_1981/klagomål/A 32594-2025 FSC-klagomål.docx", "A 32594-2025")</f>
        <v/>
      </c>
      <c r="W69">
        <f>HYPERLINK("https://klasma.github.io/Logging_1981/klagomålsmail/A 32594-2025 FSC-klagomål mail.docx", "A 32594-2025")</f>
        <v/>
      </c>
      <c r="X69">
        <f>HYPERLINK("https://klasma.github.io/Logging_1981/tillsyn/A 32594-2025 tillsynsbegäran.docx", "A 32594-2025")</f>
        <v/>
      </c>
      <c r="Y69">
        <f>HYPERLINK("https://klasma.github.io/Logging_1981/tillsynsmail/A 32594-2025 tillsynsbegäran mail.docx", "A 32594-2025")</f>
        <v/>
      </c>
    </row>
    <row r="70" ht="15" customHeight="1">
      <c r="A70" t="inlineStr">
        <is>
          <t>A 22350-2024</t>
        </is>
      </c>
      <c r="B70" s="1" t="n">
        <v>45446</v>
      </c>
      <c r="C70" s="1" t="n">
        <v>46166</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Blåsippa</t>
        </is>
      </c>
      <c r="S70">
        <f>HYPERLINK("https://klasma.github.io/Logging_1981/artfynd/A 22350-2024 artfynd.xlsx", "A 22350-2024")</f>
        <v/>
      </c>
      <c r="T70">
        <f>HYPERLINK("https://klasma.github.io/Logging_1981/kartor/A 22350-2024 karta.png", "A 22350-2024")</f>
        <v/>
      </c>
      <c r="V70">
        <f>HYPERLINK("https://klasma.github.io/Logging_1981/klagomål/A 22350-2024 FSC-klagomål.docx", "A 22350-2024")</f>
        <v/>
      </c>
      <c r="W70">
        <f>HYPERLINK("https://klasma.github.io/Logging_1981/klagomålsmail/A 22350-2024 FSC-klagomål mail.docx", "A 22350-2024")</f>
        <v/>
      </c>
      <c r="X70">
        <f>HYPERLINK("https://klasma.github.io/Logging_1981/tillsyn/A 22350-2024 tillsynsbegäran.docx", "A 22350-2024")</f>
        <v/>
      </c>
      <c r="Y70">
        <f>HYPERLINK("https://klasma.github.io/Logging_1981/tillsynsmail/A 22350-2024 tillsynsbegäran mail.docx", "A 22350-2024")</f>
        <v/>
      </c>
    </row>
    <row r="71" ht="15" customHeight="1">
      <c r="A71" t="inlineStr">
        <is>
          <t>A 73124-2021</t>
        </is>
      </c>
      <c r="B71" s="1" t="n">
        <v>44550</v>
      </c>
      <c r="C71" s="1" t="n">
        <v>46166</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46166</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46166</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46166</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34110-2022</t>
        </is>
      </c>
      <c r="B75" s="1" t="n">
        <v>44791</v>
      </c>
      <c r="C75" s="1" t="n">
        <v>46166</v>
      </c>
      <c r="D75" t="inlineStr">
        <is>
          <t>VÄSTMANLANDS LÄN</t>
        </is>
      </c>
      <c r="E75" t="inlineStr">
        <is>
          <t>SALA</t>
        </is>
      </c>
      <c r="G75" t="n">
        <v>0.2</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46166</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46166</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46166</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33762-2021</t>
        </is>
      </c>
      <c r="B79" s="1" t="n">
        <v>44378</v>
      </c>
      <c r="C79" s="1" t="n">
        <v>46166</v>
      </c>
      <c r="D79" t="inlineStr">
        <is>
          <t>VÄSTMANLANDS LÄN</t>
        </is>
      </c>
      <c r="E79" t="inlineStr">
        <is>
          <t>SALA</t>
        </is>
      </c>
      <c r="G79" t="n">
        <v>3.4</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46166</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46166</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46166</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10083-2022</t>
        </is>
      </c>
      <c r="B83" s="1" t="n">
        <v>44621.66173611111</v>
      </c>
      <c r="C83" s="1" t="n">
        <v>46166</v>
      </c>
      <c r="D83" t="inlineStr">
        <is>
          <t>VÄSTMANLANDS LÄN</t>
        </is>
      </c>
      <c r="E83" t="inlineStr">
        <is>
          <t>SALA</t>
        </is>
      </c>
      <c r="G83" t="n">
        <v>7.8</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46166</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46166</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46166</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46166</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73683-2021</t>
        </is>
      </c>
      <c r="B88" s="1" t="n">
        <v>44552.47971064815</v>
      </c>
      <c r="C88" s="1" t="n">
        <v>46166</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46166</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46166</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46166</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46166</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46166</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46166</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46166</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46166</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46166</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46166</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46166</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29228-2022</t>
        </is>
      </c>
      <c r="B100" s="1" t="n">
        <v>44750</v>
      </c>
      <c r="C100" s="1" t="n">
        <v>46166</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46166</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46166</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46166</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46166</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46166</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46166</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46166</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46166</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46166</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46166</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46166</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46166</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46166</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46166</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46166</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46166</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46166</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46166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46166</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46166</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46166</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46166</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46166</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46166</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46166</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46166</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46166</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46166</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46166</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46166</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46166</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46166</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46166</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46166</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46166</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46166</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46166</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46166</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46166</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46166</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46166</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46166</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46166</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46166</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46166</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46166</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46166</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46166</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46166</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46166</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46166</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46166</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46166</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46166</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46166</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46166</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46166</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46166</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46166</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46166</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46166</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46166</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46166</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46166</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46166</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46166</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46166</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46166</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46166</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46166</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46166</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46166</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46166</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46166</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46166</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46166</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54910-2023</t>
        </is>
      </c>
      <c r="B177" s="1" t="n">
        <v>45229</v>
      </c>
      <c r="C177" s="1" t="n">
        <v>46166</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45268.49008101852</v>
      </c>
      <c r="C178" s="1" t="n">
        <v>46166</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17458-2024</t>
        </is>
      </c>
      <c r="B179" s="1" t="n">
        <v>45415</v>
      </c>
      <c r="C179" s="1" t="n">
        <v>46166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58107-2021</t>
        </is>
      </c>
      <c r="B180" s="1" t="n">
        <v>44487</v>
      </c>
      <c r="C180" s="1" t="n">
        <v>46166</v>
      </c>
      <c r="D180" t="inlineStr">
        <is>
          <t>VÄSTMANLANDS LÄN</t>
        </is>
      </c>
      <c r="E180" t="inlineStr">
        <is>
          <t>SALA</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56543-2024</t>
        </is>
      </c>
      <c r="B181" s="1" t="n">
        <v>45625</v>
      </c>
      <c r="C181" s="1" t="n">
        <v>46166</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31950-2023</t>
        </is>
      </c>
      <c r="B182" s="1" t="n">
        <v>45107</v>
      </c>
      <c r="C182" s="1" t="n">
        <v>46166</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6097-2022</t>
        </is>
      </c>
      <c r="B183" s="1" t="n">
        <v>44599</v>
      </c>
      <c r="C183" s="1" t="n">
        <v>46166</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16767-2024</t>
        </is>
      </c>
      <c r="B184" s="1" t="n">
        <v>45411.38171296296</v>
      </c>
      <c r="C184" s="1" t="n">
        <v>46166</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13022-2023</t>
        </is>
      </c>
      <c r="B185" s="1" t="n">
        <v>45002.33291666667</v>
      </c>
      <c r="C185" s="1" t="n">
        <v>46166</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4853-2023</t>
        </is>
      </c>
      <c r="B186" s="1" t="n">
        <v>44957.73234953704</v>
      </c>
      <c r="C186" s="1" t="n">
        <v>46166</v>
      </c>
      <c r="D186" t="inlineStr">
        <is>
          <t>VÄSTMANLANDS LÄN</t>
        </is>
      </c>
      <c r="E186" t="inlineStr">
        <is>
          <t>SALA</t>
        </is>
      </c>
      <c r="G186" t="n">
        <v>2.7</v>
      </c>
      <c r="H186" t="n">
        <v>0</v>
      </c>
      <c r="I186" t="n">
        <v>0</v>
      </c>
      <c r="J186" t="n">
        <v>0</v>
      </c>
      <c r="K186" t="n">
        <v>0</v>
      </c>
      <c r="L186" t="n">
        <v>0</v>
      </c>
      <c r="M186" t="n">
        <v>0</v>
      </c>
      <c r="N186" t="n">
        <v>0</v>
      </c>
      <c r="O186" t="n">
        <v>0</v>
      </c>
      <c r="P186" t="n">
        <v>0</v>
      </c>
      <c r="Q186" t="n">
        <v>0</v>
      </c>
      <c r="R186" s="2" t="inlineStr"/>
    </row>
    <row r="187" ht="15" customHeight="1">
      <c r="A187" t="inlineStr">
        <is>
          <t>A 35462-2024</t>
        </is>
      </c>
      <c r="B187" s="1" t="n">
        <v>45531</v>
      </c>
      <c r="C187" s="1" t="n">
        <v>46166</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14024-2025</t>
        </is>
      </c>
      <c r="B188" s="1" t="n">
        <v>45740.34650462963</v>
      </c>
      <c r="C188" s="1" t="n">
        <v>46166</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12246-2023</t>
        </is>
      </c>
      <c r="B189" s="1" t="n">
        <v>44995</v>
      </c>
      <c r="C189" s="1" t="n">
        <v>46166</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33732-2023</t>
        </is>
      </c>
      <c r="B190" s="1" t="n">
        <v>45133.32409722222</v>
      </c>
      <c r="C190" s="1" t="n">
        <v>46166</v>
      </c>
      <c r="D190" t="inlineStr">
        <is>
          <t>VÄSTMANLANDS LÄN</t>
        </is>
      </c>
      <c r="E190" t="inlineStr">
        <is>
          <t>SALA</t>
        </is>
      </c>
      <c r="G190" t="n">
        <v>2</v>
      </c>
      <c r="H190" t="n">
        <v>0</v>
      </c>
      <c r="I190" t="n">
        <v>0</v>
      </c>
      <c r="J190" t="n">
        <v>0</v>
      </c>
      <c r="K190" t="n">
        <v>0</v>
      </c>
      <c r="L190" t="n">
        <v>0</v>
      </c>
      <c r="M190" t="n">
        <v>0</v>
      </c>
      <c r="N190" t="n">
        <v>0</v>
      </c>
      <c r="O190" t="n">
        <v>0</v>
      </c>
      <c r="P190" t="n">
        <v>0</v>
      </c>
      <c r="Q190" t="n">
        <v>0</v>
      </c>
      <c r="R190" s="2" t="inlineStr"/>
    </row>
    <row r="191" ht="15" customHeight="1">
      <c r="A191" t="inlineStr">
        <is>
          <t>A 42447-2022</t>
        </is>
      </c>
      <c r="B191" s="1" t="n">
        <v>44831</v>
      </c>
      <c r="C191" s="1" t="n">
        <v>46166</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59909-2024</t>
        </is>
      </c>
      <c r="B192" s="1" t="n">
        <v>45641</v>
      </c>
      <c r="C192" s="1" t="n">
        <v>46166</v>
      </c>
      <c r="D192" t="inlineStr">
        <is>
          <t>VÄSTMANLANDS LÄN</t>
        </is>
      </c>
      <c r="E192" t="inlineStr">
        <is>
          <t>SALA</t>
        </is>
      </c>
      <c r="G192" t="n">
        <v>2.1</v>
      </c>
      <c r="H192" t="n">
        <v>0</v>
      </c>
      <c r="I192" t="n">
        <v>0</v>
      </c>
      <c r="J192" t="n">
        <v>0</v>
      </c>
      <c r="K192" t="n">
        <v>0</v>
      </c>
      <c r="L192" t="n">
        <v>0</v>
      </c>
      <c r="M192" t="n">
        <v>0</v>
      </c>
      <c r="N192" t="n">
        <v>0</v>
      </c>
      <c r="O192" t="n">
        <v>0</v>
      </c>
      <c r="P192" t="n">
        <v>0</v>
      </c>
      <c r="Q192" t="n">
        <v>0</v>
      </c>
      <c r="R192" s="2" t="inlineStr"/>
    </row>
    <row r="193" ht="15" customHeight="1">
      <c r="A193" t="inlineStr">
        <is>
          <t>A 41292-2021</t>
        </is>
      </c>
      <c r="B193" s="1" t="n">
        <v>44424</v>
      </c>
      <c r="C193" s="1" t="n">
        <v>46166</v>
      </c>
      <c r="D193" t="inlineStr">
        <is>
          <t>VÄSTMANLANDS LÄN</t>
        </is>
      </c>
      <c r="E193" t="inlineStr">
        <is>
          <t>SALA</t>
        </is>
      </c>
      <c r="G193" t="n">
        <v>0.3</v>
      </c>
      <c r="H193" t="n">
        <v>0</v>
      </c>
      <c r="I193" t="n">
        <v>0</v>
      </c>
      <c r="J193" t="n">
        <v>0</v>
      </c>
      <c r="K193" t="n">
        <v>0</v>
      </c>
      <c r="L193" t="n">
        <v>0</v>
      </c>
      <c r="M193" t="n">
        <v>0</v>
      </c>
      <c r="N193" t="n">
        <v>0</v>
      </c>
      <c r="O193" t="n">
        <v>0</v>
      </c>
      <c r="P193" t="n">
        <v>0</v>
      </c>
      <c r="Q193" t="n">
        <v>0</v>
      </c>
      <c r="R193" s="2" t="inlineStr"/>
    </row>
    <row r="194" ht="15" customHeight="1">
      <c r="A194" t="inlineStr">
        <is>
          <t>A 51464-2024</t>
        </is>
      </c>
      <c r="B194" s="1" t="n">
        <v>45604.49768518518</v>
      </c>
      <c r="C194" s="1" t="n">
        <v>46166</v>
      </c>
      <c r="D194" t="inlineStr">
        <is>
          <t>VÄSTMANLANDS LÄN</t>
        </is>
      </c>
      <c r="E194" t="inlineStr">
        <is>
          <t>SALA</t>
        </is>
      </c>
      <c r="G194" t="n">
        <v>3.9</v>
      </c>
      <c r="H194" t="n">
        <v>0</v>
      </c>
      <c r="I194" t="n">
        <v>0</v>
      </c>
      <c r="J194" t="n">
        <v>0</v>
      </c>
      <c r="K194" t="n">
        <v>0</v>
      </c>
      <c r="L194" t="n">
        <v>0</v>
      </c>
      <c r="M194" t="n">
        <v>0</v>
      </c>
      <c r="N194" t="n">
        <v>0</v>
      </c>
      <c r="O194" t="n">
        <v>0</v>
      </c>
      <c r="P194" t="n">
        <v>0</v>
      </c>
      <c r="Q194" t="n">
        <v>0</v>
      </c>
      <c r="R194" s="2" t="inlineStr"/>
    </row>
    <row r="195" ht="15" customHeight="1">
      <c r="A195" t="inlineStr">
        <is>
          <t>A 69232-2021</t>
        </is>
      </c>
      <c r="B195" s="1" t="n">
        <v>44531.39696759259</v>
      </c>
      <c r="C195" s="1" t="n">
        <v>46166</v>
      </c>
      <c r="D195" t="inlineStr">
        <is>
          <t>VÄSTMANLANDS LÄN</t>
        </is>
      </c>
      <c r="E195" t="inlineStr">
        <is>
          <t>SALA</t>
        </is>
      </c>
      <c r="G195" t="n">
        <v>2.3</v>
      </c>
      <c r="H195" t="n">
        <v>0</v>
      </c>
      <c r="I195" t="n">
        <v>0</v>
      </c>
      <c r="J195" t="n">
        <v>0</v>
      </c>
      <c r="K195" t="n">
        <v>0</v>
      </c>
      <c r="L195" t="n">
        <v>0</v>
      </c>
      <c r="M195" t="n">
        <v>0</v>
      </c>
      <c r="N195" t="n">
        <v>0</v>
      </c>
      <c r="O195" t="n">
        <v>0</v>
      </c>
      <c r="P195" t="n">
        <v>0</v>
      </c>
      <c r="Q195" t="n">
        <v>0</v>
      </c>
      <c r="R195" s="2" t="inlineStr"/>
    </row>
    <row r="196" ht="15" customHeight="1">
      <c r="A196" t="inlineStr">
        <is>
          <t>A 19398-2025</t>
        </is>
      </c>
      <c r="B196" s="1" t="n">
        <v>45769</v>
      </c>
      <c r="C196" s="1" t="n">
        <v>46166</v>
      </c>
      <c r="D196" t="inlineStr">
        <is>
          <t>VÄSTMANLANDS LÄN</t>
        </is>
      </c>
      <c r="E196" t="inlineStr">
        <is>
          <t>SALA</t>
        </is>
      </c>
      <c r="G196" t="n">
        <v>0.4</v>
      </c>
      <c r="H196" t="n">
        <v>0</v>
      </c>
      <c r="I196" t="n">
        <v>0</v>
      </c>
      <c r="J196" t="n">
        <v>0</v>
      </c>
      <c r="K196" t="n">
        <v>0</v>
      </c>
      <c r="L196" t="n">
        <v>0</v>
      </c>
      <c r="M196" t="n">
        <v>0</v>
      </c>
      <c r="N196" t="n">
        <v>0</v>
      </c>
      <c r="O196" t="n">
        <v>0</v>
      </c>
      <c r="P196" t="n">
        <v>0</v>
      </c>
      <c r="Q196" t="n">
        <v>0</v>
      </c>
      <c r="R196" s="2" t="inlineStr"/>
    </row>
    <row r="197" ht="15" customHeight="1">
      <c r="A197" t="inlineStr">
        <is>
          <t>A 54603-2024</t>
        </is>
      </c>
      <c r="B197" s="1" t="n">
        <v>45617.68224537037</v>
      </c>
      <c r="C197" s="1" t="n">
        <v>46166</v>
      </c>
      <c r="D197" t="inlineStr">
        <is>
          <t>VÄSTMANLANDS LÄN</t>
        </is>
      </c>
      <c r="E197" t="inlineStr">
        <is>
          <t>SALA</t>
        </is>
      </c>
      <c r="G197" t="n">
        <v>1</v>
      </c>
      <c r="H197" t="n">
        <v>0</v>
      </c>
      <c r="I197" t="n">
        <v>0</v>
      </c>
      <c r="J197" t="n">
        <v>0</v>
      </c>
      <c r="K197" t="n">
        <v>0</v>
      </c>
      <c r="L197" t="n">
        <v>0</v>
      </c>
      <c r="M197" t="n">
        <v>0</v>
      </c>
      <c r="N197" t="n">
        <v>0</v>
      </c>
      <c r="O197" t="n">
        <v>0</v>
      </c>
      <c r="P197" t="n">
        <v>0</v>
      </c>
      <c r="Q197" t="n">
        <v>0</v>
      </c>
      <c r="R197" s="2" t="inlineStr"/>
    </row>
    <row r="198" ht="15" customHeight="1">
      <c r="A198" t="inlineStr">
        <is>
          <t>A 4797-2023</t>
        </is>
      </c>
      <c r="B198" s="1" t="n">
        <v>44957</v>
      </c>
      <c r="C198" s="1" t="n">
        <v>46166</v>
      </c>
      <c r="D198" t="inlineStr">
        <is>
          <t>VÄSTMANLANDS LÄN</t>
        </is>
      </c>
      <c r="E198" t="inlineStr">
        <is>
          <t>SALA</t>
        </is>
      </c>
      <c r="G198" t="n">
        <v>5.7</v>
      </c>
      <c r="H198" t="n">
        <v>0</v>
      </c>
      <c r="I198" t="n">
        <v>0</v>
      </c>
      <c r="J198" t="n">
        <v>0</v>
      </c>
      <c r="K198" t="n">
        <v>0</v>
      </c>
      <c r="L198" t="n">
        <v>0</v>
      </c>
      <c r="M198" t="n">
        <v>0</v>
      </c>
      <c r="N198" t="n">
        <v>0</v>
      </c>
      <c r="O198" t="n">
        <v>0</v>
      </c>
      <c r="P198" t="n">
        <v>0</v>
      </c>
      <c r="Q198" t="n">
        <v>0</v>
      </c>
      <c r="R198" s="2" t="inlineStr"/>
    </row>
    <row r="199" ht="15" customHeight="1">
      <c r="A199" t="inlineStr">
        <is>
          <t>A 1638-2023</t>
        </is>
      </c>
      <c r="B199" s="1" t="n">
        <v>44937</v>
      </c>
      <c r="C199" s="1" t="n">
        <v>46166</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61517-2024</t>
        </is>
      </c>
      <c r="B200" s="1" t="n">
        <v>45645</v>
      </c>
      <c r="C200" s="1" t="n">
        <v>46166</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15972-2024</t>
        </is>
      </c>
      <c r="B201" s="1" t="n">
        <v>45405.56498842593</v>
      </c>
      <c r="C201" s="1" t="n">
        <v>46166</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1555-2024</t>
        </is>
      </c>
      <c r="B202" s="1" t="n">
        <v>45306</v>
      </c>
      <c r="C202" s="1" t="n">
        <v>46166</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26692-2023</t>
        </is>
      </c>
      <c r="B203" s="1" t="n">
        <v>45093.360625</v>
      </c>
      <c r="C203" s="1" t="n">
        <v>46166</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37958-2024</t>
        </is>
      </c>
      <c r="B204" s="1" t="n">
        <v>45544</v>
      </c>
      <c r="C204" s="1" t="n">
        <v>46166</v>
      </c>
      <c r="D204" t="inlineStr">
        <is>
          <t>VÄSTMANLANDS LÄN</t>
        </is>
      </c>
      <c r="E204" t="inlineStr">
        <is>
          <t>SALA</t>
        </is>
      </c>
      <c r="G204" t="n">
        <v>5.6</v>
      </c>
      <c r="H204" t="n">
        <v>0</v>
      </c>
      <c r="I204" t="n">
        <v>0</v>
      </c>
      <c r="J204" t="n">
        <v>0</v>
      </c>
      <c r="K204" t="n">
        <v>0</v>
      </c>
      <c r="L204" t="n">
        <v>0</v>
      </c>
      <c r="M204" t="n">
        <v>0</v>
      </c>
      <c r="N204" t="n">
        <v>0</v>
      </c>
      <c r="O204" t="n">
        <v>0</v>
      </c>
      <c r="P204" t="n">
        <v>0</v>
      </c>
      <c r="Q204" t="n">
        <v>0</v>
      </c>
      <c r="R204" s="2" t="inlineStr"/>
    </row>
    <row r="205" ht="15" customHeight="1">
      <c r="A205" t="inlineStr">
        <is>
          <t>A 15756-2025</t>
        </is>
      </c>
      <c r="B205" s="1" t="n">
        <v>45748.56810185185</v>
      </c>
      <c r="C205" s="1" t="n">
        <v>46166</v>
      </c>
      <c r="D205" t="inlineStr">
        <is>
          <t>VÄSTMANLANDS LÄN</t>
        </is>
      </c>
      <c r="E205" t="inlineStr">
        <is>
          <t>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31000-2022</t>
        </is>
      </c>
      <c r="B206" s="1" t="n">
        <v>44768</v>
      </c>
      <c r="C206" s="1" t="n">
        <v>46166</v>
      </c>
      <c r="D206" t="inlineStr">
        <is>
          <t>VÄSTMANLANDS LÄN</t>
        </is>
      </c>
      <c r="E206" t="inlineStr">
        <is>
          <t>SALA</t>
        </is>
      </c>
      <c r="G206" t="n">
        <v>5.7</v>
      </c>
      <c r="H206" t="n">
        <v>0</v>
      </c>
      <c r="I206" t="n">
        <v>0</v>
      </c>
      <c r="J206" t="n">
        <v>0</v>
      </c>
      <c r="K206" t="n">
        <v>0</v>
      </c>
      <c r="L206" t="n">
        <v>0</v>
      </c>
      <c r="M206" t="n">
        <v>0</v>
      </c>
      <c r="N206" t="n">
        <v>0</v>
      </c>
      <c r="O206" t="n">
        <v>0</v>
      </c>
      <c r="P206" t="n">
        <v>0</v>
      </c>
      <c r="Q206" t="n">
        <v>0</v>
      </c>
      <c r="R206" s="2" t="inlineStr"/>
    </row>
    <row r="207" ht="15" customHeight="1">
      <c r="A207" t="inlineStr">
        <is>
          <t>A 27229-2022</t>
        </is>
      </c>
      <c r="B207" s="1" t="n">
        <v>44741</v>
      </c>
      <c r="C207" s="1" t="n">
        <v>46166</v>
      </c>
      <c r="D207" t="inlineStr">
        <is>
          <t>VÄSTMANLANDS LÄN</t>
        </is>
      </c>
      <c r="E207" t="inlineStr">
        <is>
          <t>SALA</t>
        </is>
      </c>
      <c r="F207" t="inlineStr">
        <is>
          <t>Kommuner</t>
        </is>
      </c>
      <c r="G207" t="n">
        <v>1.4</v>
      </c>
      <c r="H207" t="n">
        <v>0</v>
      </c>
      <c r="I207" t="n">
        <v>0</v>
      </c>
      <c r="J207" t="n">
        <v>0</v>
      </c>
      <c r="K207" t="n">
        <v>0</v>
      </c>
      <c r="L207" t="n">
        <v>0</v>
      </c>
      <c r="M207" t="n">
        <v>0</v>
      </c>
      <c r="N207" t="n">
        <v>0</v>
      </c>
      <c r="O207" t="n">
        <v>0</v>
      </c>
      <c r="P207" t="n">
        <v>0</v>
      </c>
      <c r="Q207" t="n">
        <v>0</v>
      </c>
      <c r="R207" s="2" t="inlineStr"/>
    </row>
    <row r="208" ht="15" customHeight="1">
      <c r="A208" t="inlineStr">
        <is>
          <t>A 37183-2024</t>
        </is>
      </c>
      <c r="B208" s="1" t="n">
        <v>45539</v>
      </c>
      <c r="C208" s="1" t="n">
        <v>46166</v>
      </c>
      <c r="D208" t="inlineStr">
        <is>
          <t>VÄSTMANLANDS LÄN</t>
        </is>
      </c>
      <c r="E208" t="inlineStr">
        <is>
          <t>SALA</t>
        </is>
      </c>
      <c r="G208" t="n">
        <v>1.2</v>
      </c>
      <c r="H208" t="n">
        <v>0</v>
      </c>
      <c r="I208" t="n">
        <v>0</v>
      </c>
      <c r="J208" t="n">
        <v>0</v>
      </c>
      <c r="K208" t="n">
        <v>0</v>
      </c>
      <c r="L208" t="n">
        <v>0</v>
      </c>
      <c r="M208" t="n">
        <v>0</v>
      </c>
      <c r="N208" t="n">
        <v>0</v>
      </c>
      <c r="O208" t="n">
        <v>0</v>
      </c>
      <c r="P208" t="n">
        <v>0</v>
      </c>
      <c r="Q208" t="n">
        <v>0</v>
      </c>
      <c r="R208" s="2" t="inlineStr"/>
    </row>
    <row r="209" ht="15" customHeight="1">
      <c r="A209" t="inlineStr">
        <is>
          <t>A 1793-2023</t>
        </is>
      </c>
      <c r="B209" s="1" t="n">
        <v>44937</v>
      </c>
      <c r="C209" s="1" t="n">
        <v>46166</v>
      </c>
      <c r="D209" t="inlineStr">
        <is>
          <t>VÄSTMANLANDS LÄN</t>
        </is>
      </c>
      <c r="E209" t="inlineStr">
        <is>
          <t>SALA</t>
        </is>
      </c>
      <c r="G209" t="n">
        <v>2.6</v>
      </c>
      <c r="H209" t="n">
        <v>0</v>
      </c>
      <c r="I209" t="n">
        <v>0</v>
      </c>
      <c r="J209" t="n">
        <v>0</v>
      </c>
      <c r="K209" t="n">
        <v>0</v>
      </c>
      <c r="L209" t="n">
        <v>0</v>
      </c>
      <c r="M209" t="n">
        <v>0</v>
      </c>
      <c r="N209" t="n">
        <v>0</v>
      </c>
      <c r="O209" t="n">
        <v>0</v>
      </c>
      <c r="P209" t="n">
        <v>0</v>
      </c>
      <c r="Q209" t="n">
        <v>0</v>
      </c>
      <c r="R209" s="2" t="inlineStr"/>
    </row>
    <row r="210" ht="15" customHeight="1">
      <c r="A210" t="inlineStr">
        <is>
          <t>A 14919-2025</t>
        </is>
      </c>
      <c r="B210" s="1" t="n">
        <v>45743.54256944444</v>
      </c>
      <c r="C210" s="1" t="n">
        <v>46166</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14920-2025</t>
        </is>
      </c>
      <c r="B211" s="1" t="n">
        <v>45743</v>
      </c>
      <c r="C211" s="1" t="n">
        <v>46166</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40398-2021</t>
        </is>
      </c>
      <c r="B212" s="1" t="n">
        <v>44419</v>
      </c>
      <c r="C212" s="1" t="n">
        <v>46166</v>
      </c>
      <c r="D212" t="inlineStr">
        <is>
          <t>VÄSTMANLANDS LÄN</t>
        </is>
      </c>
      <c r="E212" t="inlineStr">
        <is>
          <t>SALA</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29248-2022</t>
        </is>
      </c>
      <c r="B213" s="1" t="n">
        <v>44750</v>
      </c>
      <c r="C213" s="1" t="n">
        <v>46166</v>
      </c>
      <c r="D213" t="inlineStr">
        <is>
          <t>VÄSTMANLANDS LÄN</t>
        </is>
      </c>
      <c r="E213" t="inlineStr">
        <is>
          <t>SALA</t>
        </is>
      </c>
      <c r="G213" t="n">
        <v>1.6</v>
      </c>
      <c r="H213" t="n">
        <v>0</v>
      </c>
      <c r="I213" t="n">
        <v>0</v>
      </c>
      <c r="J213" t="n">
        <v>0</v>
      </c>
      <c r="K213" t="n">
        <v>0</v>
      </c>
      <c r="L213" t="n">
        <v>0</v>
      </c>
      <c r="M213" t="n">
        <v>0</v>
      </c>
      <c r="N213" t="n">
        <v>0</v>
      </c>
      <c r="O213" t="n">
        <v>0</v>
      </c>
      <c r="P213" t="n">
        <v>0</v>
      </c>
      <c r="Q213" t="n">
        <v>0</v>
      </c>
      <c r="R213" s="2" t="inlineStr"/>
    </row>
    <row r="214" ht="15" customHeight="1">
      <c r="A214" t="inlineStr">
        <is>
          <t>A 2900-2023</t>
        </is>
      </c>
      <c r="B214" s="1" t="n">
        <v>44943</v>
      </c>
      <c r="C214" s="1" t="n">
        <v>46166</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6030-2024</t>
        </is>
      </c>
      <c r="B215" s="1" t="n">
        <v>45336.62782407407</v>
      </c>
      <c r="C215" s="1" t="n">
        <v>46166</v>
      </c>
      <c r="D215" t="inlineStr">
        <is>
          <t>VÄSTMANLANDS LÄN</t>
        </is>
      </c>
      <c r="E215" t="inlineStr">
        <is>
          <t>SALA</t>
        </is>
      </c>
      <c r="G215" t="n">
        <v>3.9</v>
      </c>
      <c r="H215" t="n">
        <v>0</v>
      </c>
      <c r="I215" t="n">
        <v>0</v>
      </c>
      <c r="J215" t="n">
        <v>0</v>
      </c>
      <c r="K215" t="n">
        <v>0</v>
      </c>
      <c r="L215" t="n">
        <v>0</v>
      </c>
      <c r="M215" t="n">
        <v>0</v>
      </c>
      <c r="N215" t="n">
        <v>0</v>
      </c>
      <c r="O215" t="n">
        <v>0</v>
      </c>
      <c r="P215" t="n">
        <v>0</v>
      </c>
      <c r="Q215" t="n">
        <v>0</v>
      </c>
      <c r="R215" s="2" t="inlineStr"/>
    </row>
    <row r="216" ht="15" customHeight="1">
      <c r="A216" t="inlineStr">
        <is>
          <t>A 43362-2023</t>
        </is>
      </c>
      <c r="B216" s="1" t="n">
        <v>45183</v>
      </c>
      <c r="C216" s="1" t="n">
        <v>46166</v>
      </c>
      <c r="D216" t="inlineStr">
        <is>
          <t>VÄSTMANLANDS LÄN</t>
        </is>
      </c>
      <c r="E216" t="inlineStr">
        <is>
          <t>SALA</t>
        </is>
      </c>
      <c r="G216" t="n">
        <v>2</v>
      </c>
      <c r="H216" t="n">
        <v>0</v>
      </c>
      <c r="I216" t="n">
        <v>0</v>
      </c>
      <c r="J216" t="n">
        <v>0</v>
      </c>
      <c r="K216" t="n">
        <v>0</v>
      </c>
      <c r="L216" t="n">
        <v>0</v>
      </c>
      <c r="M216" t="n">
        <v>0</v>
      </c>
      <c r="N216" t="n">
        <v>0</v>
      </c>
      <c r="O216" t="n">
        <v>0</v>
      </c>
      <c r="P216" t="n">
        <v>0</v>
      </c>
      <c r="Q216" t="n">
        <v>0</v>
      </c>
      <c r="R216" s="2" t="inlineStr"/>
    </row>
    <row r="217" ht="15" customHeight="1">
      <c r="A217" t="inlineStr">
        <is>
          <t>A 52630-2022</t>
        </is>
      </c>
      <c r="B217" s="1" t="n">
        <v>44874</v>
      </c>
      <c r="C217" s="1" t="n">
        <v>46166</v>
      </c>
      <c r="D217" t="inlineStr">
        <is>
          <t>VÄSTMANLANDS LÄN</t>
        </is>
      </c>
      <c r="E217" t="inlineStr">
        <is>
          <t>SALA</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14690-2025</t>
        </is>
      </c>
      <c r="B218" s="1" t="n">
        <v>45742.58212962963</v>
      </c>
      <c r="C218" s="1" t="n">
        <v>46166</v>
      </c>
      <c r="D218" t="inlineStr">
        <is>
          <t>VÄSTMANLANDS LÄN</t>
        </is>
      </c>
      <c r="E218" t="inlineStr">
        <is>
          <t>SALA</t>
        </is>
      </c>
      <c r="G218" t="n">
        <v>3.4</v>
      </c>
      <c r="H218" t="n">
        <v>0</v>
      </c>
      <c r="I218" t="n">
        <v>0</v>
      </c>
      <c r="J218" t="n">
        <v>0</v>
      </c>
      <c r="K218" t="n">
        <v>0</v>
      </c>
      <c r="L218" t="n">
        <v>0</v>
      </c>
      <c r="M218" t="n">
        <v>0</v>
      </c>
      <c r="N218" t="n">
        <v>0</v>
      </c>
      <c r="O218" t="n">
        <v>0</v>
      </c>
      <c r="P218" t="n">
        <v>0</v>
      </c>
      <c r="Q218" t="n">
        <v>0</v>
      </c>
      <c r="R218" s="2" t="inlineStr"/>
    </row>
    <row r="219" ht="15" customHeight="1">
      <c r="A219" t="inlineStr">
        <is>
          <t>A 2521-2025</t>
        </is>
      </c>
      <c r="B219" s="1" t="n">
        <v>45674</v>
      </c>
      <c r="C219" s="1" t="n">
        <v>46166</v>
      </c>
      <c r="D219" t="inlineStr">
        <is>
          <t>VÄSTMANLANDS LÄN</t>
        </is>
      </c>
      <c r="E219" t="inlineStr">
        <is>
          <t>SALA</t>
        </is>
      </c>
      <c r="G219" t="n">
        <v>3.5</v>
      </c>
      <c r="H219" t="n">
        <v>0</v>
      </c>
      <c r="I219" t="n">
        <v>0</v>
      </c>
      <c r="J219" t="n">
        <v>0</v>
      </c>
      <c r="K219" t="n">
        <v>0</v>
      </c>
      <c r="L219" t="n">
        <v>0</v>
      </c>
      <c r="M219" t="n">
        <v>0</v>
      </c>
      <c r="N219" t="n">
        <v>0</v>
      </c>
      <c r="O219" t="n">
        <v>0</v>
      </c>
      <c r="P219" t="n">
        <v>0</v>
      </c>
      <c r="Q219" t="n">
        <v>0</v>
      </c>
      <c r="R219" s="2" t="inlineStr"/>
    </row>
    <row r="220" ht="15" customHeight="1">
      <c r="A220" t="inlineStr">
        <is>
          <t>A 60548-2024</t>
        </is>
      </c>
      <c r="B220" s="1" t="n">
        <v>45643.80978009259</v>
      </c>
      <c r="C220" s="1" t="n">
        <v>46166</v>
      </c>
      <c r="D220" t="inlineStr">
        <is>
          <t>VÄSTMANLANDS LÄN</t>
        </is>
      </c>
      <c r="E220" t="inlineStr">
        <is>
          <t>SALA</t>
        </is>
      </c>
      <c r="G220" t="n">
        <v>1.6</v>
      </c>
      <c r="H220" t="n">
        <v>0</v>
      </c>
      <c r="I220" t="n">
        <v>0</v>
      </c>
      <c r="J220" t="n">
        <v>0</v>
      </c>
      <c r="K220" t="n">
        <v>0</v>
      </c>
      <c r="L220" t="n">
        <v>0</v>
      </c>
      <c r="M220" t="n">
        <v>0</v>
      </c>
      <c r="N220" t="n">
        <v>0</v>
      </c>
      <c r="O220" t="n">
        <v>0</v>
      </c>
      <c r="P220" t="n">
        <v>0</v>
      </c>
      <c r="Q220" t="n">
        <v>0</v>
      </c>
      <c r="R220" s="2" t="inlineStr"/>
    </row>
    <row r="221" ht="15" customHeight="1">
      <c r="A221" t="inlineStr">
        <is>
          <t>A 26761-2023</t>
        </is>
      </c>
      <c r="B221" s="1" t="n">
        <v>45093</v>
      </c>
      <c r="C221" s="1" t="n">
        <v>46166</v>
      </c>
      <c r="D221" t="inlineStr">
        <is>
          <t>VÄSTMANLANDS LÄN</t>
        </is>
      </c>
      <c r="E221" t="inlineStr">
        <is>
          <t>SALA</t>
        </is>
      </c>
      <c r="G221" t="n">
        <v>4.3</v>
      </c>
      <c r="H221" t="n">
        <v>0</v>
      </c>
      <c r="I221" t="n">
        <v>0</v>
      </c>
      <c r="J221" t="n">
        <v>0</v>
      </c>
      <c r="K221" t="n">
        <v>0</v>
      </c>
      <c r="L221" t="n">
        <v>0</v>
      </c>
      <c r="M221" t="n">
        <v>0</v>
      </c>
      <c r="N221" t="n">
        <v>0</v>
      </c>
      <c r="O221" t="n">
        <v>0</v>
      </c>
      <c r="P221" t="n">
        <v>0</v>
      </c>
      <c r="Q221" t="n">
        <v>0</v>
      </c>
      <c r="R221" s="2" t="inlineStr"/>
    </row>
    <row r="222" ht="15" customHeight="1">
      <c r="A222" t="inlineStr">
        <is>
          <t>A 22397-2022</t>
        </is>
      </c>
      <c r="B222" s="1" t="n">
        <v>44713</v>
      </c>
      <c r="C222" s="1" t="n">
        <v>46166</v>
      </c>
      <c r="D222" t="inlineStr">
        <is>
          <t>VÄSTMANLANDS LÄN</t>
        </is>
      </c>
      <c r="E222" t="inlineStr">
        <is>
          <t>SALA</t>
        </is>
      </c>
      <c r="G222" t="n">
        <v>2.1</v>
      </c>
      <c r="H222" t="n">
        <v>0</v>
      </c>
      <c r="I222" t="n">
        <v>0</v>
      </c>
      <c r="J222" t="n">
        <v>0</v>
      </c>
      <c r="K222" t="n">
        <v>0</v>
      </c>
      <c r="L222" t="n">
        <v>0</v>
      </c>
      <c r="M222" t="n">
        <v>0</v>
      </c>
      <c r="N222" t="n">
        <v>0</v>
      </c>
      <c r="O222" t="n">
        <v>0</v>
      </c>
      <c r="P222" t="n">
        <v>0</v>
      </c>
      <c r="Q222" t="n">
        <v>0</v>
      </c>
      <c r="R222" s="2" t="inlineStr"/>
    </row>
    <row r="223" ht="15" customHeight="1">
      <c r="A223" t="inlineStr">
        <is>
          <t>A 55035-2023</t>
        </is>
      </c>
      <c r="B223" s="1" t="n">
        <v>45229</v>
      </c>
      <c r="C223" s="1" t="n">
        <v>46166</v>
      </c>
      <c r="D223" t="inlineStr">
        <is>
          <t>VÄSTMANLANDS LÄN</t>
        </is>
      </c>
      <c r="E223" t="inlineStr">
        <is>
          <t>SALA</t>
        </is>
      </c>
      <c r="G223" t="n">
        <v>1.1</v>
      </c>
      <c r="H223" t="n">
        <v>0</v>
      </c>
      <c r="I223" t="n">
        <v>0</v>
      </c>
      <c r="J223" t="n">
        <v>0</v>
      </c>
      <c r="K223" t="n">
        <v>0</v>
      </c>
      <c r="L223" t="n">
        <v>0</v>
      </c>
      <c r="M223" t="n">
        <v>0</v>
      </c>
      <c r="N223" t="n">
        <v>0</v>
      </c>
      <c r="O223" t="n">
        <v>0</v>
      </c>
      <c r="P223" t="n">
        <v>0</v>
      </c>
      <c r="Q223" t="n">
        <v>0</v>
      </c>
      <c r="R223" s="2" t="inlineStr"/>
    </row>
    <row r="224" ht="15" customHeight="1">
      <c r="A224" t="inlineStr">
        <is>
          <t>A 60249-2023</t>
        </is>
      </c>
      <c r="B224" s="1" t="n">
        <v>45258</v>
      </c>
      <c r="C224" s="1" t="n">
        <v>46166</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52500-2024</t>
        </is>
      </c>
      <c r="B225" s="1" t="n">
        <v>45609</v>
      </c>
      <c r="C225" s="1" t="n">
        <v>46166</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31597-2024</t>
        </is>
      </c>
      <c r="B226" s="1" t="n">
        <v>45506</v>
      </c>
      <c r="C226" s="1" t="n">
        <v>46166</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31599-2024</t>
        </is>
      </c>
      <c r="B227" s="1" t="n">
        <v>45506</v>
      </c>
      <c r="C227" s="1" t="n">
        <v>46166</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31601-2024</t>
        </is>
      </c>
      <c r="B228" s="1" t="n">
        <v>45506</v>
      </c>
      <c r="C228" s="1" t="n">
        <v>46166</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31608-2024</t>
        </is>
      </c>
      <c r="B229" s="1" t="n">
        <v>45506</v>
      </c>
      <c r="C229" s="1" t="n">
        <v>46166</v>
      </c>
      <c r="D229" t="inlineStr">
        <is>
          <t>VÄSTMANLANDS LÄN</t>
        </is>
      </c>
      <c r="E229" t="inlineStr">
        <is>
          <t>SALA</t>
        </is>
      </c>
      <c r="G229" t="n">
        <v>1.7</v>
      </c>
      <c r="H229" t="n">
        <v>0</v>
      </c>
      <c r="I229" t="n">
        <v>0</v>
      </c>
      <c r="J229" t="n">
        <v>0</v>
      </c>
      <c r="K229" t="n">
        <v>0</v>
      </c>
      <c r="L229" t="n">
        <v>0</v>
      </c>
      <c r="M229" t="n">
        <v>0</v>
      </c>
      <c r="N229" t="n">
        <v>0</v>
      </c>
      <c r="O229" t="n">
        <v>0</v>
      </c>
      <c r="P229" t="n">
        <v>0</v>
      </c>
      <c r="Q229" t="n">
        <v>0</v>
      </c>
      <c r="R229" s="2" t="inlineStr"/>
    </row>
    <row r="230" ht="15" customHeight="1">
      <c r="A230" t="inlineStr">
        <is>
          <t>A 31612-2024</t>
        </is>
      </c>
      <c r="B230" s="1" t="n">
        <v>45506</v>
      </c>
      <c r="C230" s="1" t="n">
        <v>46166</v>
      </c>
      <c r="D230" t="inlineStr">
        <is>
          <t>VÄSTMANLANDS LÄN</t>
        </is>
      </c>
      <c r="E230" t="inlineStr">
        <is>
          <t>SALA</t>
        </is>
      </c>
      <c r="G230" t="n">
        <v>3.2</v>
      </c>
      <c r="H230" t="n">
        <v>0</v>
      </c>
      <c r="I230" t="n">
        <v>0</v>
      </c>
      <c r="J230" t="n">
        <v>0</v>
      </c>
      <c r="K230" t="n">
        <v>0</v>
      </c>
      <c r="L230" t="n">
        <v>0</v>
      </c>
      <c r="M230" t="n">
        <v>0</v>
      </c>
      <c r="N230" t="n">
        <v>0</v>
      </c>
      <c r="O230" t="n">
        <v>0</v>
      </c>
      <c r="P230" t="n">
        <v>0</v>
      </c>
      <c r="Q230" t="n">
        <v>0</v>
      </c>
      <c r="R230" s="2" t="inlineStr"/>
    </row>
    <row r="231" ht="15" customHeight="1">
      <c r="A231" t="inlineStr">
        <is>
          <t>A 56949-2023</t>
        </is>
      </c>
      <c r="B231" s="1" t="n">
        <v>45244.61589120371</v>
      </c>
      <c r="C231" s="1" t="n">
        <v>46166</v>
      </c>
      <c r="D231" t="inlineStr">
        <is>
          <t>VÄSTMANLANDS LÄN</t>
        </is>
      </c>
      <c r="E231" t="inlineStr">
        <is>
          <t>SALA</t>
        </is>
      </c>
      <c r="G231" t="n">
        <v>4.7</v>
      </c>
      <c r="H231" t="n">
        <v>0</v>
      </c>
      <c r="I231" t="n">
        <v>0</v>
      </c>
      <c r="J231" t="n">
        <v>0</v>
      </c>
      <c r="K231" t="n">
        <v>0</v>
      </c>
      <c r="L231" t="n">
        <v>0</v>
      </c>
      <c r="M231" t="n">
        <v>0</v>
      </c>
      <c r="N231" t="n">
        <v>0</v>
      </c>
      <c r="O231" t="n">
        <v>0</v>
      </c>
      <c r="P231" t="n">
        <v>0</v>
      </c>
      <c r="Q231" t="n">
        <v>0</v>
      </c>
      <c r="R231" s="2" t="inlineStr"/>
    </row>
    <row r="232" ht="15" customHeight="1">
      <c r="A232" t="inlineStr">
        <is>
          <t>A 28863-2022</t>
        </is>
      </c>
      <c r="B232" s="1" t="n">
        <v>44749.50649305555</v>
      </c>
      <c r="C232" s="1" t="n">
        <v>46166</v>
      </c>
      <c r="D232" t="inlineStr">
        <is>
          <t>VÄSTMANLANDS LÄN</t>
        </is>
      </c>
      <c r="E232" t="inlineStr">
        <is>
          <t>SALA</t>
        </is>
      </c>
      <c r="G232" t="n">
        <v>1.6</v>
      </c>
      <c r="H232" t="n">
        <v>0</v>
      </c>
      <c r="I232" t="n">
        <v>0</v>
      </c>
      <c r="J232" t="n">
        <v>0</v>
      </c>
      <c r="K232" t="n">
        <v>0</v>
      </c>
      <c r="L232" t="n">
        <v>0</v>
      </c>
      <c r="M232" t="n">
        <v>0</v>
      </c>
      <c r="N232" t="n">
        <v>0</v>
      </c>
      <c r="O232" t="n">
        <v>0</v>
      </c>
      <c r="P232" t="n">
        <v>0</v>
      </c>
      <c r="Q232" t="n">
        <v>0</v>
      </c>
      <c r="R232" s="2" t="inlineStr"/>
    </row>
    <row r="233" ht="15" customHeight="1">
      <c r="A233" t="inlineStr">
        <is>
          <t>A 96-2024</t>
        </is>
      </c>
      <c r="B233" s="1" t="n">
        <v>45293.85872685185</v>
      </c>
      <c r="C233" s="1" t="n">
        <v>46166</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54118-2023</t>
        </is>
      </c>
      <c r="B234" s="1" t="n">
        <v>45232</v>
      </c>
      <c r="C234" s="1" t="n">
        <v>46166</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34814-2021</t>
        </is>
      </c>
      <c r="B235" s="1" t="n">
        <v>44383</v>
      </c>
      <c r="C235" s="1" t="n">
        <v>46166</v>
      </c>
      <c r="D235" t="inlineStr">
        <is>
          <t>VÄSTMANLANDS LÄN</t>
        </is>
      </c>
      <c r="E235" t="inlineStr">
        <is>
          <t>SALA</t>
        </is>
      </c>
      <c r="F235" t="inlineStr">
        <is>
          <t>Sveaskog</t>
        </is>
      </c>
      <c r="G235" t="n">
        <v>0.5</v>
      </c>
      <c r="H235" t="n">
        <v>0</v>
      </c>
      <c r="I235" t="n">
        <v>0</v>
      </c>
      <c r="J235" t="n">
        <v>0</v>
      </c>
      <c r="K235" t="n">
        <v>0</v>
      </c>
      <c r="L235" t="n">
        <v>0</v>
      </c>
      <c r="M235" t="n">
        <v>0</v>
      </c>
      <c r="N235" t="n">
        <v>0</v>
      </c>
      <c r="O235" t="n">
        <v>0</v>
      </c>
      <c r="P235" t="n">
        <v>0</v>
      </c>
      <c r="Q235" t="n">
        <v>0</v>
      </c>
      <c r="R235" s="2" t="inlineStr"/>
    </row>
    <row r="236" ht="15" customHeight="1">
      <c r="A236" t="inlineStr">
        <is>
          <t>A 25748-2022</t>
        </is>
      </c>
      <c r="B236" s="1" t="n">
        <v>44732</v>
      </c>
      <c r="C236" s="1" t="n">
        <v>46166</v>
      </c>
      <c r="D236" t="inlineStr">
        <is>
          <t>VÄSTMANLANDS LÄN</t>
        </is>
      </c>
      <c r="E236" t="inlineStr">
        <is>
          <t>SALA</t>
        </is>
      </c>
      <c r="G236" t="n">
        <v>7.7</v>
      </c>
      <c r="H236" t="n">
        <v>0</v>
      </c>
      <c r="I236" t="n">
        <v>0</v>
      </c>
      <c r="J236" t="n">
        <v>0</v>
      </c>
      <c r="K236" t="n">
        <v>0</v>
      </c>
      <c r="L236" t="n">
        <v>0</v>
      </c>
      <c r="M236" t="n">
        <v>0</v>
      </c>
      <c r="N236" t="n">
        <v>0</v>
      </c>
      <c r="O236" t="n">
        <v>0</v>
      </c>
      <c r="P236" t="n">
        <v>0</v>
      </c>
      <c r="Q236" t="n">
        <v>0</v>
      </c>
      <c r="R236" s="2" t="inlineStr"/>
    </row>
    <row r="237" ht="15" customHeight="1">
      <c r="A237" t="inlineStr">
        <is>
          <t>A 16760-2024</t>
        </is>
      </c>
      <c r="B237" s="1" t="n">
        <v>45411</v>
      </c>
      <c r="C237" s="1" t="n">
        <v>46166</v>
      </c>
      <c r="D237" t="inlineStr">
        <is>
          <t>VÄSTMANLANDS LÄN</t>
        </is>
      </c>
      <c r="E237" t="inlineStr">
        <is>
          <t>SALA</t>
        </is>
      </c>
      <c r="G237" t="n">
        <v>2.6</v>
      </c>
      <c r="H237" t="n">
        <v>0</v>
      </c>
      <c r="I237" t="n">
        <v>0</v>
      </c>
      <c r="J237" t="n">
        <v>0</v>
      </c>
      <c r="K237" t="n">
        <v>0</v>
      </c>
      <c r="L237" t="n">
        <v>0</v>
      </c>
      <c r="M237" t="n">
        <v>0</v>
      </c>
      <c r="N237" t="n">
        <v>0</v>
      </c>
      <c r="O237" t="n">
        <v>0</v>
      </c>
      <c r="P237" t="n">
        <v>0</v>
      </c>
      <c r="Q237" t="n">
        <v>0</v>
      </c>
      <c r="R237" s="2" t="inlineStr"/>
    </row>
    <row r="238" ht="15" customHeight="1">
      <c r="A238" t="inlineStr">
        <is>
          <t>A 988-2025</t>
        </is>
      </c>
      <c r="B238" s="1" t="n">
        <v>45666.44038194444</v>
      </c>
      <c r="C238" s="1" t="n">
        <v>46166</v>
      </c>
      <c r="D238" t="inlineStr">
        <is>
          <t>VÄSTMANLANDS LÄN</t>
        </is>
      </c>
      <c r="E238" t="inlineStr">
        <is>
          <t>SALA</t>
        </is>
      </c>
      <c r="G238" t="n">
        <v>1.3</v>
      </c>
      <c r="H238" t="n">
        <v>0</v>
      </c>
      <c r="I238" t="n">
        <v>0</v>
      </c>
      <c r="J238" t="n">
        <v>0</v>
      </c>
      <c r="K238" t="n">
        <v>0</v>
      </c>
      <c r="L238" t="n">
        <v>0</v>
      </c>
      <c r="M238" t="n">
        <v>0</v>
      </c>
      <c r="N238" t="n">
        <v>0</v>
      </c>
      <c r="O238" t="n">
        <v>0</v>
      </c>
      <c r="P238" t="n">
        <v>0</v>
      </c>
      <c r="Q238" t="n">
        <v>0</v>
      </c>
      <c r="R238" s="2" t="inlineStr"/>
    </row>
    <row r="239" ht="15" customHeight="1">
      <c r="A239" t="inlineStr">
        <is>
          <t>A 6127-2025</t>
        </is>
      </c>
      <c r="B239" s="1" t="n">
        <v>45698</v>
      </c>
      <c r="C239" s="1" t="n">
        <v>46166</v>
      </c>
      <c r="D239" t="inlineStr">
        <is>
          <t>VÄSTMANLANDS LÄN</t>
        </is>
      </c>
      <c r="E239" t="inlineStr">
        <is>
          <t>SALA</t>
        </is>
      </c>
      <c r="F239" t="inlineStr">
        <is>
          <t>Bergvik skog öst AB</t>
        </is>
      </c>
      <c r="G239" t="n">
        <v>4.3</v>
      </c>
      <c r="H239" t="n">
        <v>0</v>
      </c>
      <c r="I239" t="n">
        <v>0</v>
      </c>
      <c r="J239" t="n">
        <v>0</v>
      </c>
      <c r="K239" t="n">
        <v>0</v>
      </c>
      <c r="L239" t="n">
        <v>0</v>
      </c>
      <c r="M239" t="n">
        <v>0</v>
      </c>
      <c r="N239" t="n">
        <v>0</v>
      </c>
      <c r="O239" t="n">
        <v>0</v>
      </c>
      <c r="P239" t="n">
        <v>0</v>
      </c>
      <c r="Q239" t="n">
        <v>0</v>
      </c>
      <c r="R239" s="2" t="inlineStr"/>
    </row>
    <row r="240" ht="15" customHeight="1">
      <c r="A240" t="inlineStr">
        <is>
          <t>A 60328-2024</t>
        </is>
      </c>
      <c r="B240" s="1" t="n">
        <v>45643.38416666666</v>
      </c>
      <c r="C240" s="1" t="n">
        <v>46166</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25897-2024</t>
        </is>
      </c>
      <c r="B241" s="1" t="n">
        <v>45467.54435185185</v>
      </c>
      <c r="C241" s="1" t="n">
        <v>46166</v>
      </c>
      <c r="D241" t="inlineStr">
        <is>
          <t>VÄSTMANLANDS LÄN</t>
        </is>
      </c>
      <c r="E241" t="inlineStr">
        <is>
          <t>SALA</t>
        </is>
      </c>
      <c r="G241" t="n">
        <v>9.9</v>
      </c>
      <c r="H241" t="n">
        <v>0</v>
      </c>
      <c r="I241" t="n">
        <v>0</v>
      </c>
      <c r="J241" t="n">
        <v>0</v>
      </c>
      <c r="K241" t="n">
        <v>0</v>
      </c>
      <c r="L241" t="n">
        <v>0</v>
      </c>
      <c r="M241" t="n">
        <v>0</v>
      </c>
      <c r="N241" t="n">
        <v>0</v>
      </c>
      <c r="O241" t="n">
        <v>0</v>
      </c>
      <c r="P241" t="n">
        <v>0</v>
      </c>
      <c r="Q241" t="n">
        <v>0</v>
      </c>
      <c r="R241" s="2" t="inlineStr"/>
    </row>
    <row r="242" ht="15" customHeight="1">
      <c r="A242" t="inlineStr">
        <is>
          <t>A 31072-2021</t>
        </is>
      </c>
      <c r="B242" s="1" t="n">
        <v>44368</v>
      </c>
      <c r="C242" s="1" t="n">
        <v>46166</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35016-2024</t>
        </is>
      </c>
      <c r="B243" s="1" t="n">
        <v>45527.59115740741</v>
      </c>
      <c r="C243" s="1" t="n">
        <v>46166</v>
      </c>
      <c r="D243" t="inlineStr">
        <is>
          <t>VÄSTMANLANDS LÄN</t>
        </is>
      </c>
      <c r="E243" t="inlineStr">
        <is>
          <t>SALA</t>
        </is>
      </c>
      <c r="G243" t="n">
        <v>0.4</v>
      </c>
      <c r="H243" t="n">
        <v>0</v>
      </c>
      <c r="I243" t="n">
        <v>0</v>
      </c>
      <c r="J243" t="n">
        <v>0</v>
      </c>
      <c r="K243" t="n">
        <v>0</v>
      </c>
      <c r="L243" t="n">
        <v>0</v>
      </c>
      <c r="M243" t="n">
        <v>0</v>
      </c>
      <c r="N243" t="n">
        <v>0</v>
      </c>
      <c r="O243" t="n">
        <v>0</v>
      </c>
      <c r="P243" t="n">
        <v>0</v>
      </c>
      <c r="Q243" t="n">
        <v>0</v>
      </c>
      <c r="R243" s="2" t="inlineStr"/>
    </row>
    <row r="244" ht="15" customHeight="1">
      <c r="A244" t="inlineStr">
        <is>
          <t>A 3733-2023</t>
        </is>
      </c>
      <c r="B244" s="1" t="n">
        <v>44951.42501157407</v>
      </c>
      <c r="C244" s="1" t="n">
        <v>46166</v>
      </c>
      <c r="D244" t="inlineStr">
        <is>
          <t>VÄSTMANLANDS LÄN</t>
        </is>
      </c>
      <c r="E244" t="inlineStr">
        <is>
          <t>SALA</t>
        </is>
      </c>
      <c r="G244" t="n">
        <v>3.1</v>
      </c>
      <c r="H244" t="n">
        <v>0</v>
      </c>
      <c r="I244" t="n">
        <v>0</v>
      </c>
      <c r="J244" t="n">
        <v>0</v>
      </c>
      <c r="K244" t="n">
        <v>0</v>
      </c>
      <c r="L244" t="n">
        <v>0</v>
      </c>
      <c r="M244" t="n">
        <v>0</v>
      </c>
      <c r="N244" t="n">
        <v>0</v>
      </c>
      <c r="O244" t="n">
        <v>0</v>
      </c>
      <c r="P244" t="n">
        <v>0</v>
      </c>
      <c r="Q244" t="n">
        <v>0</v>
      </c>
      <c r="R244" s="2" t="inlineStr"/>
    </row>
    <row r="245" ht="15" customHeight="1">
      <c r="A245" t="inlineStr">
        <is>
          <t>A 6136-2025</t>
        </is>
      </c>
      <c r="B245" s="1" t="n">
        <v>45698.37601851852</v>
      </c>
      <c r="C245" s="1" t="n">
        <v>46166</v>
      </c>
      <c r="D245" t="inlineStr">
        <is>
          <t>VÄSTMANLANDS LÄN</t>
        </is>
      </c>
      <c r="E245" t="inlineStr">
        <is>
          <t>SALA</t>
        </is>
      </c>
      <c r="F245" t="inlineStr">
        <is>
          <t>Bergvik skog öst AB</t>
        </is>
      </c>
      <c r="G245" t="n">
        <v>2.2</v>
      </c>
      <c r="H245" t="n">
        <v>0</v>
      </c>
      <c r="I245" t="n">
        <v>0</v>
      </c>
      <c r="J245" t="n">
        <v>0</v>
      </c>
      <c r="K245" t="n">
        <v>0</v>
      </c>
      <c r="L245" t="n">
        <v>0</v>
      </c>
      <c r="M245" t="n">
        <v>0</v>
      </c>
      <c r="N245" t="n">
        <v>0</v>
      </c>
      <c r="O245" t="n">
        <v>0</v>
      </c>
      <c r="P245" t="n">
        <v>0</v>
      </c>
      <c r="Q245" t="n">
        <v>0</v>
      </c>
      <c r="R245" s="2" t="inlineStr"/>
    </row>
    <row r="246" ht="15" customHeight="1">
      <c r="A246" t="inlineStr">
        <is>
          <t>A 6190-2025</t>
        </is>
      </c>
      <c r="B246" s="1" t="n">
        <v>45698</v>
      </c>
      <c r="C246" s="1" t="n">
        <v>46166</v>
      </c>
      <c r="D246" t="inlineStr">
        <is>
          <t>VÄSTMANLANDS LÄN</t>
        </is>
      </c>
      <c r="E246" t="inlineStr">
        <is>
          <t>SALA</t>
        </is>
      </c>
      <c r="F246" t="inlineStr">
        <is>
          <t>Bergvik skog öst AB</t>
        </is>
      </c>
      <c r="G246" t="n">
        <v>4.6</v>
      </c>
      <c r="H246" t="n">
        <v>0</v>
      </c>
      <c r="I246" t="n">
        <v>0</v>
      </c>
      <c r="J246" t="n">
        <v>0</v>
      </c>
      <c r="K246" t="n">
        <v>0</v>
      </c>
      <c r="L246" t="n">
        <v>0</v>
      </c>
      <c r="M246" t="n">
        <v>0</v>
      </c>
      <c r="N246" t="n">
        <v>0</v>
      </c>
      <c r="O246" t="n">
        <v>0</v>
      </c>
      <c r="P246" t="n">
        <v>0</v>
      </c>
      <c r="Q246" t="n">
        <v>0</v>
      </c>
      <c r="R246" s="2" t="inlineStr"/>
    </row>
    <row r="247" ht="15" customHeight="1">
      <c r="A247" t="inlineStr">
        <is>
          <t>A 57371-2022</t>
        </is>
      </c>
      <c r="B247" s="1" t="n">
        <v>44896.43832175926</v>
      </c>
      <c r="C247" s="1" t="n">
        <v>46166</v>
      </c>
      <c r="D247" t="inlineStr">
        <is>
          <t>VÄSTMANLANDS LÄN</t>
        </is>
      </c>
      <c r="E247" t="inlineStr">
        <is>
          <t>SALA</t>
        </is>
      </c>
      <c r="G247" t="n">
        <v>0.7</v>
      </c>
      <c r="H247" t="n">
        <v>0</v>
      </c>
      <c r="I247" t="n">
        <v>0</v>
      </c>
      <c r="J247" t="n">
        <v>0</v>
      </c>
      <c r="K247" t="n">
        <v>0</v>
      </c>
      <c r="L247" t="n">
        <v>0</v>
      </c>
      <c r="M247" t="n">
        <v>0</v>
      </c>
      <c r="N247" t="n">
        <v>0</v>
      </c>
      <c r="O247" t="n">
        <v>0</v>
      </c>
      <c r="P247" t="n">
        <v>0</v>
      </c>
      <c r="Q247" t="n">
        <v>0</v>
      </c>
      <c r="R247" s="2" t="inlineStr"/>
    </row>
    <row r="248" ht="15" customHeight="1">
      <c r="A248" t="inlineStr">
        <is>
          <t>A 55784-2024</t>
        </is>
      </c>
      <c r="B248" s="1" t="n">
        <v>45623</v>
      </c>
      <c r="C248" s="1" t="n">
        <v>46166</v>
      </c>
      <c r="D248" t="inlineStr">
        <is>
          <t>VÄSTMANLANDS LÄN</t>
        </is>
      </c>
      <c r="E248" t="inlineStr">
        <is>
          <t>SALA</t>
        </is>
      </c>
      <c r="F248" t="inlineStr">
        <is>
          <t>Bergvik skog öst AB</t>
        </is>
      </c>
      <c r="G248" t="n">
        <v>28.4</v>
      </c>
      <c r="H248" t="n">
        <v>0</v>
      </c>
      <c r="I248" t="n">
        <v>0</v>
      </c>
      <c r="J248" t="n">
        <v>0</v>
      </c>
      <c r="K248" t="n">
        <v>0</v>
      </c>
      <c r="L248" t="n">
        <v>0</v>
      </c>
      <c r="M248" t="n">
        <v>0</v>
      </c>
      <c r="N248" t="n">
        <v>0</v>
      </c>
      <c r="O248" t="n">
        <v>0</v>
      </c>
      <c r="P248" t="n">
        <v>0</v>
      </c>
      <c r="Q248" t="n">
        <v>0</v>
      </c>
      <c r="R248" s="2" t="inlineStr"/>
    </row>
    <row r="249" ht="15" customHeight="1">
      <c r="A249" t="inlineStr">
        <is>
          <t>A 7196-2025</t>
        </is>
      </c>
      <c r="B249" s="1" t="n">
        <v>45702</v>
      </c>
      <c r="C249" s="1" t="n">
        <v>46166</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19803-2024</t>
        </is>
      </c>
      <c r="B250" s="1" t="n">
        <v>45432</v>
      </c>
      <c r="C250" s="1" t="n">
        <v>46166</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40597-2022</t>
        </is>
      </c>
      <c r="B251" s="1" t="n">
        <v>44823.84862268518</v>
      </c>
      <c r="C251" s="1" t="n">
        <v>46166</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15099-2025</t>
        </is>
      </c>
      <c r="B252" s="1" t="n">
        <v>45744.3434837963</v>
      </c>
      <c r="C252" s="1" t="n">
        <v>46166</v>
      </c>
      <c r="D252" t="inlineStr">
        <is>
          <t>VÄSTMANLANDS LÄN</t>
        </is>
      </c>
      <c r="E252" t="inlineStr">
        <is>
          <t>SALA</t>
        </is>
      </c>
      <c r="F252" t="inlineStr">
        <is>
          <t>Sveaskog</t>
        </is>
      </c>
      <c r="G252" t="n">
        <v>14.4</v>
      </c>
      <c r="H252" t="n">
        <v>0</v>
      </c>
      <c r="I252" t="n">
        <v>0</v>
      </c>
      <c r="J252" t="n">
        <v>0</v>
      </c>
      <c r="K252" t="n">
        <v>0</v>
      </c>
      <c r="L252" t="n">
        <v>0</v>
      </c>
      <c r="M252" t="n">
        <v>0</v>
      </c>
      <c r="N252" t="n">
        <v>0</v>
      </c>
      <c r="O252" t="n">
        <v>0</v>
      </c>
      <c r="P252" t="n">
        <v>0</v>
      </c>
      <c r="Q252" t="n">
        <v>0</v>
      </c>
      <c r="R252" s="2" t="inlineStr"/>
    </row>
    <row r="253" ht="15" customHeight="1">
      <c r="A253" t="inlineStr">
        <is>
          <t>A 15744-2025</t>
        </is>
      </c>
      <c r="B253" s="1" t="n">
        <v>45748</v>
      </c>
      <c r="C253" s="1" t="n">
        <v>46166</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64925-2023</t>
        </is>
      </c>
      <c r="B254" s="1" t="n">
        <v>45282</v>
      </c>
      <c r="C254" s="1" t="n">
        <v>46166</v>
      </c>
      <c r="D254" t="inlineStr">
        <is>
          <t>VÄSTMANLANDS LÄN</t>
        </is>
      </c>
      <c r="E254" t="inlineStr">
        <is>
          <t>SALA</t>
        </is>
      </c>
      <c r="G254" t="n">
        <v>2.5</v>
      </c>
      <c r="H254" t="n">
        <v>0</v>
      </c>
      <c r="I254" t="n">
        <v>0</v>
      </c>
      <c r="J254" t="n">
        <v>0</v>
      </c>
      <c r="K254" t="n">
        <v>0</v>
      </c>
      <c r="L254" t="n">
        <v>0</v>
      </c>
      <c r="M254" t="n">
        <v>0</v>
      </c>
      <c r="N254" t="n">
        <v>0</v>
      </c>
      <c r="O254" t="n">
        <v>0</v>
      </c>
      <c r="P254" t="n">
        <v>0</v>
      </c>
      <c r="Q254" t="n">
        <v>0</v>
      </c>
      <c r="R254" s="2" t="inlineStr"/>
    </row>
    <row r="255" ht="15" customHeight="1">
      <c r="A255" t="inlineStr">
        <is>
          <t>A 23406-2024</t>
        </is>
      </c>
      <c r="B255" s="1" t="n">
        <v>45453.58296296297</v>
      </c>
      <c r="C255" s="1" t="n">
        <v>46166</v>
      </c>
      <c r="D255" t="inlineStr">
        <is>
          <t>VÄSTMANLANDS LÄN</t>
        </is>
      </c>
      <c r="E255" t="inlineStr">
        <is>
          <t>SALA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16133-2025</t>
        </is>
      </c>
      <c r="B256" s="1" t="n">
        <v>45750</v>
      </c>
      <c r="C256" s="1" t="n">
        <v>46166</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38574-2025</t>
        </is>
      </c>
      <c r="B257" s="1" t="n">
        <v>45884.46390046296</v>
      </c>
      <c r="C257" s="1" t="n">
        <v>46166</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60036-2024</t>
        </is>
      </c>
      <c r="B258" s="1" t="n">
        <v>45642.46434027778</v>
      </c>
      <c r="C258" s="1" t="n">
        <v>46166</v>
      </c>
      <c r="D258" t="inlineStr">
        <is>
          <t>VÄSTMANLANDS LÄN</t>
        </is>
      </c>
      <c r="E258" t="inlineStr">
        <is>
          <t>SALA</t>
        </is>
      </c>
      <c r="G258" t="n">
        <v>2.5</v>
      </c>
      <c r="H258" t="n">
        <v>0</v>
      </c>
      <c r="I258" t="n">
        <v>0</v>
      </c>
      <c r="J258" t="n">
        <v>0</v>
      </c>
      <c r="K258" t="n">
        <v>0</v>
      </c>
      <c r="L258" t="n">
        <v>0</v>
      </c>
      <c r="M258" t="n">
        <v>0</v>
      </c>
      <c r="N258" t="n">
        <v>0</v>
      </c>
      <c r="O258" t="n">
        <v>0</v>
      </c>
      <c r="P258" t="n">
        <v>0</v>
      </c>
      <c r="Q258" t="n">
        <v>0</v>
      </c>
      <c r="R258" s="2" t="inlineStr"/>
    </row>
    <row r="259" ht="15" customHeight="1">
      <c r="A259" t="inlineStr">
        <is>
          <t>A 52827-2024</t>
        </is>
      </c>
      <c r="B259" s="1" t="n">
        <v>45610</v>
      </c>
      <c r="C259" s="1" t="n">
        <v>46166</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16354-2026</t>
        </is>
      </c>
      <c r="B260" s="1" t="n">
        <v>46111.5968287037</v>
      </c>
      <c r="C260" s="1" t="n">
        <v>46166</v>
      </c>
      <c r="D260" t="inlineStr">
        <is>
          <t>VÄSTMANLANDS LÄN</t>
        </is>
      </c>
      <c r="E260" t="inlineStr">
        <is>
          <t>SALA</t>
        </is>
      </c>
      <c r="G260" t="n">
        <v>5.2</v>
      </c>
      <c r="H260" t="n">
        <v>0</v>
      </c>
      <c r="I260" t="n">
        <v>0</v>
      </c>
      <c r="J260" t="n">
        <v>0</v>
      </c>
      <c r="K260" t="n">
        <v>0</v>
      </c>
      <c r="L260" t="n">
        <v>0</v>
      </c>
      <c r="M260" t="n">
        <v>0</v>
      </c>
      <c r="N260" t="n">
        <v>0</v>
      </c>
      <c r="O260" t="n">
        <v>0</v>
      </c>
      <c r="P260" t="n">
        <v>0</v>
      </c>
      <c r="Q260" t="n">
        <v>0</v>
      </c>
      <c r="R260" s="2" t="inlineStr"/>
    </row>
    <row r="261" ht="15" customHeight="1">
      <c r="A261" t="inlineStr">
        <is>
          <t>A 16367-2026</t>
        </is>
      </c>
      <c r="B261" s="1" t="n">
        <v>46111.61380787037</v>
      </c>
      <c r="C261" s="1" t="n">
        <v>46166</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31864-2025</t>
        </is>
      </c>
      <c r="B262" s="1" t="n">
        <v>45834.63819444444</v>
      </c>
      <c r="C262" s="1" t="n">
        <v>46166</v>
      </c>
      <c r="D262" t="inlineStr">
        <is>
          <t>VÄSTMANLANDS LÄN</t>
        </is>
      </c>
      <c r="E262" t="inlineStr">
        <is>
          <t>SALA</t>
        </is>
      </c>
      <c r="G262" t="n">
        <v>6.3</v>
      </c>
      <c r="H262" t="n">
        <v>0</v>
      </c>
      <c r="I262" t="n">
        <v>0</v>
      </c>
      <c r="J262" t="n">
        <v>0</v>
      </c>
      <c r="K262" t="n">
        <v>0</v>
      </c>
      <c r="L262" t="n">
        <v>0</v>
      </c>
      <c r="M262" t="n">
        <v>0</v>
      </c>
      <c r="N262" t="n">
        <v>0</v>
      </c>
      <c r="O262" t="n">
        <v>0</v>
      </c>
      <c r="P262" t="n">
        <v>0</v>
      </c>
      <c r="Q262" t="n">
        <v>0</v>
      </c>
      <c r="R262" s="2" t="inlineStr"/>
    </row>
    <row r="263" ht="15" customHeight="1">
      <c r="A263" t="inlineStr">
        <is>
          <t>A 16328-2025</t>
        </is>
      </c>
      <c r="B263" s="1" t="n">
        <v>45751</v>
      </c>
      <c r="C263" s="1" t="n">
        <v>46166</v>
      </c>
      <c r="D263" t="inlineStr">
        <is>
          <t>VÄSTMANLANDS LÄN</t>
        </is>
      </c>
      <c r="E263" t="inlineStr">
        <is>
          <t>SALA</t>
        </is>
      </c>
      <c r="G263" t="n">
        <v>2.9</v>
      </c>
      <c r="H263" t="n">
        <v>0</v>
      </c>
      <c r="I263" t="n">
        <v>0</v>
      </c>
      <c r="J263" t="n">
        <v>0</v>
      </c>
      <c r="K263" t="n">
        <v>0</v>
      </c>
      <c r="L263" t="n">
        <v>0</v>
      </c>
      <c r="M263" t="n">
        <v>0</v>
      </c>
      <c r="N263" t="n">
        <v>0</v>
      </c>
      <c r="O263" t="n">
        <v>0</v>
      </c>
      <c r="P263" t="n">
        <v>0</v>
      </c>
      <c r="Q263" t="n">
        <v>0</v>
      </c>
      <c r="R263" s="2" t="inlineStr"/>
    </row>
    <row r="264" ht="15" customHeight="1">
      <c r="A264" t="inlineStr">
        <is>
          <t>A 16369-2026</t>
        </is>
      </c>
      <c r="B264" s="1" t="n">
        <v>46111</v>
      </c>
      <c r="C264" s="1" t="n">
        <v>46166</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39167-2025</t>
        </is>
      </c>
      <c r="B265" s="1" t="n">
        <v>45888</v>
      </c>
      <c r="C265" s="1" t="n">
        <v>46166</v>
      </c>
      <c r="D265" t="inlineStr">
        <is>
          <t>VÄSTMANLANDS LÄN</t>
        </is>
      </c>
      <c r="E265" t="inlineStr">
        <is>
          <t>SALA</t>
        </is>
      </c>
      <c r="G265" t="n">
        <v>5.5</v>
      </c>
      <c r="H265" t="n">
        <v>0</v>
      </c>
      <c r="I265" t="n">
        <v>0</v>
      </c>
      <c r="J265" t="n">
        <v>0</v>
      </c>
      <c r="K265" t="n">
        <v>0</v>
      </c>
      <c r="L265" t="n">
        <v>0</v>
      </c>
      <c r="M265" t="n">
        <v>0</v>
      </c>
      <c r="N265" t="n">
        <v>0</v>
      </c>
      <c r="O265" t="n">
        <v>0</v>
      </c>
      <c r="P265" t="n">
        <v>0</v>
      </c>
      <c r="Q265" t="n">
        <v>0</v>
      </c>
      <c r="R265" s="2" t="inlineStr"/>
    </row>
    <row r="266" ht="15" customHeight="1">
      <c r="A266" t="inlineStr">
        <is>
          <t>A 39182-2025</t>
        </is>
      </c>
      <c r="B266" s="1" t="n">
        <v>45888.66204861111</v>
      </c>
      <c r="C266" s="1" t="n">
        <v>46166</v>
      </c>
      <c r="D266" t="inlineStr">
        <is>
          <t>VÄSTMANLANDS LÄN</t>
        </is>
      </c>
      <c r="E266" t="inlineStr">
        <is>
          <t>SALA</t>
        </is>
      </c>
      <c r="F266" t="inlineStr">
        <is>
          <t>Bergvik skog öst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35775-2025</t>
        </is>
      </c>
      <c r="B267" s="1" t="n">
        <v>45860</v>
      </c>
      <c r="C267" s="1" t="n">
        <v>46166</v>
      </c>
      <c r="D267" t="inlineStr">
        <is>
          <t>VÄSTMANLANDS LÄN</t>
        </is>
      </c>
      <c r="E267" t="inlineStr">
        <is>
          <t>SALA</t>
        </is>
      </c>
      <c r="G267" t="n">
        <v>2.6</v>
      </c>
      <c r="H267" t="n">
        <v>0</v>
      </c>
      <c r="I267" t="n">
        <v>0</v>
      </c>
      <c r="J267" t="n">
        <v>0</v>
      </c>
      <c r="K267" t="n">
        <v>0</v>
      </c>
      <c r="L267" t="n">
        <v>0</v>
      </c>
      <c r="M267" t="n">
        <v>0</v>
      </c>
      <c r="N267" t="n">
        <v>0</v>
      </c>
      <c r="O267" t="n">
        <v>0</v>
      </c>
      <c r="P267" t="n">
        <v>0</v>
      </c>
      <c r="Q267" t="n">
        <v>0</v>
      </c>
      <c r="R267" s="2" t="inlineStr"/>
    </row>
    <row r="268" ht="15" customHeight="1">
      <c r="A268" t="inlineStr">
        <is>
          <t>A 35779-2025</t>
        </is>
      </c>
      <c r="B268" s="1" t="n">
        <v>45860.69495370371</v>
      </c>
      <c r="C268" s="1" t="n">
        <v>46166</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16598-2026</t>
        </is>
      </c>
      <c r="B269" s="1" t="n">
        <v>46112.59598379629</v>
      </c>
      <c r="C269" s="1" t="n">
        <v>46166</v>
      </c>
      <c r="D269" t="inlineStr">
        <is>
          <t>VÄSTMANLANDS LÄN</t>
        </is>
      </c>
      <c r="E269" t="inlineStr">
        <is>
          <t>SALA</t>
        </is>
      </c>
      <c r="G269" t="n">
        <v>1.5</v>
      </c>
      <c r="H269" t="n">
        <v>0</v>
      </c>
      <c r="I269" t="n">
        <v>0</v>
      </c>
      <c r="J269" t="n">
        <v>0</v>
      </c>
      <c r="K269" t="n">
        <v>0</v>
      </c>
      <c r="L269" t="n">
        <v>0</v>
      </c>
      <c r="M269" t="n">
        <v>0</v>
      </c>
      <c r="N269" t="n">
        <v>0</v>
      </c>
      <c r="O269" t="n">
        <v>0</v>
      </c>
      <c r="P269" t="n">
        <v>0</v>
      </c>
      <c r="Q269" t="n">
        <v>0</v>
      </c>
      <c r="R269" s="2" t="inlineStr"/>
    </row>
    <row r="270" ht="15" customHeight="1">
      <c r="A270" t="inlineStr">
        <is>
          <t>A 16364-2026</t>
        </is>
      </c>
      <c r="B270" s="1" t="n">
        <v>46111.6115625</v>
      </c>
      <c r="C270" s="1" t="n">
        <v>46166</v>
      </c>
      <c r="D270" t="inlineStr">
        <is>
          <t>VÄSTMANLANDS LÄN</t>
        </is>
      </c>
      <c r="E270" t="inlineStr">
        <is>
          <t>SALA</t>
        </is>
      </c>
      <c r="G270" t="n">
        <v>4.7</v>
      </c>
      <c r="H270" t="n">
        <v>0</v>
      </c>
      <c r="I270" t="n">
        <v>0</v>
      </c>
      <c r="J270" t="n">
        <v>0</v>
      </c>
      <c r="K270" t="n">
        <v>0</v>
      </c>
      <c r="L270" t="n">
        <v>0</v>
      </c>
      <c r="M270" t="n">
        <v>0</v>
      </c>
      <c r="N270" t="n">
        <v>0</v>
      </c>
      <c r="O270" t="n">
        <v>0</v>
      </c>
      <c r="P270" t="n">
        <v>0</v>
      </c>
      <c r="Q270" t="n">
        <v>0</v>
      </c>
      <c r="R270" s="2" t="inlineStr"/>
    </row>
    <row r="271" ht="15" customHeight="1">
      <c r="A271" t="inlineStr">
        <is>
          <t>A 35776-2025</t>
        </is>
      </c>
      <c r="B271" s="1" t="n">
        <v>45860.69211805556</v>
      </c>
      <c r="C271" s="1" t="n">
        <v>46166</v>
      </c>
      <c r="D271" t="inlineStr">
        <is>
          <t>VÄSTMANLANDS LÄN</t>
        </is>
      </c>
      <c r="E271" t="inlineStr">
        <is>
          <t>SALA</t>
        </is>
      </c>
      <c r="G271" t="n">
        <v>14.2</v>
      </c>
      <c r="H271" t="n">
        <v>0</v>
      </c>
      <c r="I271" t="n">
        <v>0</v>
      </c>
      <c r="J271" t="n">
        <v>0</v>
      </c>
      <c r="K271" t="n">
        <v>0</v>
      </c>
      <c r="L271" t="n">
        <v>0</v>
      </c>
      <c r="M271" t="n">
        <v>0</v>
      </c>
      <c r="N271" t="n">
        <v>0</v>
      </c>
      <c r="O271" t="n">
        <v>0</v>
      </c>
      <c r="P271" t="n">
        <v>0</v>
      </c>
      <c r="Q271" t="n">
        <v>0</v>
      </c>
      <c r="R271" s="2" t="inlineStr"/>
    </row>
    <row r="272" ht="15" customHeight="1">
      <c r="A272" t="inlineStr">
        <is>
          <t>A 35715-2025</t>
        </is>
      </c>
      <c r="B272" s="1" t="n">
        <v>45860.42148148148</v>
      </c>
      <c r="C272" s="1" t="n">
        <v>46166</v>
      </c>
      <c r="D272" t="inlineStr">
        <is>
          <t>VÄSTMANLANDS LÄN</t>
        </is>
      </c>
      <c r="E272" t="inlineStr">
        <is>
          <t>SALA</t>
        </is>
      </c>
      <c r="G272" t="n">
        <v>3.8</v>
      </c>
      <c r="H272" t="n">
        <v>0</v>
      </c>
      <c r="I272" t="n">
        <v>0</v>
      </c>
      <c r="J272" t="n">
        <v>0</v>
      </c>
      <c r="K272" t="n">
        <v>0</v>
      </c>
      <c r="L272" t="n">
        <v>0</v>
      </c>
      <c r="M272" t="n">
        <v>0</v>
      </c>
      <c r="N272" t="n">
        <v>0</v>
      </c>
      <c r="O272" t="n">
        <v>0</v>
      </c>
      <c r="P272" t="n">
        <v>0</v>
      </c>
      <c r="Q272" t="n">
        <v>0</v>
      </c>
      <c r="R272" s="2" t="inlineStr"/>
    </row>
    <row r="273" ht="15" customHeight="1">
      <c r="A273" t="inlineStr">
        <is>
          <t>A 35651-2025</t>
        </is>
      </c>
      <c r="B273" s="1" t="n">
        <v>45859.52435185185</v>
      </c>
      <c r="C273" s="1" t="n">
        <v>46166</v>
      </c>
      <c r="D273" t="inlineStr">
        <is>
          <t>VÄSTMANLANDS LÄN</t>
        </is>
      </c>
      <c r="E273" t="inlineStr">
        <is>
          <t>SALA</t>
        </is>
      </c>
      <c r="G273" t="n">
        <v>6.3</v>
      </c>
      <c r="H273" t="n">
        <v>0</v>
      </c>
      <c r="I273" t="n">
        <v>0</v>
      </c>
      <c r="J273" t="n">
        <v>0</v>
      </c>
      <c r="K273" t="n">
        <v>0</v>
      </c>
      <c r="L273" t="n">
        <v>0</v>
      </c>
      <c r="M273" t="n">
        <v>0</v>
      </c>
      <c r="N273" t="n">
        <v>0</v>
      </c>
      <c r="O273" t="n">
        <v>0</v>
      </c>
      <c r="P273" t="n">
        <v>0</v>
      </c>
      <c r="Q273" t="n">
        <v>0</v>
      </c>
      <c r="R273" s="2" t="inlineStr"/>
    </row>
    <row r="274" ht="15" customHeight="1">
      <c r="A274" t="inlineStr">
        <is>
          <t>A 35774-2025</t>
        </is>
      </c>
      <c r="B274" s="1" t="n">
        <v>45860.68780092592</v>
      </c>
      <c r="C274" s="1" t="n">
        <v>46166</v>
      </c>
      <c r="D274" t="inlineStr">
        <is>
          <t>VÄSTMANLANDS LÄN</t>
        </is>
      </c>
      <c r="E274" t="inlineStr">
        <is>
          <t>SALA</t>
        </is>
      </c>
      <c r="G274" t="n">
        <v>6.5</v>
      </c>
      <c r="H274" t="n">
        <v>0</v>
      </c>
      <c r="I274" t="n">
        <v>0</v>
      </c>
      <c r="J274" t="n">
        <v>0</v>
      </c>
      <c r="K274" t="n">
        <v>0</v>
      </c>
      <c r="L274" t="n">
        <v>0</v>
      </c>
      <c r="M274" t="n">
        <v>0</v>
      </c>
      <c r="N274" t="n">
        <v>0</v>
      </c>
      <c r="O274" t="n">
        <v>0</v>
      </c>
      <c r="P274" t="n">
        <v>0</v>
      </c>
      <c r="Q274" t="n">
        <v>0</v>
      </c>
      <c r="R274" s="2" t="inlineStr"/>
    </row>
    <row r="275" ht="15" customHeight="1">
      <c r="A275" t="inlineStr">
        <is>
          <t>A 36060-2025</t>
        </is>
      </c>
      <c r="B275" s="1" t="n">
        <v>45866.39469907407</v>
      </c>
      <c r="C275" s="1" t="n">
        <v>46166</v>
      </c>
      <c r="D275" t="inlineStr">
        <is>
          <t>VÄSTMANLANDS LÄN</t>
        </is>
      </c>
      <c r="E275" t="inlineStr">
        <is>
          <t>SALA</t>
        </is>
      </c>
      <c r="F275" t="inlineStr">
        <is>
          <t>Kommuner</t>
        </is>
      </c>
      <c r="G275" t="n">
        <v>4.3</v>
      </c>
      <c r="H275" t="n">
        <v>0</v>
      </c>
      <c r="I275" t="n">
        <v>0</v>
      </c>
      <c r="J275" t="n">
        <v>0</v>
      </c>
      <c r="K275" t="n">
        <v>0</v>
      </c>
      <c r="L275" t="n">
        <v>0</v>
      </c>
      <c r="M275" t="n">
        <v>0</v>
      </c>
      <c r="N275" t="n">
        <v>0</v>
      </c>
      <c r="O275" t="n">
        <v>0</v>
      </c>
      <c r="P275" t="n">
        <v>0</v>
      </c>
      <c r="Q275" t="n">
        <v>0</v>
      </c>
      <c r="R275" s="2" t="inlineStr"/>
    </row>
    <row r="276" ht="15" customHeight="1">
      <c r="A276" t="inlineStr">
        <is>
          <t>A 20838-2026</t>
        </is>
      </c>
      <c r="B276" s="1" t="n">
        <v>46142.34188657408</v>
      </c>
      <c r="C276" s="1" t="n">
        <v>46166</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52498-2022</t>
        </is>
      </c>
      <c r="B277" s="1" t="n">
        <v>44874.50152777778</v>
      </c>
      <c r="C277" s="1" t="n">
        <v>46166</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36031-2025</t>
        </is>
      </c>
      <c r="B278" s="1" t="n">
        <v>45865.46111111111</v>
      </c>
      <c r="C278" s="1" t="n">
        <v>46166</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36043-2025</t>
        </is>
      </c>
      <c r="B279" s="1" t="n">
        <v>45866.35333333333</v>
      </c>
      <c r="C279" s="1" t="n">
        <v>46166</v>
      </c>
      <c r="D279" t="inlineStr">
        <is>
          <t>VÄSTMANLANDS LÄN</t>
        </is>
      </c>
      <c r="E279" t="inlineStr">
        <is>
          <t>SALA</t>
        </is>
      </c>
      <c r="F279" t="inlineStr">
        <is>
          <t>Kommuner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36032-2025</t>
        </is>
      </c>
      <c r="B280" s="1" t="n">
        <v>45865.48740740741</v>
      </c>
      <c r="C280" s="1" t="n">
        <v>46166</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36049-2025</t>
        </is>
      </c>
      <c r="B281" s="1" t="n">
        <v>45866.37065972222</v>
      </c>
      <c r="C281" s="1" t="n">
        <v>46166</v>
      </c>
      <c r="D281" t="inlineStr">
        <is>
          <t>VÄSTMANLANDS LÄN</t>
        </is>
      </c>
      <c r="E281" t="inlineStr">
        <is>
          <t>SALA</t>
        </is>
      </c>
      <c r="F281" t="inlineStr">
        <is>
          <t>Kommuner</t>
        </is>
      </c>
      <c r="G281" t="n">
        <v>1.9</v>
      </c>
      <c r="H281" t="n">
        <v>0</v>
      </c>
      <c r="I281" t="n">
        <v>0</v>
      </c>
      <c r="J281" t="n">
        <v>0</v>
      </c>
      <c r="K281" t="n">
        <v>0</v>
      </c>
      <c r="L281" t="n">
        <v>0</v>
      </c>
      <c r="M281" t="n">
        <v>0</v>
      </c>
      <c r="N281" t="n">
        <v>0</v>
      </c>
      <c r="O281" t="n">
        <v>0</v>
      </c>
      <c r="P281" t="n">
        <v>0</v>
      </c>
      <c r="Q281" t="n">
        <v>0</v>
      </c>
      <c r="R281" s="2" t="inlineStr"/>
    </row>
    <row r="282" ht="15" customHeight="1">
      <c r="A282" t="inlineStr">
        <is>
          <t>A 66908-2021</t>
        </is>
      </c>
      <c r="B282" s="1" t="n">
        <v>44522</v>
      </c>
      <c r="C282" s="1" t="n">
        <v>46166</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36045-2025</t>
        </is>
      </c>
      <c r="B283" s="1" t="n">
        <v>45866.36200231482</v>
      </c>
      <c r="C283" s="1" t="n">
        <v>46166</v>
      </c>
      <c r="D283" t="inlineStr">
        <is>
          <t>VÄSTMANLANDS LÄN</t>
        </is>
      </c>
      <c r="E283" t="inlineStr">
        <is>
          <t>SALA</t>
        </is>
      </c>
      <c r="F283" t="inlineStr">
        <is>
          <t>Kommuner</t>
        </is>
      </c>
      <c r="G283" t="n">
        <v>1.7</v>
      </c>
      <c r="H283" t="n">
        <v>0</v>
      </c>
      <c r="I283" t="n">
        <v>0</v>
      </c>
      <c r="J283" t="n">
        <v>0</v>
      </c>
      <c r="K283" t="n">
        <v>0</v>
      </c>
      <c r="L283" t="n">
        <v>0</v>
      </c>
      <c r="M283" t="n">
        <v>0</v>
      </c>
      <c r="N283" t="n">
        <v>0</v>
      </c>
      <c r="O283" t="n">
        <v>0</v>
      </c>
      <c r="P283" t="n">
        <v>0</v>
      </c>
      <c r="Q283" t="n">
        <v>0</v>
      </c>
      <c r="R283" s="2" t="inlineStr"/>
    </row>
    <row r="284" ht="15" customHeight="1">
      <c r="A284" t="inlineStr">
        <is>
          <t>A 73835-2021</t>
        </is>
      </c>
      <c r="B284" s="1" t="n">
        <v>44552.92112268518</v>
      </c>
      <c r="C284" s="1" t="n">
        <v>46166</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3810-2023</t>
        </is>
      </c>
      <c r="B285" s="1" t="n">
        <v>44951.60454861111</v>
      </c>
      <c r="C285" s="1" t="n">
        <v>46166</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17766-2025</t>
        </is>
      </c>
      <c r="B286" s="1" t="n">
        <v>45758</v>
      </c>
      <c r="C286" s="1" t="n">
        <v>46166</v>
      </c>
      <c r="D286" t="inlineStr">
        <is>
          <t>VÄSTMANLANDS LÄN</t>
        </is>
      </c>
      <c r="E286" t="inlineStr">
        <is>
          <t>SALA</t>
        </is>
      </c>
      <c r="G286" t="n">
        <v>16.5</v>
      </c>
      <c r="H286" t="n">
        <v>0</v>
      </c>
      <c r="I286" t="n">
        <v>0</v>
      </c>
      <c r="J286" t="n">
        <v>0</v>
      </c>
      <c r="K286" t="n">
        <v>0</v>
      </c>
      <c r="L286" t="n">
        <v>0</v>
      </c>
      <c r="M286" t="n">
        <v>0</v>
      </c>
      <c r="N286" t="n">
        <v>0</v>
      </c>
      <c r="O286" t="n">
        <v>0</v>
      </c>
      <c r="P286" t="n">
        <v>0</v>
      </c>
      <c r="Q286" t="n">
        <v>0</v>
      </c>
      <c r="R286" s="2" t="inlineStr"/>
    </row>
    <row r="287" ht="15" customHeight="1">
      <c r="A287" t="inlineStr">
        <is>
          <t>A 22869-2026</t>
        </is>
      </c>
      <c r="B287" s="1" t="n">
        <v>46160.43599537037</v>
      </c>
      <c r="C287" s="1" t="n">
        <v>46166</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31863-2025</t>
        </is>
      </c>
      <c r="B288" s="1" t="n">
        <v>45834.63303240741</v>
      </c>
      <c r="C288" s="1" t="n">
        <v>46166</v>
      </c>
      <c r="D288" t="inlineStr">
        <is>
          <t>VÄSTMANLANDS LÄN</t>
        </is>
      </c>
      <c r="E288" t="inlineStr">
        <is>
          <t>SALA</t>
        </is>
      </c>
      <c r="G288" t="n">
        <v>2.5</v>
      </c>
      <c r="H288" t="n">
        <v>0</v>
      </c>
      <c r="I288" t="n">
        <v>0</v>
      </c>
      <c r="J288" t="n">
        <v>0</v>
      </c>
      <c r="K288" t="n">
        <v>0</v>
      </c>
      <c r="L288" t="n">
        <v>0</v>
      </c>
      <c r="M288" t="n">
        <v>0</v>
      </c>
      <c r="N288" t="n">
        <v>0</v>
      </c>
      <c r="O288" t="n">
        <v>0</v>
      </c>
      <c r="P288" t="n">
        <v>0</v>
      </c>
      <c r="Q288" t="n">
        <v>0</v>
      </c>
      <c r="R288" s="2" t="inlineStr"/>
    </row>
    <row r="289" ht="15" customHeight="1">
      <c r="A289" t="inlineStr">
        <is>
          <t>A 40559-2025</t>
        </is>
      </c>
      <c r="B289" s="1" t="n">
        <v>45896.45037037037</v>
      </c>
      <c r="C289" s="1" t="n">
        <v>46166</v>
      </c>
      <c r="D289" t="inlineStr">
        <is>
          <t>VÄSTMANLANDS LÄN</t>
        </is>
      </c>
      <c r="E289" t="inlineStr">
        <is>
          <t>SALA</t>
        </is>
      </c>
      <c r="G289" t="n">
        <v>0.9</v>
      </c>
      <c r="H289" t="n">
        <v>0</v>
      </c>
      <c r="I289" t="n">
        <v>0</v>
      </c>
      <c r="J289" t="n">
        <v>0</v>
      </c>
      <c r="K289" t="n">
        <v>0</v>
      </c>
      <c r="L289" t="n">
        <v>0</v>
      </c>
      <c r="M289" t="n">
        <v>0</v>
      </c>
      <c r="N289" t="n">
        <v>0</v>
      </c>
      <c r="O289" t="n">
        <v>0</v>
      </c>
      <c r="P289" t="n">
        <v>0</v>
      </c>
      <c r="Q289" t="n">
        <v>0</v>
      </c>
      <c r="R289" s="2" t="inlineStr"/>
    </row>
    <row r="290" ht="15" customHeight="1">
      <c r="A290" t="inlineStr">
        <is>
          <t>A 40556-2025</t>
        </is>
      </c>
      <c r="B290" s="1" t="n">
        <v>45896.44944444444</v>
      </c>
      <c r="C290" s="1" t="n">
        <v>46166</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40620-2025</t>
        </is>
      </c>
      <c r="B291" s="1" t="n">
        <v>45896.58609953704</v>
      </c>
      <c r="C291" s="1" t="n">
        <v>46166</v>
      </c>
      <c r="D291" t="inlineStr">
        <is>
          <t>VÄSTMANLANDS LÄN</t>
        </is>
      </c>
      <c r="E291" t="inlineStr">
        <is>
          <t>SALA</t>
        </is>
      </c>
      <c r="G291" t="n">
        <v>6.7</v>
      </c>
      <c r="H291" t="n">
        <v>0</v>
      </c>
      <c r="I291" t="n">
        <v>0</v>
      </c>
      <c r="J291" t="n">
        <v>0</v>
      </c>
      <c r="K291" t="n">
        <v>0</v>
      </c>
      <c r="L291" t="n">
        <v>0</v>
      </c>
      <c r="M291" t="n">
        <v>0</v>
      </c>
      <c r="N291" t="n">
        <v>0</v>
      </c>
      <c r="O291" t="n">
        <v>0</v>
      </c>
      <c r="P291" t="n">
        <v>0</v>
      </c>
      <c r="Q291" t="n">
        <v>0</v>
      </c>
      <c r="R291" s="2" t="inlineStr"/>
    </row>
    <row r="292" ht="15" customHeight="1">
      <c r="A292" t="inlineStr">
        <is>
          <t>A 3546-2025</t>
        </is>
      </c>
      <c r="B292" s="1" t="n">
        <v>45680</v>
      </c>
      <c r="C292" s="1" t="n">
        <v>46166</v>
      </c>
      <c r="D292" t="inlineStr">
        <is>
          <t>VÄSTMANLANDS LÄN</t>
        </is>
      </c>
      <c r="E292" t="inlineStr">
        <is>
          <t>SALA</t>
        </is>
      </c>
      <c r="G292" t="n">
        <v>0.4</v>
      </c>
      <c r="H292" t="n">
        <v>0</v>
      </c>
      <c r="I292" t="n">
        <v>0</v>
      </c>
      <c r="J292" t="n">
        <v>0</v>
      </c>
      <c r="K292" t="n">
        <v>0</v>
      </c>
      <c r="L292" t="n">
        <v>0</v>
      </c>
      <c r="M292" t="n">
        <v>0</v>
      </c>
      <c r="N292" t="n">
        <v>0</v>
      </c>
      <c r="O292" t="n">
        <v>0</v>
      </c>
      <c r="P292" t="n">
        <v>0</v>
      </c>
      <c r="Q292" t="n">
        <v>0</v>
      </c>
      <c r="R292" s="2" t="inlineStr"/>
    </row>
    <row r="293" ht="15" customHeight="1">
      <c r="A293" t="inlineStr">
        <is>
          <t>A 31869-2025</t>
        </is>
      </c>
      <c r="B293" s="1" t="n">
        <v>45834.64555555556</v>
      </c>
      <c r="C293" s="1" t="n">
        <v>46166</v>
      </c>
      <c r="D293" t="inlineStr">
        <is>
          <t>VÄSTMANLANDS LÄN</t>
        </is>
      </c>
      <c r="E293" t="inlineStr">
        <is>
          <t>SALA</t>
        </is>
      </c>
      <c r="G293" t="n">
        <v>17.5</v>
      </c>
      <c r="H293" t="n">
        <v>0</v>
      </c>
      <c r="I293" t="n">
        <v>0</v>
      </c>
      <c r="J293" t="n">
        <v>0</v>
      </c>
      <c r="K293" t="n">
        <v>0</v>
      </c>
      <c r="L293" t="n">
        <v>0</v>
      </c>
      <c r="M293" t="n">
        <v>0</v>
      </c>
      <c r="N293" t="n">
        <v>0</v>
      </c>
      <c r="O293" t="n">
        <v>0</v>
      </c>
      <c r="P293" t="n">
        <v>0</v>
      </c>
      <c r="Q293" t="n">
        <v>0</v>
      </c>
      <c r="R293" s="2" t="inlineStr"/>
    </row>
    <row r="294" ht="15" customHeight="1">
      <c r="A294" t="inlineStr">
        <is>
          <t>A 7664-2023</t>
        </is>
      </c>
      <c r="B294" s="1" t="n">
        <v>44972</v>
      </c>
      <c r="C294" s="1" t="n">
        <v>46166</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17985-2025</t>
        </is>
      </c>
      <c r="B295" s="1" t="n">
        <v>45761</v>
      </c>
      <c r="C295" s="1" t="n">
        <v>46166</v>
      </c>
      <c r="D295" t="inlineStr">
        <is>
          <t>VÄSTMANLANDS LÄN</t>
        </is>
      </c>
      <c r="E295" t="inlineStr">
        <is>
          <t>SALA</t>
        </is>
      </c>
      <c r="G295" t="n">
        <v>12.5</v>
      </c>
      <c r="H295" t="n">
        <v>0</v>
      </c>
      <c r="I295" t="n">
        <v>0</v>
      </c>
      <c r="J295" t="n">
        <v>0</v>
      </c>
      <c r="K295" t="n">
        <v>0</v>
      </c>
      <c r="L295" t="n">
        <v>0</v>
      </c>
      <c r="M295" t="n">
        <v>0</v>
      </c>
      <c r="N295" t="n">
        <v>0</v>
      </c>
      <c r="O295" t="n">
        <v>0</v>
      </c>
      <c r="P295" t="n">
        <v>0</v>
      </c>
      <c r="Q295" t="n">
        <v>0</v>
      </c>
      <c r="R295" s="2" t="inlineStr"/>
    </row>
    <row r="296" ht="15" customHeight="1">
      <c r="A296" t="inlineStr">
        <is>
          <t>A 41230-2025</t>
        </is>
      </c>
      <c r="B296" s="1" t="n">
        <v>45898</v>
      </c>
      <c r="C296" s="1" t="n">
        <v>46166</v>
      </c>
      <c r="D296" t="inlineStr">
        <is>
          <t>VÄSTMANLANDS LÄN</t>
        </is>
      </c>
      <c r="E296" t="inlineStr">
        <is>
          <t>SALA</t>
        </is>
      </c>
      <c r="G296" t="n">
        <v>2.3</v>
      </c>
      <c r="H296" t="n">
        <v>0</v>
      </c>
      <c r="I296" t="n">
        <v>0</v>
      </c>
      <c r="J296" t="n">
        <v>0</v>
      </c>
      <c r="K296" t="n">
        <v>0</v>
      </c>
      <c r="L296" t="n">
        <v>0</v>
      </c>
      <c r="M296" t="n">
        <v>0</v>
      </c>
      <c r="N296" t="n">
        <v>0</v>
      </c>
      <c r="O296" t="n">
        <v>0</v>
      </c>
      <c r="P296" t="n">
        <v>0</v>
      </c>
      <c r="Q296" t="n">
        <v>0</v>
      </c>
      <c r="R296" s="2" t="inlineStr"/>
    </row>
    <row r="297" ht="15" customHeight="1">
      <c r="A297" t="inlineStr">
        <is>
          <t>A 37103-2025</t>
        </is>
      </c>
      <c r="B297" s="1" t="n">
        <v>45875.47743055555</v>
      </c>
      <c r="C297" s="1" t="n">
        <v>46166</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41414-2025</t>
        </is>
      </c>
      <c r="B298" s="1" t="n">
        <v>45901.360625</v>
      </c>
      <c r="C298" s="1" t="n">
        <v>46166</v>
      </c>
      <c r="D298" t="inlineStr">
        <is>
          <t>VÄSTMANLANDS LÄN</t>
        </is>
      </c>
      <c r="E298" t="inlineStr">
        <is>
          <t>SALA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37017-2025</t>
        </is>
      </c>
      <c r="B299" s="1" t="n">
        <v>45874</v>
      </c>
      <c r="C299" s="1" t="n">
        <v>46166</v>
      </c>
      <c r="D299" t="inlineStr">
        <is>
          <t>VÄSTMANLANDS LÄN</t>
        </is>
      </c>
      <c r="E299" t="inlineStr">
        <is>
          <t>SALA</t>
        </is>
      </c>
      <c r="G299" t="n">
        <v>11.1</v>
      </c>
      <c r="H299" t="n">
        <v>0</v>
      </c>
      <c r="I299" t="n">
        <v>0</v>
      </c>
      <c r="J299" t="n">
        <v>0</v>
      </c>
      <c r="K299" t="n">
        <v>0</v>
      </c>
      <c r="L299" t="n">
        <v>0</v>
      </c>
      <c r="M299" t="n">
        <v>0</v>
      </c>
      <c r="N299" t="n">
        <v>0</v>
      </c>
      <c r="O299" t="n">
        <v>0</v>
      </c>
      <c r="P299" t="n">
        <v>0</v>
      </c>
      <c r="Q299" t="n">
        <v>0</v>
      </c>
      <c r="R299" s="2" t="inlineStr"/>
    </row>
    <row r="300" ht="15" customHeight="1">
      <c r="A300" t="inlineStr">
        <is>
          <t>A 61717-2024</t>
        </is>
      </c>
      <c r="B300" s="1" t="n">
        <v>45648</v>
      </c>
      <c r="C300" s="1" t="n">
        <v>46166</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53164-2024</t>
        </is>
      </c>
      <c r="B301" s="1" t="n">
        <v>45611.64887731482</v>
      </c>
      <c r="C301" s="1" t="n">
        <v>46166</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41431-2025</t>
        </is>
      </c>
      <c r="B302" s="1" t="n">
        <v>45901.39347222223</v>
      </c>
      <c r="C302" s="1" t="n">
        <v>46166</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12252-2023</t>
        </is>
      </c>
      <c r="B303" s="1" t="n">
        <v>44995</v>
      </c>
      <c r="C303" s="1" t="n">
        <v>46166</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37246-2025</t>
        </is>
      </c>
      <c r="B304" s="1" t="n">
        <v>45876.39435185185</v>
      </c>
      <c r="C304" s="1" t="n">
        <v>46166</v>
      </c>
      <c r="D304" t="inlineStr">
        <is>
          <t>VÄSTMANLANDS LÄN</t>
        </is>
      </c>
      <c r="E304" t="inlineStr">
        <is>
          <t>SALA</t>
        </is>
      </c>
      <c r="G304" t="n">
        <v>2.3</v>
      </c>
      <c r="H304" t="n">
        <v>0</v>
      </c>
      <c r="I304" t="n">
        <v>0</v>
      </c>
      <c r="J304" t="n">
        <v>0</v>
      </c>
      <c r="K304" t="n">
        <v>0</v>
      </c>
      <c r="L304" t="n">
        <v>0</v>
      </c>
      <c r="M304" t="n">
        <v>0</v>
      </c>
      <c r="N304" t="n">
        <v>0</v>
      </c>
      <c r="O304" t="n">
        <v>0</v>
      </c>
      <c r="P304" t="n">
        <v>0</v>
      </c>
      <c r="Q304" t="n">
        <v>0</v>
      </c>
      <c r="R304" s="2" t="inlineStr"/>
    </row>
    <row r="305" ht="15" customHeight="1">
      <c r="A305" t="inlineStr">
        <is>
          <t>A 23578-2026</t>
        </is>
      </c>
      <c r="B305" s="1" t="n">
        <v>46163.60586805556</v>
      </c>
      <c r="C305" s="1" t="n">
        <v>46166</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37590-2025</t>
        </is>
      </c>
      <c r="B306" s="1" t="n">
        <v>45880.41138888889</v>
      </c>
      <c r="C306" s="1" t="n">
        <v>46166</v>
      </c>
      <c r="D306" t="inlineStr">
        <is>
          <t>VÄSTMANLANDS LÄN</t>
        </is>
      </c>
      <c r="E306" t="inlineStr">
        <is>
          <t>SALA</t>
        </is>
      </c>
      <c r="G306" t="n">
        <v>2.2</v>
      </c>
      <c r="H306" t="n">
        <v>0</v>
      </c>
      <c r="I306" t="n">
        <v>0</v>
      </c>
      <c r="J306" t="n">
        <v>0</v>
      </c>
      <c r="K306" t="n">
        <v>0</v>
      </c>
      <c r="L306" t="n">
        <v>0</v>
      </c>
      <c r="M306" t="n">
        <v>0</v>
      </c>
      <c r="N306" t="n">
        <v>0</v>
      </c>
      <c r="O306" t="n">
        <v>0</v>
      </c>
      <c r="P306" t="n">
        <v>0</v>
      </c>
      <c r="Q306" t="n">
        <v>0</v>
      </c>
      <c r="R306" s="2" t="inlineStr"/>
    </row>
    <row r="307" ht="15" customHeight="1">
      <c r="A307" t="inlineStr">
        <is>
          <t>A 37593-2025</t>
        </is>
      </c>
      <c r="B307" s="1" t="n">
        <v>45880.41325231481</v>
      </c>
      <c r="C307" s="1" t="n">
        <v>46166</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21968-2024</t>
        </is>
      </c>
      <c r="B308" s="1" t="n">
        <v>45443</v>
      </c>
      <c r="C308" s="1" t="n">
        <v>46166</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42421-2025</t>
        </is>
      </c>
      <c r="B309" s="1" t="n">
        <v>45905.40067129629</v>
      </c>
      <c r="C309" s="1" t="n">
        <v>46166</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25260-2023</t>
        </is>
      </c>
      <c r="B310" s="1" t="n">
        <v>45086</v>
      </c>
      <c r="C310" s="1" t="n">
        <v>46166</v>
      </c>
      <c r="D310" t="inlineStr">
        <is>
          <t>VÄSTMANLANDS LÄN</t>
        </is>
      </c>
      <c r="E310" t="inlineStr">
        <is>
          <t>SALA</t>
        </is>
      </c>
      <c r="F310" t="inlineStr">
        <is>
          <t>Sveaskog</t>
        </is>
      </c>
      <c r="G310" t="n">
        <v>3.2</v>
      </c>
      <c r="H310" t="n">
        <v>0</v>
      </c>
      <c r="I310" t="n">
        <v>0</v>
      </c>
      <c r="J310" t="n">
        <v>0</v>
      </c>
      <c r="K310" t="n">
        <v>0</v>
      </c>
      <c r="L310" t="n">
        <v>0</v>
      </c>
      <c r="M310" t="n">
        <v>0</v>
      </c>
      <c r="N310" t="n">
        <v>0</v>
      </c>
      <c r="O310" t="n">
        <v>0</v>
      </c>
      <c r="P310" t="n">
        <v>0</v>
      </c>
      <c r="Q310" t="n">
        <v>0</v>
      </c>
      <c r="R310" s="2" t="inlineStr"/>
    </row>
    <row r="311" ht="15" customHeight="1">
      <c r="A311" t="inlineStr">
        <is>
          <t>A 38294-2025</t>
        </is>
      </c>
      <c r="B311" s="1" t="n">
        <v>45883.44854166666</v>
      </c>
      <c r="C311" s="1" t="n">
        <v>46166</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17495-2024</t>
        </is>
      </c>
      <c r="B312" s="1" t="n">
        <v>45415</v>
      </c>
      <c r="C312" s="1" t="n">
        <v>46166</v>
      </c>
      <c r="D312" t="inlineStr">
        <is>
          <t>VÄSTMANLANDS LÄN</t>
        </is>
      </c>
      <c r="E312" t="inlineStr">
        <is>
          <t>SALA</t>
        </is>
      </c>
      <c r="G312" t="n">
        <v>3.1</v>
      </c>
      <c r="H312" t="n">
        <v>0</v>
      </c>
      <c r="I312" t="n">
        <v>0</v>
      </c>
      <c r="J312" t="n">
        <v>0</v>
      </c>
      <c r="K312" t="n">
        <v>0</v>
      </c>
      <c r="L312" t="n">
        <v>0</v>
      </c>
      <c r="M312" t="n">
        <v>0</v>
      </c>
      <c r="N312" t="n">
        <v>0</v>
      </c>
      <c r="O312" t="n">
        <v>0</v>
      </c>
      <c r="P312" t="n">
        <v>0</v>
      </c>
      <c r="Q312" t="n">
        <v>0</v>
      </c>
      <c r="R312" s="2" t="inlineStr"/>
    </row>
    <row r="313" ht="15" customHeight="1">
      <c r="A313" t="inlineStr">
        <is>
          <t>A 43359-2024</t>
        </is>
      </c>
      <c r="B313" s="1" t="n">
        <v>45568.57724537037</v>
      </c>
      <c r="C313" s="1" t="n">
        <v>46166</v>
      </c>
      <c r="D313" t="inlineStr">
        <is>
          <t>VÄSTMANLANDS LÄN</t>
        </is>
      </c>
      <c r="E313" t="inlineStr">
        <is>
          <t>SALA</t>
        </is>
      </c>
      <c r="G313" t="n">
        <v>1.6</v>
      </c>
      <c r="H313" t="n">
        <v>0</v>
      </c>
      <c r="I313" t="n">
        <v>0</v>
      </c>
      <c r="J313" t="n">
        <v>0</v>
      </c>
      <c r="K313" t="n">
        <v>0</v>
      </c>
      <c r="L313" t="n">
        <v>0</v>
      </c>
      <c r="M313" t="n">
        <v>0</v>
      </c>
      <c r="N313" t="n">
        <v>0</v>
      </c>
      <c r="O313" t="n">
        <v>0</v>
      </c>
      <c r="P313" t="n">
        <v>0</v>
      </c>
      <c r="Q313" t="n">
        <v>0</v>
      </c>
      <c r="R313" s="2" t="inlineStr"/>
    </row>
    <row r="314" ht="15" customHeight="1">
      <c r="A314" t="inlineStr">
        <is>
          <t>A 29972-2025</t>
        </is>
      </c>
      <c r="B314" s="1" t="n">
        <v>45826</v>
      </c>
      <c r="C314" s="1" t="n">
        <v>46166</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37263-2025</t>
        </is>
      </c>
      <c r="B315" s="1" t="n">
        <v>45876.4584837963</v>
      </c>
      <c r="C315" s="1" t="n">
        <v>46166</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43127-2025</t>
        </is>
      </c>
      <c r="B316" s="1" t="n">
        <v>45909</v>
      </c>
      <c r="C316" s="1" t="n">
        <v>46166</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57404-2024</t>
        </is>
      </c>
      <c r="B317" s="1" t="n">
        <v>45629.71967592592</v>
      </c>
      <c r="C317" s="1" t="n">
        <v>46166</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43128-2025</t>
        </is>
      </c>
      <c r="B318" s="1" t="n">
        <v>45909</v>
      </c>
      <c r="C318" s="1" t="n">
        <v>46166</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40554-2025</t>
        </is>
      </c>
      <c r="B319" s="1" t="n">
        <v>45896.44506944445</v>
      </c>
      <c r="C319" s="1" t="n">
        <v>46166</v>
      </c>
      <c r="D319" t="inlineStr">
        <is>
          <t>VÄSTMANLANDS LÄN</t>
        </is>
      </c>
      <c r="E319" t="inlineStr">
        <is>
          <t>SALA</t>
        </is>
      </c>
      <c r="G319" t="n">
        <v>0.9</v>
      </c>
      <c r="H319" t="n">
        <v>0</v>
      </c>
      <c r="I319" t="n">
        <v>0</v>
      </c>
      <c r="J319" t="n">
        <v>0</v>
      </c>
      <c r="K319" t="n">
        <v>0</v>
      </c>
      <c r="L319" t="n">
        <v>0</v>
      </c>
      <c r="M319" t="n">
        <v>0</v>
      </c>
      <c r="N319" t="n">
        <v>0</v>
      </c>
      <c r="O319" t="n">
        <v>0</v>
      </c>
      <c r="P319" t="n">
        <v>0</v>
      </c>
      <c r="Q319" t="n">
        <v>0</v>
      </c>
      <c r="R319" s="2" t="inlineStr"/>
    </row>
    <row r="320" ht="15" customHeight="1">
      <c r="A320" t="inlineStr">
        <is>
          <t>A 43129-2025</t>
        </is>
      </c>
      <c r="B320" s="1" t="n">
        <v>45909</v>
      </c>
      <c r="C320" s="1" t="n">
        <v>46166</v>
      </c>
      <c r="D320" t="inlineStr">
        <is>
          <t>VÄSTMANLANDS LÄN</t>
        </is>
      </c>
      <c r="E320" t="inlineStr">
        <is>
          <t>SALA</t>
        </is>
      </c>
      <c r="G320" t="n">
        <v>2.4</v>
      </c>
      <c r="H320" t="n">
        <v>0</v>
      </c>
      <c r="I320" t="n">
        <v>0</v>
      </c>
      <c r="J320" t="n">
        <v>0</v>
      </c>
      <c r="K320" t="n">
        <v>0</v>
      </c>
      <c r="L320" t="n">
        <v>0</v>
      </c>
      <c r="M320" t="n">
        <v>0</v>
      </c>
      <c r="N320" t="n">
        <v>0</v>
      </c>
      <c r="O320" t="n">
        <v>0</v>
      </c>
      <c r="P320" t="n">
        <v>0</v>
      </c>
      <c r="Q320" t="n">
        <v>0</v>
      </c>
      <c r="R320" s="2" t="inlineStr"/>
    </row>
    <row r="321" ht="15" customHeight="1">
      <c r="A321" t="inlineStr">
        <is>
          <t>A 43130-2025</t>
        </is>
      </c>
      <c r="B321" s="1" t="n">
        <v>45909</v>
      </c>
      <c r="C321" s="1" t="n">
        <v>46166</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46279-2021</t>
        </is>
      </c>
      <c r="B322" s="1" t="n">
        <v>44442.57797453704</v>
      </c>
      <c r="C322" s="1" t="n">
        <v>46166</v>
      </c>
      <c r="D322" t="inlineStr">
        <is>
          <t>VÄSTMANLANDS LÄN</t>
        </is>
      </c>
      <c r="E322" t="inlineStr">
        <is>
          <t>SALA</t>
        </is>
      </c>
      <c r="G322" t="n">
        <v>1.4</v>
      </c>
      <c r="H322" t="n">
        <v>0</v>
      </c>
      <c r="I322" t="n">
        <v>0</v>
      </c>
      <c r="J322" t="n">
        <v>0</v>
      </c>
      <c r="K322" t="n">
        <v>0</v>
      </c>
      <c r="L322" t="n">
        <v>0</v>
      </c>
      <c r="M322" t="n">
        <v>0</v>
      </c>
      <c r="N322" t="n">
        <v>0</v>
      </c>
      <c r="O322" t="n">
        <v>0</v>
      </c>
      <c r="P322" t="n">
        <v>0</v>
      </c>
      <c r="Q322" t="n">
        <v>0</v>
      </c>
      <c r="R322" s="2" t="inlineStr"/>
    </row>
    <row r="323" ht="15" customHeight="1">
      <c r="A323" t="inlineStr">
        <is>
          <t>A 43028-2025</t>
        </is>
      </c>
      <c r="B323" s="1" t="n">
        <v>45909.53472222222</v>
      </c>
      <c r="C323" s="1" t="n">
        <v>46166</v>
      </c>
      <c r="D323" t="inlineStr">
        <is>
          <t>VÄSTMANLANDS LÄN</t>
        </is>
      </c>
      <c r="E323" t="inlineStr">
        <is>
          <t>SALA</t>
        </is>
      </c>
      <c r="G323" t="n">
        <v>3.8</v>
      </c>
      <c r="H323" t="n">
        <v>0</v>
      </c>
      <c r="I323" t="n">
        <v>0</v>
      </c>
      <c r="J323" t="n">
        <v>0</v>
      </c>
      <c r="K323" t="n">
        <v>0</v>
      </c>
      <c r="L323" t="n">
        <v>0</v>
      </c>
      <c r="M323" t="n">
        <v>0</v>
      </c>
      <c r="N323" t="n">
        <v>0</v>
      </c>
      <c r="O323" t="n">
        <v>0</v>
      </c>
      <c r="P323" t="n">
        <v>0</v>
      </c>
      <c r="Q323" t="n">
        <v>0</v>
      </c>
      <c r="R323" s="2" t="inlineStr"/>
    </row>
    <row r="324" ht="15" customHeight="1">
      <c r="A324" t="inlineStr">
        <is>
          <t>A 43031-2025</t>
        </is>
      </c>
      <c r="B324" s="1" t="n">
        <v>45909.53856481481</v>
      </c>
      <c r="C324" s="1" t="n">
        <v>46166</v>
      </c>
      <c r="D324" t="inlineStr">
        <is>
          <t>VÄSTMANLANDS LÄN</t>
        </is>
      </c>
      <c r="E324" t="inlineStr">
        <is>
          <t>SALA</t>
        </is>
      </c>
      <c r="G324" t="n">
        <v>0.2</v>
      </c>
      <c r="H324" t="n">
        <v>0</v>
      </c>
      <c r="I324" t="n">
        <v>0</v>
      </c>
      <c r="J324" t="n">
        <v>0</v>
      </c>
      <c r="K324" t="n">
        <v>0</v>
      </c>
      <c r="L324" t="n">
        <v>0</v>
      </c>
      <c r="M324" t="n">
        <v>0</v>
      </c>
      <c r="N324" t="n">
        <v>0</v>
      </c>
      <c r="O324" t="n">
        <v>0</v>
      </c>
      <c r="P324" t="n">
        <v>0</v>
      </c>
      <c r="Q324" t="n">
        <v>0</v>
      </c>
      <c r="R324" s="2" t="inlineStr"/>
    </row>
    <row r="325" ht="15" customHeight="1">
      <c r="A325" t="inlineStr">
        <is>
          <t>A 13128-2023</t>
        </is>
      </c>
      <c r="B325" s="1" t="n">
        <v>45002</v>
      </c>
      <c r="C325" s="1" t="n">
        <v>46166</v>
      </c>
      <c r="D325" t="inlineStr">
        <is>
          <t>VÄSTMANLANDS LÄN</t>
        </is>
      </c>
      <c r="E325" t="inlineStr">
        <is>
          <t>SALA</t>
        </is>
      </c>
      <c r="G325" t="n">
        <v>7.9</v>
      </c>
      <c r="H325" t="n">
        <v>0</v>
      </c>
      <c r="I325" t="n">
        <v>0</v>
      </c>
      <c r="J325" t="n">
        <v>0</v>
      </c>
      <c r="K325" t="n">
        <v>0</v>
      </c>
      <c r="L325" t="n">
        <v>0</v>
      </c>
      <c r="M325" t="n">
        <v>0</v>
      </c>
      <c r="N325" t="n">
        <v>0</v>
      </c>
      <c r="O325" t="n">
        <v>0</v>
      </c>
      <c r="P325" t="n">
        <v>0</v>
      </c>
      <c r="Q325" t="n">
        <v>0</v>
      </c>
      <c r="R325" s="2" t="inlineStr"/>
    </row>
    <row r="326" ht="15" customHeight="1">
      <c r="A326" t="inlineStr">
        <is>
          <t>A 43328-2025</t>
        </is>
      </c>
      <c r="B326" s="1" t="n">
        <v>45910</v>
      </c>
      <c r="C326" s="1" t="n">
        <v>46166</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44100-2025</t>
        </is>
      </c>
      <c r="B327" s="1" t="n">
        <v>45915.56707175926</v>
      </c>
      <c r="C327" s="1" t="n">
        <v>46166</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24864-2024</t>
        </is>
      </c>
      <c r="B328" s="1" t="n">
        <v>45461.48888888889</v>
      </c>
      <c r="C328" s="1" t="n">
        <v>46166</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73673-2021</t>
        </is>
      </c>
      <c r="B329" s="1" t="n">
        <v>44552.46501157407</v>
      </c>
      <c r="C329" s="1" t="n">
        <v>46166</v>
      </c>
      <c r="D329" t="inlineStr">
        <is>
          <t>VÄSTMANLANDS LÄN</t>
        </is>
      </c>
      <c r="E329" t="inlineStr">
        <is>
          <t>SALA</t>
        </is>
      </c>
      <c r="G329" t="n">
        <v>11.4</v>
      </c>
      <c r="H329" t="n">
        <v>0</v>
      </c>
      <c r="I329" t="n">
        <v>0</v>
      </c>
      <c r="J329" t="n">
        <v>0</v>
      </c>
      <c r="K329" t="n">
        <v>0</v>
      </c>
      <c r="L329" t="n">
        <v>0</v>
      </c>
      <c r="M329" t="n">
        <v>0</v>
      </c>
      <c r="N329" t="n">
        <v>0</v>
      </c>
      <c r="O329" t="n">
        <v>0</v>
      </c>
      <c r="P329" t="n">
        <v>0</v>
      </c>
      <c r="Q329" t="n">
        <v>0</v>
      </c>
      <c r="R329" s="2" t="inlineStr"/>
    </row>
    <row r="330" ht="15" customHeight="1">
      <c r="A330" t="inlineStr">
        <is>
          <t>A 44524-2025</t>
        </is>
      </c>
      <c r="B330" s="1" t="n">
        <v>45916.72920138889</v>
      </c>
      <c r="C330" s="1" t="n">
        <v>46166</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44486-2025</t>
        </is>
      </c>
      <c r="B331" s="1" t="n">
        <v>45916.65517361111</v>
      </c>
      <c r="C331" s="1" t="n">
        <v>46166</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24755-2021</t>
        </is>
      </c>
      <c r="B332" s="1" t="n">
        <v>44340</v>
      </c>
      <c r="C332" s="1" t="n">
        <v>46166</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45177-2025</t>
        </is>
      </c>
      <c r="B333" s="1" t="n">
        <v>45919.52444444445</v>
      </c>
      <c r="C333" s="1" t="n">
        <v>46166</v>
      </c>
      <c r="D333" t="inlineStr">
        <is>
          <t>VÄSTMANLANDS LÄN</t>
        </is>
      </c>
      <c r="E333" t="inlineStr">
        <is>
          <t>SALA</t>
        </is>
      </c>
      <c r="G333" t="n">
        <v>2.4</v>
      </c>
      <c r="H333" t="n">
        <v>0</v>
      </c>
      <c r="I333" t="n">
        <v>0</v>
      </c>
      <c r="J333" t="n">
        <v>0</v>
      </c>
      <c r="K333" t="n">
        <v>0</v>
      </c>
      <c r="L333" t="n">
        <v>0</v>
      </c>
      <c r="M333" t="n">
        <v>0</v>
      </c>
      <c r="N333" t="n">
        <v>0</v>
      </c>
      <c r="O333" t="n">
        <v>0</v>
      </c>
      <c r="P333" t="n">
        <v>0</v>
      </c>
      <c r="Q333" t="n">
        <v>0</v>
      </c>
      <c r="R333" s="2" t="inlineStr"/>
    </row>
    <row r="334" ht="15" customHeight="1">
      <c r="A334" t="inlineStr">
        <is>
          <t>A 43122-2025</t>
        </is>
      </c>
      <c r="B334" s="1" t="n">
        <v>45909</v>
      </c>
      <c r="C334" s="1" t="n">
        <v>46166</v>
      </c>
      <c r="D334" t="inlineStr">
        <is>
          <t>VÄSTMANLANDS LÄN</t>
        </is>
      </c>
      <c r="E334" t="inlineStr">
        <is>
          <t>SALA</t>
        </is>
      </c>
      <c r="G334" t="n">
        <v>3.2</v>
      </c>
      <c r="H334" t="n">
        <v>0</v>
      </c>
      <c r="I334" t="n">
        <v>0</v>
      </c>
      <c r="J334" t="n">
        <v>0</v>
      </c>
      <c r="K334" t="n">
        <v>0</v>
      </c>
      <c r="L334" t="n">
        <v>0</v>
      </c>
      <c r="M334" t="n">
        <v>0</v>
      </c>
      <c r="N334" t="n">
        <v>0</v>
      </c>
      <c r="O334" t="n">
        <v>0</v>
      </c>
      <c r="P334" t="n">
        <v>0</v>
      </c>
      <c r="Q334" t="n">
        <v>0</v>
      </c>
      <c r="R334" s="2" t="inlineStr"/>
    </row>
    <row r="335" ht="15" customHeight="1">
      <c r="A335" t="inlineStr">
        <is>
          <t>A 45371-2025</t>
        </is>
      </c>
      <c r="B335" s="1" t="n">
        <v>45922.39001157408</v>
      </c>
      <c r="C335" s="1" t="n">
        <v>46166</v>
      </c>
      <c r="D335" t="inlineStr">
        <is>
          <t>VÄSTMANLANDS LÄN</t>
        </is>
      </c>
      <c r="E335" t="inlineStr">
        <is>
          <t>SALA</t>
        </is>
      </c>
      <c r="G335" t="n">
        <v>2.1</v>
      </c>
      <c r="H335" t="n">
        <v>0</v>
      </c>
      <c r="I335" t="n">
        <v>0</v>
      </c>
      <c r="J335" t="n">
        <v>0</v>
      </c>
      <c r="K335" t="n">
        <v>0</v>
      </c>
      <c r="L335" t="n">
        <v>0</v>
      </c>
      <c r="M335" t="n">
        <v>0</v>
      </c>
      <c r="N335" t="n">
        <v>0</v>
      </c>
      <c r="O335" t="n">
        <v>0</v>
      </c>
      <c r="P335" t="n">
        <v>0</v>
      </c>
      <c r="Q335" t="n">
        <v>0</v>
      </c>
      <c r="R335" s="2" t="inlineStr"/>
    </row>
    <row r="336" ht="15" customHeight="1">
      <c r="A336" t="inlineStr">
        <is>
          <t>A 45914-2025</t>
        </is>
      </c>
      <c r="B336" s="1" t="n">
        <v>45923.82582175926</v>
      </c>
      <c r="C336" s="1" t="n">
        <v>46166</v>
      </c>
      <c r="D336" t="inlineStr">
        <is>
          <t>VÄSTMANLANDS LÄN</t>
        </is>
      </c>
      <c r="E336" t="inlineStr">
        <is>
          <t>SALA</t>
        </is>
      </c>
      <c r="F336" t="inlineStr">
        <is>
          <t>Kommuner</t>
        </is>
      </c>
      <c r="G336" t="n">
        <v>18.2</v>
      </c>
      <c r="H336" t="n">
        <v>0</v>
      </c>
      <c r="I336" t="n">
        <v>0</v>
      </c>
      <c r="J336" t="n">
        <v>0</v>
      </c>
      <c r="K336" t="n">
        <v>0</v>
      </c>
      <c r="L336" t="n">
        <v>0</v>
      </c>
      <c r="M336" t="n">
        <v>0</v>
      </c>
      <c r="N336" t="n">
        <v>0</v>
      </c>
      <c r="O336" t="n">
        <v>0</v>
      </c>
      <c r="P336" t="n">
        <v>0</v>
      </c>
      <c r="Q336" t="n">
        <v>0</v>
      </c>
      <c r="R336" s="2" t="inlineStr"/>
      <c r="U336">
        <f>HYPERLINK("https://klasma.github.io/Logging_1981/knärot/A 45914-2025 karta knärot.png", "A 45914-2025")</f>
        <v/>
      </c>
      <c r="V336">
        <f>HYPERLINK("https://klasma.github.io/Logging_1981/klagomål/A 45914-2025 FSC-klagomål.docx", "A 45914-2025")</f>
        <v/>
      </c>
      <c r="W336">
        <f>HYPERLINK("https://klasma.github.io/Logging_1981/klagomålsmail/A 45914-2025 FSC-klagomål mail.docx", "A 45914-2025")</f>
        <v/>
      </c>
      <c r="X336">
        <f>HYPERLINK("https://klasma.github.io/Logging_1981/tillsyn/A 45914-2025 tillsynsbegäran.docx", "A 45914-2025")</f>
        <v/>
      </c>
      <c r="Y336">
        <f>HYPERLINK("https://klasma.github.io/Logging_1981/tillsynsmail/A 45914-2025 tillsynsbegäran mail.docx", "A 45914-2025")</f>
        <v/>
      </c>
    </row>
    <row r="337" ht="15" customHeight="1">
      <c r="A337" t="inlineStr">
        <is>
          <t>A 28696-2023</t>
        </is>
      </c>
      <c r="B337" s="1" t="n">
        <v>45103.71759259259</v>
      </c>
      <c r="C337" s="1" t="n">
        <v>46166</v>
      </c>
      <c r="D337" t="inlineStr">
        <is>
          <t>VÄSTMANLANDS LÄN</t>
        </is>
      </c>
      <c r="E337" t="inlineStr">
        <is>
          <t>SALA</t>
        </is>
      </c>
      <c r="F337" t="inlineStr">
        <is>
          <t>Kommuner</t>
        </is>
      </c>
      <c r="G337" t="n">
        <v>5.9</v>
      </c>
      <c r="H337" t="n">
        <v>0</v>
      </c>
      <c r="I337" t="n">
        <v>0</v>
      </c>
      <c r="J337" t="n">
        <v>0</v>
      </c>
      <c r="K337" t="n">
        <v>0</v>
      </c>
      <c r="L337" t="n">
        <v>0</v>
      </c>
      <c r="M337" t="n">
        <v>0</v>
      </c>
      <c r="N337" t="n">
        <v>0</v>
      </c>
      <c r="O337" t="n">
        <v>0</v>
      </c>
      <c r="P337" t="n">
        <v>0</v>
      </c>
      <c r="Q337" t="n">
        <v>0</v>
      </c>
      <c r="R337" s="2" t="inlineStr"/>
    </row>
    <row r="338" ht="15" customHeight="1">
      <c r="A338" t="inlineStr">
        <is>
          <t>A 6691-2025</t>
        </is>
      </c>
      <c r="B338" s="1" t="n">
        <v>45700.50625</v>
      </c>
      <c r="C338" s="1" t="n">
        <v>46166</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45909-2025</t>
        </is>
      </c>
      <c r="B339" s="1" t="n">
        <v>45923.75078703704</v>
      </c>
      <c r="C339" s="1" t="n">
        <v>46166</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1934-2023</t>
        </is>
      </c>
      <c r="B340" s="1" t="n">
        <v>44939.43024305555</v>
      </c>
      <c r="C340" s="1" t="n">
        <v>46166</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35519-2024</t>
        </is>
      </c>
      <c r="B341" s="1" t="n">
        <v>45531</v>
      </c>
      <c r="C341" s="1" t="n">
        <v>46166</v>
      </c>
      <c r="D341" t="inlineStr">
        <is>
          <t>VÄSTMANLANDS LÄN</t>
        </is>
      </c>
      <c r="E341" t="inlineStr">
        <is>
          <t>SALA</t>
        </is>
      </c>
      <c r="G341" t="n">
        <v>1.8</v>
      </c>
      <c r="H341" t="n">
        <v>0</v>
      </c>
      <c r="I341" t="n">
        <v>0</v>
      </c>
      <c r="J341" t="n">
        <v>0</v>
      </c>
      <c r="K341" t="n">
        <v>0</v>
      </c>
      <c r="L341" t="n">
        <v>0</v>
      </c>
      <c r="M341" t="n">
        <v>0</v>
      </c>
      <c r="N341" t="n">
        <v>0</v>
      </c>
      <c r="O341" t="n">
        <v>0</v>
      </c>
      <c r="P341" t="n">
        <v>0</v>
      </c>
      <c r="Q341" t="n">
        <v>0</v>
      </c>
      <c r="R341" s="2" t="inlineStr"/>
    </row>
    <row r="342" ht="15" customHeight="1">
      <c r="A342" t="inlineStr">
        <is>
          <t>A 46915-2025</t>
        </is>
      </c>
      <c r="B342" s="1" t="n">
        <v>45929.42114583333</v>
      </c>
      <c r="C342" s="1" t="n">
        <v>46166</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46597-2025</t>
        </is>
      </c>
      <c r="B343" s="1" t="n">
        <v>45926.40113425926</v>
      </c>
      <c r="C343" s="1" t="n">
        <v>46166</v>
      </c>
      <c r="D343" t="inlineStr">
        <is>
          <t>VÄSTMANLANDS LÄN</t>
        </is>
      </c>
      <c r="E343" t="inlineStr">
        <is>
          <t>SALA</t>
        </is>
      </c>
      <c r="G343" t="n">
        <v>3.4</v>
      </c>
      <c r="H343" t="n">
        <v>0</v>
      </c>
      <c r="I343" t="n">
        <v>0</v>
      </c>
      <c r="J343" t="n">
        <v>0</v>
      </c>
      <c r="K343" t="n">
        <v>0</v>
      </c>
      <c r="L343" t="n">
        <v>0</v>
      </c>
      <c r="M343" t="n">
        <v>0</v>
      </c>
      <c r="N343" t="n">
        <v>0</v>
      </c>
      <c r="O343" t="n">
        <v>0</v>
      </c>
      <c r="P343" t="n">
        <v>0</v>
      </c>
      <c r="Q343" t="n">
        <v>0</v>
      </c>
      <c r="R343" s="2" t="inlineStr"/>
    </row>
    <row r="344" ht="15" customHeight="1">
      <c r="A344" t="inlineStr">
        <is>
          <t>A 50241-2023</t>
        </is>
      </c>
      <c r="B344" s="1" t="n">
        <v>45216</v>
      </c>
      <c r="C344" s="1" t="n">
        <v>46166</v>
      </c>
      <c r="D344" t="inlineStr">
        <is>
          <t>VÄSTMANLANDS LÄN</t>
        </is>
      </c>
      <c r="E344" t="inlineStr">
        <is>
          <t>SALA</t>
        </is>
      </c>
      <c r="G344" t="n">
        <v>1.9</v>
      </c>
      <c r="H344" t="n">
        <v>0</v>
      </c>
      <c r="I344" t="n">
        <v>0</v>
      </c>
      <c r="J344" t="n">
        <v>0</v>
      </c>
      <c r="K344" t="n">
        <v>0</v>
      </c>
      <c r="L344" t="n">
        <v>0</v>
      </c>
      <c r="M344" t="n">
        <v>0</v>
      </c>
      <c r="N344" t="n">
        <v>0</v>
      </c>
      <c r="O344" t="n">
        <v>0</v>
      </c>
      <c r="P344" t="n">
        <v>0</v>
      </c>
      <c r="Q344" t="n">
        <v>0</v>
      </c>
      <c r="R344" s="2" t="inlineStr"/>
    </row>
    <row r="345" ht="15" customHeight="1">
      <c r="A345" t="inlineStr">
        <is>
          <t>A 30971-2022</t>
        </is>
      </c>
      <c r="B345" s="1" t="n">
        <v>44768.46725694444</v>
      </c>
      <c r="C345" s="1" t="n">
        <v>46166</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35637-2022</t>
        </is>
      </c>
      <c r="B346" s="1" t="n">
        <v>44799.55194444444</v>
      </c>
      <c r="C346" s="1" t="n">
        <v>46166</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19304-2025</t>
        </is>
      </c>
      <c r="B347" s="1" t="n">
        <v>45769</v>
      </c>
      <c r="C347" s="1" t="n">
        <v>46166</v>
      </c>
      <c r="D347" t="inlineStr">
        <is>
          <t>VÄSTMANLANDS LÄN</t>
        </is>
      </c>
      <c r="E347" t="inlineStr">
        <is>
          <t>SALA</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27038-2023</t>
        </is>
      </c>
      <c r="B348" s="1" t="n">
        <v>45095</v>
      </c>
      <c r="C348" s="1" t="n">
        <v>46166</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47577-2025</t>
        </is>
      </c>
      <c r="B349" s="1" t="n">
        <v>45931.4047337963</v>
      </c>
      <c r="C349" s="1" t="n">
        <v>46166</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23182-2022</t>
        </is>
      </c>
      <c r="B350" s="1" t="n">
        <v>44719.79707175926</v>
      </c>
      <c r="C350" s="1" t="n">
        <v>46166</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46166</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31859-2023</t>
        </is>
      </c>
      <c r="B352" s="1" t="n">
        <v>45118</v>
      </c>
      <c r="C352" s="1" t="n">
        <v>46166</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c r="U352">
        <f>HYPERLINK("https://klasma.github.io/Logging_1981/knärot/A 31859-2023 karta knärot.png", "A 31859-2023")</f>
        <v/>
      </c>
      <c r="V352">
        <f>HYPERLINK("https://klasma.github.io/Logging_1981/klagomål/A 31859-2023 FSC-klagomål.docx", "A 31859-2023")</f>
        <v/>
      </c>
      <c r="W352">
        <f>HYPERLINK("https://klasma.github.io/Logging_1981/klagomålsmail/A 31859-2023 FSC-klagomål mail.docx", "A 31859-2023")</f>
        <v/>
      </c>
      <c r="X352">
        <f>HYPERLINK("https://klasma.github.io/Logging_1981/tillsyn/A 31859-2023 tillsynsbegäran.docx", "A 31859-2023")</f>
        <v/>
      </c>
      <c r="Y352">
        <f>HYPERLINK("https://klasma.github.io/Logging_1981/tillsynsmail/A 31859-2023 tillsynsbegäran mail.docx", "A 31859-2023")</f>
        <v/>
      </c>
    </row>
    <row r="353" ht="15" customHeight="1">
      <c r="A353" t="inlineStr">
        <is>
          <t>A 7469-2025</t>
        </is>
      </c>
      <c r="B353" s="1" t="n">
        <v>45705</v>
      </c>
      <c r="C353" s="1" t="n">
        <v>46166</v>
      </c>
      <c r="D353" t="inlineStr">
        <is>
          <t>VÄSTMANLANDS LÄN</t>
        </is>
      </c>
      <c r="E353" t="inlineStr">
        <is>
          <t>SALA</t>
        </is>
      </c>
      <c r="G353" t="n">
        <v>2.1</v>
      </c>
      <c r="H353" t="n">
        <v>0</v>
      </c>
      <c r="I353" t="n">
        <v>0</v>
      </c>
      <c r="J353" t="n">
        <v>0</v>
      </c>
      <c r="K353" t="n">
        <v>0</v>
      </c>
      <c r="L353" t="n">
        <v>0</v>
      </c>
      <c r="M353" t="n">
        <v>0</v>
      </c>
      <c r="N353" t="n">
        <v>0</v>
      </c>
      <c r="O353" t="n">
        <v>0</v>
      </c>
      <c r="P353" t="n">
        <v>0</v>
      </c>
      <c r="Q353" t="n">
        <v>0</v>
      </c>
      <c r="R353" s="2" t="inlineStr"/>
    </row>
    <row r="354" ht="15" customHeight="1">
      <c r="A354" t="inlineStr">
        <is>
          <t>A 60034-2024</t>
        </is>
      </c>
      <c r="B354" s="1" t="n">
        <v>45642.46261574074</v>
      </c>
      <c r="C354" s="1" t="n">
        <v>46166</v>
      </c>
      <c r="D354" t="inlineStr">
        <is>
          <t>VÄSTMANLANDS LÄN</t>
        </is>
      </c>
      <c r="E354" t="inlineStr">
        <is>
          <t>SALA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48057-2025</t>
        </is>
      </c>
      <c r="B355" s="1" t="n">
        <v>45932.67947916667</v>
      </c>
      <c r="C355" s="1" t="n">
        <v>46166</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34867-2023</t>
        </is>
      </c>
      <c r="B356" s="1" t="n">
        <v>45142.33481481481</v>
      </c>
      <c r="C356" s="1" t="n">
        <v>46166</v>
      </c>
      <c r="D356" t="inlineStr">
        <is>
          <t>VÄSTMANLANDS LÄN</t>
        </is>
      </c>
      <c r="E356" t="inlineStr">
        <is>
          <t>SALA</t>
        </is>
      </c>
      <c r="G356" t="n">
        <v>1.1</v>
      </c>
      <c r="H356" t="n">
        <v>0</v>
      </c>
      <c r="I356" t="n">
        <v>0</v>
      </c>
      <c r="J356" t="n">
        <v>0</v>
      </c>
      <c r="K356" t="n">
        <v>0</v>
      </c>
      <c r="L356" t="n">
        <v>0</v>
      </c>
      <c r="M356" t="n">
        <v>0</v>
      </c>
      <c r="N356" t="n">
        <v>0</v>
      </c>
      <c r="O356" t="n">
        <v>0</v>
      </c>
      <c r="P356" t="n">
        <v>0</v>
      </c>
      <c r="Q356" t="n">
        <v>0</v>
      </c>
      <c r="R356" s="2" t="inlineStr"/>
    </row>
    <row r="357" ht="15" customHeight="1">
      <c r="A357" t="inlineStr">
        <is>
          <t>A 48710-2025</t>
        </is>
      </c>
      <c r="B357" s="1" t="n">
        <v>45936.63184027778</v>
      </c>
      <c r="C357" s="1" t="n">
        <v>46166</v>
      </c>
      <c r="D357" t="inlineStr">
        <is>
          <t>VÄSTMANLANDS LÄN</t>
        </is>
      </c>
      <c r="E357" t="inlineStr">
        <is>
          <t>SALA</t>
        </is>
      </c>
      <c r="G357" t="n">
        <v>2.7</v>
      </c>
      <c r="H357" t="n">
        <v>0</v>
      </c>
      <c r="I357" t="n">
        <v>0</v>
      </c>
      <c r="J357" t="n">
        <v>0</v>
      </c>
      <c r="K357" t="n">
        <v>0</v>
      </c>
      <c r="L357" t="n">
        <v>0</v>
      </c>
      <c r="M357" t="n">
        <v>0</v>
      </c>
      <c r="N357" t="n">
        <v>0</v>
      </c>
      <c r="O357" t="n">
        <v>0</v>
      </c>
      <c r="P357" t="n">
        <v>0</v>
      </c>
      <c r="Q357" t="n">
        <v>0</v>
      </c>
      <c r="R357" s="2" t="inlineStr"/>
    </row>
    <row r="358" ht="15" customHeight="1">
      <c r="A358" t="inlineStr">
        <is>
          <t>A 11631-2023</t>
        </is>
      </c>
      <c r="B358" s="1" t="n">
        <v>44994.44001157407</v>
      </c>
      <c r="C358" s="1" t="n">
        <v>46166</v>
      </c>
      <c r="D358" t="inlineStr">
        <is>
          <t>VÄSTMANLANDS LÄN</t>
        </is>
      </c>
      <c r="E358" t="inlineStr">
        <is>
          <t>SALA</t>
        </is>
      </c>
      <c r="F358" t="inlineStr">
        <is>
          <t>Kommuner</t>
        </is>
      </c>
      <c r="G358" t="n">
        <v>1.9</v>
      </c>
      <c r="H358" t="n">
        <v>0</v>
      </c>
      <c r="I358" t="n">
        <v>0</v>
      </c>
      <c r="J358" t="n">
        <v>0</v>
      </c>
      <c r="K358" t="n">
        <v>0</v>
      </c>
      <c r="L358" t="n">
        <v>0</v>
      </c>
      <c r="M358" t="n">
        <v>0</v>
      </c>
      <c r="N358" t="n">
        <v>0</v>
      </c>
      <c r="O358" t="n">
        <v>0</v>
      </c>
      <c r="P358" t="n">
        <v>0</v>
      </c>
      <c r="Q358" t="n">
        <v>0</v>
      </c>
      <c r="R358" s="2" t="inlineStr"/>
    </row>
    <row r="359" ht="15" customHeight="1">
      <c r="A359" t="inlineStr">
        <is>
          <t>A 48910-2025</t>
        </is>
      </c>
      <c r="B359" s="1" t="n">
        <v>45937.48649305556</v>
      </c>
      <c r="C359" s="1" t="n">
        <v>46166</v>
      </c>
      <c r="D359" t="inlineStr">
        <is>
          <t>VÄSTMANLANDS LÄN</t>
        </is>
      </c>
      <c r="E359" t="inlineStr">
        <is>
          <t>SALA</t>
        </is>
      </c>
      <c r="G359" t="n">
        <v>7.8</v>
      </c>
      <c r="H359" t="n">
        <v>0</v>
      </c>
      <c r="I359" t="n">
        <v>0</v>
      </c>
      <c r="J359" t="n">
        <v>0</v>
      </c>
      <c r="K359" t="n">
        <v>0</v>
      </c>
      <c r="L359" t="n">
        <v>0</v>
      </c>
      <c r="M359" t="n">
        <v>0</v>
      </c>
      <c r="N359" t="n">
        <v>0</v>
      </c>
      <c r="O359" t="n">
        <v>0</v>
      </c>
      <c r="P359" t="n">
        <v>0</v>
      </c>
      <c r="Q359" t="n">
        <v>0</v>
      </c>
      <c r="R359" s="2" t="inlineStr"/>
    </row>
    <row r="360" ht="15" customHeight="1">
      <c r="A360" t="inlineStr">
        <is>
          <t>A 49585-2025</t>
        </is>
      </c>
      <c r="B360" s="1" t="n">
        <v>45939.5043287037</v>
      </c>
      <c r="C360" s="1" t="n">
        <v>46166</v>
      </c>
      <c r="D360" t="inlineStr">
        <is>
          <t>VÄSTMANLANDS LÄN</t>
        </is>
      </c>
      <c r="E360" t="inlineStr">
        <is>
          <t>SALA</t>
        </is>
      </c>
      <c r="G360" t="n">
        <v>2.2</v>
      </c>
      <c r="H360" t="n">
        <v>0</v>
      </c>
      <c r="I360" t="n">
        <v>0</v>
      </c>
      <c r="J360" t="n">
        <v>0</v>
      </c>
      <c r="K360" t="n">
        <v>0</v>
      </c>
      <c r="L360" t="n">
        <v>0</v>
      </c>
      <c r="M360" t="n">
        <v>0</v>
      </c>
      <c r="N360" t="n">
        <v>0</v>
      </c>
      <c r="O360" t="n">
        <v>0</v>
      </c>
      <c r="P360" t="n">
        <v>0</v>
      </c>
      <c r="Q360" t="n">
        <v>0</v>
      </c>
      <c r="R360" s="2" t="inlineStr"/>
    </row>
    <row r="361" ht="15" customHeight="1">
      <c r="A361" t="inlineStr">
        <is>
          <t>A 8775-2024</t>
        </is>
      </c>
      <c r="B361" s="1" t="n">
        <v>45356</v>
      </c>
      <c r="C361" s="1" t="n">
        <v>46166</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48710-2024</t>
        </is>
      </c>
      <c r="B362" s="1" t="n">
        <v>45593.53636574074</v>
      </c>
      <c r="C362" s="1" t="n">
        <v>46166</v>
      </c>
      <c r="D362" t="inlineStr">
        <is>
          <t>VÄSTMANLANDS LÄN</t>
        </is>
      </c>
      <c r="E362" t="inlineStr">
        <is>
          <t>SALA</t>
        </is>
      </c>
      <c r="G362" t="n">
        <v>6.5</v>
      </c>
      <c r="H362" t="n">
        <v>0</v>
      </c>
      <c r="I362" t="n">
        <v>0</v>
      </c>
      <c r="J362" t="n">
        <v>0</v>
      </c>
      <c r="K362" t="n">
        <v>0</v>
      </c>
      <c r="L362" t="n">
        <v>0</v>
      </c>
      <c r="M362" t="n">
        <v>0</v>
      </c>
      <c r="N362" t="n">
        <v>0</v>
      </c>
      <c r="O362" t="n">
        <v>0</v>
      </c>
      <c r="P362" t="n">
        <v>0</v>
      </c>
      <c r="Q362" t="n">
        <v>0</v>
      </c>
      <c r="R362" s="2" t="inlineStr"/>
    </row>
    <row r="363" ht="15" customHeight="1">
      <c r="A363" t="inlineStr">
        <is>
          <t>A 16404-2022</t>
        </is>
      </c>
      <c r="B363" s="1" t="n">
        <v>44671</v>
      </c>
      <c r="C363" s="1" t="n">
        <v>46166</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49640-2025</t>
        </is>
      </c>
      <c r="B364" s="1" t="n">
        <v>45939.61459490741</v>
      </c>
      <c r="C364" s="1" t="n">
        <v>46166</v>
      </c>
      <c r="D364" t="inlineStr">
        <is>
          <t>VÄSTMANLANDS LÄN</t>
        </is>
      </c>
      <c r="E364" t="inlineStr">
        <is>
          <t>SALA</t>
        </is>
      </c>
      <c r="F364" t="inlineStr">
        <is>
          <t>Kommuner</t>
        </is>
      </c>
      <c r="G364" t="n">
        <v>18.8</v>
      </c>
      <c r="H364" t="n">
        <v>0</v>
      </c>
      <c r="I364" t="n">
        <v>0</v>
      </c>
      <c r="J364" t="n">
        <v>0</v>
      </c>
      <c r="K364" t="n">
        <v>0</v>
      </c>
      <c r="L364" t="n">
        <v>0</v>
      </c>
      <c r="M364" t="n">
        <v>0</v>
      </c>
      <c r="N364" t="n">
        <v>0</v>
      </c>
      <c r="O364" t="n">
        <v>0</v>
      </c>
      <c r="P364" t="n">
        <v>0</v>
      </c>
      <c r="Q364" t="n">
        <v>0</v>
      </c>
      <c r="R364" s="2" t="inlineStr"/>
    </row>
    <row r="365" ht="15" customHeight="1">
      <c r="A365" t="inlineStr">
        <is>
          <t>A 24248-2023</t>
        </is>
      </c>
      <c r="B365" s="1" t="n">
        <v>45079</v>
      </c>
      <c r="C365" s="1" t="n">
        <v>46166</v>
      </c>
      <c r="D365" t="inlineStr">
        <is>
          <t>VÄSTMANLANDS LÄN</t>
        </is>
      </c>
      <c r="E365" t="inlineStr">
        <is>
          <t>SALA</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50128-2025</t>
        </is>
      </c>
      <c r="B366" s="1" t="n">
        <v>45943.55318287037</v>
      </c>
      <c r="C366" s="1" t="n">
        <v>46166</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50119-2025</t>
        </is>
      </c>
      <c r="B367" s="1" t="n">
        <v>45943.54883101852</v>
      </c>
      <c r="C367" s="1" t="n">
        <v>46166</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10559-2024</t>
        </is>
      </c>
      <c r="B368" s="1" t="n">
        <v>45366</v>
      </c>
      <c r="C368" s="1" t="n">
        <v>46166</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50059-2025</t>
        </is>
      </c>
      <c r="B369" s="1" t="n">
        <v>45943.44125</v>
      </c>
      <c r="C369" s="1" t="n">
        <v>46166</v>
      </c>
      <c r="D369" t="inlineStr">
        <is>
          <t>VÄSTMANLANDS LÄN</t>
        </is>
      </c>
      <c r="E369" t="inlineStr">
        <is>
          <t>SALA</t>
        </is>
      </c>
      <c r="G369" t="n">
        <v>4.4</v>
      </c>
      <c r="H369" t="n">
        <v>0</v>
      </c>
      <c r="I369" t="n">
        <v>0</v>
      </c>
      <c r="J369" t="n">
        <v>0</v>
      </c>
      <c r="K369" t="n">
        <v>0</v>
      </c>
      <c r="L369" t="n">
        <v>0</v>
      </c>
      <c r="M369" t="n">
        <v>0</v>
      </c>
      <c r="N369" t="n">
        <v>0</v>
      </c>
      <c r="O369" t="n">
        <v>0</v>
      </c>
      <c r="P369" t="n">
        <v>0</v>
      </c>
      <c r="Q369" t="n">
        <v>0</v>
      </c>
      <c r="R369" s="2" t="inlineStr"/>
    </row>
    <row r="370" ht="15" customHeight="1">
      <c r="A370" t="inlineStr">
        <is>
          <t>A 40214-2023</t>
        </is>
      </c>
      <c r="B370" s="1" t="n">
        <v>45169.45173611111</v>
      </c>
      <c r="C370" s="1" t="n">
        <v>46166</v>
      </c>
      <c r="D370" t="inlineStr">
        <is>
          <t>VÄSTMANLANDS LÄN</t>
        </is>
      </c>
      <c r="E370" t="inlineStr">
        <is>
          <t>SALA</t>
        </is>
      </c>
      <c r="G370" t="n">
        <v>5.5</v>
      </c>
      <c r="H370" t="n">
        <v>0</v>
      </c>
      <c r="I370" t="n">
        <v>0</v>
      </c>
      <c r="J370" t="n">
        <v>0</v>
      </c>
      <c r="K370" t="n">
        <v>0</v>
      </c>
      <c r="L370" t="n">
        <v>0</v>
      </c>
      <c r="M370" t="n">
        <v>0</v>
      </c>
      <c r="N370" t="n">
        <v>0</v>
      </c>
      <c r="O370" t="n">
        <v>0</v>
      </c>
      <c r="P370" t="n">
        <v>0</v>
      </c>
      <c r="Q370" t="n">
        <v>0</v>
      </c>
      <c r="R370" s="2" t="inlineStr"/>
    </row>
    <row r="371" ht="15" customHeight="1">
      <c r="A371" t="inlineStr">
        <is>
          <t>A 9856-2022</t>
        </is>
      </c>
      <c r="B371" s="1" t="n">
        <v>44620</v>
      </c>
      <c r="C371" s="1" t="n">
        <v>46166</v>
      </c>
      <c r="D371" t="inlineStr">
        <is>
          <t>VÄSTMANLANDS LÄN</t>
        </is>
      </c>
      <c r="E371" t="inlineStr">
        <is>
          <t>SALA</t>
        </is>
      </c>
      <c r="G371" t="n">
        <v>2.4</v>
      </c>
      <c r="H371" t="n">
        <v>0</v>
      </c>
      <c r="I371" t="n">
        <v>0</v>
      </c>
      <c r="J371" t="n">
        <v>0</v>
      </c>
      <c r="K371" t="n">
        <v>0</v>
      </c>
      <c r="L371" t="n">
        <v>0</v>
      </c>
      <c r="M371" t="n">
        <v>0</v>
      </c>
      <c r="N371" t="n">
        <v>0</v>
      </c>
      <c r="O371" t="n">
        <v>0</v>
      </c>
      <c r="P371" t="n">
        <v>0</v>
      </c>
      <c r="Q371" t="n">
        <v>0</v>
      </c>
      <c r="R371" s="2" t="inlineStr"/>
    </row>
    <row r="372" ht="15" customHeight="1">
      <c r="A372" t="inlineStr">
        <is>
          <t>A 18100-2023</t>
        </is>
      </c>
      <c r="B372" s="1" t="n">
        <v>45040</v>
      </c>
      <c r="C372" s="1" t="n">
        <v>46166</v>
      </c>
      <c r="D372" t="inlineStr">
        <is>
          <t>VÄSTMANLANDS LÄN</t>
        </is>
      </c>
      <c r="E372" t="inlineStr">
        <is>
          <t>SALA</t>
        </is>
      </c>
      <c r="G372" t="n">
        <v>1.8</v>
      </c>
      <c r="H372" t="n">
        <v>0</v>
      </c>
      <c r="I372" t="n">
        <v>0</v>
      </c>
      <c r="J372" t="n">
        <v>0</v>
      </c>
      <c r="K372" t="n">
        <v>0</v>
      </c>
      <c r="L372" t="n">
        <v>0</v>
      </c>
      <c r="M372" t="n">
        <v>0</v>
      </c>
      <c r="N372" t="n">
        <v>0</v>
      </c>
      <c r="O372" t="n">
        <v>0</v>
      </c>
      <c r="P372" t="n">
        <v>0</v>
      </c>
      <c r="Q372" t="n">
        <v>0</v>
      </c>
      <c r="R372" s="2" t="inlineStr"/>
    </row>
    <row r="373" ht="15" customHeight="1">
      <c r="A373" t="inlineStr">
        <is>
          <t>A 50249-2025</t>
        </is>
      </c>
      <c r="B373" s="1" t="n">
        <v>45944.31508101852</v>
      </c>
      <c r="C373" s="1" t="n">
        <v>46166</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23374-2023</t>
        </is>
      </c>
      <c r="B374" s="1" t="n">
        <v>45076.4399537037</v>
      </c>
      <c r="C374" s="1" t="n">
        <v>46166</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6134-2024</t>
        </is>
      </c>
      <c r="B375" s="1" t="n">
        <v>45337</v>
      </c>
      <c r="C375" s="1" t="n">
        <v>46166</v>
      </c>
      <c r="D375" t="inlineStr">
        <is>
          <t>VÄSTMANLANDS LÄN</t>
        </is>
      </c>
      <c r="E375" t="inlineStr">
        <is>
          <t>SALA</t>
        </is>
      </c>
      <c r="G375" t="n">
        <v>1.8</v>
      </c>
      <c r="H375" t="n">
        <v>0</v>
      </c>
      <c r="I375" t="n">
        <v>0</v>
      </c>
      <c r="J375" t="n">
        <v>0</v>
      </c>
      <c r="K375" t="n">
        <v>0</v>
      </c>
      <c r="L375" t="n">
        <v>0</v>
      </c>
      <c r="M375" t="n">
        <v>0</v>
      </c>
      <c r="N375" t="n">
        <v>0</v>
      </c>
      <c r="O375" t="n">
        <v>0</v>
      </c>
      <c r="P375" t="n">
        <v>0</v>
      </c>
      <c r="Q375" t="n">
        <v>0</v>
      </c>
      <c r="R375" s="2" t="inlineStr"/>
    </row>
    <row r="376" ht="15" customHeight="1">
      <c r="A376" t="inlineStr">
        <is>
          <t>A 48117-2024</t>
        </is>
      </c>
      <c r="B376" s="1" t="n">
        <v>45589</v>
      </c>
      <c r="C376" s="1" t="n">
        <v>46166</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31082-2021</t>
        </is>
      </c>
      <c r="B377" s="1" t="n">
        <v>44368</v>
      </c>
      <c r="C377" s="1" t="n">
        <v>46166</v>
      </c>
      <c r="D377" t="inlineStr">
        <is>
          <t>VÄSTMANLANDS LÄN</t>
        </is>
      </c>
      <c r="E377" t="inlineStr">
        <is>
          <t>SALA</t>
        </is>
      </c>
      <c r="G377" t="n">
        <v>2</v>
      </c>
      <c r="H377" t="n">
        <v>0</v>
      </c>
      <c r="I377" t="n">
        <v>0</v>
      </c>
      <c r="J377" t="n">
        <v>0</v>
      </c>
      <c r="K377" t="n">
        <v>0</v>
      </c>
      <c r="L377" t="n">
        <v>0</v>
      </c>
      <c r="M377" t="n">
        <v>0</v>
      </c>
      <c r="N377" t="n">
        <v>0</v>
      </c>
      <c r="O377" t="n">
        <v>0</v>
      </c>
      <c r="P377" t="n">
        <v>0</v>
      </c>
      <c r="Q377" t="n">
        <v>0</v>
      </c>
      <c r="R377" s="2" t="inlineStr"/>
    </row>
    <row r="378" ht="15" customHeight="1">
      <c r="A378" t="inlineStr">
        <is>
          <t>A 31470-2021</t>
        </is>
      </c>
      <c r="B378" s="1" t="n">
        <v>44369</v>
      </c>
      <c r="C378" s="1" t="n">
        <v>46166</v>
      </c>
      <c r="D378" t="inlineStr">
        <is>
          <t>VÄSTMANLANDS LÄN</t>
        </is>
      </c>
      <c r="E378" t="inlineStr">
        <is>
          <t>SALA</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51764-2025</t>
        </is>
      </c>
      <c r="B379" s="1" t="n">
        <v>45951.63636574074</v>
      </c>
      <c r="C379" s="1" t="n">
        <v>46166</v>
      </c>
      <c r="D379" t="inlineStr">
        <is>
          <t>VÄSTMANLANDS LÄN</t>
        </is>
      </c>
      <c r="E379" t="inlineStr">
        <is>
          <t>SALA</t>
        </is>
      </c>
      <c r="G379" t="n">
        <v>1.5</v>
      </c>
      <c r="H379" t="n">
        <v>0</v>
      </c>
      <c r="I379" t="n">
        <v>0</v>
      </c>
      <c r="J379" t="n">
        <v>0</v>
      </c>
      <c r="K379" t="n">
        <v>0</v>
      </c>
      <c r="L379" t="n">
        <v>0</v>
      </c>
      <c r="M379" t="n">
        <v>0</v>
      </c>
      <c r="N379" t="n">
        <v>0</v>
      </c>
      <c r="O379" t="n">
        <v>0</v>
      </c>
      <c r="P379" t="n">
        <v>0</v>
      </c>
      <c r="Q379" t="n">
        <v>0</v>
      </c>
      <c r="R379" s="2" t="inlineStr"/>
    </row>
    <row r="380" ht="15" customHeight="1">
      <c r="A380" t="inlineStr">
        <is>
          <t>A 24175-2024</t>
        </is>
      </c>
      <c r="B380" s="1" t="n">
        <v>45456</v>
      </c>
      <c r="C380" s="1" t="n">
        <v>46166</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28328-2023</t>
        </is>
      </c>
      <c r="B381" s="1" t="n">
        <v>45099.71063657408</v>
      </c>
      <c r="C381" s="1" t="n">
        <v>46166</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51626-2025</t>
        </is>
      </c>
      <c r="B382" s="1" t="n">
        <v>45951.41769675926</v>
      </c>
      <c r="C382" s="1" t="n">
        <v>46166</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51690-2025</t>
        </is>
      </c>
      <c r="B383" s="1" t="n">
        <v>45951.53462962963</v>
      </c>
      <c r="C383" s="1" t="n">
        <v>46166</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61715-2024</t>
        </is>
      </c>
      <c r="B384" s="1" t="n">
        <v>45648.89519675926</v>
      </c>
      <c r="C384" s="1" t="n">
        <v>46166</v>
      </c>
      <c r="D384" t="inlineStr">
        <is>
          <t>VÄSTMANLANDS LÄN</t>
        </is>
      </c>
      <c r="E384" t="inlineStr">
        <is>
          <t>SALA</t>
        </is>
      </c>
      <c r="G384" t="n">
        <v>2.5</v>
      </c>
      <c r="H384" t="n">
        <v>0</v>
      </c>
      <c r="I384" t="n">
        <v>0</v>
      </c>
      <c r="J384" t="n">
        <v>0</v>
      </c>
      <c r="K384" t="n">
        <v>0</v>
      </c>
      <c r="L384" t="n">
        <v>0</v>
      </c>
      <c r="M384" t="n">
        <v>0</v>
      </c>
      <c r="N384" t="n">
        <v>0</v>
      </c>
      <c r="O384" t="n">
        <v>0</v>
      </c>
      <c r="P384" t="n">
        <v>0</v>
      </c>
      <c r="Q384" t="n">
        <v>0</v>
      </c>
      <c r="R384" s="2" t="inlineStr"/>
    </row>
    <row r="385" ht="15" customHeight="1">
      <c r="A385" t="inlineStr">
        <is>
          <t>A 38195-2021</t>
        </is>
      </c>
      <c r="B385" s="1" t="n">
        <v>44405</v>
      </c>
      <c r="C385" s="1" t="n">
        <v>46166</v>
      </c>
      <c r="D385" t="inlineStr">
        <is>
          <t>VÄSTMANLANDS LÄN</t>
        </is>
      </c>
      <c r="E385" t="inlineStr">
        <is>
          <t>SALA</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51804-2025</t>
        </is>
      </c>
      <c r="B386" s="1" t="n">
        <v>45951.77697916667</v>
      </c>
      <c r="C386" s="1" t="n">
        <v>46166</v>
      </c>
      <c r="D386" t="inlineStr">
        <is>
          <t>VÄSTMANLANDS LÄN</t>
        </is>
      </c>
      <c r="E386" t="inlineStr">
        <is>
          <t>SALA</t>
        </is>
      </c>
      <c r="F386" t="inlineStr">
        <is>
          <t>Kommuner</t>
        </is>
      </c>
      <c r="G386" t="n">
        <v>2</v>
      </c>
      <c r="H386" t="n">
        <v>0</v>
      </c>
      <c r="I386" t="n">
        <v>0</v>
      </c>
      <c r="J386" t="n">
        <v>0</v>
      </c>
      <c r="K386" t="n">
        <v>0</v>
      </c>
      <c r="L386" t="n">
        <v>0</v>
      </c>
      <c r="M386" t="n">
        <v>0</v>
      </c>
      <c r="N386" t="n">
        <v>0</v>
      </c>
      <c r="O386" t="n">
        <v>0</v>
      </c>
      <c r="P386" t="n">
        <v>0</v>
      </c>
      <c r="Q386" t="n">
        <v>0</v>
      </c>
      <c r="R386" s="2" t="inlineStr"/>
    </row>
    <row r="387" ht="15" customHeight="1">
      <c r="A387" t="inlineStr">
        <is>
          <t>A 51808-2025</t>
        </is>
      </c>
      <c r="B387" s="1" t="n">
        <v>45951.79302083333</v>
      </c>
      <c r="C387" s="1" t="n">
        <v>46166</v>
      </c>
      <c r="D387" t="inlineStr">
        <is>
          <t>VÄSTMANLANDS LÄN</t>
        </is>
      </c>
      <c r="E387" t="inlineStr">
        <is>
          <t>SALA</t>
        </is>
      </c>
      <c r="F387" t="inlineStr">
        <is>
          <t>Kommuner</t>
        </is>
      </c>
      <c r="G387" t="n">
        <v>3</v>
      </c>
      <c r="H387" t="n">
        <v>0</v>
      </c>
      <c r="I387" t="n">
        <v>0</v>
      </c>
      <c r="J387" t="n">
        <v>0</v>
      </c>
      <c r="K387" t="n">
        <v>0</v>
      </c>
      <c r="L387" t="n">
        <v>0</v>
      </c>
      <c r="M387" t="n">
        <v>0</v>
      </c>
      <c r="N387" t="n">
        <v>0</v>
      </c>
      <c r="O387" t="n">
        <v>0</v>
      </c>
      <c r="P387" t="n">
        <v>0</v>
      </c>
      <c r="Q387" t="n">
        <v>0</v>
      </c>
      <c r="R387" s="2" t="inlineStr"/>
    </row>
    <row r="388" ht="15" customHeight="1">
      <c r="A388" t="inlineStr">
        <is>
          <t>A 51803-2025</t>
        </is>
      </c>
      <c r="B388" s="1" t="n">
        <v>45951.76818287037</v>
      </c>
      <c r="C388" s="1" t="n">
        <v>46166</v>
      </c>
      <c r="D388" t="inlineStr">
        <is>
          <t>VÄSTMANLANDS LÄN</t>
        </is>
      </c>
      <c r="E388" t="inlineStr">
        <is>
          <t>SALA</t>
        </is>
      </c>
      <c r="F388" t="inlineStr">
        <is>
          <t>Kommuner</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51805-2025</t>
        </is>
      </c>
      <c r="B389" s="1" t="n">
        <v>45951.78359953704</v>
      </c>
      <c r="C389" s="1" t="n">
        <v>46166</v>
      </c>
      <c r="D389" t="inlineStr">
        <is>
          <t>VÄSTMANLANDS LÄN</t>
        </is>
      </c>
      <c r="E389" t="inlineStr">
        <is>
          <t>SALA</t>
        </is>
      </c>
      <c r="F389" t="inlineStr">
        <is>
          <t>Kommuner</t>
        </is>
      </c>
      <c r="G389" t="n">
        <v>1.3</v>
      </c>
      <c r="H389" t="n">
        <v>0</v>
      </c>
      <c r="I389" t="n">
        <v>0</v>
      </c>
      <c r="J389" t="n">
        <v>0</v>
      </c>
      <c r="K389" t="n">
        <v>0</v>
      </c>
      <c r="L389" t="n">
        <v>0</v>
      </c>
      <c r="M389" t="n">
        <v>0</v>
      </c>
      <c r="N389" t="n">
        <v>0</v>
      </c>
      <c r="O389" t="n">
        <v>0</v>
      </c>
      <c r="P389" t="n">
        <v>0</v>
      </c>
      <c r="Q389" t="n">
        <v>0</v>
      </c>
      <c r="R389" s="2" t="inlineStr"/>
    </row>
    <row r="390" ht="15" customHeight="1">
      <c r="A390" t="inlineStr">
        <is>
          <t>A 51809-2025</t>
        </is>
      </c>
      <c r="B390" s="1" t="n">
        <v>45951.80116898148</v>
      </c>
      <c r="C390" s="1" t="n">
        <v>46166</v>
      </c>
      <c r="D390" t="inlineStr">
        <is>
          <t>VÄSTMANLANDS LÄN</t>
        </is>
      </c>
      <c r="E390" t="inlineStr">
        <is>
          <t>SALA</t>
        </is>
      </c>
      <c r="F390" t="inlineStr">
        <is>
          <t>Kommuner</t>
        </is>
      </c>
      <c r="G390" t="n">
        <v>3.5</v>
      </c>
      <c r="H390" t="n">
        <v>0</v>
      </c>
      <c r="I390" t="n">
        <v>0</v>
      </c>
      <c r="J390" t="n">
        <v>0</v>
      </c>
      <c r="K390" t="n">
        <v>0</v>
      </c>
      <c r="L390" t="n">
        <v>0</v>
      </c>
      <c r="M390" t="n">
        <v>0</v>
      </c>
      <c r="N390" t="n">
        <v>0</v>
      </c>
      <c r="O390" t="n">
        <v>0</v>
      </c>
      <c r="P390" t="n">
        <v>0</v>
      </c>
      <c r="Q390" t="n">
        <v>0</v>
      </c>
      <c r="R390" s="2" t="inlineStr"/>
    </row>
    <row r="391" ht="15" customHeight="1">
      <c r="A391" t="inlineStr">
        <is>
          <t>A 6132-2025</t>
        </is>
      </c>
      <c r="B391" s="1" t="n">
        <v>45698</v>
      </c>
      <c r="C391" s="1" t="n">
        <v>46166</v>
      </c>
      <c r="D391" t="inlineStr">
        <is>
          <t>VÄSTMANLANDS LÄN</t>
        </is>
      </c>
      <c r="E391" t="inlineStr">
        <is>
          <t>SALA</t>
        </is>
      </c>
      <c r="F391" t="inlineStr">
        <is>
          <t>Bergvik skog öst AB</t>
        </is>
      </c>
      <c r="G391" t="n">
        <v>1.5</v>
      </c>
      <c r="H391" t="n">
        <v>0</v>
      </c>
      <c r="I391" t="n">
        <v>0</v>
      </c>
      <c r="J391" t="n">
        <v>0</v>
      </c>
      <c r="K391" t="n">
        <v>0</v>
      </c>
      <c r="L391" t="n">
        <v>0</v>
      </c>
      <c r="M391" t="n">
        <v>0</v>
      </c>
      <c r="N391" t="n">
        <v>0</v>
      </c>
      <c r="O391" t="n">
        <v>0</v>
      </c>
      <c r="P391" t="n">
        <v>0</v>
      </c>
      <c r="Q391" t="n">
        <v>0</v>
      </c>
      <c r="R391" s="2" t="inlineStr"/>
    </row>
    <row r="392" ht="15" customHeight="1">
      <c r="A392" t="inlineStr">
        <is>
          <t>A 21777-2022</t>
        </is>
      </c>
      <c r="B392" s="1" t="n">
        <v>44708.48194444444</v>
      </c>
      <c r="C392" s="1" t="n">
        <v>46166</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11389-2024</t>
        </is>
      </c>
      <c r="B393" s="1" t="n">
        <v>45372.45016203704</v>
      </c>
      <c r="C393" s="1" t="n">
        <v>46166</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2925-2024</t>
        </is>
      </c>
      <c r="B394" s="1" t="n">
        <v>45315.58909722222</v>
      </c>
      <c r="C394" s="1" t="n">
        <v>46166</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39439-2021</t>
        </is>
      </c>
      <c r="B395" s="1" t="n">
        <v>44414</v>
      </c>
      <c r="C395" s="1" t="n">
        <v>46166</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3332-2024</t>
        </is>
      </c>
      <c r="B396" s="1" t="n">
        <v>45317</v>
      </c>
      <c r="C396" s="1" t="n">
        <v>46166</v>
      </c>
      <c r="D396" t="inlineStr">
        <is>
          <t>VÄSTMANLANDS LÄN</t>
        </is>
      </c>
      <c r="E396" t="inlineStr">
        <is>
          <t>SALA</t>
        </is>
      </c>
      <c r="G396" t="n">
        <v>2</v>
      </c>
      <c r="H396" t="n">
        <v>0</v>
      </c>
      <c r="I396" t="n">
        <v>0</v>
      </c>
      <c r="J396" t="n">
        <v>0</v>
      </c>
      <c r="K396" t="n">
        <v>0</v>
      </c>
      <c r="L396" t="n">
        <v>0</v>
      </c>
      <c r="M396" t="n">
        <v>0</v>
      </c>
      <c r="N396" t="n">
        <v>0</v>
      </c>
      <c r="O396" t="n">
        <v>0</v>
      </c>
      <c r="P396" t="n">
        <v>0</v>
      </c>
      <c r="Q396" t="n">
        <v>0</v>
      </c>
      <c r="R396" s="2" t="inlineStr"/>
    </row>
    <row r="397" ht="15" customHeight="1">
      <c r="A397" t="inlineStr">
        <is>
          <t>A 53725-2025</t>
        </is>
      </c>
      <c r="B397" s="1" t="n">
        <v>45960.63394675926</v>
      </c>
      <c r="C397" s="1" t="n">
        <v>46166</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2529-2022</t>
        </is>
      </c>
      <c r="B398" s="1" t="n">
        <v>44579.86452546297</v>
      </c>
      <c r="C398" s="1" t="n">
        <v>46166</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38636-2024</t>
        </is>
      </c>
      <c r="B399" s="1" t="n">
        <v>45546</v>
      </c>
      <c r="C399" s="1" t="n">
        <v>46166</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13471-2025</t>
        </is>
      </c>
      <c r="B400" s="1" t="n">
        <v>45736.40579861111</v>
      </c>
      <c r="C400" s="1" t="n">
        <v>46166</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53744-2025</t>
        </is>
      </c>
      <c r="B401" s="1" t="n">
        <v>45960.64863425926</v>
      </c>
      <c r="C401" s="1" t="n">
        <v>46166</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15681-2025</t>
        </is>
      </c>
      <c r="B402" s="1" t="n">
        <v>45748.45454861111</v>
      </c>
      <c r="C402" s="1" t="n">
        <v>46166</v>
      </c>
      <c r="D402" t="inlineStr">
        <is>
          <t>VÄSTMANLANDS LÄN</t>
        </is>
      </c>
      <c r="E402" t="inlineStr">
        <is>
          <t>SALA</t>
        </is>
      </c>
      <c r="F402" t="inlineStr">
        <is>
          <t>Bergvik skog öst AB</t>
        </is>
      </c>
      <c r="G402" t="n">
        <v>4.3</v>
      </c>
      <c r="H402" t="n">
        <v>0</v>
      </c>
      <c r="I402" t="n">
        <v>0</v>
      </c>
      <c r="J402" t="n">
        <v>0</v>
      </c>
      <c r="K402" t="n">
        <v>0</v>
      </c>
      <c r="L402" t="n">
        <v>0</v>
      </c>
      <c r="M402" t="n">
        <v>0</v>
      </c>
      <c r="N402" t="n">
        <v>0</v>
      </c>
      <c r="O402" t="n">
        <v>0</v>
      </c>
      <c r="P402" t="n">
        <v>0</v>
      </c>
      <c r="Q402" t="n">
        <v>0</v>
      </c>
      <c r="R402" s="2" t="inlineStr"/>
    </row>
    <row r="403" ht="15" customHeight="1">
      <c r="A403" t="inlineStr">
        <is>
          <t>A 18431-2023</t>
        </is>
      </c>
      <c r="B403" s="1" t="n">
        <v>45042</v>
      </c>
      <c r="C403" s="1" t="n">
        <v>46166</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53724-2025</t>
        </is>
      </c>
      <c r="B404" s="1" t="n">
        <v>45960.63174768518</v>
      </c>
      <c r="C404" s="1" t="n">
        <v>46166</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27424-2023</t>
        </is>
      </c>
      <c r="B405" s="1" t="n">
        <v>45097.37690972222</v>
      </c>
      <c r="C405" s="1" t="n">
        <v>46166</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58701-2021</t>
        </is>
      </c>
      <c r="B406" s="1" t="n">
        <v>44489.46454861111</v>
      </c>
      <c r="C406" s="1" t="n">
        <v>46166</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11244-2024</t>
        </is>
      </c>
      <c r="B407" s="1" t="n">
        <v>45371</v>
      </c>
      <c r="C407" s="1" t="n">
        <v>46166</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54344-2025</t>
        </is>
      </c>
      <c r="B408" s="1" t="n">
        <v>45965.36462962963</v>
      </c>
      <c r="C408" s="1" t="n">
        <v>46166</v>
      </c>
      <c r="D408" t="inlineStr">
        <is>
          <t>VÄSTMANLANDS LÄN</t>
        </is>
      </c>
      <c r="E408" t="inlineStr">
        <is>
          <t>SALA</t>
        </is>
      </c>
      <c r="G408" t="n">
        <v>2</v>
      </c>
      <c r="H408" t="n">
        <v>0</v>
      </c>
      <c r="I408" t="n">
        <v>0</v>
      </c>
      <c r="J408" t="n">
        <v>0</v>
      </c>
      <c r="K408" t="n">
        <v>0</v>
      </c>
      <c r="L408" t="n">
        <v>0</v>
      </c>
      <c r="M408" t="n">
        <v>0</v>
      </c>
      <c r="N408" t="n">
        <v>0</v>
      </c>
      <c r="O408" t="n">
        <v>0</v>
      </c>
      <c r="P408" t="n">
        <v>0</v>
      </c>
      <c r="Q408" t="n">
        <v>0</v>
      </c>
      <c r="R408" s="2" t="inlineStr"/>
    </row>
    <row r="409" ht="15" customHeight="1">
      <c r="A409" t="inlineStr">
        <is>
          <t>A 12225-2023</t>
        </is>
      </c>
      <c r="B409" s="1" t="n">
        <v>44995</v>
      </c>
      <c r="C409" s="1" t="n">
        <v>46166</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54590-2025</t>
        </is>
      </c>
      <c r="B410" s="1" t="n">
        <v>45965.74199074074</v>
      </c>
      <c r="C410" s="1" t="n">
        <v>46166</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54201-2025</t>
        </is>
      </c>
      <c r="B411" s="1" t="n">
        <v>45964.58055555556</v>
      </c>
      <c r="C411" s="1" t="n">
        <v>46166</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61874-2021</t>
        </is>
      </c>
      <c r="B412" s="1" t="n">
        <v>44502</v>
      </c>
      <c r="C412" s="1" t="n">
        <v>46166</v>
      </c>
      <c r="D412" t="inlineStr">
        <is>
          <t>VÄSTMANLANDS LÄN</t>
        </is>
      </c>
      <c r="E412" t="inlineStr">
        <is>
          <t>SALA</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54893-2025</t>
        </is>
      </c>
      <c r="B413" s="1" t="n">
        <v>45967.36383101852</v>
      </c>
      <c r="C413" s="1" t="n">
        <v>46166</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62651-2022</t>
        </is>
      </c>
      <c r="B414" s="1" t="n">
        <v>44917</v>
      </c>
      <c r="C414" s="1" t="n">
        <v>46166</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15968-2024</t>
        </is>
      </c>
      <c r="B415" s="1" t="n">
        <v>45405.56021990741</v>
      </c>
      <c r="C415" s="1" t="n">
        <v>46166</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60730-2023</t>
        </is>
      </c>
      <c r="B416" s="1" t="n">
        <v>45260</v>
      </c>
      <c r="C416" s="1" t="n">
        <v>46166</v>
      </c>
      <c r="D416" t="inlineStr">
        <is>
          <t>VÄSTMANLANDS LÄN</t>
        </is>
      </c>
      <c r="E416" t="inlineStr">
        <is>
          <t>SALA</t>
        </is>
      </c>
      <c r="G416" t="n">
        <v>1.3</v>
      </c>
      <c r="H416" t="n">
        <v>0</v>
      </c>
      <c r="I416" t="n">
        <v>0</v>
      </c>
      <c r="J416" t="n">
        <v>0</v>
      </c>
      <c r="K416" t="n">
        <v>0</v>
      </c>
      <c r="L416" t="n">
        <v>0</v>
      </c>
      <c r="M416" t="n">
        <v>0</v>
      </c>
      <c r="N416" t="n">
        <v>0</v>
      </c>
      <c r="O416" t="n">
        <v>0</v>
      </c>
      <c r="P416" t="n">
        <v>0</v>
      </c>
      <c r="Q416" t="n">
        <v>0</v>
      </c>
      <c r="R416" s="2" t="inlineStr"/>
    </row>
    <row r="417" ht="15" customHeight="1">
      <c r="A417" t="inlineStr">
        <is>
          <t>A 60731-2023</t>
        </is>
      </c>
      <c r="B417" s="1" t="n">
        <v>45260</v>
      </c>
      <c r="C417" s="1" t="n">
        <v>46166</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19033-2025</t>
        </is>
      </c>
      <c r="B418" s="1" t="n">
        <v>45764.65796296296</v>
      </c>
      <c r="C418" s="1" t="n">
        <v>46166</v>
      </c>
      <c r="D418" t="inlineStr">
        <is>
          <t>VÄSTMANLANDS LÄN</t>
        </is>
      </c>
      <c r="E418" t="inlineStr">
        <is>
          <t>SALA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18461-2024</t>
        </is>
      </c>
      <c r="B419" s="1" t="n">
        <v>45425.47435185185</v>
      </c>
      <c r="C419" s="1" t="n">
        <v>46166</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4663-2022</t>
        </is>
      </c>
      <c r="B420" s="1" t="n">
        <v>44592.45429398148</v>
      </c>
      <c r="C420" s="1" t="n">
        <v>46166</v>
      </c>
      <c r="D420" t="inlineStr">
        <is>
          <t>VÄSTMANLANDS LÄN</t>
        </is>
      </c>
      <c r="E420" t="inlineStr">
        <is>
          <t>SALA</t>
        </is>
      </c>
      <c r="G420" t="n">
        <v>2.5</v>
      </c>
      <c r="H420" t="n">
        <v>0</v>
      </c>
      <c r="I420" t="n">
        <v>0</v>
      </c>
      <c r="J420" t="n">
        <v>0</v>
      </c>
      <c r="K420" t="n">
        <v>0</v>
      </c>
      <c r="L420" t="n">
        <v>0</v>
      </c>
      <c r="M420" t="n">
        <v>0</v>
      </c>
      <c r="N420" t="n">
        <v>0</v>
      </c>
      <c r="O420" t="n">
        <v>0</v>
      </c>
      <c r="P420" t="n">
        <v>0</v>
      </c>
      <c r="Q420" t="n">
        <v>0</v>
      </c>
      <c r="R420" s="2" t="inlineStr"/>
    </row>
    <row r="421" ht="15" customHeight="1">
      <c r="A421" t="inlineStr">
        <is>
          <t>A 6032-2025</t>
        </is>
      </c>
      <c r="B421" s="1" t="n">
        <v>45695.6371875</v>
      </c>
      <c r="C421" s="1" t="n">
        <v>46166</v>
      </c>
      <c r="D421" t="inlineStr">
        <is>
          <t>VÄSTMANLANDS LÄN</t>
        </is>
      </c>
      <c r="E421" t="inlineStr">
        <is>
          <t>SALA</t>
        </is>
      </c>
      <c r="F421" t="inlineStr">
        <is>
          <t>Bergvik skog öst AB</t>
        </is>
      </c>
      <c r="G421" t="n">
        <v>8.1</v>
      </c>
      <c r="H421" t="n">
        <v>0</v>
      </c>
      <c r="I421" t="n">
        <v>0</v>
      </c>
      <c r="J421" t="n">
        <v>0</v>
      </c>
      <c r="K421" t="n">
        <v>0</v>
      </c>
      <c r="L421" t="n">
        <v>0</v>
      </c>
      <c r="M421" t="n">
        <v>0</v>
      </c>
      <c r="N421" t="n">
        <v>0</v>
      </c>
      <c r="O421" t="n">
        <v>0</v>
      </c>
      <c r="P421" t="n">
        <v>0</v>
      </c>
      <c r="Q421" t="n">
        <v>0</v>
      </c>
      <c r="R421" s="2" t="inlineStr"/>
    </row>
    <row r="422" ht="15" customHeight="1">
      <c r="A422" t="inlineStr">
        <is>
          <t>A 55997-2025</t>
        </is>
      </c>
      <c r="B422" s="1" t="n">
        <v>45973.56833333334</v>
      </c>
      <c r="C422" s="1" t="n">
        <v>46166</v>
      </c>
      <c r="D422" t="inlineStr">
        <is>
          <t>VÄSTMANLANDS LÄN</t>
        </is>
      </c>
      <c r="E422" t="inlineStr">
        <is>
          <t>SALA</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55714-2025</t>
        </is>
      </c>
      <c r="B423" s="1" t="n">
        <v>45972.49131944445</v>
      </c>
      <c r="C423" s="1" t="n">
        <v>46166</v>
      </c>
      <c r="D423" t="inlineStr">
        <is>
          <t>VÄSTMANLANDS LÄN</t>
        </is>
      </c>
      <c r="E423" t="inlineStr">
        <is>
          <t>SALA</t>
        </is>
      </c>
      <c r="G423" t="n">
        <v>6.6</v>
      </c>
      <c r="H423" t="n">
        <v>0</v>
      </c>
      <c r="I423" t="n">
        <v>0</v>
      </c>
      <c r="J423" t="n">
        <v>0</v>
      </c>
      <c r="K423" t="n">
        <v>0</v>
      </c>
      <c r="L423" t="n">
        <v>0</v>
      </c>
      <c r="M423" t="n">
        <v>0</v>
      </c>
      <c r="N423" t="n">
        <v>0</v>
      </c>
      <c r="O423" t="n">
        <v>0</v>
      </c>
      <c r="P423" t="n">
        <v>0</v>
      </c>
      <c r="Q423" t="n">
        <v>0</v>
      </c>
      <c r="R423" s="2" t="inlineStr"/>
    </row>
    <row r="424" ht="15" customHeight="1">
      <c r="A424" t="inlineStr">
        <is>
          <t>A 2766-2024</t>
        </is>
      </c>
      <c r="B424" s="1" t="n">
        <v>45314.60950231482</v>
      </c>
      <c r="C424" s="1" t="n">
        <v>46166</v>
      </c>
      <c r="D424" t="inlineStr">
        <is>
          <t>VÄSTMANLANDS LÄN</t>
        </is>
      </c>
      <c r="E424" t="inlineStr">
        <is>
          <t>SALA</t>
        </is>
      </c>
      <c r="G424" t="n">
        <v>2.8</v>
      </c>
      <c r="H424" t="n">
        <v>0</v>
      </c>
      <c r="I424" t="n">
        <v>0</v>
      </c>
      <c r="J424" t="n">
        <v>0</v>
      </c>
      <c r="K424" t="n">
        <v>0</v>
      </c>
      <c r="L424" t="n">
        <v>0</v>
      </c>
      <c r="M424" t="n">
        <v>0</v>
      </c>
      <c r="N424" t="n">
        <v>0</v>
      </c>
      <c r="O424" t="n">
        <v>0</v>
      </c>
      <c r="P424" t="n">
        <v>0</v>
      </c>
      <c r="Q424" t="n">
        <v>0</v>
      </c>
      <c r="R424" s="2" t="inlineStr"/>
    </row>
    <row r="425" ht="15" customHeight="1">
      <c r="A425" t="inlineStr">
        <is>
          <t>A 56593-2025</t>
        </is>
      </c>
      <c r="B425" s="1" t="n">
        <v>45975</v>
      </c>
      <c r="C425" s="1" t="n">
        <v>46166</v>
      </c>
      <c r="D425" t="inlineStr">
        <is>
          <t>VÄSTMANLANDS LÄN</t>
        </is>
      </c>
      <c r="E425" t="inlineStr">
        <is>
          <t>SALA</t>
        </is>
      </c>
      <c r="F425" t="inlineStr">
        <is>
          <t>Kyrkan</t>
        </is>
      </c>
      <c r="G425" t="n">
        <v>0.1</v>
      </c>
      <c r="H425" t="n">
        <v>0</v>
      </c>
      <c r="I425" t="n">
        <v>0</v>
      </c>
      <c r="J425" t="n">
        <v>0</v>
      </c>
      <c r="K425" t="n">
        <v>0</v>
      </c>
      <c r="L425" t="n">
        <v>0</v>
      </c>
      <c r="M425" t="n">
        <v>0</v>
      </c>
      <c r="N425" t="n">
        <v>0</v>
      </c>
      <c r="O425" t="n">
        <v>0</v>
      </c>
      <c r="P425" t="n">
        <v>0</v>
      </c>
      <c r="Q425" t="n">
        <v>0</v>
      </c>
      <c r="R425" s="2" t="inlineStr"/>
    </row>
    <row r="426" ht="15" customHeight="1">
      <c r="A426" t="inlineStr">
        <is>
          <t>A 6351-2023</t>
        </is>
      </c>
      <c r="B426" s="1" t="n">
        <v>44965</v>
      </c>
      <c r="C426" s="1" t="n">
        <v>46166</v>
      </c>
      <c r="D426" t="inlineStr">
        <is>
          <t>VÄSTMANLANDS LÄN</t>
        </is>
      </c>
      <c r="E426" t="inlineStr">
        <is>
          <t>SALA</t>
        </is>
      </c>
      <c r="F426" t="inlineStr">
        <is>
          <t>Kommuner</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56645-2025</t>
        </is>
      </c>
      <c r="B427" s="1" t="n">
        <v>45975.63063657407</v>
      </c>
      <c r="C427" s="1" t="n">
        <v>46166</v>
      </c>
      <c r="D427" t="inlineStr">
        <is>
          <t>VÄSTMANLANDS LÄN</t>
        </is>
      </c>
      <c r="E427" t="inlineStr">
        <is>
          <t>SALA</t>
        </is>
      </c>
      <c r="F427" t="inlineStr">
        <is>
          <t>Bergvik skog öst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45187-2024</t>
        </is>
      </c>
      <c r="B428" s="1" t="n">
        <v>45575</v>
      </c>
      <c r="C428" s="1" t="n">
        <v>46166</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56502-2025</t>
        </is>
      </c>
      <c r="B429" s="1" t="n">
        <v>45975</v>
      </c>
      <c r="C429" s="1" t="n">
        <v>46166</v>
      </c>
      <c r="D429" t="inlineStr">
        <is>
          <t>VÄSTMANLANDS LÄN</t>
        </is>
      </c>
      <c r="E429" t="inlineStr">
        <is>
          <t>SALA</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56614-2025</t>
        </is>
      </c>
      <c r="B430" s="1" t="n">
        <v>45975.59288194445</v>
      </c>
      <c r="C430" s="1" t="n">
        <v>46166</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56611-2025</t>
        </is>
      </c>
      <c r="B431" s="1" t="n">
        <v>45975</v>
      </c>
      <c r="C431" s="1" t="n">
        <v>46166</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33527-2023</t>
        </is>
      </c>
      <c r="B432" s="1" t="n">
        <v>45131</v>
      </c>
      <c r="C432" s="1" t="n">
        <v>46166</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7377-2023</t>
        </is>
      </c>
      <c r="B433" s="1" t="n">
        <v>44971</v>
      </c>
      <c r="C433" s="1" t="n">
        <v>46166</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57014-2025</t>
        </is>
      </c>
      <c r="B434" s="1" t="n">
        <v>45978</v>
      </c>
      <c r="C434" s="1" t="n">
        <v>46166</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21159-2022</t>
        </is>
      </c>
      <c r="B435" s="1" t="n">
        <v>44704</v>
      </c>
      <c r="C435" s="1" t="n">
        <v>46166</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57414-2025</t>
        </is>
      </c>
      <c r="B436" s="1" t="n">
        <v>45980.45003472222</v>
      </c>
      <c r="C436" s="1" t="n">
        <v>46166</v>
      </c>
      <c r="D436" t="inlineStr">
        <is>
          <t>VÄSTMANLANDS LÄN</t>
        </is>
      </c>
      <c r="E436" t="inlineStr">
        <is>
          <t>SALA</t>
        </is>
      </c>
      <c r="F436" t="inlineStr">
        <is>
          <t>Bergvik skog öst AB</t>
        </is>
      </c>
      <c r="G436" t="n">
        <v>2</v>
      </c>
      <c r="H436" t="n">
        <v>0</v>
      </c>
      <c r="I436" t="n">
        <v>0</v>
      </c>
      <c r="J436" t="n">
        <v>0</v>
      </c>
      <c r="K436" t="n">
        <v>0</v>
      </c>
      <c r="L436" t="n">
        <v>0</v>
      </c>
      <c r="M436" t="n">
        <v>0</v>
      </c>
      <c r="N436" t="n">
        <v>0</v>
      </c>
      <c r="O436" t="n">
        <v>0</v>
      </c>
      <c r="P436" t="n">
        <v>0</v>
      </c>
      <c r="Q436" t="n">
        <v>0</v>
      </c>
      <c r="R436" s="2" t="inlineStr"/>
    </row>
    <row r="437" ht="15" customHeight="1">
      <c r="A437" t="inlineStr">
        <is>
          <t>A 57415-2025</t>
        </is>
      </c>
      <c r="B437" s="1" t="n">
        <v>45980.45099537037</v>
      </c>
      <c r="C437" s="1" t="n">
        <v>46166</v>
      </c>
      <c r="D437" t="inlineStr">
        <is>
          <t>VÄSTMANLANDS LÄN</t>
        </is>
      </c>
      <c r="E437" t="inlineStr">
        <is>
          <t>SALA</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57412-2025</t>
        </is>
      </c>
      <c r="B438" s="1" t="n">
        <v>45980.44883101852</v>
      </c>
      <c r="C438" s="1" t="n">
        <v>46166</v>
      </c>
      <c r="D438" t="inlineStr">
        <is>
          <t>VÄSTMANLANDS LÄN</t>
        </is>
      </c>
      <c r="E438" t="inlineStr">
        <is>
          <t>SALA</t>
        </is>
      </c>
      <c r="F438" t="inlineStr">
        <is>
          <t>Bergvik skog öst AB</t>
        </is>
      </c>
      <c r="G438" t="n">
        <v>4.5</v>
      </c>
      <c r="H438" t="n">
        <v>0</v>
      </c>
      <c r="I438" t="n">
        <v>0</v>
      </c>
      <c r="J438" t="n">
        <v>0</v>
      </c>
      <c r="K438" t="n">
        <v>0</v>
      </c>
      <c r="L438" t="n">
        <v>0</v>
      </c>
      <c r="M438" t="n">
        <v>0</v>
      </c>
      <c r="N438" t="n">
        <v>0</v>
      </c>
      <c r="O438" t="n">
        <v>0</v>
      </c>
      <c r="P438" t="n">
        <v>0</v>
      </c>
      <c r="Q438" t="n">
        <v>0</v>
      </c>
      <c r="R438" s="2" t="inlineStr"/>
    </row>
    <row r="439" ht="15" customHeight="1">
      <c r="A439" t="inlineStr">
        <is>
          <t>A 56688-2024</t>
        </is>
      </c>
      <c r="B439" s="1" t="n">
        <v>45627.66478009259</v>
      </c>
      <c r="C439" s="1" t="n">
        <v>46166</v>
      </c>
      <c r="D439" t="inlineStr">
        <is>
          <t>VÄSTMANLANDS LÄN</t>
        </is>
      </c>
      <c r="E439" t="inlineStr">
        <is>
          <t>SALA</t>
        </is>
      </c>
      <c r="G439" t="n">
        <v>0.9</v>
      </c>
      <c r="H439" t="n">
        <v>0</v>
      </c>
      <c r="I439" t="n">
        <v>0</v>
      </c>
      <c r="J439" t="n">
        <v>0</v>
      </c>
      <c r="K439" t="n">
        <v>0</v>
      </c>
      <c r="L439" t="n">
        <v>0</v>
      </c>
      <c r="M439" t="n">
        <v>0</v>
      </c>
      <c r="N439" t="n">
        <v>0</v>
      </c>
      <c r="O439" t="n">
        <v>0</v>
      </c>
      <c r="P439" t="n">
        <v>0</v>
      </c>
      <c r="Q439" t="n">
        <v>0</v>
      </c>
      <c r="R439" s="2" t="inlineStr"/>
    </row>
    <row r="440" ht="15" customHeight="1">
      <c r="A440" t="inlineStr">
        <is>
          <t>A 58359-2025</t>
        </is>
      </c>
      <c r="B440" s="1" t="n">
        <v>45985.51594907408</v>
      </c>
      <c r="C440" s="1" t="n">
        <v>46166</v>
      </c>
      <c r="D440" t="inlineStr">
        <is>
          <t>VÄSTMANLANDS LÄN</t>
        </is>
      </c>
      <c r="E440" t="inlineStr">
        <is>
          <t>SALA</t>
        </is>
      </c>
      <c r="G440" t="n">
        <v>3.7</v>
      </c>
      <c r="H440" t="n">
        <v>0</v>
      </c>
      <c r="I440" t="n">
        <v>0</v>
      </c>
      <c r="J440" t="n">
        <v>0</v>
      </c>
      <c r="K440" t="n">
        <v>0</v>
      </c>
      <c r="L440" t="n">
        <v>0</v>
      </c>
      <c r="M440" t="n">
        <v>0</v>
      </c>
      <c r="N440" t="n">
        <v>0</v>
      </c>
      <c r="O440" t="n">
        <v>0</v>
      </c>
      <c r="P440" t="n">
        <v>0</v>
      </c>
      <c r="Q440" t="n">
        <v>0</v>
      </c>
      <c r="R440" s="2" t="inlineStr"/>
    </row>
    <row r="441" ht="15" customHeight="1">
      <c r="A441" t="inlineStr">
        <is>
          <t>A 58364-2025</t>
        </is>
      </c>
      <c r="B441" s="1" t="n">
        <v>45985.5228125</v>
      </c>
      <c r="C441" s="1" t="n">
        <v>46166</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16159-2024</t>
        </is>
      </c>
      <c r="B442" s="1" t="n">
        <v>45406</v>
      </c>
      <c r="C442" s="1" t="n">
        <v>46166</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58282-2025</t>
        </is>
      </c>
      <c r="B443" s="1" t="n">
        <v>45985.44309027777</v>
      </c>
      <c r="C443" s="1" t="n">
        <v>46166</v>
      </c>
      <c r="D443" t="inlineStr">
        <is>
          <t>VÄSTMANLANDS LÄN</t>
        </is>
      </c>
      <c r="E443" t="inlineStr">
        <is>
          <t>SALA</t>
        </is>
      </c>
      <c r="G443" t="n">
        <v>8.9</v>
      </c>
      <c r="H443" t="n">
        <v>0</v>
      </c>
      <c r="I443" t="n">
        <v>0</v>
      </c>
      <c r="J443" t="n">
        <v>0</v>
      </c>
      <c r="K443" t="n">
        <v>0</v>
      </c>
      <c r="L443" t="n">
        <v>0</v>
      </c>
      <c r="M443" t="n">
        <v>0</v>
      </c>
      <c r="N443" t="n">
        <v>0</v>
      </c>
      <c r="O443" t="n">
        <v>0</v>
      </c>
      <c r="P443" t="n">
        <v>0</v>
      </c>
      <c r="Q443" t="n">
        <v>0</v>
      </c>
      <c r="R443" s="2" t="inlineStr"/>
    </row>
    <row r="444" ht="15" customHeight="1">
      <c r="A444" t="inlineStr">
        <is>
          <t>A 55760-2025</t>
        </is>
      </c>
      <c r="B444" s="1" t="n">
        <v>45972</v>
      </c>
      <c r="C444" s="1" t="n">
        <v>46166</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58357-2025</t>
        </is>
      </c>
      <c r="B445" s="1" t="n">
        <v>45985.51518518518</v>
      </c>
      <c r="C445" s="1" t="n">
        <v>46166</v>
      </c>
      <c r="D445" t="inlineStr">
        <is>
          <t>VÄSTMANLANDS LÄN</t>
        </is>
      </c>
      <c r="E445" t="inlineStr">
        <is>
          <t>SALA</t>
        </is>
      </c>
      <c r="G445" t="n">
        <v>3</v>
      </c>
      <c r="H445" t="n">
        <v>0</v>
      </c>
      <c r="I445" t="n">
        <v>0</v>
      </c>
      <c r="J445" t="n">
        <v>0</v>
      </c>
      <c r="K445" t="n">
        <v>0</v>
      </c>
      <c r="L445" t="n">
        <v>0</v>
      </c>
      <c r="M445" t="n">
        <v>0</v>
      </c>
      <c r="N445" t="n">
        <v>0</v>
      </c>
      <c r="O445" t="n">
        <v>0</v>
      </c>
      <c r="P445" t="n">
        <v>0</v>
      </c>
      <c r="Q445" t="n">
        <v>0</v>
      </c>
      <c r="R445" s="2" t="inlineStr"/>
    </row>
    <row r="446" ht="15" customHeight="1">
      <c r="A446" t="inlineStr">
        <is>
          <t>A 58365-2025</t>
        </is>
      </c>
      <c r="B446" s="1" t="n">
        <v>45985.52288194445</v>
      </c>
      <c r="C446" s="1" t="n">
        <v>46166</v>
      </c>
      <c r="D446" t="inlineStr">
        <is>
          <t>VÄSTMANLANDS LÄN</t>
        </is>
      </c>
      <c r="E446" t="inlineStr">
        <is>
          <t>SALA</t>
        </is>
      </c>
      <c r="G446" t="n">
        <v>3.9</v>
      </c>
      <c r="H446" t="n">
        <v>0</v>
      </c>
      <c r="I446" t="n">
        <v>0</v>
      </c>
      <c r="J446" t="n">
        <v>0</v>
      </c>
      <c r="K446" t="n">
        <v>0</v>
      </c>
      <c r="L446" t="n">
        <v>0</v>
      </c>
      <c r="M446" t="n">
        <v>0</v>
      </c>
      <c r="N446" t="n">
        <v>0</v>
      </c>
      <c r="O446" t="n">
        <v>0</v>
      </c>
      <c r="P446" t="n">
        <v>0</v>
      </c>
      <c r="Q446" t="n">
        <v>0</v>
      </c>
      <c r="R446" s="2" t="inlineStr"/>
    </row>
    <row r="447" ht="15" customHeight="1">
      <c r="A447" t="inlineStr">
        <is>
          <t>A 66307-2021</t>
        </is>
      </c>
      <c r="B447" s="1" t="n">
        <v>44518.48670138889</v>
      </c>
      <c r="C447" s="1" t="n">
        <v>46166</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27262-2024</t>
        </is>
      </c>
      <c r="B448" s="1" t="n">
        <v>45471</v>
      </c>
      <c r="C448" s="1" t="n">
        <v>46166</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10913-2025</t>
        </is>
      </c>
      <c r="B449" s="1" t="n">
        <v>45722.73423611111</v>
      </c>
      <c r="C449" s="1" t="n">
        <v>46166</v>
      </c>
      <c r="D449" t="inlineStr">
        <is>
          <t>VÄSTMANLANDS LÄN</t>
        </is>
      </c>
      <c r="E449" t="inlineStr">
        <is>
          <t>SALA</t>
        </is>
      </c>
      <c r="G449" t="n">
        <v>7.6</v>
      </c>
      <c r="H449" t="n">
        <v>0</v>
      </c>
      <c r="I449" t="n">
        <v>0</v>
      </c>
      <c r="J449" t="n">
        <v>0</v>
      </c>
      <c r="K449" t="n">
        <v>0</v>
      </c>
      <c r="L449" t="n">
        <v>0</v>
      </c>
      <c r="M449" t="n">
        <v>0</v>
      </c>
      <c r="N449" t="n">
        <v>0</v>
      </c>
      <c r="O449" t="n">
        <v>0</v>
      </c>
      <c r="P449" t="n">
        <v>0</v>
      </c>
      <c r="Q449" t="n">
        <v>0</v>
      </c>
      <c r="R449" s="2" t="inlineStr"/>
    </row>
    <row r="450" ht="15" customHeight="1">
      <c r="A450" t="inlineStr">
        <is>
          <t>A 35410-2022</t>
        </is>
      </c>
      <c r="B450" s="1" t="n">
        <v>44798.62576388889</v>
      </c>
      <c r="C450" s="1" t="n">
        <v>46166</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1118-2024</t>
        </is>
      </c>
      <c r="B451" s="1" t="n">
        <v>45302</v>
      </c>
      <c r="C451" s="1" t="n">
        <v>46166</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59385-2025</t>
        </is>
      </c>
      <c r="B452" s="1" t="n">
        <v>45989.45746527778</v>
      </c>
      <c r="C452" s="1" t="n">
        <v>46166</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59390-2025</t>
        </is>
      </c>
      <c r="B453" s="1" t="n">
        <v>45989.4640162037</v>
      </c>
      <c r="C453" s="1" t="n">
        <v>46166</v>
      </c>
      <c r="D453" t="inlineStr">
        <is>
          <t>VÄSTMANLANDS LÄN</t>
        </is>
      </c>
      <c r="E453" t="inlineStr">
        <is>
          <t>SALA</t>
        </is>
      </c>
      <c r="G453" t="n">
        <v>1.8</v>
      </c>
      <c r="H453" t="n">
        <v>0</v>
      </c>
      <c r="I453" t="n">
        <v>0</v>
      </c>
      <c r="J453" t="n">
        <v>0</v>
      </c>
      <c r="K453" t="n">
        <v>0</v>
      </c>
      <c r="L453" t="n">
        <v>0</v>
      </c>
      <c r="M453" t="n">
        <v>0</v>
      </c>
      <c r="N453" t="n">
        <v>0</v>
      </c>
      <c r="O453" t="n">
        <v>0</v>
      </c>
      <c r="P453" t="n">
        <v>0</v>
      </c>
      <c r="Q453" t="n">
        <v>0</v>
      </c>
      <c r="R453" s="2" t="inlineStr"/>
    </row>
    <row r="454" ht="15" customHeight="1">
      <c r="A454" t="inlineStr">
        <is>
          <t>A 51247-2025</t>
        </is>
      </c>
      <c r="B454" s="1" t="n">
        <v>45947.86487268518</v>
      </c>
      <c r="C454" s="1" t="n">
        <v>46166</v>
      </c>
      <c r="D454" t="inlineStr">
        <is>
          <t>VÄSTMANLANDS LÄN</t>
        </is>
      </c>
      <c r="E454" t="inlineStr">
        <is>
          <t>SALA</t>
        </is>
      </c>
      <c r="G454" t="n">
        <v>10.4</v>
      </c>
      <c r="H454" t="n">
        <v>0</v>
      </c>
      <c r="I454" t="n">
        <v>0</v>
      </c>
      <c r="J454" t="n">
        <v>0</v>
      </c>
      <c r="K454" t="n">
        <v>0</v>
      </c>
      <c r="L454" t="n">
        <v>0</v>
      </c>
      <c r="M454" t="n">
        <v>0</v>
      </c>
      <c r="N454" t="n">
        <v>0</v>
      </c>
      <c r="O454" t="n">
        <v>0</v>
      </c>
      <c r="P454" t="n">
        <v>0</v>
      </c>
      <c r="Q454" t="n">
        <v>0</v>
      </c>
      <c r="R454" s="2" t="inlineStr"/>
    </row>
    <row r="455" ht="15" customHeight="1">
      <c r="A455" t="inlineStr">
        <is>
          <t>A 53864-2022</t>
        </is>
      </c>
      <c r="B455" s="1" t="n">
        <v>44880.64016203704</v>
      </c>
      <c r="C455" s="1" t="n">
        <v>46166</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40085-2024</t>
        </is>
      </c>
      <c r="B456" s="1" t="n">
        <v>45554</v>
      </c>
      <c r="C456" s="1" t="n">
        <v>46166</v>
      </c>
      <c r="D456" t="inlineStr">
        <is>
          <t>VÄSTMANLANDS LÄN</t>
        </is>
      </c>
      <c r="E456" t="inlineStr">
        <is>
          <t>SALA</t>
        </is>
      </c>
      <c r="G456" t="n">
        <v>2.8</v>
      </c>
      <c r="H456" t="n">
        <v>0</v>
      </c>
      <c r="I456" t="n">
        <v>0</v>
      </c>
      <c r="J456" t="n">
        <v>0</v>
      </c>
      <c r="K456" t="n">
        <v>0</v>
      </c>
      <c r="L456" t="n">
        <v>0</v>
      </c>
      <c r="M456" t="n">
        <v>0</v>
      </c>
      <c r="N456" t="n">
        <v>0</v>
      </c>
      <c r="O456" t="n">
        <v>0</v>
      </c>
      <c r="P456" t="n">
        <v>0</v>
      </c>
      <c r="Q456" t="n">
        <v>0</v>
      </c>
      <c r="R456" s="2" t="inlineStr"/>
    </row>
    <row r="457" ht="15" customHeight="1">
      <c r="A457" t="inlineStr">
        <is>
          <t>A 59817-2025</t>
        </is>
      </c>
      <c r="B457" s="1" t="n">
        <v>45992.63711805556</v>
      </c>
      <c r="C457" s="1" t="n">
        <v>46166</v>
      </c>
      <c r="D457" t="inlineStr">
        <is>
          <t>VÄSTMANLANDS LÄN</t>
        </is>
      </c>
      <c r="E457" t="inlineStr">
        <is>
          <t>SALA</t>
        </is>
      </c>
      <c r="G457" t="n">
        <v>6.9</v>
      </c>
      <c r="H457" t="n">
        <v>0</v>
      </c>
      <c r="I457" t="n">
        <v>0</v>
      </c>
      <c r="J457" t="n">
        <v>0</v>
      </c>
      <c r="K457" t="n">
        <v>0</v>
      </c>
      <c r="L457" t="n">
        <v>0</v>
      </c>
      <c r="M457" t="n">
        <v>0</v>
      </c>
      <c r="N457" t="n">
        <v>0</v>
      </c>
      <c r="O457" t="n">
        <v>0</v>
      </c>
      <c r="P457" t="n">
        <v>0</v>
      </c>
      <c r="Q457" t="n">
        <v>0</v>
      </c>
      <c r="R457" s="2" t="inlineStr"/>
    </row>
    <row r="458" ht="15" customHeight="1">
      <c r="A458" t="inlineStr">
        <is>
          <t>A 3551-2024</t>
        </is>
      </c>
      <c r="B458" s="1" t="n">
        <v>45320.61099537037</v>
      </c>
      <c r="C458" s="1" t="n">
        <v>46166</v>
      </c>
      <c r="D458" t="inlineStr">
        <is>
          <t>VÄSTMANLANDS LÄN</t>
        </is>
      </c>
      <c r="E458" t="inlineStr">
        <is>
          <t>SALA</t>
        </is>
      </c>
      <c r="F458" t="inlineStr">
        <is>
          <t>Kommuner</t>
        </is>
      </c>
      <c r="G458" t="n">
        <v>6</v>
      </c>
      <c r="H458" t="n">
        <v>0</v>
      </c>
      <c r="I458" t="n">
        <v>0</v>
      </c>
      <c r="J458" t="n">
        <v>0</v>
      </c>
      <c r="K458" t="n">
        <v>0</v>
      </c>
      <c r="L458" t="n">
        <v>0</v>
      </c>
      <c r="M458" t="n">
        <v>0</v>
      </c>
      <c r="N458" t="n">
        <v>0</v>
      </c>
      <c r="O458" t="n">
        <v>0</v>
      </c>
      <c r="P458" t="n">
        <v>0</v>
      </c>
      <c r="Q458" t="n">
        <v>0</v>
      </c>
      <c r="R458" s="2" t="inlineStr"/>
    </row>
    <row r="459" ht="15" customHeight="1">
      <c r="A459" t="inlineStr">
        <is>
          <t>A 59870-2025</t>
        </is>
      </c>
      <c r="B459" s="1" t="n">
        <v>45992.92226851852</v>
      </c>
      <c r="C459" s="1" t="n">
        <v>46166</v>
      </c>
      <c r="D459" t="inlineStr">
        <is>
          <t>VÄSTMANLANDS LÄN</t>
        </is>
      </c>
      <c r="E459" t="inlineStr">
        <is>
          <t>SALA</t>
        </is>
      </c>
      <c r="G459" t="n">
        <v>3.4</v>
      </c>
      <c r="H459" t="n">
        <v>0</v>
      </c>
      <c r="I459" t="n">
        <v>0</v>
      </c>
      <c r="J459" t="n">
        <v>0</v>
      </c>
      <c r="K459" t="n">
        <v>0</v>
      </c>
      <c r="L459" t="n">
        <v>0</v>
      </c>
      <c r="M459" t="n">
        <v>0</v>
      </c>
      <c r="N459" t="n">
        <v>0</v>
      </c>
      <c r="O459" t="n">
        <v>0</v>
      </c>
      <c r="P459" t="n">
        <v>0</v>
      </c>
      <c r="Q459" t="n">
        <v>0</v>
      </c>
      <c r="R459" s="2" t="inlineStr"/>
    </row>
    <row r="460" ht="15" customHeight="1">
      <c r="A460" t="inlineStr">
        <is>
          <t>A 59926-2025</t>
        </is>
      </c>
      <c r="B460" s="1" t="n">
        <v>45993.39221064815</v>
      </c>
      <c r="C460" s="1" t="n">
        <v>46166</v>
      </c>
      <c r="D460" t="inlineStr">
        <is>
          <t>VÄSTMANLANDS LÄN</t>
        </is>
      </c>
      <c r="E460" t="inlineStr">
        <is>
          <t>SALA</t>
        </is>
      </c>
      <c r="G460" t="n">
        <v>7.1</v>
      </c>
      <c r="H460" t="n">
        <v>0</v>
      </c>
      <c r="I460" t="n">
        <v>0</v>
      </c>
      <c r="J460" t="n">
        <v>0</v>
      </c>
      <c r="K460" t="n">
        <v>0</v>
      </c>
      <c r="L460" t="n">
        <v>0</v>
      </c>
      <c r="M460" t="n">
        <v>0</v>
      </c>
      <c r="N460" t="n">
        <v>0</v>
      </c>
      <c r="O460" t="n">
        <v>0</v>
      </c>
      <c r="P460" t="n">
        <v>0</v>
      </c>
      <c r="Q460" t="n">
        <v>0</v>
      </c>
      <c r="R460" s="2" t="inlineStr"/>
    </row>
    <row r="461" ht="15" customHeight="1">
      <c r="A461" t="inlineStr">
        <is>
          <t>A 60017-2025</t>
        </is>
      </c>
      <c r="B461" s="1" t="n">
        <v>45993.59998842593</v>
      </c>
      <c r="C461" s="1" t="n">
        <v>46166</v>
      </c>
      <c r="D461" t="inlineStr">
        <is>
          <t>VÄSTMANLANDS LÄN</t>
        </is>
      </c>
      <c r="E461" t="inlineStr">
        <is>
          <t>SALA</t>
        </is>
      </c>
      <c r="G461" t="n">
        <v>4.4</v>
      </c>
      <c r="H461" t="n">
        <v>0</v>
      </c>
      <c r="I461" t="n">
        <v>0</v>
      </c>
      <c r="J461" t="n">
        <v>0</v>
      </c>
      <c r="K461" t="n">
        <v>0</v>
      </c>
      <c r="L461" t="n">
        <v>0</v>
      </c>
      <c r="M461" t="n">
        <v>0</v>
      </c>
      <c r="N461" t="n">
        <v>0</v>
      </c>
      <c r="O461" t="n">
        <v>0</v>
      </c>
      <c r="P461" t="n">
        <v>0</v>
      </c>
      <c r="Q461" t="n">
        <v>0</v>
      </c>
      <c r="R461" s="2" t="inlineStr"/>
    </row>
    <row r="462" ht="15" customHeight="1">
      <c r="A462" t="inlineStr">
        <is>
          <t>A 60254-2025</t>
        </is>
      </c>
      <c r="B462" s="1" t="n">
        <v>45994.60146990741</v>
      </c>
      <c r="C462" s="1" t="n">
        <v>46166</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60259-2025</t>
        </is>
      </c>
      <c r="B463" s="1" t="n">
        <v>45994.60913194445</v>
      </c>
      <c r="C463" s="1" t="n">
        <v>46166</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60241-2025</t>
        </is>
      </c>
      <c r="B464" s="1" t="n">
        <v>45994.58454861111</v>
      </c>
      <c r="C464" s="1" t="n">
        <v>46166</v>
      </c>
      <c r="D464" t="inlineStr">
        <is>
          <t>VÄSTMANLANDS LÄN</t>
        </is>
      </c>
      <c r="E464" t="inlineStr">
        <is>
          <t>SALA</t>
        </is>
      </c>
      <c r="G464" t="n">
        <v>1.6</v>
      </c>
      <c r="H464" t="n">
        <v>0</v>
      </c>
      <c r="I464" t="n">
        <v>0</v>
      </c>
      <c r="J464" t="n">
        <v>0</v>
      </c>
      <c r="K464" t="n">
        <v>0</v>
      </c>
      <c r="L464" t="n">
        <v>0</v>
      </c>
      <c r="M464" t="n">
        <v>0</v>
      </c>
      <c r="N464" t="n">
        <v>0</v>
      </c>
      <c r="O464" t="n">
        <v>0</v>
      </c>
      <c r="P464" t="n">
        <v>0</v>
      </c>
      <c r="Q464" t="n">
        <v>0</v>
      </c>
      <c r="R464" s="2" t="inlineStr"/>
    </row>
    <row r="465" ht="15" customHeight="1">
      <c r="A465" t="inlineStr">
        <is>
          <t>A 22961-2023</t>
        </is>
      </c>
      <c r="B465" s="1" t="n">
        <v>45072</v>
      </c>
      <c r="C465" s="1" t="n">
        <v>46166</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22963-2023</t>
        </is>
      </c>
      <c r="B466" s="1" t="n">
        <v>45072</v>
      </c>
      <c r="C466" s="1" t="n">
        <v>46166</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60258-2025</t>
        </is>
      </c>
      <c r="B467" s="1" t="n">
        <v>45994.6064699074</v>
      </c>
      <c r="C467" s="1" t="n">
        <v>46166</v>
      </c>
      <c r="D467" t="inlineStr">
        <is>
          <t>VÄSTMANLANDS LÄN</t>
        </is>
      </c>
      <c r="E467" t="inlineStr">
        <is>
          <t>SALA</t>
        </is>
      </c>
      <c r="G467" t="n">
        <v>2.2</v>
      </c>
      <c r="H467" t="n">
        <v>0</v>
      </c>
      <c r="I467" t="n">
        <v>0</v>
      </c>
      <c r="J467" t="n">
        <v>0</v>
      </c>
      <c r="K467" t="n">
        <v>0</v>
      </c>
      <c r="L467" t="n">
        <v>0</v>
      </c>
      <c r="M467" t="n">
        <v>0</v>
      </c>
      <c r="N467" t="n">
        <v>0</v>
      </c>
      <c r="O467" t="n">
        <v>0</v>
      </c>
      <c r="P467" t="n">
        <v>0</v>
      </c>
      <c r="Q467" t="n">
        <v>0</v>
      </c>
      <c r="R467" s="2" t="inlineStr"/>
    </row>
    <row r="468" ht="15" customHeight="1">
      <c r="A468" t="inlineStr">
        <is>
          <t>A 60246-2025</t>
        </is>
      </c>
      <c r="B468" s="1" t="n">
        <v>45994.58931712963</v>
      </c>
      <c r="C468" s="1" t="n">
        <v>46166</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60629-2025</t>
        </is>
      </c>
      <c r="B469" s="1" t="n">
        <v>45996.41972222222</v>
      </c>
      <c r="C469" s="1" t="n">
        <v>46166</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54960-2024</t>
        </is>
      </c>
      <c r="B470" s="1" t="n">
        <v>45619.85208333333</v>
      </c>
      <c r="C470" s="1" t="n">
        <v>46166</v>
      </c>
      <c r="D470" t="inlineStr">
        <is>
          <t>VÄSTMANLANDS LÄN</t>
        </is>
      </c>
      <c r="E470" t="inlineStr">
        <is>
          <t>SALA</t>
        </is>
      </c>
      <c r="G470" t="n">
        <v>2.6</v>
      </c>
      <c r="H470" t="n">
        <v>0</v>
      </c>
      <c r="I470" t="n">
        <v>0</v>
      </c>
      <c r="J470" t="n">
        <v>0</v>
      </c>
      <c r="K470" t="n">
        <v>0</v>
      </c>
      <c r="L470" t="n">
        <v>0</v>
      </c>
      <c r="M470" t="n">
        <v>0</v>
      </c>
      <c r="N470" t="n">
        <v>0</v>
      </c>
      <c r="O470" t="n">
        <v>0</v>
      </c>
      <c r="P470" t="n">
        <v>0</v>
      </c>
      <c r="Q470" t="n">
        <v>0</v>
      </c>
      <c r="R470" s="2" t="inlineStr"/>
    </row>
    <row r="471" ht="15" customHeight="1">
      <c r="A471" t="inlineStr">
        <is>
          <t>A 27228-2023</t>
        </is>
      </c>
      <c r="B471" s="1" t="n">
        <v>45096.59189814814</v>
      </c>
      <c r="C471" s="1" t="n">
        <v>46166</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26507-2023</t>
        </is>
      </c>
      <c r="B472" s="1" t="n">
        <v>45092</v>
      </c>
      <c r="C472" s="1" t="n">
        <v>46166</v>
      </c>
      <c r="D472" t="inlineStr">
        <is>
          <t>VÄSTMANLANDS LÄN</t>
        </is>
      </c>
      <c r="E472" t="inlineStr">
        <is>
          <t>SALA</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6183-2025</t>
        </is>
      </c>
      <c r="B473" s="1" t="n">
        <v>45698</v>
      </c>
      <c r="C473" s="1" t="n">
        <v>46166</v>
      </c>
      <c r="D473" t="inlineStr">
        <is>
          <t>VÄSTMANLANDS LÄN</t>
        </is>
      </c>
      <c r="E473" t="inlineStr">
        <is>
          <t>SALA</t>
        </is>
      </c>
      <c r="F473" t="inlineStr">
        <is>
          <t>Bergvik skog öst AB</t>
        </is>
      </c>
      <c r="G473" t="n">
        <v>2.3</v>
      </c>
      <c r="H473" t="n">
        <v>0</v>
      </c>
      <c r="I473" t="n">
        <v>0</v>
      </c>
      <c r="J473" t="n">
        <v>0</v>
      </c>
      <c r="K473" t="n">
        <v>0</v>
      </c>
      <c r="L473" t="n">
        <v>0</v>
      </c>
      <c r="M473" t="n">
        <v>0</v>
      </c>
      <c r="N473" t="n">
        <v>0</v>
      </c>
      <c r="O473" t="n">
        <v>0</v>
      </c>
      <c r="P473" t="n">
        <v>0</v>
      </c>
      <c r="Q473" t="n">
        <v>0</v>
      </c>
      <c r="R473" s="2" t="inlineStr"/>
    </row>
    <row r="474" ht="15" customHeight="1">
      <c r="A474" t="inlineStr">
        <is>
          <t>A 16543-2023</t>
        </is>
      </c>
      <c r="B474" s="1" t="n">
        <v>45029</v>
      </c>
      <c r="C474" s="1" t="n">
        <v>46166</v>
      </c>
      <c r="D474" t="inlineStr">
        <is>
          <t>VÄSTMANLANDS LÄN</t>
        </is>
      </c>
      <c r="E474" t="inlineStr">
        <is>
          <t>SALA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43176-2023</t>
        </is>
      </c>
      <c r="B475" s="1" t="n">
        <v>45183</v>
      </c>
      <c r="C475" s="1" t="n">
        <v>46166</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37624-2024</t>
        </is>
      </c>
      <c r="B476" s="1" t="n">
        <v>45541</v>
      </c>
      <c r="C476" s="1" t="n">
        <v>46166</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57895-2024</t>
        </is>
      </c>
      <c r="B477" s="1" t="n">
        <v>45631</v>
      </c>
      <c r="C477" s="1" t="n">
        <v>46166</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47086-2022</t>
        </is>
      </c>
      <c r="B478" s="1" t="n">
        <v>44852</v>
      </c>
      <c r="C478" s="1" t="n">
        <v>46166</v>
      </c>
      <c r="D478" t="inlineStr">
        <is>
          <t>VÄSTMANLANDS LÄN</t>
        </is>
      </c>
      <c r="E478" t="inlineStr">
        <is>
          <t>SALA</t>
        </is>
      </c>
      <c r="G478" t="n">
        <v>12.5</v>
      </c>
      <c r="H478" t="n">
        <v>0</v>
      </c>
      <c r="I478" t="n">
        <v>0</v>
      </c>
      <c r="J478" t="n">
        <v>0</v>
      </c>
      <c r="K478" t="n">
        <v>0</v>
      </c>
      <c r="L478" t="n">
        <v>0</v>
      </c>
      <c r="M478" t="n">
        <v>0</v>
      </c>
      <c r="N478" t="n">
        <v>0</v>
      </c>
      <c r="O478" t="n">
        <v>0</v>
      </c>
      <c r="P478" t="n">
        <v>0</v>
      </c>
      <c r="Q478" t="n">
        <v>0</v>
      </c>
      <c r="R478" s="2" t="inlineStr"/>
    </row>
    <row r="479" ht="15" customHeight="1">
      <c r="A479" t="inlineStr">
        <is>
          <t>A 61522-2025</t>
        </is>
      </c>
      <c r="B479" s="1" t="n">
        <v>46001.68684027778</v>
      </c>
      <c r="C479" s="1" t="n">
        <v>46166</v>
      </c>
      <c r="D479" t="inlineStr">
        <is>
          <t>VÄSTMANLANDS LÄN</t>
        </is>
      </c>
      <c r="E479" t="inlineStr">
        <is>
          <t>SALA</t>
        </is>
      </c>
      <c r="G479" t="n">
        <v>5.7</v>
      </c>
      <c r="H479" t="n">
        <v>0</v>
      </c>
      <c r="I479" t="n">
        <v>0</v>
      </c>
      <c r="J479" t="n">
        <v>0</v>
      </c>
      <c r="K479" t="n">
        <v>0</v>
      </c>
      <c r="L479" t="n">
        <v>0</v>
      </c>
      <c r="M479" t="n">
        <v>0</v>
      </c>
      <c r="N479" t="n">
        <v>0</v>
      </c>
      <c r="O479" t="n">
        <v>0</v>
      </c>
      <c r="P479" t="n">
        <v>0</v>
      </c>
      <c r="Q479" t="n">
        <v>0</v>
      </c>
      <c r="R479" s="2" t="inlineStr"/>
    </row>
    <row r="480" ht="15" customHeight="1">
      <c r="A480" t="inlineStr">
        <is>
          <t>A 56687-2024</t>
        </is>
      </c>
      <c r="B480" s="1" t="n">
        <v>45627.63271990741</v>
      </c>
      <c r="C480" s="1" t="n">
        <v>46166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54347-2024</t>
        </is>
      </c>
      <c r="B481" s="1" t="n">
        <v>45617.39325231482</v>
      </c>
      <c r="C481" s="1" t="n">
        <v>46166</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64693-2023</t>
        </is>
      </c>
      <c r="B482" s="1" t="n">
        <v>45281.63850694444</v>
      </c>
      <c r="C482" s="1" t="n">
        <v>46166</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64695-2023</t>
        </is>
      </c>
      <c r="B483" s="1" t="n">
        <v>45281.64099537037</v>
      </c>
      <c r="C483" s="1" t="n">
        <v>46166</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44742.60846064815</v>
      </c>
      <c r="C484" s="1" t="n">
        <v>46166</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62523-2025</t>
        </is>
      </c>
      <c r="B485" s="1" t="n">
        <v>46007.61512731481</v>
      </c>
      <c r="C485" s="1" t="n">
        <v>46166</v>
      </c>
      <c r="D485" t="inlineStr">
        <is>
          <t>VÄSTMANLANDS LÄN</t>
        </is>
      </c>
      <c r="E485" t="inlineStr">
        <is>
          <t>SALA</t>
        </is>
      </c>
      <c r="G485" t="n">
        <v>1.5</v>
      </c>
      <c r="H485" t="n">
        <v>0</v>
      </c>
      <c r="I485" t="n">
        <v>0</v>
      </c>
      <c r="J485" t="n">
        <v>0</v>
      </c>
      <c r="K485" t="n">
        <v>0</v>
      </c>
      <c r="L485" t="n">
        <v>0</v>
      </c>
      <c r="M485" t="n">
        <v>0</v>
      </c>
      <c r="N485" t="n">
        <v>0</v>
      </c>
      <c r="O485" t="n">
        <v>0</v>
      </c>
      <c r="P485" t="n">
        <v>0</v>
      </c>
      <c r="Q485" t="n">
        <v>0</v>
      </c>
      <c r="R485" s="2" t="inlineStr"/>
    </row>
    <row r="486" ht="15" customHeight="1">
      <c r="A486" t="inlineStr">
        <is>
          <t>A 35003-2024</t>
        </is>
      </c>
      <c r="B486" s="1" t="n">
        <v>45527.56790509259</v>
      </c>
      <c r="C486" s="1" t="n">
        <v>46166</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63055-2025</t>
        </is>
      </c>
      <c r="B487" s="1" t="n">
        <v>46009.63619212963</v>
      </c>
      <c r="C487" s="1" t="n">
        <v>46166</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63051-2025</t>
        </is>
      </c>
      <c r="B488" s="1" t="n">
        <v>46009.63134259259</v>
      </c>
      <c r="C488" s="1" t="n">
        <v>46166</v>
      </c>
      <c r="D488" t="inlineStr">
        <is>
          <t>VÄSTMANLANDS LÄN</t>
        </is>
      </c>
      <c r="E488" t="inlineStr">
        <is>
          <t>SALA</t>
        </is>
      </c>
      <c r="G488" t="n">
        <v>1.1</v>
      </c>
      <c r="H488" t="n">
        <v>0</v>
      </c>
      <c r="I488" t="n">
        <v>0</v>
      </c>
      <c r="J488" t="n">
        <v>0</v>
      </c>
      <c r="K488" t="n">
        <v>0</v>
      </c>
      <c r="L488" t="n">
        <v>0</v>
      </c>
      <c r="M488" t="n">
        <v>0</v>
      </c>
      <c r="N488" t="n">
        <v>0</v>
      </c>
      <c r="O488" t="n">
        <v>0</v>
      </c>
      <c r="P488" t="n">
        <v>0</v>
      </c>
      <c r="Q488" t="n">
        <v>0</v>
      </c>
      <c r="R488" s="2" t="inlineStr"/>
    </row>
    <row r="489" ht="15" customHeight="1">
      <c r="A489" t="inlineStr">
        <is>
          <t>A 48688-2024</t>
        </is>
      </c>
      <c r="B489" s="1" t="n">
        <v>45593.50541666667</v>
      </c>
      <c r="C489" s="1" t="n">
        <v>46166</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63046-2025</t>
        </is>
      </c>
      <c r="B490" s="1" t="n">
        <v>46009.62373842593</v>
      </c>
      <c r="C490" s="1" t="n">
        <v>46166</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63933-2023</t>
        </is>
      </c>
      <c r="B491" s="1" t="n">
        <v>45278</v>
      </c>
      <c r="C491" s="1" t="n">
        <v>46166</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44746-2024</t>
        </is>
      </c>
      <c r="B492" s="1" t="n">
        <v>45574.59813657407</v>
      </c>
      <c r="C492" s="1" t="n">
        <v>46166</v>
      </c>
      <c r="D492" t="inlineStr">
        <is>
          <t>VÄSTMANLANDS LÄN</t>
        </is>
      </c>
      <c r="E492" t="inlineStr">
        <is>
          <t>SALA</t>
        </is>
      </c>
      <c r="G492" t="n">
        <v>6.7</v>
      </c>
      <c r="H492" t="n">
        <v>0</v>
      </c>
      <c r="I492" t="n">
        <v>0</v>
      </c>
      <c r="J492" t="n">
        <v>0</v>
      </c>
      <c r="K492" t="n">
        <v>0</v>
      </c>
      <c r="L492" t="n">
        <v>0</v>
      </c>
      <c r="M492" t="n">
        <v>0</v>
      </c>
      <c r="N492" t="n">
        <v>0</v>
      </c>
      <c r="O492" t="n">
        <v>0</v>
      </c>
      <c r="P492" t="n">
        <v>0</v>
      </c>
      <c r="Q492" t="n">
        <v>0</v>
      </c>
      <c r="R492" s="2" t="inlineStr"/>
    </row>
    <row r="493" ht="15" customHeight="1">
      <c r="A493" t="inlineStr">
        <is>
          <t>A 33273-2023</t>
        </is>
      </c>
      <c r="B493" s="1" t="n">
        <v>45127</v>
      </c>
      <c r="C493" s="1" t="n">
        <v>46166</v>
      </c>
      <c r="D493" t="inlineStr">
        <is>
          <t>VÄSTMANLANDS LÄN</t>
        </is>
      </c>
      <c r="E493" t="inlineStr">
        <is>
          <t>SALA</t>
        </is>
      </c>
      <c r="G493" t="n">
        <v>2.6</v>
      </c>
      <c r="H493" t="n">
        <v>0</v>
      </c>
      <c r="I493" t="n">
        <v>0</v>
      </c>
      <c r="J493" t="n">
        <v>0</v>
      </c>
      <c r="K493" t="n">
        <v>0</v>
      </c>
      <c r="L493" t="n">
        <v>0</v>
      </c>
      <c r="M493" t="n">
        <v>0</v>
      </c>
      <c r="N493" t="n">
        <v>0</v>
      </c>
      <c r="O493" t="n">
        <v>0</v>
      </c>
      <c r="P493" t="n">
        <v>0</v>
      </c>
      <c r="Q493" t="n">
        <v>0</v>
      </c>
      <c r="R493" s="2" t="inlineStr"/>
    </row>
    <row r="494" ht="15" customHeight="1">
      <c r="A494" t="inlineStr">
        <is>
          <t>A 11696-2025</t>
        </is>
      </c>
      <c r="B494" s="1" t="n">
        <v>45727</v>
      </c>
      <c r="C494" s="1" t="n">
        <v>46166</v>
      </c>
      <c r="D494" t="inlineStr">
        <is>
          <t>VÄSTMANLANDS LÄN</t>
        </is>
      </c>
      <c r="E494" t="inlineStr">
        <is>
          <t>SALA</t>
        </is>
      </c>
      <c r="F494" t="inlineStr">
        <is>
          <t>Bergvik skog öst AB</t>
        </is>
      </c>
      <c r="G494" t="n">
        <v>1.6</v>
      </c>
      <c r="H494" t="n">
        <v>0</v>
      </c>
      <c r="I494" t="n">
        <v>0</v>
      </c>
      <c r="J494" t="n">
        <v>0</v>
      </c>
      <c r="K494" t="n">
        <v>0</v>
      </c>
      <c r="L494" t="n">
        <v>0</v>
      </c>
      <c r="M494" t="n">
        <v>0</v>
      </c>
      <c r="N494" t="n">
        <v>0</v>
      </c>
      <c r="O494" t="n">
        <v>0</v>
      </c>
      <c r="P494" t="n">
        <v>0</v>
      </c>
      <c r="Q494" t="n">
        <v>0</v>
      </c>
      <c r="R494" s="2" t="inlineStr"/>
    </row>
    <row r="495" ht="15" customHeight="1">
      <c r="A495" t="inlineStr">
        <is>
          <t>A 63353-2025</t>
        </is>
      </c>
      <c r="B495" s="1" t="n">
        <v>46010.66670138889</v>
      </c>
      <c r="C495" s="1" t="n">
        <v>46166</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63269-2025</t>
        </is>
      </c>
      <c r="B496" s="1" t="n">
        <v>46010</v>
      </c>
      <c r="C496" s="1" t="n">
        <v>46166</v>
      </c>
      <c r="D496" t="inlineStr">
        <is>
          <t>VÄSTMANLANDS LÄN</t>
        </is>
      </c>
      <c r="E496" t="inlineStr">
        <is>
          <t>SALA</t>
        </is>
      </c>
      <c r="G496" t="n">
        <v>6.4</v>
      </c>
      <c r="H496" t="n">
        <v>0</v>
      </c>
      <c r="I496" t="n">
        <v>0</v>
      </c>
      <c r="J496" t="n">
        <v>0</v>
      </c>
      <c r="K496" t="n">
        <v>0</v>
      </c>
      <c r="L496" t="n">
        <v>0</v>
      </c>
      <c r="M496" t="n">
        <v>0</v>
      </c>
      <c r="N496" t="n">
        <v>0</v>
      </c>
      <c r="O496" t="n">
        <v>0</v>
      </c>
      <c r="P496" t="n">
        <v>0</v>
      </c>
      <c r="Q496" t="n">
        <v>0</v>
      </c>
      <c r="R496" s="2" t="inlineStr"/>
    </row>
    <row r="497" ht="15" customHeight="1">
      <c r="A497" t="inlineStr">
        <is>
          <t>A 17722-2025</t>
        </is>
      </c>
      <c r="B497" s="1" t="n">
        <v>45758</v>
      </c>
      <c r="C497" s="1" t="n">
        <v>46166</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63749-2025</t>
        </is>
      </c>
      <c r="B498" s="1" t="n">
        <v>46017.75243055556</v>
      </c>
      <c r="C498" s="1" t="n">
        <v>46166</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63748-2025</t>
        </is>
      </c>
      <c r="B499" s="1" t="n">
        <v>46017.71640046296</v>
      </c>
      <c r="C499" s="1" t="n">
        <v>46166</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60545-2024</t>
        </is>
      </c>
      <c r="B500" s="1" t="n">
        <v>45643</v>
      </c>
      <c r="C500" s="1" t="n">
        <v>46166</v>
      </c>
      <c r="D500" t="inlineStr">
        <is>
          <t>VÄSTMANLANDS LÄN</t>
        </is>
      </c>
      <c r="E500" t="inlineStr">
        <is>
          <t>SALA</t>
        </is>
      </c>
      <c r="G500" t="n">
        <v>3.3</v>
      </c>
      <c r="H500" t="n">
        <v>0</v>
      </c>
      <c r="I500" t="n">
        <v>0</v>
      </c>
      <c r="J500" t="n">
        <v>0</v>
      </c>
      <c r="K500" t="n">
        <v>0</v>
      </c>
      <c r="L500" t="n">
        <v>0</v>
      </c>
      <c r="M500" t="n">
        <v>0</v>
      </c>
      <c r="N500" t="n">
        <v>0</v>
      </c>
      <c r="O500" t="n">
        <v>0</v>
      </c>
      <c r="P500" t="n">
        <v>0</v>
      </c>
      <c r="Q500" t="n">
        <v>0</v>
      </c>
      <c r="R500" s="2" t="inlineStr"/>
    </row>
    <row r="501" ht="15" customHeight="1">
      <c r="A501" t="inlineStr">
        <is>
          <t>A 60547-2024</t>
        </is>
      </c>
      <c r="B501" s="1" t="n">
        <v>45643</v>
      </c>
      <c r="C501" s="1" t="n">
        <v>46166</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1985-2022</t>
        </is>
      </c>
      <c r="B502" s="1" t="n">
        <v>44575</v>
      </c>
      <c r="C502" s="1" t="n">
        <v>46166</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27261-2024</t>
        </is>
      </c>
      <c r="B503" s="1" t="n">
        <v>45471</v>
      </c>
      <c r="C503" s="1" t="n">
        <v>46166</v>
      </c>
      <c r="D503" t="inlineStr">
        <is>
          <t>VÄSTMANLANDS LÄN</t>
        </is>
      </c>
      <c r="E503" t="inlineStr">
        <is>
          <t>SALA</t>
        </is>
      </c>
      <c r="G503" t="n">
        <v>6.1</v>
      </c>
      <c r="H503" t="n">
        <v>0</v>
      </c>
      <c r="I503" t="n">
        <v>0</v>
      </c>
      <c r="J503" t="n">
        <v>0</v>
      </c>
      <c r="K503" t="n">
        <v>0</v>
      </c>
      <c r="L503" t="n">
        <v>0</v>
      </c>
      <c r="M503" t="n">
        <v>0</v>
      </c>
      <c r="N503" t="n">
        <v>0</v>
      </c>
      <c r="O503" t="n">
        <v>0</v>
      </c>
      <c r="P503" t="n">
        <v>0</v>
      </c>
      <c r="Q503" t="n">
        <v>0</v>
      </c>
      <c r="R503" s="2" t="inlineStr"/>
    </row>
    <row r="504" ht="15" customHeight="1">
      <c r="A504" t="inlineStr">
        <is>
          <t>A 35976-2024</t>
        </is>
      </c>
      <c r="B504" s="1" t="n">
        <v>45533.49555555556</v>
      </c>
      <c r="C504" s="1" t="n">
        <v>46166</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55556-2023</t>
        </is>
      </c>
      <c r="B505" s="1" t="n">
        <v>45232</v>
      </c>
      <c r="C505" s="1" t="n">
        <v>46166</v>
      </c>
      <c r="D505" t="inlineStr">
        <is>
          <t>VÄSTMANLANDS LÄN</t>
        </is>
      </c>
      <c r="E505" t="inlineStr">
        <is>
          <t>SALA</t>
        </is>
      </c>
      <c r="G505" t="n">
        <v>1.3</v>
      </c>
      <c r="H505" t="n">
        <v>0</v>
      </c>
      <c r="I505" t="n">
        <v>0</v>
      </c>
      <c r="J505" t="n">
        <v>0</v>
      </c>
      <c r="K505" t="n">
        <v>0</v>
      </c>
      <c r="L505" t="n">
        <v>0</v>
      </c>
      <c r="M505" t="n">
        <v>0</v>
      </c>
      <c r="N505" t="n">
        <v>0</v>
      </c>
      <c r="O505" t="n">
        <v>0</v>
      </c>
      <c r="P505" t="n">
        <v>0</v>
      </c>
      <c r="Q505" t="n">
        <v>0</v>
      </c>
      <c r="R505" s="2" t="inlineStr"/>
    </row>
    <row r="506" ht="15" customHeight="1">
      <c r="A506" t="inlineStr">
        <is>
          <t>A 57650-2024</t>
        </is>
      </c>
      <c r="B506" s="1" t="n">
        <v>45630</v>
      </c>
      <c r="C506" s="1" t="n">
        <v>46166</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50479-2022</t>
        </is>
      </c>
      <c r="B507" s="1" t="n">
        <v>44861</v>
      </c>
      <c r="C507" s="1" t="n">
        <v>46166</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45790-2023</t>
        </is>
      </c>
      <c r="B508" s="1" t="n">
        <v>45195.45958333334</v>
      </c>
      <c r="C508" s="1" t="n">
        <v>46166</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910-2026</t>
        </is>
      </c>
      <c r="B509" s="1" t="n">
        <v>46030.4771412037</v>
      </c>
      <c r="C509" s="1" t="n">
        <v>46166</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914-2026</t>
        </is>
      </c>
      <c r="B510" s="1" t="n">
        <v>46030.47952546296</v>
      </c>
      <c r="C510" s="1" t="n">
        <v>46166</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948-2026</t>
        </is>
      </c>
      <c r="B511" s="1" t="n">
        <v>46030.53986111111</v>
      </c>
      <c r="C511" s="1" t="n">
        <v>46166</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2928-2024</t>
        </is>
      </c>
      <c r="B512" s="1" t="n">
        <v>45315.59041666667</v>
      </c>
      <c r="C512" s="1" t="n">
        <v>46166</v>
      </c>
      <c r="D512" t="inlineStr">
        <is>
          <t>VÄSTMANLANDS LÄN</t>
        </is>
      </c>
      <c r="E512" t="inlineStr">
        <is>
          <t>SALA</t>
        </is>
      </c>
      <c r="G512" t="n">
        <v>1.4</v>
      </c>
      <c r="H512" t="n">
        <v>0</v>
      </c>
      <c r="I512" t="n">
        <v>0</v>
      </c>
      <c r="J512" t="n">
        <v>0</v>
      </c>
      <c r="K512" t="n">
        <v>0</v>
      </c>
      <c r="L512" t="n">
        <v>0</v>
      </c>
      <c r="M512" t="n">
        <v>0</v>
      </c>
      <c r="N512" t="n">
        <v>0</v>
      </c>
      <c r="O512" t="n">
        <v>0</v>
      </c>
      <c r="P512" t="n">
        <v>0</v>
      </c>
      <c r="Q512" t="n">
        <v>0</v>
      </c>
      <c r="R512" s="2" t="inlineStr"/>
    </row>
    <row r="513" ht="15" customHeight="1">
      <c r="A513" t="inlineStr">
        <is>
          <t>A 73673-2021</t>
        </is>
      </c>
      <c r="B513" s="1" t="n">
        <v>44552.46501157407</v>
      </c>
      <c r="C513" s="1" t="n">
        <v>46166</v>
      </c>
      <c r="D513" t="inlineStr">
        <is>
          <t>VÄSTMANLANDS LÄN</t>
        </is>
      </c>
      <c r="E513" t="inlineStr">
        <is>
          <t>SALA</t>
        </is>
      </c>
      <c r="G513" t="n">
        <v>11.4</v>
      </c>
      <c r="H513" t="n">
        <v>0</v>
      </c>
      <c r="I513" t="n">
        <v>0</v>
      </c>
      <c r="J513" t="n">
        <v>0</v>
      </c>
      <c r="K513" t="n">
        <v>0</v>
      </c>
      <c r="L513" t="n">
        <v>0</v>
      </c>
      <c r="M513" t="n">
        <v>0</v>
      </c>
      <c r="N513" t="n">
        <v>0</v>
      </c>
      <c r="O513" t="n">
        <v>0</v>
      </c>
      <c r="P513" t="n">
        <v>0</v>
      </c>
      <c r="Q513" t="n">
        <v>0</v>
      </c>
      <c r="R513" s="2" t="inlineStr"/>
    </row>
    <row r="514" ht="15" customHeight="1">
      <c r="A514" t="inlineStr">
        <is>
          <t>A 40871-2021</t>
        </is>
      </c>
      <c r="B514" s="1" t="n">
        <v>44421</v>
      </c>
      <c r="C514" s="1" t="n">
        <v>46166</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1705-2026</t>
        </is>
      </c>
      <c r="B515" s="1" t="n">
        <v>46034.59930555556</v>
      </c>
      <c r="C515" s="1" t="n">
        <v>46166</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14271-2025</t>
        </is>
      </c>
      <c r="B516" s="1" t="n">
        <v>45740.64129629629</v>
      </c>
      <c r="C516" s="1" t="n">
        <v>46166</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54199-2024</t>
        </is>
      </c>
      <c r="B517" s="1" t="n">
        <v>45616.64703703704</v>
      </c>
      <c r="C517" s="1" t="n">
        <v>46166</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6312-2025</t>
        </is>
      </c>
      <c r="B518" s="1" t="n">
        <v>45698</v>
      </c>
      <c r="C518" s="1" t="n">
        <v>46166</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44857-2023</t>
        </is>
      </c>
      <c r="B519" s="1" t="n">
        <v>45190.58479166667</v>
      </c>
      <c r="C519" s="1" t="n">
        <v>46166</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62654-2022</t>
        </is>
      </c>
      <c r="B520" s="1" t="n">
        <v>44917</v>
      </c>
      <c r="C520" s="1" t="n">
        <v>46166</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43188-2023</t>
        </is>
      </c>
      <c r="B521" s="1" t="n">
        <v>45183</v>
      </c>
      <c r="C521" s="1" t="n">
        <v>46166</v>
      </c>
      <c r="D521" t="inlineStr">
        <is>
          <t>VÄSTMANLANDS LÄN</t>
        </is>
      </c>
      <c r="E521" t="inlineStr">
        <is>
          <t>SALA</t>
        </is>
      </c>
      <c r="G521" t="n">
        <v>1.2</v>
      </c>
      <c r="H521" t="n">
        <v>0</v>
      </c>
      <c r="I521" t="n">
        <v>0</v>
      </c>
      <c r="J521" t="n">
        <v>0</v>
      </c>
      <c r="K521" t="n">
        <v>0</v>
      </c>
      <c r="L521" t="n">
        <v>0</v>
      </c>
      <c r="M521" t="n">
        <v>0</v>
      </c>
      <c r="N521" t="n">
        <v>0</v>
      </c>
      <c r="O521" t="n">
        <v>0</v>
      </c>
      <c r="P521" t="n">
        <v>0</v>
      </c>
      <c r="Q521" t="n">
        <v>0</v>
      </c>
      <c r="R521" s="2" t="inlineStr"/>
    </row>
    <row r="522" ht="15" customHeight="1">
      <c r="A522" t="inlineStr">
        <is>
          <t>A 43205-2023</t>
        </is>
      </c>
      <c r="B522" s="1" t="n">
        <v>45183</v>
      </c>
      <c r="C522" s="1" t="n">
        <v>46166</v>
      </c>
      <c r="D522" t="inlineStr">
        <is>
          <t>VÄSTMANLANDS LÄN</t>
        </is>
      </c>
      <c r="E522" t="inlineStr">
        <is>
          <t>SALA</t>
        </is>
      </c>
      <c r="G522" t="n">
        <v>2.1</v>
      </c>
      <c r="H522" t="n">
        <v>0</v>
      </c>
      <c r="I522" t="n">
        <v>0</v>
      </c>
      <c r="J522" t="n">
        <v>0</v>
      </c>
      <c r="K522" t="n">
        <v>0</v>
      </c>
      <c r="L522" t="n">
        <v>0</v>
      </c>
      <c r="M522" t="n">
        <v>0</v>
      </c>
      <c r="N522" t="n">
        <v>0</v>
      </c>
      <c r="O522" t="n">
        <v>0</v>
      </c>
      <c r="P522" t="n">
        <v>0</v>
      </c>
      <c r="Q522" t="n">
        <v>0</v>
      </c>
      <c r="R522" s="2" t="inlineStr"/>
    </row>
    <row r="523" ht="15" customHeight="1">
      <c r="A523" t="inlineStr">
        <is>
          <t>A 61892-2021</t>
        </is>
      </c>
      <c r="B523" s="1" t="n">
        <v>44502</v>
      </c>
      <c r="C523" s="1" t="n">
        <v>46166</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29213-2022</t>
        </is>
      </c>
      <c r="B524" s="1" t="n">
        <v>44750.57474537037</v>
      </c>
      <c r="C524" s="1" t="n">
        <v>46166</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59483-2022</t>
        </is>
      </c>
      <c r="B525" s="1" t="n">
        <v>44907.45679398148</v>
      </c>
      <c r="C525" s="1" t="n">
        <v>46166</v>
      </c>
      <c r="D525" t="inlineStr">
        <is>
          <t>VÄSTMANLANDS LÄN</t>
        </is>
      </c>
      <c r="E525" t="inlineStr">
        <is>
          <t>SALA</t>
        </is>
      </c>
      <c r="G525" t="n">
        <v>5.2</v>
      </c>
      <c r="H525" t="n">
        <v>0</v>
      </c>
      <c r="I525" t="n">
        <v>0</v>
      </c>
      <c r="J525" t="n">
        <v>0</v>
      </c>
      <c r="K525" t="n">
        <v>0</v>
      </c>
      <c r="L525" t="n">
        <v>0</v>
      </c>
      <c r="M525" t="n">
        <v>0</v>
      </c>
      <c r="N525" t="n">
        <v>0</v>
      </c>
      <c r="O525" t="n">
        <v>0</v>
      </c>
      <c r="P525" t="n">
        <v>0</v>
      </c>
      <c r="Q525" t="n">
        <v>0</v>
      </c>
      <c r="R525" s="2" t="inlineStr"/>
    </row>
    <row r="526" ht="15" customHeight="1">
      <c r="A526" t="inlineStr">
        <is>
          <t>A 16160-2024</t>
        </is>
      </c>
      <c r="B526" s="1" t="n">
        <v>45406</v>
      </c>
      <c r="C526" s="1" t="n">
        <v>46166</v>
      </c>
      <c r="D526" t="inlineStr">
        <is>
          <t>VÄSTMANLANDS LÄN</t>
        </is>
      </c>
      <c r="E526" t="inlineStr">
        <is>
          <t>SALA</t>
        </is>
      </c>
      <c r="G526" t="n">
        <v>1.1</v>
      </c>
      <c r="H526" t="n">
        <v>0</v>
      </c>
      <c r="I526" t="n">
        <v>0</v>
      </c>
      <c r="J526" t="n">
        <v>0</v>
      </c>
      <c r="K526" t="n">
        <v>0</v>
      </c>
      <c r="L526" t="n">
        <v>0</v>
      </c>
      <c r="M526" t="n">
        <v>0</v>
      </c>
      <c r="N526" t="n">
        <v>0</v>
      </c>
      <c r="O526" t="n">
        <v>0</v>
      </c>
      <c r="P526" t="n">
        <v>0</v>
      </c>
      <c r="Q526" t="n">
        <v>0</v>
      </c>
      <c r="R526" s="2" t="inlineStr"/>
    </row>
    <row r="527" ht="15" customHeight="1">
      <c r="A527" t="inlineStr">
        <is>
          <t>A 4214-2026</t>
        </is>
      </c>
      <c r="B527" s="1" t="n">
        <v>46044.76459490741</v>
      </c>
      <c r="C527" s="1" t="n">
        <v>46166</v>
      </c>
      <c r="D527" t="inlineStr">
        <is>
          <t>VÄSTMANLANDS LÄN</t>
        </is>
      </c>
      <c r="E527" t="inlineStr">
        <is>
          <t>SALA</t>
        </is>
      </c>
      <c r="G527" t="n">
        <v>1.7</v>
      </c>
      <c r="H527" t="n">
        <v>0</v>
      </c>
      <c r="I527" t="n">
        <v>0</v>
      </c>
      <c r="J527" t="n">
        <v>0</v>
      </c>
      <c r="K527" t="n">
        <v>0</v>
      </c>
      <c r="L527" t="n">
        <v>0</v>
      </c>
      <c r="M527" t="n">
        <v>0</v>
      </c>
      <c r="N527" t="n">
        <v>0</v>
      </c>
      <c r="O527" t="n">
        <v>0</v>
      </c>
      <c r="P527" t="n">
        <v>0</v>
      </c>
      <c r="Q527" t="n">
        <v>0</v>
      </c>
      <c r="R527" s="2" t="inlineStr"/>
    </row>
    <row r="528" ht="15" customHeight="1">
      <c r="A528" t="inlineStr">
        <is>
          <t>A 4712-2026</t>
        </is>
      </c>
      <c r="B528" s="1" t="n">
        <v>46048.46082175926</v>
      </c>
      <c r="C528" s="1" t="n">
        <v>46166</v>
      </c>
      <c r="D528" t="inlineStr">
        <is>
          <t>VÄSTMANLANDS LÄN</t>
        </is>
      </c>
      <c r="E528" t="inlineStr">
        <is>
          <t>SALA</t>
        </is>
      </c>
      <c r="G528" t="n">
        <v>4.1</v>
      </c>
      <c r="H528" t="n">
        <v>0</v>
      </c>
      <c r="I528" t="n">
        <v>0</v>
      </c>
      <c r="J528" t="n">
        <v>0</v>
      </c>
      <c r="K528" t="n">
        <v>0</v>
      </c>
      <c r="L528" t="n">
        <v>0</v>
      </c>
      <c r="M528" t="n">
        <v>0</v>
      </c>
      <c r="N528" t="n">
        <v>0</v>
      </c>
      <c r="O528" t="n">
        <v>0</v>
      </c>
      <c r="P528" t="n">
        <v>0</v>
      </c>
      <c r="Q528" t="n">
        <v>0</v>
      </c>
      <c r="R528" s="2" t="inlineStr"/>
    </row>
    <row r="529" ht="15" customHeight="1">
      <c r="A529" t="inlineStr">
        <is>
          <t>A 4664-2026</t>
        </is>
      </c>
      <c r="B529" s="1" t="n">
        <v>46048.41061342593</v>
      </c>
      <c r="C529" s="1" t="n">
        <v>46166</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4683-2026</t>
        </is>
      </c>
      <c r="B530" s="1" t="n">
        <v>46048.43489583334</v>
      </c>
      <c r="C530" s="1" t="n">
        <v>46166</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4681-2026</t>
        </is>
      </c>
      <c r="B531" s="1" t="n">
        <v>46048.43016203704</v>
      </c>
      <c r="C531" s="1" t="n">
        <v>46166</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39597-2022</t>
        </is>
      </c>
      <c r="B532" s="1" t="n">
        <v>44818</v>
      </c>
      <c r="C532" s="1" t="n">
        <v>46166</v>
      </c>
      <c r="D532" t="inlineStr">
        <is>
          <t>VÄSTMANLANDS LÄN</t>
        </is>
      </c>
      <c r="E532" t="inlineStr">
        <is>
          <t>SALA</t>
        </is>
      </c>
      <c r="G532" t="n">
        <v>2.3</v>
      </c>
      <c r="H532" t="n">
        <v>0</v>
      </c>
      <c r="I532" t="n">
        <v>0</v>
      </c>
      <c r="J532" t="n">
        <v>0</v>
      </c>
      <c r="K532" t="n">
        <v>0</v>
      </c>
      <c r="L532" t="n">
        <v>0</v>
      </c>
      <c r="M532" t="n">
        <v>0</v>
      </c>
      <c r="N532" t="n">
        <v>0</v>
      </c>
      <c r="O532" t="n">
        <v>0</v>
      </c>
      <c r="P532" t="n">
        <v>0</v>
      </c>
      <c r="Q532" t="n">
        <v>0</v>
      </c>
      <c r="R532" s="2" t="inlineStr"/>
    </row>
    <row r="533" ht="15" customHeight="1">
      <c r="A533" t="inlineStr">
        <is>
          <t>A 4624-2026</t>
        </is>
      </c>
      <c r="B533" s="1" t="n">
        <v>46048.38107638889</v>
      </c>
      <c r="C533" s="1" t="n">
        <v>46166</v>
      </c>
      <c r="D533" t="inlineStr">
        <is>
          <t>VÄSTMANLANDS LÄN</t>
        </is>
      </c>
      <c r="E533" t="inlineStr">
        <is>
          <t>SALA</t>
        </is>
      </c>
      <c r="G533" t="n">
        <v>12.3</v>
      </c>
      <c r="H533" t="n">
        <v>0</v>
      </c>
      <c r="I533" t="n">
        <v>0</v>
      </c>
      <c r="J533" t="n">
        <v>0</v>
      </c>
      <c r="K533" t="n">
        <v>0</v>
      </c>
      <c r="L533" t="n">
        <v>0</v>
      </c>
      <c r="M533" t="n">
        <v>0</v>
      </c>
      <c r="N533" t="n">
        <v>0</v>
      </c>
      <c r="O533" t="n">
        <v>0</v>
      </c>
      <c r="P533" t="n">
        <v>0</v>
      </c>
      <c r="Q533" t="n">
        <v>0</v>
      </c>
      <c r="R533" s="2" t="inlineStr"/>
    </row>
    <row r="534" ht="15" customHeight="1">
      <c r="A534" t="inlineStr">
        <is>
          <t>A 22921-2023</t>
        </is>
      </c>
      <c r="B534" s="1" t="n">
        <v>45070</v>
      </c>
      <c r="C534" s="1" t="n">
        <v>46166</v>
      </c>
      <c r="D534" t="inlineStr">
        <is>
          <t>VÄSTMANLANDS LÄN</t>
        </is>
      </c>
      <c r="E534" t="inlineStr">
        <is>
          <t>SALA</t>
        </is>
      </c>
      <c r="G534" t="n">
        <v>1.3</v>
      </c>
      <c r="H534" t="n">
        <v>0</v>
      </c>
      <c r="I534" t="n">
        <v>0</v>
      </c>
      <c r="J534" t="n">
        <v>0</v>
      </c>
      <c r="K534" t="n">
        <v>0</v>
      </c>
      <c r="L534" t="n">
        <v>0</v>
      </c>
      <c r="M534" t="n">
        <v>0</v>
      </c>
      <c r="N534" t="n">
        <v>0</v>
      </c>
      <c r="O534" t="n">
        <v>0</v>
      </c>
      <c r="P534" t="n">
        <v>0</v>
      </c>
      <c r="Q534" t="n">
        <v>0</v>
      </c>
      <c r="R534" s="2" t="inlineStr"/>
    </row>
    <row r="535" ht="15" customHeight="1">
      <c r="A535" t="inlineStr">
        <is>
          <t>A 5525-2026</t>
        </is>
      </c>
      <c r="B535" s="1" t="n">
        <v>46050.65055555556</v>
      </c>
      <c r="C535" s="1" t="n">
        <v>46166</v>
      </c>
      <c r="D535" t="inlineStr">
        <is>
          <t>VÄSTMANLANDS LÄN</t>
        </is>
      </c>
      <c r="E535" t="inlineStr">
        <is>
          <t>SALA</t>
        </is>
      </c>
      <c r="G535" t="n">
        <v>13.1</v>
      </c>
      <c r="H535" t="n">
        <v>0</v>
      </c>
      <c r="I535" t="n">
        <v>0</v>
      </c>
      <c r="J535" t="n">
        <v>0</v>
      </c>
      <c r="K535" t="n">
        <v>0</v>
      </c>
      <c r="L535" t="n">
        <v>0</v>
      </c>
      <c r="M535" t="n">
        <v>0</v>
      </c>
      <c r="N535" t="n">
        <v>0</v>
      </c>
      <c r="O535" t="n">
        <v>0</v>
      </c>
      <c r="P535" t="n">
        <v>0</v>
      </c>
      <c r="Q535" t="n">
        <v>0</v>
      </c>
      <c r="R535" s="2" t="inlineStr"/>
    </row>
    <row r="536" ht="15" customHeight="1">
      <c r="A536" t="inlineStr">
        <is>
          <t>A 36858-2023</t>
        </is>
      </c>
      <c r="B536" s="1" t="n">
        <v>45154.55184027777</v>
      </c>
      <c r="C536" s="1" t="n">
        <v>46166</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55024-2023</t>
        </is>
      </c>
      <c r="B537" s="1" t="n">
        <v>45229</v>
      </c>
      <c r="C537" s="1" t="n">
        <v>46166</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55032-2023</t>
        </is>
      </c>
      <c r="B538" s="1" t="n">
        <v>45229</v>
      </c>
      <c r="C538" s="1" t="n">
        <v>46166</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5219-2026</t>
        </is>
      </c>
      <c r="B539" s="1" t="n">
        <v>46049.76225694444</v>
      </c>
      <c r="C539" s="1" t="n">
        <v>46166</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5418-2026</t>
        </is>
      </c>
      <c r="B540" s="1" t="n">
        <v>46050.53740740741</v>
      </c>
      <c r="C540" s="1" t="n">
        <v>46166</v>
      </c>
      <c r="D540" t="inlineStr">
        <is>
          <t>VÄSTMANLANDS LÄN</t>
        </is>
      </c>
      <c r="E540" t="inlineStr">
        <is>
          <t>SALA</t>
        </is>
      </c>
      <c r="G540" t="n">
        <v>0.9</v>
      </c>
      <c r="H540" t="n">
        <v>0</v>
      </c>
      <c r="I540" t="n">
        <v>0</v>
      </c>
      <c r="J540" t="n">
        <v>0</v>
      </c>
      <c r="K540" t="n">
        <v>0</v>
      </c>
      <c r="L540" t="n">
        <v>0</v>
      </c>
      <c r="M540" t="n">
        <v>0</v>
      </c>
      <c r="N540" t="n">
        <v>0</v>
      </c>
      <c r="O540" t="n">
        <v>0</v>
      </c>
      <c r="P540" t="n">
        <v>0</v>
      </c>
      <c r="Q540" t="n">
        <v>0</v>
      </c>
      <c r="R540" s="2" t="inlineStr"/>
    </row>
    <row r="541" ht="15" customHeight="1">
      <c r="A541" t="inlineStr">
        <is>
          <t>A 20352-2022</t>
        </is>
      </c>
      <c r="B541" s="1" t="n">
        <v>44699.37318287037</v>
      </c>
      <c r="C541" s="1" t="n">
        <v>46166</v>
      </c>
      <c r="D541" t="inlineStr">
        <is>
          <t>VÄSTMANLANDS LÄN</t>
        </is>
      </c>
      <c r="E541" t="inlineStr">
        <is>
          <t>SALA</t>
        </is>
      </c>
      <c r="G541" t="n">
        <v>1.3</v>
      </c>
      <c r="H541" t="n">
        <v>0</v>
      </c>
      <c r="I541" t="n">
        <v>0</v>
      </c>
      <c r="J541" t="n">
        <v>0</v>
      </c>
      <c r="K541" t="n">
        <v>0</v>
      </c>
      <c r="L541" t="n">
        <v>0</v>
      </c>
      <c r="M541" t="n">
        <v>0</v>
      </c>
      <c r="N541" t="n">
        <v>0</v>
      </c>
      <c r="O541" t="n">
        <v>0</v>
      </c>
      <c r="P541" t="n">
        <v>0</v>
      </c>
      <c r="Q541" t="n">
        <v>0</v>
      </c>
      <c r="R541" s="2" t="inlineStr"/>
    </row>
    <row r="542" ht="15" customHeight="1">
      <c r="A542" t="inlineStr">
        <is>
          <t>A 5032-2025</t>
        </is>
      </c>
      <c r="B542" s="1" t="n">
        <v>45691</v>
      </c>
      <c r="C542" s="1" t="n">
        <v>46166</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17117-2023</t>
        </is>
      </c>
      <c r="B543" s="1" t="n">
        <v>45034</v>
      </c>
      <c r="C543" s="1" t="n">
        <v>46166</v>
      </c>
      <c r="D543" t="inlineStr">
        <is>
          <t>VÄSTMANLANDS LÄN</t>
        </is>
      </c>
      <c r="E543" t="inlineStr">
        <is>
          <t>SALA</t>
        </is>
      </c>
      <c r="G543" t="n">
        <v>0.4</v>
      </c>
      <c r="H543" t="n">
        <v>0</v>
      </c>
      <c r="I543" t="n">
        <v>0</v>
      </c>
      <c r="J543" t="n">
        <v>0</v>
      </c>
      <c r="K543" t="n">
        <v>0</v>
      </c>
      <c r="L543" t="n">
        <v>0</v>
      </c>
      <c r="M543" t="n">
        <v>0</v>
      </c>
      <c r="N543" t="n">
        <v>0</v>
      </c>
      <c r="O543" t="n">
        <v>0</v>
      </c>
      <c r="P543" t="n">
        <v>0</v>
      </c>
      <c r="Q543" t="n">
        <v>0</v>
      </c>
      <c r="R543" s="2" t="inlineStr"/>
    </row>
    <row r="544" ht="15" customHeight="1">
      <c r="A544" t="inlineStr">
        <is>
          <t>A 19243-2025</t>
        </is>
      </c>
      <c r="B544" s="1" t="n">
        <v>45769</v>
      </c>
      <c r="C544" s="1" t="n">
        <v>46166</v>
      </c>
      <c r="D544" t="inlineStr">
        <is>
          <t>VÄSTMANLANDS LÄN</t>
        </is>
      </c>
      <c r="E544" t="inlineStr">
        <is>
          <t>SALA</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5894-2026</t>
        </is>
      </c>
      <c r="B545" s="1" t="n">
        <v>46052.42412037037</v>
      </c>
      <c r="C545" s="1" t="n">
        <v>46166</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7166-2025</t>
        </is>
      </c>
      <c r="B546" s="1" t="n">
        <v>45702</v>
      </c>
      <c r="C546" s="1" t="n">
        <v>46166</v>
      </c>
      <c r="D546" t="inlineStr">
        <is>
          <t>VÄSTMANLANDS LÄN</t>
        </is>
      </c>
      <c r="E546" t="inlineStr">
        <is>
          <t>SALA</t>
        </is>
      </c>
      <c r="G546" t="n">
        <v>6.1</v>
      </c>
      <c r="H546" t="n">
        <v>0</v>
      </c>
      <c r="I546" t="n">
        <v>0</v>
      </c>
      <c r="J546" t="n">
        <v>0</v>
      </c>
      <c r="K546" t="n">
        <v>0</v>
      </c>
      <c r="L546" t="n">
        <v>0</v>
      </c>
      <c r="M546" t="n">
        <v>0</v>
      </c>
      <c r="N546" t="n">
        <v>0</v>
      </c>
      <c r="O546" t="n">
        <v>0</v>
      </c>
      <c r="P546" t="n">
        <v>0</v>
      </c>
      <c r="Q546" t="n">
        <v>0</v>
      </c>
      <c r="R546" s="2" t="inlineStr"/>
    </row>
    <row r="547" ht="15" customHeight="1">
      <c r="A547" t="inlineStr">
        <is>
          <t>A 36393-2023</t>
        </is>
      </c>
      <c r="B547" s="1" t="n">
        <v>45152</v>
      </c>
      <c r="C547" s="1" t="n">
        <v>46166</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26416-2023</t>
        </is>
      </c>
      <c r="B548" s="1" t="n">
        <v>45092.38087962963</v>
      </c>
      <c r="C548" s="1" t="n">
        <v>46166</v>
      </c>
      <c r="D548" t="inlineStr">
        <is>
          <t>VÄSTMANLANDS LÄN</t>
        </is>
      </c>
      <c r="E548" t="inlineStr">
        <is>
          <t>SALA</t>
        </is>
      </c>
      <c r="G548" t="n">
        <v>2.9</v>
      </c>
      <c r="H548" t="n">
        <v>0</v>
      </c>
      <c r="I548" t="n">
        <v>0</v>
      </c>
      <c r="J548" t="n">
        <v>0</v>
      </c>
      <c r="K548" t="n">
        <v>0</v>
      </c>
      <c r="L548" t="n">
        <v>0</v>
      </c>
      <c r="M548" t="n">
        <v>0</v>
      </c>
      <c r="N548" t="n">
        <v>0</v>
      </c>
      <c r="O548" t="n">
        <v>0</v>
      </c>
      <c r="P548" t="n">
        <v>0</v>
      </c>
      <c r="Q548" t="n">
        <v>0</v>
      </c>
      <c r="R548" s="2" t="inlineStr"/>
    </row>
    <row r="549" ht="15" customHeight="1">
      <c r="A549" t="inlineStr">
        <is>
          <t>A 6021-2026</t>
        </is>
      </c>
      <c r="B549" s="1" t="n">
        <v>46050</v>
      </c>
      <c r="C549" s="1" t="n">
        <v>46166</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28661-2024</t>
        </is>
      </c>
      <c r="B550" s="1" t="n">
        <v>45478</v>
      </c>
      <c r="C550" s="1" t="n">
        <v>46166</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7327-2026</t>
        </is>
      </c>
      <c r="B551" s="1" t="n">
        <v>46058.68371527778</v>
      </c>
      <c r="C551" s="1" t="n">
        <v>46166</v>
      </c>
      <c r="D551" t="inlineStr">
        <is>
          <t>VÄSTMANLANDS LÄN</t>
        </is>
      </c>
      <c r="E551" t="inlineStr">
        <is>
          <t>SALA</t>
        </is>
      </c>
      <c r="G551" t="n">
        <v>5.8</v>
      </c>
      <c r="H551" t="n">
        <v>0</v>
      </c>
      <c r="I551" t="n">
        <v>0</v>
      </c>
      <c r="J551" t="n">
        <v>0</v>
      </c>
      <c r="K551" t="n">
        <v>0</v>
      </c>
      <c r="L551" t="n">
        <v>0</v>
      </c>
      <c r="M551" t="n">
        <v>0</v>
      </c>
      <c r="N551" t="n">
        <v>0</v>
      </c>
      <c r="O551" t="n">
        <v>0</v>
      </c>
      <c r="P551" t="n">
        <v>0</v>
      </c>
      <c r="Q551" t="n">
        <v>0</v>
      </c>
      <c r="R551" s="2" t="inlineStr"/>
    </row>
    <row r="552" ht="15" customHeight="1">
      <c r="A552" t="inlineStr">
        <is>
          <t>A 7332-2026</t>
        </is>
      </c>
      <c r="B552" s="1" t="n">
        <v>46058.68884259259</v>
      </c>
      <c r="C552" s="1" t="n">
        <v>46166</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27255-2023</t>
        </is>
      </c>
      <c r="B553" s="1" t="n">
        <v>45096</v>
      </c>
      <c r="C553" s="1" t="n">
        <v>46166</v>
      </c>
      <c r="D553" t="inlineStr">
        <is>
          <t>VÄSTMANLANDS LÄN</t>
        </is>
      </c>
      <c r="E553" t="inlineStr">
        <is>
          <t>SALA</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7324-2026</t>
        </is>
      </c>
      <c r="B554" s="1" t="n">
        <v>46058.68023148148</v>
      </c>
      <c r="C554" s="1" t="n">
        <v>46166</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7329-2026</t>
        </is>
      </c>
      <c r="B555" s="1" t="n">
        <v>46058.68678240741</v>
      </c>
      <c r="C555" s="1" t="n">
        <v>46166</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7654-2026</t>
        </is>
      </c>
      <c r="B556" s="1" t="n">
        <v>46062.38828703704</v>
      </c>
      <c r="C556" s="1" t="n">
        <v>46166</v>
      </c>
      <c r="D556" t="inlineStr">
        <is>
          <t>VÄSTMANLANDS LÄN</t>
        </is>
      </c>
      <c r="E556" t="inlineStr">
        <is>
          <t>SALA</t>
        </is>
      </c>
      <c r="G556" t="n">
        <v>4.5</v>
      </c>
      <c r="H556" t="n">
        <v>0</v>
      </c>
      <c r="I556" t="n">
        <v>0</v>
      </c>
      <c r="J556" t="n">
        <v>0</v>
      </c>
      <c r="K556" t="n">
        <v>0</v>
      </c>
      <c r="L556" t="n">
        <v>0</v>
      </c>
      <c r="M556" t="n">
        <v>0</v>
      </c>
      <c r="N556" t="n">
        <v>0</v>
      </c>
      <c r="O556" t="n">
        <v>0</v>
      </c>
      <c r="P556" t="n">
        <v>0</v>
      </c>
      <c r="Q556" t="n">
        <v>0</v>
      </c>
      <c r="R556" s="2" t="inlineStr"/>
    </row>
    <row r="557" ht="15" customHeight="1">
      <c r="A557" t="inlineStr">
        <is>
          <t>A 7588-2026</t>
        </is>
      </c>
      <c r="B557" s="1" t="n">
        <v>46061.83528935185</v>
      </c>
      <c r="C557" s="1" t="n">
        <v>46166</v>
      </c>
      <c r="D557" t="inlineStr">
        <is>
          <t>VÄSTMANLANDS LÄN</t>
        </is>
      </c>
      <c r="E557" t="inlineStr">
        <is>
          <t>SALA</t>
        </is>
      </c>
      <c r="G557" t="n">
        <v>2.8</v>
      </c>
      <c r="H557" t="n">
        <v>0</v>
      </c>
      <c r="I557" t="n">
        <v>0</v>
      </c>
      <c r="J557" t="n">
        <v>0</v>
      </c>
      <c r="K557" t="n">
        <v>0</v>
      </c>
      <c r="L557" t="n">
        <v>0</v>
      </c>
      <c r="M557" t="n">
        <v>0</v>
      </c>
      <c r="N557" t="n">
        <v>0</v>
      </c>
      <c r="O557" t="n">
        <v>0</v>
      </c>
      <c r="P557" t="n">
        <v>0</v>
      </c>
      <c r="Q557" t="n">
        <v>0</v>
      </c>
      <c r="R557" s="2" t="inlineStr"/>
    </row>
    <row r="558" ht="15" customHeight="1">
      <c r="A558" t="inlineStr">
        <is>
          <t>A 7611-2026</t>
        </is>
      </c>
      <c r="B558" s="1" t="n">
        <v>46062.32387731481</v>
      </c>
      <c r="C558" s="1" t="n">
        <v>46166</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7676-2026</t>
        </is>
      </c>
      <c r="B559" s="1" t="n">
        <v>46062.42498842593</v>
      </c>
      <c r="C559" s="1" t="n">
        <v>46166</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7593-2026</t>
        </is>
      </c>
      <c r="B560" s="1" t="n">
        <v>46061.88057870371</v>
      </c>
      <c r="C560" s="1" t="n">
        <v>46166</v>
      </c>
      <c r="D560" t="inlineStr">
        <is>
          <t>VÄSTMANLANDS LÄN</t>
        </is>
      </c>
      <c r="E560" t="inlineStr">
        <is>
          <t>SALA</t>
        </is>
      </c>
      <c r="G560" t="n">
        <v>7.5</v>
      </c>
      <c r="H560" t="n">
        <v>0</v>
      </c>
      <c r="I560" t="n">
        <v>0</v>
      </c>
      <c r="J560" t="n">
        <v>0</v>
      </c>
      <c r="K560" t="n">
        <v>0</v>
      </c>
      <c r="L560" t="n">
        <v>0</v>
      </c>
      <c r="M560" t="n">
        <v>0</v>
      </c>
      <c r="N560" t="n">
        <v>0</v>
      </c>
      <c r="O560" t="n">
        <v>0</v>
      </c>
      <c r="P560" t="n">
        <v>0</v>
      </c>
      <c r="Q560" t="n">
        <v>0</v>
      </c>
      <c r="R560" s="2" t="inlineStr"/>
    </row>
    <row r="561" ht="15" customHeight="1">
      <c r="A561" t="inlineStr">
        <is>
          <t>A 7597-2026</t>
        </is>
      </c>
      <c r="B561" s="1" t="n">
        <v>46061.91765046296</v>
      </c>
      <c r="C561" s="1" t="n">
        <v>46166</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7661-2026</t>
        </is>
      </c>
      <c r="B562" s="1" t="n">
        <v>46062.39614583334</v>
      </c>
      <c r="C562" s="1" t="n">
        <v>46166</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7197-2025</t>
        </is>
      </c>
      <c r="B563" s="1" t="n">
        <v>45702</v>
      </c>
      <c r="C563" s="1" t="n">
        <v>46166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7584-2026</t>
        </is>
      </c>
      <c r="B564" s="1" t="n">
        <v>46061.81653935185</v>
      </c>
      <c r="C564" s="1" t="n">
        <v>46166</v>
      </c>
      <c r="D564" t="inlineStr">
        <is>
          <t>VÄSTMANLANDS LÄN</t>
        </is>
      </c>
      <c r="E564" t="inlineStr">
        <is>
          <t>SALA</t>
        </is>
      </c>
      <c r="G564" t="n">
        <v>16.7</v>
      </c>
      <c r="H564" t="n">
        <v>0</v>
      </c>
      <c r="I564" t="n">
        <v>0</v>
      </c>
      <c r="J564" t="n">
        <v>0</v>
      </c>
      <c r="K564" t="n">
        <v>0</v>
      </c>
      <c r="L564" t="n">
        <v>0</v>
      </c>
      <c r="M564" t="n">
        <v>0</v>
      </c>
      <c r="N564" t="n">
        <v>0</v>
      </c>
      <c r="O564" t="n">
        <v>0</v>
      </c>
      <c r="P564" t="n">
        <v>0</v>
      </c>
      <c r="Q564" t="n">
        <v>0</v>
      </c>
      <c r="R564" s="2" t="inlineStr"/>
    </row>
    <row r="565" ht="15" customHeight="1">
      <c r="A565" t="inlineStr">
        <is>
          <t>A 7590-2026</t>
        </is>
      </c>
      <c r="B565" s="1" t="n">
        <v>46061.85252314815</v>
      </c>
      <c r="C565" s="1" t="n">
        <v>46166</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7596-2026</t>
        </is>
      </c>
      <c r="B566" s="1" t="n">
        <v>46061.90922453703</v>
      </c>
      <c r="C566" s="1" t="n">
        <v>46166</v>
      </c>
      <c r="D566" t="inlineStr">
        <is>
          <t>VÄSTMANLANDS LÄN</t>
        </is>
      </c>
      <c r="E566" t="inlineStr">
        <is>
          <t>SALA</t>
        </is>
      </c>
      <c r="G566" t="n">
        <v>3.1</v>
      </c>
      <c r="H566" t="n">
        <v>0</v>
      </c>
      <c r="I566" t="n">
        <v>0</v>
      </c>
      <c r="J566" t="n">
        <v>0</v>
      </c>
      <c r="K566" t="n">
        <v>0</v>
      </c>
      <c r="L566" t="n">
        <v>0</v>
      </c>
      <c r="M566" t="n">
        <v>0</v>
      </c>
      <c r="N566" t="n">
        <v>0</v>
      </c>
      <c r="O566" t="n">
        <v>0</v>
      </c>
      <c r="P566" t="n">
        <v>0</v>
      </c>
      <c r="Q566" t="n">
        <v>0</v>
      </c>
      <c r="R566" s="2" t="inlineStr"/>
    </row>
    <row r="567" ht="15" customHeight="1">
      <c r="A567" t="inlineStr">
        <is>
          <t>A 7850-2026</t>
        </is>
      </c>
      <c r="B567" s="1" t="n">
        <v>46062.66236111111</v>
      </c>
      <c r="C567" s="1" t="n">
        <v>46166</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7595-2026</t>
        </is>
      </c>
      <c r="B568" s="1" t="n">
        <v>46061.90009259259</v>
      </c>
      <c r="C568" s="1" t="n">
        <v>46166</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7680-2026</t>
        </is>
      </c>
      <c r="B569" s="1" t="n">
        <v>46062.43087962963</v>
      </c>
      <c r="C569" s="1" t="n">
        <v>46166</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13752-2025</t>
        </is>
      </c>
      <c r="B570" s="1" t="n">
        <v>45737.41416666667</v>
      </c>
      <c r="C570" s="1" t="n">
        <v>46166</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2927-2024</t>
        </is>
      </c>
      <c r="B571" s="1" t="n">
        <v>45315.58989583333</v>
      </c>
      <c r="C571" s="1" t="n">
        <v>46166</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26854-2024</t>
        </is>
      </c>
      <c r="B572" s="1" t="n">
        <v>45470</v>
      </c>
      <c r="C572" s="1" t="n">
        <v>46166</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48570-2024</t>
        </is>
      </c>
      <c r="B573" s="1" t="n">
        <v>45591</v>
      </c>
      <c r="C573" s="1" t="n">
        <v>46166</v>
      </c>
      <c r="D573" t="inlineStr">
        <is>
          <t>VÄSTMANLANDS LÄN</t>
        </is>
      </c>
      <c r="E573" t="inlineStr">
        <is>
          <t>SALA</t>
        </is>
      </c>
      <c r="G573" t="n">
        <v>3</v>
      </c>
      <c r="H573" t="n">
        <v>0</v>
      </c>
      <c r="I573" t="n">
        <v>0</v>
      </c>
      <c r="J573" t="n">
        <v>0</v>
      </c>
      <c r="K573" t="n">
        <v>0</v>
      </c>
      <c r="L573" t="n">
        <v>0</v>
      </c>
      <c r="M573" t="n">
        <v>0</v>
      </c>
      <c r="N573" t="n">
        <v>0</v>
      </c>
      <c r="O573" t="n">
        <v>0</v>
      </c>
      <c r="P573" t="n">
        <v>0</v>
      </c>
      <c r="Q573" t="n">
        <v>0</v>
      </c>
      <c r="R573" s="2" t="inlineStr"/>
    </row>
    <row r="574" ht="15" customHeight="1">
      <c r="A574" t="inlineStr">
        <is>
          <t>A 57883-2024</t>
        </is>
      </c>
      <c r="B574" s="1" t="n">
        <v>45630</v>
      </c>
      <c r="C574" s="1" t="n">
        <v>46166</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16769-2024</t>
        </is>
      </c>
      <c r="B575" s="1" t="n">
        <v>45411.38738425926</v>
      </c>
      <c r="C575" s="1" t="n">
        <v>46166</v>
      </c>
      <c r="D575" t="inlineStr">
        <is>
          <t>VÄSTMANLANDS LÄN</t>
        </is>
      </c>
      <c r="E575" t="inlineStr">
        <is>
          <t>SALA</t>
        </is>
      </c>
      <c r="G575" t="n">
        <v>12</v>
      </c>
      <c r="H575" t="n">
        <v>0</v>
      </c>
      <c r="I575" t="n">
        <v>0</v>
      </c>
      <c r="J575" t="n">
        <v>0</v>
      </c>
      <c r="K575" t="n">
        <v>0</v>
      </c>
      <c r="L575" t="n">
        <v>0</v>
      </c>
      <c r="M575" t="n">
        <v>0</v>
      </c>
      <c r="N575" t="n">
        <v>0</v>
      </c>
      <c r="O575" t="n">
        <v>0</v>
      </c>
      <c r="P575" t="n">
        <v>0</v>
      </c>
      <c r="Q575" t="n">
        <v>0</v>
      </c>
      <c r="R575" s="2" t="inlineStr"/>
    </row>
    <row r="576" ht="15" customHeight="1">
      <c r="A576" t="inlineStr">
        <is>
          <t>A 18877-2023</t>
        </is>
      </c>
      <c r="B576" s="1" t="n">
        <v>45044</v>
      </c>
      <c r="C576" s="1" t="n">
        <v>46166</v>
      </c>
      <c r="D576" t="inlineStr">
        <is>
          <t>VÄSTMANLANDS LÄN</t>
        </is>
      </c>
      <c r="E576" t="inlineStr">
        <is>
          <t>SALA</t>
        </is>
      </c>
      <c r="F576" t="inlineStr">
        <is>
          <t>Kommuner</t>
        </is>
      </c>
      <c r="G576" t="n">
        <v>4.4</v>
      </c>
      <c r="H576" t="n">
        <v>0</v>
      </c>
      <c r="I576" t="n">
        <v>0</v>
      </c>
      <c r="J576" t="n">
        <v>0</v>
      </c>
      <c r="K576" t="n">
        <v>0</v>
      </c>
      <c r="L576" t="n">
        <v>0</v>
      </c>
      <c r="M576" t="n">
        <v>0</v>
      </c>
      <c r="N576" t="n">
        <v>0</v>
      </c>
      <c r="O576" t="n">
        <v>0</v>
      </c>
      <c r="P576" t="n">
        <v>0</v>
      </c>
      <c r="Q576" t="n">
        <v>0</v>
      </c>
      <c r="R576" s="2" t="inlineStr"/>
    </row>
    <row r="577" ht="15" customHeight="1">
      <c r="A577" t="inlineStr">
        <is>
          <t>A 10239-2026</t>
        </is>
      </c>
      <c r="B577" s="1" t="n">
        <v>46076.54824074074</v>
      </c>
      <c r="C577" s="1" t="n">
        <v>46166</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44544-2024</t>
        </is>
      </c>
      <c r="B578" s="1" t="n">
        <v>45574.46119212963</v>
      </c>
      <c r="C578" s="1" t="n">
        <v>46166</v>
      </c>
      <c r="D578" t="inlineStr">
        <is>
          <t>VÄSTMANLANDS LÄN</t>
        </is>
      </c>
      <c r="E578" t="inlineStr">
        <is>
          <t>SALA</t>
        </is>
      </c>
      <c r="G578" t="n">
        <v>3.3</v>
      </c>
      <c r="H578" t="n">
        <v>0</v>
      </c>
      <c r="I578" t="n">
        <v>0</v>
      </c>
      <c r="J578" t="n">
        <v>0</v>
      </c>
      <c r="K578" t="n">
        <v>0</v>
      </c>
      <c r="L578" t="n">
        <v>0</v>
      </c>
      <c r="M578" t="n">
        <v>0</v>
      </c>
      <c r="N578" t="n">
        <v>0</v>
      </c>
      <c r="O578" t="n">
        <v>0</v>
      </c>
      <c r="P578" t="n">
        <v>0</v>
      </c>
      <c r="Q578" t="n">
        <v>0</v>
      </c>
      <c r="R578" s="2" t="inlineStr"/>
    </row>
    <row r="579" ht="15" customHeight="1">
      <c r="A579" t="inlineStr">
        <is>
          <t>A 60379-2022</t>
        </is>
      </c>
      <c r="B579" s="1" t="n">
        <v>44910</v>
      </c>
      <c r="C579" s="1" t="n">
        <v>46166</v>
      </c>
      <c r="D579" t="inlineStr">
        <is>
          <t>VÄSTMANLANDS LÄN</t>
        </is>
      </c>
      <c r="E579" t="inlineStr">
        <is>
          <t>SALA</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44893.48284722222</v>
      </c>
      <c r="C580" s="1" t="n">
        <v>46166</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29542-2023</t>
        </is>
      </c>
      <c r="B581" s="1" t="n">
        <v>45098</v>
      </c>
      <c r="C581" s="1" t="n">
        <v>46166</v>
      </c>
      <c r="D581" t="inlineStr">
        <is>
          <t>VÄSTMANLANDS LÄN</t>
        </is>
      </c>
      <c r="E581" t="inlineStr">
        <is>
          <t>SALA</t>
        </is>
      </c>
      <c r="G581" t="n">
        <v>4.8</v>
      </c>
      <c r="H581" t="n">
        <v>0</v>
      </c>
      <c r="I581" t="n">
        <v>0</v>
      </c>
      <c r="J581" t="n">
        <v>0</v>
      </c>
      <c r="K581" t="n">
        <v>0</v>
      </c>
      <c r="L581" t="n">
        <v>0</v>
      </c>
      <c r="M581" t="n">
        <v>0</v>
      </c>
      <c r="N581" t="n">
        <v>0</v>
      </c>
      <c r="O581" t="n">
        <v>0</v>
      </c>
      <c r="P581" t="n">
        <v>0</v>
      </c>
      <c r="Q581" t="n">
        <v>0</v>
      </c>
      <c r="R581" s="2" t="inlineStr"/>
    </row>
    <row r="582" ht="15" customHeight="1">
      <c r="A582" t="inlineStr">
        <is>
          <t>A 10245-2026</t>
        </is>
      </c>
      <c r="B582" s="1" t="n">
        <v>46076.55144675926</v>
      </c>
      <c r="C582" s="1" t="n">
        <v>46166</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10252-2026</t>
        </is>
      </c>
      <c r="B583" s="1" t="n">
        <v>46076.55700231482</v>
      </c>
      <c r="C583" s="1" t="n">
        <v>46166</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16638-2023</t>
        </is>
      </c>
      <c r="B584" s="1" t="n">
        <v>45027</v>
      </c>
      <c r="C584" s="1" t="n">
        <v>46166</v>
      </c>
      <c r="D584" t="inlineStr">
        <is>
          <t>VÄSTMANLANDS LÄN</t>
        </is>
      </c>
      <c r="E584" t="inlineStr">
        <is>
          <t>SALA</t>
        </is>
      </c>
      <c r="G584" t="n">
        <v>14.8</v>
      </c>
      <c r="H584" t="n">
        <v>0</v>
      </c>
      <c r="I584" t="n">
        <v>0</v>
      </c>
      <c r="J584" t="n">
        <v>0</v>
      </c>
      <c r="K584" t="n">
        <v>0</v>
      </c>
      <c r="L584" t="n">
        <v>0</v>
      </c>
      <c r="M584" t="n">
        <v>0</v>
      </c>
      <c r="N584" t="n">
        <v>0</v>
      </c>
      <c r="O584" t="n">
        <v>0</v>
      </c>
      <c r="P584" t="n">
        <v>0</v>
      </c>
      <c r="Q584" t="n">
        <v>0</v>
      </c>
      <c r="R584" s="2" t="inlineStr"/>
    </row>
    <row r="585" ht="15" customHeight="1">
      <c r="A585" t="inlineStr">
        <is>
          <t>A 37190-2024</t>
        </is>
      </c>
      <c r="B585" s="1" t="n">
        <v>45539</v>
      </c>
      <c r="C585" s="1" t="n">
        <v>46166</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23222-2023</t>
        </is>
      </c>
      <c r="B586" s="1" t="n">
        <v>45075</v>
      </c>
      <c r="C586" s="1" t="n">
        <v>46166</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23224-2023</t>
        </is>
      </c>
      <c r="B587" s="1" t="n">
        <v>45075.65040509259</v>
      </c>
      <c r="C587" s="1" t="n">
        <v>46166</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18382-2026</t>
        </is>
      </c>
      <c r="B588" s="1" t="n">
        <v>46126.63601851852</v>
      </c>
      <c r="C588" s="1" t="n">
        <v>46166</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68864-2021</t>
        </is>
      </c>
      <c r="B589" s="1" t="n">
        <v>44530</v>
      </c>
      <c r="C589" s="1" t="n">
        <v>46166</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19065-2022</t>
        </is>
      </c>
      <c r="B590" s="1" t="n">
        <v>44691.44309027777</v>
      </c>
      <c r="C590" s="1" t="n">
        <v>46166</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12144-2026</t>
        </is>
      </c>
      <c r="B591" s="1" t="n">
        <v>46086.58008101852</v>
      </c>
      <c r="C591" s="1" t="n">
        <v>46166</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37612-2024</t>
        </is>
      </c>
      <c r="B592" s="1" t="n">
        <v>45541</v>
      </c>
      <c r="C592" s="1" t="n">
        <v>46166</v>
      </c>
      <c r="D592" t="inlineStr">
        <is>
          <t>VÄSTMANLANDS LÄN</t>
        </is>
      </c>
      <c r="E592" t="inlineStr">
        <is>
          <t>SALA</t>
        </is>
      </c>
      <c r="G592" t="n">
        <v>2.2</v>
      </c>
      <c r="H592" t="n">
        <v>0</v>
      </c>
      <c r="I592" t="n">
        <v>0</v>
      </c>
      <c r="J592" t="n">
        <v>0</v>
      </c>
      <c r="K592" t="n">
        <v>0</v>
      </c>
      <c r="L592" t="n">
        <v>0</v>
      </c>
      <c r="M592" t="n">
        <v>0</v>
      </c>
      <c r="N592" t="n">
        <v>0</v>
      </c>
      <c r="O592" t="n">
        <v>0</v>
      </c>
      <c r="P592" t="n">
        <v>0</v>
      </c>
      <c r="Q592" t="n">
        <v>0</v>
      </c>
      <c r="R592" s="2" t="inlineStr"/>
    </row>
    <row r="593" ht="15" customHeight="1">
      <c r="A593" t="inlineStr">
        <is>
          <t>A 37615-2024</t>
        </is>
      </c>
      <c r="B593" s="1" t="n">
        <v>45541.50673611111</v>
      </c>
      <c r="C593" s="1" t="n">
        <v>46166</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18592-2026</t>
        </is>
      </c>
      <c r="B594" s="1" t="n">
        <v>46127.64232638889</v>
      </c>
      <c r="C594" s="1" t="n">
        <v>46166</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18158-2025</t>
        </is>
      </c>
      <c r="B595" s="1" t="n">
        <v>45761</v>
      </c>
      <c r="C595" s="1" t="n">
        <v>46166</v>
      </c>
      <c r="D595" t="inlineStr">
        <is>
          <t>VÄSTMANLANDS LÄN</t>
        </is>
      </c>
      <c r="E595" t="inlineStr">
        <is>
          <t>SALA</t>
        </is>
      </c>
      <c r="F595" t="inlineStr">
        <is>
          <t>Bergvik skog öst AB</t>
        </is>
      </c>
      <c r="G595" t="n">
        <v>1.6</v>
      </c>
      <c r="H595" t="n">
        <v>0</v>
      </c>
      <c r="I595" t="n">
        <v>0</v>
      </c>
      <c r="J595" t="n">
        <v>0</v>
      </c>
      <c r="K595" t="n">
        <v>0</v>
      </c>
      <c r="L595" t="n">
        <v>0</v>
      </c>
      <c r="M595" t="n">
        <v>0</v>
      </c>
      <c r="N595" t="n">
        <v>0</v>
      </c>
      <c r="O595" t="n">
        <v>0</v>
      </c>
      <c r="P595" t="n">
        <v>0</v>
      </c>
      <c r="Q595" t="n">
        <v>0</v>
      </c>
      <c r="R595" s="2" t="inlineStr"/>
    </row>
    <row r="596" ht="15" customHeight="1">
      <c r="A596" t="inlineStr">
        <is>
          <t>A 9962-2025</t>
        </is>
      </c>
      <c r="B596" s="1" t="n">
        <v>45719.37072916667</v>
      </c>
      <c r="C596" s="1" t="n">
        <v>46166</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12497-2026</t>
        </is>
      </c>
      <c r="B597" s="1" t="n">
        <v>46090.57240740741</v>
      </c>
      <c r="C597" s="1" t="n">
        <v>46166</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37602-2024</t>
        </is>
      </c>
      <c r="B598" s="1" t="n">
        <v>45541</v>
      </c>
      <c r="C598" s="1" t="n">
        <v>46166</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18762-2024</t>
        </is>
      </c>
      <c r="B599" s="1" t="n">
        <v>45426.55240740741</v>
      </c>
      <c r="C599" s="1" t="n">
        <v>46166</v>
      </c>
      <c r="D599" t="inlineStr">
        <is>
          <t>VÄSTMANLANDS LÄN</t>
        </is>
      </c>
      <c r="E599" t="inlineStr">
        <is>
          <t>SALA</t>
        </is>
      </c>
      <c r="G599" t="n">
        <v>6.2</v>
      </c>
      <c r="H599" t="n">
        <v>0</v>
      </c>
      <c r="I599" t="n">
        <v>0</v>
      </c>
      <c r="J599" t="n">
        <v>0</v>
      </c>
      <c r="K599" t="n">
        <v>0</v>
      </c>
      <c r="L599" t="n">
        <v>0</v>
      </c>
      <c r="M599" t="n">
        <v>0</v>
      </c>
      <c r="N599" t="n">
        <v>0</v>
      </c>
      <c r="O599" t="n">
        <v>0</v>
      </c>
      <c r="P599" t="n">
        <v>0</v>
      </c>
      <c r="Q599" t="n">
        <v>0</v>
      </c>
      <c r="R599" s="2" t="inlineStr"/>
    </row>
    <row r="600" ht="15" customHeight="1">
      <c r="A600" t="inlineStr">
        <is>
          <t>A 39011-2023</t>
        </is>
      </c>
      <c r="B600" s="1" t="n">
        <v>45162</v>
      </c>
      <c r="C600" s="1" t="n">
        <v>46166</v>
      </c>
      <c r="D600" t="inlineStr">
        <is>
          <t>VÄSTMANLANDS LÄN</t>
        </is>
      </c>
      <c r="E600" t="inlineStr">
        <is>
          <t>SALA</t>
        </is>
      </c>
      <c r="G600" t="n">
        <v>1.6</v>
      </c>
      <c r="H600" t="n">
        <v>0</v>
      </c>
      <c r="I600" t="n">
        <v>0</v>
      </c>
      <c r="J600" t="n">
        <v>0</v>
      </c>
      <c r="K600" t="n">
        <v>0</v>
      </c>
      <c r="L600" t="n">
        <v>0</v>
      </c>
      <c r="M600" t="n">
        <v>0</v>
      </c>
      <c r="N600" t="n">
        <v>0</v>
      </c>
      <c r="O600" t="n">
        <v>0</v>
      </c>
      <c r="P600" t="n">
        <v>0</v>
      </c>
      <c r="Q600" t="n">
        <v>0</v>
      </c>
      <c r="R600" s="2" t="inlineStr"/>
    </row>
    <row r="601" ht="15" customHeight="1">
      <c r="A601" t="inlineStr">
        <is>
          <t>A 19044-2026</t>
        </is>
      </c>
      <c r="B601" s="1" t="n">
        <v>46132.33789351852</v>
      </c>
      <c r="C601" s="1" t="n">
        <v>46166</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46352-2023</t>
        </is>
      </c>
      <c r="B602" s="1" t="n">
        <v>45192</v>
      </c>
      <c r="C602" s="1" t="n">
        <v>46166</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43751-2021</t>
        </is>
      </c>
      <c r="B603" s="1" t="n">
        <v>44433</v>
      </c>
      <c r="C603" s="1" t="n">
        <v>46166</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1128-2025</t>
        </is>
      </c>
      <c r="B604" s="1" t="n">
        <v>45666.68469907407</v>
      </c>
      <c r="C604" s="1" t="n">
        <v>46166</v>
      </c>
      <c r="D604" t="inlineStr">
        <is>
          <t>VÄSTMANLANDS LÄN</t>
        </is>
      </c>
      <c r="E604" t="inlineStr">
        <is>
          <t>SALA</t>
        </is>
      </c>
      <c r="G604" t="n">
        <v>2.5</v>
      </c>
      <c r="H604" t="n">
        <v>0</v>
      </c>
      <c r="I604" t="n">
        <v>0</v>
      </c>
      <c r="J604" t="n">
        <v>0</v>
      </c>
      <c r="K604" t="n">
        <v>0</v>
      </c>
      <c r="L604" t="n">
        <v>0</v>
      </c>
      <c r="M604" t="n">
        <v>0</v>
      </c>
      <c r="N604" t="n">
        <v>0</v>
      </c>
      <c r="O604" t="n">
        <v>0</v>
      </c>
      <c r="P604" t="n">
        <v>0</v>
      </c>
      <c r="Q604" t="n">
        <v>0</v>
      </c>
      <c r="R604" s="2" t="inlineStr"/>
    </row>
    <row r="605" ht="15" customHeight="1">
      <c r="A605" t="inlineStr">
        <is>
          <t>A 19376-2026</t>
        </is>
      </c>
      <c r="B605" s="1" t="n">
        <v>46133.54998842593</v>
      </c>
      <c r="C605" s="1" t="n">
        <v>46166</v>
      </c>
      <c r="D605" t="inlineStr">
        <is>
          <t>VÄSTMANLANDS LÄN</t>
        </is>
      </c>
      <c r="E605" t="inlineStr">
        <is>
          <t>SALA</t>
        </is>
      </c>
      <c r="G605" t="n">
        <v>3.8</v>
      </c>
      <c r="H605" t="n">
        <v>0</v>
      </c>
      <c r="I605" t="n">
        <v>0</v>
      </c>
      <c r="J605" t="n">
        <v>0</v>
      </c>
      <c r="K605" t="n">
        <v>0</v>
      </c>
      <c r="L605" t="n">
        <v>0</v>
      </c>
      <c r="M605" t="n">
        <v>0</v>
      </c>
      <c r="N605" t="n">
        <v>0</v>
      </c>
      <c r="O605" t="n">
        <v>0</v>
      </c>
      <c r="P605" t="n">
        <v>0</v>
      </c>
      <c r="Q605" t="n">
        <v>0</v>
      </c>
      <c r="R605" s="2" t="inlineStr"/>
    </row>
    <row r="606" ht="15" customHeight="1">
      <c r="A606" t="inlineStr">
        <is>
          <t>A 31950-2023</t>
        </is>
      </c>
      <c r="B606" s="1" t="n">
        <v>45107</v>
      </c>
      <c r="C606" s="1" t="n">
        <v>46166</v>
      </c>
      <c r="D606" t="inlineStr">
        <is>
          <t>VÄSTMANLANDS LÄN</t>
        </is>
      </c>
      <c r="E606" t="inlineStr">
        <is>
          <t>SALA</t>
        </is>
      </c>
      <c r="G606" t="n">
        <v>0.1</v>
      </c>
      <c r="H606" t="n">
        <v>0</v>
      </c>
      <c r="I606" t="n">
        <v>0</v>
      </c>
      <c r="J606" t="n">
        <v>0</v>
      </c>
      <c r="K606" t="n">
        <v>0</v>
      </c>
      <c r="L606" t="n">
        <v>0</v>
      </c>
      <c r="M606" t="n">
        <v>0</v>
      </c>
      <c r="N606" t="n">
        <v>0</v>
      </c>
      <c r="O606" t="n">
        <v>0</v>
      </c>
      <c r="P606" t="n">
        <v>0</v>
      </c>
      <c r="Q606" t="n">
        <v>0</v>
      </c>
      <c r="R606" s="2" t="inlineStr"/>
    </row>
    <row r="607" ht="15" customHeight="1">
      <c r="A607" t="inlineStr">
        <is>
          <t>A 56540-2024</t>
        </is>
      </c>
      <c r="B607" s="1" t="n">
        <v>45625</v>
      </c>
      <c r="C607" s="1" t="n">
        <v>46166</v>
      </c>
      <c r="D607" t="inlineStr">
        <is>
          <t>VÄSTMANLANDS LÄN</t>
        </is>
      </c>
      <c r="E607" t="inlineStr">
        <is>
          <t>SALA</t>
        </is>
      </c>
      <c r="G607" t="n">
        <v>1.8</v>
      </c>
      <c r="H607" t="n">
        <v>0</v>
      </c>
      <c r="I607" t="n">
        <v>0</v>
      </c>
      <c r="J607" t="n">
        <v>0</v>
      </c>
      <c r="K607" t="n">
        <v>0</v>
      </c>
      <c r="L607" t="n">
        <v>0</v>
      </c>
      <c r="M607" t="n">
        <v>0</v>
      </c>
      <c r="N607" t="n">
        <v>0</v>
      </c>
      <c r="O607" t="n">
        <v>0</v>
      </c>
      <c r="P607" t="n">
        <v>0</v>
      </c>
      <c r="Q607" t="n">
        <v>0</v>
      </c>
      <c r="R607" s="2" t="inlineStr"/>
    </row>
    <row r="608" ht="15" customHeight="1">
      <c r="A608" t="inlineStr">
        <is>
          <t>A 6116-2023</t>
        </is>
      </c>
      <c r="B608" s="1" t="n">
        <v>44964</v>
      </c>
      <c r="C608" s="1" t="n">
        <v>46166</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13032-2026</t>
        </is>
      </c>
      <c r="B609" s="1" t="n">
        <v>46092.90436342593</v>
      </c>
      <c r="C609" s="1" t="n">
        <v>46166</v>
      </c>
      <c r="D609" t="inlineStr">
        <is>
          <t>VÄSTMANLANDS LÄN</t>
        </is>
      </c>
      <c r="E609" t="inlineStr">
        <is>
          <t>SALA</t>
        </is>
      </c>
      <c r="G609" t="n">
        <v>3.4</v>
      </c>
      <c r="H609" t="n">
        <v>0</v>
      </c>
      <c r="I609" t="n">
        <v>0</v>
      </c>
      <c r="J609" t="n">
        <v>0</v>
      </c>
      <c r="K609" t="n">
        <v>0</v>
      </c>
      <c r="L609" t="n">
        <v>0</v>
      </c>
      <c r="M609" t="n">
        <v>0</v>
      </c>
      <c r="N609" t="n">
        <v>0</v>
      </c>
      <c r="O609" t="n">
        <v>0</v>
      </c>
      <c r="P609" t="n">
        <v>0</v>
      </c>
      <c r="Q609" t="n">
        <v>0</v>
      </c>
      <c r="R609" s="2" t="inlineStr"/>
    </row>
    <row r="610" ht="15" customHeight="1">
      <c r="A610" t="inlineStr">
        <is>
          <t>A 25860-2024</t>
        </is>
      </c>
      <c r="B610" s="1" t="n">
        <v>45467.46278935186</v>
      </c>
      <c r="C610" s="1" t="n">
        <v>46166</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56916-2022</t>
        </is>
      </c>
      <c r="B611" s="1" t="n">
        <v>44888</v>
      </c>
      <c r="C611" s="1" t="n">
        <v>46166</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14000-2026</t>
        </is>
      </c>
      <c r="B612" s="1" t="n">
        <v>46098.64246527778</v>
      </c>
      <c r="C612" s="1" t="n">
        <v>46166</v>
      </c>
      <c r="D612" t="inlineStr">
        <is>
          <t>VÄSTMANLANDS LÄN</t>
        </is>
      </c>
      <c r="E612" t="inlineStr">
        <is>
          <t>SALA</t>
        </is>
      </c>
      <c r="G612" t="n">
        <v>0.8</v>
      </c>
      <c r="H612" t="n">
        <v>0</v>
      </c>
      <c r="I612" t="n">
        <v>0</v>
      </c>
      <c r="J612" t="n">
        <v>0</v>
      </c>
      <c r="K612" t="n">
        <v>0</v>
      </c>
      <c r="L612" t="n">
        <v>0</v>
      </c>
      <c r="M612" t="n">
        <v>0</v>
      </c>
      <c r="N612" t="n">
        <v>0</v>
      </c>
      <c r="O612" t="n">
        <v>0</v>
      </c>
      <c r="P612" t="n">
        <v>0</v>
      </c>
      <c r="Q612" t="n">
        <v>0</v>
      </c>
      <c r="R612" s="2" t="inlineStr"/>
    </row>
    <row r="613" ht="15" customHeight="1">
      <c r="A613" t="inlineStr">
        <is>
          <t>A 13996-2026</t>
        </is>
      </c>
      <c r="B613" s="1" t="n">
        <v>46098.63159722222</v>
      </c>
      <c r="C613" s="1" t="n">
        <v>46166</v>
      </c>
      <c r="D613" t="inlineStr">
        <is>
          <t>VÄSTMANLANDS LÄN</t>
        </is>
      </c>
      <c r="E613" t="inlineStr">
        <is>
          <t>SALA</t>
        </is>
      </c>
      <c r="G613" t="n">
        <v>2.5</v>
      </c>
      <c r="H613" t="n">
        <v>0</v>
      </c>
      <c r="I613" t="n">
        <v>0</v>
      </c>
      <c r="J613" t="n">
        <v>0</v>
      </c>
      <c r="K613" t="n">
        <v>0</v>
      </c>
      <c r="L613" t="n">
        <v>0</v>
      </c>
      <c r="M613" t="n">
        <v>0</v>
      </c>
      <c r="N613" t="n">
        <v>0</v>
      </c>
      <c r="O613" t="n">
        <v>0</v>
      </c>
      <c r="P613" t="n">
        <v>0</v>
      </c>
      <c r="Q613" t="n">
        <v>0</v>
      </c>
      <c r="R613" s="2" t="inlineStr"/>
    </row>
    <row r="614" ht="15" customHeight="1">
      <c r="A614" t="inlineStr">
        <is>
          <t>A 13639-2026</t>
        </is>
      </c>
      <c r="B614" s="1" t="n">
        <v>46097</v>
      </c>
      <c r="C614" s="1" t="n">
        <v>46166</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71471-2021</t>
        </is>
      </c>
      <c r="B615" s="1" t="n">
        <v>44540.53421296296</v>
      </c>
      <c r="C615" s="1" t="n">
        <v>46166</v>
      </c>
      <c r="D615" t="inlineStr">
        <is>
          <t>VÄSTMANLANDS LÄN</t>
        </is>
      </c>
      <c r="E615" t="inlineStr">
        <is>
          <t>SALA</t>
        </is>
      </c>
      <c r="G615" t="n">
        <v>13</v>
      </c>
      <c r="H615" t="n">
        <v>0</v>
      </c>
      <c r="I615" t="n">
        <v>0</v>
      </c>
      <c r="J615" t="n">
        <v>0</v>
      </c>
      <c r="K615" t="n">
        <v>0</v>
      </c>
      <c r="L615" t="n">
        <v>0</v>
      </c>
      <c r="M615" t="n">
        <v>0</v>
      </c>
      <c r="N615" t="n">
        <v>0</v>
      </c>
      <c r="O615" t="n">
        <v>0</v>
      </c>
      <c r="P615" t="n">
        <v>0</v>
      </c>
      <c r="Q615" t="n">
        <v>0</v>
      </c>
      <c r="R615" s="2" t="inlineStr"/>
    </row>
    <row r="616" ht="15" customHeight="1">
      <c r="A616" t="inlineStr">
        <is>
          <t>A 13987-2023</t>
        </is>
      </c>
      <c r="B616" s="1" t="n">
        <v>45007</v>
      </c>
      <c r="C616" s="1" t="n">
        <v>46166</v>
      </c>
      <c r="D616" t="inlineStr">
        <is>
          <t>VÄSTMANLANDS LÄN</t>
        </is>
      </c>
      <c r="E616" t="inlineStr">
        <is>
          <t>SALA</t>
        </is>
      </c>
      <c r="G616" t="n">
        <v>3.2</v>
      </c>
      <c r="H616" t="n">
        <v>0</v>
      </c>
      <c r="I616" t="n">
        <v>0</v>
      </c>
      <c r="J616" t="n">
        <v>0</v>
      </c>
      <c r="K616" t="n">
        <v>0</v>
      </c>
      <c r="L616" t="n">
        <v>0</v>
      </c>
      <c r="M616" t="n">
        <v>0</v>
      </c>
      <c r="N616" t="n">
        <v>0</v>
      </c>
      <c r="O616" t="n">
        <v>0</v>
      </c>
      <c r="P616" t="n">
        <v>0</v>
      </c>
      <c r="Q616" t="n">
        <v>0</v>
      </c>
      <c r="R616" s="2" t="inlineStr"/>
    </row>
    <row r="617" ht="15" customHeight="1">
      <c r="A617" t="inlineStr">
        <is>
          <t>A 13990-2023</t>
        </is>
      </c>
      <c r="B617" s="1" t="n">
        <v>45007</v>
      </c>
      <c r="C617" s="1" t="n">
        <v>46166</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1993-2022</t>
        </is>
      </c>
      <c r="B618" s="1" t="n">
        <v>44575</v>
      </c>
      <c r="C618" s="1" t="n">
        <v>46166</v>
      </c>
      <c r="D618" t="inlineStr">
        <is>
          <t>VÄSTMANLANDS LÄN</t>
        </is>
      </c>
      <c r="E618" t="inlineStr">
        <is>
          <t>SALA</t>
        </is>
      </c>
      <c r="G618" t="n">
        <v>1.6</v>
      </c>
      <c r="H618" t="n">
        <v>0</v>
      </c>
      <c r="I618" t="n">
        <v>0</v>
      </c>
      <c r="J618" t="n">
        <v>0</v>
      </c>
      <c r="K618" t="n">
        <v>0</v>
      </c>
      <c r="L618" t="n">
        <v>0</v>
      </c>
      <c r="M618" t="n">
        <v>0</v>
      </c>
      <c r="N618" t="n">
        <v>0</v>
      </c>
      <c r="O618" t="n">
        <v>0</v>
      </c>
      <c r="P618" t="n">
        <v>0</v>
      </c>
      <c r="Q618" t="n">
        <v>0</v>
      </c>
      <c r="R618" s="2" t="inlineStr"/>
    </row>
    <row r="619" ht="15" customHeight="1">
      <c r="A619" t="inlineStr">
        <is>
          <t>A 17051-2025</t>
        </is>
      </c>
      <c r="B619" s="1" t="n">
        <v>45755</v>
      </c>
      <c r="C619" s="1" t="n">
        <v>46166</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43509-2021</t>
        </is>
      </c>
      <c r="B620" s="1" t="n">
        <v>44433</v>
      </c>
      <c r="C620" s="1" t="n">
        <v>46166</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54959-2024</t>
        </is>
      </c>
      <c r="B621" s="1" t="n">
        <v>45619</v>
      </c>
      <c r="C621" s="1" t="n">
        <v>46166</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56964-2023</t>
        </is>
      </c>
      <c r="B622" s="1" t="n">
        <v>45244.63140046296</v>
      </c>
      <c r="C622" s="1" t="n">
        <v>46166</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37337-2024</t>
        </is>
      </c>
      <c r="B623" s="1" t="n">
        <v>45540</v>
      </c>
      <c r="C623" s="1" t="n">
        <v>46166</v>
      </c>
      <c r="D623" t="inlineStr">
        <is>
          <t>VÄSTMANLANDS LÄN</t>
        </is>
      </c>
      <c r="E623" t="inlineStr">
        <is>
          <t>SALA</t>
        </is>
      </c>
      <c r="G623" t="n">
        <v>6.5</v>
      </c>
      <c r="H623" t="n">
        <v>0</v>
      </c>
      <c r="I623" t="n">
        <v>0</v>
      </c>
      <c r="J623" t="n">
        <v>0</v>
      </c>
      <c r="K623" t="n">
        <v>0</v>
      </c>
      <c r="L623" t="n">
        <v>0</v>
      </c>
      <c r="M623" t="n">
        <v>0</v>
      </c>
      <c r="N623" t="n">
        <v>0</v>
      </c>
      <c r="O623" t="n">
        <v>0</v>
      </c>
      <c r="P623" t="n">
        <v>0</v>
      </c>
      <c r="Q623" t="n">
        <v>0</v>
      </c>
      <c r="R623" s="2" t="inlineStr"/>
    </row>
    <row r="624" ht="15" customHeight="1">
      <c r="A624" t="inlineStr">
        <is>
          <t>A 17120-2023</t>
        </is>
      </c>
      <c r="B624" s="1" t="n">
        <v>45034</v>
      </c>
      <c r="C624" s="1" t="n">
        <v>46166</v>
      </c>
      <c r="D624" t="inlineStr">
        <is>
          <t>VÄSTMANLANDS LÄN</t>
        </is>
      </c>
      <c r="E624" t="inlineStr">
        <is>
          <t>SALA</t>
        </is>
      </c>
      <c r="G624" t="n">
        <v>0.1</v>
      </c>
      <c r="H624" t="n">
        <v>0</v>
      </c>
      <c r="I624" t="n">
        <v>0</v>
      </c>
      <c r="J624" t="n">
        <v>0</v>
      </c>
      <c r="K624" t="n">
        <v>0</v>
      </c>
      <c r="L624" t="n">
        <v>0</v>
      </c>
      <c r="M624" t="n">
        <v>0</v>
      </c>
      <c r="N624" t="n">
        <v>0</v>
      </c>
      <c r="O624" t="n">
        <v>0</v>
      </c>
      <c r="P624" t="n">
        <v>0</v>
      </c>
      <c r="Q624" t="n">
        <v>0</v>
      </c>
      <c r="R624" s="2" t="inlineStr"/>
    </row>
    <row r="625" ht="15" customHeight="1">
      <c r="A625" t="inlineStr">
        <is>
          <t>A 34494-2023</t>
        </is>
      </c>
      <c r="B625" s="1" t="n">
        <v>45133</v>
      </c>
      <c r="C625" s="1" t="n">
        <v>46166</v>
      </c>
      <c r="D625" t="inlineStr">
        <is>
          <t>VÄSTMANLANDS LÄN</t>
        </is>
      </c>
      <c r="E625" t="inlineStr">
        <is>
          <t>SALA</t>
        </is>
      </c>
      <c r="G625" t="n">
        <v>0.8</v>
      </c>
      <c r="H625" t="n">
        <v>0</v>
      </c>
      <c r="I625" t="n">
        <v>0</v>
      </c>
      <c r="J625" t="n">
        <v>0</v>
      </c>
      <c r="K625" t="n">
        <v>0</v>
      </c>
      <c r="L625" t="n">
        <v>0</v>
      </c>
      <c r="M625" t="n">
        <v>0</v>
      </c>
      <c r="N625" t="n">
        <v>0</v>
      </c>
      <c r="O625" t="n">
        <v>0</v>
      </c>
      <c r="P625" t="n">
        <v>0</v>
      </c>
      <c r="Q625" t="n">
        <v>0</v>
      </c>
      <c r="R625" s="2" t="inlineStr"/>
    </row>
    <row r="626" ht="15" customHeight="1">
      <c r="A626" t="inlineStr">
        <is>
          <t>A 10579-2022</t>
        </is>
      </c>
      <c r="B626" s="1" t="n">
        <v>44624</v>
      </c>
      <c r="C626" s="1" t="n">
        <v>46166</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9335-2022</t>
        </is>
      </c>
      <c r="B627" s="1" t="n">
        <v>44616.56579861111</v>
      </c>
      <c r="C627" s="1" t="n">
        <v>46166</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45313-2024</t>
        </is>
      </c>
      <c r="B628" s="1" t="n">
        <v>45576</v>
      </c>
      <c r="C628" s="1" t="n">
        <v>46166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14481-2026</t>
        </is>
      </c>
      <c r="B629" s="1" t="n">
        <v>46100.58707175926</v>
      </c>
      <c r="C629" s="1" t="n">
        <v>46166</v>
      </c>
      <c r="D629" t="inlineStr">
        <is>
          <t>VÄSTMANLANDS LÄN</t>
        </is>
      </c>
      <c r="E629" t="inlineStr">
        <is>
          <t>SALA</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14482-2026</t>
        </is>
      </c>
      <c r="B630" s="1" t="n">
        <v>46100.588125</v>
      </c>
      <c r="C630" s="1" t="n">
        <v>46166</v>
      </c>
      <c r="D630" t="inlineStr">
        <is>
          <t>VÄSTMANLANDS LÄN</t>
        </is>
      </c>
      <c r="E630" t="inlineStr">
        <is>
          <t>SALA</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14484-2026</t>
        </is>
      </c>
      <c r="B631" s="1" t="n">
        <v>46100.5887962963</v>
      </c>
      <c r="C631" s="1" t="n">
        <v>46166</v>
      </c>
      <c r="D631" t="inlineStr">
        <is>
          <t>VÄSTMANLANDS LÄN</t>
        </is>
      </c>
      <c r="E631" t="inlineStr">
        <is>
          <t>SALA</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23119-2022</t>
        </is>
      </c>
      <c r="B632" s="1" t="n">
        <v>44719.56697916667</v>
      </c>
      <c r="C632" s="1" t="n">
        <v>46166</v>
      </c>
      <c r="D632" t="inlineStr">
        <is>
          <t>VÄSTMANLANDS LÄN</t>
        </is>
      </c>
      <c r="E632" t="inlineStr">
        <is>
          <t>SALA</t>
        </is>
      </c>
      <c r="G632" t="n">
        <v>7</v>
      </c>
      <c r="H632" t="n">
        <v>0</v>
      </c>
      <c r="I632" t="n">
        <v>0</v>
      </c>
      <c r="J632" t="n">
        <v>0</v>
      </c>
      <c r="K632" t="n">
        <v>0</v>
      </c>
      <c r="L632" t="n">
        <v>0</v>
      </c>
      <c r="M632" t="n">
        <v>0</v>
      </c>
      <c r="N632" t="n">
        <v>0</v>
      </c>
      <c r="O632" t="n">
        <v>0</v>
      </c>
      <c r="P632" t="n">
        <v>0</v>
      </c>
      <c r="Q632" t="n">
        <v>0</v>
      </c>
      <c r="R632" s="2" t="inlineStr"/>
    </row>
    <row r="633" ht="15" customHeight="1">
      <c r="A633" t="inlineStr">
        <is>
          <t>A 1196-2023</t>
        </is>
      </c>
      <c r="B633" s="1" t="n">
        <v>44935.82290509259</v>
      </c>
      <c r="C633" s="1" t="n">
        <v>46166</v>
      </c>
      <c r="D633" t="inlineStr">
        <is>
          <t>VÄSTMANLANDS LÄN</t>
        </is>
      </c>
      <c r="E633" t="inlineStr">
        <is>
          <t>SALA</t>
        </is>
      </c>
      <c r="G633" t="n">
        <v>4.1</v>
      </c>
      <c r="H633" t="n">
        <v>0</v>
      </c>
      <c r="I633" t="n">
        <v>0</v>
      </c>
      <c r="J633" t="n">
        <v>0</v>
      </c>
      <c r="K633" t="n">
        <v>0</v>
      </c>
      <c r="L633" t="n">
        <v>0</v>
      </c>
      <c r="M633" t="n">
        <v>0</v>
      </c>
      <c r="N633" t="n">
        <v>0</v>
      </c>
      <c r="O633" t="n">
        <v>0</v>
      </c>
      <c r="P633" t="n">
        <v>0</v>
      </c>
      <c r="Q633" t="n">
        <v>0</v>
      </c>
      <c r="R633" s="2" t="inlineStr"/>
    </row>
    <row r="634" ht="15" customHeight="1">
      <c r="A634" t="inlineStr">
        <is>
          <t>A 14490-2026</t>
        </is>
      </c>
      <c r="B634" s="1" t="n">
        <v>46100.59277777778</v>
      </c>
      <c r="C634" s="1" t="n">
        <v>46166</v>
      </c>
      <c r="D634" t="inlineStr">
        <is>
          <t>VÄSTMANLANDS LÄN</t>
        </is>
      </c>
      <c r="E634" t="inlineStr">
        <is>
          <t>SALA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52503-2024</t>
        </is>
      </c>
      <c r="B635" s="1" t="n">
        <v>45609.58806712963</v>
      </c>
      <c r="C635" s="1" t="n">
        <v>46166</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7953-2024</t>
        </is>
      </c>
      <c r="B636" s="1" t="n">
        <v>45350</v>
      </c>
      <c r="C636" s="1" t="n">
        <v>46166</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30028-2024</t>
        </is>
      </c>
      <c r="B637" s="1" t="n">
        <v>45485</v>
      </c>
      <c r="C637" s="1" t="n">
        <v>46166</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7950-2025</t>
        </is>
      </c>
      <c r="B638" s="1" t="n">
        <v>45707.41799768519</v>
      </c>
      <c r="C638" s="1" t="n">
        <v>46166</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27657-2023</t>
        </is>
      </c>
      <c r="B639" s="1" t="n">
        <v>45097.76631944445</v>
      </c>
      <c r="C639" s="1" t="n">
        <v>46166</v>
      </c>
      <c r="D639" t="inlineStr">
        <is>
          <t>VÄSTMANLANDS LÄN</t>
        </is>
      </c>
      <c r="E639" t="inlineStr">
        <is>
          <t>SALA</t>
        </is>
      </c>
      <c r="G639" t="n">
        <v>0.1</v>
      </c>
      <c r="H639" t="n">
        <v>0</v>
      </c>
      <c r="I639" t="n">
        <v>0</v>
      </c>
      <c r="J639" t="n">
        <v>0</v>
      </c>
      <c r="K639" t="n">
        <v>0</v>
      </c>
      <c r="L639" t="n">
        <v>0</v>
      </c>
      <c r="M639" t="n">
        <v>0</v>
      </c>
      <c r="N639" t="n">
        <v>0</v>
      </c>
      <c r="O639" t="n">
        <v>0</v>
      </c>
      <c r="P639" t="n">
        <v>0</v>
      </c>
      <c r="Q639" t="n">
        <v>0</v>
      </c>
      <c r="R639" s="2" t="inlineStr"/>
    </row>
    <row r="640" ht="15" customHeight="1">
      <c r="A640" t="inlineStr">
        <is>
          <t>A 21435-2026</t>
        </is>
      </c>
      <c r="B640" s="1" t="n">
        <v>46148.40625</v>
      </c>
      <c r="C640" s="1" t="n">
        <v>46166</v>
      </c>
      <c r="D640" t="inlineStr">
        <is>
          <t>VÄSTMANLANDS LÄN</t>
        </is>
      </c>
      <c r="E640" t="inlineStr">
        <is>
          <t>SALA</t>
        </is>
      </c>
      <c r="G640" t="n">
        <v>2.3</v>
      </c>
      <c r="H640" t="n">
        <v>0</v>
      </c>
      <c r="I640" t="n">
        <v>0</v>
      </c>
      <c r="J640" t="n">
        <v>0</v>
      </c>
      <c r="K640" t="n">
        <v>0</v>
      </c>
      <c r="L640" t="n">
        <v>0</v>
      </c>
      <c r="M640" t="n">
        <v>0</v>
      </c>
      <c r="N640" t="n">
        <v>0</v>
      </c>
      <c r="O640" t="n">
        <v>0</v>
      </c>
      <c r="P640" t="n">
        <v>0</v>
      </c>
      <c r="Q640" t="n">
        <v>0</v>
      </c>
      <c r="R640" s="2" t="inlineStr"/>
    </row>
    <row r="641" ht="15" customHeight="1">
      <c r="A641" t="inlineStr">
        <is>
          <t>A 13855-2023</t>
        </is>
      </c>
      <c r="B641" s="1" t="n">
        <v>45007</v>
      </c>
      <c r="C641" s="1" t="n">
        <v>46166</v>
      </c>
      <c r="D641" t="inlineStr">
        <is>
          <t>VÄSTMANLANDS LÄN</t>
        </is>
      </c>
      <c r="E641" t="inlineStr">
        <is>
          <t>SALA</t>
        </is>
      </c>
      <c r="G641" t="n">
        <v>2.9</v>
      </c>
      <c r="H641" t="n">
        <v>0</v>
      </c>
      <c r="I641" t="n">
        <v>0</v>
      </c>
      <c r="J641" t="n">
        <v>0</v>
      </c>
      <c r="K641" t="n">
        <v>0</v>
      </c>
      <c r="L641" t="n">
        <v>0</v>
      </c>
      <c r="M641" t="n">
        <v>0</v>
      </c>
      <c r="N641" t="n">
        <v>0</v>
      </c>
      <c r="O641" t="n">
        <v>0</v>
      </c>
      <c r="P641" t="n">
        <v>0</v>
      </c>
      <c r="Q641" t="n">
        <v>0</v>
      </c>
      <c r="R641" s="2" t="inlineStr"/>
    </row>
    <row r="642" ht="15" customHeight="1">
      <c r="A642" t="inlineStr">
        <is>
          <t>A 33309-2022</t>
        </is>
      </c>
      <c r="B642" s="1" t="n">
        <v>44788.40986111111</v>
      </c>
      <c r="C642" s="1" t="n">
        <v>46166</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11617-2026</t>
        </is>
      </c>
      <c r="B643" s="1" t="n">
        <v>46084</v>
      </c>
      <c r="C643" s="1" t="n">
        <v>46166</v>
      </c>
      <c r="D643" t="inlineStr">
        <is>
          <t>VÄSTMANLANDS LÄN</t>
        </is>
      </c>
      <c r="E643" t="inlineStr">
        <is>
          <t>SALA</t>
        </is>
      </c>
      <c r="F643" t="inlineStr">
        <is>
          <t>Kyrkan</t>
        </is>
      </c>
      <c r="G643" t="n">
        <v>3.7</v>
      </c>
      <c r="H643" t="n">
        <v>0</v>
      </c>
      <c r="I643" t="n">
        <v>0</v>
      </c>
      <c r="J643" t="n">
        <v>0</v>
      </c>
      <c r="K643" t="n">
        <v>0</v>
      </c>
      <c r="L643" t="n">
        <v>0</v>
      </c>
      <c r="M643" t="n">
        <v>0</v>
      </c>
      <c r="N643" t="n">
        <v>0</v>
      </c>
      <c r="O643" t="n">
        <v>0</v>
      </c>
      <c r="P643" t="n">
        <v>0</v>
      </c>
      <c r="Q643" t="n">
        <v>0</v>
      </c>
      <c r="R643" s="2" t="inlineStr"/>
    </row>
    <row r="644" ht="15" customHeight="1">
      <c r="A644" t="inlineStr">
        <is>
          <t>A 47909-2022</t>
        </is>
      </c>
      <c r="B644" s="1" t="n">
        <v>44855</v>
      </c>
      <c r="C644" s="1" t="n">
        <v>46166</v>
      </c>
      <c r="D644" t="inlineStr">
        <is>
          <t>VÄSTMANLANDS LÄN</t>
        </is>
      </c>
      <c r="E644" t="inlineStr">
        <is>
          <t>SALA</t>
        </is>
      </c>
      <c r="F644" t="inlineStr">
        <is>
          <t>Bergvik skog öst AB</t>
        </is>
      </c>
      <c r="G644" t="n">
        <v>2</v>
      </c>
      <c r="H644" t="n">
        <v>0</v>
      </c>
      <c r="I644" t="n">
        <v>0</v>
      </c>
      <c r="J644" t="n">
        <v>0</v>
      </c>
      <c r="K644" t="n">
        <v>0</v>
      </c>
      <c r="L644" t="n">
        <v>0</v>
      </c>
      <c r="M644" t="n">
        <v>0</v>
      </c>
      <c r="N644" t="n">
        <v>0</v>
      </c>
      <c r="O644" t="n">
        <v>0</v>
      </c>
      <c r="P644" t="n">
        <v>0</v>
      </c>
      <c r="Q644" t="n">
        <v>0</v>
      </c>
      <c r="R644" s="2" t="inlineStr"/>
    </row>
    <row r="645" ht="15" customHeight="1">
      <c r="A645" t="inlineStr">
        <is>
          <t>A 15630-2026</t>
        </is>
      </c>
      <c r="B645" s="1" t="n">
        <v>46106.62283564815</v>
      </c>
      <c r="C645" s="1" t="n">
        <v>46166</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15272-2025</t>
        </is>
      </c>
      <c r="B646" s="1" t="n">
        <v>45744</v>
      </c>
      <c r="C646" s="1" t="n">
        <v>46166</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11183-2023</t>
        </is>
      </c>
      <c r="B647" s="1" t="n">
        <v>44992.57782407408</v>
      </c>
      <c r="C647" s="1" t="n">
        <v>46166</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46166</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53838-2022</t>
        </is>
      </c>
      <c r="B649" s="1" t="n">
        <v>44880.59363425926</v>
      </c>
      <c r="C649" s="1" t="n">
        <v>46166</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53166-2024</t>
        </is>
      </c>
      <c r="B650" s="1" t="n">
        <v>45611</v>
      </c>
      <c r="C650" s="1" t="n">
        <v>46166</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28827-2022</t>
        </is>
      </c>
      <c r="B651" s="1" t="n">
        <v>44749.45561342593</v>
      </c>
      <c r="C651" s="1" t="n">
        <v>46166</v>
      </c>
      <c r="D651" t="inlineStr">
        <is>
          <t>VÄSTMANLANDS LÄN</t>
        </is>
      </c>
      <c r="E651" t="inlineStr">
        <is>
          <t>SALA</t>
        </is>
      </c>
      <c r="F651" t="inlineStr">
        <is>
          <t>Kommuner</t>
        </is>
      </c>
      <c r="G651" t="n">
        <v>11.9</v>
      </c>
      <c r="H651" t="n">
        <v>0</v>
      </c>
      <c r="I651" t="n">
        <v>0</v>
      </c>
      <c r="J651" t="n">
        <v>0</v>
      </c>
      <c r="K651" t="n">
        <v>0</v>
      </c>
      <c r="L651" t="n">
        <v>0</v>
      </c>
      <c r="M651" t="n">
        <v>0</v>
      </c>
      <c r="N651" t="n">
        <v>0</v>
      </c>
      <c r="O651" t="n">
        <v>0</v>
      </c>
      <c r="P651" t="n">
        <v>0</v>
      </c>
      <c r="Q651" t="n">
        <v>0</v>
      </c>
      <c r="R651" s="2" t="inlineStr"/>
    </row>
    <row r="652" ht="15" customHeight="1">
      <c r="A652" t="inlineStr">
        <is>
          <t>A 15823-2026</t>
        </is>
      </c>
      <c r="B652" s="1" t="n">
        <v>46107.54096064815</v>
      </c>
      <c r="C652" s="1" t="n">
        <v>46166</v>
      </c>
      <c r="D652" t="inlineStr">
        <is>
          <t>VÄSTMANLANDS LÄN</t>
        </is>
      </c>
      <c r="E652" t="inlineStr">
        <is>
          <t>SALA</t>
        </is>
      </c>
      <c r="G652" t="n">
        <v>1</v>
      </c>
      <c r="H652" t="n">
        <v>0</v>
      </c>
      <c r="I652" t="n">
        <v>0</v>
      </c>
      <c r="J652" t="n">
        <v>0</v>
      </c>
      <c r="K652" t="n">
        <v>0</v>
      </c>
      <c r="L652" t="n">
        <v>0</v>
      </c>
      <c r="M652" t="n">
        <v>0</v>
      </c>
      <c r="N652" t="n">
        <v>0</v>
      </c>
      <c r="O652" t="n">
        <v>0</v>
      </c>
      <c r="P652" t="n">
        <v>0</v>
      </c>
      <c r="Q652" t="n">
        <v>0</v>
      </c>
      <c r="R652" s="2" t="inlineStr"/>
    </row>
    <row r="653" ht="15" customHeight="1">
      <c r="A653" t="inlineStr">
        <is>
          <t>A 17866-2025</t>
        </is>
      </c>
      <c r="B653" s="1" t="n">
        <v>45758</v>
      </c>
      <c r="C653" s="1" t="n">
        <v>46166</v>
      </c>
      <c r="D653" t="inlineStr">
        <is>
          <t>VÄSTMANLANDS LÄN</t>
        </is>
      </c>
      <c r="E653" t="inlineStr">
        <is>
          <t>SALA</t>
        </is>
      </c>
      <c r="F653" t="inlineStr">
        <is>
          <t>Bergvik skog öst AB</t>
        </is>
      </c>
      <c r="G653" t="n">
        <v>2.1</v>
      </c>
      <c r="H653" t="n">
        <v>0</v>
      </c>
      <c r="I653" t="n">
        <v>0</v>
      </c>
      <c r="J653" t="n">
        <v>0</v>
      </c>
      <c r="K653" t="n">
        <v>0</v>
      </c>
      <c r="L653" t="n">
        <v>0</v>
      </c>
      <c r="M653" t="n">
        <v>0</v>
      </c>
      <c r="N653" t="n">
        <v>0</v>
      </c>
      <c r="O653" t="n">
        <v>0</v>
      </c>
      <c r="P653" t="n">
        <v>0</v>
      </c>
      <c r="Q653" t="n">
        <v>0</v>
      </c>
      <c r="R653" s="2" t="inlineStr"/>
    </row>
    <row r="654" ht="15" customHeight="1">
      <c r="A654" t="inlineStr">
        <is>
          <t>A 54836-2024</t>
        </is>
      </c>
      <c r="B654" s="1" t="n">
        <v>45618</v>
      </c>
      <c r="C654" s="1" t="n">
        <v>46166</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64729-2023</t>
        </is>
      </c>
      <c r="B655" s="1" t="n">
        <v>45281</v>
      </c>
      <c r="C655" s="1" t="n">
        <v>46166</v>
      </c>
      <c r="D655" t="inlineStr">
        <is>
          <t>VÄSTMANLANDS LÄN</t>
        </is>
      </c>
      <c r="E655" t="inlineStr">
        <is>
          <t>SALA</t>
        </is>
      </c>
      <c r="G655" t="n">
        <v>1.8</v>
      </c>
      <c r="H655" t="n">
        <v>0</v>
      </c>
      <c r="I655" t="n">
        <v>0</v>
      </c>
      <c r="J655" t="n">
        <v>0</v>
      </c>
      <c r="K655" t="n">
        <v>0</v>
      </c>
      <c r="L655" t="n">
        <v>0</v>
      </c>
      <c r="M655" t="n">
        <v>0</v>
      </c>
      <c r="N655" t="n">
        <v>0</v>
      </c>
      <c r="O655" t="n">
        <v>0</v>
      </c>
      <c r="P655" t="n">
        <v>0</v>
      </c>
      <c r="Q655" t="n">
        <v>0</v>
      </c>
      <c r="R655" s="2" t="inlineStr"/>
    </row>
    <row r="656" ht="15" customHeight="1">
      <c r="A656" t="inlineStr">
        <is>
          <t>A 10585-2022</t>
        </is>
      </c>
      <c r="B656" s="1" t="n">
        <v>44624</v>
      </c>
      <c r="C656" s="1" t="n">
        <v>46166</v>
      </c>
      <c r="D656" t="inlineStr">
        <is>
          <t>VÄSTMANLANDS LÄN</t>
        </is>
      </c>
      <c r="E656" t="inlineStr">
        <is>
          <t>SALA</t>
        </is>
      </c>
      <c r="G656" t="n">
        <v>2</v>
      </c>
      <c r="H656" t="n">
        <v>0</v>
      </c>
      <c r="I656" t="n">
        <v>0</v>
      </c>
      <c r="J656" t="n">
        <v>0</v>
      </c>
      <c r="K656" t="n">
        <v>0</v>
      </c>
      <c r="L656" t="n">
        <v>0</v>
      </c>
      <c r="M656" t="n">
        <v>0</v>
      </c>
      <c r="N656" t="n">
        <v>0</v>
      </c>
      <c r="O656" t="n">
        <v>0</v>
      </c>
      <c r="P656" t="n">
        <v>0</v>
      </c>
      <c r="Q656" t="n">
        <v>0</v>
      </c>
      <c r="R656" s="2" t="inlineStr"/>
    </row>
    <row r="657" ht="15" customHeight="1">
      <c r="A657" t="inlineStr">
        <is>
          <t>A 22523-2023</t>
        </is>
      </c>
      <c r="B657" s="1" t="n">
        <v>45069</v>
      </c>
      <c r="C657" s="1" t="n">
        <v>46166</v>
      </c>
      <c r="D657" t="inlineStr">
        <is>
          <t>VÄSTMANLANDS LÄN</t>
        </is>
      </c>
      <c r="E657" t="inlineStr">
        <is>
          <t>SALA</t>
        </is>
      </c>
      <c r="G657" t="n">
        <v>2.4</v>
      </c>
      <c r="H657" t="n">
        <v>0</v>
      </c>
      <c r="I657" t="n">
        <v>0</v>
      </c>
      <c r="J657" t="n">
        <v>0</v>
      </c>
      <c r="K657" t="n">
        <v>0</v>
      </c>
      <c r="L657" t="n">
        <v>0</v>
      </c>
      <c r="M657" t="n">
        <v>0</v>
      </c>
      <c r="N657" t="n">
        <v>0</v>
      </c>
      <c r="O657" t="n">
        <v>0</v>
      </c>
      <c r="P657" t="n">
        <v>0</v>
      </c>
      <c r="Q657" t="n">
        <v>0</v>
      </c>
      <c r="R657" s="2" t="inlineStr"/>
    </row>
    <row r="658" ht="15" customHeight="1">
      <c r="A658" t="inlineStr">
        <is>
          <t>A 31609-2024</t>
        </is>
      </c>
      <c r="B658" s="1" t="n">
        <v>45506</v>
      </c>
      <c r="C658" s="1" t="n">
        <v>46166</v>
      </c>
      <c r="D658" t="inlineStr">
        <is>
          <t>VÄSTMANLANDS LÄN</t>
        </is>
      </c>
      <c r="E658" t="inlineStr">
        <is>
          <t>SALA</t>
        </is>
      </c>
      <c r="G658" t="n">
        <v>0.8</v>
      </c>
      <c r="H658" t="n">
        <v>0</v>
      </c>
      <c r="I658" t="n">
        <v>0</v>
      </c>
      <c r="J658" t="n">
        <v>0</v>
      </c>
      <c r="K658" t="n">
        <v>0</v>
      </c>
      <c r="L658" t="n">
        <v>0</v>
      </c>
      <c r="M658" t="n">
        <v>0</v>
      </c>
      <c r="N658" t="n">
        <v>0</v>
      </c>
      <c r="O658" t="n">
        <v>0</v>
      </c>
      <c r="P658" t="n">
        <v>0</v>
      </c>
      <c r="Q658" t="n">
        <v>0</v>
      </c>
      <c r="R658" s="2" t="inlineStr"/>
    </row>
    <row r="659" ht="15" customHeight="1">
      <c r="A659" t="inlineStr">
        <is>
          <t>A 56057-2023</t>
        </is>
      </c>
      <c r="B659" s="1" t="n">
        <v>45233</v>
      </c>
      <c r="C659" s="1" t="n">
        <v>46166</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62635-2022</t>
        </is>
      </c>
      <c r="B660" s="1" t="n">
        <v>44917</v>
      </c>
      <c r="C660" s="1" t="n">
        <v>46166</v>
      </c>
      <c r="D660" t="inlineStr">
        <is>
          <t>VÄSTMANLANDS LÄN</t>
        </is>
      </c>
      <c r="E660" t="inlineStr">
        <is>
          <t>SALA</t>
        </is>
      </c>
      <c r="G660" t="n">
        <v>0.4</v>
      </c>
      <c r="H660" t="n">
        <v>0</v>
      </c>
      <c r="I660" t="n">
        <v>0</v>
      </c>
      <c r="J660" t="n">
        <v>0</v>
      </c>
      <c r="K660" t="n">
        <v>0</v>
      </c>
      <c r="L660" t="n">
        <v>0</v>
      </c>
      <c r="M660" t="n">
        <v>0</v>
      </c>
      <c r="N660" t="n">
        <v>0</v>
      </c>
      <c r="O660" t="n">
        <v>0</v>
      </c>
      <c r="P660" t="n">
        <v>0</v>
      </c>
      <c r="Q660" t="n">
        <v>0</v>
      </c>
      <c r="R660" s="2" t="inlineStr"/>
    </row>
    <row r="661" ht="15" customHeight="1">
      <c r="A661" t="inlineStr">
        <is>
          <t>A 4852-2023</t>
        </is>
      </c>
      <c r="B661" s="1" t="n">
        <v>44957.72496527778</v>
      </c>
      <c r="C661" s="1" t="n">
        <v>46166</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39714-2023</t>
        </is>
      </c>
      <c r="B662" s="1" t="n">
        <v>45167.62133101852</v>
      </c>
      <c r="C662" s="1" t="n">
        <v>46166</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42984-2023</t>
        </is>
      </c>
      <c r="B663" s="1" t="n">
        <v>45179</v>
      </c>
      <c r="C663" s="1" t="n">
        <v>46166</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56535-2022</t>
        </is>
      </c>
      <c r="B664" s="1" t="n">
        <v>44893.47173611111</v>
      </c>
      <c r="C664" s="1" t="n">
        <v>46166</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60550-2024</t>
        </is>
      </c>
      <c r="B665" s="1" t="n">
        <v>45643</v>
      </c>
      <c r="C665" s="1" t="n">
        <v>46166</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13746-2025</t>
        </is>
      </c>
      <c r="B666" s="1" t="n">
        <v>45737.40944444444</v>
      </c>
      <c r="C666" s="1" t="n">
        <v>46166</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29230-2022</t>
        </is>
      </c>
      <c r="B667" s="1" t="n">
        <v>44750</v>
      </c>
      <c r="C667" s="1" t="n">
        <v>46166</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59175-2022</t>
        </is>
      </c>
      <c r="B668" s="1" t="n">
        <v>44904.48502314815</v>
      </c>
      <c r="C668" s="1" t="n">
        <v>46166</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19381-2025</t>
        </is>
      </c>
      <c r="B669" s="1" t="n">
        <v>45769</v>
      </c>
      <c r="C669" s="1" t="n">
        <v>46166</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42938-2023</t>
        </is>
      </c>
      <c r="B670" s="1" t="n">
        <v>45179</v>
      </c>
      <c r="C670" s="1" t="n">
        <v>46166</v>
      </c>
      <c r="D670" t="inlineStr">
        <is>
          <t>VÄSTMANLANDS LÄN</t>
        </is>
      </c>
      <c r="E670" t="inlineStr">
        <is>
          <t>SALA</t>
        </is>
      </c>
      <c r="G670" t="n">
        <v>10.9</v>
      </c>
      <c r="H670" t="n">
        <v>0</v>
      </c>
      <c r="I670" t="n">
        <v>0</v>
      </c>
      <c r="J670" t="n">
        <v>0</v>
      </c>
      <c r="K670" t="n">
        <v>0</v>
      </c>
      <c r="L670" t="n">
        <v>0</v>
      </c>
      <c r="M670" t="n">
        <v>0</v>
      </c>
      <c r="N670" t="n">
        <v>0</v>
      </c>
      <c r="O670" t="n">
        <v>0</v>
      </c>
      <c r="P670" t="n">
        <v>0</v>
      </c>
      <c r="Q670" t="n">
        <v>0</v>
      </c>
      <c r="R670" s="2" t="inlineStr"/>
    </row>
    <row r="671" ht="15" customHeight="1">
      <c r="A671" t="inlineStr">
        <is>
          <t>A 19222-2025</t>
        </is>
      </c>
      <c r="B671" s="1" t="n">
        <v>45769</v>
      </c>
      <c r="C671" s="1" t="n">
        <v>46166</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19241-2025</t>
        </is>
      </c>
      <c r="B672" s="1" t="n">
        <v>45769</v>
      </c>
      <c r="C672" s="1" t="n">
        <v>46166</v>
      </c>
      <c r="D672" t="inlineStr">
        <is>
          <t>VÄSTMANLANDS LÄN</t>
        </is>
      </c>
      <c r="E672" t="inlineStr">
        <is>
          <t>SALA</t>
        </is>
      </c>
      <c r="G672" t="n">
        <v>3.6</v>
      </c>
      <c r="H672" t="n">
        <v>0</v>
      </c>
      <c r="I672" t="n">
        <v>0</v>
      </c>
      <c r="J672" t="n">
        <v>0</v>
      </c>
      <c r="K672" t="n">
        <v>0</v>
      </c>
      <c r="L672" t="n">
        <v>0</v>
      </c>
      <c r="M672" t="n">
        <v>0</v>
      </c>
      <c r="N672" t="n">
        <v>0</v>
      </c>
      <c r="O672" t="n">
        <v>0</v>
      </c>
      <c r="P672" t="n">
        <v>0</v>
      </c>
      <c r="Q672" t="n">
        <v>0</v>
      </c>
      <c r="R672" s="2" t="inlineStr"/>
    </row>
    <row r="673" ht="15" customHeight="1">
      <c r="A673" t="inlineStr">
        <is>
          <t>A 60823-2024</t>
        </is>
      </c>
      <c r="B673" s="1" t="n">
        <v>45644</v>
      </c>
      <c r="C673" s="1" t="n">
        <v>46166</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61681-2024</t>
        </is>
      </c>
      <c r="B674" s="1" t="n">
        <v>45647</v>
      </c>
      <c r="C674" s="1" t="n">
        <v>46166</v>
      </c>
      <c r="D674" t="inlineStr">
        <is>
          <t>VÄSTMANLANDS LÄN</t>
        </is>
      </c>
      <c r="E674" t="inlineStr">
        <is>
          <t>SALA</t>
        </is>
      </c>
      <c r="F674" t="inlineStr">
        <is>
          <t>Kommuner</t>
        </is>
      </c>
      <c r="G674" t="n">
        <v>1</v>
      </c>
      <c r="H674" t="n">
        <v>0</v>
      </c>
      <c r="I674" t="n">
        <v>0</v>
      </c>
      <c r="J674" t="n">
        <v>0</v>
      </c>
      <c r="K674" t="n">
        <v>0</v>
      </c>
      <c r="L674" t="n">
        <v>0</v>
      </c>
      <c r="M674" t="n">
        <v>0</v>
      </c>
      <c r="N674" t="n">
        <v>0</v>
      </c>
      <c r="O674" t="n">
        <v>0</v>
      </c>
      <c r="P674" t="n">
        <v>0</v>
      </c>
      <c r="Q674" t="n">
        <v>0</v>
      </c>
      <c r="R674" s="2" t="inlineStr"/>
    </row>
    <row r="675" ht="15" customHeight="1">
      <c r="A675" t="inlineStr">
        <is>
          <t>A 49661-2024</t>
        </is>
      </c>
      <c r="B675" s="1" t="n">
        <v>45596</v>
      </c>
      <c r="C675" s="1" t="n">
        <v>46166</v>
      </c>
      <c r="D675" t="inlineStr">
        <is>
          <t>VÄSTMANLANDS LÄN</t>
        </is>
      </c>
      <c r="E675" t="inlineStr">
        <is>
          <t>SALA</t>
        </is>
      </c>
      <c r="G675" t="n">
        <v>6.7</v>
      </c>
      <c r="H675" t="n">
        <v>0</v>
      </c>
      <c r="I675" t="n">
        <v>0</v>
      </c>
      <c r="J675" t="n">
        <v>0</v>
      </c>
      <c r="K675" t="n">
        <v>0</v>
      </c>
      <c r="L675" t="n">
        <v>0</v>
      </c>
      <c r="M675" t="n">
        <v>0</v>
      </c>
      <c r="N675" t="n">
        <v>0</v>
      </c>
      <c r="O675" t="n">
        <v>0</v>
      </c>
      <c r="P675" t="n">
        <v>0</v>
      </c>
      <c r="Q675" t="n">
        <v>0</v>
      </c>
      <c r="R675" s="2" t="inlineStr"/>
    </row>
    <row r="676" ht="15" customHeight="1">
      <c r="A676" t="inlineStr">
        <is>
          <t>A 59297-2023</t>
        </is>
      </c>
      <c r="B676" s="1" t="n">
        <v>45253</v>
      </c>
      <c r="C676" s="1" t="n">
        <v>46166</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15965-2024</t>
        </is>
      </c>
      <c r="B677" s="1" t="n">
        <v>45405.55740740741</v>
      </c>
      <c r="C677" s="1" t="n">
        <v>46166</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23180-2022</t>
        </is>
      </c>
      <c r="B678" s="1" t="n">
        <v>44719.79344907407</v>
      </c>
      <c r="C678" s="1" t="n">
        <v>46166</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21455-2023</t>
        </is>
      </c>
      <c r="B679" s="1" t="n">
        <v>45058</v>
      </c>
      <c r="C679" s="1" t="n">
        <v>46166</v>
      </c>
      <c r="D679" t="inlineStr">
        <is>
          <t>VÄSTMANLANDS LÄN</t>
        </is>
      </c>
      <c r="E679" t="inlineStr">
        <is>
          <t>SALA</t>
        </is>
      </c>
      <c r="G679" t="n">
        <v>6.4</v>
      </c>
      <c r="H679" t="n">
        <v>0</v>
      </c>
      <c r="I679" t="n">
        <v>0</v>
      </c>
      <c r="J679" t="n">
        <v>0</v>
      </c>
      <c r="K679" t="n">
        <v>0</v>
      </c>
      <c r="L679" t="n">
        <v>0</v>
      </c>
      <c r="M679" t="n">
        <v>0</v>
      </c>
      <c r="N679" t="n">
        <v>0</v>
      </c>
      <c r="O679" t="n">
        <v>0</v>
      </c>
      <c r="P679" t="n">
        <v>0</v>
      </c>
      <c r="Q679" t="n">
        <v>0</v>
      </c>
      <c r="R679" s="2" t="inlineStr"/>
    </row>
    <row r="680" ht="15" customHeight="1">
      <c r="A680" t="inlineStr">
        <is>
          <t>A 21053-2022</t>
        </is>
      </c>
      <c r="B680" s="1" t="n">
        <v>44704</v>
      </c>
      <c r="C680" s="1" t="n">
        <v>46166</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11927-2025</t>
        </is>
      </c>
      <c r="B681" s="1" t="n">
        <v>45728.5137962963</v>
      </c>
      <c r="C681" s="1" t="n">
        <v>46166</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50876-2023</t>
        </is>
      </c>
      <c r="B682" s="1" t="n">
        <v>45211</v>
      </c>
      <c r="C682" s="1" t="n">
        <v>46166</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10255-2024</t>
        </is>
      </c>
      <c r="B683" s="1" t="n">
        <v>45365</v>
      </c>
      <c r="C683" s="1" t="n">
        <v>46166</v>
      </c>
      <c r="D683" t="inlineStr">
        <is>
          <t>VÄSTMANLANDS LÄN</t>
        </is>
      </c>
      <c r="E683" t="inlineStr">
        <is>
          <t>SALA</t>
        </is>
      </c>
      <c r="F683" t="inlineStr">
        <is>
          <t>Kommuner</t>
        </is>
      </c>
      <c r="G683" t="n">
        <v>0.8</v>
      </c>
      <c r="H683" t="n">
        <v>0</v>
      </c>
      <c r="I683" t="n">
        <v>0</v>
      </c>
      <c r="J683" t="n">
        <v>0</v>
      </c>
      <c r="K683" t="n">
        <v>0</v>
      </c>
      <c r="L683" t="n">
        <v>0</v>
      </c>
      <c r="M683" t="n">
        <v>0</v>
      </c>
      <c r="N683" t="n">
        <v>0</v>
      </c>
      <c r="O683" t="n">
        <v>0</v>
      </c>
      <c r="P683" t="n">
        <v>0</v>
      </c>
      <c r="Q683" t="n">
        <v>0</v>
      </c>
      <c r="R683" s="2" t="inlineStr"/>
    </row>
    <row r="684" ht="15" customHeight="1">
      <c r="A684" t="inlineStr">
        <is>
          <t>A 62648-2022</t>
        </is>
      </c>
      <c r="B684" s="1" t="n">
        <v>44917</v>
      </c>
      <c r="C684" s="1" t="n">
        <v>46166</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56548-2024</t>
        </is>
      </c>
      <c r="B685" s="1" t="n">
        <v>45625</v>
      </c>
      <c r="C685" s="1" t="n">
        <v>46166</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5477-2024</t>
        </is>
      </c>
      <c r="B686" s="1" t="n">
        <v>45333.67833333334</v>
      </c>
      <c r="C686" s="1" t="n">
        <v>46166</v>
      </c>
      <c r="D686" t="inlineStr">
        <is>
          <t>VÄSTMANLANDS LÄN</t>
        </is>
      </c>
      <c r="E686" t="inlineStr">
        <is>
          <t>SALA</t>
        </is>
      </c>
      <c r="G686" t="n">
        <v>2.3</v>
      </c>
      <c r="H686" t="n">
        <v>0</v>
      </c>
      <c r="I686" t="n">
        <v>0</v>
      </c>
      <c r="J686" t="n">
        <v>0</v>
      </c>
      <c r="K686" t="n">
        <v>0</v>
      </c>
      <c r="L686" t="n">
        <v>0</v>
      </c>
      <c r="M686" t="n">
        <v>0</v>
      </c>
      <c r="N686" t="n">
        <v>0</v>
      </c>
      <c r="O686" t="n">
        <v>0</v>
      </c>
      <c r="P686" t="n">
        <v>0</v>
      </c>
      <c r="Q686" t="n">
        <v>0</v>
      </c>
      <c r="R686" s="2" t="inlineStr"/>
    </row>
    <row r="687" ht="15" customHeight="1">
      <c r="A687" t="inlineStr">
        <is>
          <t>A 39451-2022</t>
        </is>
      </c>
      <c r="B687" s="1" t="n">
        <v>44818.36606481481</v>
      </c>
      <c r="C687" s="1" t="n">
        <v>46166</v>
      </c>
      <c r="D687" t="inlineStr">
        <is>
          <t>VÄSTMANLANDS LÄN</t>
        </is>
      </c>
      <c r="E687" t="inlineStr">
        <is>
          <t>SALA</t>
        </is>
      </c>
      <c r="G687" t="n">
        <v>9.4</v>
      </c>
      <c r="H687" t="n">
        <v>0</v>
      </c>
      <c r="I687" t="n">
        <v>0</v>
      </c>
      <c r="J687" t="n">
        <v>0</v>
      </c>
      <c r="K687" t="n">
        <v>0</v>
      </c>
      <c r="L687" t="n">
        <v>0</v>
      </c>
      <c r="M687" t="n">
        <v>0</v>
      </c>
      <c r="N687" t="n">
        <v>0</v>
      </c>
      <c r="O687" t="n">
        <v>0</v>
      </c>
      <c r="P687" t="n">
        <v>0</v>
      </c>
      <c r="Q687" t="n">
        <v>0</v>
      </c>
      <c r="R687" s="2" t="inlineStr"/>
    </row>
    <row r="688" ht="15" customHeight="1">
      <c r="A688" t="inlineStr">
        <is>
          <t>A 7772-2023</t>
        </is>
      </c>
      <c r="B688" s="1" t="n">
        <v>44973.40076388889</v>
      </c>
      <c r="C688" s="1" t="n">
        <v>46166</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19751-2022</t>
        </is>
      </c>
      <c r="B689" s="1" t="n">
        <v>44694</v>
      </c>
      <c r="C689" s="1" t="n">
        <v>46166</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44713-2023</t>
        </is>
      </c>
      <c r="B690" s="1" t="n">
        <v>45184</v>
      </c>
      <c r="C690" s="1" t="n">
        <v>46166</v>
      </c>
      <c r="D690" t="inlineStr">
        <is>
          <t>VÄSTMANLANDS LÄN</t>
        </is>
      </c>
      <c r="E690" t="inlineStr">
        <is>
          <t>SALA</t>
        </is>
      </c>
      <c r="F690" t="inlineStr">
        <is>
          <t>Kyrkan</t>
        </is>
      </c>
      <c r="G690" t="n">
        <v>7.6</v>
      </c>
      <c r="H690" t="n">
        <v>0</v>
      </c>
      <c r="I690" t="n">
        <v>0</v>
      </c>
      <c r="J690" t="n">
        <v>0</v>
      </c>
      <c r="K690" t="n">
        <v>0</v>
      </c>
      <c r="L690" t="n">
        <v>0</v>
      </c>
      <c r="M690" t="n">
        <v>0</v>
      </c>
      <c r="N690" t="n">
        <v>0</v>
      </c>
      <c r="O690" t="n">
        <v>0</v>
      </c>
      <c r="P690" t="n">
        <v>0</v>
      </c>
      <c r="Q690" t="n">
        <v>0</v>
      </c>
      <c r="R690" s="2" t="inlineStr"/>
    </row>
    <row r="691" ht="15" customHeight="1">
      <c r="A691" t="inlineStr">
        <is>
          <t>A 18713-2025</t>
        </is>
      </c>
      <c r="B691" s="1" t="n">
        <v>45763</v>
      </c>
      <c r="C691" s="1" t="n">
        <v>46166</v>
      </c>
      <c r="D691" t="inlineStr">
        <is>
          <t>VÄSTMANLANDS LÄN</t>
        </is>
      </c>
      <c r="E691" t="inlineStr">
        <is>
          <t>SALA</t>
        </is>
      </c>
      <c r="F691" t="inlineStr">
        <is>
          <t>Bergvik skog öst AB</t>
        </is>
      </c>
      <c r="G691" t="n">
        <v>11.6</v>
      </c>
      <c r="H691" t="n">
        <v>0</v>
      </c>
      <c r="I691" t="n">
        <v>0</v>
      </c>
      <c r="J691" t="n">
        <v>0</v>
      </c>
      <c r="K691" t="n">
        <v>0</v>
      </c>
      <c r="L691" t="n">
        <v>0</v>
      </c>
      <c r="M691" t="n">
        <v>0</v>
      </c>
      <c r="N691" t="n">
        <v>0</v>
      </c>
      <c r="O691" t="n">
        <v>0</v>
      </c>
      <c r="P691" t="n">
        <v>0</v>
      </c>
      <c r="Q691" t="n">
        <v>0</v>
      </c>
      <c r="R691" s="2" t="inlineStr"/>
    </row>
    <row r="692" ht="15" customHeight="1">
      <c r="A692" t="inlineStr">
        <is>
          <t>A 47479-2024</t>
        </is>
      </c>
      <c r="B692" s="1" t="n">
        <v>45587</v>
      </c>
      <c r="C692" s="1" t="n">
        <v>46166</v>
      </c>
      <c r="D692" t="inlineStr">
        <is>
          <t>VÄSTMANLANDS LÄN</t>
        </is>
      </c>
      <c r="E692" t="inlineStr">
        <is>
          <t>SALA</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69236-2021</t>
        </is>
      </c>
      <c r="B693" s="1" t="n">
        <v>44531.4047337963</v>
      </c>
      <c r="C693" s="1" t="n">
        <v>46166</v>
      </c>
      <c r="D693" t="inlineStr">
        <is>
          <t>VÄSTMANLANDS LÄN</t>
        </is>
      </c>
      <c r="E693" t="inlineStr">
        <is>
          <t>SALA</t>
        </is>
      </c>
      <c r="G693" t="n">
        <v>2.8</v>
      </c>
      <c r="H693" t="n">
        <v>0</v>
      </c>
      <c r="I693" t="n">
        <v>0</v>
      </c>
      <c r="J693" t="n">
        <v>0</v>
      </c>
      <c r="K693" t="n">
        <v>0</v>
      </c>
      <c r="L693" t="n">
        <v>0</v>
      </c>
      <c r="M693" t="n">
        <v>0</v>
      </c>
      <c r="N693" t="n">
        <v>0</v>
      </c>
      <c r="O693" t="n">
        <v>0</v>
      </c>
      <c r="P693" t="n">
        <v>0</v>
      </c>
      <c r="Q693" t="n">
        <v>0</v>
      </c>
      <c r="R693" s="2" t="inlineStr"/>
    </row>
    <row r="694" ht="15" customHeight="1">
      <c r="A694" t="inlineStr">
        <is>
          <t>A 25541-2024</t>
        </is>
      </c>
      <c r="B694" s="1" t="n">
        <v>45463.56337962963</v>
      </c>
      <c r="C694" s="1" t="n">
        <v>46166</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5728-2022</t>
        </is>
      </c>
      <c r="B695" s="1" t="n">
        <v>44596.42082175926</v>
      </c>
      <c r="C695" s="1" t="n">
        <v>46166</v>
      </c>
      <c r="D695" t="inlineStr">
        <is>
          <t>VÄSTMANLANDS LÄN</t>
        </is>
      </c>
      <c r="E695" t="inlineStr">
        <is>
          <t>SALA</t>
        </is>
      </c>
      <c r="G695" t="n">
        <v>1.7</v>
      </c>
      <c r="H695" t="n">
        <v>0</v>
      </c>
      <c r="I695" t="n">
        <v>0</v>
      </c>
      <c r="J695" t="n">
        <v>0</v>
      </c>
      <c r="K695" t="n">
        <v>0</v>
      </c>
      <c r="L695" t="n">
        <v>0</v>
      </c>
      <c r="M695" t="n">
        <v>0</v>
      </c>
      <c r="N695" t="n">
        <v>0</v>
      </c>
      <c r="O695" t="n">
        <v>0</v>
      </c>
      <c r="P695" t="n">
        <v>0</v>
      </c>
      <c r="Q695" t="n">
        <v>0</v>
      </c>
      <c r="R695" s="2" t="inlineStr"/>
    </row>
    <row r="696" ht="15" customHeight="1">
      <c r="A696" t="inlineStr">
        <is>
          <t>A 10250-2025</t>
        </is>
      </c>
      <c r="B696" s="1" t="n">
        <v>45720.36165509259</v>
      </c>
      <c r="C696" s="1" t="n">
        <v>46166</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49512-2024</t>
        </is>
      </c>
      <c r="B697" s="1" t="n">
        <v>45591</v>
      </c>
      <c r="C697" s="1" t="n">
        <v>46166</v>
      </c>
      <c r="D697" t="inlineStr">
        <is>
          <t>VÄSTMANLANDS LÄN</t>
        </is>
      </c>
      <c r="E697" t="inlineStr">
        <is>
          <t>SALA</t>
        </is>
      </c>
      <c r="G697" t="n">
        <v>8.1</v>
      </c>
      <c r="H697" t="n">
        <v>0</v>
      </c>
      <c r="I697" t="n">
        <v>0</v>
      </c>
      <c r="J697" t="n">
        <v>0</v>
      </c>
      <c r="K697" t="n">
        <v>0</v>
      </c>
      <c r="L697" t="n">
        <v>0</v>
      </c>
      <c r="M697" t="n">
        <v>0</v>
      </c>
      <c r="N697" t="n">
        <v>0</v>
      </c>
      <c r="O697" t="n">
        <v>0</v>
      </c>
      <c r="P697" t="n">
        <v>0</v>
      </c>
      <c r="Q697" t="n">
        <v>0</v>
      </c>
      <c r="R697" s="2" t="inlineStr"/>
    </row>
    <row r="698" ht="15" customHeight="1">
      <c r="A698" t="inlineStr">
        <is>
          <t>A 42416-2022</t>
        </is>
      </c>
      <c r="B698" s="1" t="n">
        <v>44831</v>
      </c>
      <c r="C698" s="1" t="n">
        <v>46166</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6135-2023</t>
        </is>
      </c>
      <c r="B699" s="1" t="n">
        <v>44964.62628472222</v>
      </c>
      <c r="C699" s="1" t="n">
        <v>46166</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16693-2023</t>
        </is>
      </c>
      <c r="B700" s="1" t="n">
        <v>45028</v>
      </c>
      <c r="C700" s="1" t="n">
        <v>46166</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8285-2025</t>
        </is>
      </c>
      <c r="B701" s="1" t="n">
        <v>45708</v>
      </c>
      <c r="C701" s="1" t="n">
        <v>46166</v>
      </c>
      <c r="D701" t="inlineStr">
        <is>
          <t>VÄSTMANLANDS LÄN</t>
        </is>
      </c>
      <c r="E701" t="inlineStr">
        <is>
          <t>SALA</t>
        </is>
      </c>
      <c r="G701" t="n">
        <v>5.7</v>
      </c>
      <c r="H701" t="n">
        <v>0</v>
      </c>
      <c r="I701" t="n">
        <v>0</v>
      </c>
      <c r="J701" t="n">
        <v>0</v>
      </c>
      <c r="K701" t="n">
        <v>0</v>
      </c>
      <c r="L701" t="n">
        <v>0</v>
      </c>
      <c r="M701" t="n">
        <v>0</v>
      </c>
      <c r="N701" t="n">
        <v>0</v>
      </c>
      <c r="O701" t="n">
        <v>0</v>
      </c>
      <c r="P701" t="n">
        <v>0</v>
      </c>
      <c r="Q701" t="n">
        <v>0</v>
      </c>
      <c r="R701" s="2" t="inlineStr"/>
    </row>
    <row r="702" ht="15" customHeight="1">
      <c r="A702" t="inlineStr">
        <is>
          <t>A 18340-2025</t>
        </is>
      </c>
      <c r="B702" s="1" t="n">
        <v>45762</v>
      </c>
      <c r="C702" s="1" t="n">
        <v>46166</v>
      </c>
      <c r="D702" t="inlineStr">
        <is>
          <t>VÄSTMANLANDS LÄN</t>
        </is>
      </c>
      <c r="E702" t="inlineStr">
        <is>
          <t>SALA</t>
        </is>
      </c>
      <c r="G702" t="n">
        <v>2.1</v>
      </c>
      <c r="H702" t="n">
        <v>0</v>
      </c>
      <c r="I702" t="n">
        <v>0</v>
      </c>
      <c r="J702" t="n">
        <v>0</v>
      </c>
      <c r="K702" t="n">
        <v>0</v>
      </c>
      <c r="L702" t="n">
        <v>0</v>
      </c>
      <c r="M702" t="n">
        <v>0</v>
      </c>
      <c r="N702" t="n">
        <v>0</v>
      </c>
      <c r="O702" t="n">
        <v>0</v>
      </c>
      <c r="P702" t="n">
        <v>0</v>
      </c>
      <c r="Q702" t="n">
        <v>0</v>
      </c>
      <c r="R702" s="2" t="inlineStr"/>
    </row>
    <row r="703" ht="15" customHeight="1">
      <c r="A703" t="inlineStr">
        <is>
          <t>A 56706-2022</t>
        </is>
      </c>
      <c r="B703" s="1" t="n">
        <v>44893.78893518518</v>
      </c>
      <c r="C703" s="1" t="n">
        <v>46166</v>
      </c>
      <c r="D703" t="inlineStr">
        <is>
          <t>VÄSTMANLANDS LÄN</t>
        </is>
      </c>
      <c r="E703" t="inlineStr">
        <is>
          <t>SALA</t>
        </is>
      </c>
      <c r="G703" t="n">
        <v>4.5</v>
      </c>
      <c r="H703" t="n">
        <v>0</v>
      </c>
      <c r="I703" t="n">
        <v>0</v>
      </c>
      <c r="J703" t="n">
        <v>0</v>
      </c>
      <c r="K703" t="n">
        <v>0</v>
      </c>
      <c r="L703" t="n">
        <v>0</v>
      </c>
      <c r="M703" t="n">
        <v>0</v>
      </c>
      <c r="N703" t="n">
        <v>0</v>
      </c>
      <c r="O703" t="n">
        <v>0</v>
      </c>
      <c r="P703" t="n">
        <v>0</v>
      </c>
      <c r="Q703" t="n">
        <v>0</v>
      </c>
      <c r="R703" s="2" t="inlineStr"/>
    </row>
    <row r="704" ht="15" customHeight="1">
      <c r="A704" t="inlineStr">
        <is>
          <t>A 56707-2022</t>
        </is>
      </c>
      <c r="B704" s="1" t="n">
        <v>44893.79412037037</v>
      </c>
      <c r="C704" s="1" t="n">
        <v>46166</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48571-2024</t>
        </is>
      </c>
      <c r="B705" s="1" t="n">
        <v>45591</v>
      </c>
      <c r="C705" s="1" t="n">
        <v>46166</v>
      </c>
      <c r="D705" t="inlineStr">
        <is>
          <t>VÄSTMANLANDS LÄN</t>
        </is>
      </c>
      <c r="E705" t="inlineStr">
        <is>
          <t>SALA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13188-2025</t>
        </is>
      </c>
      <c r="B706" s="1" t="n">
        <v>45735.39246527778</v>
      </c>
      <c r="C706" s="1" t="n">
        <v>46166</v>
      </c>
      <c r="D706" t="inlineStr">
        <is>
          <t>VÄSTMANLANDS LÄN</t>
        </is>
      </c>
      <c r="E706" t="inlineStr">
        <is>
          <t>SALA</t>
        </is>
      </c>
      <c r="F706" t="inlineStr">
        <is>
          <t>Naturvårdsverket</t>
        </is>
      </c>
      <c r="G706" t="n">
        <v>18.4</v>
      </c>
      <c r="H706" t="n">
        <v>0</v>
      </c>
      <c r="I706" t="n">
        <v>0</v>
      </c>
      <c r="J706" t="n">
        <v>0</v>
      </c>
      <c r="K706" t="n">
        <v>0</v>
      </c>
      <c r="L706" t="n">
        <v>0</v>
      </c>
      <c r="M706" t="n">
        <v>0</v>
      </c>
      <c r="N706" t="n">
        <v>0</v>
      </c>
      <c r="O706" t="n">
        <v>0</v>
      </c>
      <c r="P706" t="n">
        <v>0</v>
      </c>
      <c r="Q706" t="n">
        <v>0</v>
      </c>
      <c r="R706" s="2" t="inlineStr"/>
    </row>
    <row r="707" ht="15" customHeight="1">
      <c r="A707" t="inlineStr">
        <is>
          <t>A 23431-2024</t>
        </is>
      </c>
      <c r="B707" s="1" t="n">
        <v>45453</v>
      </c>
      <c r="C707" s="1" t="n">
        <v>46166</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21168-2025</t>
        </is>
      </c>
      <c r="B708" s="1" t="n">
        <v>45777</v>
      </c>
      <c r="C708" s="1" t="n">
        <v>46166</v>
      </c>
      <c r="D708" t="inlineStr">
        <is>
          <t>VÄSTMANLANDS LÄN</t>
        </is>
      </c>
      <c r="E708" t="inlineStr">
        <is>
          <t>SALA</t>
        </is>
      </c>
      <c r="G708" t="n">
        <v>4.5</v>
      </c>
      <c r="H708" t="n">
        <v>0</v>
      </c>
      <c r="I708" t="n">
        <v>0</v>
      </c>
      <c r="J708" t="n">
        <v>0</v>
      </c>
      <c r="K708" t="n">
        <v>0</v>
      </c>
      <c r="L708" t="n">
        <v>0</v>
      </c>
      <c r="M708" t="n">
        <v>0</v>
      </c>
      <c r="N708" t="n">
        <v>0</v>
      </c>
      <c r="O708" t="n">
        <v>0</v>
      </c>
      <c r="P708" t="n">
        <v>0</v>
      </c>
      <c r="Q708" t="n">
        <v>0</v>
      </c>
      <c r="R708" s="2" t="inlineStr"/>
    </row>
    <row r="709" ht="15" customHeight="1">
      <c r="A709" t="inlineStr">
        <is>
          <t>A 21754-2025</t>
        </is>
      </c>
      <c r="B709" s="1" t="n">
        <v>45783.61837962963</v>
      </c>
      <c r="C709" s="1" t="n">
        <v>46166</v>
      </c>
      <c r="D709" t="inlineStr">
        <is>
          <t>VÄSTMANLANDS LÄN</t>
        </is>
      </c>
      <c r="E709" t="inlineStr">
        <is>
          <t>SALA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21751-2025</t>
        </is>
      </c>
      <c r="B710" s="1" t="n">
        <v>45783.61372685185</v>
      </c>
      <c r="C710" s="1" t="n">
        <v>46166</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37587-2024</t>
        </is>
      </c>
      <c r="B711" s="1" t="n">
        <v>45541</v>
      </c>
      <c r="C711" s="1" t="n">
        <v>46166</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64724-2023</t>
        </is>
      </c>
      <c r="B712" s="1" t="n">
        <v>45281.7602662037</v>
      </c>
      <c r="C712" s="1" t="n">
        <v>46166</v>
      </c>
      <c r="D712" t="inlineStr">
        <is>
          <t>VÄSTMANLANDS LÄN</t>
        </is>
      </c>
      <c r="E712" t="inlineStr">
        <is>
          <t>SALA</t>
        </is>
      </c>
      <c r="G712" t="n">
        <v>2.3</v>
      </c>
      <c r="H712" t="n">
        <v>0</v>
      </c>
      <c r="I712" t="n">
        <v>0</v>
      </c>
      <c r="J712" t="n">
        <v>0</v>
      </c>
      <c r="K712" t="n">
        <v>0</v>
      </c>
      <c r="L712" t="n">
        <v>0</v>
      </c>
      <c r="M712" t="n">
        <v>0</v>
      </c>
      <c r="N712" t="n">
        <v>0</v>
      </c>
      <c r="O712" t="n">
        <v>0</v>
      </c>
      <c r="P712" t="n">
        <v>0</v>
      </c>
      <c r="Q712" t="n">
        <v>0</v>
      </c>
      <c r="R712" s="2" t="inlineStr"/>
    </row>
    <row r="713" ht="15" customHeight="1">
      <c r="A713" t="inlineStr">
        <is>
          <t>A 7176-2023</t>
        </is>
      </c>
      <c r="B713" s="1" t="n">
        <v>44970</v>
      </c>
      <c r="C713" s="1" t="n">
        <v>46166</v>
      </c>
      <c r="D713" t="inlineStr">
        <is>
          <t>VÄSTMANLANDS LÄN</t>
        </is>
      </c>
      <c r="E713" t="inlineStr">
        <is>
          <t>SALA</t>
        </is>
      </c>
      <c r="G713" t="n">
        <v>1.5</v>
      </c>
      <c r="H713" t="n">
        <v>0</v>
      </c>
      <c r="I713" t="n">
        <v>0</v>
      </c>
      <c r="J713" t="n">
        <v>0</v>
      </c>
      <c r="K713" t="n">
        <v>0</v>
      </c>
      <c r="L713" t="n">
        <v>0</v>
      </c>
      <c r="M713" t="n">
        <v>0</v>
      </c>
      <c r="N713" t="n">
        <v>0</v>
      </c>
      <c r="O713" t="n">
        <v>0</v>
      </c>
      <c r="P713" t="n">
        <v>0</v>
      </c>
      <c r="Q713" t="n">
        <v>0</v>
      </c>
      <c r="R713" s="2" t="inlineStr"/>
    </row>
    <row r="714" ht="15" customHeight="1">
      <c r="A714" t="inlineStr">
        <is>
          <t>A 43600-2024</t>
        </is>
      </c>
      <c r="B714" s="1" t="n">
        <v>45569</v>
      </c>
      <c r="C714" s="1" t="n">
        <v>46166</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31405-2024</t>
        </is>
      </c>
      <c r="B715" s="1" t="n">
        <v>45505.5490625</v>
      </c>
      <c r="C715" s="1" t="n">
        <v>46166</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22616-2025</t>
        </is>
      </c>
      <c r="B716" s="1" t="n">
        <v>45789.42752314815</v>
      </c>
      <c r="C716" s="1" t="n">
        <v>46166</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22353-2025</t>
        </is>
      </c>
      <c r="B717" s="1" t="n">
        <v>45786</v>
      </c>
      <c r="C717" s="1" t="n">
        <v>46166</v>
      </c>
      <c r="D717" t="inlineStr">
        <is>
          <t>VÄSTMANLANDS LÄN</t>
        </is>
      </c>
      <c r="E717" t="inlineStr">
        <is>
          <t>SALA</t>
        </is>
      </c>
      <c r="G717" t="n">
        <v>2.5</v>
      </c>
      <c r="H717" t="n">
        <v>0</v>
      </c>
      <c r="I717" t="n">
        <v>0</v>
      </c>
      <c r="J717" t="n">
        <v>0</v>
      </c>
      <c r="K717" t="n">
        <v>0</v>
      </c>
      <c r="L717" t="n">
        <v>0</v>
      </c>
      <c r="M717" t="n">
        <v>0</v>
      </c>
      <c r="N717" t="n">
        <v>0</v>
      </c>
      <c r="O717" t="n">
        <v>0</v>
      </c>
      <c r="P717" t="n">
        <v>0</v>
      </c>
      <c r="Q717" t="n">
        <v>0</v>
      </c>
      <c r="R717" s="2" t="inlineStr"/>
    </row>
    <row r="718" ht="15" customHeight="1">
      <c r="A718" t="inlineStr">
        <is>
          <t>A 22383-2025</t>
        </is>
      </c>
      <c r="B718" s="1" t="n">
        <v>45786</v>
      </c>
      <c r="C718" s="1" t="n">
        <v>46166</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22624-2025</t>
        </is>
      </c>
      <c r="B719" s="1" t="n">
        <v>45789.43327546296</v>
      </c>
      <c r="C719" s="1" t="n">
        <v>46166</v>
      </c>
      <c r="D719" t="inlineStr">
        <is>
          <t>VÄSTMANLANDS LÄN</t>
        </is>
      </c>
      <c r="E719" t="inlineStr">
        <is>
          <t>SALA</t>
        </is>
      </c>
      <c r="G719" t="n">
        <v>1.5</v>
      </c>
      <c r="H719" t="n">
        <v>0</v>
      </c>
      <c r="I719" t="n">
        <v>0</v>
      </c>
      <c r="J719" t="n">
        <v>0</v>
      </c>
      <c r="K719" t="n">
        <v>0</v>
      </c>
      <c r="L719" t="n">
        <v>0</v>
      </c>
      <c r="M719" t="n">
        <v>0</v>
      </c>
      <c r="N719" t="n">
        <v>0</v>
      </c>
      <c r="O719" t="n">
        <v>0</v>
      </c>
      <c r="P719" t="n">
        <v>0</v>
      </c>
      <c r="Q719" t="n">
        <v>0</v>
      </c>
      <c r="R719" s="2" t="inlineStr"/>
    </row>
    <row r="720" ht="15" customHeight="1">
      <c r="A720" t="inlineStr">
        <is>
          <t>A 22370-2025</t>
        </is>
      </c>
      <c r="B720" s="1" t="n">
        <v>45786</v>
      </c>
      <c r="C720" s="1" t="n">
        <v>46166</v>
      </c>
      <c r="D720" t="inlineStr">
        <is>
          <t>VÄSTMANLANDS LÄN</t>
        </is>
      </c>
      <c r="E720" t="inlineStr">
        <is>
          <t>SALA</t>
        </is>
      </c>
      <c r="G720" t="n">
        <v>3.2</v>
      </c>
      <c r="H720" t="n">
        <v>0</v>
      </c>
      <c r="I720" t="n">
        <v>0</v>
      </c>
      <c r="J720" t="n">
        <v>0</v>
      </c>
      <c r="K720" t="n">
        <v>0</v>
      </c>
      <c r="L720" t="n">
        <v>0</v>
      </c>
      <c r="M720" t="n">
        <v>0</v>
      </c>
      <c r="N720" t="n">
        <v>0</v>
      </c>
      <c r="O720" t="n">
        <v>0</v>
      </c>
      <c r="P720" t="n">
        <v>0</v>
      </c>
      <c r="Q720" t="n">
        <v>0</v>
      </c>
      <c r="R720" s="2" t="inlineStr"/>
    </row>
    <row r="721" ht="15" customHeight="1">
      <c r="A721" t="inlineStr">
        <is>
          <t>A 13130-2025</t>
        </is>
      </c>
      <c r="B721" s="1" t="n">
        <v>45734</v>
      </c>
      <c r="C721" s="1" t="n">
        <v>46166</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23804-2025</t>
        </is>
      </c>
      <c r="B722" s="1" t="n">
        <v>45793.55995370371</v>
      </c>
      <c r="C722" s="1" t="n">
        <v>46166</v>
      </c>
      <c r="D722" t="inlineStr">
        <is>
          <t>VÄSTMANLANDS LÄN</t>
        </is>
      </c>
      <c r="E722" t="inlineStr">
        <is>
          <t>SALA</t>
        </is>
      </c>
      <c r="G722" t="n">
        <v>1.9</v>
      </c>
      <c r="H722" t="n">
        <v>0</v>
      </c>
      <c r="I722" t="n">
        <v>0</v>
      </c>
      <c r="J722" t="n">
        <v>0</v>
      </c>
      <c r="K722" t="n">
        <v>0</v>
      </c>
      <c r="L722" t="n">
        <v>0</v>
      </c>
      <c r="M722" t="n">
        <v>0</v>
      </c>
      <c r="N722" t="n">
        <v>0</v>
      </c>
      <c r="O722" t="n">
        <v>0</v>
      </c>
      <c r="P722" t="n">
        <v>0</v>
      </c>
      <c r="Q722" t="n">
        <v>0</v>
      </c>
      <c r="R722" s="2" t="inlineStr"/>
    </row>
    <row r="723" ht="15" customHeight="1">
      <c r="A723" t="inlineStr">
        <is>
          <t>A 22126-2025</t>
        </is>
      </c>
      <c r="B723" s="1" t="n">
        <v>45785</v>
      </c>
      <c r="C723" s="1" t="n">
        <v>46166</v>
      </c>
      <c r="D723" t="inlineStr">
        <is>
          <t>VÄSTMANLANDS LÄN</t>
        </is>
      </c>
      <c r="E723" t="inlineStr">
        <is>
          <t>SALA</t>
        </is>
      </c>
      <c r="G723" t="n">
        <v>10.6</v>
      </c>
      <c r="H723" t="n">
        <v>0</v>
      </c>
      <c r="I723" t="n">
        <v>0</v>
      </c>
      <c r="J723" t="n">
        <v>0</v>
      </c>
      <c r="K723" t="n">
        <v>0</v>
      </c>
      <c r="L723" t="n">
        <v>0</v>
      </c>
      <c r="M723" t="n">
        <v>0</v>
      </c>
      <c r="N723" t="n">
        <v>0</v>
      </c>
      <c r="O723" t="n">
        <v>0</v>
      </c>
      <c r="P723" t="n">
        <v>0</v>
      </c>
      <c r="Q723" t="n">
        <v>0</v>
      </c>
      <c r="R723" s="2" t="inlineStr"/>
    </row>
    <row r="724" ht="15" customHeight="1">
      <c r="A724" t="inlineStr">
        <is>
          <t>A 19297-2025</t>
        </is>
      </c>
      <c r="B724" s="1" t="n">
        <v>45769.56261574074</v>
      </c>
      <c r="C724" s="1" t="n">
        <v>46166</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23810-2025</t>
        </is>
      </c>
      <c r="B725" s="1" t="n">
        <v>45793.56989583333</v>
      </c>
      <c r="C725" s="1" t="n">
        <v>46166</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24169-2025</t>
        </is>
      </c>
      <c r="B726" s="1" t="n">
        <v>45796</v>
      </c>
      <c r="C726" s="1" t="n">
        <v>46166</v>
      </c>
      <c r="D726" t="inlineStr">
        <is>
          <t>VÄSTMANLANDS LÄN</t>
        </is>
      </c>
      <c r="E726" t="inlineStr">
        <is>
          <t>SALA</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11210-2025</t>
        </is>
      </c>
      <c r="B727" s="1" t="n">
        <v>45726</v>
      </c>
      <c r="C727" s="1" t="n">
        <v>46166</v>
      </c>
      <c r="D727" t="inlineStr">
        <is>
          <t>VÄSTMANLANDS LÄN</t>
        </is>
      </c>
      <c r="E727" t="inlineStr">
        <is>
          <t>SALA</t>
        </is>
      </c>
      <c r="G727" t="n">
        <v>4.1</v>
      </c>
      <c r="H727" t="n">
        <v>0</v>
      </c>
      <c r="I727" t="n">
        <v>0</v>
      </c>
      <c r="J727" t="n">
        <v>0</v>
      </c>
      <c r="K727" t="n">
        <v>0</v>
      </c>
      <c r="L727" t="n">
        <v>0</v>
      </c>
      <c r="M727" t="n">
        <v>0</v>
      </c>
      <c r="N727" t="n">
        <v>0</v>
      </c>
      <c r="O727" t="n">
        <v>0</v>
      </c>
      <c r="P727" t="n">
        <v>0</v>
      </c>
      <c r="Q727" t="n">
        <v>0</v>
      </c>
      <c r="R727" s="2" t="inlineStr"/>
    </row>
    <row r="728" ht="15" customHeight="1">
      <c r="A728" t="inlineStr">
        <is>
          <t>A 24944-2023</t>
        </is>
      </c>
      <c r="B728" s="1" t="n">
        <v>45085</v>
      </c>
      <c r="C728" s="1" t="n">
        <v>46166</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24460-2025</t>
        </is>
      </c>
      <c r="B729" s="1" t="n">
        <v>45798</v>
      </c>
      <c r="C729" s="1" t="n">
        <v>46166</v>
      </c>
      <c r="D729" t="inlineStr">
        <is>
          <t>VÄSTMANLANDS LÄN</t>
        </is>
      </c>
      <c r="E729" t="inlineStr">
        <is>
          <t>SALA</t>
        </is>
      </c>
      <c r="F729" t="inlineStr">
        <is>
          <t>Bergvik skog öst AB</t>
        </is>
      </c>
      <c r="G729" t="n">
        <v>2.6</v>
      </c>
      <c r="H729" t="n">
        <v>0</v>
      </c>
      <c r="I729" t="n">
        <v>0</v>
      </c>
      <c r="J729" t="n">
        <v>0</v>
      </c>
      <c r="K729" t="n">
        <v>0</v>
      </c>
      <c r="L729" t="n">
        <v>0</v>
      </c>
      <c r="M729" t="n">
        <v>0</v>
      </c>
      <c r="N729" t="n">
        <v>0</v>
      </c>
      <c r="O729" t="n">
        <v>0</v>
      </c>
      <c r="P729" t="n">
        <v>0</v>
      </c>
      <c r="Q729" t="n">
        <v>0</v>
      </c>
      <c r="R729" s="2" t="inlineStr"/>
    </row>
    <row r="730" ht="15" customHeight="1">
      <c r="A730" t="inlineStr">
        <is>
          <t>A 24463-2025</t>
        </is>
      </c>
      <c r="B730" s="1" t="n">
        <v>45798</v>
      </c>
      <c r="C730" s="1" t="n">
        <v>46166</v>
      </c>
      <c r="D730" t="inlineStr">
        <is>
          <t>VÄSTMANLANDS LÄN</t>
        </is>
      </c>
      <c r="E730" t="inlineStr">
        <is>
          <t>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55065-2024</t>
        </is>
      </c>
      <c r="B731" s="1" t="n">
        <v>45618</v>
      </c>
      <c r="C731" s="1" t="n">
        <v>46166</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24907-2025</t>
        </is>
      </c>
      <c r="B732" s="1" t="n">
        <v>45799</v>
      </c>
      <c r="C732" s="1" t="n">
        <v>46166</v>
      </c>
      <c r="D732" t="inlineStr">
        <is>
          <t>VÄSTMANLANDS LÄN</t>
        </is>
      </c>
      <c r="E732" t="inlineStr">
        <is>
          <t>SALA</t>
        </is>
      </c>
      <c r="G732" t="n">
        <v>3.5</v>
      </c>
      <c r="H732" t="n">
        <v>0</v>
      </c>
      <c r="I732" t="n">
        <v>0</v>
      </c>
      <c r="J732" t="n">
        <v>0</v>
      </c>
      <c r="K732" t="n">
        <v>0</v>
      </c>
      <c r="L732" t="n">
        <v>0</v>
      </c>
      <c r="M732" t="n">
        <v>0</v>
      </c>
      <c r="N732" t="n">
        <v>0</v>
      </c>
      <c r="O732" t="n">
        <v>0</v>
      </c>
      <c r="P732" t="n">
        <v>0</v>
      </c>
      <c r="Q732" t="n">
        <v>0</v>
      </c>
      <c r="R732" s="2" t="inlineStr"/>
    </row>
    <row r="733" ht="15" customHeight="1">
      <c r="A733" t="inlineStr">
        <is>
          <t>A 24910-2025</t>
        </is>
      </c>
      <c r="B733" s="1" t="n">
        <v>45799.53775462963</v>
      </c>
      <c r="C733" s="1" t="n">
        <v>46166</v>
      </c>
      <c r="D733" t="inlineStr">
        <is>
          <t>VÄSTMANLANDS LÄN</t>
        </is>
      </c>
      <c r="E733" t="inlineStr">
        <is>
          <t>SALA</t>
        </is>
      </c>
      <c r="G733" t="n">
        <v>3.5</v>
      </c>
      <c r="H733" t="n">
        <v>0</v>
      </c>
      <c r="I733" t="n">
        <v>0</v>
      </c>
      <c r="J733" t="n">
        <v>0</v>
      </c>
      <c r="K733" t="n">
        <v>0</v>
      </c>
      <c r="L733" t="n">
        <v>0</v>
      </c>
      <c r="M733" t="n">
        <v>0</v>
      </c>
      <c r="N733" t="n">
        <v>0</v>
      </c>
      <c r="O733" t="n">
        <v>0</v>
      </c>
      <c r="P733" t="n">
        <v>0</v>
      </c>
      <c r="Q733" t="n">
        <v>0</v>
      </c>
      <c r="R733" s="2" t="inlineStr"/>
    </row>
    <row r="734" ht="15" customHeight="1">
      <c r="A734" t="inlineStr">
        <is>
          <t>A 10909-2024</t>
        </is>
      </c>
      <c r="B734" s="1" t="n">
        <v>45370</v>
      </c>
      <c r="C734" s="1" t="n">
        <v>46166</v>
      </c>
      <c r="D734" t="inlineStr">
        <is>
          <t>VÄSTMANLANDS LÄN</t>
        </is>
      </c>
      <c r="E734" t="inlineStr">
        <is>
          <t>SALA</t>
        </is>
      </c>
      <c r="G734" t="n">
        <v>3.3</v>
      </c>
      <c r="H734" t="n">
        <v>0</v>
      </c>
      <c r="I734" t="n">
        <v>0</v>
      </c>
      <c r="J734" t="n">
        <v>0</v>
      </c>
      <c r="K734" t="n">
        <v>0</v>
      </c>
      <c r="L734" t="n">
        <v>0</v>
      </c>
      <c r="M734" t="n">
        <v>0</v>
      </c>
      <c r="N734" t="n">
        <v>0</v>
      </c>
      <c r="O734" t="n">
        <v>0</v>
      </c>
      <c r="P734" t="n">
        <v>0</v>
      </c>
      <c r="Q734" t="n">
        <v>0</v>
      </c>
      <c r="R734" s="2" t="inlineStr"/>
    </row>
    <row r="735" ht="15" customHeight="1">
      <c r="A735" t="inlineStr">
        <is>
          <t>A 26661-2025</t>
        </is>
      </c>
      <c r="B735" s="1" t="n">
        <v>45810</v>
      </c>
      <c r="C735" s="1" t="n">
        <v>46166</v>
      </c>
      <c r="D735" t="inlineStr">
        <is>
          <t>VÄSTMANLANDS LÄN</t>
        </is>
      </c>
      <c r="E735" t="inlineStr">
        <is>
          <t>SALA</t>
        </is>
      </c>
      <c r="G735" t="n">
        <v>3.5</v>
      </c>
      <c r="H735" t="n">
        <v>0</v>
      </c>
      <c r="I735" t="n">
        <v>0</v>
      </c>
      <c r="J735" t="n">
        <v>0</v>
      </c>
      <c r="K735" t="n">
        <v>0</v>
      </c>
      <c r="L735" t="n">
        <v>0</v>
      </c>
      <c r="M735" t="n">
        <v>0</v>
      </c>
      <c r="N735" t="n">
        <v>0</v>
      </c>
      <c r="O735" t="n">
        <v>0</v>
      </c>
      <c r="P735" t="n">
        <v>0</v>
      </c>
      <c r="Q735" t="n">
        <v>0</v>
      </c>
      <c r="R735" s="2" t="inlineStr"/>
    </row>
    <row r="736" ht="15" customHeight="1">
      <c r="A736" t="inlineStr">
        <is>
          <t>A 27989-2025</t>
        </is>
      </c>
      <c r="B736" s="1" t="n">
        <v>45817.58716435185</v>
      </c>
      <c r="C736" s="1" t="n">
        <v>46166</v>
      </c>
      <c r="D736" t="inlineStr">
        <is>
          <t>VÄSTMANLANDS LÄN</t>
        </is>
      </c>
      <c r="E736" t="inlineStr">
        <is>
          <t>SALA</t>
        </is>
      </c>
      <c r="G736" t="n">
        <v>1.9</v>
      </c>
      <c r="H736" t="n">
        <v>0</v>
      </c>
      <c r="I736" t="n">
        <v>0</v>
      </c>
      <c r="J736" t="n">
        <v>0</v>
      </c>
      <c r="K736" t="n">
        <v>0</v>
      </c>
      <c r="L736" t="n">
        <v>0</v>
      </c>
      <c r="M736" t="n">
        <v>0</v>
      </c>
      <c r="N736" t="n">
        <v>0</v>
      </c>
      <c r="O736" t="n">
        <v>0</v>
      </c>
      <c r="P736" t="n">
        <v>0</v>
      </c>
      <c r="Q736" t="n">
        <v>0</v>
      </c>
      <c r="R736" s="2" t="inlineStr"/>
    </row>
    <row r="737" ht="15" customHeight="1">
      <c r="A737" t="inlineStr">
        <is>
          <t>A 27981-2025</t>
        </is>
      </c>
      <c r="B737" s="1" t="n">
        <v>45817.57471064815</v>
      </c>
      <c r="C737" s="1" t="n">
        <v>46166</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28193-2025</t>
        </is>
      </c>
      <c r="B738" s="1" t="n">
        <v>45818.425625</v>
      </c>
      <c r="C738" s="1" t="n">
        <v>46166</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28284-2025</t>
        </is>
      </c>
      <c r="B739" s="1" t="n">
        <v>45818.58893518519</v>
      </c>
      <c r="C739" s="1" t="n">
        <v>46166</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28278-2025</t>
        </is>
      </c>
      <c r="B740" s="1" t="n">
        <v>45818.58454861111</v>
      </c>
      <c r="C740" s="1" t="n">
        <v>46166</v>
      </c>
      <c r="D740" t="inlineStr">
        <is>
          <t>VÄSTMANLANDS LÄN</t>
        </is>
      </c>
      <c r="E740" t="inlineStr">
        <is>
          <t>SALA</t>
        </is>
      </c>
      <c r="G740" t="n">
        <v>7.6</v>
      </c>
      <c r="H740" t="n">
        <v>0</v>
      </c>
      <c r="I740" t="n">
        <v>0</v>
      </c>
      <c r="J740" t="n">
        <v>0</v>
      </c>
      <c r="K740" t="n">
        <v>0</v>
      </c>
      <c r="L740" t="n">
        <v>0</v>
      </c>
      <c r="M740" t="n">
        <v>0</v>
      </c>
      <c r="N740" t="n">
        <v>0</v>
      </c>
      <c r="O740" t="n">
        <v>0</v>
      </c>
      <c r="P740" t="n">
        <v>0</v>
      </c>
      <c r="Q740" t="n">
        <v>0</v>
      </c>
      <c r="R740" s="2" t="inlineStr"/>
    </row>
    <row r="741" ht="15" customHeight="1">
      <c r="A741" t="inlineStr">
        <is>
          <t>A 28628-2025</t>
        </is>
      </c>
      <c r="B741" s="1" t="n">
        <v>45819.62158564815</v>
      </c>
      <c r="C741" s="1" t="n">
        <v>46166</v>
      </c>
      <c r="D741" t="inlineStr">
        <is>
          <t>VÄSTMANLANDS LÄN</t>
        </is>
      </c>
      <c r="E741" t="inlineStr">
        <is>
          <t>SALA</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28632-2025</t>
        </is>
      </c>
      <c r="B742" s="1" t="n">
        <v>45819.62344907408</v>
      </c>
      <c r="C742" s="1" t="n">
        <v>46166</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28630-2025</t>
        </is>
      </c>
      <c r="B743" s="1" t="n">
        <v>45819.62274305556</v>
      </c>
      <c r="C743" s="1" t="n">
        <v>46166</v>
      </c>
      <c r="D743" t="inlineStr">
        <is>
          <t>VÄSTMANLANDS LÄN</t>
        </is>
      </c>
      <c r="E743" t="inlineStr">
        <is>
          <t>SALA</t>
        </is>
      </c>
      <c r="F743" t="inlineStr">
        <is>
          <t>Sveaskog</t>
        </is>
      </c>
      <c r="G743" t="n">
        <v>9</v>
      </c>
      <c r="H743" t="n">
        <v>0</v>
      </c>
      <c r="I743" t="n">
        <v>0</v>
      </c>
      <c r="J743" t="n">
        <v>0</v>
      </c>
      <c r="K743" t="n">
        <v>0</v>
      </c>
      <c r="L743" t="n">
        <v>0</v>
      </c>
      <c r="M743" t="n">
        <v>0</v>
      </c>
      <c r="N743" t="n">
        <v>0</v>
      </c>
      <c r="O743" t="n">
        <v>0</v>
      </c>
      <c r="P743" t="n">
        <v>0</v>
      </c>
      <c r="Q743" t="n">
        <v>0</v>
      </c>
      <c r="R743" s="2" t="inlineStr"/>
    </row>
    <row r="744" ht="15" customHeight="1">
      <c r="A744" t="inlineStr">
        <is>
          <t>A 28837-2025</t>
        </is>
      </c>
      <c r="B744" s="1" t="n">
        <v>45820.56243055555</v>
      </c>
      <c r="C744" s="1" t="n">
        <v>46166</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28849-2025</t>
        </is>
      </c>
      <c r="B745" s="1" t="n">
        <v>45820</v>
      </c>
      <c r="C745" s="1" t="n">
        <v>46166</v>
      </c>
      <c r="D745" t="inlineStr">
        <is>
          <t>VÄSTMANLANDS LÄN</t>
        </is>
      </c>
      <c r="E745" t="inlineStr">
        <is>
          <t>SALA</t>
        </is>
      </c>
      <c r="G745" t="n">
        <v>1.1</v>
      </c>
      <c r="H745" t="n">
        <v>0</v>
      </c>
      <c r="I745" t="n">
        <v>0</v>
      </c>
      <c r="J745" t="n">
        <v>0</v>
      </c>
      <c r="K745" t="n">
        <v>0</v>
      </c>
      <c r="L745" t="n">
        <v>0</v>
      </c>
      <c r="M745" t="n">
        <v>0</v>
      </c>
      <c r="N745" t="n">
        <v>0</v>
      </c>
      <c r="O745" t="n">
        <v>0</v>
      </c>
      <c r="P745" t="n">
        <v>0</v>
      </c>
      <c r="Q745" t="n">
        <v>0</v>
      </c>
      <c r="R745" s="2" t="inlineStr"/>
    </row>
    <row r="746" ht="15" customHeight="1">
      <c r="A746" t="inlineStr">
        <is>
          <t>A 29085-2025</t>
        </is>
      </c>
      <c r="B746" s="1" t="n">
        <v>45821</v>
      </c>
      <c r="C746" s="1" t="n">
        <v>46166</v>
      </c>
      <c r="D746" t="inlineStr">
        <is>
          <t>VÄSTMANLANDS LÄN</t>
        </is>
      </c>
      <c r="E746" t="inlineStr">
        <is>
          <t>SALA</t>
        </is>
      </c>
      <c r="G746" t="n">
        <v>3.5</v>
      </c>
      <c r="H746" t="n">
        <v>0</v>
      </c>
      <c r="I746" t="n">
        <v>0</v>
      </c>
      <c r="J746" t="n">
        <v>0</v>
      </c>
      <c r="K746" t="n">
        <v>0</v>
      </c>
      <c r="L746" t="n">
        <v>0</v>
      </c>
      <c r="M746" t="n">
        <v>0</v>
      </c>
      <c r="N746" t="n">
        <v>0</v>
      </c>
      <c r="O746" t="n">
        <v>0</v>
      </c>
      <c r="P746" t="n">
        <v>0</v>
      </c>
      <c r="Q746" t="n">
        <v>0</v>
      </c>
      <c r="R746" s="2" t="inlineStr"/>
    </row>
    <row r="747" ht="15" customHeight="1">
      <c r="A747" t="inlineStr">
        <is>
          <t>A 29691-2025</t>
        </is>
      </c>
      <c r="B747" s="1" t="n">
        <v>45825.53645833334</v>
      </c>
      <c r="C747" s="1" t="n">
        <v>46166</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60541-2024</t>
        </is>
      </c>
      <c r="B748" s="1" t="n">
        <v>45643</v>
      </c>
      <c r="C748" s="1" t="n">
        <v>46166</v>
      </c>
      <c r="D748" t="inlineStr">
        <is>
          <t>VÄSTMANLANDS LÄN</t>
        </is>
      </c>
      <c r="E748" t="inlineStr">
        <is>
          <t>SALA</t>
        </is>
      </c>
      <c r="G748" t="n">
        <v>10.6</v>
      </c>
      <c r="H748" t="n">
        <v>0</v>
      </c>
      <c r="I748" t="n">
        <v>0</v>
      </c>
      <c r="J748" t="n">
        <v>0</v>
      </c>
      <c r="K748" t="n">
        <v>0</v>
      </c>
      <c r="L748" t="n">
        <v>0</v>
      </c>
      <c r="M748" t="n">
        <v>0</v>
      </c>
      <c r="N748" t="n">
        <v>0</v>
      </c>
      <c r="O748" t="n">
        <v>0</v>
      </c>
      <c r="P748" t="n">
        <v>0</v>
      </c>
      <c r="Q748" t="n">
        <v>0</v>
      </c>
      <c r="R748" s="2" t="inlineStr"/>
    </row>
    <row r="749" ht="15" customHeight="1">
      <c r="A749" t="inlineStr">
        <is>
          <t>A 29826-2025</t>
        </is>
      </c>
      <c r="B749" s="1" t="n">
        <v>45825.85761574074</v>
      </c>
      <c r="C749" s="1" t="n">
        <v>46166</v>
      </c>
      <c r="D749" t="inlineStr">
        <is>
          <t>VÄSTMANLANDS LÄN</t>
        </is>
      </c>
      <c r="E749" t="inlineStr">
        <is>
          <t>SALA</t>
        </is>
      </c>
      <c r="G749" t="n">
        <v>1.9</v>
      </c>
      <c r="H749" t="n">
        <v>0</v>
      </c>
      <c r="I749" t="n">
        <v>0</v>
      </c>
      <c r="J749" t="n">
        <v>0</v>
      </c>
      <c r="K749" t="n">
        <v>0</v>
      </c>
      <c r="L749" t="n">
        <v>0</v>
      </c>
      <c r="M749" t="n">
        <v>0</v>
      </c>
      <c r="N749" t="n">
        <v>0</v>
      </c>
      <c r="O749" t="n">
        <v>0</v>
      </c>
      <c r="P749" t="n">
        <v>0</v>
      </c>
      <c r="Q749" t="n">
        <v>0</v>
      </c>
      <c r="R749" s="2" t="inlineStr"/>
    </row>
    <row r="750" ht="15" customHeight="1">
      <c r="A750" t="inlineStr">
        <is>
          <t>A 31608-2025</t>
        </is>
      </c>
      <c r="B750" s="1" t="n">
        <v>45833</v>
      </c>
      <c r="C750" s="1" t="n">
        <v>46166</v>
      </c>
      <c r="D750" t="inlineStr">
        <is>
          <t>VÄSTMANLANDS LÄN</t>
        </is>
      </c>
      <c r="E750" t="inlineStr">
        <is>
          <t>SALA</t>
        </is>
      </c>
      <c r="G750" t="n">
        <v>6.1</v>
      </c>
      <c r="H750" t="n">
        <v>0</v>
      </c>
      <c r="I750" t="n">
        <v>0</v>
      </c>
      <c r="J750" t="n">
        <v>0</v>
      </c>
      <c r="K750" t="n">
        <v>0</v>
      </c>
      <c r="L750" t="n">
        <v>0</v>
      </c>
      <c r="M750" t="n">
        <v>0</v>
      </c>
      <c r="N750" t="n">
        <v>0</v>
      </c>
      <c r="O750" t="n">
        <v>0</v>
      </c>
      <c r="P750" t="n">
        <v>0</v>
      </c>
      <c r="Q750" t="n">
        <v>0</v>
      </c>
      <c r="R750" s="2" t="inlineStr"/>
    </row>
    <row r="751" ht="15" customHeight="1">
      <c r="A751" t="inlineStr">
        <is>
          <t>A 30866-2025</t>
        </is>
      </c>
      <c r="B751" s="1" t="n">
        <v>45832.3246875</v>
      </c>
      <c r="C751" s="1" t="n">
        <v>46166</v>
      </c>
      <c r="D751" t="inlineStr">
        <is>
          <t>VÄSTMANLANDS LÄN</t>
        </is>
      </c>
      <c r="E751" t="inlineStr">
        <is>
          <t>SALA</t>
        </is>
      </c>
      <c r="G751" t="n">
        <v>14.3</v>
      </c>
      <c r="H751" t="n">
        <v>0</v>
      </c>
      <c r="I751" t="n">
        <v>0</v>
      </c>
      <c r="J751" t="n">
        <v>0</v>
      </c>
      <c r="K751" t="n">
        <v>0</v>
      </c>
      <c r="L751" t="n">
        <v>0</v>
      </c>
      <c r="M751" t="n">
        <v>0</v>
      </c>
      <c r="N751" t="n">
        <v>0</v>
      </c>
      <c r="O751" t="n">
        <v>0</v>
      </c>
      <c r="P751" t="n">
        <v>0</v>
      </c>
      <c r="Q751" t="n">
        <v>0</v>
      </c>
      <c r="R751" s="2" t="inlineStr"/>
    </row>
    <row r="752" ht="15" customHeight="1">
      <c r="A752" t="inlineStr">
        <is>
          <t>A 30874-2025</t>
        </is>
      </c>
      <c r="B752" s="1" t="n">
        <v>45832.34430555555</v>
      </c>
      <c r="C752" s="1" t="n">
        <v>46166</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31573-2025</t>
        </is>
      </c>
      <c r="B753" s="1" t="n">
        <v>45833</v>
      </c>
      <c r="C753" s="1" t="n">
        <v>46166</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31288-2025</t>
        </is>
      </c>
      <c r="B754" s="1" t="n">
        <v>45833</v>
      </c>
      <c r="C754" s="1" t="n">
        <v>46166</v>
      </c>
      <c r="D754" t="inlineStr">
        <is>
          <t>VÄSTMANLANDS LÄN</t>
        </is>
      </c>
      <c r="E754" t="inlineStr">
        <is>
          <t>SALA</t>
        </is>
      </c>
      <c r="G754" t="n">
        <v>3.1</v>
      </c>
      <c r="H754" t="n">
        <v>0</v>
      </c>
      <c r="I754" t="n">
        <v>0</v>
      </c>
      <c r="J754" t="n">
        <v>0</v>
      </c>
      <c r="K754" t="n">
        <v>0</v>
      </c>
      <c r="L754" t="n">
        <v>0</v>
      </c>
      <c r="M754" t="n">
        <v>0</v>
      </c>
      <c r="N754" t="n">
        <v>0</v>
      </c>
      <c r="O754" t="n">
        <v>0</v>
      </c>
      <c r="P754" t="n">
        <v>0</v>
      </c>
      <c r="Q754" t="n">
        <v>0</v>
      </c>
      <c r="R754" s="2" t="inlineStr"/>
    </row>
    <row r="755" ht="15" customHeight="1">
      <c r="A755" t="inlineStr">
        <is>
          <t>A 31554-2025</t>
        </is>
      </c>
      <c r="B755" s="1" t="n">
        <v>45833</v>
      </c>
      <c r="C755" s="1" t="n">
        <v>46166</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30899-2025</t>
        </is>
      </c>
      <c r="B756" s="1" t="n">
        <v>45832.35767361111</v>
      </c>
      <c r="C756" s="1" t="n">
        <v>46166</v>
      </c>
      <c r="D756" t="inlineStr">
        <is>
          <t>VÄSTMANLANDS LÄN</t>
        </is>
      </c>
      <c r="E756" t="inlineStr">
        <is>
          <t>SALA</t>
        </is>
      </c>
      <c r="G756" t="n">
        <v>3.1</v>
      </c>
      <c r="H756" t="n">
        <v>0</v>
      </c>
      <c r="I756" t="n">
        <v>0</v>
      </c>
      <c r="J756" t="n">
        <v>0</v>
      </c>
      <c r="K756" t="n">
        <v>0</v>
      </c>
      <c r="L756" t="n">
        <v>0</v>
      </c>
      <c r="M756" t="n">
        <v>0</v>
      </c>
      <c r="N756" t="n">
        <v>0</v>
      </c>
      <c r="O756" t="n">
        <v>0</v>
      </c>
      <c r="P756" t="n">
        <v>0</v>
      </c>
      <c r="Q756" t="n">
        <v>0</v>
      </c>
      <c r="R756" s="2" t="inlineStr"/>
    </row>
    <row r="757" ht="15" customHeight="1">
      <c r="A757" t="inlineStr">
        <is>
          <t>A 31065-2025</t>
        </is>
      </c>
      <c r="B757" s="1" t="n">
        <v>45832.57571759259</v>
      </c>
      <c r="C757" s="1" t="n">
        <v>46166</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31296-2025</t>
        </is>
      </c>
      <c r="B758" s="1" t="n">
        <v>45833.36765046296</v>
      </c>
      <c r="C758" s="1" t="n">
        <v>46166</v>
      </c>
      <c r="D758" t="inlineStr">
        <is>
          <t>VÄSTMANLANDS LÄN</t>
        </is>
      </c>
      <c r="E758" t="inlineStr">
        <is>
          <t>SALA</t>
        </is>
      </c>
      <c r="G758" t="n">
        <v>3.7</v>
      </c>
      <c r="H758" t="n">
        <v>0</v>
      </c>
      <c r="I758" t="n">
        <v>0</v>
      </c>
      <c r="J758" t="n">
        <v>0</v>
      </c>
      <c r="K758" t="n">
        <v>0</v>
      </c>
      <c r="L758" t="n">
        <v>0</v>
      </c>
      <c r="M758" t="n">
        <v>0</v>
      </c>
      <c r="N758" t="n">
        <v>0</v>
      </c>
      <c r="O758" t="n">
        <v>0</v>
      </c>
      <c r="P758" t="n">
        <v>0</v>
      </c>
      <c r="Q758" t="n">
        <v>0</v>
      </c>
      <c r="R758" s="2" t="inlineStr"/>
    </row>
    <row r="759" ht="15" customHeight="1">
      <c r="A759" t="inlineStr">
        <is>
          <t>A 31748-2025</t>
        </is>
      </c>
      <c r="B759" s="1" t="n">
        <v>45834</v>
      </c>
      <c r="C759" s="1" t="n">
        <v>46166</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32210-2025</t>
        </is>
      </c>
      <c r="B760" s="1" t="n">
        <v>45835</v>
      </c>
      <c r="C760" s="1" t="n">
        <v>46166</v>
      </c>
      <c r="D760" t="inlineStr">
        <is>
          <t>VÄSTMANLANDS LÄN</t>
        </is>
      </c>
      <c r="E760" t="inlineStr">
        <is>
          <t>SALA</t>
        </is>
      </c>
      <c r="F760" t="inlineStr">
        <is>
          <t>Bergvik skog öst AB</t>
        </is>
      </c>
      <c r="G760" t="n">
        <v>1.5</v>
      </c>
      <c r="H760" t="n">
        <v>0</v>
      </c>
      <c r="I760" t="n">
        <v>0</v>
      </c>
      <c r="J760" t="n">
        <v>0</v>
      </c>
      <c r="K760" t="n">
        <v>0</v>
      </c>
      <c r="L760" t="n">
        <v>0</v>
      </c>
      <c r="M760" t="n">
        <v>0</v>
      </c>
      <c r="N760" t="n">
        <v>0</v>
      </c>
      <c r="O760" t="n">
        <v>0</v>
      </c>
      <c r="P760" t="n">
        <v>0</v>
      </c>
      <c r="Q760" t="n">
        <v>0</v>
      </c>
      <c r="R760" s="2" t="inlineStr"/>
    </row>
    <row r="761" ht="15" customHeight="1">
      <c r="A761" t="inlineStr">
        <is>
          <t>A 31610-2025</t>
        </is>
      </c>
      <c r="B761" s="1" t="n">
        <v>45833.78650462963</v>
      </c>
      <c r="C761" s="1" t="n">
        <v>46166</v>
      </c>
      <c r="D761" t="inlineStr">
        <is>
          <t>VÄSTMANLANDS LÄN</t>
        </is>
      </c>
      <c r="E761" t="inlineStr">
        <is>
          <t>SALA</t>
        </is>
      </c>
      <c r="G761" t="n">
        <v>8</v>
      </c>
      <c r="H761" t="n">
        <v>0</v>
      </c>
      <c r="I761" t="n">
        <v>0</v>
      </c>
      <c r="J761" t="n">
        <v>0</v>
      </c>
      <c r="K761" t="n">
        <v>0</v>
      </c>
      <c r="L761" t="n">
        <v>0</v>
      </c>
      <c r="M761" t="n">
        <v>0</v>
      </c>
      <c r="N761" t="n">
        <v>0</v>
      </c>
      <c r="O761" t="n">
        <v>0</v>
      </c>
      <c r="P761" t="n">
        <v>0</v>
      </c>
      <c r="Q761" t="n">
        <v>0</v>
      </c>
      <c r="R761" s="2" t="inlineStr"/>
    </row>
    <row r="762" ht="15" customHeight="1">
      <c r="A762" t="inlineStr">
        <is>
          <t>A 32201-2025</t>
        </is>
      </c>
      <c r="B762" s="1" t="n">
        <v>45835</v>
      </c>
      <c r="C762" s="1" t="n">
        <v>46166</v>
      </c>
      <c r="D762" t="inlineStr">
        <is>
          <t>VÄSTMANLANDS LÄN</t>
        </is>
      </c>
      <c r="E762" t="inlineStr">
        <is>
          <t>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31612-2025</t>
        </is>
      </c>
      <c r="B763" s="1" t="n">
        <v>45833.80056712963</v>
      </c>
      <c r="C763" s="1" t="n">
        <v>46166</v>
      </c>
      <c r="D763" t="inlineStr">
        <is>
          <t>VÄSTMANLANDS LÄN</t>
        </is>
      </c>
      <c r="E763" t="inlineStr">
        <is>
          <t>SALA</t>
        </is>
      </c>
      <c r="G763" t="n">
        <v>6.3</v>
      </c>
      <c r="H763" t="n">
        <v>0</v>
      </c>
      <c r="I763" t="n">
        <v>0</v>
      </c>
      <c r="J763" t="n">
        <v>0</v>
      </c>
      <c r="K763" t="n">
        <v>0</v>
      </c>
      <c r="L763" t="n">
        <v>0</v>
      </c>
      <c r="M763" t="n">
        <v>0</v>
      </c>
      <c r="N763" t="n">
        <v>0</v>
      </c>
      <c r="O763" t="n">
        <v>0</v>
      </c>
      <c r="P763" t="n">
        <v>0</v>
      </c>
      <c r="Q763" t="n">
        <v>0</v>
      </c>
      <c r="R763" s="2" t="inlineStr"/>
    </row>
    <row r="764" ht="15" customHeight="1">
      <c r="A764" t="inlineStr">
        <is>
          <t>A 32207-2025</t>
        </is>
      </c>
      <c r="B764" s="1" t="n">
        <v>45835</v>
      </c>
      <c r="C764" s="1" t="n">
        <v>46166</v>
      </c>
      <c r="D764" t="inlineStr">
        <is>
          <t>VÄSTMANLANDS LÄN</t>
        </is>
      </c>
      <c r="E764" t="inlineStr">
        <is>
          <t>SALA</t>
        </is>
      </c>
      <c r="F764" t="inlineStr">
        <is>
          <t>Bergvik skog öst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31762-2025</t>
        </is>
      </c>
      <c r="B765" s="1" t="n">
        <v>45834.49288194445</v>
      </c>
      <c r="C765" s="1" t="n">
        <v>46166</v>
      </c>
      <c r="D765" t="inlineStr">
        <is>
          <t>VÄSTMANLANDS LÄN</t>
        </is>
      </c>
      <c r="E765" t="inlineStr">
        <is>
          <t>SALA</t>
        </is>
      </c>
      <c r="G765" t="n">
        <v>5.9</v>
      </c>
      <c r="H765" t="n">
        <v>0</v>
      </c>
      <c r="I765" t="n">
        <v>0</v>
      </c>
      <c r="J765" t="n">
        <v>0</v>
      </c>
      <c r="K765" t="n">
        <v>0</v>
      </c>
      <c r="L765" t="n">
        <v>0</v>
      </c>
      <c r="M765" t="n">
        <v>0</v>
      </c>
      <c r="N765" t="n">
        <v>0</v>
      </c>
      <c r="O765" t="n">
        <v>0</v>
      </c>
      <c r="P765" t="n">
        <v>0</v>
      </c>
      <c r="Q765" t="n">
        <v>0</v>
      </c>
      <c r="R765" s="2" t="inlineStr"/>
    </row>
    <row r="766" ht="15" customHeight="1">
      <c r="A766" t="inlineStr">
        <is>
          <t>A 31771-2025</t>
        </is>
      </c>
      <c r="B766" s="1" t="n">
        <v>45834.50910879629</v>
      </c>
      <c r="C766" s="1" t="n">
        <v>46166</v>
      </c>
      <c r="D766" t="inlineStr">
        <is>
          <t>VÄSTMANLANDS LÄN</t>
        </is>
      </c>
      <c r="E766" t="inlineStr">
        <is>
          <t>SALA</t>
        </is>
      </c>
      <c r="G766" t="n">
        <v>5.1</v>
      </c>
      <c r="H766" t="n">
        <v>0</v>
      </c>
      <c r="I766" t="n">
        <v>0</v>
      </c>
      <c r="J766" t="n">
        <v>0</v>
      </c>
      <c r="K766" t="n">
        <v>0</v>
      </c>
      <c r="L766" t="n">
        <v>0</v>
      </c>
      <c r="M766" t="n">
        <v>0</v>
      </c>
      <c r="N766" t="n">
        <v>0</v>
      </c>
      <c r="O766" t="n">
        <v>0</v>
      </c>
      <c r="P766" t="n">
        <v>0</v>
      </c>
      <c r="Q766" t="n">
        <v>0</v>
      </c>
      <c r="R766" s="2" t="inlineStr"/>
    </row>
    <row r="767" ht="15" customHeight="1">
      <c r="A767" t="inlineStr">
        <is>
          <t>A 32205-2025</t>
        </is>
      </c>
      <c r="B767" s="1" t="n">
        <v>45835</v>
      </c>
      <c r="C767" s="1" t="n">
        <v>46166</v>
      </c>
      <c r="D767" t="inlineStr">
        <is>
          <t>VÄSTMANLANDS LÄN</t>
        </is>
      </c>
      <c r="E767" t="inlineStr">
        <is>
          <t>SALA</t>
        </is>
      </c>
      <c r="F767" t="inlineStr">
        <is>
          <t>Bergvik skog öst AB</t>
        </is>
      </c>
      <c r="G767" t="n">
        <v>1.1</v>
      </c>
      <c r="H767" t="n">
        <v>0</v>
      </c>
      <c r="I767" t="n">
        <v>0</v>
      </c>
      <c r="J767" t="n">
        <v>0</v>
      </c>
      <c r="K767" t="n">
        <v>0</v>
      </c>
      <c r="L767" t="n">
        <v>0</v>
      </c>
      <c r="M767" t="n">
        <v>0</v>
      </c>
      <c r="N767" t="n">
        <v>0</v>
      </c>
      <c r="O767" t="n">
        <v>0</v>
      </c>
      <c r="P767" t="n">
        <v>0</v>
      </c>
      <c r="Q767" t="n">
        <v>0</v>
      </c>
      <c r="R767" s="2" t="inlineStr"/>
    </row>
    <row r="768" ht="15" customHeight="1">
      <c r="A768" t="inlineStr">
        <is>
          <t>A 32286-2025</t>
        </is>
      </c>
      <c r="B768" s="1" t="n">
        <v>45835</v>
      </c>
      <c r="C768" s="1" t="n">
        <v>46166</v>
      </c>
      <c r="D768" t="inlineStr">
        <is>
          <t>VÄSTMANLANDS LÄN</t>
        </is>
      </c>
      <c r="E768" t="inlineStr">
        <is>
          <t>SALA</t>
        </is>
      </c>
      <c r="G768" t="n">
        <v>6.4</v>
      </c>
      <c r="H768" t="n">
        <v>0</v>
      </c>
      <c r="I768" t="n">
        <v>0</v>
      </c>
      <c r="J768" t="n">
        <v>0</v>
      </c>
      <c r="K768" t="n">
        <v>0</v>
      </c>
      <c r="L768" t="n">
        <v>0</v>
      </c>
      <c r="M768" t="n">
        <v>0</v>
      </c>
      <c r="N768" t="n">
        <v>0</v>
      </c>
      <c r="O768" t="n">
        <v>0</v>
      </c>
      <c r="P768" t="n">
        <v>0</v>
      </c>
      <c r="Q768" t="n">
        <v>0</v>
      </c>
      <c r="R768" s="2" t="inlineStr"/>
    </row>
    <row r="769" ht="15" customHeight="1">
      <c r="A769" t="inlineStr">
        <is>
          <t>A 32902-2025</t>
        </is>
      </c>
      <c r="B769" s="1" t="n">
        <v>45839</v>
      </c>
      <c r="C769" s="1" t="n">
        <v>46166</v>
      </c>
      <c r="D769" t="inlineStr">
        <is>
          <t>VÄSTMANLANDS LÄN</t>
        </is>
      </c>
      <c r="E769" t="inlineStr">
        <is>
          <t>SALA</t>
        </is>
      </c>
      <c r="G769" t="n">
        <v>8.199999999999999</v>
      </c>
      <c r="H769" t="n">
        <v>0</v>
      </c>
      <c r="I769" t="n">
        <v>0</v>
      </c>
      <c r="J769" t="n">
        <v>0</v>
      </c>
      <c r="K769" t="n">
        <v>0</v>
      </c>
      <c r="L769" t="n">
        <v>0</v>
      </c>
      <c r="M769" t="n">
        <v>0</v>
      </c>
      <c r="N769" t="n">
        <v>0</v>
      </c>
      <c r="O769" t="n">
        <v>0</v>
      </c>
      <c r="P769" t="n">
        <v>0</v>
      </c>
      <c r="Q769" t="n">
        <v>0</v>
      </c>
      <c r="R769" s="2" t="inlineStr"/>
    </row>
    <row r="770">
      <c r="A770" t="inlineStr">
        <is>
          <t>A 34069-2025</t>
        </is>
      </c>
      <c r="B770" s="1" t="n">
        <v>45845.43560185185</v>
      </c>
      <c r="C770" s="1" t="n">
        <v>46166</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34069-2025 karta knärot.png", "A 34069-2025")</f>
        <v/>
      </c>
      <c r="V770">
        <f>HYPERLINK("https://klasma.github.io/Logging_1981/klagomål/A 34069-2025 FSC-klagomål.docx", "A 34069-2025")</f>
        <v/>
      </c>
      <c r="W770">
        <f>HYPERLINK("https://klasma.github.io/Logging_1981/klagomålsmail/A 34069-2025 FSC-klagomål mail.docx", "A 34069-2025")</f>
        <v/>
      </c>
      <c r="X770">
        <f>HYPERLINK("https://klasma.github.io/Logging_1981/tillsyn/A 34069-2025 tillsynsbegäran.docx", "A 34069-2025")</f>
        <v/>
      </c>
      <c r="Y770">
        <f>HYPERLINK("https://klasma.github.io/Logging_1981/tillsynsmail/A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2026-05-24T10:50:15Z</dcterms:created>
  <dcterms:modified xmlns:dcterms="http://purl.org/dc/terms/" xmlns:xsi="http://www.w3.org/2001/XMLSchema-instance" xsi:type="dcterms:W3CDTF">2026-05-24T10:50:16Z</dcterms:modified>
</cp:coreProperties>
</file>