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45473</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45473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45473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45473</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45473</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45473</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45473</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45473</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45473</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45473</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54719-2023</t>
        </is>
      </c>
      <c r="B12" s="1" t="n">
        <v>45236</v>
      </c>
      <c r="C12" s="1" t="n">
        <v>45473</v>
      </c>
      <c r="D12" t="inlineStr">
        <is>
          <t>VÄSTMANLANDS LÄN</t>
        </is>
      </c>
      <c r="E12" t="inlineStr">
        <is>
          <t>SALA</t>
        </is>
      </c>
      <c r="G12" t="n">
        <v>5.8</v>
      </c>
      <c r="H12" t="n">
        <v>3</v>
      </c>
      <c r="I12" t="n">
        <v>0</v>
      </c>
      <c r="J12" t="n">
        <v>2</v>
      </c>
      <c r="K12" t="n">
        <v>2</v>
      </c>
      <c r="L12" t="n">
        <v>0</v>
      </c>
      <c r="M12" t="n">
        <v>0</v>
      </c>
      <c r="N12" t="n">
        <v>0</v>
      </c>
      <c r="O12" t="n">
        <v>4</v>
      </c>
      <c r="P12" t="n">
        <v>2</v>
      </c>
      <c r="Q12" t="n">
        <v>5</v>
      </c>
      <c r="R12" s="2" t="inlineStr">
        <is>
          <t>Knärot
Vågticka
Gropticka
Spillkråka
Blåsippa</t>
        </is>
      </c>
      <c r="S12">
        <f>HYPERLINK("https://klasma.github.io/Logging_1981/artfynd/A 54719-2023 artfynd.xlsx", "A 54719-2023")</f>
        <v/>
      </c>
      <c r="T12">
        <f>HYPERLINK("https://klasma.github.io/Logging_1981/kartor/A 54719-2023 karta.png", "A 54719-2023")</f>
        <v/>
      </c>
      <c r="U12">
        <f>HYPERLINK("https://klasma.github.io/Logging_1981/knärot/A 54719-2023 karta knärot.png", "A 54719-2023")</f>
        <v/>
      </c>
      <c r="V12">
        <f>HYPERLINK("https://klasma.github.io/Logging_1981/klagomål/A 54719-2023 FSC-klagomål.docx", "A 54719-2023")</f>
        <v/>
      </c>
      <c r="W12">
        <f>HYPERLINK("https://klasma.github.io/Logging_1981/klagomålsmail/A 54719-2023 FSC-klagomål mail.docx", "A 54719-2023")</f>
        <v/>
      </c>
      <c r="X12">
        <f>HYPERLINK("https://klasma.github.io/Logging_1981/tillsyn/A 54719-2023 tillsynsbegäran.docx", "A 54719-2023")</f>
        <v/>
      </c>
      <c r="Y12">
        <f>HYPERLINK("https://klasma.github.io/Logging_1981/tillsynsmail/A 54719-2023 tillsynsbegäran mail.docx", "A 54719-2023")</f>
        <v/>
      </c>
      <c r="Z12">
        <f>HYPERLINK("https://klasma.github.io/Logging_1981/fåglar/A 54719-2023 prioriterade fågelarter.docx", "A 54719-2023")</f>
        <v/>
      </c>
    </row>
    <row r="13" ht="15" customHeight="1">
      <c r="A13" t="inlineStr">
        <is>
          <t>A 3566-2024</t>
        </is>
      </c>
      <c r="B13" s="1" t="n">
        <v>45320</v>
      </c>
      <c r="C13" s="1" t="n">
        <v>45473</v>
      </c>
      <c r="D13" t="inlineStr">
        <is>
          <t>VÄSTMANLANDS LÄN</t>
        </is>
      </c>
      <c r="E13" t="inlineStr">
        <is>
          <t>SALA</t>
        </is>
      </c>
      <c r="F13" t="inlineStr">
        <is>
          <t>Kommuner</t>
        </is>
      </c>
      <c r="G13" t="n">
        <v>4.3</v>
      </c>
      <c r="H13" t="n">
        <v>3</v>
      </c>
      <c r="I13" t="n">
        <v>1</v>
      </c>
      <c r="J13" t="n">
        <v>0</v>
      </c>
      <c r="K13" t="n">
        <v>2</v>
      </c>
      <c r="L13" t="n">
        <v>0</v>
      </c>
      <c r="M13" t="n">
        <v>0</v>
      </c>
      <c r="N13" t="n">
        <v>0</v>
      </c>
      <c r="O13" t="n">
        <v>2</v>
      </c>
      <c r="P13" t="n">
        <v>2</v>
      </c>
      <c r="Q13" t="n">
        <v>5</v>
      </c>
      <c r="R13" s="2" t="inlineStr">
        <is>
          <t>Knärot
Vågticka
Vedticka
Fläcknycklar
Mattlummer</t>
        </is>
      </c>
      <c r="S13">
        <f>HYPERLINK("https://klasma.github.io/Logging_1981/artfynd/A 3566-2024 artfynd.xlsx", "A 3566-2024")</f>
        <v/>
      </c>
      <c r="T13">
        <f>HYPERLINK("https://klasma.github.io/Logging_1981/kartor/A 3566-2024 karta.png", "A 3566-2024")</f>
        <v/>
      </c>
      <c r="U13">
        <f>HYPERLINK("https://klasma.github.io/Logging_1981/knärot/A 3566-2024 karta knärot.png", "A 3566-2024")</f>
        <v/>
      </c>
      <c r="V13">
        <f>HYPERLINK("https://klasma.github.io/Logging_1981/klagomål/A 3566-2024 FSC-klagomål.docx", "A 3566-2024")</f>
        <v/>
      </c>
      <c r="W13">
        <f>HYPERLINK("https://klasma.github.io/Logging_1981/klagomålsmail/A 3566-2024 FSC-klagomål mail.docx", "A 3566-2024")</f>
        <v/>
      </c>
      <c r="X13">
        <f>HYPERLINK("https://klasma.github.io/Logging_1981/tillsyn/A 3566-2024 tillsynsbegäran.docx", "A 3566-2024")</f>
        <v/>
      </c>
      <c r="Y13">
        <f>HYPERLINK("https://klasma.github.io/Logging_1981/tillsynsmail/A 3566-2024 tillsynsbegäran mail.docx", "A 3566-2024")</f>
        <v/>
      </c>
    </row>
    <row r="14" ht="15" customHeight="1">
      <c r="A14" t="inlineStr">
        <is>
          <t>A 27263-2024</t>
        </is>
      </c>
      <c r="B14" s="1" t="n">
        <v>45471</v>
      </c>
      <c r="C14" s="1" t="n">
        <v>45473</v>
      </c>
      <c r="D14" t="inlineStr">
        <is>
          <t>VÄSTMANLANDS LÄN</t>
        </is>
      </c>
      <c r="E14" t="inlineStr">
        <is>
          <t>SALA</t>
        </is>
      </c>
      <c r="G14" t="n">
        <v>9.6</v>
      </c>
      <c r="H14" t="n">
        <v>0</v>
      </c>
      <c r="I14" t="n">
        <v>2</v>
      </c>
      <c r="J14" t="n">
        <v>3</v>
      </c>
      <c r="K14" t="n">
        <v>0</v>
      </c>
      <c r="L14" t="n">
        <v>0</v>
      </c>
      <c r="M14" t="n">
        <v>0</v>
      </c>
      <c r="N14" t="n">
        <v>0</v>
      </c>
      <c r="O14" t="n">
        <v>3</v>
      </c>
      <c r="P14" t="n">
        <v>0</v>
      </c>
      <c r="Q14" t="n">
        <v>5</v>
      </c>
      <c r="R14" s="2" t="inlineStr">
        <is>
          <t>Motaggsvamp
Skrovlig taggsvamp
Tallriska
Dropptaggsvamp
Tallfingersvamp</t>
        </is>
      </c>
      <c r="S14">
        <f>HYPERLINK("https://klasma.github.io/Logging_1981/artfynd/A 27263-2024 artfynd.xlsx", "A 27263-2024")</f>
        <v/>
      </c>
      <c r="T14">
        <f>HYPERLINK("https://klasma.github.io/Logging_1981/kartor/A 27263-2024 karta.png", "A 27263-2024")</f>
        <v/>
      </c>
      <c r="V14">
        <f>HYPERLINK("https://klasma.github.io/Logging_1981/klagomål/A 27263-2024 FSC-klagomål.docx", "A 27263-2024")</f>
        <v/>
      </c>
      <c r="W14">
        <f>HYPERLINK("https://klasma.github.io/Logging_1981/klagomålsmail/A 27263-2024 FSC-klagomål mail.docx", "A 27263-2024")</f>
        <v/>
      </c>
      <c r="X14">
        <f>HYPERLINK("https://klasma.github.io/Logging_1981/tillsyn/A 27263-2024 tillsynsbegäran.docx", "A 27263-2024")</f>
        <v/>
      </c>
      <c r="Y14">
        <f>HYPERLINK("https://klasma.github.io/Logging_1981/tillsynsmail/A 27263-2024 tillsynsbegäran mail.docx", "A 27263-2024")</f>
        <v/>
      </c>
    </row>
    <row r="15" ht="15" customHeight="1">
      <c r="A15" t="inlineStr">
        <is>
          <t>A 26774-2021</t>
        </is>
      </c>
      <c r="B15" s="1" t="n">
        <v>44349</v>
      </c>
      <c r="C15" s="1" t="n">
        <v>45473</v>
      </c>
      <c r="D15" t="inlineStr">
        <is>
          <t>VÄSTMANLANDS LÄN</t>
        </is>
      </c>
      <c r="E15" t="inlineStr">
        <is>
          <t>SALA</t>
        </is>
      </c>
      <c r="F15" t="inlineStr">
        <is>
          <t>Sveaskog</t>
        </is>
      </c>
      <c r="G15" t="n">
        <v>1.3</v>
      </c>
      <c r="H15" t="n">
        <v>2</v>
      </c>
      <c r="I15" t="n">
        <v>0</v>
      </c>
      <c r="J15" t="n">
        <v>2</v>
      </c>
      <c r="K15" t="n">
        <v>0</v>
      </c>
      <c r="L15" t="n">
        <v>0</v>
      </c>
      <c r="M15" t="n">
        <v>0</v>
      </c>
      <c r="N15" t="n">
        <v>0</v>
      </c>
      <c r="O15" t="n">
        <v>2</v>
      </c>
      <c r="P15" t="n">
        <v>0</v>
      </c>
      <c r="Q15" t="n">
        <v>4</v>
      </c>
      <c r="R15" s="2" t="inlineStr">
        <is>
          <t>Mindre bastardsvärmare
Skogshare
Åkergroda
Vanlig padda</t>
        </is>
      </c>
      <c r="S15">
        <f>HYPERLINK("https://klasma.github.io/Logging_1981/artfynd/A 26774-2021 artfynd.xlsx", "A 26774-2021")</f>
        <v/>
      </c>
      <c r="T15">
        <f>HYPERLINK("https://klasma.github.io/Logging_1981/kartor/A 26774-2021 karta.png", "A 26774-2021")</f>
        <v/>
      </c>
      <c r="V15">
        <f>HYPERLINK("https://klasma.github.io/Logging_1981/klagomål/A 26774-2021 FSC-klagomål.docx", "A 26774-2021")</f>
        <v/>
      </c>
      <c r="W15">
        <f>HYPERLINK("https://klasma.github.io/Logging_1981/klagomålsmail/A 26774-2021 FSC-klagomål mail.docx", "A 26774-2021")</f>
        <v/>
      </c>
      <c r="X15">
        <f>HYPERLINK("https://klasma.github.io/Logging_1981/tillsyn/A 26774-2021 tillsynsbegäran.docx", "A 26774-2021")</f>
        <v/>
      </c>
      <c r="Y15">
        <f>HYPERLINK("https://klasma.github.io/Logging_1981/tillsynsmail/A 26774-2021 tillsynsbegäran mail.docx", "A 26774-2021")</f>
        <v/>
      </c>
    </row>
    <row r="16" ht="15" customHeight="1">
      <c r="A16" t="inlineStr">
        <is>
          <t>A 27488-2023</t>
        </is>
      </c>
      <c r="B16" s="1" t="n">
        <v>45097</v>
      </c>
      <c r="C16" s="1" t="n">
        <v>45473</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55259-2023</t>
        </is>
      </c>
      <c r="B17" s="1" t="n">
        <v>45237</v>
      </c>
      <c r="C17" s="1" t="n">
        <v>45473</v>
      </c>
      <c r="D17" t="inlineStr">
        <is>
          <t>VÄSTMANLANDS LÄN</t>
        </is>
      </c>
      <c r="E17" t="inlineStr">
        <is>
          <t>SALA</t>
        </is>
      </c>
      <c r="G17" t="n">
        <v>1.6</v>
      </c>
      <c r="H17" t="n">
        <v>1</v>
      </c>
      <c r="I17" t="n">
        <v>1</v>
      </c>
      <c r="J17" t="n">
        <v>2</v>
      </c>
      <c r="K17" t="n">
        <v>1</v>
      </c>
      <c r="L17" t="n">
        <v>0</v>
      </c>
      <c r="M17" t="n">
        <v>0</v>
      </c>
      <c r="N17" t="n">
        <v>0</v>
      </c>
      <c r="O17" t="n">
        <v>3</v>
      </c>
      <c r="P17" t="n">
        <v>1</v>
      </c>
      <c r="Q17" t="n">
        <v>4</v>
      </c>
      <c r="R17" s="2" t="inlineStr">
        <is>
          <t>Knärot
Dofttaggsvamp
Gul taggsvamp
Skarp dropptaggsvamp</t>
        </is>
      </c>
      <c r="S17">
        <f>HYPERLINK("https://klasma.github.io/Logging_1981/artfynd/A 55259-2023 artfynd.xlsx", "A 55259-2023")</f>
        <v/>
      </c>
      <c r="T17">
        <f>HYPERLINK("https://klasma.github.io/Logging_1981/kartor/A 55259-2023 karta.png", "A 55259-2023")</f>
        <v/>
      </c>
      <c r="U17">
        <f>HYPERLINK("https://klasma.github.io/Logging_1981/knärot/A 55259-2023 karta knärot.png", "A 55259-2023")</f>
        <v/>
      </c>
      <c r="V17">
        <f>HYPERLINK("https://klasma.github.io/Logging_1981/klagomål/A 55259-2023 FSC-klagomål.docx", "A 55259-2023")</f>
        <v/>
      </c>
      <c r="W17">
        <f>HYPERLINK("https://klasma.github.io/Logging_1981/klagomålsmail/A 55259-2023 FSC-klagomål mail.docx", "A 55259-2023")</f>
        <v/>
      </c>
      <c r="X17">
        <f>HYPERLINK("https://klasma.github.io/Logging_1981/tillsyn/A 55259-2023 tillsynsbegäran.docx", "A 55259-2023")</f>
        <v/>
      </c>
      <c r="Y17">
        <f>HYPERLINK("https://klasma.github.io/Logging_1981/tillsynsmail/A 55259-2023 tillsynsbegäran mail.docx", "A 55259-2023")</f>
        <v/>
      </c>
    </row>
    <row r="18" ht="15" customHeight="1">
      <c r="A18" t="inlineStr">
        <is>
          <t>A 56092-2023</t>
        </is>
      </c>
      <c r="B18" s="1" t="n">
        <v>45240</v>
      </c>
      <c r="C18" s="1" t="n">
        <v>45473</v>
      </c>
      <c r="D18" t="inlineStr">
        <is>
          <t>VÄSTMANLANDS LÄN</t>
        </is>
      </c>
      <c r="E18" t="inlineStr">
        <is>
          <t>SALA</t>
        </is>
      </c>
      <c r="G18" t="n">
        <v>11.6</v>
      </c>
      <c r="H18" t="n">
        <v>2</v>
      </c>
      <c r="I18" t="n">
        <v>1</v>
      </c>
      <c r="J18" t="n">
        <v>2</v>
      </c>
      <c r="K18" t="n">
        <v>1</v>
      </c>
      <c r="L18" t="n">
        <v>0</v>
      </c>
      <c r="M18" t="n">
        <v>0</v>
      </c>
      <c r="N18" t="n">
        <v>0</v>
      </c>
      <c r="O18" t="n">
        <v>3</v>
      </c>
      <c r="P18" t="n">
        <v>1</v>
      </c>
      <c r="Q18" t="n">
        <v>4</v>
      </c>
      <c r="R18" s="2" t="inlineStr">
        <is>
          <t>Knärot
Havsörn
Motaggsvamp
Vedticka</t>
        </is>
      </c>
      <c r="S18">
        <f>HYPERLINK("https://klasma.github.io/Logging_1981/artfynd/A 56092-2023 artfynd.xlsx", "A 56092-2023")</f>
        <v/>
      </c>
      <c r="T18">
        <f>HYPERLINK("https://klasma.github.io/Logging_1981/kartor/A 56092-2023 karta.png", "A 56092-2023")</f>
        <v/>
      </c>
      <c r="U18">
        <f>HYPERLINK("https://klasma.github.io/Logging_1981/knärot/A 56092-2023 karta knärot.png", "A 56092-2023")</f>
        <v/>
      </c>
      <c r="V18">
        <f>HYPERLINK("https://klasma.github.io/Logging_1981/klagomål/A 56092-2023 FSC-klagomål.docx", "A 56092-2023")</f>
        <v/>
      </c>
      <c r="W18">
        <f>HYPERLINK("https://klasma.github.io/Logging_1981/klagomålsmail/A 56092-2023 FSC-klagomål mail.docx", "A 56092-2023")</f>
        <v/>
      </c>
      <c r="X18">
        <f>HYPERLINK("https://klasma.github.io/Logging_1981/tillsyn/A 56092-2023 tillsynsbegäran.docx", "A 56092-2023")</f>
        <v/>
      </c>
      <c r="Y18">
        <f>HYPERLINK("https://klasma.github.io/Logging_1981/tillsynsmail/A 56092-2023 tillsynsbegäran mail.docx", "A 56092-2023")</f>
        <v/>
      </c>
      <c r="Z18">
        <f>HYPERLINK("https://klasma.github.io/Logging_1981/fåglar/A 56092-2023 prioriterade fågelarter.docx", "A 56092-2023")</f>
        <v/>
      </c>
    </row>
    <row r="19" ht="15" customHeight="1">
      <c r="A19" t="inlineStr">
        <is>
          <t>A 66088-2019</t>
        </is>
      </c>
      <c r="B19" s="1" t="n">
        <v>43807</v>
      </c>
      <c r="C19" s="1" t="n">
        <v>45473</v>
      </c>
      <c r="D19" t="inlineStr">
        <is>
          <t>VÄSTMANLANDS LÄN</t>
        </is>
      </c>
      <c r="E19" t="inlineStr">
        <is>
          <t>SALA</t>
        </is>
      </c>
      <c r="G19" t="n">
        <v>6.4</v>
      </c>
      <c r="H19" t="n">
        <v>0</v>
      </c>
      <c r="I19" t="n">
        <v>1</v>
      </c>
      <c r="J19" t="n">
        <v>2</v>
      </c>
      <c r="K19" t="n">
        <v>0</v>
      </c>
      <c r="L19" t="n">
        <v>0</v>
      </c>
      <c r="M19" t="n">
        <v>0</v>
      </c>
      <c r="N19" t="n">
        <v>0</v>
      </c>
      <c r="O19" t="n">
        <v>2</v>
      </c>
      <c r="P19" t="n">
        <v>0</v>
      </c>
      <c r="Q19" t="n">
        <v>3</v>
      </c>
      <c r="R19" s="2" t="inlineStr">
        <is>
          <t>Ullticka
Vedtrappmossa
Flagellkvastmossa</t>
        </is>
      </c>
      <c r="S19">
        <f>HYPERLINK("https://klasma.github.io/Logging_1981/artfynd/A 66088-2019 artfynd.xlsx", "A 66088-2019")</f>
        <v/>
      </c>
      <c r="T19">
        <f>HYPERLINK("https://klasma.github.io/Logging_1981/kartor/A 66088-2019 karta.png", "A 66088-2019")</f>
        <v/>
      </c>
      <c r="V19">
        <f>HYPERLINK("https://klasma.github.io/Logging_1981/klagomål/A 66088-2019 FSC-klagomål.docx", "A 66088-2019")</f>
        <v/>
      </c>
      <c r="W19">
        <f>HYPERLINK("https://klasma.github.io/Logging_1981/klagomålsmail/A 66088-2019 FSC-klagomål mail.docx", "A 66088-2019")</f>
        <v/>
      </c>
      <c r="X19">
        <f>HYPERLINK("https://klasma.github.io/Logging_1981/tillsyn/A 66088-2019 tillsynsbegäran.docx", "A 66088-2019")</f>
        <v/>
      </c>
      <c r="Y19">
        <f>HYPERLINK("https://klasma.github.io/Logging_1981/tillsynsmail/A 66088-2019 tillsynsbegäran mail.docx", "A 66088-2019")</f>
        <v/>
      </c>
    </row>
    <row r="20" ht="15" customHeight="1">
      <c r="A20" t="inlineStr">
        <is>
          <t>A 62768-2021</t>
        </is>
      </c>
      <c r="B20" s="1" t="n">
        <v>44504</v>
      </c>
      <c r="C20" s="1" t="n">
        <v>45473</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15991-2022</t>
        </is>
      </c>
      <c r="B21" s="1" t="n">
        <v>44664</v>
      </c>
      <c r="C21" s="1" t="n">
        <v>45473</v>
      </c>
      <c r="D21" t="inlineStr">
        <is>
          <t>VÄSTMANLANDS LÄN</t>
        </is>
      </c>
      <c r="E21" t="inlineStr">
        <is>
          <t>SALA</t>
        </is>
      </c>
      <c r="G21" t="n">
        <v>4.5</v>
      </c>
      <c r="H21" t="n">
        <v>2</v>
      </c>
      <c r="I21" t="n">
        <v>1</v>
      </c>
      <c r="J21" t="n">
        <v>0</v>
      </c>
      <c r="K21" t="n">
        <v>1</v>
      </c>
      <c r="L21" t="n">
        <v>0</v>
      </c>
      <c r="M21" t="n">
        <v>0</v>
      </c>
      <c r="N21" t="n">
        <v>0</v>
      </c>
      <c r="O21" t="n">
        <v>1</v>
      </c>
      <c r="P21" t="n">
        <v>1</v>
      </c>
      <c r="Q21" t="n">
        <v>3</v>
      </c>
      <c r="R21" s="2" t="inlineStr">
        <is>
          <t>Knärot
Blåmossa
Revlummer</t>
        </is>
      </c>
      <c r="S21">
        <f>HYPERLINK("https://klasma.github.io/Logging_1981/artfynd/A 15991-2022 artfynd.xlsx", "A 15991-2022")</f>
        <v/>
      </c>
      <c r="T21">
        <f>HYPERLINK("https://klasma.github.io/Logging_1981/kartor/A 15991-2022 karta.png", "A 15991-2022")</f>
        <v/>
      </c>
      <c r="U21">
        <f>HYPERLINK("https://klasma.github.io/Logging_1981/knärot/A 15991-2022 karta knärot.png", "A 15991-2022")</f>
        <v/>
      </c>
      <c r="V21">
        <f>HYPERLINK("https://klasma.github.io/Logging_1981/klagomål/A 15991-2022 FSC-klagomål.docx", "A 15991-2022")</f>
        <v/>
      </c>
      <c r="W21">
        <f>HYPERLINK("https://klasma.github.io/Logging_1981/klagomålsmail/A 15991-2022 FSC-klagomål mail.docx", "A 15991-2022")</f>
        <v/>
      </c>
      <c r="X21">
        <f>HYPERLINK("https://klasma.github.io/Logging_1981/tillsyn/A 15991-2022 tillsynsbegäran.docx", "A 15991-2022")</f>
        <v/>
      </c>
      <c r="Y21">
        <f>HYPERLINK("https://klasma.github.io/Logging_1981/tillsynsmail/A 15991-2022 tillsynsbegäran mail.docx", "A 15991-2022")</f>
        <v/>
      </c>
    </row>
    <row r="22" ht="15" customHeight="1">
      <c r="A22" t="inlineStr">
        <is>
          <t>A 3567-2024</t>
        </is>
      </c>
      <c r="B22" s="1" t="n">
        <v>45320</v>
      </c>
      <c r="C22" s="1" t="n">
        <v>45473</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45473</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11504-2024</t>
        </is>
      </c>
      <c r="B24" s="1" t="n">
        <v>45372</v>
      </c>
      <c r="C24" s="1" t="n">
        <v>45473</v>
      </c>
      <c r="D24" t="inlineStr">
        <is>
          <t>VÄSTMANLANDS LÄN</t>
        </is>
      </c>
      <c r="E24" t="inlineStr">
        <is>
          <t>SALA</t>
        </is>
      </c>
      <c r="G24" t="n">
        <v>3.3</v>
      </c>
      <c r="H24" t="n">
        <v>0</v>
      </c>
      <c r="I24" t="n">
        <v>0</v>
      </c>
      <c r="J24" t="n">
        <v>2</v>
      </c>
      <c r="K24" t="n">
        <v>1</v>
      </c>
      <c r="L24" t="n">
        <v>0</v>
      </c>
      <c r="M24" t="n">
        <v>0</v>
      </c>
      <c r="N24" t="n">
        <v>0</v>
      </c>
      <c r="O24" t="n">
        <v>3</v>
      </c>
      <c r="P24" t="n">
        <v>1</v>
      </c>
      <c r="Q24" t="n">
        <v>3</v>
      </c>
      <c r="R24" s="2" t="inlineStr">
        <is>
          <t>Rynkskinn
Stjärntagging
Ullticka</t>
        </is>
      </c>
      <c r="S24">
        <f>HYPERLINK("https://klasma.github.io/Logging_1981/artfynd/A 11504-2024 artfynd.xlsx", "A 11504-2024")</f>
        <v/>
      </c>
      <c r="T24">
        <f>HYPERLINK("https://klasma.github.io/Logging_1981/kartor/A 11504-2024 karta.png", "A 11504-2024")</f>
        <v/>
      </c>
      <c r="V24">
        <f>HYPERLINK("https://klasma.github.io/Logging_1981/klagomål/A 11504-2024 FSC-klagomål.docx", "A 11504-2024")</f>
        <v/>
      </c>
      <c r="W24">
        <f>HYPERLINK("https://klasma.github.io/Logging_1981/klagomålsmail/A 11504-2024 FSC-klagomål mail.docx", "A 11504-2024")</f>
        <v/>
      </c>
      <c r="X24">
        <f>HYPERLINK("https://klasma.github.io/Logging_1981/tillsyn/A 11504-2024 tillsynsbegäran.docx", "A 11504-2024")</f>
        <v/>
      </c>
      <c r="Y24">
        <f>HYPERLINK("https://klasma.github.io/Logging_1981/tillsynsmail/A 11504-2024 tillsynsbegäran mail.docx", "A 11504-2024")</f>
        <v/>
      </c>
    </row>
    <row r="25" ht="15" customHeight="1">
      <c r="A25" t="inlineStr">
        <is>
          <t>A 18744-2024</t>
        </is>
      </c>
      <c r="B25" s="1" t="n">
        <v>45426</v>
      </c>
      <c r="C25" s="1" t="n">
        <v>45473</v>
      </c>
      <c r="D25" t="inlineStr">
        <is>
          <t>VÄSTMANLANDS LÄN</t>
        </is>
      </c>
      <c r="E25" t="inlineStr">
        <is>
          <t>SALA</t>
        </is>
      </c>
      <c r="G25" t="n">
        <v>19.1</v>
      </c>
      <c r="H25" t="n">
        <v>2</v>
      </c>
      <c r="I25" t="n">
        <v>1</v>
      </c>
      <c r="J25" t="n">
        <v>0</v>
      </c>
      <c r="K25" t="n">
        <v>1</v>
      </c>
      <c r="L25" t="n">
        <v>0</v>
      </c>
      <c r="M25" t="n">
        <v>0</v>
      </c>
      <c r="N25" t="n">
        <v>0</v>
      </c>
      <c r="O25" t="n">
        <v>1</v>
      </c>
      <c r="P25" t="n">
        <v>1</v>
      </c>
      <c r="Q25" t="n">
        <v>3</v>
      </c>
      <c r="R25" s="2" t="inlineStr">
        <is>
          <t>Knärot
Kattfotslav
Revlummer</t>
        </is>
      </c>
      <c r="S25">
        <f>HYPERLINK("https://klasma.github.io/Logging_1981/artfynd/A 18744-2024 artfynd.xlsx", "A 18744-2024")</f>
        <v/>
      </c>
      <c r="T25">
        <f>HYPERLINK("https://klasma.github.io/Logging_1981/kartor/A 18744-2024 karta.png", "A 18744-2024")</f>
        <v/>
      </c>
      <c r="U25">
        <f>HYPERLINK("https://klasma.github.io/Logging_1981/knärot/A 18744-2024 karta knärot.png", "A 18744-2024")</f>
        <v/>
      </c>
      <c r="V25">
        <f>HYPERLINK("https://klasma.github.io/Logging_1981/klagomål/A 18744-2024 FSC-klagomål.docx", "A 18744-2024")</f>
        <v/>
      </c>
      <c r="W25">
        <f>HYPERLINK("https://klasma.github.io/Logging_1981/klagomålsmail/A 18744-2024 FSC-klagomål mail.docx", "A 18744-2024")</f>
        <v/>
      </c>
      <c r="X25">
        <f>HYPERLINK("https://klasma.github.io/Logging_1981/tillsyn/A 18744-2024 tillsynsbegäran.docx", "A 18744-2024")</f>
        <v/>
      </c>
      <c r="Y25">
        <f>HYPERLINK("https://klasma.github.io/Logging_1981/tillsynsmail/A 18744-2024 tillsynsbegäran mail.docx", "A 18744-2024")</f>
        <v/>
      </c>
    </row>
    <row r="26" ht="15" customHeight="1">
      <c r="A26" t="inlineStr">
        <is>
          <t>A 35213-2019</t>
        </is>
      </c>
      <c r="B26" s="1" t="n">
        <v>43662</v>
      </c>
      <c r="C26" s="1" t="n">
        <v>45473</v>
      </c>
      <c r="D26" t="inlineStr">
        <is>
          <t>VÄSTMANLANDS LÄN</t>
        </is>
      </c>
      <c r="E26" t="inlineStr">
        <is>
          <t>SALA</t>
        </is>
      </c>
      <c r="G26" t="n">
        <v>44.3</v>
      </c>
      <c r="H26" t="n">
        <v>1</v>
      </c>
      <c r="I26" t="n">
        <v>1</v>
      </c>
      <c r="J26" t="n">
        <v>1</v>
      </c>
      <c r="K26" t="n">
        <v>0</v>
      </c>
      <c r="L26" t="n">
        <v>0</v>
      </c>
      <c r="M26" t="n">
        <v>0</v>
      </c>
      <c r="N26" t="n">
        <v>0</v>
      </c>
      <c r="O26" t="n">
        <v>1</v>
      </c>
      <c r="P26" t="n">
        <v>0</v>
      </c>
      <c r="Q26" t="n">
        <v>2</v>
      </c>
      <c r="R26" s="2" t="inlineStr">
        <is>
          <t>Järpe
Mörk husmossa</t>
        </is>
      </c>
      <c r="S26">
        <f>HYPERLINK("https://klasma.github.io/Logging_1981/artfynd/A 35213-2019 artfynd.xlsx", "A 35213-2019")</f>
        <v/>
      </c>
      <c r="T26">
        <f>HYPERLINK("https://klasma.github.io/Logging_1981/kartor/A 35213-2019 karta.png", "A 35213-2019")</f>
        <v/>
      </c>
      <c r="U26">
        <f>HYPERLINK("https://klasma.github.io/Logging_1981/knärot/A 35213-2019 karta knärot.png", "A 35213-2019")</f>
        <v/>
      </c>
      <c r="V26">
        <f>HYPERLINK("https://klasma.github.io/Logging_1981/klagomål/A 35213-2019 FSC-klagomål.docx", "A 35213-2019")</f>
        <v/>
      </c>
      <c r="W26">
        <f>HYPERLINK("https://klasma.github.io/Logging_1981/klagomålsmail/A 35213-2019 FSC-klagomål mail.docx", "A 35213-2019")</f>
        <v/>
      </c>
      <c r="X26">
        <f>HYPERLINK("https://klasma.github.io/Logging_1981/tillsyn/A 35213-2019 tillsynsbegäran.docx", "A 35213-2019")</f>
        <v/>
      </c>
      <c r="Y26">
        <f>HYPERLINK("https://klasma.github.io/Logging_1981/tillsynsmail/A 35213-2019 tillsynsbegäran mail.docx", "A 35213-2019")</f>
        <v/>
      </c>
      <c r="Z26">
        <f>HYPERLINK("https://klasma.github.io/Logging_1981/fåglar/A 35213-2019 prioriterade fågelarter.docx", "A 35213-2019")</f>
        <v/>
      </c>
    </row>
    <row r="27" ht="15" customHeight="1">
      <c r="A27" t="inlineStr">
        <is>
          <t>A 59152-2019</t>
        </is>
      </c>
      <c r="B27" s="1" t="n">
        <v>43775</v>
      </c>
      <c r="C27" s="1" t="n">
        <v>45473</v>
      </c>
      <c r="D27" t="inlineStr">
        <is>
          <t>VÄSTMANLANDS LÄN</t>
        </is>
      </c>
      <c r="E27" t="inlineStr">
        <is>
          <t>SALA</t>
        </is>
      </c>
      <c r="F27" t="inlineStr">
        <is>
          <t>Övriga Aktiebolag</t>
        </is>
      </c>
      <c r="G27" t="n">
        <v>4.6</v>
      </c>
      <c r="H27" t="n">
        <v>0</v>
      </c>
      <c r="I27" t="n">
        <v>1</v>
      </c>
      <c r="J27" t="n">
        <v>1</v>
      </c>
      <c r="K27" t="n">
        <v>0</v>
      </c>
      <c r="L27" t="n">
        <v>0</v>
      </c>
      <c r="M27" t="n">
        <v>0</v>
      </c>
      <c r="N27" t="n">
        <v>0</v>
      </c>
      <c r="O27" t="n">
        <v>1</v>
      </c>
      <c r="P27" t="n">
        <v>0</v>
      </c>
      <c r="Q27" t="n">
        <v>2</v>
      </c>
      <c r="R27" s="2" t="inlineStr">
        <is>
          <t>Svart taggsvamp
Vedticka</t>
        </is>
      </c>
      <c r="S27">
        <f>HYPERLINK("https://klasma.github.io/Logging_1981/artfynd/A 59152-2019 artfynd.xlsx", "A 59152-2019")</f>
        <v/>
      </c>
      <c r="T27">
        <f>HYPERLINK("https://klasma.github.io/Logging_1981/kartor/A 59152-2019 karta.png", "A 59152-2019")</f>
        <v/>
      </c>
      <c r="V27">
        <f>HYPERLINK("https://klasma.github.io/Logging_1981/klagomål/A 59152-2019 FSC-klagomål.docx", "A 59152-2019")</f>
        <v/>
      </c>
      <c r="W27">
        <f>HYPERLINK("https://klasma.github.io/Logging_1981/klagomålsmail/A 59152-2019 FSC-klagomål mail.docx", "A 59152-2019")</f>
        <v/>
      </c>
      <c r="X27">
        <f>HYPERLINK("https://klasma.github.io/Logging_1981/tillsyn/A 59152-2019 tillsynsbegäran.docx", "A 59152-2019")</f>
        <v/>
      </c>
      <c r="Y27">
        <f>HYPERLINK("https://klasma.github.io/Logging_1981/tillsynsmail/A 59152-2019 tillsynsbegäran mail.docx", "A 59152-2019")</f>
        <v/>
      </c>
    </row>
    <row r="28" ht="15" customHeight="1">
      <c r="A28" t="inlineStr">
        <is>
          <t>A 32975-2020</t>
        </is>
      </c>
      <c r="B28" s="1" t="n">
        <v>44020</v>
      </c>
      <c r="C28" s="1" t="n">
        <v>45473</v>
      </c>
      <c r="D28" t="inlineStr">
        <is>
          <t>VÄSTMANLANDS LÄN</t>
        </is>
      </c>
      <c r="E28" t="inlineStr">
        <is>
          <t>SALA</t>
        </is>
      </c>
      <c r="G28" t="n">
        <v>10.1</v>
      </c>
      <c r="H28" t="n">
        <v>2</v>
      </c>
      <c r="I28" t="n">
        <v>0</v>
      </c>
      <c r="J28" t="n">
        <v>0</v>
      </c>
      <c r="K28" t="n">
        <v>1</v>
      </c>
      <c r="L28" t="n">
        <v>0</v>
      </c>
      <c r="M28" t="n">
        <v>0</v>
      </c>
      <c r="N28" t="n">
        <v>0</v>
      </c>
      <c r="O28" t="n">
        <v>1</v>
      </c>
      <c r="P28" t="n">
        <v>1</v>
      </c>
      <c r="Q28" t="n">
        <v>2</v>
      </c>
      <c r="R28" s="2" t="inlineStr">
        <is>
          <t>Knärot
Revlummer</t>
        </is>
      </c>
      <c r="S28">
        <f>HYPERLINK("https://klasma.github.io/Logging_1981/artfynd/A 32975-2020 artfynd.xlsx", "A 32975-2020")</f>
        <v/>
      </c>
      <c r="T28">
        <f>HYPERLINK("https://klasma.github.io/Logging_1981/kartor/A 32975-2020 karta.png", "A 32975-2020")</f>
        <v/>
      </c>
      <c r="U28">
        <f>HYPERLINK("https://klasma.github.io/Logging_1981/knärot/A 32975-2020 karta knärot.png", "A 32975-2020")</f>
        <v/>
      </c>
      <c r="V28">
        <f>HYPERLINK("https://klasma.github.io/Logging_1981/klagomål/A 32975-2020 FSC-klagomål.docx", "A 32975-2020")</f>
        <v/>
      </c>
      <c r="W28">
        <f>HYPERLINK("https://klasma.github.io/Logging_1981/klagomålsmail/A 32975-2020 FSC-klagomål mail.docx", "A 32975-2020")</f>
        <v/>
      </c>
      <c r="X28">
        <f>HYPERLINK("https://klasma.github.io/Logging_1981/tillsyn/A 32975-2020 tillsynsbegäran.docx", "A 32975-2020")</f>
        <v/>
      </c>
      <c r="Y28">
        <f>HYPERLINK("https://klasma.github.io/Logging_1981/tillsynsmail/A 32975-2020 tillsynsbegäran mail.docx", "A 32975-2020")</f>
        <v/>
      </c>
    </row>
    <row r="29" ht="15" customHeight="1">
      <c r="A29" t="inlineStr">
        <is>
          <t>A 54555-2021</t>
        </is>
      </c>
      <c r="B29" s="1" t="n">
        <v>44473</v>
      </c>
      <c r="C29" s="1" t="n">
        <v>45473</v>
      </c>
      <c r="D29" t="inlineStr">
        <is>
          <t>VÄSTMANLANDS LÄN</t>
        </is>
      </c>
      <c r="E29" t="inlineStr">
        <is>
          <t>SALA</t>
        </is>
      </c>
      <c r="G29" t="n">
        <v>13</v>
      </c>
      <c r="H29" t="n">
        <v>0</v>
      </c>
      <c r="I29" t="n">
        <v>1</v>
      </c>
      <c r="J29" t="n">
        <v>1</v>
      </c>
      <c r="K29" t="n">
        <v>0</v>
      </c>
      <c r="L29" t="n">
        <v>0</v>
      </c>
      <c r="M29" t="n">
        <v>0</v>
      </c>
      <c r="N29" t="n">
        <v>0</v>
      </c>
      <c r="O29" t="n">
        <v>1</v>
      </c>
      <c r="P29" t="n">
        <v>0</v>
      </c>
      <c r="Q29" t="n">
        <v>2</v>
      </c>
      <c r="R29" s="2" t="inlineStr">
        <is>
          <t>Storgröe
Stubbspretmossa</t>
        </is>
      </c>
      <c r="S29">
        <f>HYPERLINK("https://klasma.github.io/Logging_1981/artfynd/A 54555-2021 artfynd.xlsx", "A 54555-2021")</f>
        <v/>
      </c>
      <c r="T29">
        <f>HYPERLINK("https://klasma.github.io/Logging_1981/kartor/A 54555-2021 karta.png", "A 54555-2021")</f>
        <v/>
      </c>
      <c r="V29">
        <f>HYPERLINK("https://klasma.github.io/Logging_1981/klagomål/A 54555-2021 FSC-klagomål.docx", "A 54555-2021")</f>
        <v/>
      </c>
      <c r="W29">
        <f>HYPERLINK("https://klasma.github.io/Logging_1981/klagomålsmail/A 54555-2021 FSC-klagomål mail.docx", "A 54555-2021")</f>
        <v/>
      </c>
      <c r="X29">
        <f>HYPERLINK("https://klasma.github.io/Logging_1981/tillsyn/A 54555-2021 tillsynsbegäran.docx", "A 54555-2021")</f>
        <v/>
      </c>
      <c r="Y29">
        <f>HYPERLINK("https://klasma.github.io/Logging_1981/tillsynsmail/A 54555-2021 tillsynsbegäran mail.docx", "A 54555-2021")</f>
        <v/>
      </c>
    </row>
    <row r="30" ht="15" customHeight="1">
      <c r="A30" t="inlineStr">
        <is>
          <t>A 73598-2021</t>
        </is>
      </c>
      <c r="B30" s="1" t="n">
        <v>44552</v>
      </c>
      <c r="C30" s="1" t="n">
        <v>45473</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1500-2022</t>
        </is>
      </c>
      <c r="B31" s="1" t="n">
        <v>44573</v>
      </c>
      <c r="C31" s="1" t="n">
        <v>45473</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40042-2022</t>
        </is>
      </c>
      <c r="B32" s="1" t="n">
        <v>44819</v>
      </c>
      <c r="C32" s="1" t="n">
        <v>45473</v>
      </c>
      <c r="D32" t="inlineStr">
        <is>
          <t>VÄSTMANLANDS LÄN</t>
        </is>
      </c>
      <c r="E32" t="inlineStr">
        <is>
          <t>SALA</t>
        </is>
      </c>
      <c r="G32" t="n">
        <v>1.7</v>
      </c>
      <c r="H32" t="n">
        <v>2</v>
      </c>
      <c r="I32" t="n">
        <v>0</v>
      </c>
      <c r="J32" t="n">
        <v>0</v>
      </c>
      <c r="K32" t="n">
        <v>1</v>
      </c>
      <c r="L32" t="n">
        <v>0</v>
      </c>
      <c r="M32" t="n">
        <v>0</v>
      </c>
      <c r="N32" t="n">
        <v>0</v>
      </c>
      <c r="O32" t="n">
        <v>1</v>
      </c>
      <c r="P32" t="n">
        <v>1</v>
      </c>
      <c r="Q32" t="n">
        <v>2</v>
      </c>
      <c r="R32" s="2" t="inlineStr">
        <is>
          <t>Knärot
Revlummer</t>
        </is>
      </c>
      <c r="S32">
        <f>HYPERLINK("https://klasma.github.io/Logging_1981/artfynd/A 40042-2022 artfynd.xlsx", "A 40042-2022")</f>
        <v/>
      </c>
      <c r="T32">
        <f>HYPERLINK("https://klasma.github.io/Logging_1981/kartor/A 40042-2022 karta.png", "A 40042-2022")</f>
        <v/>
      </c>
      <c r="U32">
        <f>HYPERLINK("https://klasma.github.io/Logging_1981/knärot/A 40042-2022 karta knärot.png", "A 40042-2022")</f>
        <v/>
      </c>
      <c r="V32">
        <f>HYPERLINK("https://klasma.github.io/Logging_1981/klagomål/A 40042-2022 FSC-klagomål.docx", "A 40042-2022")</f>
        <v/>
      </c>
      <c r="W32">
        <f>HYPERLINK("https://klasma.github.io/Logging_1981/klagomålsmail/A 40042-2022 FSC-klagomål mail.docx", "A 40042-2022")</f>
        <v/>
      </c>
      <c r="X32">
        <f>HYPERLINK("https://klasma.github.io/Logging_1981/tillsyn/A 40042-2022 tillsynsbegäran.docx", "A 40042-2022")</f>
        <v/>
      </c>
      <c r="Y32">
        <f>HYPERLINK("https://klasma.github.io/Logging_1981/tillsynsmail/A 40042-2022 tillsynsbegäran mail.docx", "A 40042-2022")</f>
        <v/>
      </c>
    </row>
    <row r="33" ht="15" customHeight="1">
      <c r="A33" t="inlineStr">
        <is>
          <t>A 52909-2022</t>
        </is>
      </c>
      <c r="B33" s="1" t="n">
        <v>44875</v>
      </c>
      <c r="C33" s="1" t="n">
        <v>45473</v>
      </c>
      <c r="D33" t="inlineStr">
        <is>
          <t>VÄSTMANLANDS LÄN</t>
        </is>
      </c>
      <c r="E33" t="inlineStr">
        <is>
          <t>SALA</t>
        </is>
      </c>
      <c r="G33" t="n">
        <v>0.5</v>
      </c>
      <c r="H33" t="n">
        <v>1</v>
      </c>
      <c r="I33" t="n">
        <v>0</v>
      </c>
      <c r="J33" t="n">
        <v>1</v>
      </c>
      <c r="K33" t="n">
        <v>0</v>
      </c>
      <c r="L33" t="n">
        <v>0</v>
      </c>
      <c r="M33" t="n">
        <v>0</v>
      </c>
      <c r="N33" t="n">
        <v>0</v>
      </c>
      <c r="O33" t="n">
        <v>1</v>
      </c>
      <c r="P33" t="n">
        <v>0</v>
      </c>
      <c r="Q33" t="n">
        <v>2</v>
      </c>
      <c r="R33" s="2" t="inlineStr">
        <is>
          <t>Svinrot
Nattviol</t>
        </is>
      </c>
      <c r="S33">
        <f>HYPERLINK("https://klasma.github.io/Logging_1981/artfynd/A 52909-2022 artfynd.xlsx", "A 52909-2022")</f>
        <v/>
      </c>
      <c r="T33">
        <f>HYPERLINK("https://klasma.github.io/Logging_1981/kartor/A 52909-2022 karta.png", "A 52909-2022")</f>
        <v/>
      </c>
      <c r="V33">
        <f>HYPERLINK("https://klasma.github.io/Logging_1981/klagomål/A 52909-2022 FSC-klagomål.docx", "A 52909-2022")</f>
        <v/>
      </c>
      <c r="W33">
        <f>HYPERLINK("https://klasma.github.io/Logging_1981/klagomålsmail/A 52909-2022 FSC-klagomål mail.docx", "A 52909-2022")</f>
        <v/>
      </c>
      <c r="X33">
        <f>HYPERLINK("https://klasma.github.io/Logging_1981/tillsyn/A 52909-2022 tillsynsbegäran.docx", "A 52909-2022")</f>
        <v/>
      </c>
      <c r="Y33">
        <f>HYPERLINK("https://klasma.github.io/Logging_1981/tillsynsmail/A 52909-2022 tillsynsbegäran mail.docx", "A 52909-2022")</f>
        <v/>
      </c>
    </row>
    <row r="34" ht="15" customHeight="1">
      <c r="A34" t="inlineStr">
        <is>
          <t>A 7747-2023</t>
        </is>
      </c>
      <c r="B34" s="1" t="n">
        <v>44973</v>
      </c>
      <c r="C34" s="1" t="n">
        <v>45473</v>
      </c>
      <c r="D34" t="inlineStr">
        <is>
          <t>VÄSTMANLANDS LÄN</t>
        </is>
      </c>
      <c r="E34" t="inlineStr">
        <is>
          <t>SALA</t>
        </is>
      </c>
      <c r="F34" t="inlineStr">
        <is>
          <t>Övriga Aktiebolag</t>
        </is>
      </c>
      <c r="G34" t="n">
        <v>3.1</v>
      </c>
      <c r="H34" t="n">
        <v>1</v>
      </c>
      <c r="I34" t="n">
        <v>0</v>
      </c>
      <c r="J34" t="n">
        <v>2</v>
      </c>
      <c r="K34" t="n">
        <v>0</v>
      </c>
      <c r="L34" t="n">
        <v>0</v>
      </c>
      <c r="M34" t="n">
        <v>0</v>
      </c>
      <c r="N34" t="n">
        <v>0</v>
      </c>
      <c r="O34" t="n">
        <v>2</v>
      </c>
      <c r="P34" t="n">
        <v>0</v>
      </c>
      <c r="Q34" t="n">
        <v>2</v>
      </c>
      <c r="R34" s="2" t="inlineStr">
        <is>
          <t>Mindre timmerman
Talltita</t>
        </is>
      </c>
      <c r="S34">
        <f>HYPERLINK("https://klasma.github.io/Logging_1981/artfynd/A 7747-2023 artfynd.xlsx", "A 7747-2023")</f>
        <v/>
      </c>
      <c r="T34">
        <f>HYPERLINK("https://klasma.github.io/Logging_1981/kartor/A 7747-2023 karta.png", "A 7747-2023")</f>
        <v/>
      </c>
      <c r="V34">
        <f>HYPERLINK("https://klasma.github.io/Logging_1981/klagomål/A 7747-2023 FSC-klagomål.docx", "A 7747-2023")</f>
        <v/>
      </c>
      <c r="W34">
        <f>HYPERLINK("https://klasma.github.io/Logging_1981/klagomålsmail/A 7747-2023 FSC-klagomål mail.docx", "A 7747-2023")</f>
        <v/>
      </c>
      <c r="X34">
        <f>HYPERLINK("https://klasma.github.io/Logging_1981/tillsyn/A 7747-2023 tillsynsbegäran.docx", "A 7747-2023")</f>
        <v/>
      </c>
      <c r="Y34">
        <f>HYPERLINK("https://klasma.github.io/Logging_1981/tillsynsmail/A 7747-2023 tillsynsbegäran mail.docx", "A 7747-2023")</f>
        <v/>
      </c>
      <c r="Z34">
        <f>HYPERLINK("https://klasma.github.io/Logging_1981/fåglar/A 7747-2023 prioriterade fågelarter.docx", "A 7747-2023")</f>
        <v/>
      </c>
    </row>
    <row r="35" ht="15" customHeight="1">
      <c r="A35" t="inlineStr">
        <is>
          <t>A 13029-2023</t>
        </is>
      </c>
      <c r="B35" s="1" t="n">
        <v>45001</v>
      </c>
      <c r="C35" s="1" t="n">
        <v>45473</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27499-2023</t>
        </is>
      </c>
      <c r="B36" s="1" t="n">
        <v>45097</v>
      </c>
      <c r="C36" s="1" t="n">
        <v>45473</v>
      </c>
      <c r="D36" t="inlineStr">
        <is>
          <t>VÄSTMANLANDS LÄN</t>
        </is>
      </c>
      <c r="E36" t="inlineStr">
        <is>
          <t>SALA</t>
        </is>
      </c>
      <c r="G36" t="n">
        <v>9.5</v>
      </c>
      <c r="H36" t="n">
        <v>0</v>
      </c>
      <c r="I36" t="n">
        <v>1</v>
      </c>
      <c r="J36" t="n">
        <v>1</v>
      </c>
      <c r="K36" t="n">
        <v>0</v>
      </c>
      <c r="L36" t="n">
        <v>0</v>
      </c>
      <c r="M36" t="n">
        <v>0</v>
      </c>
      <c r="N36" t="n">
        <v>0</v>
      </c>
      <c r="O36" t="n">
        <v>1</v>
      </c>
      <c r="P36" t="n">
        <v>0</v>
      </c>
      <c r="Q36" t="n">
        <v>2</v>
      </c>
      <c r="R36" s="2" t="inlineStr">
        <is>
          <t>Motaggsvamp
Dropptaggsvamp</t>
        </is>
      </c>
      <c r="S36">
        <f>HYPERLINK("https://klasma.github.io/Logging_1981/artfynd/A 27499-2023 artfynd.xlsx", "A 27499-2023")</f>
        <v/>
      </c>
      <c r="T36">
        <f>HYPERLINK("https://klasma.github.io/Logging_1981/kartor/A 27499-2023 karta.png", "A 27499-2023")</f>
        <v/>
      </c>
      <c r="V36">
        <f>HYPERLINK("https://klasma.github.io/Logging_1981/klagomål/A 27499-2023 FSC-klagomål.docx", "A 27499-2023")</f>
        <v/>
      </c>
      <c r="W36">
        <f>HYPERLINK("https://klasma.github.io/Logging_1981/klagomålsmail/A 27499-2023 FSC-klagomål mail.docx", "A 27499-2023")</f>
        <v/>
      </c>
      <c r="X36">
        <f>HYPERLINK("https://klasma.github.io/Logging_1981/tillsyn/A 27499-2023 tillsynsbegäran.docx", "A 27499-2023")</f>
        <v/>
      </c>
      <c r="Y36">
        <f>HYPERLINK("https://klasma.github.io/Logging_1981/tillsynsmail/A 27499-2023 tillsynsbegäran mail.docx", "A 27499-2023")</f>
        <v/>
      </c>
    </row>
    <row r="37" ht="15" customHeight="1">
      <c r="A37" t="inlineStr">
        <is>
          <t>A 34752-2023</t>
        </is>
      </c>
      <c r="B37" s="1" t="n">
        <v>45141</v>
      </c>
      <c r="C37" s="1" t="n">
        <v>45473</v>
      </c>
      <c r="D37" t="inlineStr">
        <is>
          <t>VÄSTMANLANDS LÄN</t>
        </is>
      </c>
      <c r="E37" t="inlineStr">
        <is>
          <t>SALA</t>
        </is>
      </c>
      <c r="G37" t="n">
        <v>4.9</v>
      </c>
      <c r="H37" t="n">
        <v>1</v>
      </c>
      <c r="I37" t="n">
        <v>0</v>
      </c>
      <c r="J37" t="n">
        <v>0</v>
      </c>
      <c r="K37" t="n">
        <v>2</v>
      </c>
      <c r="L37" t="n">
        <v>0</v>
      </c>
      <c r="M37" t="n">
        <v>0</v>
      </c>
      <c r="N37" t="n">
        <v>0</v>
      </c>
      <c r="O37" t="n">
        <v>2</v>
      </c>
      <c r="P37" t="n">
        <v>2</v>
      </c>
      <c r="Q37" t="n">
        <v>2</v>
      </c>
      <c r="R37" s="2" t="inlineStr">
        <is>
          <t>Knärot
Sprickporing</t>
        </is>
      </c>
      <c r="S37">
        <f>HYPERLINK("https://klasma.github.io/Logging_1981/artfynd/A 34752-2023 artfynd.xlsx", "A 34752-2023")</f>
        <v/>
      </c>
      <c r="T37">
        <f>HYPERLINK("https://klasma.github.io/Logging_1981/kartor/A 34752-2023 karta.png", "A 34752-2023")</f>
        <v/>
      </c>
      <c r="U37">
        <f>HYPERLINK("https://klasma.github.io/Logging_1981/knärot/A 34752-2023 karta knärot.png", "A 34752-2023")</f>
        <v/>
      </c>
      <c r="V37">
        <f>HYPERLINK("https://klasma.github.io/Logging_1981/klagomål/A 34752-2023 FSC-klagomål.docx", "A 34752-2023")</f>
        <v/>
      </c>
      <c r="W37">
        <f>HYPERLINK("https://klasma.github.io/Logging_1981/klagomålsmail/A 34752-2023 FSC-klagomål mail.docx", "A 34752-2023")</f>
        <v/>
      </c>
      <c r="X37">
        <f>HYPERLINK("https://klasma.github.io/Logging_1981/tillsyn/A 34752-2023 tillsynsbegäran.docx", "A 34752-2023")</f>
        <v/>
      </c>
      <c r="Y37">
        <f>HYPERLINK("https://klasma.github.io/Logging_1981/tillsynsmail/A 34752-2023 tillsynsbegäran mail.docx", "A 34752-2023")</f>
        <v/>
      </c>
    </row>
    <row r="38" ht="15" customHeight="1">
      <c r="A38" t="inlineStr">
        <is>
          <t>A 59780-2023</t>
        </is>
      </c>
      <c r="B38" s="1" t="n">
        <v>45257</v>
      </c>
      <c r="C38" s="1" t="n">
        <v>45473</v>
      </c>
      <c r="D38" t="inlineStr">
        <is>
          <t>VÄSTMANLANDS LÄN</t>
        </is>
      </c>
      <c r="E38" t="inlineStr">
        <is>
          <t>SALA</t>
        </is>
      </c>
      <c r="G38" t="n">
        <v>5.9</v>
      </c>
      <c r="H38" t="n">
        <v>1</v>
      </c>
      <c r="I38" t="n">
        <v>0</v>
      </c>
      <c r="J38" t="n">
        <v>1</v>
      </c>
      <c r="K38" t="n">
        <v>1</v>
      </c>
      <c r="L38" t="n">
        <v>0</v>
      </c>
      <c r="M38" t="n">
        <v>0</v>
      </c>
      <c r="N38" t="n">
        <v>0</v>
      </c>
      <c r="O38" t="n">
        <v>2</v>
      </c>
      <c r="P38" t="n">
        <v>1</v>
      </c>
      <c r="Q38" t="n">
        <v>2</v>
      </c>
      <c r="R38" s="2" t="inlineStr">
        <is>
          <t>Knärot
Vedtrappmossa</t>
        </is>
      </c>
      <c r="S38">
        <f>HYPERLINK("https://klasma.github.io/Logging_1981/artfynd/A 59780-2023 artfynd.xlsx", "A 59780-2023")</f>
        <v/>
      </c>
      <c r="T38">
        <f>HYPERLINK("https://klasma.github.io/Logging_1981/kartor/A 59780-2023 karta.png", "A 59780-2023")</f>
        <v/>
      </c>
      <c r="U38">
        <f>HYPERLINK("https://klasma.github.io/Logging_1981/knärot/A 59780-2023 karta knärot.png", "A 59780-2023")</f>
        <v/>
      </c>
      <c r="V38">
        <f>HYPERLINK("https://klasma.github.io/Logging_1981/klagomål/A 59780-2023 FSC-klagomål.docx", "A 59780-2023")</f>
        <v/>
      </c>
      <c r="W38">
        <f>HYPERLINK("https://klasma.github.io/Logging_1981/klagomålsmail/A 59780-2023 FSC-klagomål mail.docx", "A 59780-2023")</f>
        <v/>
      </c>
      <c r="X38">
        <f>HYPERLINK("https://klasma.github.io/Logging_1981/tillsyn/A 59780-2023 tillsynsbegäran.docx", "A 59780-2023")</f>
        <v/>
      </c>
      <c r="Y38">
        <f>HYPERLINK("https://klasma.github.io/Logging_1981/tillsynsmail/A 59780-2023 tillsynsbegäran mail.docx", "A 59780-2023")</f>
        <v/>
      </c>
    </row>
    <row r="39" ht="15" customHeight="1">
      <c r="A39" t="inlineStr">
        <is>
          <t>A 4261-2024</t>
        </is>
      </c>
      <c r="B39" s="1" t="n">
        <v>45324</v>
      </c>
      <c r="C39" s="1" t="n">
        <v>45473</v>
      </c>
      <c r="D39" t="inlineStr">
        <is>
          <t>VÄSTMANLANDS LÄN</t>
        </is>
      </c>
      <c r="E39" t="inlineStr">
        <is>
          <t>SALA</t>
        </is>
      </c>
      <c r="G39" t="n">
        <v>5.7</v>
      </c>
      <c r="H39" t="n">
        <v>0</v>
      </c>
      <c r="I39" t="n">
        <v>1</v>
      </c>
      <c r="J39" t="n">
        <v>1</v>
      </c>
      <c r="K39" t="n">
        <v>0</v>
      </c>
      <c r="L39" t="n">
        <v>0</v>
      </c>
      <c r="M39" t="n">
        <v>0</v>
      </c>
      <c r="N39" t="n">
        <v>0</v>
      </c>
      <c r="O39" t="n">
        <v>1</v>
      </c>
      <c r="P39" t="n">
        <v>0</v>
      </c>
      <c r="Q39" t="n">
        <v>2</v>
      </c>
      <c r="R39" s="2" t="inlineStr">
        <is>
          <t>Ullticka
Västlig hakmossa</t>
        </is>
      </c>
      <c r="S39">
        <f>HYPERLINK("https://klasma.github.io/Logging_1981/artfynd/A 4261-2024 artfynd.xlsx", "A 4261-2024")</f>
        <v/>
      </c>
      <c r="T39">
        <f>HYPERLINK("https://klasma.github.io/Logging_1981/kartor/A 4261-2024 karta.png", "A 4261-2024")</f>
        <v/>
      </c>
      <c r="V39">
        <f>HYPERLINK("https://klasma.github.io/Logging_1981/klagomål/A 4261-2024 FSC-klagomål.docx", "A 4261-2024")</f>
        <v/>
      </c>
      <c r="W39">
        <f>HYPERLINK("https://klasma.github.io/Logging_1981/klagomålsmail/A 4261-2024 FSC-klagomål mail.docx", "A 4261-2024")</f>
        <v/>
      </c>
      <c r="X39">
        <f>HYPERLINK("https://klasma.github.io/Logging_1981/tillsyn/A 4261-2024 tillsynsbegäran.docx", "A 4261-2024")</f>
        <v/>
      </c>
      <c r="Y39">
        <f>HYPERLINK("https://klasma.github.io/Logging_1981/tillsynsmail/A 4261-2024 tillsynsbegäran mail.docx", "A 4261-2024")</f>
        <v/>
      </c>
    </row>
    <row r="40" ht="15" customHeight="1">
      <c r="A40" t="inlineStr">
        <is>
          <t>A 9921-2024</t>
        </is>
      </c>
      <c r="B40" s="1" t="n">
        <v>45363</v>
      </c>
      <c r="C40" s="1" t="n">
        <v>45473</v>
      </c>
      <c r="D40" t="inlineStr">
        <is>
          <t>VÄSTMANLANDS LÄN</t>
        </is>
      </c>
      <c r="E40" t="inlineStr">
        <is>
          <t>SALA</t>
        </is>
      </c>
      <c r="G40" t="n">
        <v>5.6</v>
      </c>
      <c r="H40" t="n">
        <v>0</v>
      </c>
      <c r="I40" t="n">
        <v>1</v>
      </c>
      <c r="J40" t="n">
        <v>1</v>
      </c>
      <c r="K40" t="n">
        <v>0</v>
      </c>
      <c r="L40" t="n">
        <v>0</v>
      </c>
      <c r="M40" t="n">
        <v>0</v>
      </c>
      <c r="N40" t="n">
        <v>0</v>
      </c>
      <c r="O40" t="n">
        <v>1</v>
      </c>
      <c r="P40" t="n">
        <v>0</v>
      </c>
      <c r="Q40" t="n">
        <v>2</v>
      </c>
      <c r="R40" s="2" t="inlineStr">
        <is>
          <t>Leptoporus erubescens
Vedticka</t>
        </is>
      </c>
      <c r="S40">
        <f>HYPERLINK("https://klasma.github.io/Logging_1981/artfynd/A 9921-2024 artfynd.xlsx", "A 9921-2024")</f>
        <v/>
      </c>
      <c r="T40">
        <f>HYPERLINK("https://klasma.github.io/Logging_1981/kartor/A 9921-2024 karta.png", "A 9921-2024")</f>
        <v/>
      </c>
      <c r="U40">
        <f>HYPERLINK("https://klasma.github.io/Logging_1981/knärot/A 9921-2024 karta knärot.png", "A 9921-2024")</f>
        <v/>
      </c>
      <c r="V40">
        <f>HYPERLINK("https://klasma.github.io/Logging_1981/klagomål/A 9921-2024 FSC-klagomål.docx", "A 9921-2024")</f>
        <v/>
      </c>
      <c r="W40">
        <f>HYPERLINK("https://klasma.github.io/Logging_1981/klagomålsmail/A 9921-2024 FSC-klagomål mail.docx", "A 9921-2024")</f>
        <v/>
      </c>
      <c r="X40">
        <f>HYPERLINK("https://klasma.github.io/Logging_1981/tillsyn/A 9921-2024 tillsynsbegäran.docx", "A 9921-2024")</f>
        <v/>
      </c>
      <c r="Y40">
        <f>HYPERLINK("https://klasma.github.io/Logging_1981/tillsynsmail/A 9921-2024 tillsynsbegäran mail.docx", "A 9921-2024")</f>
        <v/>
      </c>
    </row>
    <row r="41" ht="15" customHeight="1">
      <c r="A41" t="inlineStr">
        <is>
          <t>A 10552-2024</t>
        </is>
      </c>
      <c r="B41" s="1" t="n">
        <v>45366</v>
      </c>
      <c r="C41" s="1" t="n">
        <v>45473</v>
      </c>
      <c r="D41" t="inlineStr">
        <is>
          <t>VÄSTMANLANDS LÄN</t>
        </is>
      </c>
      <c r="E41" t="inlineStr">
        <is>
          <t>SALA</t>
        </is>
      </c>
      <c r="G41" t="n">
        <v>6.5</v>
      </c>
      <c r="H41" t="n">
        <v>2</v>
      </c>
      <c r="I41" t="n">
        <v>1</v>
      </c>
      <c r="J41" t="n">
        <v>0</v>
      </c>
      <c r="K41" t="n">
        <v>0</v>
      </c>
      <c r="L41" t="n">
        <v>0</v>
      </c>
      <c r="M41" t="n">
        <v>0</v>
      </c>
      <c r="N41" t="n">
        <v>0</v>
      </c>
      <c r="O41" t="n">
        <v>0</v>
      </c>
      <c r="P41" t="n">
        <v>0</v>
      </c>
      <c r="Q41" t="n">
        <v>2</v>
      </c>
      <c r="R41" s="2" t="inlineStr">
        <is>
          <t>Plattlummer
Fläcknycklar</t>
        </is>
      </c>
      <c r="S41">
        <f>HYPERLINK("https://klasma.github.io/Logging_1981/artfynd/A 10552-2024 artfynd.xlsx", "A 10552-2024")</f>
        <v/>
      </c>
      <c r="T41">
        <f>HYPERLINK("https://klasma.github.io/Logging_1981/kartor/A 10552-2024 karta.png", "A 10552-2024")</f>
        <v/>
      </c>
      <c r="V41">
        <f>HYPERLINK("https://klasma.github.io/Logging_1981/klagomål/A 10552-2024 FSC-klagomål.docx", "A 10552-2024")</f>
        <v/>
      </c>
      <c r="W41">
        <f>HYPERLINK("https://klasma.github.io/Logging_1981/klagomålsmail/A 10552-2024 FSC-klagomål mail.docx", "A 10552-2024")</f>
        <v/>
      </c>
      <c r="X41">
        <f>HYPERLINK("https://klasma.github.io/Logging_1981/tillsyn/A 10552-2024 tillsynsbegäran.docx", "A 10552-2024")</f>
        <v/>
      </c>
      <c r="Y41">
        <f>HYPERLINK("https://klasma.github.io/Logging_1981/tillsynsmail/A 10552-2024 tillsynsbegäran mail.docx", "A 10552-2024")</f>
        <v/>
      </c>
    </row>
    <row r="42" ht="15" customHeight="1">
      <c r="A42" t="inlineStr">
        <is>
          <t>A 12444-2024</t>
        </is>
      </c>
      <c r="B42" s="1" t="n">
        <v>45379</v>
      </c>
      <c r="C42" s="1" t="n">
        <v>45473</v>
      </c>
      <c r="D42" t="inlineStr">
        <is>
          <t>VÄSTMANLANDS LÄN</t>
        </is>
      </c>
      <c r="E42" t="inlineStr">
        <is>
          <t>SALA</t>
        </is>
      </c>
      <c r="G42" t="n">
        <v>5.5</v>
      </c>
      <c r="H42" t="n">
        <v>0</v>
      </c>
      <c r="I42" t="n">
        <v>1</v>
      </c>
      <c r="J42" t="n">
        <v>1</v>
      </c>
      <c r="K42" t="n">
        <v>0</v>
      </c>
      <c r="L42" t="n">
        <v>0</v>
      </c>
      <c r="M42" t="n">
        <v>0</v>
      </c>
      <c r="N42" t="n">
        <v>0</v>
      </c>
      <c r="O42" t="n">
        <v>1</v>
      </c>
      <c r="P42" t="n">
        <v>0</v>
      </c>
      <c r="Q42" t="n">
        <v>2</v>
      </c>
      <c r="R42" s="2" t="inlineStr">
        <is>
          <t>Ullticka
Stuplav</t>
        </is>
      </c>
      <c r="S42">
        <f>HYPERLINK("https://klasma.github.io/Logging_1981/artfynd/A 12444-2024 artfynd.xlsx", "A 12444-2024")</f>
        <v/>
      </c>
      <c r="T42">
        <f>HYPERLINK("https://klasma.github.io/Logging_1981/kartor/A 12444-2024 karta.png", "A 12444-2024")</f>
        <v/>
      </c>
      <c r="U42">
        <f>HYPERLINK("https://klasma.github.io/Logging_1981/knärot/A 12444-2024 karta knärot.png", "A 12444-2024")</f>
        <v/>
      </c>
      <c r="V42">
        <f>HYPERLINK("https://klasma.github.io/Logging_1981/klagomål/A 12444-2024 FSC-klagomål.docx", "A 12444-2024")</f>
        <v/>
      </c>
      <c r="W42">
        <f>HYPERLINK("https://klasma.github.io/Logging_1981/klagomålsmail/A 12444-2024 FSC-klagomål mail.docx", "A 12444-2024")</f>
        <v/>
      </c>
      <c r="X42">
        <f>HYPERLINK("https://klasma.github.io/Logging_1981/tillsyn/A 12444-2024 tillsynsbegäran.docx", "A 12444-2024")</f>
        <v/>
      </c>
      <c r="Y42">
        <f>HYPERLINK("https://klasma.github.io/Logging_1981/tillsynsmail/A 12444-2024 tillsynsbegäran mail.docx", "A 12444-2024")</f>
        <v/>
      </c>
    </row>
    <row r="43" ht="15" customHeight="1">
      <c r="A43" t="inlineStr">
        <is>
          <t>A 47716-2019</t>
        </is>
      </c>
      <c r="B43" s="1" t="n">
        <v>43724</v>
      </c>
      <c r="C43" s="1" t="n">
        <v>45473</v>
      </c>
      <c r="D43" t="inlineStr">
        <is>
          <t>VÄSTMANLANDS LÄN</t>
        </is>
      </c>
      <c r="E43" t="inlineStr">
        <is>
          <t>SALA</t>
        </is>
      </c>
      <c r="G43" t="n">
        <v>5</v>
      </c>
      <c r="H43" t="n">
        <v>0</v>
      </c>
      <c r="I43" t="n">
        <v>0</v>
      </c>
      <c r="J43" t="n">
        <v>0</v>
      </c>
      <c r="K43" t="n">
        <v>0</v>
      </c>
      <c r="L43" t="n">
        <v>0</v>
      </c>
      <c r="M43" t="n">
        <v>1</v>
      </c>
      <c r="N43" t="n">
        <v>0</v>
      </c>
      <c r="O43" t="n">
        <v>1</v>
      </c>
      <c r="P43" t="n">
        <v>1</v>
      </c>
      <c r="Q43" t="n">
        <v>1</v>
      </c>
      <c r="R43" s="2" t="inlineStr">
        <is>
          <t>Skogsalm</t>
        </is>
      </c>
      <c r="S43">
        <f>HYPERLINK("https://klasma.github.io/Logging_1981/artfynd/A 47716-2019 artfynd.xlsx", "A 47716-2019")</f>
        <v/>
      </c>
      <c r="T43">
        <f>HYPERLINK("https://klasma.github.io/Logging_1981/kartor/A 47716-2019 karta.png", "A 47716-2019")</f>
        <v/>
      </c>
      <c r="V43">
        <f>HYPERLINK("https://klasma.github.io/Logging_1981/klagomål/A 47716-2019 FSC-klagomål.docx", "A 47716-2019")</f>
        <v/>
      </c>
      <c r="W43">
        <f>HYPERLINK("https://klasma.github.io/Logging_1981/klagomålsmail/A 47716-2019 FSC-klagomål mail.docx", "A 47716-2019")</f>
        <v/>
      </c>
      <c r="X43">
        <f>HYPERLINK("https://klasma.github.io/Logging_1981/tillsyn/A 47716-2019 tillsynsbegäran.docx", "A 47716-2019")</f>
        <v/>
      </c>
      <c r="Y43">
        <f>HYPERLINK("https://klasma.github.io/Logging_1981/tillsynsmail/A 47716-2019 tillsynsbegäran mail.docx", "A 47716-2019")</f>
        <v/>
      </c>
    </row>
    <row r="44" ht="15" customHeight="1">
      <c r="A44" t="inlineStr">
        <is>
          <t>A 52753-2019</t>
        </is>
      </c>
      <c r="B44" s="1" t="n">
        <v>43739</v>
      </c>
      <c r="C44" s="1" t="n">
        <v>45473</v>
      </c>
      <c r="D44" t="inlineStr">
        <is>
          <t>VÄSTMANLANDS LÄN</t>
        </is>
      </c>
      <c r="E44" t="inlineStr">
        <is>
          <t>SALA</t>
        </is>
      </c>
      <c r="G44" t="n">
        <v>4.9</v>
      </c>
      <c r="H44" t="n">
        <v>1</v>
      </c>
      <c r="I44" t="n">
        <v>0</v>
      </c>
      <c r="J44" t="n">
        <v>0</v>
      </c>
      <c r="K44" t="n">
        <v>1</v>
      </c>
      <c r="L44" t="n">
        <v>0</v>
      </c>
      <c r="M44" t="n">
        <v>0</v>
      </c>
      <c r="N44" t="n">
        <v>0</v>
      </c>
      <c r="O44" t="n">
        <v>1</v>
      </c>
      <c r="P44" t="n">
        <v>1</v>
      </c>
      <c r="Q44" t="n">
        <v>1</v>
      </c>
      <c r="R44" s="2" t="inlineStr">
        <is>
          <t>Knärot</t>
        </is>
      </c>
      <c r="S44">
        <f>HYPERLINK("https://klasma.github.io/Logging_1981/artfynd/A 52753-2019 artfynd.xlsx", "A 52753-2019")</f>
        <v/>
      </c>
      <c r="T44">
        <f>HYPERLINK("https://klasma.github.io/Logging_1981/kartor/A 52753-2019 karta.png", "A 52753-2019")</f>
        <v/>
      </c>
      <c r="U44">
        <f>HYPERLINK("https://klasma.github.io/Logging_1981/knärot/A 52753-2019 karta knärot.png", "A 52753-2019")</f>
        <v/>
      </c>
      <c r="V44">
        <f>HYPERLINK("https://klasma.github.io/Logging_1981/klagomål/A 52753-2019 FSC-klagomål.docx", "A 52753-2019")</f>
        <v/>
      </c>
      <c r="W44">
        <f>HYPERLINK("https://klasma.github.io/Logging_1981/klagomålsmail/A 52753-2019 FSC-klagomål mail.docx", "A 52753-2019")</f>
        <v/>
      </c>
      <c r="X44">
        <f>HYPERLINK("https://klasma.github.io/Logging_1981/tillsyn/A 52753-2019 tillsynsbegäran.docx", "A 52753-2019")</f>
        <v/>
      </c>
      <c r="Y44">
        <f>HYPERLINK("https://klasma.github.io/Logging_1981/tillsynsmail/A 52753-2019 tillsynsbegäran mail.docx", "A 52753-2019")</f>
        <v/>
      </c>
    </row>
    <row r="45" ht="15" customHeight="1">
      <c r="A45" t="inlineStr">
        <is>
          <t>A 8432-2020</t>
        </is>
      </c>
      <c r="B45" s="1" t="n">
        <v>43875</v>
      </c>
      <c r="C45" s="1" t="n">
        <v>45473</v>
      </c>
      <c r="D45" t="inlineStr">
        <is>
          <t>VÄSTMANLANDS LÄN</t>
        </is>
      </c>
      <c r="E45" t="inlineStr">
        <is>
          <t>SALA</t>
        </is>
      </c>
      <c r="G45" t="n">
        <v>2</v>
      </c>
      <c r="H45" t="n">
        <v>1</v>
      </c>
      <c r="I45" t="n">
        <v>0</v>
      </c>
      <c r="J45" t="n">
        <v>0</v>
      </c>
      <c r="K45" t="n">
        <v>1</v>
      </c>
      <c r="L45" t="n">
        <v>0</v>
      </c>
      <c r="M45" t="n">
        <v>0</v>
      </c>
      <c r="N45" t="n">
        <v>0</v>
      </c>
      <c r="O45" t="n">
        <v>1</v>
      </c>
      <c r="P45" t="n">
        <v>1</v>
      </c>
      <c r="Q45" t="n">
        <v>1</v>
      </c>
      <c r="R45" s="2" t="inlineStr">
        <is>
          <t>Bombmurkla</t>
        </is>
      </c>
      <c r="S45">
        <f>HYPERLINK("https://klasma.github.io/Logging_1981/artfynd/A 8432-2020 artfynd.xlsx", "A 8432-2020")</f>
        <v/>
      </c>
      <c r="T45">
        <f>HYPERLINK("https://klasma.github.io/Logging_1981/kartor/A 8432-2020 karta.png", "A 8432-2020")</f>
        <v/>
      </c>
      <c r="V45">
        <f>HYPERLINK("https://klasma.github.io/Logging_1981/klagomål/A 8432-2020 FSC-klagomål.docx", "A 8432-2020")</f>
        <v/>
      </c>
      <c r="W45">
        <f>HYPERLINK("https://klasma.github.io/Logging_1981/klagomålsmail/A 8432-2020 FSC-klagomål mail.docx", "A 8432-2020")</f>
        <v/>
      </c>
      <c r="X45">
        <f>HYPERLINK("https://klasma.github.io/Logging_1981/tillsyn/A 8432-2020 tillsynsbegäran.docx", "A 8432-2020")</f>
        <v/>
      </c>
      <c r="Y45">
        <f>HYPERLINK("https://klasma.github.io/Logging_1981/tillsynsmail/A 8432-2020 tillsynsbegäran mail.docx", "A 8432-2020")</f>
        <v/>
      </c>
    </row>
    <row r="46" ht="15" customHeight="1">
      <c r="A46" t="inlineStr">
        <is>
          <t>A 13671-2020</t>
        </is>
      </c>
      <c r="B46" s="1" t="n">
        <v>43903</v>
      </c>
      <c r="C46" s="1" t="n">
        <v>45473</v>
      </c>
      <c r="D46" t="inlineStr">
        <is>
          <t>VÄSTMANLANDS LÄN</t>
        </is>
      </c>
      <c r="E46" t="inlineStr">
        <is>
          <t>SALA</t>
        </is>
      </c>
      <c r="G46" t="n">
        <v>2.5</v>
      </c>
      <c r="H46" t="n">
        <v>1</v>
      </c>
      <c r="I46" t="n">
        <v>0</v>
      </c>
      <c r="J46" t="n">
        <v>0</v>
      </c>
      <c r="K46" t="n">
        <v>0</v>
      </c>
      <c r="L46" t="n">
        <v>0</v>
      </c>
      <c r="M46" t="n">
        <v>0</v>
      </c>
      <c r="N46" t="n">
        <v>0</v>
      </c>
      <c r="O46" t="n">
        <v>0</v>
      </c>
      <c r="P46" t="n">
        <v>0</v>
      </c>
      <c r="Q46" t="n">
        <v>1</v>
      </c>
      <c r="R46" s="2" t="inlineStr">
        <is>
          <t>Revlummer</t>
        </is>
      </c>
      <c r="S46">
        <f>HYPERLINK("https://klasma.github.io/Logging_1981/artfynd/A 13671-2020 artfynd.xlsx", "A 13671-2020")</f>
        <v/>
      </c>
      <c r="T46">
        <f>HYPERLINK("https://klasma.github.io/Logging_1981/kartor/A 13671-2020 karta.png", "A 13671-2020")</f>
        <v/>
      </c>
      <c r="V46">
        <f>HYPERLINK("https://klasma.github.io/Logging_1981/klagomål/A 13671-2020 FSC-klagomål.docx", "A 13671-2020")</f>
        <v/>
      </c>
      <c r="W46">
        <f>HYPERLINK("https://klasma.github.io/Logging_1981/klagomålsmail/A 13671-2020 FSC-klagomål mail.docx", "A 13671-2020")</f>
        <v/>
      </c>
      <c r="X46">
        <f>HYPERLINK("https://klasma.github.io/Logging_1981/tillsyn/A 13671-2020 tillsynsbegäran.docx", "A 13671-2020")</f>
        <v/>
      </c>
      <c r="Y46">
        <f>HYPERLINK("https://klasma.github.io/Logging_1981/tillsynsmail/A 13671-2020 tillsynsbegäran mail.docx", "A 13671-2020")</f>
        <v/>
      </c>
    </row>
    <row r="47" ht="15" customHeight="1">
      <c r="A47" t="inlineStr">
        <is>
          <t>A 39800-2020</t>
        </is>
      </c>
      <c r="B47" s="1" t="n">
        <v>44067</v>
      </c>
      <c r="C47" s="1" t="n">
        <v>45473</v>
      </c>
      <c r="D47" t="inlineStr">
        <is>
          <t>VÄSTMANLANDS LÄN</t>
        </is>
      </c>
      <c r="E47" t="inlineStr">
        <is>
          <t>SALA</t>
        </is>
      </c>
      <c r="F47" t="inlineStr">
        <is>
          <t>Sveaskog</t>
        </is>
      </c>
      <c r="G47" t="n">
        <v>1.8</v>
      </c>
      <c r="H47" t="n">
        <v>1</v>
      </c>
      <c r="I47" t="n">
        <v>0</v>
      </c>
      <c r="J47" t="n">
        <v>0</v>
      </c>
      <c r="K47" t="n">
        <v>1</v>
      </c>
      <c r="L47" t="n">
        <v>0</v>
      </c>
      <c r="M47" t="n">
        <v>0</v>
      </c>
      <c r="N47" t="n">
        <v>0</v>
      </c>
      <c r="O47" t="n">
        <v>1</v>
      </c>
      <c r="P47" t="n">
        <v>1</v>
      </c>
      <c r="Q47" t="n">
        <v>1</v>
      </c>
      <c r="R47" s="2" t="inlineStr">
        <is>
          <t>Bombmurkla</t>
        </is>
      </c>
      <c r="S47">
        <f>HYPERLINK("https://klasma.github.io/Logging_1981/artfynd/A 39800-2020 artfynd.xlsx", "A 39800-2020")</f>
        <v/>
      </c>
      <c r="T47">
        <f>HYPERLINK("https://klasma.github.io/Logging_1981/kartor/A 39800-2020 karta.png", "A 39800-2020")</f>
        <v/>
      </c>
      <c r="V47">
        <f>HYPERLINK("https://klasma.github.io/Logging_1981/klagomål/A 39800-2020 FSC-klagomål.docx", "A 39800-2020")</f>
        <v/>
      </c>
      <c r="W47">
        <f>HYPERLINK("https://klasma.github.io/Logging_1981/klagomålsmail/A 39800-2020 FSC-klagomål mail.docx", "A 39800-2020")</f>
        <v/>
      </c>
      <c r="X47">
        <f>HYPERLINK("https://klasma.github.io/Logging_1981/tillsyn/A 39800-2020 tillsynsbegäran.docx", "A 39800-2020")</f>
        <v/>
      </c>
      <c r="Y47">
        <f>HYPERLINK("https://klasma.github.io/Logging_1981/tillsynsmail/A 39800-2020 tillsynsbegäran mail.docx", "A 39800-2020")</f>
        <v/>
      </c>
    </row>
    <row r="48" ht="15" customHeight="1">
      <c r="A48" t="inlineStr">
        <is>
          <t>A 39807-2020</t>
        </is>
      </c>
      <c r="B48" s="1" t="n">
        <v>44067</v>
      </c>
      <c r="C48" s="1" t="n">
        <v>45473</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39807-2020 artfynd.xlsx", "A 39807-2020")</f>
        <v/>
      </c>
      <c r="T48">
        <f>HYPERLINK("https://klasma.github.io/Logging_1981/kartor/A 39807-2020 karta.png", "A 39807-2020")</f>
        <v/>
      </c>
      <c r="V48">
        <f>HYPERLINK("https://klasma.github.io/Logging_1981/klagomål/A 39807-2020 FSC-klagomål.docx", "A 39807-2020")</f>
        <v/>
      </c>
      <c r="W48">
        <f>HYPERLINK("https://klasma.github.io/Logging_1981/klagomålsmail/A 39807-2020 FSC-klagomål mail.docx", "A 39807-2020")</f>
        <v/>
      </c>
      <c r="X48">
        <f>HYPERLINK("https://klasma.github.io/Logging_1981/tillsyn/A 39807-2020 tillsynsbegäran.docx", "A 39807-2020")</f>
        <v/>
      </c>
      <c r="Y48">
        <f>HYPERLINK("https://klasma.github.io/Logging_1981/tillsynsmail/A 39807-2020 tillsynsbegäran mail.docx", "A 39807-2020")</f>
        <v/>
      </c>
    </row>
    <row r="49" ht="15" customHeight="1">
      <c r="A49" t="inlineStr">
        <is>
          <t>A 42352-2020</t>
        </is>
      </c>
      <c r="B49" s="1" t="n">
        <v>44076</v>
      </c>
      <c r="C49" s="1" t="n">
        <v>45473</v>
      </c>
      <c r="D49" t="inlineStr">
        <is>
          <t>VÄSTMANLANDS LÄN</t>
        </is>
      </c>
      <c r="E49" t="inlineStr">
        <is>
          <t>SALA</t>
        </is>
      </c>
      <c r="G49" t="n">
        <v>8.6</v>
      </c>
      <c r="H49" t="n">
        <v>1</v>
      </c>
      <c r="I49" t="n">
        <v>0</v>
      </c>
      <c r="J49" t="n">
        <v>0</v>
      </c>
      <c r="K49" t="n">
        <v>0</v>
      </c>
      <c r="L49" t="n">
        <v>0</v>
      </c>
      <c r="M49" t="n">
        <v>0</v>
      </c>
      <c r="N49" t="n">
        <v>0</v>
      </c>
      <c r="O49" t="n">
        <v>0</v>
      </c>
      <c r="P49" t="n">
        <v>0</v>
      </c>
      <c r="Q49" t="n">
        <v>1</v>
      </c>
      <c r="R49" s="2" t="inlineStr">
        <is>
          <t>Mattlummer</t>
        </is>
      </c>
      <c r="S49">
        <f>HYPERLINK("https://klasma.github.io/Logging_1981/artfynd/A 42352-2020 artfynd.xlsx", "A 42352-2020")</f>
        <v/>
      </c>
      <c r="T49">
        <f>HYPERLINK("https://klasma.github.io/Logging_1981/kartor/A 42352-2020 karta.png", "A 42352-2020")</f>
        <v/>
      </c>
      <c r="V49">
        <f>HYPERLINK("https://klasma.github.io/Logging_1981/klagomål/A 42352-2020 FSC-klagomål.docx", "A 42352-2020")</f>
        <v/>
      </c>
      <c r="W49">
        <f>HYPERLINK("https://klasma.github.io/Logging_1981/klagomålsmail/A 42352-2020 FSC-klagomål mail.docx", "A 42352-2020")</f>
        <v/>
      </c>
      <c r="X49">
        <f>HYPERLINK("https://klasma.github.io/Logging_1981/tillsyn/A 42352-2020 tillsynsbegäran.docx", "A 42352-2020")</f>
        <v/>
      </c>
      <c r="Y49">
        <f>HYPERLINK("https://klasma.github.io/Logging_1981/tillsynsmail/A 42352-2020 tillsynsbegäran mail.docx", "A 42352-2020")</f>
        <v/>
      </c>
    </row>
    <row r="50" ht="15" customHeight="1">
      <c r="A50" t="inlineStr">
        <is>
          <t>A 56014-2020</t>
        </is>
      </c>
      <c r="B50" s="1" t="n">
        <v>44132</v>
      </c>
      <c r="C50" s="1" t="n">
        <v>45473</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13973-2021</t>
        </is>
      </c>
      <c r="B51" s="1" t="n">
        <v>44277</v>
      </c>
      <c r="C51" s="1" t="n">
        <v>45473</v>
      </c>
      <c r="D51" t="inlineStr">
        <is>
          <t>VÄSTMANLANDS LÄN</t>
        </is>
      </c>
      <c r="E51" t="inlineStr">
        <is>
          <t>SALA</t>
        </is>
      </c>
      <c r="G51" t="n">
        <v>2</v>
      </c>
      <c r="H51" t="n">
        <v>1</v>
      </c>
      <c r="I51" t="n">
        <v>0</v>
      </c>
      <c r="J51" t="n">
        <v>0</v>
      </c>
      <c r="K51" t="n">
        <v>0</v>
      </c>
      <c r="L51" t="n">
        <v>0</v>
      </c>
      <c r="M51" t="n">
        <v>0</v>
      </c>
      <c r="N51" t="n">
        <v>0</v>
      </c>
      <c r="O51" t="n">
        <v>0</v>
      </c>
      <c r="P51" t="n">
        <v>0</v>
      </c>
      <c r="Q51" t="n">
        <v>1</v>
      </c>
      <c r="R51" s="2" t="inlineStr">
        <is>
          <t>Blåsippa</t>
        </is>
      </c>
      <c r="S51">
        <f>HYPERLINK("https://klasma.github.io/Logging_1981/artfynd/A 13973-2021 artfynd.xlsx", "A 13973-2021")</f>
        <v/>
      </c>
      <c r="T51">
        <f>HYPERLINK("https://klasma.github.io/Logging_1981/kartor/A 13973-2021 karta.png", "A 13973-2021")</f>
        <v/>
      </c>
      <c r="V51">
        <f>HYPERLINK("https://klasma.github.io/Logging_1981/klagomål/A 13973-2021 FSC-klagomål.docx", "A 13973-2021")</f>
        <v/>
      </c>
      <c r="W51">
        <f>HYPERLINK("https://klasma.github.io/Logging_1981/klagomålsmail/A 13973-2021 FSC-klagomål mail.docx", "A 13973-2021")</f>
        <v/>
      </c>
      <c r="X51">
        <f>HYPERLINK("https://klasma.github.io/Logging_1981/tillsyn/A 13973-2021 tillsynsbegäran.docx", "A 13973-2021")</f>
        <v/>
      </c>
      <c r="Y51">
        <f>HYPERLINK("https://klasma.github.io/Logging_1981/tillsynsmail/A 13973-2021 tillsynsbegäran mail.docx", "A 13973-2021")</f>
        <v/>
      </c>
    </row>
    <row r="52" ht="15" customHeight="1">
      <c r="A52" t="inlineStr">
        <is>
          <t>A 44970-2021</t>
        </is>
      </c>
      <c r="B52" s="1" t="n">
        <v>44438</v>
      </c>
      <c r="C52" s="1" t="n">
        <v>45473</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Revlummer</t>
        </is>
      </c>
      <c r="S52">
        <f>HYPERLINK("https://klasma.github.io/Logging_1981/artfynd/A 44970-2021 artfynd.xlsx", "A 44970-2021")</f>
        <v/>
      </c>
      <c r="T52">
        <f>HYPERLINK("https://klasma.github.io/Logging_1981/kartor/A 44970-2021 karta.png", "A 44970-2021")</f>
        <v/>
      </c>
      <c r="V52">
        <f>HYPERLINK("https://klasma.github.io/Logging_1981/klagomål/A 44970-2021 FSC-klagomål.docx", "A 44970-2021")</f>
        <v/>
      </c>
      <c r="W52">
        <f>HYPERLINK("https://klasma.github.io/Logging_1981/klagomålsmail/A 44970-2021 FSC-klagomål mail.docx", "A 44970-2021")</f>
        <v/>
      </c>
      <c r="X52">
        <f>HYPERLINK("https://klasma.github.io/Logging_1981/tillsyn/A 44970-2021 tillsynsbegäran.docx", "A 44970-2021")</f>
        <v/>
      </c>
      <c r="Y52">
        <f>HYPERLINK("https://klasma.github.io/Logging_1981/tillsynsmail/A 44970-2021 tillsynsbegäran mail.docx", "A 44970-2021")</f>
        <v/>
      </c>
    </row>
    <row r="53" ht="15" customHeight="1">
      <c r="A53" t="inlineStr">
        <is>
          <t>A 7919-2022</t>
        </is>
      </c>
      <c r="B53" s="1" t="n">
        <v>44608</v>
      </c>
      <c r="C53" s="1" t="n">
        <v>45473</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15988-2022</t>
        </is>
      </c>
      <c r="B54" s="1" t="n">
        <v>44664</v>
      </c>
      <c r="C54" s="1" t="n">
        <v>45473</v>
      </c>
      <c r="D54" t="inlineStr">
        <is>
          <t>VÄSTMANLANDS LÄN</t>
        </is>
      </c>
      <c r="E54" t="inlineStr">
        <is>
          <t>SALA</t>
        </is>
      </c>
      <c r="G54" t="n">
        <v>5</v>
      </c>
      <c r="H54" t="n">
        <v>1</v>
      </c>
      <c r="I54" t="n">
        <v>0</v>
      </c>
      <c r="J54" t="n">
        <v>0</v>
      </c>
      <c r="K54" t="n">
        <v>1</v>
      </c>
      <c r="L54" t="n">
        <v>0</v>
      </c>
      <c r="M54" t="n">
        <v>0</v>
      </c>
      <c r="N54" t="n">
        <v>0</v>
      </c>
      <c r="O54" t="n">
        <v>1</v>
      </c>
      <c r="P54" t="n">
        <v>1</v>
      </c>
      <c r="Q54" t="n">
        <v>1</v>
      </c>
      <c r="R54" s="2" t="inlineStr">
        <is>
          <t>Knärot</t>
        </is>
      </c>
      <c r="S54">
        <f>HYPERLINK("https://klasma.github.io/Logging_1981/artfynd/A 15988-2022 artfynd.xlsx", "A 15988-2022")</f>
        <v/>
      </c>
      <c r="T54">
        <f>HYPERLINK("https://klasma.github.io/Logging_1981/kartor/A 15988-2022 karta.png", "A 15988-2022")</f>
        <v/>
      </c>
      <c r="U54">
        <f>HYPERLINK("https://klasma.github.io/Logging_1981/knärot/A 15988-2022 karta knärot.png", "A 15988-2022")</f>
        <v/>
      </c>
      <c r="V54">
        <f>HYPERLINK("https://klasma.github.io/Logging_1981/klagomål/A 15988-2022 FSC-klagomål.docx", "A 15988-2022")</f>
        <v/>
      </c>
      <c r="W54">
        <f>HYPERLINK("https://klasma.github.io/Logging_1981/klagomålsmail/A 15988-2022 FSC-klagomål mail.docx", "A 15988-2022")</f>
        <v/>
      </c>
      <c r="X54">
        <f>HYPERLINK("https://klasma.github.io/Logging_1981/tillsyn/A 15988-2022 tillsynsbegäran.docx", "A 15988-2022")</f>
        <v/>
      </c>
      <c r="Y54">
        <f>HYPERLINK("https://klasma.github.io/Logging_1981/tillsynsmail/A 15988-2022 tillsynsbegäran mail.docx", "A 15988-2022")</f>
        <v/>
      </c>
    </row>
    <row r="55" ht="15" customHeight="1">
      <c r="A55" t="inlineStr">
        <is>
          <t>A 29985-2022</t>
        </is>
      </c>
      <c r="B55" s="1" t="n">
        <v>44756</v>
      </c>
      <c r="C55" s="1" t="n">
        <v>45473</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43705-2022</t>
        </is>
      </c>
      <c r="B56" s="1" t="n">
        <v>44837</v>
      </c>
      <c r="C56" s="1" t="n">
        <v>45473</v>
      </c>
      <c r="D56" t="inlineStr">
        <is>
          <t>VÄSTMANLANDS LÄN</t>
        </is>
      </c>
      <c r="E56" t="inlineStr">
        <is>
          <t>SALA</t>
        </is>
      </c>
      <c r="G56" t="n">
        <v>2.9</v>
      </c>
      <c r="H56" t="n">
        <v>1</v>
      </c>
      <c r="I56" t="n">
        <v>0</v>
      </c>
      <c r="J56" t="n">
        <v>0</v>
      </c>
      <c r="K56" t="n">
        <v>1</v>
      </c>
      <c r="L56" t="n">
        <v>0</v>
      </c>
      <c r="M56" t="n">
        <v>0</v>
      </c>
      <c r="N56" t="n">
        <v>0</v>
      </c>
      <c r="O56" t="n">
        <v>1</v>
      </c>
      <c r="P56" t="n">
        <v>1</v>
      </c>
      <c r="Q56" t="n">
        <v>1</v>
      </c>
      <c r="R56" s="2" t="inlineStr">
        <is>
          <t>Knärot</t>
        </is>
      </c>
      <c r="S56">
        <f>HYPERLINK("https://klasma.github.io/Logging_1981/artfynd/A 43705-2022 artfynd.xlsx", "A 43705-2022")</f>
        <v/>
      </c>
      <c r="T56">
        <f>HYPERLINK("https://klasma.github.io/Logging_1981/kartor/A 43705-2022 karta.png", "A 43705-2022")</f>
        <v/>
      </c>
      <c r="U56">
        <f>HYPERLINK("https://klasma.github.io/Logging_1981/knärot/A 43705-2022 karta knärot.png", "A 43705-2022")</f>
        <v/>
      </c>
      <c r="V56">
        <f>HYPERLINK("https://klasma.github.io/Logging_1981/klagomål/A 43705-2022 FSC-klagomål.docx", "A 43705-2022")</f>
        <v/>
      </c>
      <c r="W56">
        <f>HYPERLINK("https://klasma.github.io/Logging_1981/klagomålsmail/A 43705-2022 FSC-klagomål mail.docx", "A 43705-2022")</f>
        <v/>
      </c>
      <c r="X56">
        <f>HYPERLINK("https://klasma.github.io/Logging_1981/tillsyn/A 43705-2022 tillsynsbegäran.docx", "A 43705-2022")</f>
        <v/>
      </c>
      <c r="Y56">
        <f>HYPERLINK("https://klasma.github.io/Logging_1981/tillsynsmail/A 43705-2022 tillsynsbegäran mail.docx", "A 43705-2022")</f>
        <v/>
      </c>
    </row>
    <row r="57" ht="15" customHeight="1">
      <c r="A57" t="inlineStr">
        <is>
          <t>A 56704-2022</t>
        </is>
      </c>
      <c r="B57" s="1" t="n">
        <v>44893</v>
      </c>
      <c r="C57" s="1" t="n">
        <v>45473</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7731-2023</t>
        </is>
      </c>
      <c r="B58" s="1" t="n">
        <v>44973</v>
      </c>
      <c r="C58" s="1" t="n">
        <v>45473</v>
      </c>
      <c r="D58" t="inlineStr">
        <is>
          <t>VÄSTMANLANDS LÄN</t>
        </is>
      </c>
      <c r="E58" t="inlineStr">
        <is>
          <t>SALA</t>
        </is>
      </c>
      <c r="F58" t="inlineStr">
        <is>
          <t>Bergvik skog öst AB</t>
        </is>
      </c>
      <c r="G58" t="n">
        <v>1.7</v>
      </c>
      <c r="H58" t="n">
        <v>1</v>
      </c>
      <c r="I58" t="n">
        <v>0</v>
      </c>
      <c r="J58" t="n">
        <v>1</v>
      </c>
      <c r="K58" t="n">
        <v>0</v>
      </c>
      <c r="L58" t="n">
        <v>0</v>
      </c>
      <c r="M58" t="n">
        <v>0</v>
      </c>
      <c r="N58" t="n">
        <v>0</v>
      </c>
      <c r="O58" t="n">
        <v>1</v>
      </c>
      <c r="P58" t="n">
        <v>0</v>
      </c>
      <c r="Q58" t="n">
        <v>1</v>
      </c>
      <c r="R58" s="2" t="inlineStr">
        <is>
          <t>Ävjepilört</t>
        </is>
      </c>
      <c r="S58">
        <f>HYPERLINK("https://klasma.github.io/Logging_1981/artfynd/A 7731-2023 artfynd.xlsx", "A 7731-2023")</f>
        <v/>
      </c>
      <c r="T58">
        <f>HYPERLINK("https://klasma.github.io/Logging_1981/kartor/A 7731-2023 karta.png", "A 7731-2023")</f>
        <v/>
      </c>
      <c r="V58">
        <f>HYPERLINK("https://klasma.github.io/Logging_1981/klagomål/A 7731-2023 FSC-klagomål.docx", "A 7731-2023")</f>
        <v/>
      </c>
      <c r="W58">
        <f>HYPERLINK("https://klasma.github.io/Logging_1981/klagomålsmail/A 7731-2023 FSC-klagomål mail.docx", "A 7731-2023")</f>
        <v/>
      </c>
      <c r="X58">
        <f>HYPERLINK("https://klasma.github.io/Logging_1981/tillsyn/A 7731-2023 tillsynsbegäran.docx", "A 7731-2023")</f>
        <v/>
      </c>
      <c r="Y58">
        <f>HYPERLINK("https://klasma.github.io/Logging_1981/tillsynsmail/A 7731-2023 tillsynsbegäran mail.docx", "A 7731-2023")</f>
        <v/>
      </c>
    </row>
    <row r="59" ht="15" customHeight="1">
      <c r="A59" t="inlineStr">
        <is>
          <t>A 14775-2023</t>
        </is>
      </c>
      <c r="B59" s="1" t="n">
        <v>45014</v>
      </c>
      <c r="C59" s="1" t="n">
        <v>45473</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14775-2023 artfynd.xlsx", "A 14775-2023")</f>
        <v/>
      </c>
      <c r="T59">
        <f>HYPERLINK("https://klasma.github.io/Logging_1981/kartor/A 14775-2023 karta.png", "A 14775-2023")</f>
        <v/>
      </c>
      <c r="U59">
        <f>HYPERLINK("https://klasma.github.io/Logging_1981/knärot/A 14775-2023 karta knärot.png", "A 14775-2023")</f>
        <v/>
      </c>
      <c r="V59">
        <f>HYPERLINK("https://klasma.github.io/Logging_1981/klagomål/A 14775-2023 FSC-klagomål.docx", "A 14775-2023")</f>
        <v/>
      </c>
      <c r="W59">
        <f>HYPERLINK("https://klasma.github.io/Logging_1981/klagomålsmail/A 14775-2023 FSC-klagomål mail.docx", "A 14775-2023")</f>
        <v/>
      </c>
      <c r="X59">
        <f>HYPERLINK("https://klasma.github.io/Logging_1981/tillsyn/A 14775-2023 tillsynsbegäran.docx", "A 14775-2023")</f>
        <v/>
      </c>
      <c r="Y59">
        <f>HYPERLINK("https://klasma.github.io/Logging_1981/tillsynsmail/A 14775-2023 tillsynsbegäran mail.docx", "A 14775-2023")</f>
        <v/>
      </c>
    </row>
    <row r="60" ht="15" customHeight="1">
      <c r="A60" t="inlineStr">
        <is>
          <t>A 23221-2023</t>
        </is>
      </c>
      <c r="B60" s="1" t="n">
        <v>45075</v>
      </c>
      <c r="C60" s="1" t="n">
        <v>45473</v>
      </c>
      <c r="D60" t="inlineStr">
        <is>
          <t>VÄSTMANLANDS LÄN</t>
        </is>
      </c>
      <c r="E60" t="inlineStr">
        <is>
          <t>SALA</t>
        </is>
      </c>
      <c r="G60" t="n">
        <v>26.3</v>
      </c>
      <c r="H60" t="n">
        <v>0</v>
      </c>
      <c r="I60" t="n">
        <v>1</v>
      </c>
      <c r="J60" t="n">
        <v>0</v>
      </c>
      <c r="K60" t="n">
        <v>0</v>
      </c>
      <c r="L60" t="n">
        <v>0</v>
      </c>
      <c r="M60" t="n">
        <v>0</v>
      </c>
      <c r="N60" t="n">
        <v>0</v>
      </c>
      <c r="O60" t="n">
        <v>0</v>
      </c>
      <c r="P60" t="n">
        <v>0</v>
      </c>
      <c r="Q60" t="n">
        <v>1</v>
      </c>
      <c r="R60" s="2" t="inlineStr">
        <is>
          <t>Blomkålssvamp</t>
        </is>
      </c>
      <c r="S60">
        <f>HYPERLINK("https://klasma.github.io/Logging_1981/artfynd/A 23221-2023 artfynd.xlsx", "A 23221-2023")</f>
        <v/>
      </c>
      <c r="T60">
        <f>HYPERLINK("https://klasma.github.io/Logging_1981/kartor/A 23221-2023 karta.png", "A 23221-2023")</f>
        <v/>
      </c>
      <c r="V60">
        <f>HYPERLINK("https://klasma.github.io/Logging_1981/klagomål/A 23221-2023 FSC-klagomål.docx", "A 23221-2023")</f>
        <v/>
      </c>
      <c r="W60">
        <f>HYPERLINK("https://klasma.github.io/Logging_1981/klagomålsmail/A 23221-2023 FSC-klagomål mail.docx", "A 23221-2023")</f>
        <v/>
      </c>
      <c r="X60">
        <f>HYPERLINK("https://klasma.github.io/Logging_1981/tillsyn/A 23221-2023 tillsynsbegäran.docx", "A 23221-2023")</f>
        <v/>
      </c>
      <c r="Y60">
        <f>HYPERLINK("https://klasma.github.io/Logging_1981/tillsynsmail/A 23221-2023 tillsynsbegäran mail.docx", "A 23221-2023")</f>
        <v/>
      </c>
    </row>
    <row r="61" ht="15" customHeight="1">
      <c r="A61" t="inlineStr">
        <is>
          <t>A 31535-2023</t>
        </is>
      </c>
      <c r="B61" s="1" t="n">
        <v>45116</v>
      </c>
      <c r="C61" s="1" t="n">
        <v>45473</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45473</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3534-2024</t>
        </is>
      </c>
      <c r="B63" s="1" t="n">
        <v>45320</v>
      </c>
      <c r="C63" s="1" t="n">
        <v>45473</v>
      </c>
      <c r="D63" t="inlineStr">
        <is>
          <t>VÄSTMANLANDS LÄN</t>
        </is>
      </c>
      <c r="E63" t="inlineStr">
        <is>
          <t>SALA</t>
        </is>
      </c>
      <c r="G63" t="n">
        <v>1.9</v>
      </c>
      <c r="H63" t="n">
        <v>1</v>
      </c>
      <c r="I63" t="n">
        <v>0</v>
      </c>
      <c r="J63" t="n">
        <v>0</v>
      </c>
      <c r="K63" t="n">
        <v>0</v>
      </c>
      <c r="L63" t="n">
        <v>1</v>
      </c>
      <c r="M63" t="n">
        <v>0</v>
      </c>
      <c r="N63" t="n">
        <v>0</v>
      </c>
      <c r="O63" t="n">
        <v>1</v>
      </c>
      <c r="P63" t="n">
        <v>1</v>
      </c>
      <c r="Q63" t="n">
        <v>1</v>
      </c>
      <c r="R63" s="2" t="inlineStr">
        <is>
          <t>Mosippa</t>
        </is>
      </c>
      <c r="S63">
        <f>HYPERLINK("https://klasma.github.io/Logging_1981/artfynd/A 3534-2024 artfynd.xlsx", "A 3534-2024")</f>
        <v/>
      </c>
      <c r="T63">
        <f>HYPERLINK("https://klasma.github.io/Logging_1981/kartor/A 3534-2024 karta.png", "A 3534-2024")</f>
        <v/>
      </c>
      <c r="V63">
        <f>HYPERLINK("https://klasma.github.io/Logging_1981/klagomål/A 3534-2024 FSC-klagomål.docx", "A 3534-2024")</f>
        <v/>
      </c>
      <c r="W63">
        <f>HYPERLINK("https://klasma.github.io/Logging_1981/klagomålsmail/A 3534-2024 FSC-klagomål mail.docx", "A 3534-2024")</f>
        <v/>
      </c>
      <c r="X63">
        <f>HYPERLINK("https://klasma.github.io/Logging_1981/tillsyn/A 3534-2024 tillsynsbegäran.docx", "A 3534-2024")</f>
        <v/>
      </c>
      <c r="Y63">
        <f>HYPERLINK("https://klasma.github.io/Logging_1981/tillsynsmail/A 3534-2024 tillsynsbegäran mail.docx", "A 3534-2024")</f>
        <v/>
      </c>
    </row>
    <row r="64" ht="15" customHeight="1">
      <c r="A64" t="inlineStr">
        <is>
          <t>A 12434-2024</t>
        </is>
      </c>
      <c r="B64" s="1" t="n">
        <v>45379</v>
      </c>
      <c r="C64" s="1" t="n">
        <v>45473</v>
      </c>
      <c r="D64" t="inlineStr">
        <is>
          <t>VÄSTMANLANDS LÄN</t>
        </is>
      </c>
      <c r="E64" t="inlineStr">
        <is>
          <t>SALA</t>
        </is>
      </c>
      <c r="G64" t="n">
        <v>7.8</v>
      </c>
      <c r="H64" t="n">
        <v>1</v>
      </c>
      <c r="I64" t="n">
        <v>0</v>
      </c>
      <c r="J64" t="n">
        <v>0</v>
      </c>
      <c r="K64" t="n">
        <v>1</v>
      </c>
      <c r="L64" t="n">
        <v>0</v>
      </c>
      <c r="M64" t="n">
        <v>0</v>
      </c>
      <c r="N64" t="n">
        <v>0</v>
      </c>
      <c r="O64" t="n">
        <v>1</v>
      </c>
      <c r="P64" t="n">
        <v>1</v>
      </c>
      <c r="Q64" t="n">
        <v>1</v>
      </c>
      <c r="R64" s="2" t="inlineStr">
        <is>
          <t>Knärot</t>
        </is>
      </c>
      <c r="S64">
        <f>HYPERLINK("https://klasma.github.io/Logging_1981/artfynd/A 12434-2024 artfynd.xlsx", "A 12434-2024")</f>
        <v/>
      </c>
      <c r="T64">
        <f>HYPERLINK("https://klasma.github.io/Logging_1981/kartor/A 12434-2024 karta.png", "A 12434-2024")</f>
        <v/>
      </c>
      <c r="U64">
        <f>HYPERLINK("https://klasma.github.io/Logging_1981/knärot/A 12434-2024 karta knärot.png", "A 12434-2024")</f>
        <v/>
      </c>
      <c r="V64">
        <f>HYPERLINK("https://klasma.github.io/Logging_1981/klagomål/A 12434-2024 FSC-klagomål.docx", "A 12434-2024")</f>
        <v/>
      </c>
      <c r="W64">
        <f>HYPERLINK("https://klasma.github.io/Logging_1981/klagomålsmail/A 12434-2024 FSC-klagomål mail.docx", "A 12434-2024")</f>
        <v/>
      </c>
      <c r="X64">
        <f>HYPERLINK("https://klasma.github.io/Logging_1981/tillsyn/A 12434-2024 tillsynsbegäran.docx", "A 12434-2024")</f>
        <v/>
      </c>
      <c r="Y64">
        <f>HYPERLINK("https://klasma.github.io/Logging_1981/tillsynsmail/A 12434-2024 tillsynsbegäran mail.docx", "A 12434-2024")</f>
        <v/>
      </c>
    </row>
    <row r="65" ht="15" customHeight="1">
      <c r="A65" t="inlineStr">
        <is>
          <t>A 19716-2024</t>
        </is>
      </c>
      <c r="B65" s="1" t="n">
        <v>45432</v>
      </c>
      <c r="C65" s="1" t="n">
        <v>45473</v>
      </c>
      <c r="D65" t="inlineStr">
        <is>
          <t>VÄSTMANLANDS LÄN</t>
        </is>
      </c>
      <c r="E65" t="inlineStr">
        <is>
          <t>SALA</t>
        </is>
      </c>
      <c r="G65" t="n">
        <v>5.5</v>
      </c>
      <c r="H65" t="n">
        <v>1</v>
      </c>
      <c r="I65" t="n">
        <v>0</v>
      </c>
      <c r="J65" t="n">
        <v>0</v>
      </c>
      <c r="K65" t="n">
        <v>0</v>
      </c>
      <c r="L65" t="n">
        <v>0</v>
      </c>
      <c r="M65" t="n">
        <v>0</v>
      </c>
      <c r="N65" t="n">
        <v>0</v>
      </c>
      <c r="O65" t="n">
        <v>0</v>
      </c>
      <c r="P65" t="n">
        <v>0</v>
      </c>
      <c r="Q65" t="n">
        <v>1</v>
      </c>
      <c r="R65" s="2" t="inlineStr">
        <is>
          <t>Fläcknycklar</t>
        </is>
      </c>
      <c r="S65">
        <f>HYPERLINK("https://klasma.github.io/Logging_1981/artfynd/A 19716-2024 artfynd.xlsx", "A 19716-2024")</f>
        <v/>
      </c>
      <c r="T65">
        <f>HYPERLINK("https://klasma.github.io/Logging_1981/kartor/A 19716-2024 karta.png", "A 19716-2024")</f>
        <v/>
      </c>
      <c r="V65">
        <f>HYPERLINK("https://klasma.github.io/Logging_1981/klagomål/A 19716-2024 FSC-klagomål.docx", "A 19716-2024")</f>
        <v/>
      </c>
      <c r="W65">
        <f>HYPERLINK("https://klasma.github.io/Logging_1981/klagomålsmail/A 19716-2024 FSC-klagomål mail.docx", "A 19716-2024")</f>
        <v/>
      </c>
      <c r="X65">
        <f>HYPERLINK("https://klasma.github.io/Logging_1981/tillsyn/A 19716-2024 tillsynsbegäran.docx", "A 19716-2024")</f>
        <v/>
      </c>
      <c r="Y65">
        <f>HYPERLINK("https://klasma.github.io/Logging_1981/tillsynsmail/A 19716-2024 tillsynsbegäran mail.docx", "A 19716-2024")</f>
        <v/>
      </c>
    </row>
    <row r="66" ht="15" customHeight="1">
      <c r="A66" t="inlineStr">
        <is>
          <t>A 22350-2024</t>
        </is>
      </c>
      <c r="B66" s="1" t="n">
        <v>45446</v>
      </c>
      <c r="C66" s="1" t="n">
        <v>45473</v>
      </c>
      <c r="D66" t="inlineStr">
        <is>
          <t>VÄSTMANLANDS LÄN</t>
        </is>
      </c>
      <c r="E66" t="inlineStr">
        <is>
          <t>SALA</t>
        </is>
      </c>
      <c r="G66" t="n">
        <v>1.2</v>
      </c>
      <c r="H66" t="n">
        <v>1</v>
      </c>
      <c r="I66" t="n">
        <v>0</v>
      </c>
      <c r="J66" t="n">
        <v>0</v>
      </c>
      <c r="K66" t="n">
        <v>0</v>
      </c>
      <c r="L66" t="n">
        <v>0</v>
      </c>
      <c r="M66" t="n">
        <v>0</v>
      </c>
      <c r="N66" t="n">
        <v>0</v>
      </c>
      <c r="O66" t="n">
        <v>0</v>
      </c>
      <c r="P66" t="n">
        <v>0</v>
      </c>
      <c r="Q66" t="n">
        <v>1</v>
      </c>
      <c r="R66" s="2" t="inlineStr">
        <is>
          <t>Blåsippa</t>
        </is>
      </c>
      <c r="S66">
        <f>HYPERLINK("https://klasma.github.io/Logging_1981/artfynd/A 22350-2024 artfynd.xlsx", "A 22350-2024")</f>
        <v/>
      </c>
      <c r="T66">
        <f>HYPERLINK("https://klasma.github.io/Logging_1981/kartor/A 22350-2024 karta.png", "A 22350-2024")</f>
        <v/>
      </c>
      <c r="V66">
        <f>HYPERLINK("https://klasma.github.io/Logging_1981/klagomål/A 22350-2024 FSC-klagomål.docx", "A 22350-2024")</f>
        <v/>
      </c>
      <c r="W66">
        <f>HYPERLINK("https://klasma.github.io/Logging_1981/klagomålsmail/A 22350-2024 FSC-klagomål mail.docx", "A 22350-2024")</f>
        <v/>
      </c>
      <c r="X66">
        <f>HYPERLINK("https://klasma.github.io/Logging_1981/tillsyn/A 22350-2024 tillsynsbegäran.docx", "A 22350-2024")</f>
        <v/>
      </c>
      <c r="Y66">
        <f>HYPERLINK("https://klasma.github.io/Logging_1981/tillsynsmail/A 22350-2024 tillsynsbegäran mail.docx", "A 22350-2024")</f>
        <v/>
      </c>
    </row>
    <row r="67" ht="15" customHeight="1">
      <c r="A67" t="inlineStr">
        <is>
          <t>A 18255-2019</t>
        </is>
      </c>
      <c r="B67" s="1" t="n">
        <v>43558</v>
      </c>
      <c r="C67" s="1" t="n">
        <v>45473</v>
      </c>
      <c r="D67" t="inlineStr">
        <is>
          <t>VÄSTMANLANDS LÄN</t>
        </is>
      </c>
      <c r="E67" t="inlineStr">
        <is>
          <t>SALA</t>
        </is>
      </c>
      <c r="F67" t="inlineStr">
        <is>
          <t>Kommuner</t>
        </is>
      </c>
      <c r="G67" t="n">
        <v>2.2</v>
      </c>
      <c r="H67" t="n">
        <v>0</v>
      </c>
      <c r="I67" t="n">
        <v>0</v>
      </c>
      <c r="J67" t="n">
        <v>0</v>
      </c>
      <c r="K67" t="n">
        <v>0</v>
      </c>
      <c r="L67" t="n">
        <v>0</v>
      </c>
      <c r="M67" t="n">
        <v>0</v>
      </c>
      <c r="N67" t="n">
        <v>0</v>
      </c>
      <c r="O67" t="n">
        <v>0</v>
      </c>
      <c r="P67" t="n">
        <v>0</v>
      </c>
      <c r="Q67" t="n">
        <v>0</v>
      </c>
      <c r="R67" s="2" t="inlineStr"/>
    </row>
    <row r="68" ht="15" customHeight="1">
      <c r="A68" t="inlineStr">
        <is>
          <t>A 18352-2019</t>
        </is>
      </c>
      <c r="B68" s="1" t="n">
        <v>43559</v>
      </c>
      <c r="C68" s="1" t="n">
        <v>45473</v>
      </c>
      <c r="D68" t="inlineStr">
        <is>
          <t>VÄSTMANLANDS LÄN</t>
        </is>
      </c>
      <c r="E68" t="inlineStr">
        <is>
          <t>SALA</t>
        </is>
      </c>
      <c r="F68" t="inlineStr">
        <is>
          <t>Kommuner</t>
        </is>
      </c>
      <c r="G68" t="n">
        <v>1.7</v>
      </c>
      <c r="H68" t="n">
        <v>0</v>
      </c>
      <c r="I68" t="n">
        <v>0</v>
      </c>
      <c r="J68" t="n">
        <v>0</v>
      </c>
      <c r="K68" t="n">
        <v>0</v>
      </c>
      <c r="L68" t="n">
        <v>0</v>
      </c>
      <c r="M68" t="n">
        <v>0</v>
      </c>
      <c r="N68" t="n">
        <v>0</v>
      </c>
      <c r="O68" t="n">
        <v>0</v>
      </c>
      <c r="P68" t="n">
        <v>0</v>
      </c>
      <c r="Q68" t="n">
        <v>0</v>
      </c>
      <c r="R68" s="2" t="inlineStr"/>
    </row>
    <row r="69" ht="15" customHeight="1">
      <c r="A69" t="inlineStr">
        <is>
          <t>A 18791-2019</t>
        </is>
      </c>
      <c r="B69" s="1" t="n">
        <v>43562</v>
      </c>
      <c r="C69" s="1" t="n">
        <v>45473</v>
      </c>
      <c r="D69" t="inlineStr">
        <is>
          <t>VÄSTMANLANDS LÄN</t>
        </is>
      </c>
      <c r="E69" t="inlineStr">
        <is>
          <t>SALA</t>
        </is>
      </c>
      <c r="G69" t="n">
        <v>3.4</v>
      </c>
      <c r="H69" t="n">
        <v>0</v>
      </c>
      <c r="I69" t="n">
        <v>0</v>
      </c>
      <c r="J69" t="n">
        <v>0</v>
      </c>
      <c r="K69" t="n">
        <v>0</v>
      </c>
      <c r="L69" t="n">
        <v>0</v>
      </c>
      <c r="M69" t="n">
        <v>0</v>
      </c>
      <c r="N69" t="n">
        <v>0</v>
      </c>
      <c r="O69" t="n">
        <v>0</v>
      </c>
      <c r="P69" t="n">
        <v>0</v>
      </c>
      <c r="Q69" t="n">
        <v>0</v>
      </c>
      <c r="R69" s="2" t="inlineStr"/>
    </row>
    <row r="70" ht="15" customHeight="1">
      <c r="A70" t="inlineStr">
        <is>
          <t>A 18961-2019</t>
        </is>
      </c>
      <c r="B70" s="1" t="n">
        <v>43563</v>
      </c>
      <c r="C70" s="1" t="n">
        <v>45473</v>
      </c>
      <c r="D70" t="inlineStr">
        <is>
          <t>VÄSTMANLANDS LÄN</t>
        </is>
      </c>
      <c r="E70" t="inlineStr">
        <is>
          <t>SALA</t>
        </is>
      </c>
      <c r="F70" t="inlineStr">
        <is>
          <t>Kommuner</t>
        </is>
      </c>
      <c r="G70" t="n">
        <v>1.5</v>
      </c>
      <c r="H70" t="n">
        <v>0</v>
      </c>
      <c r="I70" t="n">
        <v>0</v>
      </c>
      <c r="J70" t="n">
        <v>0</v>
      </c>
      <c r="K70" t="n">
        <v>0</v>
      </c>
      <c r="L70" t="n">
        <v>0</v>
      </c>
      <c r="M70" t="n">
        <v>0</v>
      </c>
      <c r="N70" t="n">
        <v>0</v>
      </c>
      <c r="O70" t="n">
        <v>0</v>
      </c>
      <c r="P70" t="n">
        <v>0</v>
      </c>
      <c r="Q70" t="n">
        <v>0</v>
      </c>
      <c r="R70" s="2" t="inlineStr"/>
    </row>
    <row r="71" ht="15" customHeight="1">
      <c r="A71" t="inlineStr">
        <is>
          <t>A 19869-2019</t>
        </is>
      </c>
      <c r="B71" s="1" t="n">
        <v>43567</v>
      </c>
      <c r="C71" s="1" t="n">
        <v>45473</v>
      </c>
      <c r="D71" t="inlineStr">
        <is>
          <t>VÄSTMANLANDS LÄN</t>
        </is>
      </c>
      <c r="E71" t="inlineStr">
        <is>
          <t>SALA</t>
        </is>
      </c>
      <c r="G71" t="n">
        <v>1.6</v>
      </c>
      <c r="H71" t="n">
        <v>0</v>
      </c>
      <c r="I71" t="n">
        <v>0</v>
      </c>
      <c r="J71" t="n">
        <v>0</v>
      </c>
      <c r="K71" t="n">
        <v>0</v>
      </c>
      <c r="L71" t="n">
        <v>0</v>
      </c>
      <c r="M71" t="n">
        <v>0</v>
      </c>
      <c r="N71" t="n">
        <v>0</v>
      </c>
      <c r="O71" t="n">
        <v>0</v>
      </c>
      <c r="P71" t="n">
        <v>0</v>
      </c>
      <c r="Q71" t="n">
        <v>0</v>
      </c>
      <c r="R71" s="2" t="inlineStr"/>
    </row>
    <row r="72" ht="15" customHeight="1">
      <c r="A72" t="inlineStr">
        <is>
          <t>A 21985-2019</t>
        </is>
      </c>
      <c r="B72" s="1" t="n">
        <v>43584</v>
      </c>
      <c r="C72" s="1" t="n">
        <v>45473</v>
      </c>
      <c r="D72" t="inlineStr">
        <is>
          <t>VÄSTMANLANDS LÄN</t>
        </is>
      </c>
      <c r="E72" t="inlineStr">
        <is>
          <t>SALA</t>
        </is>
      </c>
      <c r="G72" t="n">
        <v>1.7</v>
      </c>
      <c r="H72" t="n">
        <v>0</v>
      </c>
      <c r="I72" t="n">
        <v>0</v>
      </c>
      <c r="J72" t="n">
        <v>0</v>
      </c>
      <c r="K72" t="n">
        <v>0</v>
      </c>
      <c r="L72" t="n">
        <v>0</v>
      </c>
      <c r="M72" t="n">
        <v>0</v>
      </c>
      <c r="N72" t="n">
        <v>0</v>
      </c>
      <c r="O72" t="n">
        <v>0</v>
      </c>
      <c r="P72" t="n">
        <v>0</v>
      </c>
      <c r="Q72" t="n">
        <v>0</v>
      </c>
      <c r="R72" s="2" t="inlineStr"/>
    </row>
    <row r="73" ht="15" customHeight="1">
      <c r="A73" t="inlineStr">
        <is>
          <t>A 22249-2019</t>
        </is>
      </c>
      <c r="B73" s="1" t="n">
        <v>43585</v>
      </c>
      <c r="C73" s="1" t="n">
        <v>45473</v>
      </c>
      <c r="D73" t="inlineStr">
        <is>
          <t>VÄSTMANLANDS LÄN</t>
        </is>
      </c>
      <c r="E73" t="inlineStr">
        <is>
          <t>SALA</t>
        </is>
      </c>
      <c r="F73" t="inlineStr">
        <is>
          <t>Kommuner</t>
        </is>
      </c>
      <c r="G73" t="n">
        <v>0.8</v>
      </c>
      <c r="H73" t="n">
        <v>0</v>
      </c>
      <c r="I73" t="n">
        <v>0</v>
      </c>
      <c r="J73" t="n">
        <v>0</v>
      </c>
      <c r="K73" t="n">
        <v>0</v>
      </c>
      <c r="L73" t="n">
        <v>0</v>
      </c>
      <c r="M73" t="n">
        <v>0</v>
      </c>
      <c r="N73" t="n">
        <v>0</v>
      </c>
      <c r="O73" t="n">
        <v>0</v>
      </c>
      <c r="P73" t="n">
        <v>0</v>
      </c>
      <c r="Q73" t="n">
        <v>0</v>
      </c>
      <c r="R73" s="2" t="inlineStr"/>
    </row>
    <row r="74" ht="15" customHeight="1">
      <c r="A74" t="inlineStr">
        <is>
          <t>A 22833-2019</t>
        </is>
      </c>
      <c r="B74" s="1" t="n">
        <v>43591</v>
      </c>
      <c r="C74" s="1" t="n">
        <v>45473</v>
      </c>
      <c r="D74" t="inlineStr">
        <is>
          <t>VÄSTMANLANDS LÄN</t>
        </is>
      </c>
      <c r="E74" t="inlineStr">
        <is>
          <t>SALA</t>
        </is>
      </c>
      <c r="F74" t="inlineStr">
        <is>
          <t>Sveaskog</t>
        </is>
      </c>
      <c r="G74" t="n">
        <v>0.2</v>
      </c>
      <c r="H74" t="n">
        <v>0</v>
      </c>
      <c r="I74" t="n">
        <v>0</v>
      </c>
      <c r="J74" t="n">
        <v>0</v>
      </c>
      <c r="K74" t="n">
        <v>0</v>
      </c>
      <c r="L74" t="n">
        <v>0</v>
      </c>
      <c r="M74" t="n">
        <v>0</v>
      </c>
      <c r="N74" t="n">
        <v>0</v>
      </c>
      <c r="O74" t="n">
        <v>0</v>
      </c>
      <c r="P74" t="n">
        <v>0</v>
      </c>
      <c r="Q74" t="n">
        <v>0</v>
      </c>
      <c r="R74" s="2" t="inlineStr"/>
    </row>
    <row r="75" ht="15" customHeight="1">
      <c r="A75" t="inlineStr">
        <is>
          <t>A 25005-2019</t>
        </is>
      </c>
      <c r="B75" s="1" t="n">
        <v>43602</v>
      </c>
      <c r="C75" s="1" t="n">
        <v>45473</v>
      </c>
      <c r="D75" t="inlineStr">
        <is>
          <t>VÄSTMANLANDS LÄN</t>
        </is>
      </c>
      <c r="E75" t="inlineStr">
        <is>
          <t>SALA</t>
        </is>
      </c>
      <c r="F75" t="inlineStr">
        <is>
          <t>Kommuner</t>
        </is>
      </c>
      <c r="G75" t="n">
        <v>4.3</v>
      </c>
      <c r="H75" t="n">
        <v>0</v>
      </c>
      <c r="I75" t="n">
        <v>0</v>
      </c>
      <c r="J75" t="n">
        <v>0</v>
      </c>
      <c r="K75" t="n">
        <v>0</v>
      </c>
      <c r="L75" t="n">
        <v>0</v>
      </c>
      <c r="M75" t="n">
        <v>0</v>
      </c>
      <c r="N75" t="n">
        <v>0</v>
      </c>
      <c r="O75" t="n">
        <v>0</v>
      </c>
      <c r="P75" t="n">
        <v>0</v>
      </c>
      <c r="Q75" t="n">
        <v>0</v>
      </c>
      <c r="R75" s="2" t="inlineStr"/>
    </row>
    <row r="76" ht="15" customHeight="1">
      <c r="A76" t="inlineStr">
        <is>
          <t>A 25814-2019</t>
        </is>
      </c>
      <c r="B76" s="1" t="n">
        <v>43608</v>
      </c>
      <c r="C76" s="1" t="n">
        <v>45473</v>
      </c>
      <c r="D76" t="inlineStr">
        <is>
          <t>VÄSTMANLANDS LÄN</t>
        </is>
      </c>
      <c r="E76" t="inlineStr">
        <is>
          <t>SALA</t>
        </is>
      </c>
      <c r="G76" t="n">
        <v>2.1</v>
      </c>
      <c r="H76" t="n">
        <v>0</v>
      </c>
      <c r="I76" t="n">
        <v>0</v>
      </c>
      <c r="J76" t="n">
        <v>0</v>
      </c>
      <c r="K76" t="n">
        <v>0</v>
      </c>
      <c r="L76" t="n">
        <v>0</v>
      </c>
      <c r="M76" t="n">
        <v>0</v>
      </c>
      <c r="N76" t="n">
        <v>0</v>
      </c>
      <c r="O76" t="n">
        <v>0</v>
      </c>
      <c r="P76" t="n">
        <v>0</v>
      </c>
      <c r="Q76" t="n">
        <v>0</v>
      </c>
      <c r="R76" s="2" t="inlineStr"/>
    </row>
    <row r="77" ht="15" customHeight="1">
      <c r="A77" t="inlineStr">
        <is>
          <t>A 26861-2019</t>
        </is>
      </c>
      <c r="B77" s="1" t="n">
        <v>43613</v>
      </c>
      <c r="C77" s="1" t="n">
        <v>45473</v>
      </c>
      <c r="D77" t="inlineStr">
        <is>
          <t>VÄSTMANLANDS LÄN</t>
        </is>
      </c>
      <c r="E77" t="inlineStr">
        <is>
          <t>SALA</t>
        </is>
      </c>
      <c r="G77" t="n">
        <v>1.2</v>
      </c>
      <c r="H77" t="n">
        <v>0</v>
      </c>
      <c r="I77" t="n">
        <v>0</v>
      </c>
      <c r="J77" t="n">
        <v>0</v>
      </c>
      <c r="K77" t="n">
        <v>0</v>
      </c>
      <c r="L77" t="n">
        <v>0</v>
      </c>
      <c r="M77" t="n">
        <v>0</v>
      </c>
      <c r="N77" t="n">
        <v>0</v>
      </c>
      <c r="O77" t="n">
        <v>0</v>
      </c>
      <c r="P77" t="n">
        <v>0</v>
      </c>
      <c r="Q77" t="n">
        <v>0</v>
      </c>
      <c r="R77" s="2" t="inlineStr"/>
    </row>
    <row r="78" ht="15" customHeight="1">
      <c r="A78" t="inlineStr">
        <is>
          <t>A 27164-2019</t>
        </is>
      </c>
      <c r="B78" s="1" t="n">
        <v>43614</v>
      </c>
      <c r="C78" s="1" t="n">
        <v>45473</v>
      </c>
      <c r="D78" t="inlineStr">
        <is>
          <t>VÄSTMANLANDS LÄN</t>
        </is>
      </c>
      <c r="E78" t="inlineStr">
        <is>
          <t>SALA</t>
        </is>
      </c>
      <c r="G78" t="n">
        <v>1.9</v>
      </c>
      <c r="H78" t="n">
        <v>0</v>
      </c>
      <c r="I78" t="n">
        <v>0</v>
      </c>
      <c r="J78" t="n">
        <v>0</v>
      </c>
      <c r="K78" t="n">
        <v>0</v>
      </c>
      <c r="L78" t="n">
        <v>0</v>
      </c>
      <c r="M78" t="n">
        <v>0</v>
      </c>
      <c r="N78" t="n">
        <v>0</v>
      </c>
      <c r="O78" t="n">
        <v>0</v>
      </c>
      <c r="P78" t="n">
        <v>0</v>
      </c>
      <c r="Q78" t="n">
        <v>0</v>
      </c>
      <c r="R78" s="2" t="inlineStr"/>
    </row>
    <row r="79" ht="15" customHeight="1">
      <c r="A79" t="inlineStr">
        <is>
          <t>A 27040-2019</t>
        </is>
      </c>
      <c r="B79" s="1" t="n">
        <v>43614</v>
      </c>
      <c r="C79" s="1" t="n">
        <v>45473</v>
      </c>
      <c r="D79" t="inlineStr">
        <is>
          <t>VÄSTMANLANDS LÄN</t>
        </is>
      </c>
      <c r="E79" t="inlineStr">
        <is>
          <t>SALA</t>
        </is>
      </c>
      <c r="G79" t="n">
        <v>1.4</v>
      </c>
      <c r="H79" t="n">
        <v>0</v>
      </c>
      <c r="I79" t="n">
        <v>0</v>
      </c>
      <c r="J79" t="n">
        <v>0</v>
      </c>
      <c r="K79" t="n">
        <v>0</v>
      </c>
      <c r="L79" t="n">
        <v>0</v>
      </c>
      <c r="M79" t="n">
        <v>0</v>
      </c>
      <c r="N79" t="n">
        <v>0</v>
      </c>
      <c r="O79" t="n">
        <v>0</v>
      </c>
      <c r="P79" t="n">
        <v>0</v>
      </c>
      <c r="Q79" t="n">
        <v>0</v>
      </c>
      <c r="R79" s="2" t="inlineStr"/>
    </row>
    <row r="80" ht="15" customHeight="1">
      <c r="A80" t="inlineStr">
        <is>
          <t>A 28132-2019</t>
        </is>
      </c>
      <c r="B80" s="1" t="n">
        <v>43621</v>
      </c>
      <c r="C80" s="1" t="n">
        <v>45473</v>
      </c>
      <c r="D80" t="inlineStr">
        <is>
          <t>VÄSTMANLANDS LÄN</t>
        </is>
      </c>
      <c r="E80" t="inlineStr">
        <is>
          <t>SALA</t>
        </is>
      </c>
      <c r="G80" t="n">
        <v>2.4</v>
      </c>
      <c r="H80" t="n">
        <v>0</v>
      </c>
      <c r="I80" t="n">
        <v>0</v>
      </c>
      <c r="J80" t="n">
        <v>0</v>
      </c>
      <c r="K80" t="n">
        <v>0</v>
      </c>
      <c r="L80" t="n">
        <v>0</v>
      </c>
      <c r="M80" t="n">
        <v>0</v>
      </c>
      <c r="N80" t="n">
        <v>0</v>
      </c>
      <c r="O80" t="n">
        <v>0</v>
      </c>
      <c r="P80" t="n">
        <v>0</v>
      </c>
      <c r="Q80" t="n">
        <v>0</v>
      </c>
      <c r="R80" s="2" t="inlineStr"/>
    </row>
    <row r="81" ht="15" customHeight="1">
      <c r="A81" t="inlineStr">
        <is>
          <t>A 28143-2019</t>
        </is>
      </c>
      <c r="B81" s="1" t="n">
        <v>43621</v>
      </c>
      <c r="C81" s="1" t="n">
        <v>45473</v>
      </c>
      <c r="D81" t="inlineStr">
        <is>
          <t>VÄSTMANLANDS LÄN</t>
        </is>
      </c>
      <c r="E81" t="inlineStr">
        <is>
          <t>SALA</t>
        </is>
      </c>
      <c r="G81" t="n">
        <v>2.3</v>
      </c>
      <c r="H81" t="n">
        <v>0</v>
      </c>
      <c r="I81" t="n">
        <v>0</v>
      </c>
      <c r="J81" t="n">
        <v>0</v>
      </c>
      <c r="K81" t="n">
        <v>0</v>
      </c>
      <c r="L81" t="n">
        <v>0</v>
      </c>
      <c r="M81" t="n">
        <v>0</v>
      </c>
      <c r="N81" t="n">
        <v>0</v>
      </c>
      <c r="O81" t="n">
        <v>0</v>
      </c>
      <c r="P81" t="n">
        <v>0</v>
      </c>
      <c r="Q81" t="n">
        <v>0</v>
      </c>
      <c r="R81" s="2" t="inlineStr"/>
    </row>
    <row r="82" ht="15" customHeight="1">
      <c r="A82" t="inlineStr">
        <is>
          <t>A 28162-2019</t>
        </is>
      </c>
      <c r="B82" s="1" t="n">
        <v>43621</v>
      </c>
      <c r="C82" s="1" t="n">
        <v>45473</v>
      </c>
      <c r="D82" t="inlineStr">
        <is>
          <t>VÄSTMANLANDS LÄN</t>
        </is>
      </c>
      <c r="E82" t="inlineStr">
        <is>
          <t>SALA</t>
        </is>
      </c>
      <c r="G82" t="n">
        <v>0.4</v>
      </c>
      <c r="H82" t="n">
        <v>0</v>
      </c>
      <c r="I82" t="n">
        <v>0</v>
      </c>
      <c r="J82" t="n">
        <v>0</v>
      </c>
      <c r="K82" t="n">
        <v>0</v>
      </c>
      <c r="L82" t="n">
        <v>0</v>
      </c>
      <c r="M82" t="n">
        <v>0</v>
      </c>
      <c r="N82" t="n">
        <v>0</v>
      </c>
      <c r="O82" t="n">
        <v>0</v>
      </c>
      <c r="P82" t="n">
        <v>0</v>
      </c>
      <c r="Q82" t="n">
        <v>0</v>
      </c>
      <c r="R82" s="2" t="inlineStr"/>
    </row>
    <row r="83" ht="15" customHeight="1">
      <c r="A83" t="inlineStr">
        <is>
          <t>A 29023-2019</t>
        </is>
      </c>
      <c r="B83" s="1" t="n">
        <v>43628</v>
      </c>
      <c r="C83" s="1" t="n">
        <v>45473</v>
      </c>
      <c r="D83" t="inlineStr">
        <is>
          <t>VÄSTMANLANDS LÄN</t>
        </is>
      </c>
      <c r="E83" t="inlineStr">
        <is>
          <t>SALA</t>
        </is>
      </c>
      <c r="G83" t="n">
        <v>0.4</v>
      </c>
      <c r="H83" t="n">
        <v>0</v>
      </c>
      <c r="I83" t="n">
        <v>0</v>
      </c>
      <c r="J83" t="n">
        <v>0</v>
      </c>
      <c r="K83" t="n">
        <v>0</v>
      </c>
      <c r="L83" t="n">
        <v>0</v>
      </c>
      <c r="M83" t="n">
        <v>0</v>
      </c>
      <c r="N83" t="n">
        <v>0</v>
      </c>
      <c r="O83" t="n">
        <v>0</v>
      </c>
      <c r="P83" t="n">
        <v>0</v>
      </c>
      <c r="Q83" t="n">
        <v>0</v>
      </c>
      <c r="R83" s="2" t="inlineStr"/>
    </row>
    <row r="84" ht="15" customHeight="1">
      <c r="A84" t="inlineStr">
        <is>
          <t>A 29331-2019</t>
        </is>
      </c>
      <c r="B84" s="1" t="n">
        <v>43629</v>
      </c>
      <c r="C84" s="1" t="n">
        <v>45473</v>
      </c>
      <c r="D84" t="inlineStr">
        <is>
          <t>VÄSTMANLANDS LÄN</t>
        </is>
      </c>
      <c r="E84" t="inlineStr">
        <is>
          <t>SALA</t>
        </is>
      </c>
      <c r="G84" t="n">
        <v>5</v>
      </c>
      <c r="H84" t="n">
        <v>0</v>
      </c>
      <c r="I84" t="n">
        <v>0</v>
      </c>
      <c r="J84" t="n">
        <v>0</v>
      </c>
      <c r="K84" t="n">
        <v>0</v>
      </c>
      <c r="L84" t="n">
        <v>0</v>
      </c>
      <c r="M84" t="n">
        <v>0</v>
      </c>
      <c r="N84" t="n">
        <v>0</v>
      </c>
      <c r="O84" t="n">
        <v>0</v>
      </c>
      <c r="P84" t="n">
        <v>0</v>
      </c>
      <c r="Q84" t="n">
        <v>0</v>
      </c>
      <c r="R84" s="2" t="inlineStr"/>
    </row>
    <row r="85" ht="15" customHeight="1">
      <c r="A85" t="inlineStr">
        <is>
          <t>A 31225-2019</t>
        </is>
      </c>
      <c r="B85" s="1" t="n">
        <v>43635</v>
      </c>
      <c r="C85" s="1" t="n">
        <v>45473</v>
      </c>
      <c r="D85" t="inlineStr">
        <is>
          <t>VÄSTMANLANDS LÄN</t>
        </is>
      </c>
      <c r="E85" t="inlineStr">
        <is>
          <t>SALA</t>
        </is>
      </c>
      <c r="G85" t="n">
        <v>1.5</v>
      </c>
      <c r="H85" t="n">
        <v>0</v>
      </c>
      <c r="I85" t="n">
        <v>0</v>
      </c>
      <c r="J85" t="n">
        <v>0</v>
      </c>
      <c r="K85" t="n">
        <v>0</v>
      </c>
      <c r="L85" t="n">
        <v>0</v>
      </c>
      <c r="M85" t="n">
        <v>0</v>
      </c>
      <c r="N85" t="n">
        <v>0</v>
      </c>
      <c r="O85" t="n">
        <v>0</v>
      </c>
      <c r="P85" t="n">
        <v>0</v>
      </c>
      <c r="Q85" t="n">
        <v>0</v>
      </c>
      <c r="R85" s="2" t="inlineStr"/>
    </row>
    <row r="86" ht="15" customHeight="1">
      <c r="A86" t="inlineStr">
        <is>
          <t>A 30974-2019</t>
        </is>
      </c>
      <c r="B86" s="1" t="n">
        <v>43639</v>
      </c>
      <c r="C86" s="1" t="n">
        <v>45473</v>
      </c>
      <c r="D86" t="inlineStr">
        <is>
          <t>VÄSTMANLANDS LÄN</t>
        </is>
      </c>
      <c r="E86" t="inlineStr">
        <is>
          <t>SALA</t>
        </is>
      </c>
      <c r="G86" t="n">
        <v>3.1</v>
      </c>
      <c r="H86" t="n">
        <v>0</v>
      </c>
      <c r="I86" t="n">
        <v>0</v>
      </c>
      <c r="J86" t="n">
        <v>0</v>
      </c>
      <c r="K86" t="n">
        <v>0</v>
      </c>
      <c r="L86" t="n">
        <v>0</v>
      </c>
      <c r="M86" t="n">
        <v>0</v>
      </c>
      <c r="N86" t="n">
        <v>0</v>
      </c>
      <c r="O86" t="n">
        <v>0</v>
      </c>
      <c r="P86" t="n">
        <v>0</v>
      </c>
      <c r="Q86" t="n">
        <v>0</v>
      </c>
      <c r="R86" s="2" t="inlineStr"/>
    </row>
    <row r="87" ht="15" customHeight="1">
      <c r="A87" t="inlineStr">
        <is>
          <t>A 34709-2019</t>
        </is>
      </c>
      <c r="B87" s="1" t="n">
        <v>43648</v>
      </c>
      <c r="C87" s="1" t="n">
        <v>45473</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35690-2019</t>
        </is>
      </c>
      <c r="B88" s="1" t="n">
        <v>43664</v>
      </c>
      <c r="C88" s="1" t="n">
        <v>45473</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36142-2019</t>
        </is>
      </c>
      <c r="B89" s="1" t="n">
        <v>43668</v>
      </c>
      <c r="C89" s="1" t="n">
        <v>45473</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36429-2019</t>
        </is>
      </c>
      <c r="B90" s="1" t="n">
        <v>43670</v>
      </c>
      <c r="C90" s="1" t="n">
        <v>45473</v>
      </c>
      <c r="D90" t="inlineStr">
        <is>
          <t>VÄSTMANLANDS LÄN</t>
        </is>
      </c>
      <c r="E90" t="inlineStr">
        <is>
          <t>SALA</t>
        </is>
      </c>
      <c r="G90" t="n">
        <v>2</v>
      </c>
      <c r="H90" t="n">
        <v>0</v>
      </c>
      <c r="I90" t="n">
        <v>0</v>
      </c>
      <c r="J90" t="n">
        <v>0</v>
      </c>
      <c r="K90" t="n">
        <v>0</v>
      </c>
      <c r="L90" t="n">
        <v>0</v>
      </c>
      <c r="M90" t="n">
        <v>0</v>
      </c>
      <c r="N90" t="n">
        <v>0</v>
      </c>
      <c r="O90" t="n">
        <v>0</v>
      </c>
      <c r="P90" t="n">
        <v>0</v>
      </c>
      <c r="Q90" t="n">
        <v>0</v>
      </c>
      <c r="R90" s="2" t="inlineStr"/>
    </row>
    <row r="91" ht="15" customHeight="1">
      <c r="A91" t="inlineStr">
        <is>
          <t>A 36600-2019</t>
        </is>
      </c>
      <c r="B91" s="1" t="n">
        <v>43671</v>
      </c>
      <c r="C91" s="1" t="n">
        <v>45473</v>
      </c>
      <c r="D91" t="inlineStr">
        <is>
          <t>VÄSTMANLANDS LÄN</t>
        </is>
      </c>
      <c r="E91" t="inlineStr">
        <is>
          <t>SALA</t>
        </is>
      </c>
      <c r="F91" t="inlineStr">
        <is>
          <t>Kyrkan</t>
        </is>
      </c>
      <c r="G91" t="n">
        <v>4.3</v>
      </c>
      <c r="H91" t="n">
        <v>0</v>
      </c>
      <c r="I91" t="n">
        <v>0</v>
      </c>
      <c r="J91" t="n">
        <v>0</v>
      </c>
      <c r="K91" t="n">
        <v>0</v>
      </c>
      <c r="L91" t="n">
        <v>0</v>
      </c>
      <c r="M91" t="n">
        <v>0</v>
      </c>
      <c r="N91" t="n">
        <v>0</v>
      </c>
      <c r="O91" t="n">
        <v>0</v>
      </c>
      <c r="P91" t="n">
        <v>0</v>
      </c>
      <c r="Q91" t="n">
        <v>0</v>
      </c>
      <c r="R91" s="2" t="inlineStr"/>
    </row>
    <row r="92" ht="15" customHeight="1">
      <c r="A92" t="inlineStr">
        <is>
          <t>A 37186-2019</t>
        </is>
      </c>
      <c r="B92" s="1" t="n">
        <v>43677</v>
      </c>
      <c r="C92" s="1" t="n">
        <v>45473</v>
      </c>
      <c r="D92" t="inlineStr">
        <is>
          <t>VÄSTMANLANDS LÄN</t>
        </is>
      </c>
      <c r="E92" t="inlineStr">
        <is>
          <t>SALA</t>
        </is>
      </c>
      <c r="G92" t="n">
        <v>1.8</v>
      </c>
      <c r="H92" t="n">
        <v>0</v>
      </c>
      <c r="I92" t="n">
        <v>0</v>
      </c>
      <c r="J92" t="n">
        <v>0</v>
      </c>
      <c r="K92" t="n">
        <v>0</v>
      </c>
      <c r="L92" t="n">
        <v>0</v>
      </c>
      <c r="M92" t="n">
        <v>0</v>
      </c>
      <c r="N92" t="n">
        <v>0</v>
      </c>
      <c r="O92" t="n">
        <v>0</v>
      </c>
      <c r="P92" t="n">
        <v>0</v>
      </c>
      <c r="Q92" t="n">
        <v>0</v>
      </c>
      <c r="R92" s="2" t="inlineStr"/>
    </row>
    <row r="93" ht="15" customHeight="1">
      <c r="A93" t="inlineStr">
        <is>
          <t>A 37533-2019</t>
        </is>
      </c>
      <c r="B93" s="1" t="n">
        <v>43679</v>
      </c>
      <c r="C93" s="1" t="n">
        <v>45473</v>
      </c>
      <c r="D93" t="inlineStr">
        <is>
          <t>VÄSTMANLANDS LÄN</t>
        </is>
      </c>
      <c r="E93" t="inlineStr">
        <is>
          <t>SALA</t>
        </is>
      </c>
      <c r="G93" t="n">
        <v>7.9</v>
      </c>
      <c r="H93" t="n">
        <v>0</v>
      </c>
      <c r="I93" t="n">
        <v>0</v>
      </c>
      <c r="J93" t="n">
        <v>0</v>
      </c>
      <c r="K93" t="n">
        <v>0</v>
      </c>
      <c r="L93" t="n">
        <v>0</v>
      </c>
      <c r="M93" t="n">
        <v>0</v>
      </c>
      <c r="N93" t="n">
        <v>0</v>
      </c>
      <c r="O93" t="n">
        <v>0</v>
      </c>
      <c r="P93" t="n">
        <v>0</v>
      </c>
      <c r="Q93" t="n">
        <v>0</v>
      </c>
      <c r="R93" s="2" t="inlineStr"/>
    </row>
    <row r="94" ht="15" customHeight="1">
      <c r="A94" t="inlineStr">
        <is>
          <t>A 38645-2019</t>
        </is>
      </c>
      <c r="B94" s="1" t="n">
        <v>43686</v>
      </c>
      <c r="C94" s="1" t="n">
        <v>45473</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39483-2019</t>
        </is>
      </c>
      <c r="B95" s="1" t="n">
        <v>43691</v>
      </c>
      <c r="C95" s="1" t="n">
        <v>45473</v>
      </c>
      <c r="D95" t="inlineStr">
        <is>
          <t>VÄSTMANLANDS LÄN</t>
        </is>
      </c>
      <c r="E95" t="inlineStr">
        <is>
          <t>SALA</t>
        </is>
      </c>
      <c r="G95" t="n">
        <v>4.6</v>
      </c>
      <c r="H95" t="n">
        <v>0</v>
      </c>
      <c r="I95" t="n">
        <v>0</v>
      </c>
      <c r="J95" t="n">
        <v>0</v>
      </c>
      <c r="K95" t="n">
        <v>0</v>
      </c>
      <c r="L95" t="n">
        <v>0</v>
      </c>
      <c r="M95" t="n">
        <v>0</v>
      </c>
      <c r="N95" t="n">
        <v>0</v>
      </c>
      <c r="O95" t="n">
        <v>0</v>
      </c>
      <c r="P95" t="n">
        <v>0</v>
      </c>
      <c r="Q95" t="n">
        <v>0</v>
      </c>
      <c r="R95" s="2" t="inlineStr"/>
    </row>
    <row r="96" ht="15" customHeight="1">
      <c r="A96" t="inlineStr">
        <is>
          <t>A 41259-2019</t>
        </is>
      </c>
      <c r="B96" s="1" t="n">
        <v>43698</v>
      </c>
      <c r="C96" s="1" t="n">
        <v>45473</v>
      </c>
      <c r="D96" t="inlineStr">
        <is>
          <t>VÄSTMANLANDS LÄN</t>
        </is>
      </c>
      <c r="E96" t="inlineStr">
        <is>
          <t>SALA</t>
        </is>
      </c>
      <c r="G96" t="n">
        <v>8.300000000000001</v>
      </c>
      <c r="H96" t="n">
        <v>0</v>
      </c>
      <c r="I96" t="n">
        <v>0</v>
      </c>
      <c r="J96" t="n">
        <v>0</v>
      </c>
      <c r="K96" t="n">
        <v>0</v>
      </c>
      <c r="L96" t="n">
        <v>0</v>
      </c>
      <c r="M96" t="n">
        <v>0</v>
      </c>
      <c r="N96" t="n">
        <v>0</v>
      </c>
      <c r="O96" t="n">
        <v>0</v>
      </c>
      <c r="P96" t="n">
        <v>0</v>
      </c>
      <c r="Q96" t="n">
        <v>0</v>
      </c>
      <c r="R96" s="2" t="inlineStr"/>
    </row>
    <row r="97" ht="15" customHeight="1">
      <c r="A97" t="inlineStr">
        <is>
          <t>A 45302-2019</t>
        </is>
      </c>
      <c r="B97" s="1" t="n">
        <v>43707</v>
      </c>
      <c r="C97" s="1" t="n">
        <v>45473</v>
      </c>
      <c r="D97" t="inlineStr">
        <is>
          <t>VÄSTMANLANDS LÄN</t>
        </is>
      </c>
      <c r="E97" t="inlineStr">
        <is>
          <t>SALA</t>
        </is>
      </c>
      <c r="G97" t="n">
        <v>2.1</v>
      </c>
      <c r="H97" t="n">
        <v>0</v>
      </c>
      <c r="I97" t="n">
        <v>0</v>
      </c>
      <c r="J97" t="n">
        <v>0</v>
      </c>
      <c r="K97" t="n">
        <v>0</v>
      </c>
      <c r="L97" t="n">
        <v>0</v>
      </c>
      <c r="M97" t="n">
        <v>0</v>
      </c>
      <c r="N97" t="n">
        <v>0</v>
      </c>
      <c r="O97" t="n">
        <v>0</v>
      </c>
      <c r="P97" t="n">
        <v>0</v>
      </c>
      <c r="Q97" t="n">
        <v>0</v>
      </c>
      <c r="R97" s="2" t="inlineStr"/>
    </row>
    <row r="98" ht="15" customHeight="1">
      <c r="A98" t="inlineStr">
        <is>
          <t>A 46936-2019</t>
        </is>
      </c>
      <c r="B98" s="1" t="n">
        <v>43719</v>
      </c>
      <c r="C98" s="1" t="n">
        <v>45473</v>
      </c>
      <c r="D98" t="inlineStr">
        <is>
          <t>VÄSTMANLANDS LÄN</t>
        </is>
      </c>
      <c r="E98" t="inlineStr">
        <is>
          <t>SALA</t>
        </is>
      </c>
      <c r="G98" t="n">
        <v>4.6</v>
      </c>
      <c r="H98" t="n">
        <v>0</v>
      </c>
      <c r="I98" t="n">
        <v>0</v>
      </c>
      <c r="J98" t="n">
        <v>0</v>
      </c>
      <c r="K98" t="n">
        <v>0</v>
      </c>
      <c r="L98" t="n">
        <v>0</v>
      </c>
      <c r="M98" t="n">
        <v>0</v>
      </c>
      <c r="N98" t="n">
        <v>0</v>
      </c>
      <c r="O98" t="n">
        <v>0</v>
      </c>
      <c r="P98" t="n">
        <v>0</v>
      </c>
      <c r="Q98" t="n">
        <v>0</v>
      </c>
      <c r="R98" s="2" t="inlineStr"/>
    </row>
    <row r="99" ht="15" customHeight="1">
      <c r="A99" t="inlineStr">
        <is>
          <t>A 48617-2019</t>
        </is>
      </c>
      <c r="B99" s="1" t="n">
        <v>43727</v>
      </c>
      <c r="C99" s="1" t="n">
        <v>45473</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48681-2019</t>
        </is>
      </c>
      <c r="B100" s="1" t="n">
        <v>43728</v>
      </c>
      <c r="C100" s="1" t="n">
        <v>45473</v>
      </c>
      <c r="D100" t="inlineStr">
        <is>
          <t>VÄSTMANLANDS LÄN</t>
        </is>
      </c>
      <c r="E100" t="inlineStr">
        <is>
          <t>SALA</t>
        </is>
      </c>
      <c r="G100" t="n">
        <v>1.9</v>
      </c>
      <c r="H100" t="n">
        <v>0</v>
      </c>
      <c r="I100" t="n">
        <v>0</v>
      </c>
      <c r="J100" t="n">
        <v>0</v>
      </c>
      <c r="K100" t="n">
        <v>0</v>
      </c>
      <c r="L100" t="n">
        <v>0</v>
      </c>
      <c r="M100" t="n">
        <v>0</v>
      </c>
      <c r="N100" t="n">
        <v>0</v>
      </c>
      <c r="O100" t="n">
        <v>0</v>
      </c>
      <c r="P100" t="n">
        <v>0</v>
      </c>
      <c r="Q100" t="n">
        <v>0</v>
      </c>
      <c r="R100" s="2" t="inlineStr"/>
    </row>
    <row r="101" ht="15" customHeight="1">
      <c r="A101" t="inlineStr">
        <is>
          <t>A 52756-2019</t>
        </is>
      </c>
      <c r="B101" s="1" t="n">
        <v>43739</v>
      </c>
      <c r="C101" s="1" t="n">
        <v>45473</v>
      </c>
      <c r="D101" t="inlineStr">
        <is>
          <t>VÄSTMANLANDS LÄN</t>
        </is>
      </c>
      <c r="E101" t="inlineStr">
        <is>
          <t>SALA</t>
        </is>
      </c>
      <c r="G101" t="n">
        <v>4.2</v>
      </c>
      <c r="H101" t="n">
        <v>0</v>
      </c>
      <c r="I101" t="n">
        <v>0</v>
      </c>
      <c r="J101" t="n">
        <v>0</v>
      </c>
      <c r="K101" t="n">
        <v>0</v>
      </c>
      <c r="L101" t="n">
        <v>0</v>
      </c>
      <c r="M101" t="n">
        <v>0</v>
      </c>
      <c r="N101" t="n">
        <v>0</v>
      </c>
      <c r="O101" t="n">
        <v>0</v>
      </c>
      <c r="P101" t="n">
        <v>0</v>
      </c>
      <c r="Q101" t="n">
        <v>0</v>
      </c>
      <c r="R101" s="2" t="inlineStr"/>
    </row>
    <row r="102" ht="15" customHeight="1">
      <c r="A102" t="inlineStr">
        <is>
          <t>A 51854-2019</t>
        </is>
      </c>
      <c r="B102" s="1" t="n">
        <v>43741</v>
      </c>
      <c r="C102" s="1" t="n">
        <v>45473</v>
      </c>
      <c r="D102" t="inlineStr">
        <is>
          <t>VÄSTMANLANDS LÄN</t>
        </is>
      </c>
      <c r="E102" t="inlineStr">
        <is>
          <t>SALA</t>
        </is>
      </c>
      <c r="G102" t="n">
        <v>2</v>
      </c>
      <c r="H102" t="n">
        <v>0</v>
      </c>
      <c r="I102" t="n">
        <v>0</v>
      </c>
      <c r="J102" t="n">
        <v>0</v>
      </c>
      <c r="K102" t="n">
        <v>0</v>
      </c>
      <c r="L102" t="n">
        <v>0</v>
      </c>
      <c r="M102" t="n">
        <v>0</v>
      </c>
      <c r="N102" t="n">
        <v>0</v>
      </c>
      <c r="O102" t="n">
        <v>0</v>
      </c>
      <c r="P102" t="n">
        <v>0</v>
      </c>
      <c r="Q102" t="n">
        <v>0</v>
      </c>
      <c r="R102" s="2" t="inlineStr"/>
    </row>
    <row r="103" ht="15" customHeight="1">
      <c r="A103" t="inlineStr">
        <is>
          <t>A 54393-2019</t>
        </is>
      </c>
      <c r="B103" s="1" t="n">
        <v>43746</v>
      </c>
      <c r="C103" s="1" t="n">
        <v>45473</v>
      </c>
      <c r="D103" t="inlineStr">
        <is>
          <t>VÄSTMANLANDS LÄN</t>
        </is>
      </c>
      <c r="E103" t="inlineStr">
        <is>
          <t>SALA</t>
        </is>
      </c>
      <c r="G103" t="n">
        <v>3.2</v>
      </c>
      <c r="H103" t="n">
        <v>0</v>
      </c>
      <c r="I103" t="n">
        <v>0</v>
      </c>
      <c r="J103" t="n">
        <v>0</v>
      </c>
      <c r="K103" t="n">
        <v>0</v>
      </c>
      <c r="L103" t="n">
        <v>0</v>
      </c>
      <c r="M103" t="n">
        <v>0</v>
      </c>
      <c r="N103" t="n">
        <v>0</v>
      </c>
      <c r="O103" t="n">
        <v>0</v>
      </c>
      <c r="P103" t="n">
        <v>0</v>
      </c>
      <c r="Q103" t="n">
        <v>0</v>
      </c>
      <c r="R103" s="2" t="inlineStr"/>
    </row>
    <row r="104" ht="15" customHeight="1">
      <c r="A104" t="inlineStr">
        <is>
          <t>A 54069-2019</t>
        </is>
      </c>
      <c r="B104" s="1" t="n">
        <v>43752</v>
      </c>
      <c r="C104" s="1" t="n">
        <v>45473</v>
      </c>
      <c r="D104" t="inlineStr">
        <is>
          <t>VÄSTMANLANDS LÄN</t>
        </is>
      </c>
      <c r="E104" t="inlineStr">
        <is>
          <t>SALA</t>
        </is>
      </c>
      <c r="G104" t="n">
        <v>3.5</v>
      </c>
      <c r="H104" t="n">
        <v>0</v>
      </c>
      <c r="I104" t="n">
        <v>0</v>
      </c>
      <c r="J104" t="n">
        <v>0</v>
      </c>
      <c r="K104" t="n">
        <v>0</v>
      </c>
      <c r="L104" t="n">
        <v>0</v>
      </c>
      <c r="M104" t="n">
        <v>0</v>
      </c>
      <c r="N104" t="n">
        <v>0</v>
      </c>
      <c r="O104" t="n">
        <v>0</v>
      </c>
      <c r="P104" t="n">
        <v>0</v>
      </c>
      <c r="Q104" t="n">
        <v>0</v>
      </c>
      <c r="R104" s="2" t="inlineStr"/>
    </row>
    <row r="105" ht="15" customHeight="1">
      <c r="A105" t="inlineStr">
        <is>
          <t>A 57743-2019</t>
        </is>
      </c>
      <c r="B105" s="1" t="n">
        <v>43768</v>
      </c>
      <c r="C105" s="1" t="n">
        <v>45473</v>
      </c>
      <c r="D105" t="inlineStr">
        <is>
          <t>VÄSTMANLANDS LÄN</t>
        </is>
      </c>
      <c r="E105" t="inlineStr">
        <is>
          <t>SALA</t>
        </is>
      </c>
      <c r="G105" t="n">
        <v>3.8</v>
      </c>
      <c r="H105" t="n">
        <v>0</v>
      </c>
      <c r="I105" t="n">
        <v>0</v>
      </c>
      <c r="J105" t="n">
        <v>0</v>
      </c>
      <c r="K105" t="n">
        <v>0</v>
      </c>
      <c r="L105" t="n">
        <v>0</v>
      </c>
      <c r="M105" t="n">
        <v>0</v>
      </c>
      <c r="N105" t="n">
        <v>0</v>
      </c>
      <c r="O105" t="n">
        <v>0</v>
      </c>
      <c r="P105" t="n">
        <v>0</v>
      </c>
      <c r="Q105" t="n">
        <v>0</v>
      </c>
      <c r="R105" s="2" t="inlineStr"/>
    </row>
    <row r="106" ht="15" customHeight="1">
      <c r="A106" t="inlineStr">
        <is>
          <t>A 58003-2019</t>
        </is>
      </c>
      <c r="B106" s="1" t="n">
        <v>43769</v>
      </c>
      <c r="C106" s="1" t="n">
        <v>45473</v>
      </c>
      <c r="D106" t="inlineStr">
        <is>
          <t>VÄSTMANLANDS LÄN</t>
        </is>
      </c>
      <c r="E106" t="inlineStr">
        <is>
          <t>SALA</t>
        </is>
      </c>
      <c r="G106" t="n">
        <v>1.3</v>
      </c>
      <c r="H106" t="n">
        <v>0</v>
      </c>
      <c r="I106" t="n">
        <v>0</v>
      </c>
      <c r="J106" t="n">
        <v>0</v>
      </c>
      <c r="K106" t="n">
        <v>0</v>
      </c>
      <c r="L106" t="n">
        <v>0</v>
      </c>
      <c r="M106" t="n">
        <v>0</v>
      </c>
      <c r="N106" t="n">
        <v>0</v>
      </c>
      <c r="O106" t="n">
        <v>0</v>
      </c>
      <c r="P106" t="n">
        <v>0</v>
      </c>
      <c r="Q106" t="n">
        <v>0</v>
      </c>
      <c r="R106" s="2" t="inlineStr"/>
    </row>
    <row r="107" ht="15" customHeight="1">
      <c r="A107" t="inlineStr">
        <is>
          <t>A 58027-2019</t>
        </is>
      </c>
      <c r="B107" s="1" t="n">
        <v>43769</v>
      </c>
      <c r="C107" s="1" t="n">
        <v>45473</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58681-2019</t>
        </is>
      </c>
      <c r="B108" s="1" t="n">
        <v>43773</v>
      </c>
      <c r="C108" s="1" t="n">
        <v>45473</v>
      </c>
      <c r="D108" t="inlineStr">
        <is>
          <t>VÄSTMANLANDS LÄN</t>
        </is>
      </c>
      <c r="E108" t="inlineStr">
        <is>
          <t>SALA</t>
        </is>
      </c>
      <c r="G108" t="n">
        <v>3</v>
      </c>
      <c r="H108" t="n">
        <v>0</v>
      </c>
      <c r="I108" t="n">
        <v>0</v>
      </c>
      <c r="J108" t="n">
        <v>0</v>
      </c>
      <c r="K108" t="n">
        <v>0</v>
      </c>
      <c r="L108" t="n">
        <v>0</v>
      </c>
      <c r="M108" t="n">
        <v>0</v>
      </c>
      <c r="N108" t="n">
        <v>0</v>
      </c>
      <c r="O108" t="n">
        <v>0</v>
      </c>
      <c r="P108" t="n">
        <v>0</v>
      </c>
      <c r="Q108" t="n">
        <v>0</v>
      </c>
      <c r="R108" s="2" t="inlineStr"/>
    </row>
    <row r="109" ht="15" customHeight="1">
      <c r="A109" t="inlineStr">
        <is>
          <t>A 58917-2019</t>
        </is>
      </c>
      <c r="B109" s="1" t="n">
        <v>43774</v>
      </c>
      <c r="C109" s="1" t="n">
        <v>45473</v>
      </c>
      <c r="D109" t="inlineStr">
        <is>
          <t>VÄSTMANLANDS LÄN</t>
        </is>
      </c>
      <c r="E109" t="inlineStr">
        <is>
          <t>SALA</t>
        </is>
      </c>
      <c r="G109" t="n">
        <v>1.3</v>
      </c>
      <c r="H109" t="n">
        <v>0</v>
      </c>
      <c r="I109" t="n">
        <v>0</v>
      </c>
      <c r="J109" t="n">
        <v>0</v>
      </c>
      <c r="K109" t="n">
        <v>0</v>
      </c>
      <c r="L109" t="n">
        <v>0</v>
      </c>
      <c r="M109" t="n">
        <v>0</v>
      </c>
      <c r="N109" t="n">
        <v>0</v>
      </c>
      <c r="O109" t="n">
        <v>0</v>
      </c>
      <c r="P109" t="n">
        <v>0</v>
      </c>
      <c r="Q109" t="n">
        <v>0</v>
      </c>
      <c r="R109" s="2" t="inlineStr"/>
    </row>
    <row r="110" ht="15" customHeight="1">
      <c r="A110" t="inlineStr">
        <is>
          <t>A 59147-2019</t>
        </is>
      </c>
      <c r="B110" s="1" t="n">
        <v>43775</v>
      </c>
      <c r="C110" s="1" t="n">
        <v>45473</v>
      </c>
      <c r="D110" t="inlineStr">
        <is>
          <t>VÄSTMANLANDS LÄN</t>
        </is>
      </c>
      <c r="E110" t="inlineStr">
        <is>
          <t>SALA</t>
        </is>
      </c>
      <c r="F110" t="inlineStr">
        <is>
          <t>Övriga Aktiebolag</t>
        </is>
      </c>
      <c r="G110" t="n">
        <v>69.8</v>
      </c>
      <c r="H110" t="n">
        <v>0</v>
      </c>
      <c r="I110" t="n">
        <v>0</v>
      </c>
      <c r="J110" t="n">
        <v>0</v>
      </c>
      <c r="K110" t="n">
        <v>0</v>
      </c>
      <c r="L110" t="n">
        <v>0</v>
      </c>
      <c r="M110" t="n">
        <v>0</v>
      </c>
      <c r="N110" t="n">
        <v>0</v>
      </c>
      <c r="O110" t="n">
        <v>0</v>
      </c>
      <c r="P110" t="n">
        <v>0</v>
      </c>
      <c r="Q110" t="n">
        <v>0</v>
      </c>
      <c r="R110" s="2" t="inlineStr"/>
    </row>
    <row r="111" ht="15" customHeight="1">
      <c r="A111" t="inlineStr">
        <is>
          <t>A 60007-2019</t>
        </is>
      </c>
      <c r="B111" s="1" t="n">
        <v>43777</v>
      </c>
      <c r="C111" s="1" t="n">
        <v>45473</v>
      </c>
      <c r="D111" t="inlineStr">
        <is>
          <t>VÄSTMANLANDS LÄN</t>
        </is>
      </c>
      <c r="E111" t="inlineStr">
        <is>
          <t>SALA</t>
        </is>
      </c>
      <c r="F111" t="inlineStr">
        <is>
          <t>Kyrkan</t>
        </is>
      </c>
      <c r="G111" t="n">
        <v>5.1</v>
      </c>
      <c r="H111" t="n">
        <v>0</v>
      </c>
      <c r="I111" t="n">
        <v>0</v>
      </c>
      <c r="J111" t="n">
        <v>0</v>
      </c>
      <c r="K111" t="n">
        <v>0</v>
      </c>
      <c r="L111" t="n">
        <v>0</v>
      </c>
      <c r="M111" t="n">
        <v>0</v>
      </c>
      <c r="N111" t="n">
        <v>0</v>
      </c>
      <c r="O111" t="n">
        <v>0</v>
      </c>
      <c r="P111" t="n">
        <v>0</v>
      </c>
      <c r="Q111" t="n">
        <v>0</v>
      </c>
      <c r="R111" s="2" t="inlineStr"/>
    </row>
    <row r="112" ht="15" customHeight="1">
      <c r="A112" t="inlineStr">
        <is>
          <t>A 60012-2019</t>
        </is>
      </c>
      <c r="B112" s="1" t="n">
        <v>43777</v>
      </c>
      <c r="C112" s="1" t="n">
        <v>45473</v>
      </c>
      <c r="D112" t="inlineStr">
        <is>
          <t>VÄSTMANLANDS LÄN</t>
        </is>
      </c>
      <c r="E112" t="inlineStr">
        <is>
          <t>SALA</t>
        </is>
      </c>
      <c r="F112" t="inlineStr">
        <is>
          <t>Kyrkan</t>
        </is>
      </c>
      <c r="G112" t="n">
        <v>1.5</v>
      </c>
      <c r="H112" t="n">
        <v>0</v>
      </c>
      <c r="I112" t="n">
        <v>0</v>
      </c>
      <c r="J112" t="n">
        <v>0</v>
      </c>
      <c r="K112" t="n">
        <v>0</v>
      </c>
      <c r="L112" t="n">
        <v>0</v>
      </c>
      <c r="M112" t="n">
        <v>0</v>
      </c>
      <c r="N112" t="n">
        <v>0</v>
      </c>
      <c r="O112" t="n">
        <v>0</v>
      </c>
      <c r="P112" t="n">
        <v>0</v>
      </c>
      <c r="Q112" t="n">
        <v>0</v>
      </c>
      <c r="R112" s="2" t="inlineStr"/>
    </row>
    <row r="113" ht="15" customHeight="1">
      <c r="A113" t="inlineStr">
        <is>
          <t>A 61270-2019</t>
        </is>
      </c>
      <c r="B113" s="1" t="n">
        <v>43783</v>
      </c>
      <c r="C113" s="1" t="n">
        <v>45473</v>
      </c>
      <c r="D113" t="inlineStr">
        <is>
          <t>VÄSTMANLANDS LÄN</t>
        </is>
      </c>
      <c r="E113" t="inlineStr">
        <is>
          <t>SALA</t>
        </is>
      </c>
      <c r="G113" t="n">
        <v>3.3</v>
      </c>
      <c r="H113" t="n">
        <v>0</v>
      </c>
      <c r="I113" t="n">
        <v>0</v>
      </c>
      <c r="J113" t="n">
        <v>0</v>
      </c>
      <c r="K113" t="n">
        <v>0</v>
      </c>
      <c r="L113" t="n">
        <v>0</v>
      </c>
      <c r="M113" t="n">
        <v>0</v>
      </c>
      <c r="N113" t="n">
        <v>0</v>
      </c>
      <c r="O113" t="n">
        <v>0</v>
      </c>
      <c r="P113" t="n">
        <v>0</v>
      </c>
      <c r="Q113" t="n">
        <v>0</v>
      </c>
      <c r="R113" s="2" t="inlineStr"/>
    </row>
    <row r="114" ht="15" customHeight="1">
      <c r="A114" t="inlineStr">
        <is>
          <t>A 61394-2019</t>
        </is>
      </c>
      <c r="B114" s="1" t="n">
        <v>43783</v>
      </c>
      <c r="C114" s="1" t="n">
        <v>45473</v>
      </c>
      <c r="D114" t="inlineStr">
        <is>
          <t>VÄSTMANLANDS LÄN</t>
        </is>
      </c>
      <c r="E114" t="inlineStr">
        <is>
          <t>SALA</t>
        </is>
      </c>
      <c r="G114" t="n">
        <v>7.8</v>
      </c>
      <c r="H114" t="n">
        <v>0</v>
      </c>
      <c r="I114" t="n">
        <v>0</v>
      </c>
      <c r="J114" t="n">
        <v>0</v>
      </c>
      <c r="K114" t="n">
        <v>0</v>
      </c>
      <c r="L114" t="n">
        <v>0</v>
      </c>
      <c r="M114" t="n">
        <v>0</v>
      </c>
      <c r="N114" t="n">
        <v>0</v>
      </c>
      <c r="O114" t="n">
        <v>0</v>
      </c>
      <c r="P114" t="n">
        <v>0</v>
      </c>
      <c r="Q114" t="n">
        <v>0</v>
      </c>
      <c r="R114" s="2" t="inlineStr"/>
    </row>
    <row r="115" ht="15" customHeight="1">
      <c r="A115" t="inlineStr">
        <is>
          <t>A 61758-2019</t>
        </is>
      </c>
      <c r="B115" s="1" t="n">
        <v>43784</v>
      </c>
      <c r="C115" s="1" t="n">
        <v>45473</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62390-2019</t>
        </is>
      </c>
      <c r="B116" s="1" t="n">
        <v>43788</v>
      </c>
      <c r="C116" s="1" t="n">
        <v>45473</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64164-2019</t>
        </is>
      </c>
      <c r="B117" s="1" t="n">
        <v>43791</v>
      </c>
      <c r="C117" s="1" t="n">
        <v>45473</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63369-2019</t>
        </is>
      </c>
      <c r="B118" s="1" t="n">
        <v>43794</v>
      </c>
      <c r="C118" s="1" t="n">
        <v>45473</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63498-2019</t>
        </is>
      </c>
      <c r="B119" s="1" t="n">
        <v>43794</v>
      </c>
      <c r="C119" s="1" t="n">
        <v>45473</v>
      </c>
      <c r="D119" t="inlineStr">
        <is>
          <t>VÄSTMANLANDS LÄN</t>
        </is>
      </c>
      <c r="E119" t="inlineStr">
        <is>
          <t>SALA</t>
        </is>
      </c>
      <c r="G119" t="n">
        <v>0.9</v>
      </c>
      <c r="H119" t="n">
        <v>0</v>
      </c>
      <c r="I119" t="n">
        <v>0</v>
      </c>
      <c r="J119" t="n">
        <v>0</v>
      </c>
      <c r="K119" t="n">
        <v>0</v>
      </c>
      <c r="L119" t="n">
        <v>0</v>
      </c>
      <c r="M119" t="n">
        <v>0</v>
      </c>
      <c r="N119" t="n">
        <v>0</v>
      </c>
      <c r="O119" t="n">
        <v>0</v>
      </c>
      <c r="P119" t="n">
        <v>0</v>
      </c>
      <c r="Q119" t="n">
        <v>0</v>
      </c>
      <c r="R119" s="2" t="inlineStr"/>
    </row>
    <row r="120" ht="15" customHeight="1">
      <c r="A120" t="inlineStr">
        <is>
          <t>A 64090-2019</t>
        </is>
      </c>
      <c r="B120" s="1" t="n">
        <v>43796</v>
      </c>
      <c r="C120" s="1" t="n">
        <v>45473</v>
      </c>
      <c r="D120" t="inlineStr">
        <is>
          <t>VÄSTMANLANDS LÄN</t>
        </is>
      </c>
      <c r="E120" t="inlineStr">
        <is>
          <t>SALA</t>
        </is>
      </c>
      <c r="G120" t="n">
        <v>0.6</v>
      </c>
      <c r="H120" t="n">
        <v>0</v>
      </c>
      <c r="I120" t="n">
        <v>0</v>
      </c>
      <c r="J120" t="n">
        <v>0</v>
      </c>
      <c r="K120" t="n">
        <v>0</v>
      </c>
      <c r="L120" t="n">
        <v>0</v>
      </c>
      <c r="M120" t="n">
        <v>0</v>
      </c>
      <c r="N120" t="n">
        <v>0</v>
      </c>
      <c r="O120" t="n">
        <v>0</v>
      </c>
      <c r="P120" t="n">
        <v>0</v>
      </c>
      <c r="Q120" t="n">
        <v>0</v>
      </c>
      <c r="R120" s="2" t="inlineStr"/>
    </row>
    <row r="121" ht="15" customHeight="1">
      <c r="A121" t="inlineStr">
        <is>
          <t>A 64092-2019</t>
        </is>
      </c>
      <c r="B121" s="1" t="n">
        <v>43796</v>
      </c>
      <c r="C121" s="1" t="n">
        <v>45473</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65021-2019</t>
        </is>
      </c>
      <c r="B122" s="1" t="n">
        <v>43801</v>
      </c>
      <c r="C122" s="1" t="n">
        <v>45473</v>
      </c>
      <c r="D122" t="inlineStr">
        <is>
          <t>VÄSTMANLANDS LÄN</t>
        </is>
      </c>
      <c r="E122" t="inlineStr">
        <is>
          <t>SALA</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66089-2019</t>
        </is>
      </c>
      <c r="B123" s="1" t="n">
        <v>43807</v>
      </c>
      <c r="C123" s="1" t="n">
        <v>45473</v>
      </c>
      <c r="D123" t="inlineStr">
        <is>
          <t>VÄSTMANLANDS LÄN</t>
        </is>
      </c>
      <c r="E123" t="inlineStr">
        <is>
          <t>SALA</t>
        </is>
      </c>
      <c r="G123" t="n">
        <v>17.1</v>
      </c>
      <c r="H123" t="n">
        <v>0</v>
      </c>
      <c r="I123" t="n">
        <v>0</v>
      </c>
      <c r="J123" t="n">
        <v>0</v>
      </c>
      <c r="K123" t="n">
        <v>0</v>
      </c>
      <c r="L123" t="n">
        <v>0</v>
      </c>
      <c r="M123" t="n">
        <v>0</v>
      </c>
      <c r="N123" t="n">
        <v>0</v>
      </c>
      <c r="O123" t="n">
        <v>0</v>
      </c>
      <c r="P123" t="n">
        <v>0</v>
      </c>
      <c r="Q123" t="n">
        <v>0</v>
      </c>
      <c r="R123" s="2" t="inlineStr"/>
    </row>
    <row r="124" ht="15" customHeight="1">
      <c r="A124" t="inlineStr">
        <is>
          <t>A 66216-2019</t>
        </is>
      </c>
      <c r="B124" s="1" t="n">
        <v>43808</v>
      </c>
      <c r="C124" s="1" t="n">
        <v>45473</v>
      </c>
      <c r="D124" t="inlineStr">
        <is>
          <t>VÄSTMANLANDS LÄN</t>
        </is>
      </c>
      <c r="E124" t="inlineStr">
        <is>
          <t>SALA</t>
        </is>
      </c>
      <c r="F124" t="inlineStr">
        <is>
          <t>Kommuner</t>
        </is>
      </c>
      <c r="G124" t="n">
        <v>3.7</v>
      </c>
      <c r="H124" t="n">
        <v>0</v>
      </c>
      <c r="I124" t="n">
        <v>0</v>
      </c>
      <c r="J124" t="n">
        <v>0</v>
      </c>
      <c r="K124" t="n">
        <v>0</v>
      </c>
      <c r="L124" t="n">
        <v>0</v>
      </c>
      <c r="M124" t="n">
        <v>0</v>
      </c>
      <c r="N124" t="n">
        <v>0</v>
      </c>
      <c r="O124" t="n">
        <v>0</v>
      </c>
      <c r="P124" t="n">
        <v>0</v>
      </c>
      <c r="Q124" t="n">
        <v>0</v>
      </c>
      <c r="R124" s="2" t="inlineStr"/>
    </row>
    <row r="125" ht="15" customHeight="1">
      <c r="A125" t="inlineStr">
        <is>
          <t>A 67360-2019</t>
        </is>
      </c>
      <c r="B125" s="1" t="n">
        <v>43812</v>
      </c>
      <c r="C125" s="1" t="n">
        <v>45473</v>
      </c>
      <c r="D125" t="inlineStr">
        <is>
          <t>VÄSTMANLANDS LÄN</t>
        </is>
      </c>
      <c r="E125" t="inlineStr">
        <is>
          <t>SALA</t>
        </is>
      </c>
      <c r="G125" t="n">
        <v>4.9</v>
      </c>
      <c r="H125" t="n">
        <v>0</v>
      </c>
      <c r="I125" t="n">
        <v>0</v>
      </c>
      <c r="J125" t="n">
        <v>0</v>
      </c>
      <c r="K125" t="n">
        <v>0</v>
      </c>
      <c r="L125" t="n">
        <v>0</v>
      </c>
      <c r="M125" t="n">
        <v>0</v>
      </c>
      <c r="N125" t="n">
        <v>0</v>
      </c>
      <c r="O125" t="n">
        <v>0</v>
      </c>
      <c r="P125" t="n">
        <v>0</v>
      </c>
      <c r="Q125" t="n">
        <v>0</v>
      </c>
      <c r="R125" s="2" t="inlineStr"/>
    </row>
    <row r="126" ht="15" customHeight="1">
      <c r="A126" t="inlineStr">
        <is>
          <t>A 68398-2019</t>
        </is>
      </c>
      <c r="B126" s="1" t="n">
        <v>43818</v>
      </c>
      <c r="C126" s="1" t="n">
        <v>45473</v>
      </c>
      <c r="D126" t="inlineStr">
        <is>
          <t>VÄSTMANLANDS LÄN</t>
        </is>
      </c>
      <c r="E126" t="inlineStr">
        <is>
          <t>SALA</t>
        </is>
      </c>
      <c r="G126" t="n">
        <v>1.4</v>
      </c>
      <c r="H126" t="n">
        <v>0</v>
      </c>
      <c r="I126" t="n">
        <v>0</v>
      </c>
      <c r="J126" t="n">
        <v>0</v>
      </c>
      <c r="K126" t="n">
        <v>0</v>
      </c>
      <c r="L126" t="n">
        <v>0</v>
      </c>
      <c r="M126" t="n">
        <v>0</v>
      </c>
      <c r="N126" t="n">
        <v>0</v>
      </c>
      <c r="O126" t="n">
        <v>0</v>
      </c>
      <c r="P126" t="n">
        <v>0</v>
      </c>
      <c r="Q126" t="n">
        <v>0</v>
      </c>
      <c r="R126" s="2" t="inlineStr"/>
    </row>
    <row r="127" ht="15" customHeight="1">
      <c r="A127" t="inlineStr">
        <is>
          <t>A 68394-2019</t>
        </is>
      </c>
      <c r="B127" s="1" t="n">
        <v>43818</v>
      </c>
      <c r="C127" s="1" t="n">
        <v>45473</v>
      </c>
      <c r="D127" t="inlineStr">
        <is>
          <t>VÄSTMANLANDS LÄN</t>
        </is>
      </c>
      <c r="E127" t="inlineStr">
        <is>
          <t>SALA</t>
        </is>
      </c>
      <c r="G127" t="n">
        <v>1.6</v>
      </c>
      <c r="H127" t="n">
        <v>0</v>
      </c>
      <c r="I127" t="n">
        <v>0</v>
      </c>
      <c r="J127" t="n">
        <v>0</v>
      </c>
      <c r="K127" t="n">
        <v>0</v>
      </c>
      <c r="L127" t="n">
        <v>0</v>
      </c>
      <c r="M127" t="n">
        <v>0</v>
      </c>
      <c r="N127" t="n">
        <v>0</v>
      </c>
      <c r="O127" t="n">
        <v>0</v>
      </c>
      <c r="P127" t="n">
        <v>0</v>
      </c>
      <c r="Q127" t="n">
        <v>0</v>
      </c>
      <c r="R127" s="2" t="inlineStr"/>
    </row>
    <row r="128" ht="15" customHeight="1">
      <c r="A128" t="inlineStr">
        <is>
          <t>A 1465-2020</t>
        </is>
      </c>
      <c r="B128" s="1" t="n">
        <v>43822</v>
      </c>
      <c r="C128" s="1" t="n">
        <v>45473</v>
      </c>
      <c r="D128" t="inlineStr">
        <is>
          <t>VÄSTMANLANDS LÄN</t>
        </is>
      </c>
      <c r="E128" t="inlineStr">
        <is>
          <t>SALA</t>
        </is>
      </c>
      <c r="G128" t="n">
        <v>4.1</v>
      </c>
      <c r="H128" t="n">
        <v>0</v>
      </c>
      <c r="I128" t="n">
        <v>0</v>
      </c>
      <c r="J128" t="n">
        <v>0</v>
      </c>
      <c r="K128" t="n">
        <v>0</v>
      </c>
      <c r="L128" t="n">
        <v>0</v>
      </c>
      <c r="M128" t="n">
        <v>0</v>
      </c>
      <c r="N128" t="n">
        <v>0</v>
      </c>
      <c r="O128" t="n">
        <v>0</v>
      </c>
      <c r="P128" t="n">
        <v>0</v>
      </c>
      <c r="Q128" t="n">
        <v>0</v>
      </c>
      <c r="R128" s="2" t="inlineStr"/>
    </row>
    <row r="129" ht="15" customHeight="1">
      <c r="A129" t="inlineStr">
        <is>
          <t>A 63-2020</t>
        </is>
      </c>
      <c r="B129" s="1" t="n">
        <v>43832</v>
      </c>
      <c r="C129" s="1" t="n">
        <v>45473</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151-2020</t>
        </is>
      </c>
      <c r="B130" s="1" t="n">
        <v>43833</v>
      </c>
      <c r="C130" s="1" t="n">
        <v>45473</v>
      </c>
      <c r="D130" t="inlineStr">
        <is>
          <t>VÄSTMANLANDS LÄN</t>
        </is>
      </c>
      <c r="E130" t="inlineStr">
        <is>
          <t>SALA</t>
        </is>
      </c>
      <c r="F130" t="inlineStr">
        <is>
          <t>Kyrkan</t>
        </is>
      </c>
      <c r="G130" t="n">
        <v>6.5</v>
      </c>
      <c r="H130" t="n">
        <v>0</v>
      </c>
      <c r="I130" t="n">
        <v>0</v>
      </c>
      <c r="J130" t="n">
        <v>0</v>
      </c>
      <c r="K130" t="n">
        <v>0</v>
      </c>
      <c r="L130" t="n">
        <v>0</v>
      </c>
      <c r="M130" t="n">
        <v>0</v>
      </c>
      <c r="N130" t="n">
        <v>0</v>
      </c>
      <c r="O130" t="n">
        <v>0</v>
      </c>
      <c r="P130" t="n">
        <v>0</v>
      </c>
      <c r="Q130" t="n">
        <v>0</v>
      </c>
      <c r="R130" s="2" t="inlineStr"/>
    </row>
    <row r="131" ht="15" customHeight="1">
      <c r="A131" t="inlineStr">
        <is>
          <t>A 161-2020</t>
        </is>
      </c>
      <c r="B131" s="1" t="n">
        <v>43833</v>
      </c>
      <c r="C131" s="1" t="n">
        <v>45473</v>
      </c>
      <c r="D131" t="inlineStr">
        <is>
          <t>VÄSTMANLANDS LÄN</t>
        </is>
      </c>
      <c r="E131" t="inlineStr">
        <is>
          <t>SALA</t>
        </is>
      </c>
      <c r="F131" t="inlineStr">
        <is>
          <t>Kyrkan</t>
        </is>
      </c>
      <c r="G131" t="n">
        <v>1.6</v>
      </c>
      <c r="H131" t="n">
        <v>0</v>
      </c>
      <c r="I131" t="n">
        <v>0</v>
      </c>
      <c r="J131" t="n">
        <v>0</v>
      </c>
      <c r="K131" t="n">
        <v>0</v>
      </c>
      <c r="L131" t="n">
        <v>0</v>
      </c>
      <c r="M131" t="n">
        <v>0</v>
      </c>
      <c r="N131" t="n">
        <v>0</v>
      </c>
      <c r="O131" t="n">
        <v>0</v>
      </c>
      <c r="P131" t="n">
        <v>0</v>
      </c>
      <c r="Q131" t="n">
        <v>0</v>
      </c>
      <c r="R131" s="2" t="inlineStr"/>
    </row>
    <row r="132" ht="15" customHeight="1">
      <c r="A132" t="inlineStr">
        <is>
          <t>A 297-2020</t>
        </is>
      </c>
      <c r="B132" s="1" t="n">
        <v>43837</v>
      </c>
      <c r="C132" s="1" t="n">
        <v>45473</v>
      </c>
      <c r="D132" t="inlineStr">
        <is>
          <t>VÄSTMANLANDS LÄN</t>
        </is>
      </c>
      <c r="E132" t="inlineStr">
        <is>
          <t>SALA</t>
        </is>
      </c>
      <c r="F132" t="inlineStr">
        <is>
          <t>Kyrkan</t>
        </is>
      </c>
      <c r="G132" t="n">
        <v>0.3</v>
      </c>
      <c r="H132" t="n">
        <v>0</v>
      </c>
      <c r="I132" t="n">
        <v>0</v>
      </c>
      <c r="J132" t="n">
        <v>0</v>
      </c>
      <c r="K132" t="n">
        <v>0</v>
      </c>
      <c r="L132" t="n">
        <v>0</v>
      </c>
      <c r="M132" t="n">
        <v>0</v>
      </c>
      <c r="N132" t="n">
        <v>0</v>
      </c>
      <c r="O132" t="n">
        <v>0</v>
      </c>
      <c r="P132" t="n">
        <v>0</v>
      </c>
      <c r="Q132" t="n">
        <v>0</v>
      </c>
      <c r="R132" s="2" t="inlineStr"/>
    </row>
    <row r="133" ht="15" customHeight="1">
      <c r="A133" t="inlineStr">
        <is>
          <t>A 496-2020</t>
        </is>
      </c>
      <c r="B133" s="1" t="n">
        <v>43837</v>
      </c>
      <c r="C133" s="1" t="n">
        <v>45473</v>
      </c>
      <c r="D133" t="inlineStr">
        <is>
          <t>VÄSTMANLANDS LÄN</t>
        </is>
      </c>
      <c r="E133" t="inlineStr">
        <is>
          <t>SALA</t>
        </is>
      </c>
      <c r="G133" t="n">
        <v>1.3</v>
      </c>
      <c r="H133" t="n">
        <v>0</v>
      </c>
      <c r="I133" t="n">
        <v>0</v>
      </c>
      <c r="J133" t="n">
        <v>0</v>
      </c>
      <c r="K133" t="n">
        <v>0</v>
      </c>
      <c r="L133" t="n">
        <v>0</v>
      </c>
      <c r="M133" t="n">
        <v>0</v>
      </c>
      <c r="N133" t="n">
        <v>0</v>
      </c>
      <c r="O133" t="n">
        <v>0</v>
      </c>
      <c r="P133" t="n">
        <v>0</v>
      </c>
      <c r="Q133" t="n">
        <v>0</v>
      </c>
      <c r="R133" s="2" t="inlineStr"/>
    </row>
    <row r="134" ht="15" customHeight="1">
      <c r="A134" t="inlineStr">
        <is>
          <t>A 1005-2020</t>
        </is>
      </c>
      <c r="B134" s="1" t="n">
        <v>43839</v>
      </c>
      <c r="C134" s="1" t="n">
        <v>45473</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1272-2020</t>
        </is>
      </c>
      <c r="B135" s="1" t="n">
        <v>43841</v>
      </c>
      <c r="C135" s="1" t="n">
        <v>45473</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1346-2020</t>
        </is>
      </c>
      <c r="B136" s="1" t="n">
        <v>43843</v>
      </c>
      <c r="C136" s="1" t="n">
        <v>45473</v>
      </c>
      <c r="D136" t="inlineStr">
        <is>
          <t>VÄSTMANLANDS LÄN</t>
        </is>
      </c>
      <c r="E136" t="inlineStr">
        <is>
          <t>SALA</t>
        </is>
      </c>
      <c r="G136" t="n">
        <v>1</v>
      </c>
      <c r="H136" t="n">
        <v>0</v>
      </c>
      <c r="I136" t="n">
        <v>0</v>
      </c>
      <c r="J136" t="n">
        <v>0</v>
      </c>
      <c r="K136" t="n">
        <v>0</v>
      </c>
      <c r="L136" t="n">
        <v>0</v>
      </c>
      <c r="M136" t="n">
        <v>0</v>
      </c>
      <c r="N136" t="n">
        <v>0</v>
      </c>
      <c r="O136" t="n">
        <v>0</v>
      </c>
      <c r="P136" t="n">
        <v>0</v>
      </c>
      <c r="Q136" t="n">
        <v>0</v>
      </c>
      <c r="R136" s="2" t="inlineStr"/>
    </row>
    <row r="137" ht="15" customHeight="1">
      <c r="A137" t="inlineStr">
        <is>
          <t>A 3935-2020</t>
        </is>
      </c>
      <c r="B137" s="1" t="n">
        <v>43846</v>
      </c>
      <c r="C137" s="1" t="n">
        <v>45473</v>
      </c>
      <c r="D137" t="inlineStr">
        <is>
          <t>VÄSTMANLANDS LÄN</t>
        </is>
      </c>
      <c r="E137" t="inlineStr">
        <is>
          <t>SALA</t>
        </is>
      </c>
      <c r="G137" t="n">
        <v>1</v>
      </c>
      <c r="H137" t="n">
        <v>0</v>
      </c>
      <c r="I137" t="n">
        <v>0</v>
      </c>
      <c r="J137" t="n">
        <v>0</v>
      </c>
      <c r="K137" t="n">
        <v>0</v>
      </c>
      <c r="L137" t="n">
        <v>0</v>
      </c>
      <c r="M137" t="n">
        <v>0</v>
      </c>
      <c r="N137" t="n">
        <v>0</v>
      </c>
      <c r="O137" t="n">
        <v>0</v>
      </c>
      <c r="P137" t="n">
        <v>0</v>
      </c>
      <c r="Q137" t="n">
        <v>0</v>
      </c>
      <c r="R137" s="2" t="inlineStr"/>
    </row>
    <row r="138" ht="15" customHeight="1">
      <c r="A138" t="inlineStr">
        <is>
          <t>A 2588-2020</t>
        </is>
      </c>
      <c r="B138" s="1" t="n">
        <v>43847</v>
      </c>
      <c r="C138" s="1" t="n">
        <v>45473</v>
      </c>
      <c r="D138" t="inlineStr">
        <is>
          <t>VÄSTMANLANDS LÄN</t>
        </is>
      </c>
      <c r="E138" t="inlineStr">
        <is>
          <t>SALA</t>
        </is>
      </c>
      <c r="G138" t="n">
        <v>1.8</v>
      </c>
      <c r="H138" t="n">
        <v>0</v>
      </c>
      <c r="I138" t="n">
        <v>0</v>
      </c>
      <c r="J138" t="n">
        <v>0</v>
      </c>
      <c r="K138" t="n">
        <v>0</v>
      </c>
      <c r="L138" t="n">
        <v>0</v>
      </c>
      <c r="M138" t="n">
        <v>0</v>
      </c>
      <c r="N138" t="n">
        <v>0</v>
      </c>
      <c r="O138" t="n">
        <v>0</v>
      </c>
      <c r="P138" t="n">
        <v>0</v>
      </c>
      <c r="Q138" t="n">
        <v>0</v>
      </c>
      <c r="R138" s="2" t="inlineStr"/>
    </row>
    <row r="139" ht="15" customHeight="1">
      <c r="A139" t="inlineStr">
        <is>
          <t>A 4630-2020</t>
        </is>
      </c>
      <c r="B139" s="1" t="n">
        <v>43851</v>
      </c>
      <c r="C139" s="1" t="n">
        <v>45473</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3590-2020</t>
        </is>
      </c>
      <c r="B140" s="1" t="n">
        <v>43853</v>
      </c>
      <c r="C140" s="1" t="n">
        <v>45473</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4866-2020</t>
        </is>
      </c>
      <c r="B141" s="1" t="n">
        <v>43859</v>
      </c>
      <c r="C141" s="1" t="n">
        <v>45473</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5201-2020</t>
        </is>
      </c>
      <c r="B142" s="1" t="n">
        <v>43860</v>
      </c>
      <c r="C142" s="1" t="n">
        <v>45473</v>
      </c>
      <c r="D142" t="inlineStr">
        <is>
          <t>VÄSTMANLANDS LÄN</t>
        </is>
      </c>
      <c r="E142" t="inlineStr">
        <is>
          <t>SALA</t>
        </is>
      </c>
      <c r="F142" t="inlineStr">
        <is>
          <t>Kyrkan</t>
        </is>
      </c>
      <c r="G142" t="n">
        <v>5</v>
      </c>
      <c r="H142" t="n">
        <v>0</v>
      </c>
      <c r="I142" t="n">
        <v>0</v>
      </c>
      <c r="J142" t="n">
        <v>0</v>
      </c>
      <c r="K142" t="n">
        <v>0</v>
      </c>
      <c r="L142" t="n">
        <v>0</v>
      </c>
      <c r="M142" t="n">
        <v>0</v>
      </c>
      <c r="N142" t="n">
        <v>0</v>
      </c>
      <c r="O142" t="n">
        <v>0</v>
      </c>
      <c r="P142" t="n">
        <v>0</v>
      </c>
      <c r="Q142" t="n">
        <v>0</v>
      </c>
      <c r="R142" s="2" t="inlineStr"/>
    </row>
    <row r="143" ht="15" customHeight="1">
      <c r="A143" t="inlineStr">
        <is>
          <t>A 5163-2020</t>
        </is>
      </c>
      <c r="B143" s="1" t="n">
        <v>43860</v>
      </c>
      <c r="C143" s="1" t="n">
        <v>45473</v>
      </c>
      <c r="D143" t="inlineStr">
        <is>
          <t>VÄSTMANLANDS LÄN</t>
        </is>
      </c>
      <c r="E143" t="inlineStr">
        <is>
          <t>SALA</t>
        </is>
      </c>
      <c r="G143" t="n">
        <v>1.9</v>
      </c>
      <c r="H143" t="n">
        <v>0</v>
      </c>
      <c r="I143" t="n">
        <v>0</v>
      </c>
      <c r="J143" t="n">
        <v>0</v>
      </c>
      <c r="K143" t="n">
        <v>0</v>
      </c>
      <c r="L143" t="n">
        <v>0</v>
      </c>
      <c r="M143" t="n">
        <v>0</v>
      </c>
      <c r="N143" t="n">
        <v>0</v>
      </c>
      <c r="O143" t="n">
        <v>0</v>
      </c>
      <c r="P143" t="n">
        <v>0</v>
      </c>
      <c r="Q143" t="n">
        <v>0</v>
      </c>
      <c r="R143" s="2" t="inlineStr"/>
    </row>
    <row r="144" ht="15" customHeight="1">
      <c r="A144" t="inlineStr">
        <is>
          <t>A 5191-2020</t>
        </is>
      </c>
      <c r="B144" s="1" t="n">
        <v>43860</v>
      </c>
      <c r="C144" s="1" t="n">
        <v>45473</v>
      </c>
      <c r="D144" t="inlineStr">
        <is>
          <t>VÄSTMANLANDS LÄN</t>
        </is>
      </c>
      <c r="E144" t="inlineStr">
        <is>
          <t>SALA</t>
        </is>
      </c>
      <c r="F144" t="inlineStr">
        <is>
          <t>Kyrkan</t>
        </is>
      </c>
      <c r="G144" t="n">
        <v>10.9</v>
      </c>
      <c r="H144" t="n">
        <v>0</v>
      </c>
      <c r="I144" t="n">
        <v>0</v>
      </c>
      <c r="J144" t="n">
        <v>0</v>
      </c>
      <c r="K144" t="n">
        <v>0</v>
      </c>
      <c r="L144" t="n">
        <v>0</v>
      </c>
      <c r="M144" t="n">
        <v>0</v>
      </c>
      <c r="N144" t="n">
        <v>0</v>
      </c>
      <c r="O144" t="n">
        <v>0</v>
      </c>
      <c r="P144" t="n">
        <v>0</v>
      </c>
      <c r="Q144" t="n">
        <v>0</v>
      </c>
      <c r="R144" s="2" t="inlineStr"/>
    </row>
    <row r="145" ht="15" customHeight="1">
      <c r="A145" t="inlineStr">
        <is>
          <t>A 5320-2020</t>
        </is>
      </c>
      <c r="B145" s="1" t="n">
        <v>43860</v>
      </c>
      <c r="C145" s="1" t="n">
        <v>45473</v>
      </c>
      <c r="D145" t="inlineStr">
        <is>
          <t>VÄSTMANLANDS LÄN</t>
        </is>
      </c>
      <c r="E145" t="inlineStr">
        <is>
          <t>SALA</t>
        </is>
      </c>
      <c r="G145" t="n">
        <v>3.1</v>
      </c>
      <c r="H145" t="n">
        <v>0</v>
      </c>
      <c r="I145" t="n">
        <v>0</v>
      </c>
      <c r="J145" t="n">
        <v>0</v>
      </c>
      <c r="K145" t="n">
        <v>0</v>
      </c>
      <c r="L145" t="n">
        <v>0</v>
      </c>
      <c r="M145" t="n">
        <v>0</v>
      </c>
      <c r="N145" t="n">
        <v>0</v>
      </c>
      <c r="O145" t="n">
        <v>0</v>
      </c>
      <c r="P145" t="n">
        <v>0</v>
      </c>
      <c r="Q145" t="n">
        <v>0</v>
      </c>
      <c r="R145" s="2" t="inlineStr"/>
    </row>
    <row r="146" ht="15" customHeight="1">
      <c r="A146" t="inlineStr">
        <is>
          <t>A 5587-2020</t>
        </is>
      </c>
      <c r="B146" s="1" t="n">
        <v>43861</v>
      </c>
      <c r="C146" s="1" t="n">
        <v>45473</v>
      </c>
      <c r="D146" t="inlineStr">
        <is>
          <t>VÄSTMANLANDS LÄN</t>
        </is>
      </c>
      <c r="E146" t="inlineStr">
        <is>
          <t>SALA</t>
        </is>
      </c>
      <c r="G146" t="n">
        <v>9.6</v>
      </c>
      <c r="H146" t="n">
        <v>0</v>
      </c>
      <c r="I146" t="n">
        <v>0</v>
      </c>
      <c r="J146" t="n">
        <v>0</v>
      </c>
      <c r="K146" t="n">
        <v>0</v>
      </c>
      <c r="L146" t="n">
        <v>0</v>
      </c>
      <c r="M146" t="n">
        <v>0</v>
      </c>
      <c r="N146" t="n">
        <v>0</v>
      </c>
      <c r="O146" t="n">
        <v>0</v>
      </c>
      <c r="P146" t="n">
        <v>0</v>
      </c>
      <c r="Q146" t="n">
        <v>0</v>
      </c>
      <c r="R146" s="2" t="inlineStr"/>
    </row>
    <row r="147" ht="15" customHeight="1">
      <c r="A147" t="inlineStr">
        <is>
          <t>A 5750-2020</t>
        </is>
      </c>
      <c r="B147" s="1" t="n">
        <v>43864</v>
      </c>
      <c r="C147" s="1" t="n">
        <v>45473</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6185-2020</t>
        </is>
      </c>
      <c r="B148" s="1" t="n">
        <v>43865</v>
      </c>
      <c r="C148" s="1" t="n">
        <v>45473</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7190-2020</t>
        </is>
      </c>
      <c r="B149" s="1" t="n">
        <v>43868</v>
      </c>
      <c r="C149" s="1" t="n">
        <v>45473</v>
      </c>
      <c r="D149" t="inlineStr">
        <is>
          <t>VÄSTMANLANDS LÄN</t>
        </is>
      </c>
      <c r="E149" t="inlineStr">
        <is>
          <t>SALA</t>
        </is>
      </c>
      <c r="G149" t="n">
        <v>4.5</v>
      </c>
      <c r="H149" t="n">
        <v>0</v>
      </c>
      <c r="I149" t="n">
        <v>0</v>
      </c>
      <c r="J149" t="n">
        <v>0</v>
      </c>
      <c r="K149" t="n">
        <v>0</v>
      </c>
      <c r="L149" t="n">
        <v>0</v>
      </c>
      <c r="M149" t="n">
        <v>0</v>
      </c>
      <c r="N149" t="n">
        <v>0</v>
      </c>
      <c r="O149" t="n">
        <v>0</v>
      </c>
      <c r="P149" t="n">
        <v>0</v>
      </c>
      <c r="Q149" t="n">
        <v>0</v>
      </c>
      <c r="R149" s="2" t="inlineStr"/>
    </row>
    <row r="150" ht="15" customHeight="1">
      <c r="A150" t="inlineStr">
        <is>
          <t>A 10010-2020</t>
        </is>
      </c>
      <c r="B150" s="1" t="n">
        <v>43882</v>
      </c>
      <c r="C150" s="1" t="n">
        <v>45473</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10276-2020</t>
        </is>
      </c>
      <c r="B151" s="1" t="n">
        <v>43885</v>
      </c>
      <c r="C151" s="1" t="n">
        <v>45473</v>
      </c>
      <c r="D151" t="inlineStr">
        <is>
          <t>VÄSTMANLANDS LÄN</t>
        </is>
      </c>
      <c r="E151" t="inlineStr">
        <is>
          <t>SALA</t>
        </is>
      </c>
      <c r="G151" t="n">
        <v>1.3</v>
      </c>
      <c r="H151" t="n">
        <v>0</v>
      </c>
      <c r="I151" t="n">
        <v>0</v>
      </c>
      <c r="J151" t="n">
        <v>0</v>
      </c>
      <c r="K151" t="n">
        <v>0</v>
      </c>
      <c r="L151" t="n">
        <v>0</v>
      </c>
      <c r="M151" t="n">
        <v>0</v>
      </c>
      <c r="N151" t="n">
        <v>0</v>
      </c>
      <c r="O151" t="n">
        <v>0</v>
      </c>
      <c r="P151" t="n">
        <v>0</v>
      </c>
      <c r="Q151" t="n">
        <v>0</v>
      </c>
      <c r="R151" s="2" t="inlineStr"/>
    </row>
    <row r="152" ht="15" customHeight="1">
      <c r="A152" t="inlineStr">
        <is>
          <t>A 10811-2020</t>
        </is>
      </c>
      <c r="B152" s="1" t="n">
        <v>43888</v>
      </c>
      <c r="C152" s="1" t="n">
        <v>45473</v>
      </c>
      <c r="D152" t="inlineStr">
        <is>
          <t>VÄSTMANLANDS LÄN</t>
        </is>
      </c>
      <c r="E152" t="inlineStr">
        <is>
          <t>SALA</t>
        </is>
      </c>
      <c r="G152" t="n">
        <v>3.9</v>
      </c>
      <c r="H152" t="n">
        <v>0</v>
      </c>
      <c r="I152" t="n">
        <v>0</v>
      </c>
      <c r="J152" t="n">
        <v>0</v>
      </c>
      <c r="K152" t="n">
        <v>0</v>
      </c>
      <c r="L152" t="n">
        <v>0</v>
      </c>
      <c r="M152" t="n">
        <v>0</v>
      </c>
      <c r="N152" t="n">
        <v>0</v>
      </c>
      <c r="O152" t="n">
        <v>0</v>
      </c>
      <c r="P152" t="n">
        <v>0</v>
      </c>
      <c r="Q152" t="n">
        <v>0</v>
      </c>
      <c r="R152" s="2" t="inlineStr"/>
    </row>
    <row r="153" ht="15" customHeight="1">
      <c r="A153" t="inlineStr">
        <is>
          <t>A 14110-2020</t>
        </is>
      </c>
      <c r="B153" s="1" t="n">
        <v>43900</v>
      </c>
      <c r="C153" s="1" t="n">
        <v>45473</v>
      </c>
      <c r="D153" t="inlineStr">
        <is>
          <t>VÄSTMANLANDS LÄN</t>
        </is>
      </c>
      <c r="E153" t="inlineStr">
        <is>
          <t>SALA</t>
        </is>
      </c>
      <c r="G153" t="n">
        <v>2.5</v>
      </c>
      <c r="H153" t="n">
        <v>0</v>
      </c>
      <c r="I153" t="n">
        <v>0</v>
      </c>
      <c r="J153" t="n">
        <v>0</v>
      </c>
      <c r="K153" t="n">
        <v>0</v>
      </c>
      <c r="L153" t="n">
        <v>0</v>
      </c>
      <c r="M153" t="n">
        <v>0</v>
      </c>
      <c r="N153" t="n">
        <v>0</v>
      </c>
      <c r="O153" t="n">
        <v>0</v>
      </c>
      <c r="P153" t="n">
        <v>0</v>
      </c>
      <c r="Q153" t="n">
        <v>0</v>
      </c>
      <c r="R153" s="2" t="inlineStr"/>
    </row>
    <row r="154" ht="15" customHeight="1">
      <c r="A154" t="inlineStr">
        <is>
          <t>A 13643-2020</t>
        </is>
      </c>
      <c r="B154" s="1" t="n">
        <v>43903</v>
      </c>
      <c r="C154" s="1" t="n">
        <v>45473</v>
      </c>
      <c r="D154" t="inlineStr">
        <is>
          <t>VÄSTMANLANDS LÄN</t>
        </is>
      </c>
      <c r="E154" t="inlineStr">
        <is>
          <t>SALA</t>
        </is>
      </c>
      <c r="G154" t="n">
        <v>2.3</v>
      </c>
      <c r="H154" t="n">
        <v>0</v>
      </c>
      <c r="I154" t="n">
        <v>0</v>
      </c>
      <c r="J154" t="n">
        <v>0</v>
      </c>
      <c r="K154" t="n">
        <v>0</v>
      </c>
      <c r="L154" t="n">
        <v>0</v>
      </c>
      <c r="M154" t="n">
        <v>0</v>
      </c>
      <c r="N154" t="n">
        <v>0</v>
      </c>
      <c r="O154" t="n">
        <v>0</v>
      </c>
      <c r="P154" t="n">
        <v>0</v>
      </c>
      <c r="Q154" t="n">
        <v>0</v>
      </c>
      <c r="R154" s="2" t="inlineStr"/>
    </row>
    <row r="155" ht="15" customHeight="1">
      <c r="A155" t="inlineStr">
        <is>
          <t>A 13936-2020</t>
        </is>
      </c>
      <c r="B155" s="1" t="n">
        <v>43903</v>
      </c>
      <c r="C155" s="1" t="n">
        <v>45473</v>
      </c>
      <c r="D155" t="inlineStr">
        <is>
          <t>VÄSTMANLANDS LÄN</t>
        </is>
      </c>
      <c r="E155" t="inlineStr">
        <is>
          <t>SALA</t>
        </is>
      </c>
      <c r="G155" t="n">
        <v>1.7</v>
      </c>
      <c r="H155" t="n">
        <v>0</v>
      </c>
      <c r="I155" t="n">
        <v>0</v>
      </c>
      <c r="J155" t="n">
        <v>0</v>
      </c>
      <c r="K155" t="n">
        <v>0</v>
      </c>
      <c r="L155" t="n">
        <v>0</v>
      </c>
      <c r="M155" t="n">
        <v>0</v>
      </c>
      <c r="N155" t="n">
        <v>0</v>
      </c>
      <c r="O155" t="n">
        <v>0</v>
      </c>
      <c r="P155" t="n">
        <v>0</v>
      </c>
      <c r="Q155" t="n">
        <v>0</v>
      </c>
      <c r="R155" s="2" t="inlineStr"/>
    </row>
    <row r="156" ht="15" customHeight="1">
      <c r="A156" t="inlineStr">
        <is>
          <t>A 14049-2020</t>
        </is>
      </c>
      <c r="B156" s="1" t="n">
        <v>43906</v>
      </c>
      <c r="C156" s="1" t="n">
        <v>45473</v>
      </c>
      <c r="D156" t="inlineStr">
        <is>
          <t>VÄSTMANLANDS LÄN</t>
        </is>
      </c>
      <c r="E156" t="inlineStr">
        <is>
          <t>SALA</t>
        </is>
      </c>
      <c r="G156" t="n">
        <v>4.4</v>
      </c>
      <c r="H156" t="n">
        <v>0</v>
      </c>
      <c r="I156" t="n">
        <v>0</v>
      </c>
      <c r="J156" t="n">
        <v>0</v>
      </c>
      <c r="K156" t="n">
        <v>0</v>
      </c>
      <c r="L156" t="n">
        <v>0</v>
      </c>
      <c r="M156" t="n">
        <v>0</v>
      </c>
      <c r="N156" t="n">
        <v>0</v>
      </c>
      <c r="O156" t="n">
        <v>0</v>
      </c>
      <c r="P156" t="n">
        <v>0</v>
      </c>
      <c r="Q156" t="n">
        <v>0</v>
      </c>
      <c r="R156" s="2" t="inlineStr"/>
    </row>
    <row r="157" ht="15" customHeight="1">
      <c r="A157" t="inlineStr">
        <is>
          <t>A 14542-2020</t>
        </is>
      </c>
      <c r="B157" s="1" t="n">
        <v>43908</v>
      </c>
      <c r="C157" s="1" t="n">
        <v>45473</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16480-2020</t>
        </is>
      </c>
      <c r="B158" s="1" t="n">
        <v>43914</v>
      </c>
      <c r="C158" s="1" t="n">
        <v>45473</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15850-2020</t>
        </is>
      </c>
      <c r="B159" s="1" t="n">
        <v>43915</v>
      </c>
      <c r="C159" s="1" t="n">
        <v>45473</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15748-2020</t>
        </is>
      </c>
      <c r="B160" s="1" t="n">
        <v>43915</v>
      </c>
      <c r="C160" s="1" t="n">
        <v>45473</v>
      </c>
      <c r="D160" t="inlineStr">
        <is>
          <t>VÄSTMANLANDS LÄN</t>
        </is>
      </c>
      <c r="E160" t="inlineStr">
        <is>
          <t>SALA</t>
        </is>
      </c>
      <c r="G160" t="n">
        <v>2.4</v>
      </c>
      <c r="H160" t="n">
        <v>0</v>
      </c>
      <c r="I160" t="n">
        <v>0</v>
      </c>
      <c r="J160" t="n">
        <v>0</v>
      </c>
      <c r="K160" t="n">
        <v>0</v>
      </c>
      <c r="L160" t="n">
        <v>0</v>
      </c>
      <c r="M160" t="n">
        <v>0</v>
      </c>
      <c r="N160" t="n">
        <v>0</v>
      </c>
      <c r="O160" t="n">
        <v>0</v>
      </c>
      <c r="P160" t="n">
        <v>0</v>
      </c>
      <c r="Q160" t="n">
        <v>0</v>
      </c>
      <c r="R160" s="2" t="inlineStr"/>
    </row>
    <row r="161" ht="15" customHeight="1">
      <c r="A161" t="inlineStr">
        <is>
          <t>A 16093-2020</t>
        </is>
      </c>
      <c r="B161" s="1" t="n">
        <v>43916</v>
      </c>
      <c r="C161" s="1" t="n">
        <v>45473</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17139-2020</t>
        </is>
      </c>
      <c r="B162" s="1" t="n">
        <v>43922</v>
      </c>
      <c r="C162" s="1" t="n">
        <v>45473</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17205-2020</t>
        </is>
      </c>
      <c r="B163" s="1" t="n">
        <v>43922</v>
      </c>
      <c r="C163" s="1" t="n">
        <v>45473</v>
      </c>
      <c r="D163" t="inlineStr">
        <is>
          <t>VÄSTMANLANDS LÄN</t>
        </is>
      </c>
      <c r="E163" t="inlineStr">
        <is>
          <t>SALA</t>
        </is>
      </c>
      <c r="G163" t="n">
        <v>3.2</v>
      </c>
      <c r="H163" t="n">
        <v>0</v>
      </c>
      <c r="I163" t="n">
        <v>0</v>
      </c>
      <c r="J163" t="n">
        <v>0</v>
      </c>
      <c r="K163" t="n">
        <v>0</v>
      </c>
      <c r="L163" t="n">
        <v>0</v>
      </c>
      <c r="M163" t="n">
        <v>0</v>
      </c>
      <c r="N163" t="n">
        <v>0</v>
      </c>
      <c r="O163" t="n">
        <v>0</v>
      </c>
      <c r="P163" t="n">
        <v>0</v>
      </c>
      <c r="Q163" t="n">
        <v>0</v>
      </c>
      <c r="R163" s="2" t="inlineStr"/>
    </row>
    <row r="164" ht="15" customHeight="1">
      <c r="A164" t="inlineStr">
        <is>
          <t>A 17355-2020</t>
        </is>
      </c>
      <c r="B164" s="1" t="n">
        <v>43923</v>
      </c>
      <c r="C164" s="1" t="n">
        <v>45473</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17492-2020</t>
        </is>
      </c>
      <c r="B165" s="1" t="n">
        <v>43923</v>
      </c>
      <c r="C165" s="1" t="n">
        <v>45473</v>
      </c>
      <c r="D165" t="inlineStr">
        <is>
          <t>VÄSTMANLANDS LÄN</t>
        </is>
      </c>
      <c r="E165" t="inlineStr">
        <is>
          <t>SALA</t>
        </is>
      </c>
      <c r="G165" t="n">
        <v>0.8</v>
      </c>
      <c r="H165" t="n">
        <v>0</v>
      </c>
      <c r="I165" t="n">
        <v>0</v>
      </c>
      <c r="J165" t="n">
        <v>0</v>
      </c>
      <c r="K165" t="n">
        <v>0</v>
      </c>
      <c r="L165" t="n">
        <v>0</v>
      </c>
      <c r="M165" t="n">
        <v>0</v>
      </c>
      <c r="N165" t="n">
        <v>0</v>
      </c>
      <c r="O165" t="n">
        <v>0</v>
      </c>
      <c r="P165" t="n">
        <v>0</v>
      </c>
      <c r="Q165" t="n">
        <v>0</v>
      </c>
      <c r="R165" s="2" t="inlineStr"/>
    </row>
    <row r="166" ht="15" customHeight="1">
      <c r="A166" t="inlineStr">
        <is>
          <t>A 17919-2020</t>
        </is>
      </c>
      <c r="B166" s="1" t="n">
        <v>43924</v>
      </c>
      <c r="C166" s="1" t="n">
        <v>45473</v>
      </c>
      <c r="D166" t="inlineStr">
        <is>
          <t>VÄSTMANLANDS LÄN</t>
        </is>
      </c>
      <c r="E166" t="inlineStr">
        <is>
          <t>SALA</t>
        </is>
      </c>
      <c r="G166" t="n">
        <v>2.6</v>
      </c>
      <c r="H166" t="n">
        <v>0</v>
      </c>
      <c r="I166" t="n">
        <v>0</v>
      </c>
      <c r="J166" t="n">
        <v>0</v>
      </c>
      <c r="K166" t="n">
        <v>0</v>
      </c>
      <c r="L166" t="n">
        <v>0</v>
      </c>
      <c r="M166" t="n">
        <v>0</v>
      </c>
      <c r="N166" t="n">
        <v>0</v>
      </c>
      <c r="O166" t="n">
        <v>0</v>
      </c>
      <c r="P166" t="n">
        <v>0</v>
      </c>
      <c r="Q166" t="n">
        <v>0</v>
      </c>
      <c r="R166" s="2" t="inlineStr"/>
    </row>
    <row r="167" ht="15" customHeight="1">
      <c r="A167" t="inlineStr">
        <is>
          <t>A 18772-2020</t>
        </is>
      </c>
      <c r="B167" s="1" t="n">
        <v>43930</v>
      </c>
      <c r="C167" s="1" t="n">
        <v>45473</v>
      </c>
      <c r="D167" t="inlineStr">
        <is>
          <t>VÄSTMANLANDS LÄN</t>
        </is>
      </c>
      <c r="E167" t="inlineStr">
        <is>
          <t>SALA</t>
        </is>
      </c>
      <c r="G167" t="n">
        <v>3.5</v>
      </c>
      <c r="H167" t="n">
        <v>0</v>
      </c>
      <c r="I167" t="n">
        <v>0</v>
      </c>
      <c r="J167" t="n">
        <v>0</v>
      </c>
      <c r="K167" t="n">
        <v>0</v>
      </c>
      <c r="L167" t="n">
        <v>0</v>
      </c>
      <c r="M167" t="n">
        <v>0</v>
      </c>
      <c r="N167" t="n">
        <v>0</v>
      </c>
      <c r="O167" t="n">
        <v>0</v>
      </c>
      <c r="P167" t="n">
        <v>0</v>
      </c>
      <c r="Q167" t="n">
        <v>0</v>
      </c>
      <c r="R167" s="2" t="inlineStr"/>
    </row>
    <row r="168" ht="15" customHeight="1">
      <c r="A168" t="inlineStr">
        <is>
          <t>A 19071-2020</t>
        </is>
      </c>
      <c r="B168" s="1" t="n">
        <v>43936</v>
      </c>
      <c r="C168" s="1" t="n">
        <v>45473</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19480-2020</t>
        </is>
      </c>
      <c r="B169" s="1" t="n">
        <v>43936</v>
      </c>
      <c r="C169" s="1" t="n">
        <v>45473</v>
      </c>
      <c r="D169" t="inlineStr">
        <is>
          <t>VÄSTMANLANDS LÄN</t>
        </is>
      </c>
      <c r="E169" t="inlineStr">
        <is>
          <t>SALA</t>
        </is>
      </c>
      <c r="G169" t="n">
        <v>4.8</v>
      </c>
      <c r="H169" t="n">
        <v>0</v>
      </c>
      <c r="I169" t="n">
        <v>0</v>
      </c>
      <c r="J169" t="n">
        <v>0</v>
      </c>
      <c r="K169" t="n">
        <v>0</v>
      </c>
      <c r="L169" t="n">
        <v>0</v>
      </c>
      <c r="M169" t="n">
        <v>0</v>
      </c>
      <c r="N169" t="n">
        <v>0</v>
      </c>
      <c r="O169" t="n">
        <v>0</v>
      </c>
      <c r="P169" t="n">
        <v>0</v>
      </c>
      <c r="Q169" t="n">
        <v>0</v>
      </c>
      <c r="R169" s="2" t="inlineStr"/>
    </row>
    <row r="170" ht="15" customHeight="1">
      <c r="A170" t="inlineStr">
        <is>
          <t>A 22305-2020</t>
        </is>
      </c>
      <c r="B170" s="1" t="n">
        <v>43957</v>
      </c>
      <c r="C170" s="1" t="n">
        <v>45473</v>
      </c>
      <c r="D170" t="inlineStr">
        <is>
          <t>VÄSTMANLANDS LÄN</t>
        </is>
      </c>
      <c r="E170" t="inlineStr">
        <is>
          <t>SALA</t>
        </is>
      </c>
      <c r="G170" t="n">
        <v>2.9</v>
      </c>
      <c r="H170" t="n">
        <v>0</v>
      </c>
      <c r="I170" t="n">
        <v>0</v>
      </c>
      <c r="J170" t="n">
        <v>0</v>
      </c>
      <c r="K170" t="n">
        <v>0</v>
      </c>
      <c r="L170" t="n">
        <v>0</v>
      </c>
      <c r="M170" t="n">
        <v>0</v>
      </c>
      <c r="N170" t="n">
        <v>0</v>
      </c>
      <c r="O170" t="n">
        <v>0</v>
      </c>
      <c r="P170" t="n">
        <v>0</v>
      </c>
      <c r="Q170" t="n">
        <v>0</v>
      </c>
      <c r="R170" s="2" t="inlineStr"/>
    </row>
    <row r="171" ht="15" customHeight="1">
      <c r="A171" t="inlineStr">
        <is>
          <t>A 22058-2020</t>
        </is>
      </c>
      <c r="B171" s="1" t="n">
        <v>43959</v>
      </c>
      <c r="C171" s="1" t="n">
        <v>45473</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24235-2020</t>
        </is>
      </c>
      <c r="B172" s="1" t="n">
        <v>43976</v>
      </c>
      <c r="C172" s="1" t="n">
        <v>45473</v>
      </c>
      <c r="D172" t="inlineStr">
        <is>
          <t>VÄSTMANLANDS LÄN</t>
        </is>
      </c>
      <c r="E172" t="inlineStr">
        <is>
          <t>SALA</t>
        </is>
      </c>
      <c r="G172" t="n">
        <v>1.3</v>
      </c>
      <c r="H172" t="n">
        <v>0</v>
      </c>
      <c r="I172" t="n">
        <v>0</v>
      </c>
      <c r="J172" t="n">
        <v>0</v>
      </c>
      <c r="K172" t="n">
        <v>0</v>
      </c>
      <c r="L172" t="n">
        <v>0</v>
      </c>
      <c r="M172" t="n">
        <v>0</v>
      </c>
      <c r="N172" t="n">
        <v>0</v>
      </c>
      <c r="O172" t="n">
        <v>0</v>
      </c>
      <c r="P172" t="n">
        <v>0</v>
      </c>
      <c r="Q172" t="n">
        <v>0</v>
      </c>
      <c r="R172" s="2" t="inlineStr"/>
    </row>
    <row r="173" ht="15" customHeight="1">
      <c r="A173" t="inlineStr">
        <is>
          <t>A 24763-2020</t>
        </is>
      </c>
      <c r="B173" s="1" t="n">
        <v>43978</v>
      </c>
      <c r="C173" s="1" t="n">
        <v>45473</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26098-2020</t>
        </is>
      </c>
      <c r="B174" s="1" t="n">
        <v>43985</v>
      </c>
      <c r="C174" s="1" t="n">
        <v>45473</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26425-2020</t>
        </is>
      </c>
      <c r="B175" s="1" t="n">
        <v>43987</v>
      </c>
      <c r="C175" s="1" t="n">
        <v>45473</v>
      </c>
      <c r="D175" t="inlineStr">
        <is>
          <t>VÄSTMANLANDS LÄN</t>
        </is>
      </c>
      <c r="E175" t="inlineStr">
        <is>
          <t>SALA</t>
        </is>
      </c>
      <c r="G175" t="n">
        <v>6.3</v>
      </c>
      <c r="H175" t="n">
        <v>0</v>
      </c>
      <c r="I175" t="n">
        <v>0</v>
      </c>
      <c r="J175" t="n">
        <v>0</v>
      </c>
      <c r="K175" t="n">
        <v>0</v>
      </c>
      <c r="L175" t="n">
        <v>0</v>
      </c>
      <c r="M175" t="n">
        <v>0</v>
      </c>
      <c r="N175" t="n">
        <v>0</v>
      </c>
      <c r="O175" t="n">
        <v>0</v>
      </c>
      <c r="P175" t="n">
        <v>0</v>
      </c>
      <c r="Q175" t="n">
        <v>0</v>
      </c>
      <c r="R175" s="2" t="inlineStr"/>
    </row>
    <row r="176" ht="15" customHeight="1">
      <c r="A176" t="inlineStr">
        <is>
          <t>A 26937-2020</t>
        </is>
      </c>
      <c r="B176" s="1" t="n">
        <v>43990</v>
      </c>
      <c r="C176" s="1" t="n">
        <v>45473</v>
      </c>
      <c r="D176" t="inlineStr">
        <is>
          <t>VÄSTMANLANDS LÄN</t>
        </is>
      </c>
      <c r="E176" t="inlineStr">
        <is>
          <t>SALA</t>
        </is>
      </c>
      <c r="F176" t="inlineStr">
        <is>
          <t>Bergvik skog öst AB</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27730-2020</t>
        </is>
      </c>
      <c r="B177" s="1" t="n">
        <v>43994</v>
      </c>
      <c r="C177" s="1" t="n">
        <v>45473</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29845-2020</t>
        </is>
      </c>
      <c r="B178" s="1" t="n">
        <v>44005</v>
      </c>
      <c r="C178" s="1" t="n">
        <v>45473</v>
      </c>
      <c r="D178" t="inlineStr">
        <is>
          <t>VÄSTMANLANDS LÄN</t>
        </is>
      </c>
      <c r="E178" t="inlineStr">
        <is>
          <t>SALA</t>
        </is>
      </c>
      <c r="G178" t="n">
        <v>2.4</v>
      </c>
      <c r="H178" t="n">
        <v>0</v>
      </c>
      <c r="I178" t="n">
        <v>0</v>
      </c>
      <c r="J178" t="n">
        <v>0</v>
      </c>
      <c r="K178" t="n">
        <v>0</v>
      </c>
      <c r="L178" t="n">
        <v>0</v>
      </c>
      <c r="M178" t="n">
        <v>0</v>
      </c>
      <c r="N178" t="n">
        <v>0</v>
      </c>
      <c r="O178" t="n">
        <v>0</v>
      </c>
      <c r="P178" t="n">
        <v>0</v>
      </c>
      <c r="Q178" t="n">
        <v>0</v>
      </c>
      <c r="R178" s="2" t="inlineStr"/>
    </row>
    <row r="179" ht="15" customHeight="1">
      <c r="A179" t="inlineStr">
        <is>
          <t>A 29821-2020</t>
        </is>
      </c>
      <c r="B179" s="1" t="n">
        <v>44005</v>
      </c>
      <c r="C179" s="1" t="n">
        <v>45473</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29925-2020</t>
        </is>
      </c>
      <c r="B180" s="1" t="n">
        <v>44006</v>
      </c>
      <c r="C180" s="1" t="n">
        <v>45473</v>
      </c>
      <c r="D180" t="inlineStr">
        <is>
          <t>VÄSTMANLANDS LÄN</t>
        </is>
      </c>
      <c r="E180" t="inlineStr">
        <is>
          <t>SALA</t>
        </is>
      </c>
      <c r="G180" t="n">
        <v>1</v>
      </c>
      <c r="H180" t="n">
        <v>0</v>
      </c>
      <c r="I180" t="n">
        <v>0</v>
      </c>
      <c r="J180" t="n">
        <v>0</v>
      </c>
      <c r="K180" t="n">
        <v>0</v>
      </c>
      <c r="L180" t="n">
        <v>0</v>
      </c>
      <c r="M180" t="n">
        <v>0</v>
      </c>
      <c r="N180" t="n">
        <v>0</v>
      </c>
      <c r="O180" t="n">
        <v>0</v>
      </c>
      <c r="P180" t="n">
        <v>0</v>
      </c>
      <c r="Q180" t="n">
        <v>0</v>
      </c>
      <c r="R180" s="2" t="inlineStr"/>
    </row>
    <row r="181" ht="15" customHeight="1">
      <c r="A181" t="inlineStr">
        <is>
          <t>A 30327-2020</t>
        </is>
      </c>
      <c r="B181" s="1" t="n">
        <v>44007</v>
      </c>
      <c r="C181" s="1" t="n">
        <v>45473</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32371-2020</t>
        </is>
      </c>
      <c r="B182" s="1" t="n">
        <v>44018</v>
      </c>
      <c r="C182" s="1" t="n">
        <v>45473</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32367-2020</t>
        </is>
      </c>
      <c r="B183" s="1" t="n">
        <v>44018</v>
      </c>
      <c r="C183" s="1" t="n">
        <v>45473</v>
      </c>
      <c r="D183" t="inlineStr">
        <is>
          <t>VÄSTMANLANDS LÄN</t>
        </is>
      </c>
      <c r="E183" t="inlineStr">
        <is>
          <t>SALA</t>
        </is>
      </c>
      <c r="G183" t="n">
        <v>1.5</v>
      </c>
      <c r="H183" t="n">
        <v>0</v>
      </c>
      <c r="I183" t="n">
        <v>0</v>
      </c>
      <c r="J183" t="n">
        <v>0</v>
      </c>
      <c r="K183" t="n">
        <v>0</v>
      </c>
      <c r="L183" t="n">
        <v>0</v>
      </c>
      <c r="M183" t="n">
        <v>0</v>
      </c>
      <c r="N183" t="n">
        <v>0</v>
      </c>
      <c r="O183" t="n">
        <v>0</v>
      </c>
      <c r="P183" t="n">
        <v>0</v>
      </c>
      <c r="Q183" t="n">
        <v>0</v>
      </c>
      <c r="R183" s="2" t="inlineStr"/>
    </row>
    <row r="184" ht="15" customHeight="1">
      <c r="A184" t="inlineStr">
        <is>
          <t>A 32368-2020</t>
        </is>
      </c>
      <c r="B184" s="1" t="n">
        <v>44018</v>
      </c>
      <c r="C184" s="1" t="n">
        <v>45473</v>
      </c>
      <c r="D184" t="inlineStr">
        <is>
          <t>VÄSTMANLANDS LÄN</t>
        </is>
      </c>
      <c r="E184" t="inlineStr">
        <is>
          <t>SALA</t>
        </is>
      </c>
      <c r="G184" t="n">
        <v>3.4</v>
      </c>
      <c r="H184" t="n">
        <v>0</v>
      </c>
      <c r="I184" t="n">
        <v>0</v>
      </c>
      <c r="J184" t="n">
        <v>0</v>
      </c>
      <c r="K184" t="n">
        <v>0</v>
      </c>
      <c r="L184" t="n">
        <v>0</v>
      </c>
      <c r="M184" t="n">
        <v>0</v>
      </c>
      <c r="N184" t="n">
        <v>0</v>
      </c>
      <c r="O184" t="n">
        <v>0</v>
      </c>
      <c r="P184" t="n">
        <v>0</v>
      </c>
      <c r="Q184" t="n">
        <v>0</v>
      </c>
      <c r="R184" s="2" t="inlineStr"/>
    </row>
    <row r="185" ht="15" customHeight="1">
      <c r="A185" t="inlineStr">
        <is>
          <t>A 32377-2020</t>
        </is>
      </c>
      <c r="B185" s="1" t="n">
        <v>44018</v>
      </c>
      <c r="C185" s="1" t="n">
        <v>45473</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33181-2020</t>
        </is>
      </c>
      <c r="B186" s="1" t="n">
        <v>44021</v>
      </c>
      <c r="C186" s="1" t="n">
        <v>45473</v>
      </c>
      <c r="D186" t="inlineStr">
        <is>
          <t>VÄSTMANLANDS LÄN</t>
        </is>
      </c>
      <c r="E186" t="inlineStr">
        <is>
          <t>SALA</t>
        </is>
      </c>
      <c r="G186" t="n">
        <v>2.8</v>
      </c>
      <c r="H186" t="n">
        <v>0</v>
      </c>
      <c r="I186" t="n">
        <v>0</v>
      </c>
      <c r="J186" t="n">
        <v>0</v>
      </c>
      <c r="K186" t="n">
        <v>0</v>
      </c>
      <c r="L186" t="n">
        <v>0</v>
      </c>
      <c r="M186" t="n">
        <v>0</v>
      </c>
      <c r="N186" t="n">
        <v>0</v>
      </c>
      <c r="O186" t="n">
        <v>0</v>
      </c>
      <c r="P186" t="n">
        <v>0</v>
      </c>
      <c r="Q186" t="n">
        <v>0</v>
      </c>
      <c r="R186" s="2" t="inlineStr"/>
    </row>
    <row r="187" ht="15" customHeight="1">
      <c r="A187" t="inlineStr">
        <is>
          <t>A 34430-2020</t>
        </is>
      </c>
      <c r="B187" s="1" t="n">
        <v>44032</v>
      </c>
      <c r="C187" s="1" t="n">
        <v>45473</v>
      </c>
      <c r="D187" t="inlineStr">
        <is>
          <t>VÄSTMANLANDS LÄN</t>
        </is>
      </c>
      <c r="E187" t="inlineStr">
        <is>
          <t>SALA</t>
        </is>
      </c>
      <c r="G187" t="n">
        <v>4.7</v>
      </c>
      <c r="H187" t="n">
        <v>0</v>
      </c>
      <c r="I187" t="n">
        <v>0</v>
      </c>
      <c r="J187" t="n">
        <v>0</v>
      </c>
      <c r="K187" t="n">
        <v>0</v>
      </c>
      <c r="L187" t="n">
        <v>0</v>
      </c>
      <c r="M187" t="n">
        <v>0</v>
      </c>
      <c r="N187" t="n">
        <v>0</v>
      </c>
      <c r="O187" t="n">
        <v>0</v>
      </c>
      <c r="P187" t="n">
        <v>0</v>
      </c>
      <c r="Q187" t="n">
        <v>0</v>
      </c>
      <c r="R187" s="2" t="inlineStr"/>
    </row>
    <row r="188" ht="15" customHeight="1">
      <c r="A188" t="inlineStr">
        <is>
          <t>A 34429-2020</t>
        </is>
      </c>
      <c r="B188" s="1" t="n">
        <v>44032</v>
      </c>
      <c r="C188" s="1" t="n">
        <v>45473</v>
      </c>
      <c r="D188" t="inlineStr">
        <is>
          <t>VÄSTMANLANDS LÄN</t>
        </is>
      </c>
      <c r="E188" t="inlineStr">
        <is>
          <t>SALA</t>
        </is>
      </c>
      <c r="G188" t="n">
        <v>3.6</v>
      </c>
      <c r="H188" t="n">
        <v>0</v>
      </c>
      <c r="I188" t="n">
        <v>0</v>
      </c>
      <c r="J188" t="n">
        <v>0</v>
      </c>
      <c r="K188" t="n">
        <v>0</v>
      </c>
      <c r="L188" t="n">
        <v>0</v>
      </c>
      <c r="M188" t="n">
        <v>0</v>
      </c>
      <c r="N188" t="n">
        <v>0</v>
      </c>
      <c r="O188" t="n">
        <v>0</v>
      </c>
      <c r="P188" t="n">
        <v>0</v>
      </c>
      <c r="Q188" t="n">
        <v>0</v>
      </c>
      <c r="R188" s="2" t="inlineStr"/>
    </row>
    <row r="189" ht="15" customHeight="1">
      <c r="A189" t="inlineStr">
        <is>
          <t>A 37008-2020</t>
        </is>
      </c>
      <c r="B189" s="1" t="n">
        <v>44054</v>
      </c>
      <c r="C189" s="1" t="n">
        <v>45473</v>
      </c>
      <c r="D189" t="inlineStr">
        <is>
          <t>VÄSTMANLANDS LÄN</t>
        </is>
      </c>
      <c r="E189" t="inlineStr">
        <is>
          <t>SALA</t>
        </is>
      </c>
      <c r="F189" t="inlineStr">
        <is>
          <t>Kommuner</t>
        </is>
      </c>
      <c r="G189" t="n">
        <v>5.5</v>
      </c>
      <c r="H189" t="n">
        <v>0</v>
      </c>
      <c r="I189" t="n">
        <v>0</v>
      </c>
      <c r="J189" t="n">
        <v>0</v>
      </c>
      <c r="K189" t="n">
        <v>0</v>
      </c>
      <c r="L189" t="n">
        <v>0</v>
      </c>
      <c r="M189" t="n">
        <v>0</v>
      </c>
      <c r="N189" t="n">
        <v>0</v>
      </c>
      <c r="O189" t="n">
        <v>0</v>
      </c>
      <c r="P189" t="n">
        <v>0</v>
      </c>
      <c r="Q189" t="n">
        <v>0</v>
      </c>
      <c r="R189" s="2" t="inlineStr"/>
    </row>
    <row r="190" ht="15" customHeight="1">
      <c r="A190" t="inlineStr">
        <is>
          <t>A 37098-2020</t>
        </is>
      </c>
      <c r="B190" s="1" t="n">
        <v>44054</v>
      </c>
      <c r="C190" s="1" t="n">
        <v>45473</v>
      </c>
      <c r="D190" t="inlineStr">
        <is>
          <t>VÄSTMANLANDS LÄN</t>
        </is>
      </c>
      <c r="E190" t="inlineStr">
        <is>
          <t>SALA</t>
        </is>
      </c>
      <c r="F190" t="inlineStr">
        <is>
          <t>Kommuner</t>
        </is>
      </c>
      <c r="G190" t="n">
        <v>3.8</v>
      </c>
      <c r="H190" t="n">
        <v>0</v>
      </c>
      <c r="I190" t="n">
        <v>0</v>
      </c>
      <c r="J190" t="n">
        <v>0</v>
      </c>
      <c r="K190" t="n">
        <v>0</v>
      </c>
      <c r="L190" t="n">
        <v>0</v>
      </c>
      <c r="M190" t="n">
        <v>0</v>
      </c>
      <c r="N190" t="n">
        <v>0</v>
      </c>
      <c r="O190" t="n">
        <v>0</v>
      </c>
      <c r="P190" t="n">
        <v>0</v>
      </c>
      <c r="Q190" t="n">
        <v>0</v>
      </c>
      <c r="R190" s="2" t="inlineStr"/>
    </row>
    <row r="191" ht="15" customHeight="1">
      <c r="A191" t="inlineStr">
        <is>
          <t>A 37150-2020</t>
        </is>
      </c>
      <c r="B191" s="1" t="n">
        <v>44054</v>
      </c>
      <c r="C191" s="1" t="n">
        <v>45473</v>
      </c>
      <c r="D191" t="inlineStr">
        <is>
          <t>VÄSTMANLANDS LÄN</t>
        </is>
      </c>
      <c r="E191" t="inlineStr">
        <is>
          <t>SALA</t>
        </is>
      </c>
      <c r="F191" t="inlineStr">
        <is>
          <t>Kommuner</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38579-2020</t>
        </is>
      </c>
      <c r="B192" s="1" t="n">
        <v>44061</v>
      </c>
      <c r="C192" s="1" t="n">
        <v>45473</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38713-2020</t>
        </is>
      </c>
      <c r="B193" s="1" t="n">
        <v>44061</v>
      </c>
      <c r="C193" s="1" t="n">
        <v>45473</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39519-2020</t>
        </is>
      </c>
      <c r="B194" s="1" t="n">
        <v>44064</v>
      </c>
      <c r="C194" s="1" t="n">
        <v>45473</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39818-2020</t>
        </is>
      </c>
      <c r="B195" s="1" t="n">
        <v>44067</v>
      </c>
      <c r="C195" s="1" t="n">
        <v>45473</v>
      </c>
      <c r="D195" t="inlineStr">
        <is>
          <t>VÄSTMANLANDS LÄN</t>
        </is>
      </c>
      <c r="E195" t="inlineStr">
        <is>
          <t>SALA</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41493-2020</t>
        </is>
      </c>
      <c r="B196" s="1" t="n">
        <v>44074</v>
      </c>
      <c r="C196" s="1" t="n">
        <v>45473</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41485-2020</t>
        </is>
      </c>
      <c r="B197" s="1" t="n">
        <v>44074</v>
      </c>
      <c r="C197" s="1" t="n">
        <v>45473</v>
      </c>
      <c r="D197" t="inlineStr">
        <is>
          <t>VÄSTMANLANDS LÄN</t>
        </is>
      </c>
      <c r="E197" t="inlineStr">
        <is>
          <t>SALA</t>
        </is>
      </c>
      <c r="G197" t="n">
        <v>4.7</v>
      </c>
      <c r="H197" t="n">
        <v>0</v>
      </c>
      <c r="I197" t="n">
        <v>0</v>
      </c>
      <c r="J197" t="n">
        <v>0</v>
      </c>
      <c r="K197" t="n">
        <v>0</v>
      </c>
      <c r="L197" t="n">
        <v>0</v>
      </c>
      <c r="M197" t="n">
        <v>0</v>
      </c>
      <c r="N197" t="n">
        <v>0</v>
      </c>
      <c r="O197" t="n">
        <v>0</v>
      </c>
      <c r="P197" t="n">
        <v>0</v>
      </c>
      <c r="Q197" t="n">
        <v>0</v>
      </c>
      <c r="R197" s="2" t="inlineStr"/>
    </row>
    <row r="198" ht="15" customHeight="1">
      <c r="A198" t="inlineStr">
        <is>
          <t>A 42344-2020</t>
        </is>
      </c>
      <c r="B198" s="1" t="n">
        <v>44076</v>
      </c>
      <c r="C198" s="1" t="n">
        <v>45473</v>
      </c>
      <c r="D198" t="inlineStr">
        <is>
          <t>VÄSTMANLANDS LÄN</t>
        </is>
      </c>
      <c r="E198" t="inlineStr">
        <is>
          <t>SALA</t>
        </is>
      </c>
      <c r="G198" t="n">
        <v>5.1</v>
      </c>
      <c r="H198" t="n">
        <v>0</v>
      </c>
      <c r="I198" t="n">
        <v>0</v>
      </c>
      <c r="J198" t="n">
        <v>0</v>
      </c>
      <c r="K198" t="n">
        <v>0</v>
      </c>
      <c r="L198" t="n">
        <v>0</v>
      </c>
      <c r="M198" t="n">
        <v>0</v>
      </c>
      <c r="N198" t="n">
        <v>0</v>
      </c>
      <c r="O198" t="n">
        <v>0</v>
      </c>
      <c r="P198" t="n">
        <v>0</v>
      </c>
      <c r="Q198" t="n">
        <v>0</v>
      </c>
      <c r="R198" s="2" t="inlineStr"/>
    </row>
    <row r="199" ht="15" customHeight="1">
      <c r="A199" t="inlineStr">
        <is>
          <t>A 42345-2020</t>
        </is>
      </c>
      <c r="B199" s="1" t="n">
        <v>44076</v>
      </c>
      <c r="C199" s="1" t="n">
        <v>45473</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42346-2020</t>
        </is>
      </c>
      <c r="B200" s="1" t="n">
        <v>44076</v>
      </c>
      <c r="C200" s="1" t="n">
        <v>45473</v>
      </c>
      <c r="D200" t="inlineStr">
        <is>
          <t>VÄSTMANLANDS LÄN</t>
        </is>
      </c>
      <c r="E200" t="inlineStr">
        <is>
          <t>SALA</t>
        </is>
      </c>
      <c r="G200" t="n">
        <v>1.7</v>
      </c>
      <c r="H200" t="n">
        <v>0</v>
      </c>
      <c r="I200" t="n">
        <v>0</v>
      </c>
      <c r="J200" t="n">
        <v>0</v>
      </c>
      <c r="K200" t="n">
        <v>0</v>
      </c>
      <c r="L200" t="n">
        <v>0</v>
      </c>
      <c r="M200" t="n">
        <v>0</v>
      </c>
      <c r="N200" t="n">
        <v>0</v>
      </c>
      <c r="O200" t="n">
        <v>0</v>
      </c>
      <c r="P200" t="n">
        <v>0</v>
      </c>
      <c r="Q200" t="n">
        <v>0</v>
      </c>
      <c r="R200" s="2" t="inlineStr"/>
    </row>
    <row r="201" ht="15" customHeight="1">
      <c r="A201" t="inlineStr">
        <is>
          <t>A 43349-2020</t>
        </is>
      </c>
      <c r="B201" s="1" t="n">
        <v>44081</v>
      </c>
      <c r="C201" s="1" t="n">
        <v>45473</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44652-2020</t>
        </is>
      </c>
      <c r="B202" s="1" t="n">
        <v>44085</v>
      </c>
      <c r="C202" s="1" t="n">
        <v>45473</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44950-2020</t>
        </is>
      </c>
      <c r="B203" s="1" t="n">
        <v>44088</v>
      </c>
      <c r="C203" s="1" t="n">
        <v>45473</v>
      </c>
      <c r="D203" t="inlineStr">
        <is>
          <t>VÄSTMANLANDS LÄN</t>
        </is>
      </c>
      <c r="E203" t="inlineStr">
        <is>
          <t>SALA</t>
        </is>
      </c>
      <c r="G203" t="n">
        <v>9</v>
      </c>
      <c r="H203" t="n">
        <v>0</v>
      </c>
      <c r="I203" t="n">
        <v>0</v>
      </c>
      <c r="J203" t="n">
        <v>0</v>
      </c>
      <c r="K203" t="n">
        <v>0</v>
      </c>
      <c r="L203" t="n">
        <v>0</v>
      </c>
      <c r="M203" t="n">
        <v>0</v>
      </c>
      <c r="N203" t="n">
        <v>0</v>
      </c>
      <c r="O203" t="n">
        <v>0</v>
      </c>
      <c r="P203" t="n">
        <v>0</v>
      </c>
      <c r="Q203" t="n">
        <v>0</v>
      </c>
      <c r="R203" s="2" t="inlineStr"/>
    </row>
    <row r="204" ht="15" customHeight="1">
      <c r="A204" t="inlineStr">
        <is>
          <t>A 46965-2020</t>
        </is>
      </c>
      <c r="B204" s="1" t="n">
        <v>44096</v>
      </c>
      <c r="C204" s="1" t="n">
        <v>45473</v>
      </c>
      <c r="D204" t="inlineStr">
        <is>
          <t>VÄSTMANLANDS LÄN</t>
        </is>
      </c>
      <c r="E204" t="inlineStr">
        <is>
          <t>SALA</t>
        </is>
      </c>
      <c r="G204" t="n">
        <v>0.4</v>
      </c>
      <c r="H204" t="n">
        <v>0</v>
      </c>
      <c r="I204" t="n">
        <v>0</v>
      </c>
      <c r="J204" t="n">
        <v>0</v>
      </c>
      <c r="K204" t="n">
        <v>0</v>
      </c>
      <c r="L204" t="n">
        <v>0</v>
      </c>
      <c r="M204" t="n">
        <v>0</v>
      </c>
      <c r="N204" t="n">
        <v>0</v>
      </c>
      <c r="O204" t="n">
        <v>0</v>
      </c>
      <c r="P204" t="n">
        <v>0</v>
      </c>
      <c r="Q204" t="n">
        <v>0</v>
      </c>
      <c r="R204" s="2" t="inlineStr"/>
    </row>
    <row r="205" ht="15" customHeight="1">
      <c r="A205" t="inlineStr">
        <is>
          <t>A 47054-2020</t>
        </is>
      </c>
      <c r="B205" s="1" t="n">
        <v>44096</v>
      </c>
      <c r="C205" s="1" t="n">
        <v>45473</v>
      </c>
      <c r="D205" t="inlineStr">
        <is>
          <t>VÄSTMANLANDS LÄN</t>
        </is>
      </c>
      <c r="E205" t="inlineStr">
        <is>
          <t>SALA</t>
        </is>
      </c>
      <c r="F205" t="inlineStr">
        <is>
          <t>Kommuner</t>
        </is>
      </c>
      <c r="G205" t="n">
        <v>1.1</v>
      </c>
      <c r="H205" t="n">
        <v>0</v>
      </c>
      <c r="I205" t="n">
        <v>0</v>
      </c>
      <c r="J205" t="n">
        <v>0</v>
      </c>
      <c r="K205" t="n">
        <v>0</v>
      </c>
      <c r="L205" t="n">
        <v>0</v>
      </c>
      <c r="M205" t="n">
        <v>0</v>
      </c>
      <c r="N205" t="n">
        <v>0</v>
      </c>
      <c r="O205" t="n">
        <v>0</v>
      </c>
      <c r="P205" t="n">
        <v>0</v>
      </c>
      <c r="Q205" t="n">
        <v>0</v>
      </c>
      <c r="R205" s="2" t="inlineStr"/>
    </row>
    <row r="206" ht="15" customHeight="1">
      <c r="A206" t="inlineStr">
        <is>
          <t>A 47208-2020</t>
        </is>
      </c>
      <c r="B206" s="1" t="n">
        <v>44097</v>
      </c>
      <c r="C206" s="1" t="n">
        <v>45473</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50559-2020</t>
        </is>
      </c>
      <c r="B207" s="1" t="n">
        <v>44110</v>
      </c>
      <c r="C207" s="1" t="n">
        <v>45473</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50801-2020</t>
        </is>
      </c>
      <c r="B208" s="1" t="n">
        <v>44111</v>
      </c>
      <c r="C208" s="1" t="n">
        <v>45473</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50818-2020</t>
        </is>
      </c>
      <c r="B209" s="1" t="n">
        <v>44111</v>
      </c>
      <c r="C209" s="1" t="n">
        <v>45473</v>
      </c>
      <c r="D209" t="inlineStr">
        <is>
          <t>VÄSTMANLANDS LÄN</t>
        </is>
      </c>
      <c r="E209" t="inlineStr">
        <is>
          <t>SALA</t>
        </is>
      </c>
      <c r="G209" t="n">
        <v>0.4</v>
      </c>
      <c r="H209" t="n">
        <v>0</v>
      </c>
      <c r="I209" t="n">
        <v>0</v>
      </c>
      <c r="J209" t="n">
        <v>0</v>
      </c>
      <c r="K209" t="n">
        <v>0</v>
      </c>
      <c r="L209" t="n">
        <v>0</v>
      </c>
      <c r="M209" t="n">
        <v>0</v>
      </c>
      <c r="N209" t="n">
        <v>0</v>
      </c>
      <c r="O209" t="n">
        <v>0</v>
      </c>
      <c r="P209" t="n">
        <v>0</v>
      </c>
      <c r="Q209" t="n">
        <v>0</v>
      </c>
      <c r="R209" s="2" t="inlineStr"/>
    </row>
    <row r="210" ht="15" customHeight="1">
      <c r="A210" t="inlineStr">
        <is>
          <t>A 54322-2020</t>
        </is>
      </c>
      <c r="B210" s="1" t="n">
        <v>44126</v>
      </c>
      <c r="C210" s="1" t="n">
        <v>45473</v>
      </c>
      <c r="D210" t="inlineStr">
        <is>
          <t>VÄSTMANLANDS LÄN</t>
        </is>
      </c>
      <c r="E210" t="inlineStr">
        <is>
          <t>SALA</t>
        </is>
      </c>
      <c r="G210" t="n">
        <v>2</v>
      </c>
      <c r="H210" t="n">
        <v>0</v>
      </c>
      <c r="I210" t="n">
        <v>0</v>
      </c>
      <c r="J210" t="n">
        <v>0</v>
      </c>
      <c r="K210" t="n">
        <v>0</v>
      </c>
      <c r="L210" t="n">
        <v>0</v>
      </c>
      <c r="M210" t="n">
        <v>0</v>
      </c>
      <c r="N210" t="n">
        <v>0</v>
      </c>
      <c r="O210" t="n">
        <v>0</v>
      </c>
      <c r="P210" t="n">
        <v>0</v>
      </c>
      <c r="Q210" t="n">
        <v>0</v>
      </c>
      <c r="R210" s="2" t="inlineStr"/>
    </row>
    <row r="211" ht="15" customHeight="1">
      <c r="A211" t="inlineStr">
        <is>
          <t>A 54923-2020</t>
        </is>
      </c>
      <c r="B211" s="1" t="n">
        <v>44127</v>
      </c>
      <c r="C211" s="1" t="n">
        <v>45473</v>
      </c>
      <c r="D211" t="inlineStr">
        <is>
          <t>VÄSTMANLANDS LÄN</t>
        </is>
      </c>
      <c r="E211" t="inlineStr">
        <is>
          <t>SALA</t>
        </is>
      </c>
      <c r="G211" t="n">
        <v>4.9</v>
      </c>
      <c r="H211" t="n">
        <v>0</v>
      </c>
      <c r="I211" t="n">
        <v>0</v>
      </c>
      <c r="J211" t="n">
        <v>0</v>
      </c>
      <c r="K211" t="n">
        <v>0</v>
      </c>
      <c r="L211" t="n">
        <v>0</v>
      </c>
      <c r="M211" t="n">
        <v>0</v>
      </c>
      <c r="N211" t="n">
        <v>0</v>
      </c>
      <c r="O211" t="n">
        <v>0</v>
      </c>
      <c r="P211" t="n">
        <v>0</v>
      </c>
      <c r="Q211" t="n">
        <v>0</v>
      </c>
      <c r="R211" s="2" t="inlineStr"/>
    </row>
    <row r="212" ht="15" customHeight="1">
      <c r="A212" t="inlineStr">
        <is>
          <t>A 54931-2020</t>
        </is>
      </c>
      <c r="B212" s="1" t="n">
        <v>44127</v>
      </c>
      <c r="C212" s="1" t="n">
        <v>45473</v>
      </c>
      <c r="D212" t="inlineStr">
        <is>
          <t>VÄSTMANLANDS LÄN</t>
        </is>
      </c>
      <c r="E212" t="inlineStr">
        <is>
          <t>SALA</t>
        </is>
      </c>
      <c r="G212" t="n">
        <v>7</v>
      </c>
      <c r="H212" t="n">
        <v>0</v>
      </c>
      <c r="I212" t="n">
        <v>0</v>
      </c>
      <c r="J212" t="n">
        <v>0</v>
      </c>
      <c r="K212" t="n">
        <v>0</v>
      </c>
      <c r="L212" t="n">
        <v>0</v>
      </c>
      <c r="M212" t="n">
        <v>0</v>
      </c>
      <c r="N212" t="n">
        <v>0</v>
      </c>
      <c r="O212" t="n">
        <v>0</v>
      </c>
      <c r="P212" t="n">
        <v>0</v>
      </c>
      <c r="Q212" t="n">
        <v>0</v>
      </c>
      <c r="R212" s="2" t="inlineStr"/>
    </row>
    <row r="213" ht="15" customHeight="1">
      <c r="A213" t="inlineStr">
        <is>
          <t>A 55439-2020</t>
        </is>
      </c>
      <c r="B213" s="1" t="n">
        <v>44130</v>
      </c>
      <c r="C213" s="1" t="n">
        <v>45473</v>
      </c>
      <c r="D213" t="inlineStr">
        <is>
          <t>VÄSTMANLANDS LÄN</t>
        </is>
      </c>
      <c r="E213" t="inlineStr">
        <is>
          <t>SALA</t>
        </is>
      </c>
      <c r="G213" t="n">
        <v>4.3</v>
      </c>
      <c r="H213" t="n">
        <v>0</v>
      </c>
      <c r="I213" t="n">
        <v>0</v>
      </c>
      <c r="J213" t="n">
        <v>0</v>
      </c>
      <c r="K213" t="n">
        <v>0</v>
      </c>
      <c r="L213" t="n">
        <v>0</v>
      </c>
      <c r="M213" t="n">
        <v>0</v>
      </c>
      <c r="N213" t="n">
        <v>0</v>
      </c>
      <c r="O213" t="n">
        <v>0</v>
      </c>
      <c r="P213" t="n">
        <v>0</v>
      </c>
      <c r="Q213" t="n">
        <v>0</v>
      </c>
      <c r="R213" s="2" t="inlineStr"/>
    </row>
    <row r="214" ht="15" customHeight="1">
      <c r="A214" t="inlineStr">
        <is>
          <t>A 55881-2020</t>
        </is>
      </c>
      <c r="B214" s="1" t="n">
        <v>44132</v>
      </c>
      <c r="C214" s="1" t="n">
        <v>45473</v>
      </c>
      <c r="D214" t="inlineStr">
        <is>
          <t>VÄSTMANLANDS LÄN</t>
        </is>
      </c>
      <c r="E214" t="inlineStr">
        <is>
          <t>SALA</t>
        </is>
      </c>
      <c r="G214" t="n">
        <v>3</v>
      </c>
      <c r="H214" t="n">
        <v>0</v>
      </c>
      <c r="I214" t="n">
        <v>0</v>
      </c>
      <c r="J214" t="n">
        <v>0</v>
      </c>
      <c r="K214" t="n">
        <v>0</v>
      </c>
      <c r="L214" t="n">
        <v>0</v>
      </c>
      <c r="M214" t="n">
        <v>0</v>
      </c>
      <c r="N214" t="n">
        <v>0</v>
      </c>
      <c r="O214" t="n">
        <v>0</v>
      </c>
      <c r="P214" t="n">
        <v>0</v>
      </c>
      <c r="Q214" t="n">
        <v>0</v>
      </c>
      <c r="R214" s="2" t="inlineStr"/>
    </row>
    <row r="215" ht="15" customHeight="1">
      <c r="A215" t="inlineStr">
        <is>
          <t>A 56134-2020</t>
        </is>
      </c>
      <c r="B215" s="1" t="n">
        <v>44132</v>
      </c>
      <c r="C215" s="1" t="n">
        <v>45473</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56098-2020</t>
        </is>
      </c>
      <c r="B216" s="1" t="n">
        <v>44132</v>
      </c>
      <c r="C216" s="1" t="n">
        <v>45473</v>
      </c>
      <c r="D216" t="inlineStr">
        <is>
          <t>VÄSTMANLANDS LÄN</t>
        </is>
      </c>
      <c r="E216" t="inlineStr">
        <is>
          <t>SALA</t>
        </is>
      </c>
      <c r="G216" t="n">
        <v>1.9</v>
      </c>
      <c r="H216" t="n">
        <v>0</v>
      </c>
      <c r="I216" t="n">
        <v>0</v>
      </c>
      <c r="J216" t="n">
        <v>0</v>
      </c>
      <c r="K216" t="n">
        <v>0</v>
      </c>
      <c r="L216" t="n">
        <v>0</v>
      </c>
      <c r="M216" t="n">
        <v>0</v>
      </c>
      <c r="N216" t="n">
        <v>0</v>
      </c>
      <c r="O216" t="n">
        <v>0</v>
      </c>
      <c r="P216" t="n">
        <v>0</v>
      </c>
      <c r="Q216" t="n">
        <v>0</v>
      </c>
      <c r="R216" s="2" t="inlineStr"/>
    </row>
    <row r="217" ht="15" customHeight="1">
      <c r="A217" t="inlineStr">
        <is>
          <t>A 57800-2020</t>
        </is>
      </c>
      <c r="B217" s="1" t="n">
        <v>44141</v>
      </c>
      <c r="C217" s="1" t="n">
        <v>45473</v>
      </c>
      <c r="D217" t="inlineStr">
        <is>
          <t>VÄSTMANLANDS LÄN</t>
        </is>
      </c>
      <c r="E217" t="inlineStr">
        <is>
          <t>SALA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58314-2020</t>
        </is>
      </c>
      <c r="B218" s="1" t="n">
        <v>44145</v>
      </c>
      <c r="C218" s="1" t="n">
        <v>45473</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58781-2020</t>
        </is>
      </c>
      <c r="B219" s="1" t="n">
        <v>44146</v>
      </c>
      <c r="C219" s="1" t="n">
        <v>45473</v>
      </c>
      <c r="D219" t="inlineStr">
        <is>
          <t>VÄSTMANLANDS LÄN</t>
        </is>
      </c>
      <c r="E219" t="inlineStr">
        <is>
          <t>SALA</t>
        </is>
      </c>
      <c r="G219" t="n">
        <v>1.2</v>
      </c>
      <c r="H219" t="n">
        <v>0</v>
      </c>
      <c r="I219" t="n">
        <v>0</v>
      </c>
      <c r="J219" t="n">
        <v>0</v>
      </c>
      <c r="K219" t="n">
        <v>0</v>
      </c>
      <c r="L219" t="n">
        <v>0</v>
      </c>
      <c r="M219" t="n">
        <v>0</v>
      </c>
      <c r="N219" t="n">
        <v>0</v>
      </c>
      <c r="O219" t="n">
        <v>0</v>
      </c>
      <c r="P219" t="n">
        <v>0</v>
      </c>
      <c r="Q219" t="n">
        <v>0</v>
      </c>
      <c r="R219" s="2" t="inlineStr"/>
    </row>
    <row r="220" ht="15" customHeight="1">
      <c r="A220" t="inlineStr">
        <is>
          <t>A 58912-2020</t>
        </is>
      </c>
      <c r="B220" s="1" t="n">
        <v>44146</v>
      </c>
      <c r="C220" s="1" t="n">
        <v>45473</v>
      </c>
      <c r="D220" t="inlineStr">
        <is>
          <t>VÄSTMANLANDS LÄN</t>
        </is>
      </c>
      <c r="E220" t="inlineStr">
        <is>
          <t>SALA</t>
        </is>
      </c>
      <c r="G220" t="n">
        <v>1.1</v>
      </c>
      <c r="H220" t="n">
        <v>0</v>
      </c>
      <c r="I220" t="n">
        <v>0</v>
      </c>
      <c r="J220" t="n">
        <v>0</v>
      </c>
      <c r="K220" t="n">
        <v>0</v>
      </c>
      <c r="L220" t="n">
        <v>0</v>
      </c>
      <c r="M220" t="n">
        <v>0</v>
      </c>
      <c r="N220" t="n">
        <v>0</v>
      </c>
      <c r="O220" t="n">
        <v>0</v>
      </c>
      <c r="P220" t="n">
        <v>0</v>
      </c>
      <c r="Q220" t="n">
        <v>0</v>
      </c>
      <c r="R220" s="2" t="inlineStr"/>
    </row>
    <row r="221" ht="15" customHeight="1">
      <c r="A221" t="inlineStr">
        <is>
          <t>A 61415-2020</t>
        </is>
      </c>
      <c r="B221" s="1" t="n">
        <v>44156</v>
      </c>
      <c r="C221" s="1" t="n">
        <v>45473</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62275-2020</t>
        </is>
      </c>
      <c r="B222" s="1" t="n">
        <v>44158</v>
      </c>
      <c r="C222" s="1" t="n">
        <v>45473</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62680-2020</t>
        </is>
      </c>
      <c r="B223" s="1" t="n">
        <v>44161</v>
      </c>
      <c r="C223" s="1" t="n">
        <v>45473</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64940-2020</t>
        </is>
      </c>
      <c r="B224" s="1" t="n">
        <v>44172</v>
      </c>
      <c r="C224" s="1" t="n">
        <v>45473</v>
      </c>
      <c r="D224" t="inlineStr">
        <is>
          <t>VÄSTMANLANDS LÄN</t>
        </is>
      </c>
      <c r="E224" t="inlineStr">
        <is>
          <t>SALA</t>
        </is>
      </c>
      <c r="G224" t="n">
        <v>0.9</v>
      </c>
      <c r="H224" t="n">
        <v>0</v>
      </c>
      <c r="I224" t="n">
        <v>0</v>
      </c>
      <c r="J224" t="n">
        <v>0</v>
      </c>
      <c r="K224" t="n">
        <v>0</v>
      </c>
      <c r="L224" t="n">
        <v>0</v>
      </c>
      <c r="M224" t="n">
        <v>0</v>
      </c>
      <c r="N224" t="n">
        <v>0</v>
      </c>
      <c r="O224" t="n">
        <v>0</v>
      </c>
      <c r="P224" t="n">
        <v>0</v>
      </c>
      <c r="Q224" t="n">
        <v>0</v>
      </c>
      <c r="R224" s="2" t="inlineStr"/>
    </row>
    <row r="225" ht="15" customHeight="1">
      <c r="A225" t="inlineStr">
        <is>
          <t>A 66821-2020</t>
        </is>
      </c>
      <c r="B225" s="1" t="n">
        <v>44179</v>
      </c>
      <c r="C225" s="1" t="n">
        <v>45473</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68113-2020</t>
        </is>
      </c>
      <c r="B226" s="1" t="n">
        <v>44182</v>
      </c>
      <c r="C226" s="1" t="n">
        <v>45473</v>
      </c>
      <c r="D226" t="inlineStr">
        <is>
          <t>VÄSTMANLANDS LÄN</t>
        </is>
      </c>
      <c r="E226" t="inlineStr">
        <is>
          <t>SALA</t>
        </is>
      </c>
      <c r="G226" t="n">
        <v>3.6</v>
      </c>
      <c r="H226" t="n">
        <v>0</v>
      </c>
      <c r="I226" t="n">
        <v>0</v>
      </c>
      <c r="J226" t="n">
        <v>0</v>
      </c>
      <c r="K226" t="n">
        <v>0</v>
      </c>
      <c r="L226" t="n">
        <v>0</v>
      </c>
      <c r="M226" t="n">
        <v>0</v>
      </c>
      <c r="N226" t="n">
        <v>0</v>
      </c>
      <c r="O226" t="n">
        <v>0</v>
      </c>
      <c r="P226" t="n">
        <v>0</v>
      </c>
      <c r="Q226" t="n">
        <v>0</v>
      </c>
      <c r="R226" s="2" t="inlineStr"/>
    </row>
    <row r="227" ht="15" customHeight="1">
      <c r="A227" t="inlineStr">
        <is>
          <t>A 69194-2020</t>
        </is>
      </c>
      <c r="B227" s="1" t="n">
        <v>44191</v>
      </c>
      <c r="C227" s="1" t="n">
        <v>45473</v>
      </c>
      <c r="D227" t="inlineStr">
        <is>
          <t>VÄSTMANLANDS LÄN</t>
        </is>
      </c>
      <c r="E227" t="inlineStr">
        <is>
          <t>SALA</t>
        </is>
      </c>
      <c r="G227" t="n">
        <v>0.4</v>
      </c>
      <c r="H227" t="n">
        <v>0</v>
      </c>
      <c r="I227" t="n">
        <v>0</v>
      </c>
      <c r="J227" t="n">
        <v>0</v>
      </c>
      <c r="K227" t="n">
        <v>0</v>
      </c>
      <c r="L227" t="n">
        <v>0</v>
      </c>
      <c r="M227" t="n">
        <v>0</v>
      </c>
      <c r="N227" t="n">
        <v>0</v>
      </c>
      <c r="O227" t="n">
        <v>0</v>
      </c>
      <c r="P227" t="n">
        <v>0</v>
      </c>
      <c r="Q227" t="n">
        <v>0</v>
      </c>
      <c r="R227" s="2" t="inlineStr"/>
    </row>
    <row r="228" ht="15" customHeight="1">
      <c r="A228" t="inlineStr">
        <is>
          <t>A 69192-2020</t>
        </is>
      </c>
      <c r="B228" s="1" t="n">
        <v>44191</v>
      </c>
      <c r="C228" s="1" t="n">
        <v>45473</v>
      </c>
      <c r="D228" t="inlineStr">
        <is>
          <t>VÄSTMANLANDS LÄN</t>
        </is>
      </c>
      <c r="E228" t="inlineStr">
        <is>
          <t>SALA</t>
        </is>
      </c>
      <c r="G228" t="n">
        <v>0.8</v>
      </c>
      <c r="H228" t="n">
        <v>0</v>
      </c>
      <c r="I228" t="n">
        <v>0</v>
      </c>
      <c r="J228" t="n">
        <v>0</v>
      </c>
      <c r="K228" t="n">
        <v>0</v>
      </c>
      <c r="L228" t="n">
        <v>0</v>
      </c>
      <c r="M228" t="n">
        <v>0</v>
      </c>
      <c r="N228" t="n">
        <v>0</v>
      </c>
      <c r="O228" t="n">
        <v>0</v>
      </c>
      <c r="P228" t="n">
        <v>0</v>
      </c>
      <c r="Q228" t="n">
        <v>0</v>
      </c>
      <c r="R228" s="2" t="inlineStr"/>
    </row>
    <row r="229" ht="15" customHeight="1">
      <c r="A229" t="inlineStr">
        <is>
          <t>A 69195-2020</t>
        </is>
      </c>
      <c r="B229" s="1" t="n">
        <v>44191</v>
      </c>
      <c r="C229" s="1" t="n">
        <v>45473</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69319-2020</t>
        </is>
      </c>
      <c r="B230" s="1" t="n">
        <v>44193</v>
      </c>
      <c r="C230" s="1" t="n">
        <v>45473</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69318-2020</t>
        </is>
      </c>
      <c r="B231" s="1" t="n">
        <v>44193</v>
      </c>
      <c r="C231" s="1" t="n">
        <v>45473</v>
      </c>
      <c r="D231" t="inlineStr">
        <is>
          <t>VÄSTMANLANDS LÄN</t>
        </is>
      </c>
      <c r="E231" t="inlineStr">
        <is>
          <t>SALA</t>
        </is>
      </c>
      <c r="G231" t="n">
        <v>2.2</v>
      </c>
      <c r="H231" t="n">
        <v>0</v>
      </c>
      <c r="I231" t="n">
        <v>0</v>
      </c>
      <c r="J231" t="n">
        <v>0</v>
      </c>
      <c r="K231" t="n">
        <v>0</v>
      </c>
      <c r="L231" t="n">
        <v>0</v>
      </c>
      <c r="M231" t="n">
        <v>0</v>
      </c>
      <c r="N231" t="n">
        <v>0</v>
      </c>
      <c r="O231" t="n">
        <v>0</v>
      </c>
      <c r="P231" t="n">
        <v>0</v>
      </c>
      <c r="Q231" t="n">
        <v>0</v>
      </c>
      <c r="R231" s="2" t="inlineStr"/>
    </row>
    <row r="232" ht="15" customHeight="1">
      <c r="A232" t="inlineStr">
        <is>
          <t>A 69362-2020</t>
        </is>
      </c>
      <c r="B232" s="1" t="n">
        <v>44193</v>
      </c>
      <c r="C232" s="1" t="n">
        <v>45473</v>
      </c>
      <c r="D232" t="inlineStr">
        <is>
          <t>VÄSTMANLANDS LÄN</t>
        </is>
      </c>
      <c r="E232" t="inlineStr">
        <is>
          <t>SALA</t>
        </is>
      </c>
      <c r="G232" t="n">
        <v>13.7</v>
      </c>
      <c r="H232" t="n">
        <v>0</v>
      </c>
      <c r="I232" t="n">
        <v>0</v>
      </c>
      <c r="J232" t="n">
        <v>0</v>
      </c>
      <c r="K232" t="n">
        <v>0</v>
      </c>
      <c r="L232" t="n">
        <v>0</v>
      </c>
      <c r="M232" t="n">
        <v>0</v>
      </c>
      <c r="N232" t="n">
        <v>0</v>
      </c>
      <c r="O232" t="n">
        <v>0</v>
      </c>
      <c r="P232" t="n">
        <v>0</v>
      </c>
      <c r="Q232" t="n">
        <v>0</v>
      </c>
      <c r="R232" s="2" t="inlineStr"/>
    </row>
    <row r="233" ht="15" customHeight="1">
      <c r="A233" t="inlineStr">
        <is>
          <t>A 1599-2021</t>
        </is>
      </c>
      <c r="B233" s="1" t="n">
        <v>44209</v>
      </c>
      <c r="C233" s="1" t="n">
        <v>45473</v>
      </c>
      <c r="D233" t="inlineStr">
        <is>
          <t>VÄSTMANLANDS LÄN</t>
        </is>
      </c>
      <c r="E233" t="inlineStr">
        <is>
          <t>SALA</t>
        </is>
      </c>
      <c r="G233" t="n">
        <v>9.6</v>
      </c>
      <c r="H233" t="n">
        <v>0</v>
      </c>
      <c r="I233" t="n">
        <v>0</v>
      </c>
      <c r="J233" t="n">
        <v>0</v>
      </c>
      <c r="K233" t="n">
        <v>0</v>
      </c>
      <c r="L233" t="n">
        <v>0</v>
      </c>
      <c r="M233" t="n">
        <v>0</v>
      </c>
      <c r="N233" t="n">
        <v>0</v>
      </c>
      <c r="O233" t="n">
        <v>0</v>
      </c>
      <c r="P233" t="n">
        <v>0</v>
      </c>
      <c r="Q233" t="n">
        <v>0</v>
      </c>
      <c r="R233" s="2" t="inlineStr"/>
      <c r="U233">
        <f>HYPERLINK("https://klasma.github.io/Logging_1981/knärot/A 1599-2021 karta knärot.png", "A 1599-2021")</f>
        <v/>
      </c>
      <c r="V233">
        <f>HYPERLINK("https://klasma.github.io/Logging_1981/klagomål/A 1599-2021 FSC-klagomål.docx", "A 1599-2021")</f>
        <v/>
      </c>
      <c r="W233">
        <f>HYPERLINK("https://klasma.github.io/Logging_1981/klagomålsmail/A 1599-2021 FSC-klagomål mail.docx", "A 1599-2021")</f>
        <v/>
      </c>
      <c r="X233">
        <f>HYPERLINK("https://klasma.github.io/Logging_1981/tillsyn/A 1599-2021 tillsynsbegäran.docx", "A 1599-2021")</f>
        <v/>
      </c>
      <c r="Y233">
        <f>HYPERLINK("https://klasma.github.io/Logging_1981/tillsynsmail/A 1599-2021 tillsynsbegäran mail.docx", "A 1599-2021")</f>
        <v/>
      </c>
    </row>
    <row r="234" ht="15" customHeight="1">
      <c r="A234" t="inlineStr">
        <is>
          <t>A 2443-2021</t>
        </is>
      </c>
      <c r="B234" s="1" t="n">
        <v>44214</v>
      </c>
      <c r="C234" s="1" t="n">
        <v>45473</v>
      </c>
      <c r="D234" t="inlineStr">
        <is>
          <t>VÄSTMANLANDS LÄN</t>
        </is>
      </c>
      <c r="E234" t="inlineStr">
        <is>
          <t>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4736-2021</t>
        </is>
      </c>
      <c r="B235" s="1" t="n">
        <v>44225</v>
      </c>
      <c r="C235" s="1" t="n">
        <v>45473</v>
      </c>
      <c r="D235" t="inlineStr">
        <is>
          <t>VÄSTMANLANDS LÄN</t>
        </is>
      </c>
      <c r="E235" t="inlineStr">
        <is>
          <t>SALA</t>
        </is>
      </c>
      <c r="G235" t="n">
        <v>4.2</v>
      </c>
      <c r="H235" t="n">
        <v>0</v>
      </c>
      <c r="I235" t="n">
        <v>0</v>
      </c>
      <c r="J235" t="n">
        <v>0</v>
      </c>
      <c r="K235" t="n">
        <v>0</v>
      </c>
      <c r="L235" t="n">
        <v>0</v>
      </c>
      <c r="M235" t="n">
        <v>0</v>
      </c>
      <c r="N235" t="n">
        <v>0</v>
      </c>
      <c r="O235" t="n">
        <v>0</v>
      </c>
      <c r="P235" t="n">
        <v>0</v>
      </c>
      <c r="Q235" t="n">
        <v>0</v>
      </c>
      <c r="R235" s="2" t="inlineStr"/>
    </row>
    <row r="236" ht="15" customHeight="1">
      <c r="A236" t="inlineStr">
        <is>
          <t>A 6088-2021</t>
        </is>
      </c>
      <c r="B236" s="1" t="n">
        <v>44232</v>
      </c>
      <c r="C236" s="1" t="n">
        <v>45473</v>
      </c>
      <c r="D236" t="inlineStr">
        <is>
          <t>VÄSTMANLANDS LÄN</t>
        </is>
      </c>
      <c r="E236" t="inlineStr">
        <is>
          <t>SALA</t>
        </is>
      </c>
      <c r="G236" t="n">
        <v>0.2</v>
      </c>
      <c r="H236" t="n">
        <v>0</v>
      </c>
      <c r="I236" t="n">
        <v>0</v>
      </c>
      <c r="J236" t="n">
        <v>0</v>
      </c>
      <c r="K236" t="n">
        <v>0</v>
      </c>
      <c r="L236" t="n">
        <v>0</v>
      </c>
      <c r="M236" t="n">
        <v>0</v>
      </c>
      <c r="N236" t="n">
        <v>0</v>
      </c>
      <c r="O236" t="n">
        <v>0</v>
      </c>
      <c r="P236" t="n">
        <v>0</v>
      </c>
      <c r="Q236" t="n">
        <v>0</v>
      </c>
      <c r="R236" s="2" t="inlineStr"/>
    </row>
    <row r="237" ht="15" customHeight="1">
      <c r="A237" t="inlineStr">
        <is>
          <t>A 6308-2021</t>
        </is>
      </c>
      <c r="B237" s="1" t="n">
        <v>44235</v>
      </c>
      <c r="C237" s="1" t="n">
        <v>45473</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7681-2021</t>
        </is>
      </c>
      <c r="B238" s="1" t="n">
        <v>44242</v>
      </c>
      <c r="C238" s="1" t="n">
        <v>45473</v>
      </c>
      <c r="D238" t="inlineStr">
        <is>
          <t>VÄSTMANLANDS LÄN</t>
        </is>
      </c>
      <c r="E238" t="inlineStr">
        <is>
          <t>SALA</t>
        </is>
      </c>
      <c r="F238" t="inlineStr">
        <is>
          <t>Sveaskog</t>
        </is>
      </c>
      <c r="G238" t="n">
        <v>16.1</v>
      </c>
      <c r="H238" t="n">
        <v>0</v>
      </c>
      <c r="I238" t="n">
        <v>0</v>
      </c>
      <c r="J238" t="n">
        <v>0</v>
      </c>
      <c r="K238" t="n">
        <v>0</v>
      </c>
      <c r="L238" t="n">
        <v>0</v>
      </c>
      <c r="M238" t="n">
        <v>0</v>
      </c>
      <c r="N238" t="n">
        <v>0</v>
      </c>
      <c r="O238" t="n">
        <v>0</v>
      </c>
      <c r="P238" t="n">
        <v>0</v>
      </c>
      <c r="Q238" t="n">
        <v>0</v>
      </c>
      <c r="R238" s="2" t="inlineStr"/>
    </row>
    <row r="239" ht="15" customHeight="1">
      <c r="A239" t="inlineStr">
        <is>
          <t>A 7968-2021</t>
        </is>
      </c>
      <c r="B239" s="1" t="n">
        <v>44243</v>
      </c>
      <c r="C239" s="1" t="n">
        <v>45473</v>
      </c>
      <c r="D239" t="inlineStr">
        <is>
          <t>VÄSTMANLANDS LÄN</t>
        </is>
      </c>
      <c r="E239" t="inlineStr">
        <is>
          <t>SALA</t>
        </is>
      </c>
      <c r="G239" t="n">
        <v>3.1</v>
      </c>
      <c r="H239" t="n">
        <v>0</v>
      </c>
      <c r="I239" t="n">
        <v>0</v>
      </c>
      <c r="J239" t="n">
        <v>0</v>
      </c>
      <c r="K239" t="n">
        <v>0</v>
      </c>
      <c r="L239" t="n">
        <v>0</v>
      </c>
      <c r="M239" t="n">
        <v>0</v>
      </c>
      <c r="N239" t="n">
        <v>0</v>
      </c>
      <c r="O239" t="n">
        <v>0</v>
      </c>
      <c r="P239" t="n">
        <v>0</v>
      </c>
      <c r="Q239" t="n">
        <v>0</v>
      </c>
      <c r="R239" s="2" t="inlineStr"/>
    </row>
    <row r="240" ht="15" customHeight="1">
      <c r="A240" t="inlineStr">
        <is>
          <t>A 7955-2021</t>
        </is>
      </c>
      <c r="B240" s="1" t="n">
        <v>44243</v>
      </c>
      <c r="C240" s="1" t="n">
        <v>45473</v>
      </c>
      <c r="D240" t="inlineStr">
        <is>
          <t>VÄSTMANLANDS LÄN</t>
        </is>
      </c>
      <c r="E240" t="inlineStr">
        <is>
          <t>SALA</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8513-2021</t>
        </is>
      </c>
      <c r="B241" s="1" t="n">
        <v>44244</v>
      </c>
      <c r="C241" s="1" t="n">
        <v>45473</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10154-2021</t>
        </is>
      </c>
      <c r="B242" s="1" t="n">
        <v>44256</v>
      </c>
      <c r="C242" s="1" t="n">
        <v>45473</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10812-2021</t>
        </is>
      </c>
      <c r="B243" s="1" t="n">
        <v>44259</v>
      </c>
      <c r="C243" s="1" t="n">
        <v>45473</v>
      </c>
      <c r="D243" t="inlineStr">
        <is>
          <t>VÄSTMANLANDS LÄN</t>
        </is>
      </c>
      <c r="E243" t="inlineStr">
        <is>
          <t>SALA</t>
        </is>
      </c>
      <c r="G243" t="n">
        <v>0.7</v>
      </c>
      <c r="H243" t="n">
        <v>0</v>
      </c>
      <c r="I243" t="n">
        <v>0</v>
      </c>
      <c r="J243" t="n">
        <v>0</v>
      </c>
      <c r="K243" t="n">
        <v>0</v>
      </c>
      <c r="L243" t="n">
        <v>0</v>
      </c>
      <c r="M243" t="n">
        <v>0</v>
      </c>
      <c r="N243" t="n">
        <v>0</v>
      </c>
      <c r="O243" t="n">
        <v>0</v>
      </c>
      <c r="P243" t="n">
        <v>0</v>
      </c>
      <c r="Q243" t="n">
        <v>0</v>
      </c>
      <c r="R243" s="2" t="inlineStr"/>
    </row>
    <row r="244" ht="15" customHeight="1">
      <c r="A244" t="inlineStr">
        <is>
          <t>A 11017-2021</t>
        </is>
      </c>
      <c r="B244" s="1" t="n">
        <v>44260</v>
      </c>
      <c r="C244" s="1" t="n">
        <v>45473</v>
      </c>
      <c r="D244" t="inlineStr">
        <is>
          <t>VÄSTMANLANDS LÄN</t>
        </is>
      </c>
      <c r="E244" t="inlineStr">
        <is>
          <t>SALA</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11007-2021</t>
        </is>
      </c>
      <c r="B245" s="1" t="n">
        <v>44260</v>
      </c>
      <c r="C245" s="1" t="n">
        <v>45473</v>
      </c>
      <c r="D245" t="inlineStr">
        <is>
          <t>VÄSTMANLANDS LÄN</t>
        </is>
      </c>
      <c r="E245" t="inlineStr">
        <is>
          <t>SALA</t>
        </is>
      </c>
      <c r="F245" t="inlineStr">
        <is>
          <t>Kyrkan</t>
        </is>
      </c>
      <c r="G245" t="n">
        <v>1.6</v>
      </c>
      <c r="H245" t="n">
        <v>0</v>
      </c>
      <c r="I245" t="n">
        <v>0</v>
      </c>
      <c r="J245" t="n">
        <v>0</v>
      </c>
      <c r="K245" t="n">
        <v>0</v>
      </c>
      <c r="L245" t="n">
        <v>0</v>
      </c>
      <c r="M245" t="n">
        <v>0</v>
      </c>
      <c r="N245" t="n">
        <v>0</v>
      </c>
      <c r="O245" t="n">
        <v>0</v>
      </c>
      <c r="P245" t="n">
        <v>0</v>
      </c>
      <c r="Q245" t="n">
        <v>0</v>
      </c>
      <c r="R245" s="2" t="inlineStr"/>
    </row>
    <row r="246" ht="15" customHeight="1">
      <c r="A246" t="inlineStr">
        <is>
          <t>A 11560-2021</t>
        </is>
      </c>
      <c r="B246" s="1" t="n">
        <v>44264</v>
      </c>
      <c r="C246" s="1" t="n">
        <v>45473</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13112-2021</t>
        </is>
      </c>
      <c r="B247" s="1" t="n">
        <v>44272</v>
      </c>
      <c r="C247" s="1" t="n">
        <v>45473</v>
      </c>
      <c r="D247" t="inlineStr">
        <is>
          <t>VÄSTMANLANDS LÄN</t>
        </is>
      </c>
      <c r="E247" t="inlineStr">
        <is>
          <t>SALA</t>
        </is>
      </c>
      <c r="G247" t="n">
        <v>3.7</v>
      </c>
      <c r="H247" t="n">
        <v>0</v>
      </c>
      <c r="I247" t="n">
        <v>0</v>
      </c>
      <c r="J247" t="n">
        <v>0</v>
      </c>
      <c r="K247" t="n">
        <v>0</v>
      </c>
      <c r="L247" t="n">
        <v>0</v>
      </c>
      <c r="M247" t="n">
        <v>0</v>
      </c>
      <c r="N247" t="n">
        <v>0</v>
      </c>
      <c r="O247" t="n">
        <v>0</v>
      </c>
      <c r="P247" t="n">
        <v>0</v>
      </c>
      <c r="Q247" t="n">
        <v>0</v>
      </c>
      <c r="R247" s="2" t="inlineStr"/>
    </row>
    <row r="248" ht="15" customHeight="1">
      <c r="A248" t="inlineStr">
        <is>
          <t>A 13993-2021</t>
        </is>
      </c>
      <c r="B248" s="1" t="n">
        <v>44277</v>
      </c>
      <c r="C248" s="1" t="n">
        <v>45473</v>
      </c>
      <c r="D248" t="inlineStr">
        <is>
          <t>VÄSTMANLANDS LÄN</t>
        </is>
      </c>
      <c r="E248" t="inlineStr">
        <is>
          <t>SALA</t>
        </is>
      </c>
      <c r="G248" t="n">
        <v>27.6</v>
      </c>
      <c r="H248" t="n">
        <v>0</v>
      </c>
      <c r="I248" t="n">
        <v>0</v>
      </c>
      <c r="J248" t="n">
        <v>0</v>
      </c>
      <c r="K248" t="n">
        <v>0</v>
      </c>
      <c r="L248" t="n">
        <v>0</v>
      </c>
      <c r="M248" t="n">
        <v>0</v>
      </c>
      <c r="N248" t="n">
        <v>0</v>
      </c>
      <c r="O248" t="n">
        <v>0</v>
      </c>
      <c r="P248" t="n">
        <v>0</v>
      </c>
      <c r="Q248" t="n">
        <v>0</v>
      </c>
      <c r="R248" s="2" t="inlineStr"/>
    </row>
    <row r="249" ht="15" customHeight="1">
      <c r="A249" t="inlineStr">
        <is>
          <t>A 14010-2021</t>
        </is>
      </c>
      <c r="B249" s="1" t="n">
        <v>44277</v>
      </c>
      <c r="C249" s="1" t="n">
        <v>45473</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15354-2021</t>
        </is>
      </c>
      <c r="B250" s="1" t="n">
        <v>44284</v>
      </c>
      <c r="C250" s="1" t="n">
        <v>45473</v>
      </c>
      <c r="D250" t="inlineStr">
        <is>
          <t>VÄSTMANLANDS LÄN</t>
        </is>
      </c>
      <c r="E250" t="inlineStr">
        <is>
          <t>SALA</t>
        </is>
      </c>
      <c r="F250" t="inlineStr">
        <is>
          <t>Kyrkan</t>
        </is>
      </c>
      <c r="G250" t="n">
        <v>8.5</v>
      </c>
      <c r="H250" t="n">
        <v>0</v>
      </c>
      <c r="I250" t="n">
        <v>0</v>
      </c>
      <c r="J250" t="n">
        <v>0</v>
      </c>
      <c r="K250" t="n">
        <v>0</v>
      </c>
      <c r="L250" t="n">
        <v>0</v>
      </c>
      <c r="M250" t="n">
        <v>0</v>
      </c>
      <c r="N250" t="n">
        <v>0</v>
      </c>
      <c r="O250" t="n">
        <v>0</v>
      </c>
      <c r="P250" t="n">
        <v>0</v>
      </c>
      <c r="Q250" t="n">
        <v>0</v>
      </c>
      <c r="R250" s="2" t="inlineStr"/>
    </row>
    <row r="251" ht="15" customHeight="1">
      <c r="A251" t="inlineStr">
        <is>
          <t>A 15483-2021</t>
        </is>
      </c>
      <c r="B251" s="1" t="n">
        <v>44285</v>
      </c>
      <c r="C251" s="1" t="n">
        <v>45473</v>
      </c>
      <c r="D251" t="inlineStr">
        <is>
          <t>VÄSTMANLANDS LÄN</t>
        </is>
      </c>
      <c r="E251" t="inlineStr">
        <is>
          <t>SALA</t>
        </is>
      </c>
      <c r="G251" t="n">
        <v>1.6</v>
      </c>
      <c r="H251" t="n">
        <v>0</v>
      </c>
      <c r="I251" t="n">
        <v>0</v>
      </c>
      <c r="J251" t="n">
        <v>0</v>
      </c>
      <c r="K251" t="n">
        <v>0</v>
      </c>
      <c r="L251" t="n">
        <v>0</v>
      </c>
      <c r="M251" t="n">
        <v>0</v>
      </c>
      <c r="N251" t="n">
        <v>0</v>
      </c>
      <c r="O251" t="n">
        <v>0</v>
      </c>
      <c r="P251" t="n">
        <v>0</v>
      </c>
      <c r="Q251" t="n">
        <v>0</v>
      </c>
      <c r="R251" s="2" t="inlineStr"/>
    </row>
    <row r="252" ht="15" customHeight="1">
      <c r="A252" t="inlineStr">
        <is>
          <t>A 15584-2021</t>
        </is>
      </c>
      <c r="B252" s="1" t="n">
        <v>44285</v>
      </c>
      <c r="C252" s="1" t="n">
        <v>45473</v>
      </c>
      <c r="D252" t="inlineStr">
        <is>
          <t>VÄSTMANLANDS LÄN</t>
        </is>
      </c>
      <c r="E252" t="inlineStr">
        <is>
          <t>SALA</t>
        </is>
      </c>
      <c r="G252" t="n">
        <v>3.4</v>
      </c>
      <c r="H252" t="n">
        <v>0</v>
      </c>
      <c r="I252" t="n">
        <v>0</v>
      </c>
      <c r="J252" t="n">
        <v>0</v>
      </c>
      <c r="K252" t="n">
        <v>0</v>
      </c>
      <c r="L252" t="n">
        <v>0</v>
      </c>
      <c r="M252" t="n">
        <v>0</v>
      </c>
      <c r="N252" t="n">
        <v>0</v>
      </c>
      <c r="O252" t="n">
        <v>0</v>
      </c>
      <c r="P252" t="n">
        <v>0</v>
      </c>
      <c r="Q252" t="n">
        <v>0</v>
      </c>
      <c r="R252" s="2" t="inlineStr"/>
    </row>
    <row r="253" ht="15" customHeight="1">
      <c r="A253" t="inlineStr">
        <is>
          <t>A 16651-2021</t>
        </is>
      </c>
      <c r="B253" s="1" t="n">
        <v>44294</v>
      </c>
      <c r="C253" s="1" t="n">
        <v>45473</v>
      </c>
      <c r="D253" t="inlineStr">
        <is>
          <t>VÄSTMANLANDS LÄN</t>
        </is>
      </c>
      <c r="E253" t="inlineStr">
        <is>
          <t>SALA</t>
        </is>
      </c>
      <c r="G253" t="n">
        <v>7.7</v>
      </c>
      <c r="H253" t="n">
        <v>0</v>
      </c>
      <c r="I253" t="n">
        <v>0</v>
      </c>
      <c r="J253" t="n">
        <v>0</v>
      </c>
      <c r="K253" t="n">
        <v>0</v>
      </c>
      <c r="L253" t="n">
        <v>0</v>
      </c>
      <c r="M253" t="n">
        <v>0</v>
      </c>
      <c r="N253" t="n">
        <v>0</v>
      </c>
      <c r="O253" t="n">
        <v>0</v>
      </c>
      <c r="P253" t="n">
        <v>0</v>
      </c>
      <c r="Q253" t="n">
        <v>0</v>
      </c>
      <c r="R253" s="2" t="inlineStr"/>
    </row>
    <row r="254" ht="15" customHeight="1">
      <c r="A254" t="inlineStr">
        <is>
          <t>A 18046-2021</t>
        </is>
      </c>
      <c r="B254" s="1" t="n">
        <v>44301</v>
      </c>
      <c r="C254" s="1" t="n">
        <v>45473</v>
      </c>
      <c r="D254" t="inlineStr">
        <is>
          <t>VÄSTMANLANDS LÄN</t>
        </is>
      </c>
      <c r="E254" t="inlineStr">
        <is>
          <t>SALA</t>
        </is>
      </c>
      <c r="G254" t="n">
        <v>3.5</v>
      </c>
      <c r="H254" t="n">
        <v>0</v>
      </c>
      <c r="I254" t="n">
        <v>0</v>
      </c>
      <c r="J254" t="n">
        <v>0</v>
      </c>
      <c r="K254" t="n">
        <v>0</v>
      </c>
      <c r="L254" t="n">
        <v>0</v>
      </c>
      <c r="M254" t="n">
        <v>0</v>
      </c>
      <c r="N254" t="n">
        <v>0</v>
      </c>
      <c r="O254" t="n">
        <v>0</v>
      </c>
      <c r="P254" t="n">
        <v>0</v>
      </c>
      <c r="Q254" t="n">
        <v>0</v>
      </c>
      <c r="R254" s="2" t="inlineStr"/>
    </row>
    <row r="255" ht="15" customHeight="1">
      <c r="A255" t="inlineStr">
        <is>
          <t>A 18189-2021</t>
        </is>
      </c>
      <c r="B255" s="1" t="n">
        <v>44302</v>
      </c>
      <c r="C255" s="1" t="n">
        <v>45473</v>
      </c>
      <c r="D255" t="inlineStr">
        <is>
          <t>VÄSTMANLANDS LÄN</t>
        </is>
      </c>
      <c r="E255" t="inlineStr">
        <is>
          <t>SALA</t>
        </is>
      </c>
      <c r="G255" t="n">
        <v>0.7</v>
      </c>
      <c r="H255" t="n">
        <v>0</v>
      </c>
      <c r="I255" t="n">
        <v>0</v>
      </c>
      <c r="J255" t="n">
        <v>0</v>
      </c>
      <c r="K255" t="n">
        <v>0</v>
      </c>
      <c r="L255" t="n">
        <v>0</v>
      </c>
      <c r="M255" t="n">
        <v>0</v>
      </c>
      <c r="N255" t="n">
        <v>0</v>
      </c>
      <c r="O255" t="n">
        <v>0</v>
      </c>
      <c r="P255" t="n">
        <v>0</v>
      </c>
      <c r="Q255" t="n">
        <v>0</v>
      </c>
      <c r="R255" s="2" t="inlineStr"/>
    </row>
    <row r="256" ht="15" customHeight="1">
      <c r="A256" t="inlineStr">
        <is>
          <t>A 18259-2021</t>
        </is>
      </c>
      <c r="B256" s="1" t="n">
        <v>44305</v>
      </c>
      <c r="C256" s="1" t="n">
        <v>45473</v>
      </c>
      <c r="D256" t="inlineStr">
        <is>
          <t>VÄSTMANLANDS LÄN</t>
        </is>
      </c>
      <c r="E256" t="inlineStr">
        <is>
          <t>SALA</t>
        </is>
      </c>
      <c r="G256" t="n">
        <v>0</v>
      </c>
      <c r="H256" t="n">
        <v>0</v>
      </c>
      <c r="I256" t="n">
        <v>0</v>
      </c>
      <c r="J256" t="n">
        <v>0</v>
      </c>
      <c r="K256" t="n">
        <v>0</v>
      </c>
      <c r="L256" t="n">
        <v>0</v>
      </c>
      <c r="M256" t="n">
        <v>0</v>
      </c>
      <c r="N256" t="n">
        <v>0</v>
      </c>
      <c r="O256" t="n">
        <v>0</v>
      </c>
      <c r="P256" t="n">
        <v>0</v>
      </c>
      <c r="Q256" t="n">
        <v>0</v>
      </c>
      <c r="R256" s="2" t="inlineStr"/>
    </row>
    <row r="257" ht="15" customHeight="1">
      <c r="A257" t="inlineStr">
        <is>
          <t>A 18378-2021</t>
        </is>
      </c>
      <c r="B257" s="1" t="n">
        <v>44305</v>
      </c>
      <c r="C257" s="1" t="n">
        <v>45473</v>
      </c>
      <c r="D257" t="inlineStr">
        <is>
          <t>VÄSTMANLANDS LÄN</t>
        </is>
      </c>
      <c r="E257" t="inlineStr">
        <is>
          <t>SALA</t>
        </is>
      </c>
      <c r="F257" t="inlineStr">
        <is>
          <t>Kommuner</t>
        </is>
      </c>
      <c r="G257" t="n">
        <v>0.9</v>
      </c>
      <c r="H257" t="n">
        <v>0</v>
      </c>
      <c r="I257" t="n">
        <v>0</v>
      </c>
      <c r="J257" t="n">
        <v>0</v>
      </c>
      <c r="K257" t="n">
        <v>0</v>
      </c>
      <c r="L257" t="n">
        <v>0</v>
      </c>
      <c r="M257" t="n">
        <v>0</v>
      </c>
      <c r="N257" t="n">
        <v>0</v>
      </c>
      <c r="O257" t="n">
        <v>0</v>
      </c>
      <c r="P257" t="n">
        <v>0</v>
      </c>
      <c r="Q257" t="n">
        <v>0</v>
      </c>
      <c r="R257" s="2" t="inlineStr"/>
    </row>
    <row r="258" ht="15" customHeight="1">
      <c r="A258" t="inlineStr">
        <is>
          <t>A 18385-2021</t>
        </is>
      </c>
      <c r="B258" s="1" t="n">
        <v>44305</v>
      </c>
      <c r="C258" s="1" t="n">
        <v>45473</v>
      </c>
      <c r="D258" t="inlineStr">
        <is>
          <t>VÄSTMANLANDS LÄN</t>
        </is>
      </c>
      <c r="E258" t="inlineStr">
        <is>
          <t>SALA</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18951-2021</t>
        </is>
      </c>
      <c r="B259" s="1" t="n">
        <v>44308</v>
      </c>
      <c r="C259" s="1" t="n">
        <v>45473</v>
      </c>
      <c r="D259" t="inlineStr">
        <is>
          <t>VÄSTMANLANDS LÄN</t>
        </is>
      </c>
      <c r="E259" t="inlineStr">
        <is>
          <t>SALA</t>
        </is>
      </c>
      <c r="G259" t="n">
        <v>0.3</v>
      </c>
      <c r="H259" t="n">
        <v>0</v>
      </c>
      <c r="I259" t="n">
        <v>0</v>
      </c>
      <c r="J259" t="n">
        <v>0</v>
      </c>
      <c r="K259" t="n">
        <v>0</v>
      </c>
      <c r="L259" t="n">
        <v>0</v>
      </c>
      <c r="M259" t="n">
        <v>0</v>
      </c>
      <c r="N259" t="n">
        <v>0</v>
      </c>
      <c r="O259" t="n">
        <v>0</v>
      </c>
      <c r="P259" t="n">
        <v>0</v>
      </c>
      <c r="Q259" t="n">
        <v>0</v>
      </c>
      <c r="R259" s="2" t="inlineStr"/>
    </row>
    <row r="260" ht="15" customHeight="1">
      <c r="A260" t="inlineStr">
        <is>
          <t>A 21458-2021</t>
        </is>
      </c>
      <c r="B260" s="1" t="n">
        <v>44321</v>
      </c>
      <c r="C260" s="1" t="n">
        <v>45473</v>
      </c>
      <c r="D260" t="inlineStr">
        <is>
          <t>VÄSTMANLANDS LÄN</t>
        </is>
      </c>
      <c r="E260" t="inlineStr">
        <is>
          <t>SALA</t>
        </is>
      </c>
      <c r="G260" t="n">
        <v>0.3</v>
      </c>
      <c r="H260" t="n">
        <v>0</v>
      </c>
      <c r="I260" t="n">
        <v>0</v>
      </c>
      <c r="J260" t="n">
        <v>0</v>
      </c>
      <c r="K260" t="n">
        <v>0</v>
      </c>
      <c r="L260" t="n">
        <v>0</v>
      </c>
      <c r="M260" t="n">
        <v>0</v>
      </c>
      <c r="N260" t="n">
        <v>0</v>
      </c>
      <c r="O260" t="n">
        <v>0</v>
      </c>
      <c r="P260" t="n">
        <v>0</v>
      </c>
      <c r="Q260" t="n">
        <v>0</v>
      </c>
      <c r="R260" s="2" t="inlineStr"/>
    </row>
    <row r="261" ht="15" customHeight="1">
      <c r="A261" t="inlineStr">
        <is>
          <t>A 21478-2021</t>
        </is>
      </c>
      <c r="B261" s="1" t="n">
        <v>44321</v>
      </c>
      <c r="C261" s="1" t="n">
        <v>45473</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22019-2021</t>
        </is>
      </c>
      <c r="B262" s="1" t="n">
        <v>44323</v>
      </c>
      <c r="C262" s="1" t="n">
        <v>45473</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22026-2021</t>
        </is>
      </c>
      <c r="B263" s="1" t="n">
        <v>44323</v>
      </c>
      <c r="C263" s="1" t="n">
        <v>45473</v>
      </c>
      <c r="D263" t="inlineStr">
        <is>
          <t>VÄSTMANLANDS LÄN</t>
        </is>
      </c>
      <c r="E263" t="inlineStr">
        <is>
          <t>SALA</t>
        </is>
      </c>
      <c r="G263" t="n">
        <v>2.9</v>
      </c>
      <c r="H263" t="n">
        <v>0</v>
      </c>
      <c r="I263" t="n">
        <v>0</v>
      </c>
      <c r="J263" t="n">
        <v>0</v>
      </c>
      <c r="K263" t="n">
        <v>0</v>
      </c>
      <c r="L263" t="n">
        <v>0</v>
      </c>
      <c r="M263" t="n">
        <v>0</v>
      </c>
      <c r="N263" t="n">
        <v>0</v>
      </c>
      <c r="O263" t="n">
        <v>0</v>
      </c>
      <c r="P263" t="n">
        <v>0</v>
      </c>
      <c r="Q263" t="n">
        <v>0</v>
      </c>
      <c r="R263" s="2" t="inlineStr"/>
    </row>
    <row r="264" ht="15" customHeight="1">
      <c r="A264" t="inlineStr">
        <is>
          <t>A 22017-2021</t>
        </is>
      </c>
      <c r="B264" s="1" t="n">
        <v>44323</v>
      </c>
      <c r="C264" s="1" t="n">
        <v>45473</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22362-2021</t>
        </is>
      </c>
      <c r="B265" s="1" t="n">
        <v>44326</v>
      </c>
      <c r="C265" s="1" t="n">
        <v>45473</v>
      </c>
      <c r="D265" t="inlineStr">
        <is>
          <t>VÄSTMANLANDS LÄN</t>
        </is>
      </c>
      <c r="E265" t="inlineStr">
        <is>
          <t>SALA</t>
        </is>
      </c>
      <c r="G265" t="n">
        <v>1.7</v>
      </c>
      <c r="H265" t="n">
        <v>0</v>
      </c>
      <c r="I265" t="n">
        <v>0</v>
      </c>
      <c r="J265" t="n">
        <v>0</v>
      </c>
      <c r="K265" t="n">
        <v>0</v>
      </c>
      <c r="L265" t="n">
        <v>0</v>
      </c>
      <c r="M265" t="n">
        <v>0</v>
      </c>
      <c r="N265" t="n">
        <v>0</v>
      </c>
      <c r="O265" t="n">
        <v>0</v>
      </c>
      <c r="P265" t="n">
        <v>0</v>
      </c>
      <c r="Q265" t="n">
        <v>0</v>
      </c>
      <c r="R265" s="2" t="inlineStr"/>
    </row>
    <row r="266" ht="15" customHeight="1">
      <c r="A266" t="inlineStr">
        <is>
          <t>A 23696-2021</t>
        </is>
      </c>
      <c r="B266" s="1" t="n">
        <v>44334</v>
      </c>
      <c r="C266" s="1" t="n">
        <v>45473</v>
      </c>
      <c r="D266" t="inlineStr">
        <is>
          <t>VÄSTMANLANDS LÄN</t>
        </is>
      </c>
      <c r="E266" t="inlineStr">
        <is>
          <t>SALA</t>
        </is>
      </c>
      <c r="G266" t="n">
        <v>2.4</v>
      </c>
      <c r="H266" t="n">
        <v>0</v>
      </c>
      <c r="I266" t="n">
        <v>0</v>
      </c>
      <c r="J266" t="n">
        <v>0</v>
      </c>
      <c r="K266" t="n">
        <v>0</v>
      </c>
      <c r="L266" t="n">
        <v>0</v>
      </c>
      <c r="M266" t="n">
        <v>0</v>
      </c>
      <c r="N266" t="n">
        <v>0</v>
      </c>
      <c r="O266" t="n">
        <v>0</v>
      </c>
      <c r="P266" t="n">
        <v>0</v>
      </c>
      <c r="Q266" t="n">
        <v>0</v>
      </c>
      <c r="R266" s="2" t="inlineStr"/>
    </row>
    <row r="267" ht="15" customHeight="1">
      <c r="A267" t="inlineStr">
        <is>
          <t>A 23693-2021</t>
        </is>
      </c>
      <c r="B267" s="1" t="n">
        <v>44334</v>
      </c>
      <c r="C267" s="1" t="n">
        <v>45473</v>
      </c>
      <c r="D267" t="inlineStr">
        <is>
          <t>VÄSTMANLANDS LÄN</t>
        </is>
      </c>
      <c r="E267" t="inlineStr">
        <is>
          <t>SALA</t>
        </is>
      </c>
      <c r="G267" t="n">
        <v>8.4</v>
      </c>
      <c r="H267" t="n">
        <v>0</v>
      </c>
      <c r="I267" t="n">
        <v>0</v>
      </c>
      <c r="J267" t="n">
        <v>0</v>
      </c>
      <c r="K267" t="n">
        <v>0</v>
      </c>
      <c r="L267" t="n">
        <v>0</v>
      </c>
      <c r="M267" t="n">
        <v>0</v>
      </c>
      <c r="N267" t="n">
        <v>0</v>
      </c>
      <c r="O267" t="n">
        <v>0</v>
      </c>
      <c r="P267" t="n">
        <v>0</v>
      </c>
      <c r="Q267" t="n">
        <v>0</v>
      </c>
      <c r="R267" s="2" t="inlineStr"/>
    </row>
    <row r="268" ht="15" customHeight="1">
      <c r="A268" t="inlineStr">
        <is>
          <t>A 24740-2021</t>
        </is>
      </c>
      <c r="B268" s="1" t="n">
        <v>44340</v>
      </c>
      <c r="C268" s="1" t="n">
        <v>45473</v>
      </c>
      <c r="D268" t="inlineStr">
        <is>
          <t>VÄSTMANLANDS LÄN</t>
        </is>
      </c>
      <c r="E268" t="inlineStr">
        <is>
          <t>SALA</t>
        </is>
      </c>
      <c r="G268" t="n">
        <v>2.1</v>
      </c>
      <c r="H268" t="n">
        <v>0</v>
      </c>
      <c r="I268" t="n">
        <v>0</v>
      </c>
      <c r="J268" t="n">
        <v>0</v>
      </c>
      <c r="K268" t="n">
        <v>0</v>
      </c>
      <c r="L268" t="n">
        <v>0</v>
      </c>
      <c r="M268" t="n">
        <v>0</v>
      </c>
      <c r="N268" t="n">
        <v>0</v>
      </c>
      <c r="O268" t="n">
        <v>0</v>
      </c>
      <c r="P268" t="n">
        <v>0</v>
      </c>
      <c r="Q268" t="n">
        <v>0</v>
      </c>
      <c r="R268" s="2" t="inlineStr"/>
    </row>
    <row r="269" ht="15" customHeight="1">
      <c r="A269" t="inlineStr">
        <is>
          <t>A 24823-2021</t>
        </is>
      </c>
      <c r="B269" s="1" t="n">
        <v>44340</v>
      </c>
      <c r="C269" s="1" t="n">
        <v>45473</v>
      </c>
      <c r="D269" t="inlineStr">
        <is>
          <t>VÄSTMANLANDS LÄN</t>
        </is>
      </c>
      <c r="E269" t="inlineStr">
        <is>
          <t>SALA</t>
        </is>
      </c>
      <c r="G269" t="n">
        <v>4.9</v>
      </c>
      <c r="H269" t="n">
        <v>0</v>
      </c>
      <c r="I269" t="n">
        <v>0</v>
      </c>
      <c r="J269" t="n">
        <v>0</v>
      </c>
      <c r="K269" t="n">
        <v>0</v>
      </c>
      <c r="L269" t="n">
        <v>0</v>
      </c>
      <c r="M269" t="n">
        <v>0</v>
      </c>
      <c r="N269" t="n">
        <v>0</v>
      </c>
      <c r="O269" t="n">
        <v>0</v>
      </c>
      <c r="P269" t="n">
        <v>0</v>
      </c>
      <c r="Q269" t="n">
        <v>0</v>
      </c>
      <c r="R269" s="2" t="inlineStr"/>
    </row>
    <row r="270" ht="15" customHeight="1">
      <c r="A270" t="inlineStr">
        <is>
          <t>A 24755-2021</t>
        </is>
      </c>
      <c r="B270" s="1" t="n">
        <v>44340</v>
      </c>
      <c r="C270" s="1" t="n">
        <v>45473</v>
      </c>
      <c r="D270" t="inlineStr">
        <is>
          <t>VÄSTMANLANDS LÄN</t>
        </is>
      </c>
      <c r="E270" t="inlineStr">
        <is>
          <t>SALA</t>
        </is>
      </c>
      <c r="G270" t="n">
        <v>1.2</v>
      </c>
      <c r="H270" t="n">
        <v>0</v>
      </c>
      <c r="I270" t="n">
        <v>0</v>
      </c>
      <c r="J270" t="n">
        <v>0</v>
      </c>
      <c r="K270" t="n">
        <v>0</v>
      </c>
      <c r="L270" t="n">
        <v>0</v>
      </c>
      <c r="M270" t="n">
        <v>0</v>
      </c>
      <c r="N270" t="n">
        <v>0</v>
      </c>
      <c r="O270" t="n">
        <v>0</v>
      </c>
      <c r="P270" t="n">
        <v>0</v>
      </c>
      <c r="Q270" t="n">
        <v>0</v>
      </c>
      <c r="R270" s="2" t="inlineStr"/>
    </row>
    <row r="271" ht="15" customHeight="1">
      <c r="A271" t="inlineStr">
        <is>
          <t>A 26579-2021</t>
        </is>
      </c>
      <c r="B271" s="1" t="n">
        <v>44348</v>
      </c>
      <c r="C271" s="1" t="n">
        <v>45473</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26571-2021</t>
        </is>
      </c>
      <c r="B272" s="1" t="n">
        <v>44348</v>
      </c>
      <c r="C272" s="1" t="n">
        <v>45473</v>
      </c>
      <c r="D272" t="inlineStr">
        <is>
          <t>VÄSTMANLANDS LÄN</t>
        </is>
      </c>
      <c r="E272" t="inlineStr">
        <is>
          <t>SALA</t>
        </is>
      </c>
      <c r="G272" t="n">
        <v>2.1</v>
      </c>
      <c r="H272" t="n">
        <v>0</v>
      </c>
      <c r="I272" t="n">
        <v>0</v>
      </c>
      <c r="J272" t="n">
        <v>0</v>
      </c>
      <c r="K272" t="n">
        <v>0</v>
      </c>
      <c r="L272" t="n">
        <v>0</v>
      </c>
      <c r="M272" t="n">
        <v>0</v>
      </c>
      <c r="N272" t="n">
        <v>0</v>
      </c>
      <c r="O272" t="n">
        <v>0</v>
      </c>
      <c r="P272" t="n">
        <v>0</v>
      </c>
      <c r="Q272" t="n">
        <v>0</v>
      </c>
      <c r="R272" s="2" t="inlineStr"/>
    </row>
    <row r="273" ht="15" customHeight="1">
      <c r="A273" t="inlineStr">
        <is>
          <t>A 26570-2021</t>
        </is>
      </c>
      <c r="B273" s="1" t="n">
        <v>44348</v>
      </c>
      <c r="C273" s="1" t="n">
        <v>45473</v>
      </c>
      <c r="D273" t="inlineStr">
        <is>
          <t>VÄSTMANLANDS LÄN</t>
        </is>
      </c>
      <c r="E273" t="inlineStr">
        <is>
          <t>SALA</t>
        </is>
      </c>
      <c r="G273" t="n">
        <v>2.5</v>
      </c>
      <c r="H273" t="n">
        <v>0</v>
      </c>
      <c r="I273" t="n">
        <v>0</v>
      </c>
      <c r="J273" t="n">
        <v>0</v>
      </c>
      <c r="K273" t="n">
        <v>0</v>
      </c>
      <c r="L273" t="n">
        <v>0</v>
      </c>
      <c r="M273" t="n">
        <v>0</v>
      </c>
      <c r="N273" t="n">
        <v>0</v>
      </c>
      <c r="O273" t="n">
        <v>0</v>
      </c>
      <c r="P273" t="n">
        <v>0</v>
      </c>
      <c r="Q273" t="n">
        <v>0</v>
      </c>
      <c r="R273" s="2" t="inlineStr"/>
    </row>
    <row r="274" ht="15" customHeight="1">
      <c r="A274" t="inlineStr">
        <is>
          <t>A 26575-2021</t>
        </is>
      </c>
      <c r="B274" s="1" t="n">
        <v>44348</v>
      </c>
      <c r="C274" s="1" t="n">
        <v>45473</v>
      </c>
      <c r="D274" t="inlineStr">
        <is>
          <t>VÄSTMANLANDS LÄN</t>
        </is>
      </c>
      <c r="E274" t="inlineStr">
        <is>
          <t>SALA</t>
        </is>
      </c>
      <c r="G274" t="n">
        <v>2.7</v>
      </c>
      <c r="H274" t="n">
        <v>0</v>
      </c>
      <c r="I274" t="n">
        <v>0</v>
      </c>
      <c r="J274" t="n">
        <v>0</v>
      </c>
      <c r="K274" t="n">
        <v>0</v>
      </c>
      <c r="L274" t="n">
        <v>0</v>
      </c>
      <c r="M274" t="n">
        <v>0</v>
      </c>
      <c r="N274" t="n">
        <v>0</v>
      </c>
      <c r="O274" t="n">
        <v>0</v>
      </c>
      <c r="P274" t="n">
        <v>0</v>
      </c>
      <c r="Q274" t="n">
        <v>0</v>
      </c>
      <c r="R274" s="2" t="inlineStr"/>
    </row>
    <row r="275" ht="15" customHeight="1">
      <c r="A275" t="inlineStr">
        <is>
          <t>A 28425-2021</t>
        </is>
      </c>
      <c r="B275" s="1" t="n">
        <v>44356</v>
      </c>
      <c r="C275" s="1" t="n">
        <v>45473</v>
      </c>
      <c r="D275" t="inlineStr">
        <is>
          <t>VÄSTMANLANDS LÄN</t>
        </is>
      </c>
      <c r="E275" t="inlineStr">
        <is>
          <t>SALA</t>
        </is>
      </c>
      <c r="G275" t="n">
        <v>3.7</v>
      </c>
      <c r="H275" t="n">
        <v>0</v>
      </c>
      <c r="I275" t="n">
        <v>0</v>
      </c>
      <c r="J275" t="n">
        <v>0</v>
      </c>
      <c r="K275" t="n">
        <v>0</v>
      </c>
      <c r="L275" t="n">
        <v>0</v>
      </c>
      <c r="M275" t="n">
        <v>0</v>
      </c>
      <c r="N275" t="n">
        <v>0</v>
      </c>
      <c r="O275" t="n">
        <v>0</v>
      </c>
      <c r="P275" t="n">
        <v>0</v>
      </c>
      <c r="Q275" t="n">
        <v>0</v>
      </c>
      <c r="R275" s="2" t="inlineStr"/>
    </row>
    <row r="276" ht="15" customHeight="1">
      <c r="A276" t="inlineStr">
        <is>
          <t>A 30170-2021</t>
        </is>
      </c>
      <c r="B276" s="1" t="n">
        <v>44363</v>
      </c>
      <c r="C276" s="1" t="n">
        <v>45473</v>
      </c>
      <c r="D276" t="inlineStr">
        <is>
          <t>VÄSTMANLANDS LÄN</t>
        </is>
      </c>
      <c r="E276" t="inlineStr">
        <is>
          <t>SALA</t>
        </is>
      </c>
      <c r="G276" t="n">
        <v>7.2</v>
      </c>
      <c r="H276" t="n">
        <v>0</v>
      </c>
      <c r="I276" t="n">
        <v>0</v>
      </c>
      <c r="J276" t="n">
        <v>0</v>
      </c>
      <c r="K276" t="n">
        <v>0</v>
      </c>
      <c r="L276" t="n">
        <v>0</v>
      </c>
      <c r="M276" t="n">
        <v>0</v>
      </c>
      <c r="N276" t="n">
        <v>0</v>
      </c>
      <c r="O276" t="n">
        <v>0</v>
      </c>
      <c r="P276" t="n">
        <v>0</v>
      </c>
      <c r="Q276" t="n">
        <v>0</v>
      </c>
      <c r="R276" s="2" t="inlineStr"/>
    </row>
    <row r="277" ht="15" customHeight="1">
      <c r="A277" t="inlineStr">
        <is>
          <t>A 30859-2021</t>
        </is>
      </c>
      <c r="B277" s="1" t="n">
        <v>44365</v>
      </c>
      <c r="C277" s="1" t="n">
        <v>45473</v>
      </c>
      <c r="D277" t="inlineStr">
        <is>
          <t>VÄSTMANLANDS LÄN</t>
        </is>
      </c>
      <c r="E277" t="inlineStr">
        <is>
          <t>SALA</t>
        </is>
      </c>
      <c r="G277" t="n">
        <v>3.1</v>
      </c>
      <c r="H277" t="n">
        <v>0</v>
      </c>
      <c r="I277" t="n">
        <v>0</v>
      </c>
      <c r="J277" t="n">
        <v>0</v>
      </c>
      <c r="K277" t="n">
        <v>0</v>
      </c>
      <c r="L277" t="n">
        <v>0</v>
      </c>
      <c r="M277" t="n">
        <v>0</v>
      </c>
      <c r="N277" t="n">
        <v>0</v>
      </c>
      <c r="O277" t="n">
        <v>0</v>
      </c>
      <c r="P277" t="n">
        <v>0</v>
      </c>
      <c r="Q277" t="n">
        <v>0</v>
      </c>
      <c r="R277" s="2" t="inlineStr"/>
    </row>
    <row r="278" ht="15" customHeight="1">
      <c r="A278" t="inlineStr">
        <is>
          <t>A 30904-2021</t>
        </is>
      </c>
      <c r="B278" s="1" t="n">
        <v>44365</v>
      </c>
      <c r="C278" s="1" t="n">
        <v>45473</v>
      </c>
      <c r="D278" t="inlineStr">
        <is>
          <t>VÄSTMANLANDS LÄN</t>
        </is>
      </c>
      <c r="E278" t="inlineStr">
        <is>
          <t>SALA</t>
        </is>
      </c>
      <c r="G278" t="n">
        <v>1.9</v>
      </c>
      <c r="H278" t="n">
        <v>0</v>
      </c>
      <c r="I278" t="n">
        <v>0</v>
      </c>
      <c r="J278" t="n">
        <v>0</v>
      </c>
      <c r="K278" t="n">
        <v>0</v>
      </c>
      <c r="L278" t="n">
        <v>0</v>
      </c>
      <c r="M278" t="n">
        <v>0</v>
      </c>
      <c r="N278" t="n">
        <v>0</v>
      </c>
      <c r="O278" t="n">
        <v>0</v>
      </c>
      <c r="P278" t="n">
        <v>0</v>
      </c>
      <c r="Q278" t="n">
        <v>0</v>
      </c>
      <c r="R278" s="2" t="inlineStr"/>
    </row>
    <row r="279" ht="15" customHeight="1">
      <c r="A279" t="inlineStr">
        <is>
          <t>A 30915-2021</t>
        </is>
      </c>
      <c r="B279" s="1" t="n">
        <v>44365</v>
      </c>
      <c r="C279" s="1" t="n">
        <v>45473</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30925-2021</t>
        </is>
      </c>
      <c r="B280" s="1" t="n">
        <v>44365</v>
      </c>
      <c r="C280" s="1" t="n">
        <v>45473</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30918-2021</t>
        </is>
      </c>
      <c r="B281" s="1" t="n">
        <v>44365</v>
      </c>
      <c r="C281" s="1" t="n">
        <v>45473</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31072-2021</t>
        </is>
      </c>
      <c r="B282" s="1" t="n">
        <v>44368</v>
      </c>
      <c r="C282" s="1" t="n">
        <v>45473</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31082-2021</t>
        </is>
      </c>
      <c r="B283" s="1" t="n">
        <v>44368</v>
      </c>
      <c r="C283" s="1" t="n">
        <v>45473</v>
      </c>
      <c r="D283" t="inlineStr">
        <is>
          <t>VÄSTMANLANDS LÄN</t>
        </is>
      </c>
      <c r="E283" t="inlineStr">
        <is>
          <t>SALA</t>
        </is>
      </c>
      <c r="G283" t="n">
        <v>2</v>
      </c>
      <c r="H283" t="n">
        <v>0</v>
      </c>
      <c r="I283" t="n">
        <v>0</v>
      </c>
      <c r="J283" t="n">
        <v>0</v>
      </c>
      <c r="K283" t="n">
        <v>0</v>
      </c>
      <c r="L283" t="n">
        <v>0</v>
      </c>
      <c r="M283" t="n">
        <v>0</v>
      </c>
      <c r="N283" t="n">
        <v>0</v>
      </c>
      <c r="O283" t="n">
        <v>0</v>
      </c>
      <c r="P283" t="n">
        <v>0</v>
      </c>
      <c r="Q283" t="n">
        <v>0</v>
      </c>
      <c r="R283" s="2" t="inlineStr"/>
    </row>
    <row r="284" ht="15" customHeight="1">
      <c r="A284" t="inlineStr">
        <is>
          <t>A 31452-2021</t>
        </is>
      </c>
      <c r="B284" s="1" t="n">
        <v>44369</v>
      </c>
      <c r="C284" s="1" t="n">
        <v>45473</v>
      </c>
      <c r="D284" t="inlineStr">
        <is>
          <t>VÄSTMANLANDS LÄN</t>
        </is>
      </c>
      <c r="E284" t="inlineStr">
        <is>
          <t>SALA</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31470-2021</t>
        </is>
      </c>
      <c r="B285" s="1" t="n">
        <v>44369</v>
      </c>
      <c r="C285" s="1" t="n">
        <v>45473</v>
      </c>
      <c r="D285" t="inlineStr">
        <is>
          <t>VÄSTMANLANDS LÄN</t>
        </is>
      </c>
      <c r="E285" t="inlineStr">
        <is>
          <t>SALA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31904-2021</t>
        </is>
      </c>
      <c r="B286" s="1" t="n">
        <v>44370</v>
      </c>
      <c r="C286" s="1" t="n">
        <v>45473</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32610-2021</t>
        </is>
      </c>
      <c r="B287" s="1" t="n">
        <v>44375</v>
      </c>
      <c r="C287" s="1" t="n">
        <v>45473</v>
      </c>
      <c r="D287" t="inlineStr">
        <is>
          <t>VÄSTMANLANDS LÄN</t>
        </is>
      </c>
      <c r="E287" t="inlineStr">
        <is>
          <t>SALA</t>
        </is>
      </c>
      <c r="F287" t="inlineStr">
        <is>
          <t>Sveaskog</t>
        </is>
      </c>
      <c r="G287" t="n">
        <v>4.1</v>
      </c>
      <c r="H287" t="n">
        <v>0</v>
      </c>
      <c r="I287" t="n">
        <v>0</v>
      </c>
      <c r="J287" t="n">
        <v>0</v>
      </c>
      <c r="K287" t="n">
        <v>0</v>
      </c>
      <c r="L287" t="n">
        <v>0</v>
      </c>
      <c r="M287" t="n">
        <v>0</v>
      </c>
      <c r="N287" t="n">
        <v>0</v>
      </c>
      <c r="O287" t="n">
        <v>0</v>
      </c>
      <c r="P287" t="n">
        <v>0</v>
      </c>
      <c r="Q287" t="n">
        <v>0</v>
      </c>
      <c r="R287" s="2" t="inlineStr"/>
    </row>
    <row r="288" ht="15" customHeight="1">
      <c r="A288" t="inlineStr">
        <is>
          <t>A 33762-2021</t>
        </is>
      </c>
      <c r="B288" s="1" t="n">
        <v>44378</v>
      </c>
      <c r="C288" s="1" t="n">
        <v>45473</v>
      </c>
      <c r="D288" t="inlineStr">
        <is>
          <t>VÄSTMANLANDS LÄN</t>
        </is>
      </c>
      <c r="E288" t="inlineStr">
        <is>
          <t>SALA</t>
        </is>
      </c>
      <c r="G288" t="n">
        <v>3.4</v>
      </c>
      <c r="H288" t="n">
        <v>0</v>
      </c>
      <c r="I288" t="n">
        <v>0</v>
      </c>
      <c r="J288" t="n">
        <v>0</v>
      </c>
      <c r="K288" t="n">
        <v>0</v>
      </c>
      <c r="L288" t="n">
        <v>0</v>
      </c>
      <c r="M288" t="n">
        <v>0</v>
      </c>
      <c r="N288" t="n">
        <v>0</v>
      </c>
      <c r="O288" t="n">
        <v>0</v>
      </c>
      <c r="P288" t="n">
        <v>0</v>
      </c>
      <c r="Q288" t="n">
        <v>0</v>
      </c>
      <c r="R288" s="2" t="inlineStr"/>
    </row>
    <row r="289" ht="15" customHeight="1">
      <c r="A289" t="inlineStr">
        <is>
          <t>A 34814-2021</t>
        </is>
      </c>
      <c r="B289" s="1" t="n">
        <v>44383</v>
      </c>
      <c r="C289" s="1" t="n">
        <v>45473</v>
      </c>
      <c r="D289" t="inlineStr">
        <is>
          <t>VÄSTMANLANDS LÄN</t>
        </is>
      </c>
      <c r="E289" t="inlineStr">
        <is>
          <t>SALA</t>
        </is>
      </c>
      <c r="F289" t="inlineStr">
        <is>
          <t>Sveaskog</t>
        </is>
      </c>
      <c r="G289" t="n">
        <v>0.5</v>
      </c>
      <c r="H289" t="n">
        <v>0</v>
      </c>
      <c r="I289" t="n">
        <v>0</v>
      </c>
      <c r="J289" t="n">
        <v>0</v>
      </c>
      <c r="K289" t="n">
        <v>0</v>
      </c>
      <c r="L289" t="n">
        <v>0</v>
      </c>
      <c r="M289" t="n">
        <v>0</v>
      </c>
      <c r="N289" t="n">
        <v>0</v>
      </c>
      <c r="O289" t="n">
        <v>0</v>
      </c>
      <c r="P289" t="n">
        <v>0</v>
      </c>
      <c r="Q289" t="n">
        <v>0</v>
      </c>
      <c r="R289" s="2" t="inlineStr"/>
    </row>
    <row r="290" ht="15" customHeight="1">
      <c r="A290" t="inlineStr">
        <is>
          <t>A 35207-2021</t>
        </is>
      </c>
      <c r="B290" s="1" t="n">
        <v>44384</v>
      </c>
      <c r="C290" s="1" t="n">
        <v>45473</v>
      </c>
      <c r="D290" t="inlineStr">
        <is>
          <t>VÄSTMANLANDS LÄN</t>
        </is>
      </c>
      <c r="E290" t="inlineStr">
        <is>
          <t>SALA</t>
        </is>
      </c>
      <c r="G290" t="n">
        <v>2.2</v>
      </c>
      <c r="H290" t="n">
        <v>0</v>
      </c>
      <c r="I290" t="n">
        <v>0</v>
      </c>
      <c r="J290" t="n">
        <v>0</v>
      </c>
      <c r="K290" t="n">
        <v>0</v>
      </c>
      <c r="L290" t="n">
        <v>0</v>
      </c>
      <c r="M290" t="n">
        <v>0</v>
      </c>
      <c r="N290" t="n">
        <v>0</v>
      </c>
      <c r="O290" t="n">
        <v>0</v>
      </c>
      <c r="P290" t="n">
        <v>0</v>
      </c>
      <c r="Q290" t="n">
        <v>0</v>
      </c>
      <c r="R290" s="2" t="inlineStr"/>
    </row>
    <row r="291" ht="15" customHeight="1">
      <c r="A291" t="inlineStr">
        <is>
          <t>A 35211-2021</t>
        </is>
      </c>
      <c r="B291" s="1" t="n">
        <v>44384</v>
      </c>
      <c r="C291" s="1" t="n">
        <v>45473</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35451-2021</t>
        </is>
      </c>
      <c r="B292" s="1" t="n">
        <v>44384</v>
      </c>
      <c r="C292" s="1" t="n">
        <v>45473</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35487-2021</t>
        </is>
      </c>
      <c r="B293" s="1" t="n">
        <v>44384</v>
      </c>
      <c r="C293" s="1" t="n">
        <v>45473</v>
      </c>
      <c r="D293" t="inlineStr">
        <is>
          <t>VÄSTMANLANDS LÄN</t>
        </is>
      </c>
      <c r="E293" t="inlineStr">
        <is>
          <t>SALA</t>
        </is>
      </c>
      <c r="G293" t="n">
        <v>1.8</v>
      </c>
      <c r="H293" t="n">
        <v>0</v>
      </c>
      <c r="I293" t="n">
        <v>0</v>
      </c>
      <c r="J293" t="n">
        <v>0</v>
      </c>
      <c r="K293" t="n">
        <v>0</v>
      </c>
      <c r="L293" t="n">
        <v>0</v>
      </c>
      <c r="M293" t="n">
        <v>0</v>
      </c>
      <c r="N293" t="n">
        <v>0</v>
      </c>
      <c r="O293" t="n">
        <v>0</v>
      </c>
      <c r="P293" t="n">
        <v>0</v>
      </c>
      <c r="Q293" t="n">
        <v>0</v>
      </c>
      <c r="R293" s="2" t="inlineStr"/>
    </row>
    <row r="294" ht="15" customHeight="1">
      <c r="A294" t="inlineStr">
        <is>
          <t>A 35482-2021</t>
        </is>
      </c>
      <c r="B294" s="1" t="n">
        <v>44384</v>
      </c>
      <c r="C294" s="1" t="n">
        <v>45473</v>
      </c>
      <c r="D294" t="inlineStr">
        <is>
          <t>VÄSTMANLANDS LÄN</t>
        </is>
      </c>
      <c r="E294" t="inlineStr">
        <is>
          <t>SALA</t>
        </is>
      </c>
      <c r="G294" t="n">
        <v>1.5</v>
      </c>
      <c r="H294" t="n">
        <v>0</v>
      </c>
      <c r="I294" t="n">
        <v>0</v>
      </c>
      <c r="J294" t="n">
        <v>0</v>
      </c>
      <c r="K294" t="n">
        <v>0</v>
      </c>
      <c r="L294" t="n">
        <v>0</v>
      </c>
      <c r="M294" t="n">
        <v>0</v>
      </c>
      <c r="N294" t="n">
        <v>0</v>
      </c>
      <c r="O294" t="n">
        <v>0</v>
      </c>
      <c r="P294" t="n">
        <v>0</v>
      </c>
      <c r="Q294" t="n">
        <v>0</v>
      </c>
      <c r="R294" s="2" t="inlineStr"/>
    </row>
    <row r="295" ht="15" customHeight="1">
      <c r="A295" t="inlineStr">
        <is>
          <t>A 35921-2021</t>
        </is>
      </c>
      <c r="B295" s="1" t="n">
        <v>44388</v>
      </c>
      <c r="C295" s="1" t="n">
        <v>45473</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37703-2021</t>
        </is>
      </c>
      <c r="B296" s="1" t="n">
        <v>44400</v>
      </c>
      <c r="C296" s="1" t="n">
        <v>45473</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37856-2021</t>
        </is>
      </c>
      <c r="B297" s="1" t="n">
        <v>44403</v>
      </c>
      <c r="C297" s="1" t="n">
        <v>45473</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37872-2021</t>
        </is>
      </c>
      <c r="B298" s="1" t="n">
        <v>44403</v>
      </c>
      <c r="C298" s="1" t="n">
        <v>45473</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37881-2021</t>
        </is>
      </c>
      <c r="B299" s="1" t="n">
        <v>44403</v>
      </c>
      <c r="C299" s="1" t="n">
        <v>45473</v>
      </c>
      <c r="D299" t="inlineStr">
        <is>
          <t>VÄSTMANLANDS LÄN</t>
        </is>
      </c>
      <c r="E299" t="inlineStr">
        <is>
          <t>SALA</t>
        </is>
      </c>
      <c r="G299" t="n">
        <v>4.6</v>
      </c>
      <c r="H299" t="n">
        <v>0</v>
      </c>
      <c r="I299" t="n">
        <v>0</v>
      </c>
      <c r="J299" t="n">
        <v>0</v>
      </c>
      <c r="K299" t="n">
        <v>0</v>
      </c>
      <c r="L299" t="n">
        <v>0</v>
      </c>
      <c r="M299" t="n">
        <v>0</v>
      </c>
      <c r="N299" t="n">
        <v>0</v>
      </c>
      <c r="O299" t="n">
        <v>0</v>
      </c>
      <c r="P299" t="n">
        <v>0</v>
      </c>
      <c r="Q299" t="n">
        <v>0</v>
      </c>
      <c r="R299" s="2" t="inlineStr"/>
    </row>
    <row r="300" ht="15" customHeight="1">
      <c r="A300" t="inlineStr">
        <is>
          <t>A 38195-2021</t>
        </is>
      </c>
      <c r="B300" s="1" t="n">
        <v>44405</v>
      </c>
      <c r="C300" s="1" t="n">
        <v>45473</v>
      </c>
      <c r="D300" t="inlineStr">
        <is>
          <t>VÄSTMANLANDS LÄN</t>
        </is>
      </c>
      <c r="E300" t="inlineStr">
        <is>
          <t>SALA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38634-2021</t>
        </is>
      </c>
      <c r="B301" s="1" t="n">
        <v>44410</v>
      </c>
      <c r="C301" s="1" t="n">
        <v>45473</v>
      </c>
      <c r="D301" t="inlineStr">
        <is>
          <t>VÄSTMANLANDS LÄN</t>
        </is>
      </c>
      <c r="E301" t="inlineStr">
        <is>
          <t>SALA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39439-2021</t>
        </is>
      </c>
      <c r="B302" s="1" t="n">
        <v>44414</v>
      </c>
      <c r="C302" s="1" t="n">
        <v>45473</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39807-2021</t>
        </is>
      </c>
      <c r="B303" s="1" t="n">
        <v>44417</v>
      </c>
      <c r="C303" s="1" t="n">
        <v>45473</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40157-2021</t>
        </is>
      </c>
      <c r="B304" s="1" t="n">
        <v>44418</v>
      </c>
      <c r="C304" s="1" t="n">
        <v>45473</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40153-2021</t>
        </is>
      </c>
      <c r="B305" s="1" t="n">
        <v>44418</v>
      </c>
      <c r="C305" s="1" t="n">
        <v>45473</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40398-2021</t>
        </is>
      </c>
      <c r="B306" s="1" t="n">
        <v>44419</v>
      </c>
      <c r="C306" s="1" t="n">
        <v>45473</v>
      </c>
      <c r="D306" t="inlineStr">
        <is>
          <t>VÄSTMANLANDS LÄN</t>
        </is>
      </c>
      <c r="E306" t="inlineStr">
        <is>
          <t>SALA</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40659-2021</t>
        </is>
      </c>
      <c r="B307" s="1" t="n">
        <v>44420</v>
      </c>
      <c r="C307" s="1" t="n">
        <v>45473</v>
      </c>
      <c r="D307" t="inlineStr">
        <is>
          <t>VÄSTMANLANDS LÄN</t>
        </is>
      </c>
      <c r="E307" t="inlineStr">
        <is>
          <t>SALA</t>
        </is>
      </c>
      <c r="G307" t="n">
        <v>1.3</v>
      </c>
      <c r="H307" t="n">
        <v>0</v>
      </c>
      <c r="I307" t="n">
        <v>0</v>
      </c>
      <c r="J307" t="n">
        <v>0</v>
      </c>
      <c r="K307" t="n">
        <v>0</v>
      </c>
      <c r="L307" t="n">
        <v>0</v>
      </c>
      <c r="M307" t="n">
        <v>0</v>
      </c>
      <c r="N307" t="n">
        <v>0</v>
      </c>
      <c r="O307" t="n">
        <v>0</v>
      </c>
      <c r="P307" t="n">
        <v>0</v>
      </c>
      <c r="Q307" t="n">
        <v>0</v>
      </c>
      <c r="R307" s="2" t="inlineStr"/>
    </row>
    <row r="308" ht="15" customHeight="1">
      <c r="A308" t="inlineStr">
        <is>
          <t>A 40871-2021</t>
        </is>
      </c>
      <c r="B308" s="1" t="n">
        <v>44421</v>
      </c>
      <c r="C308" s="1" t="n">
        <v>45473</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41292-2021</t>
        </is>
      </c>
      <c r="B309" s="1" t="n">
        <v>44424</v>
      </c>
      <c r="C309" s="1" t="n">
        <v>45473</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41583-2021</t>
        </is>
      </c>
      <c r="B310" s="1" t="n">
        <v>44425</v>
      </c>
      <c r="C310" s="1" t="n">
        <v>45473</v>
      </c>
      <c r="D310" t="inlineStr">
        <is>
          <t>VÄSTMANLANDS LÄN</t>
        </is>
      </c>
      <c r="E310" t="inlineStr">
        <is>
          <t>SALA</t>
        </is>
      </c>
      <c r="G310" t="n">
        <v>5</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45473</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43509-2021</t>
        </is>
      </c>
      <c r="B312" s="1" t="n">
        <v>44433</v>
      </c>
      <c r="C312" s="1" t="n">
        <v>45473</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46279-2021</t>
        </is>
      </c>
      <c r="B313" s="1" t="n">
        <v>44442</v>
      </c>
      <c r="C313" s="1" t="n">
        <v>45473</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47701-2021</t>
        </is>
      </c>
      <c r="B314" s="1" t="n">
        <v>44448</v>
      </c>
      <c r="C314" s="1" t="n">
        <v>45473</v>
      </c>
      <c r="D314" t="inlineStr">
        <is>
          <t>VÄSTMANLANDS LÄN</t>
        </is>
      </c>
      <c r="E314" t="inlineStr">
        <is>
          <t>SALA</t>
        </is>
      </c>
      <c r="G314" t="n">
        <v>2.3</v>
      </c>
      <c r="H314" t="n">
        <v>0</v>
      </c>
      <c r="I314" t="n">
        <v>0</v>
      </c>
      <c r="J314" t="n">
        <v>0</v>
      </c>
      <c r="K314" t="n">
        <v>0</v>
      </c>
      <c r="L314" t="n">
        <v>0</v>
      </c>
      <c r="M314" t="n">
        <v>0</v>
      </c>
      <c r="N314" t="n">
        <v>0</v>
      </c>
      <c r="O314" t="n">
        <v>0</v>
      </c>
      <c r="P314" t="n">
        <v>0</v>
      </c>
      <c r="Q314" t="n">
        <v>0</v>
      </c>
      <c r="R314" s="2" t="inlineStr"/>
    </row>
    <row r="315" ht="15" customHeight="1">
      <c r="A315" t="inlineStr">
        <is>
          <t>A 47683-2021</t>
        </is>
      </c>
      <c r="B315" s="1" t="n">
        <v>44448</v>
      </c>
      <c r="C315" s="1" t="n">
        <v>45473</v>
      </c>
      <c r="D315" t="inlineStr">
        <is>
          <t>VÄSTMANLANDS LÄN</t>
        </is>
      </c>
      <c r="E315" t="inlineStr">
        <is>
          <t>SALA</t>
        </is>
      </c>
      <c r="G315" t="n">
        <v>0.7</v>
      </c>
      <c r="H315" t="n">
        <v>0</v>
      </c>
      <c r="I315" t="n">
        <v>0</v>
      </c>
      <c r="J315" t="n">
        <v>0</v>
      </c>
      <c r="K315" t="n">
        <v>0</v>
      </c>
      <c r="L315" t="n">
        <v>0</v>
      </c>
      <c r="M315" t="n">
        <v>0</v>
      </c>
      <c r="N315" t="n">
        <v>0</v>
      </c>
      <c r="O315" t="n">
        <v>0</v>
      </c>
      <c r="P315" t="n">
        <v>0</v>
      </c>
      <c r="Q315" t="n">
        <v>0</v>
      </c>
      <c r="R315" s="2" t="inlineStr"/>
    </row>
    <row r="316" ht="15" customHeight="1">
      <c r="A316" t="inlineStr">
        <is>
          <t>A 48400-2021</t>
        </is>
      </c>
      <c r="B316" s="1" t="n">
        <v>44449</v>
      </c>
      <c r="C316" s="1" t="n">
        <v>45473</v>
      </c>
      <c r="D316" t="inlineStr">
        <is>
          <t>VÄSTMANLANDS LÄN</t>
        </is>
      </c>
      <c r="E316" t="inlineStr">
        <is>
          <t>SALA</t>
        </is>
      </c>
      <c r="G316" t="n">
        <v>3</v>
      </c>
      <c r="H316" t="n">
        <v>0</v>
      </c>
      <c r="I316" t="n">
        <v>0</v>
      </c>
      <c r="J316" t="n">
        <v>0</v>
      </c>
      <c r="K316" t="n">
        <v>0</v>
      </c>
      <c r="L316" t="n">
        <v>0</v>
      </c>
      <c r="M316" t="n">
        <v>0</v>
      </c>
      <c r="N316" t="n">
        <v>0</v>
      </c>
      <c r="O316" t="n">
        <v>0</v>
      </c>
      <c r="P316" t="n">
        <v>0</v>
      </c>
      <c r="Q316" t="n">
        <v>0</v>
      </c>
      <c r="R316" s="2" t="inlineStr"/>
    </row>
    <row r="317" ht="15" customHeight="1">
      <c r="A317" t="inlineStr">
        <is>
          <t>A 50962-2021</t>
        </is>
      </c>
      <c r="B317" s="1" t="n">
        <v>44460</v>
      </c>
      <c r="C317" s="1" t="n">
        <v>45473</v>
      </c>
      <c r="D317" t="inlineStr">
        <is>
          <t>VÄSTMANLANDS LÄN</t>
        </is>
      </c>
      <c r="E317" t="inlineStr">
        <is>
          <t>SALA</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54030-2021</t>
        </is>
      </c>
      <c r="B318" s="1" t="n">
        <v>44470</v>
      </c>
      <c r="C318" s="1" t="n">
        <v>45473</v>
      </c>
      <c r="D318" t="inlineStr">
        <is>
          <t>VÄSTMANLANDS LÄN</t>
        </is>
      </c>
      <c r="E318" t="inlineStr">
        <is>
          <t>SALA</t>
        </is>
      </c>
      <c r="G318" t="n">
        <v>4.1</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45473</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57049-2021</t>
        </is>
      </c>
      <c r="B320" s="1" t="n">
        <v>44482</v>
      </c>
      <c r="C320" s="1" t="n">
        <v>45473</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57056-2021</t>
        </is>
      </c>
      <c r="B321" s="1" t="n">
        <v>44482</v>
      </c>
      <c r="C321" s="1" t="n">
        <v>45473</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57000-2021</t>
        </is>
      </c>
      <c r="B322" s="1" t="n">
        <v>44482</v>
      </c>
      <c r="C322" s="1" t="n">
        <v>45473</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57131-2021</t>
        </is>
      </c>
      <c r="B323" s="1" t="n">
        <v>44482</v>
      </c>
      <c r="C323" s="1" t="n">
        <v>45473</v>
      </c>
      <c r="D323" t="inlineStr">
        <is>
          <t>VÄSTMANLANDS LÄN</t>
        </is>
      </c>
      <c r="E323" t="inlineStr">
        <is>
          <t>SALA</t>
        </is>
      </c>
      <c r="G323" t="n">
        <v>2.3</v>
      </c>
      <c r="H323" t="n">
        <v>0</v>
      </c>
      <c r="I323" t="n">
        <v>0</v>
      </c>
      <c r="J323" t="n">
        <v>0</v>
      </c>
      <c r="K323" t="n">
        <v>0</v>
      </c>
      <c r="L323" t="n">
        <v>0</v>
      </c>
      <c r="M323" t="n">
        <v>0</v>
      </c>
      <c r="N323" t="n">
        <v>0</v>
      </c>
      <c r="O323" t="n">
        <v>0</v>
      </c>
      <c r="P323" t="n">
        <v>0</v>
      </c>
      <c r="Q323" t="n">
        <v>0</v>
      </c>
      <c r="R323" s="2" t="inlineStr"/>
    </row>
    <row r="324" ht="15" customHeight="1">
      <c r="A324" t="inlineStr">
        <is>
          <t>A 57517-2021</t>
        </is>
      </c>
      <c r="B324" s="1" t="n">
        <v>44483</v>
      </c>
      <c r="C324" s="1" t="n">
        <v>45473</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57596-2021</t>
        </is>
      </c>
      <c r="B325" s="1" t="n">
        <v>44483</v>
      </c>
      <c r="C325" s="1" t="n">
        <v>45473</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58107-2021</t>
        </is>
      </c>
      <c r="B326" s="1" t="n">
        <v>44487</v>
      </c>
      <c r="C326" s="1" t="n">
        <v>45473</v>
      </c>
      <c r="D326" t="inlineStr">
        <is>
          <t>VÄSTMANLANDS LÄN</t>
        </is>
      </c>
      <c r="E326" t="inlineStr">
        <is>
          <t>SALA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58106-2021</t>
        </is>
      </c>
      <c r="B327" s="1" t="n">
        <v>44487</v>
      </c>
      <c r="C327" s="1" t="n">
        <v>45473</v>
      </c>
      <c r="D327" t="inlineStr">
        <is>
          <t>VÄSTMANLANDS LÄN</t>
        </is>
      </c>
      <c r="E327" t="inlineStr">
        <is>
          <t>SALA</t>
        </is>
      </c>
      <c r="F327" t="inlineStr">
        <is>
          <t>Sveaskog</t>
        </is>
      </c>
      <c r="G327" t="n">
        <v>4.5</v>
      </c>
      <c r="H327" t="n">
        <v>0</v>
      </c>
      <c r="I327" t="n">
        <v>0</v>
      </c>
      <c r="J327" t="n">
        <v>0</v>
      </c>
      <c r="K327" t="n">
        <v>0</v>
      </c>
      <c r="L327" t="n">
        <v>0</v>
      </c>
      <c r="M327" t="n">
        <v>0</v>
      </c>
      <c r="N327" t="n">
        <v>0</v>
      </c>
      <c r="O327" t="n">
        <v>0</v>
      </c>
      <c r="P327" t="n">
        <v>0</v>
      </c>
      <c r="Q327" t="n">
        <v>0</v>
      </c>
      <c r="R327" s="2" t="inlineStr"/>
    </row>
    <row r="328" ht="15" customHeight="1">
      <c r="A328" t="inlineStr">
        <is>
          <t>A 58522-2021</t>
        </is>
      </c>
      <c r="B328" s="1" t="n">
        <v>44488</v>
      </c>
      <c r="C328" s="1" t="n">
        <v>45473</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58701-2021</t>
        </is>
      </c>
      <c r="B329" s="1" t="n">
        <v>44489</v>
      </c>
      <c r="C329" s="1" t="n">
        <v>45473</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60031-2021</t>
        </is>
      </c>
      <c r="B330" s="1" t="n">
        <v>44495</v>
      </c>
      <c r="C330" s="1" t="n">
        <v>45473</v>
      </c>
      <c r="D330" t="inlineStr">
        <is>
          <t>VÄSTMANLANDS LÄN</t>
        </is>
      </c>
      <c r="E330" t="inlineStr">
        <is>
          <t>SALA</t>
        </is>
      </c>
      <c r="G330" t="n">
        <v>4.3</v>
      </c>
      <c r="H330" t="n">
        <v>0</v>
      </c>
      <c r="I330" t="n">
        <v>0</v>
      </c>
      <c r="J330" t="n">
        <v>0</v>
      </c>
      <c r="K330" t="n">
        <v>0</v>
      </c>
      <c r="L330" t="n">
        <v>0</v>
      </c>
      <c r="M330" t="n">
        <v>0</v>
      </c>
      <c r="N330" t="n">
        <v>0</v>
      </c>
      <c r="O330" t="n">
        <v>0</v>
      </c>
      <c r="P330" t="n">
        <v>0</v>
      </c>
      <c r="Q330" t="n">
        <v>0</v>
      </c>
      <c r="R330" s="2" t="inlineStr"/>
    </row>
    <row r="331" ht="15" customHeight="1">
      <c r="A331" t="inlineStr">
        <is>
          <t>A 60951-2021</t>
        </is>
      </c>
      <c r="B331" s="1" t="n">
        <v>44497</v>
      </c>
      <c r="C331" s="1" t="n">
        <v>45473</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61892-2021</t>
        </is>
      </c>
      <c r="B332" s="1" t="n">
        <v>44502</v>
      </c>
      <c r="C332" s="1" t="n">
        <v>45473</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61874-2021</t>
        </is>
      </c>
      <c r="B333" s="1" t="n">
        <v>44502</v>
      </c>
      <c r="C333" s="1" t="n">
        <v>45473</v>
      </c>
      <c r="D333" t="inlineStr">
        <is>
          <t>VÄSTMANLANDS LÄN</t>
        </is>
      </c>
      <c r="E333" t="inlineStr">
        <is>
          <t>SALA</t>
        </is>
      </c>
      <c r="F333" t="inlineStr">
        <is>
          <t>Kyrkan</t>
        </is>
      </c>
      <c r="G333" t="n">
        <v>1.3</v>
      </c>
      <c r="H333" t="n">
        <v>0</v>
      </c>
      <c r="I333" t="n">
        <v>0</v>
      </c>
      <c r="J333" t="n">
        <v>0</v>
      </c>
      <c r="K333" t="n">
        <v>0</v>
      </c>
      <c r="L333" t="n">
        <v>0</v>
      </c>
      <c r="M333" t="n">
        <v>0</v>
      </c>
      <c r="N333" t="n">
        <v>0</v>
      </c>
      <c r="O333" t="n">
        <v>0</v>
      </c>
      <c r="P333" t="n">
        <v>0</v>
      </c>
      <c r="Q333" t="n">
        <v>0</v>
      </c>
      <c r="R333" s="2" t="inlineStr"/>
    </row>
    <row r="334" ht="15" customHeight="1">
      <c r="A334" t="inlineStr">
        <is>
          <t>A 61897-2021</t>
        </is>
      </c>
      <c r="B334" s="1" t="n">
        <v>44502</v>
      </c>
      <c r="C334" s="1" t="n">
        <v>45473</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62842-2021</t>
        </is>
      </c>
      <c r="B335" s="1" t="n">
        <v>44504</v>
      </c>
      <c r="C335" s="1" t="n">
        <v>45473</v>
      </c>
      <c r="D335" t="inlineStr">
        <is>
          <t>VÄSTMANLANDS LÄN</t>
        </is>
      </c>
      <c r="E335" t="inlineStr">
        <is>
          <t>SALA</t>
        </is>
      </c>
      <c r="G335" t="n">
        <v>5.3</v>
      </c>
      <c r="H335" t="n">
        <v>0</v>
      </c>
      <c r="I335" t="n">
        <v>0</v>
      </c>
      <c r="J335" t="n">
        <v>0</v>
      </c>
      <c r="K335" t="n">
        <v>0</v>
      </c>
      <c r="L335" t="n">
        <v>0</v>
      </c>
      <c r="M335" t="n">
        <v>0</v>
      </c>
      <c r="N335" t="n">
        <v>0</v>
      </c>
      <c r="O335" t="n">
        <v>0</v>
      </c>
      <c r="P335" t="n">
        <v>0</v>
      </c>
      <c r="Q335" t="n">
        <v>0</v>
      </c>
      <c r="R335" s="2" t="inlineStr"/>
    </row>
    <row r="336" ht="15" customHeight="1">
      <c r="A336" t="inlineStr">
        <is>
          <t>A 62793-2021</t>
        </is>
      </c>
      <c r="B336" s="1" t="n">
        <v>44504</v>
      </c>
      <c r="C336" s="1" t="n">
        <v>45473</v>
      </c>
      <c r="D336" t="inlineStr">
        <is>
          <t>VÄSTMANLANDS LÄN</t>
        </is>
      </c>
      <c r="E336" t="inlineStr">
        <is>
          <t>SALA</t>
        </is>
      </c>
      <c r="G336" t="n">
        <v>5.7</v>
      </c>
      <c r="H336" t="n">
        <v>0</v>
      </c>
      <c r="I336" t="n">
        <v>0</v>
      </c>
      <c r="J336" t="n">
        <v>0</v>
      </c>
      <c r="K336" t="n">
        <v>0</v>
      </c>
      <c r="L336" t="n">
        <v>0</v>
      </c>
      <c r="M336" t="n">
        <v>0</v>
      </c>
      <c r="N336" t="n">
        <v>0</v>
      </c>
      <c r="O336" t="n">
        <v>0</v>
      </c>
      <c r="P336" t="n">
        <v>0</v>
      </c>
      <c r="Q336" t="n">
        <v>0</v>
      </c>
      <c r="R336" s="2" t="inlineStr"/>
    </row>
    <row r="337" ht="15" customHeight="1">
      <c r="A337" t="inlineStr">
        <is>
          <t>A 62833-2021</t>
        </is>
      </c>
      <c r="B337" s="1" t="n">
        <v>44504</v>
      </c>
      <c r="C337" s="1" t="n">
        <v>45473</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45473</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62967-2021</t>
        </is>
      </c>
      <c r="B339" s="1" t="n">
        <v>44505</v>
      </c>
      <c r="C339" s="1" t="n">
        <v>45473</v>
      </c>
      <c r="D339" t="inlineStr">
        <is>
          <t>VÄSTMANLANDS LÄN</t>
        </is>
      </c>
      <c r="E339" t="inlineStr">
        <is>
          <t>SALA</t>
        </is>
      </c>
      <c r="G339" t="n">
        <v>6.1</v>
      </c>
      <c r="H339" t="n">
        <v>0</v>
      </c>
      <c r="I339" t="n">
        <v>0</v>
      </c>
      <c r="J339" t="n">
        <v>0</v>
      </c>
      <c r="K339" t="n">
        <v>0</v>
      </c>
      <c r="L339" t="n">
        <v>0</v>
      </c>
      <c r="M339" t="n">
        <v>0</v>
      </c>
      <c r="N339" t="n">
        <v>0</v>
      </c>
      <c r="O339" t="n">
        <v>0</v>
      </c>
      <c r="P339" t="n">
        <v>0</v>
      </c>
      <c r="Q339" t="n">
        <v>0</v>
      </c>
      <c r="R339" s="2" t="inlineStr"/>
    </row>
    <row r="340" ht="15" customHeight="1">
      <c r="A340" t="inlineStr">
        <is>
          <t>A 63290-2021</t>
        </is>
      </c>
      <c r="B340" s="1" t="n">
        <v>44505</v>
      </c>
      <c r="C340" s="1" t="n">
        <v>45473</v>
      </c>
      <c r="D340" t="inlineStr">
        <is>
          <t>VÄSTMANLANDS LÄN</t>
        </is>
      </c>
      <c r="E340" t="inlineStr">
        <is>
          <t>SALA</t>
        </is>
      </c>
      <c r="G340" t="n">
        <v>0.9</v>
      </c>
      <c r="H340" t="n">
        <v>0</v>
      </c>
      <c r="I340" t="n">
        <v>0</v>
      </c>
      <c r="J340" t="n">
        <v>0</v>
      </c>
      <c r="K340" t="n">
        <v>0</v>
      </c>
      <c r="L340" t="n">
        <v>0</v>
      </c>
      <c r="M340" t="n">
        <v>0</v>
      </c>
      <c r="N340" t="n">
        <v>0</v>
      </c>
      <c r="O340" t="n">
        <v>0</v>
      </c>
      <c r="P340" t="n">
        <v>0</v>
      </c>
      <c r="Q340" t="n">
        <v>0</v>
      </c>
      <c r="R340" s="2" t="inlineStr"/>
    </row>
    <row r="341" ht="15" customHeight="1">
      <c r="A341" t="inlineStr">
        <is>
          <t>A 64931-2021</t>
        </is>
      </c>
      <c r="B341" s="1" t="n">
        <v>44512</v>
      </c>
      <c r="C341" s="1" t="n">
        <v>45473</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64932-2021</t>
        </is>
      </c>
      <c r="B342" s="1" t="n">
        <v>44512</v>
      </c>
      <c r="C342" s="1" t="n">
        <v>45473</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65213-2021</t>
        </is>
      </c>
      <c r="B343" s="1" t="n">
        <v>44515</v>
      </c>
      <c r="C343" s="1" t="n">
        <v>45473</v>
      </c>
      <c r="D343" t="inlineStr">
        <is>
          <t>VÄSTMANLANDS LÄN</t>
        </is>
      </c>
      <c r="E343" t="inlineStr">
        <is>
          <t>SALA</t>
        </is>
      </c>
      <c r="G343" t="n">
        <v>0.6</v>
      </c>
      <c r="H343" t="n">
        <v>0</v>
      </c>
      <c r="I343" t="n">
        <v>0</v>
      </c>
      <c r="J343" t="n">
        <v>0</v>
      </c>
      <c r="K343" t="n">
        <v>0</v>
      </c>
      <c r="L343" t="n">
        <v>0</v>
      </c>
      <c r="M343" t="n">
        <v>0</v>
      </c>
      <c r="N343" t="n">
        <v>0</v>
      </c>
      <c r="O343" t="n">
        <v>0</v>
      </c>
      <c r="P343" t="n">
        <v>0</v>
      </c>
      <c r="Q343" t="n">
        <v>0</v>
      </c>
      <c r="R343" s="2" t="inlineStr"/>
    </row>
    <row r="344" ht="15" customHeight="1">
      <c r="A344" t="inlineStr">
        <is>
          <t>A 65321-2021</t>
        </is>
      </c>
      <c r="B344" s="1" t="n">
        <v>44515</v>
      </c>
      <c r="C344" s="1" t="n">
        <v>45473</v>
      </c>
      <c r="D344" t="inlineStr">
        <is>
          <t>VÄSTMANLANDS LÄN</t>
        </is>
      </c>
      <c r="E344" t="inlineStr">
        <is>
          <t>SALA</t>
        </is>
      </c>
      <c r="G344" t="n">
        <v>1.3</v>
      </c>
      <c r="H344" t="n">
        <v>0</v>
      </c>
      <c r="I344" t="n">
        <v>0</v>
      </c>
      <c r="J344" t="n">
        <v>0</v>
      </c>
      <c r="K344" t="n">
        <v>0</v>
      </c>
      <c r="L344" t="n">
        <v>0</v>
      </c>
      <c r="M344" t="n">
        <v>0</v>
      </c>
      <c r="N344" t="n">
        <v>0</v>
      </c>
      <c r="O344" t="n">
        <v>0</v>
      </c>
      <c r="P344" t="n">
        <v>0</v>
      </c>
      <c r="Q344" t="n">
        <v>0</v>
      </c>
      <c r="R344" s="2" t="inlineStr"/>
    </row>
    <row r="345" ht="15" customHeight="1">
      <c r="A345" t="inlineStr">
        <is>
          <t>A 65338-2021</t>
        </is>
      </c>
      <c r="B345" s="1" t="n">
        <v>44515</v>
      </c>
      <c r="C345" s="1" t="n">
        <v>45473</v>
      </c>
      <c r="D345" t="inlineStr">
        <is>
          <t>VÄSTMANLANDS LÄN</t>
        </is>
      </c>
      <c r="E345" t="inlineStr">
        <is>
          <t>SALA</t>
        </is>
      </c>
      <c r="G345" t="n">
        <v>0.4</v>
      </c>
      <c r="H345" t="n">
        <v>0</v>
      </c>
      <c r="I345" t="n">
        <v>0</v>
      </c>
      <c r="J345" t="n">
        <v>0</v>
      </c>
      <c r="K345" t="n">
        <v>0</v>
      </c>
      <c r="L345" t="n">
        <v>0</v>
      </c>
      <c r="M345" t="n">
        <v>0</v>
      </c>
      <c r="N345" t="n">
        <v>0</v>
      </c>
      <c r="O345" t="n">
        <v>0</v>
      </c>
      <c r="P345" t="n">
        <v>0</v>
      </c>
      <c r="Q345" t="n">
        <v>0</v>
      </c>
      <c r="R345" s="2" t="inlineStr"/>
    </row>
    <row r="346" ht="15" customHeight="1">
      <c r="A346" t="inlineStr">
        <is>
          <t>A 65353-2021</t>
        </is>
      </c>
      <c r="B346" s="1" t="n">
        <v>44515</v>
      </c>
      <c r="C346" s="1" t="n">
        <v>45473</v>
      </c>
      <c r="D346" t="inlineStr">
        <is>
          <t>VÄSTMANLANDS LÄN</t>
        </is>
      </c>
      <c r="E346" t="inlineStr">
        <is>
          <t>SALA</t>
        </is>
      </c>
      <c r="G346" t="n">
        <v>1.5</v>
      </c>
      <c r="H346" t="n">
        <v>0</v>
      </c>
      <c r="I346" t="n">
        <v>0</v>
      </c>
      <c r="J346" t="n">
        <v>0</v>
      </c>
      <c r="K346" t="n">
        <v>0</v>
      </c>
      <c r="L346" t="n">
        <v>0</v>
      </c>
      <c r="M346" t="n">
        <v>0</v>
      </c>
      <c r="N346" t="n">
        <v>0</v>
      </c>
      <c r="O346" t="n">
        <v>0</v>
      </c>
      <c r="P346" t="n">
        <v>0</v>
      </c>
      <c r="Q346" t="n">
        <v>0</v>
      </c>
      <c r="R346" s="2" t="inlineStr"/>
    </row>
    <row r="347" ht="15" customHeight="1">
      <c r="A347" t="inlineStr">
        <is>
          <t>A 65490-2021</t>
        </is>
      </c>
      <c r="B347" s="1" t="n">
        <v>44515</v>
      </c>
      <c r="C347" s="1" t="n">
        <v>45473</v>
      </c>
      <c r="D347" t="inlineStr">
        <is>
          <t>VÄSTMANLANDS LÄN</t>
        </is>
      </c>
      <c r="E347" t="inlineStr">
        <is>
          <t>SALA</t>
        </is>
      </c>
      <c r="G347" t="n">
        <v>2.1</v>
      </c>
      <c r="H347" t="n">
        <v>0</v>
      </c>
      <c r="I347" t="n">
        <v>0</v>
      </c>
      <c r="J347" t="n">
        <v>0</v>
      </c>
      <c r="K347" t="n">
        <v>0</v>
      </c>
      <c r="L347" t="n">
        <v>0</v>
      </c>
      <c r="M347" t="n">
        <v>0</v>
      </c>
      <c r="N347" t="n">
        <v>0</v>
      </c>
      <c r="O347" t="n">
        <v>0</v>
      </c>
      <c r="P347" t="n">
        <v>0</v>
      </c>
      <c r="Q347" t="n">
        <v>0</v>
      </c>
      <c r="R347" s="2" t="inlineStr"/>
    </row>
    <row r="348" ht="15" customHeight="1">
      <c r="A348" t="inlineStr">
        <is>
          <t>A 65856-2021</t>
        </is>
      </c>
      <c r="B348" s="1" t="n">
        <v>44517</v>
      </c>
      <c r="C348" s="1" t="n">
        <v>45473</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65818-2021</t>
        </is>
      </c>
      <c r="B349" s="1" t="n">
        <v>44517</v>
      </c>
      <c r="C349" s="1" t="n">
        <v>45473</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65835-2021</t>
        </is>
      </c>
      <c r="B350" s="1" t="n">
        <v>44517</v>
      </c>
      <c r="C350" s="1" t="n">
        <v>45473</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65860-2021</t>
        </is>
      </c>
      <c r="B351" s="1" t="n">
        <v>44517</v>
      </c>
      <c r="C351" s="1" t="n">
        <v>45473</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66307-2021</t>
        </is>
      </c>
      <c r="B352" s="1" t="n">
        <v>44518</v>
      </c>
      <c r="C352" s="1" t="n">
        <v>45473</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66508-2021</t>
        </is>
      </c>
      <c r="B353" s="1" t="n">
        <v>44519</v>
      </c>
      <c r="C353" s="1" t="n">
        <v>45473</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66563-2021</t>
        </is>
      </c>
      <c r="B354" s="1" t="n">
        <v>44519</v>
      </c>
      <c r="C354" s="1" t="n">
        <v>45473</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66561-2021</t>
        </is>
      </c>
      <c r="B355" s="1" t="n">
        <v>44519</v>
      </c>
      <c r="C355" s="1" t="n">
        <v>45473</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66908-2021</t>
        </is>
      </c>
      <c r="B356" s="1" t="n">
        <v>44522</v>
      </c>
      <c r="C356" s="1" t="n">
        <v>45473</v>
      </c>
      <c r="D356" t="inlineStr">
        <is>
          <t>VÄSTMANLANDS LÄN</t>
        </is>
      </c>
      <c r="E356" t="inlineStr">
        <is>
          <t>SALA</t>
        </is>
      </c>
      <c r="G356" t="n">
        <v>2.6</v>
      </c>
      <c r="H356" t="n">
        <v>0</v>
      </c>
      <c r="I356" t="n">
        <v>0</v>
      </c>
      <c r="J356" t="n">
        <v>0</v>
      </c>
      <c r="K356" t="n">
        <v>0</v>
      </c>
      <c r="L356" t="n">
        <v>0</v>
      </c>
      <c r="M356" t="n">
        <v>0</v>
      </c>
      <c r="N356" t="n">
        <v>0</v>
      </c>
      <c r="O356" t="n">
        <v>0</v>
      </c>
      <c r="P356" t="n">
        <v>0</v>
      </c>
      <c r="Q356" t="n">
        <v>0</v>
      </c>
      <c r="R356" s="2" t="inlineStr"/>
    </row>
    <row r="357" ht="15" customHeight="1">
      <c r="A357" t="inlineStr">
        <is>
          <t>A 66830-2021</t>
        </is>
      </c>
      <c r="B357" s="1" t="n">
        <v>44522</v>
      </c>
      <c r="C357" s="1" t="n">
        <v>45473</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67037-2021</t>
        </is>
      </c>
      <c r="B358" s="1" t="n">
        <v>44522</v>
      </c>
      <c r="C358" s="1" t="n">
        <v>45473</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c r="U358">
        <f>HYPERLINK("https://klasma.github.io/Logging_1981/knärot/A 67037-2021 karta knärot.png", "A 67037-2021")</f>
        <v/>
      </c>
      <c r="V358">
        <f>HYPERLINK("https://klasma.github.io/Logging_1981/klagomål/A 67037-2021 FSC-klagomål.docx", "A 67037-2021")</f>
        <v/>
      </c>
      <c r="W358">
        <f>HYPERLINK("https://klasma.github.io/Logging_1981/klagomålsmail/A 67037-2021 FSC-klagomål mail.docx", "A 67037-2021")</f>
        <v/>
      </c>
      <c r="X358">
        <f>HYPERLINK("https://klasma.github.io/Logging_1981/tillsyn/A 67037-2021 tillsynsbegäran.docx", "A 67037-2021")</f>
        <v/>
      </c>
      <c r="Y358">
        <f>HYPERLINK("https://klasma.github.io/Logging_1981/tillsynsmail/A 67037-2021 tillsynsbegäran mail.docx", "A 67037-2021")</f>
        <v/>
      </c>
    </row>
    <row r="359" ht="15" customHeight="1">
      <c r="A359" t="inlineStr">
        <is>
          <t>A 67965-2021</t>
        </is>
      </c>
      <c r="B359" s="1" t="n">
        <v>44525</v>
      </c>
      <c r="C359" s="1" t="n">
        <v>45473</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67958-2021</t>
        </is>
      </c>
      <c r="B360" s="1" t="n">
        <v>44525</v>
      </c>
      <c r="C360" s="1" t="n">
        <v>45473</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67962-2021</t>
        </is>
      </c>
      <c r="B361" s="1" t="n">
        <v>44525</v>
      </c>
      <c r="C361" s="1" t="n">
        <v>45473</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68355-2021</t>
        </is>
      </c>
      <c r="B362" s="1" t="n">
        <v>44528</v>
      </c>
      <c r="C362" s="1" t="n">
        <v>45473</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68484-2021</t>
        </is>
      </c>
      <c r="B363" s="1" t="n">
        <v>44529</v>
      </c>
      <c r="C363" s="1" t="n">
        <v>45473</v>
      </c>
      <c r="D363" t="inlineStr">
        <is>
          <t>VÄSTMANLANDS LÄN</t>
        </is>
      </c>
      <c r="E363" t="inlineStr">
        <is>
          <t>SALA</t>
        </is>
      </c>
      <c r="G363" t="n">
        <v>1.7</v>
      </c>
      <c r="H363" t="n">
        <v>0</v>
      </c>
      <c r="I363" t="n">
        <v>0</v>
      </c>
      <c r="J363" t="n">
        <v>0</v>
      </c>
      <c r="K363" t="n">
        <v>0</v>
      </c>
      <c r="L363" t="n">
        <v>0</v>
      </c>
      <c r="M363" t="n">
        <v>0</v>
      </c>
      <c r="N363" t="n">
        <v>0</v>
      </c>
      <c r="O363" t="n">
        <v>0</v>
      </c>
      <c r="P363" t="n">
        <v>0</v>
      </c>
      <c r="Q363" t="n">
        <v>0</v>
      </c>
      <c r="R363" s="2" t="inlineStr"/>
    </row>
    <row r="364" ht="15" customHeight="1">
      <c r="A364" t="inlineStr">
        <is>
          <t>A 68980-2021</t>
        </is>
      </c>
      <c r="B364" s="1" t="n">
        <v>44529</v>
      </c>
      <c r="C364" s="1" t="n">
        <v>45473</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68864-2021</t>
        </is>
      </c>
      <c r="B365" s="1" t="n">
        <v>44530</v>
      </c>
      <c r="C365" s="1" t="n">
        <v>45473</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69232-2021</t>
        </is>
      </c>
      <c r="B366" s="1" t="n">
        <v>44531</v>
      </c>
      <c r="C366" s="1" t="n">
        <v>45473</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69236-2021</t>
        </is>
      </c>
      <c r="B367" s="1" t="n">
        <v>44531</v>
      </c>
      <c r="C367" s="1" t="n">
        <v>45473</v>
      </c>
      <c r="D367" t="inlineStr">
        <is>
          <t>VÄSTMANLANDS LÄN</t>
        </is>
      </c>
      <c r="E367" t="inlineStr">
        <is>
          <t>SALA</t>
        </is>
      </c>
      <c r="G367" t="n">
        <v>2.8</v>
      </c>
      <c r="H367" t="n">
        <v>0</v>
      </c>
      <c r="I367" t="n">
        <v>0</v>
      </c>
      <c r="J367" t="n">
        <v>0</v>
      </c>
      <c r="K367" t="n">
        <v>0</v>
      </c>
      <c r="L367" t="n">
        <v>0</v>
      </c>
      <c r="M367" t="n">
        <v>0</v>
      </c>
      <c r="N367" t="n">
        <v>0</v>
      </c>
      <c r="O367" t="n">
        <v>0</v>
      </c>
      <c r="P367" t="n">
        <v>0</v>
      </c>
      <c r="Q367" t="n">
        <v>0</v>
      </c>
      <c r="R367" s="2" t="inlineStr"/>
    </row>
    <row r="368" ht="15" customHeight="1">
      <c r="A368" t="inlineStr">
        <is>
          <t>A 70218-2021</t>
        </is>
      </c>
      <c r="B368" s="1" t="n">
        <v>44535</v>
      </c>
      <c r="C368" s="1" t="n">
        <v>45473</v>
      </c>
      <c r="D368" t="inlineStr">
        <is>
          <t>VÄSTMANLANDS LÄN</t>
        </is>
      </c>
      <c r="E368" t="inlineStr">
        <is>
          <t>SALA</t>
        </is>
      </c>
      <c r="G368" t="n">
        <v>0.4</v>
      </c>
      <c r="H368" t="n">
        <v>0</v>
      </c>
      <c r="I368" t="n">
        <v>0</v>
      </c>
      <c r="J368" t="n">
        <v>0</v>
      </c>
      <c r="K368" t="n">
        <v>0</v>
      </c>
      <c r="L368" t="n">
        <v>0</v>
      </c>
      <c r="M368" t="n">
        <v>0</v>
      </c>
      <c r="N368" t="n">
        <v>0</v>
      </c>
      <c r="O368" t="n">
        <v>0</v>
      </c>
      <c r="P368" t="n">
        <v>0</v>
      </c>
      <c r="Q368" t="n">
        <v>0</v>
      </c>
      <c r="R368" s="2" t="inlineStr"/>
    </row>
    <row r="369" ht="15" customHeight="1">
      <c r="A369" t="inlineStr">
        <is>
          <t>A 70319-2021</t>
        </is>
      </c>
      <c r="B369" s="1" t="n">
        <v>44536</v>
      </c>
      <c r="C369" s="1" t="n">
        <v>45473</v>
      </c>
      <c r="D369" t="inlineStr">
        <is>
          <t>VÄSTMANLANDS LÄN</t>
        </is>
      </c>
      <c r="E369" t="inlineStr">
        <is>
          <t>SALA</t>
        </is>
      </c>
      <c r="G369" t="n">
        <v>1.6</v>
      </c>
      <c r="H369" t="n">
        <v>0</v>
      </c>
      <c r="I369" t="n">
        <v>0</v>
      </c>
      <c r="J369" t="n">
        <v>0</v>
      </c>
      <c r="K369" t="n">
        <v>0</v>
      </c>
      <c r="L369" t="n">
        <v>0</v>
      </c>
      <c r="M369" t="n">
        <v>0</v>
      </c>
      <c r="N369" t="n">
        <v>0</v>
      </c>
      <c r="O369" t="n">
        <v>0</v>
      </c>
      <c r="P369" t="n">
        <v>0</v>
      </c>
      <c r="Q369" t="n">
        <v>0</v>
      </c>
      <c r="R369" s="2" t="inlineStr"/>
    </row>
    <row r="370" ht="15" customHeight="1">
      <c r="A370" t="inlineStr">
        <is>
          <t>A 70655-2021</t>
        </is>
      </c>
      <c r="B370" s="1" t="n">
        <v>44537</v>
      </c>
      <c r="C370" s="1" t="n">
        <v>45473</v>
      </c>
      <c r="D370" t="inlineStr">
        <is>
          <t>VÄSTMANLANDS LÄN</t>
        </is>
      </c>
      <c r="E370" t="inlineStr">
        <is>
          <t>SALA</t>
        </is>
      </c>
      <c r="G370" t="n">
        <v>4.8</v>
      </c>
      <c r="H370" t="n">
        <v>0</v>
      </c>
      <c r="I370" t="n">
        <v>0</v>
      </c>
      <c r="J370" t="n">
        <v>0</v>
      </c>
      <c r="K370" t="n">
        <v>0</v>
      </c>
      <c r="L370" t="n">
        <v>0</v>
      </c>
      <c r="M370" t="n">
        <v>0</v>
      </c>
      <c r="N370" t="n">
        <v>0</v>
      </c>
      <c r="O370" t="n">
        <v>0</v>
      </c>
      <c r="P370" t="n">
        <v>0</v>
      </c>
      <c r="Q370" t="n">
        <v>0</v>
      </c>
      <c r="R370" s="2" t="inlineStr"/>
    </row>
    <row r="371" ht="15" customHeight="1">
      <c r="A371" t="inlineStr">
        <is>
          <t>A 70958-2021</t>
        </is>
      </c>
      <c r="B371" s="1" t="n">
        <v>44538</v>
      </c>
      <c r="C371" s="1" t="n">
        <v>45473</v>
      </c>
      <c r="D371" t="inlineStr">
        <is>
          <t>VÄSTMANLANDS LÄN</t>
        </is>
      </c>
      <c r="E371" t="inlineStr">
        <is>
          <t>SALA</t>
        </is>
      </c>
      <c r="G371" t="n">
        <v>6.5</v>
      </c>
      <c r="H371" t="n">
        <v>0</v>
      </c>
      <c r="I371" t="n">
        <v>0</v>
      </c>
      <c r="J371" t="n">
        <v>0</v>
      </c>
      <c r="K371" t="n">
        <v>0</v>
      </c>
      <c r="L371" t="n">
        <v>0</v>
      </c>
      <c r="M371" t="n">
        <v>0</v>
      </c>
      <c r="N371" t="n">
        <v>0</v>
      </c>
      <c r="O371" t="n">
        <v>0</v>
      </c>
      <c r="P371" t="n">
        <v>0</v>
      </c>
      <c r="Q371" t="n">
        <v>0</v>
      </c>
      <c r="R371" s="2" t="inlineStr"/>
    </row>
    <row r="372" ht="15" customHeight="1">
      <c r="A372" t="inlineStr">
        <is>
          <t>A 71471-2021</t>
        </is>
      </c>
      <c r="B372" s="1" t="n">
        <v>44540</v>
      </c>
      <c r="C372" s="1" t="n">
        <v>45473</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71853-2021</t>
        </is>
      </c>
      <c r="B373" s="1" t="n">
        <v>44543</v>
      </c>
      <c r="C373" s="1" t="n">
        <v>45473</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72071-2021</t>
        </is>
      </c>
      <c r="B374" s="1" t="n">
        <v>44544</v>
      </c>
      <c r="C374" s="1" t="n">
        <v>45473</v>
      </c>
      <c r="D374" t="inlineStr">
        <is>
          <t>VÄSTMANLANDS LÄN</t>
        </is>
      </c>
      <c r="E374" t="inlineStr">
        <is>
          <t>SALA</t>
        </is>
      </c>
      <c r="G374" t="n">
        <v>3.5</v>
      </c>
      <c r="H374" t="n">
        <v>0</v>
      </c>
      <c r="I374" t="n">
        <v>0</v>
      </c>
      <c r="J374" t="n">
        <v>0</v>
      </c>
      <c r="K374" t="n">
        <v>0</v>
      </c>
      <c r="L374" t="n">
        <v>0</v>
      </c>
      <c r="M374" t="n">
        <v>0</v>
      </c>
      <c r="N374" t="n">
        <v>0</v>
      </c>
      <c r="O374" t="n">
        <v>0</v>
      </c>
      <c r="P374" t="n">
        <v>0</v>
      </c>
      <c r="Q374" t="n">
        <v>0</v>
      </c>
      <c r="R374" s="2" t="inlineStr"/>
    </row>
    <row r="375" ht="15" customHeight="1">
      <c r="A375" t="inlineStr">
        <is>
          <t>A 72405-2021</t>
        </is>
      </c>
      <c r="B375" s="1" t="n">
        <v>44545</v>
      </c>
      <c r="C375" s="1" t="n">
        <v>45473</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72389-2021</t>
        </is>
      </c>
      <c r="B376" s="1" t="n">
        <v>44545</v>
      </c>
      <c r="C376" s="1" t="n">
        <v>45473</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72810-2021</t>
        </is>
      </c>
      <c r="B377" s="1" t="n">
        <v>44546</v>
      </c>
      <c r="C377" s="1" t="n">
        <v>45473</v>
      </c>
      <c r="D377" t="inlineStr">
        <is>
          <t>VÄSTMANLANDS LÄN</t>
        </is>
      </c>
      <c r="E377" t="inlineStr">
        <is>
          <t>SALA</t>
        </is>
      </c>
      <c r="G377" t="n">
        <v>3.3</v>
      </c>
      <c r="H377" t="n">
        <v>0</v>
      </c>
      <c r="I377" t="n">
        <v>0</v>
      </c>
      <c r="J377" t="n">
        <v>0</v>
      </c>
      <c r="K377" t="n">
        <v>0</v>
      </c>
      <c r="L377" t="n">
        <v>0</v>
      </c>
      <c r="M377" t="n">
        <v>0</v>
      </c>
      <c r="N377" t="n">
        <v>0</v>
      </c>
      <c r="O377" t="n">
        <v>0</v>
      </c>
      <c r="P377" t="n">
        <v>0</v>
      </c>
      <c r="Q377" t="n">
        <v>0</v>
      </c>
      <c r="R377" s="2" t="inlineStr"/>
    </row>
    <row r="378" ht="15" customHeight="1">
      <c r="A378" t="inlineStr">
        <is>
          <t>A 72805-2021</t>
        </is>
      </c>
      <c r="B378" s="1" t="n">
        <v>44546</v>
      </c>
      <c r="C378" s="1" t="n">
        <v>45473</v>
      </c>
      <c r="D378" t="inlineStr">
        <is>
          <t>VÄSTMANLANDS LÄN</t>
        </is>
      </c>
      <c r="E378" t="inlineStr">
        <is>
          <t>SALA</t>
        </is>
      </c>
      <c r="G378" t="n">
        <v>7.8</v>
      </c>
      <c r="H378" t="n">
        <v>0</v>
      </c>
      <c r="I378" t="n">
        <v>0</v>
      </c>
      <c r="J378" t="n">
        <v>0</v>
      </c>
      <c r="K378" t="n">
        <v>0</v>
      </c>
      <c r="L378" t="n">
        <v>0</v>
      </c>
      <c r="M378" t="n">
        <v>0</v>
      </c>
      <c r="N378" t="n">
        <v>0</v>
      </c>
      <c r="O378" t="n">
        <v>0</v>
      </c>
      <c r="P378" t="n">
        <v>0</v>
      </c>
      <c r="Q378" t="n">
        <v>0</v>
      </c>
      <c r="R378" s="2" t="inlineStr"/>
    </row>
    <row r="379" ht="15" customHeight="1">
      <c r="A379" t="inlineStr">
        <is>
          <t>A 72808-2021</t>
        </is>
      </c>
      <c r="B379" s="1" t="n">
        <v>44546</v>
      </c>
      <c r="C379" s="1" t="n">
        <v>45473</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72776-2021</t>
        </is>
      </c>
      <c r="B380" s="1" t="n">
        <v>44547</v>
      </c>
      <c r="C380" s="1" t="n">
        <v>45473</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73029-2021</t>
        </is>
      </c>
      <c r="B381" s="1" t="n">
        <v>44550</v>
      </c>
      <c r="C381" s="1" t="n">
        <v>45473</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73124-2021</t>
        </is>
      </c>
      <c r="B382" s="1" t="n">
        <v>44550</v>
      </c>
      <c r="C382" s="1" t="n">
        <v>45473</v>
      </c>
      <c r="D382" t="inlineStr">
        <is>
          <t>VÄSTMANLANDS LÄN</t>
        </is>
      </c>
      <c r="E382" t="inlineStr">
        <is>
          <t>SALA</t>
        </is>
      </c>
      <c r="G382" t="n">
        <v>2.8</v>
      </c>
      <c r="H382" t="n">
        <v>0</v>
      </c>
      <c r="I382" t="n">
        <v>0</v>
      </c>
      <c r="J382" t="n">
        <v>0</v>
      </c>
      <c r="K382" t="n">
        <v>0</v>
      </c>
      <c r="L382" t="n">
        <v>0</v>
      </c>
      <c r="M382" t="n">
        <v>0</v>
      </c>
      <c r="N382" t="n">
        <v>0</v>
      </c>
      <c r="O382" t="n">
        <v>0</v>
      </c>
      <c r="P382" t="n">
        <v>0</v>
      </c>
      <c r="Q382" t="n">
        <v>0</v>
      </c>
      <c r="R382" s="2" t="inlineStr"/>
    </row>
    <row r="383" ht="15" customHeight="1">
      <c r="A383" t="inlineStr">
        <is>
          <t>A 73219-2021</t>
        </is>
      </c>
      <c r="B383" s="1" t="n">
        <v>44550</v>
      </c>
      <c r="C383" s="1" t="n">
        <v>45473</v>
      </c>
      <c r="D383" t="inlineStr">
        <is>
          <t>VÄSTMANLANDS LÄN</t>
        </is>
      </c>
      <c r="E383" t="inlineStr">
        <is>
          <t>SALA</t>
        </is>
      </c>
      <c r="G383" t="n">
        <v>7.1</v>
      </c>
      <c r="H383" t="n">
        <v>0</v>
      </c>
      <c r="I383" t="n">
        <v>0</v>
      </c>
      <c r="J383" t="n">
        <v>0</v>
      </c>
      <c r="K383" t="n">
        <v>0</v>
      </c>
      <c r="L383" t="n">
        <v>0</v>
      </c>
      <c r="M383" t="n">
        <v>0</v>
      </c>
      <c r="N383" t="n">
        <v>0</v>
      </c>
      <c r="O383" t="n">
        <v>0</v>
      </c>
      <c r="P383" t="n">
        <v>0</v>
      </c>
      <c r="Q383" t="n">
        <v>0</v>
      </c>
      <c r="R383" s="2" t="inlineStr"/>
    </row>
    <row r="384" ht="15" customHeight="1">
      <c r="A384" t="inlineStr">
        <is>
          <t>A 73423-2021</t>
        </is>
      </c>
      <c r="B384" s="1" t="n">
        <v>44551</v>
      </c>
      <c r="C384" s="1" t="n">
        <v>45473</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73519-2021</t>
        </is>
      </c>
      <c r="B385" s="1" t="n">
        <v>44551</v>
      </c>
      <c r="C385" s="1" t="n">
        <v>45473</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73683-2021</t>
        </is>
      </c>
      <c r="B386" s="1" t="n">
        <v>44552</v>
      </c>
      <c r="C386" s="1" t="n">
        <v>45473</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v>
      </c>
      <c r="C387" s="1" t="n">
        <v>45473</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73673-2021</t>
        </is>
      </c>
      <c r="B388" s="1" t="n">
        <v>44552</v>
      </c>
      <c r="C388" s="1" t="n">
        <v>45473</v>
      </c>
      <c r="D388" t="inlineStr">
        <is>
          <t>VÄSTMANLANDS LÄN</t>
        </is>
      </c>
      <c r="E388" t="inlineStr">
        <is>
          <t>SALA</t>
        </is>
      </c>
      <c r="G388" t="n">
        <v>11.4</v>
      </c>
      <c r="H388" t="n">
        <v>0</v>
      </c>
      <c r="I388" t="n">
        <v>0</v>
      </c>
      <c r="J388" t="n">
        <v>0</v>
      </c>
      <c r="K388" t="n">
        <v>0</v>
      </c>
      <c r="L388" t="n">
        <v>0</v>
      </c>
      <c r="M388" t="n">
        <v>0</v>
      </c>
      <c r="N388" t="n">
        <v>0</v>
      </c>
      <c r="O388" t="n">
        <v>0</v>
      </c>
      <c r="P388" t="n">
        <v>0</v>
      </c>
      <c r="Q388" t="n">
        <v>0</v>
      </c>
      <c r="R388" s="2" t="inlineStr"/>
    </row>
    <row r="389" ht="15" customHeight="1">
      <c r="A389" t="inlineStr">
        <is>
          <t>A 73606-2021</t>
        </is>
      </c>
      <c r="B389" s="1" t="n">
        <v>44552</v>
      </c>
      <c r="C389" s="1" t="n">
        <v>45473</v>
      </c>
      <c r="D389" t="inlineStr">
        <is>
          <t>VÄSTMANLANDS LÄN</t>
        </is>
      </c>
      <c r="E389" t="inlineStr">
        <is>
          <t>SALA</t>
        </is>
      </c>
      <c r="G389" t="n">
        <v>1.5</v>
      </c>
      <c r="H389" t="n">
        <v>0</v>
      </c>
      <c r="I389" t="n">
        <v>0</v>
      </c>
      <c r="J389" t="n">
        <v>0</v>
      </c>
      <c r="K389" t="n">
        <v>0</v>
      </c>
      <c r="L389" t="n">
        <v>0</v>
      </c>
      <c r="M389" t="n">
        <v>0</v>
      </c>
      <c r="N389" t="n">
        <v>0</v>
      </c>
      <c r="O389" t="n">
        <v>0</v>
      </c>
      <c r="P389" t="n">
        <v>0</v>
      </c>
      <c r="Q389" t="n">
        <v>0</v>
      </c>
      <c r="R389" s="2" t="inlineStr"/>
    </row>
    <row r="390" ht="15" customHeight="1">
      <c r="A390" t="inlineStr">
        <is>
          <t>A 73668-2021</t>
        </is>
      </c>
      <c r="B390" s="1" t="n">
        <v>44552</v>
      </c>
      <c r="C390" s="1" t="n">
        <v>45473</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73687-2021</t>
        </is>
      </c>
      <c r="B391" s="1" t="n">
        <v>44552</v>
      </c>
      <c r="C391" s="1" t="n">
        <v>45473</v>
      </c>
      <c r="D391" t="inlineStr">
        <is>
          <t>VÄSTMANLANDS LÄN</t>
        </is>
      </c>
      <c r="E391" t="inlineStr">
        <is>
          <t>SALA</t>
        </is>
      </c>
      <c r="G391" t="n">
        <v>5.6</v>
      </c>
      <c r="H391" t="n">
        <v>0</v>
      </c>
      <c r="I391" t="n">
        <v>0</v>
      </c>
      <c r="J391" t="n">
        <v>0</v>
      </c>
      <c r="K391" t="n">
        <v>0</v>
      </c>
      <c r="L391" t="n">
        <v>0</v>
      </c>
      <c r="M391" t="n">
        <v>0</v>
      </c>
      <c r="N391" t="n">
        <v>0</v>
      </c>
      <c r="O391" t="n">
        <v>0</v>
      </c>
      <c r="P391" t="n">
        <v>0</v>
      </c>
      <c r="Q391" t="n">
        <v>0</v>
      </c>
      <c r="R391" s="2" t="inlineStr"/>
    </row>
    <row r="392" ht="15" customHeight="1">
      <c r="A392" t="inlineStr">
        <is>
          <t>A 73788-2021</t>
        </is>
      </c>
      <c r="B392" s="1" t="n">
        <v>44552</v>
      </c>
      <c r="C392" s="1" t="n">
        <v>45473</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73835-2021</t>
        </is>
      </c>
      <c r="B393" s="1" t="n">
        <v>44552</v>
      </c>
      <c r="C393" s="1" t="n">
        <v>45473</v>
      </c>
      <c r="D393" t="inlineStr">
        <is>
          <t>VÄSTMANLANDS LÄN</t>
        </is>
      </c>
      <c r="E393" t="inlineStr">
        <is>
          <t>SALA</t>
        </is>
      </c>
      <c r="G393" t="n">
        <v>2</v>
      </c>
      <c r="H393" t="n">
        <v>0</v>
      </c>
      <c r="I393" t="n">
        <v>0</v>
      </c>
      <c r="J393" t="n">
        <v>0</v>
      </c>
      <c r="K393" t="n">
        <v>0</v>
      </c>
      <c r="L393" t="n">
        <v>0</v>
      </c>
      <c r="M393" t="n">
        <v>0</v>
      </c>
      <c r="N393" t="n">
        <v>0</v>
      </c>
      <c r="O393" t="n">
        <v>0</v>
      </c>
      <c r="P393" t="n">
        <v>0</v>
      </c>
      <c r="Q393" t="n">
        <v>0</v>
      </c>
      <c r="R393" s="2" t="inlineStr"/>
    </row>
    <row r="394" ht="15" customHeight="1">
      <c r="A394" t="inlineStr">
        <is>
          <t>A 74123-2021</t>
        </is>
      </c>
      <c r="B394" s="1" t="n">
        <v>44557</v>
      </c>
      <c r="C394" s="1" t="n">
        <v>45473</v>
      </c>
      <c r="D394" t="inlineStr">
        <is>
          <t>VÄSTMANLANDS LÄN</t>
        </is>
      </c>
      <c r="E394" t="inlineStr">
        <is>
          <t>SALA</t>
        </is>
      </c>
      <c r="F394" t="inlineStr">
        <is>
          <t>Kommuner</t>
        </is>
      </c>
      <c r="G394" t="n">
        <v>11.9</v>
      </c>
      <c r="H394" t="n">
        <v>0</v>
      </c>
      <c r="I394" t="n">
        <v>0</v>
      </c>
      <c r="J394" t="n">
        <v>0</v>
      </c>
      <c r="K394" t="n">
        <v>0</v>
      </c>
      <c r="L394" t="n">
        <v>0</v>
      </c>
      <c r="M394" t="n">
        <v>0</v>
      </c>
      <c r="N394" t="n">
        <v>0</v>
      </c>
      <c r="O394" t="n">
        <v>0</v>
      </c>
      <c r="P394" t="n">
        <v>0</v>
      </c>
      <c r="Q394" t="n">
        <v>0</v>
      </c>
      <c r="R394" s="2" t="inlineStr"/>
    </row>
    <row r="395" ht="15" customHeight="1">
      <c r="A395" t="inlineStr">
        <is>
          <t>A 74277-2021</t>
        </is>
      </c>
      <c r="B395" s="1" t="n">
        <v>44558</v>
      </c>
      <c r="C395" s="1" t="n">
        <v>45473</v>
      </c>
      <c r="D395" t="inlineStr">
        <is>
          <t>VÄSTMANLANDS LÄN</t>
        </is>
      </c>
      <c r="E395" t="inlineStr">
        <is>
          <t>SALA</t>
        </is>
      </c>
      <c r="F395" t="inlineStr">
        <is>
          <t>Kommuner</t>
        </is>
      </c>
      <c r="G395" t="n">
        <v>24.4</v>
      </c>
      <c r="H395" t="n">
        <v>0</v>
      </c>
      <c r="I395" t="n">
        <v>0</v>
      </c>
      <c r="J395" t="n">
        <v>0</v>
      </c>
      <c r="K395" t="n">
        <v>0</v>
      </c>
      <c r="L395" t="n">
        <v>0</v>
      </c>
      <c r="M395" t="n">
        <v>0</v>
      </c>
      <c r="N395" t="n">
        <v>0</v>
      </c>
      <c r="O395" t="n">
        <v>0</v>
      </c>
      <c r="P395" t="n">
        <v>0</v>
      </c>
      <c r="Q395" t="n">
        <v>0</v>
      </c>
      <c r="R395" s="2" t="inlineStr"/>
    </row>
    <row r="396" ht="15" customHeight="1">
      <c r="A396" t="inlineStr">
        <is>
          <t>A 617-2022</t>
        </is>
      </c>
      <c r="B396" s="1" t="n">
        <v>44567</v>
      </c>
      <c r="C396" s="1" t="n">
        <v>45473</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45473</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1043-2022</t>
        </is>
      </c>
      <c r="B398" s="1" t="n">
        <v>44571</v>
      </c>
      <c r="C398" s="1" t="n">
        <v>45473</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1162-2022</t>
        </is>
      </c>
      <c r="B399" s="1" t="n">
        <v>44572</v>
      </c>
      <c r="C399" s="1" t="n">
        <v>45473</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1985-2022</t>
        </is>
      </c>
      <c r="B400" s="1" t="n">
        <v>44575</v>
      </c>
      <c r="C400" s="1" t="n">
        <v>45473</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1993-2022</t>
        </is>
      </c>
      <c r="B401" s="1" t="n">
        <v>44575</v>
      </c>
      <c r="C401" s="1" t="n">
        <v>45473</v>
      </c>
      <c r="D401" t="inlineStr">
        <is>
          <t>VÄSTMANLANDS LÄN</t>
        </is>
      </c>
      <c r="E401" t="inlineStr">
        <is>
          <t>SALA</t>
        </is>
      </c>
      <c r="G401" t="n">
        <v>1.6</v>
      </c>
      <c r="H401" t="n">
        <v>0</v>
      </c>
      <c r="I401" t="n">
        <v>0</v>
      </c>
      <c r="J401" t="n">
        <v>0</v>
      </c>
      <c r="K401" t="n">
        <v>0</v>
      </c>
      <c r="L401" t="n">
        <v>0</v>
      </c>
      <c r="M401" t="n">
        <v>0</v>
      </c>
      <c r="N401" t="n">
        <v>0</v>
      </c>
      <c r="O401" t="n">
        <v>0</v>
      </c>
      <c r="P401" t="n">
        <v>0</v>
      </c>
      <c r="Q401" t="n">
        <v>0</v>
      </c>
      <c r="R401" s="2" t="inlineStr"/>
    </row>
    <row r="402" ht="15" customHeight="1">
      <c r="A402" t="inlineStr">
        <is>
          <t>A 2529-2022</t>
        </is>
      </c>
      <c r="B402" s="1" t="n">
        <v>44579</v>
      </c>
      <c r="C402" s="1" t="n">
        <v>45473</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3050-2022</t>
        </is>
      </c>
      <c r="B403" s="1" t="n">
        <v>44582</v>
      </c>
      <c r="C403" s="1" t="n">
        <v>45473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3201-2022</t>
        </is>
      </c>
      <c r="B404" s="1" t="n">
        <v>44582</v>
      </c>
      <c r="C404" s="1" t="n">
        <v>45473</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3204-2022</t>
        </is>
      </c>
      <c r="B405" s="1" t="n">
        <v>44582</v>
      </c>
      <c r="C405" s="1" t="n">
        <v>45473</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3647-2022</t>
        </is>
      </c>
      <c r="B406" s="1" t="n">
        <v>44586</v>
      </c>
      <c r="C406" s="1" t="n">
        <v>45473</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3888-2022</t>
        </is>
      </c>
      <c r="B407" s="1" t="n">
        <v>44587</v>
      </c>
      <c r="C407" s="1" t="n">
        <v>45473</v>
      </c>
      <c r="D407" t="inlineStr">
        <is>
          <t>VÄSTMANLANDS LÄN</t>
        </is>
      </c>
      <c r="E407" t="inlineStr">
        <is>
          <t>SALA</t>
        </is>
      </c>
      <c r="G407" t="n">
        <v>2</v>
      </c>
      <c r="H407" t="n">
        <v>0</v>
      </c>
      <c r="I407" t="n">
        <v>0</v>
      </c>
      <c r="J407" t="n">
        <v>0</v>
      </c>
      <c r="K407" t="n">
        <v>0</v>
      </c>
      <c r="L407" t="n">
        <v>0</v>
      </c>
      <c r="M407" t="n">
        <v>0</v>
      </c>
      <c r="N407" t="n">
        <v>0</v>
      </c>
      <c r="O407" t="n">
        <v>0</v>
      </c>
      <c r="P407" t="n">
        <v>0</v>
      </c>
      <c r="Q407" t="n">
        <v>0</v>
      </c>
      <c r="R407" s="2" t="inlineStr"/>
    </row>
    <row r="408" ht="15" customHeight="1">
      <c r="A408" t="inlineStr">
        <is>
          <t>A 3920-2022</t>
        </is>
      </c>
      <c r="B408" s="1" t="n">
        <v>44587</v>
      </c>
      <c r="C408" s="1" t="n">
        <v>45473</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4237-2022</t>
        </is>
      </c>
      <c r="B409" s="1" t="n">
        <v>44588</v>
      </c>
      <c r="C409" s="1" t="n">
        <v>45473</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4281-2022</t>
        </is>
      </c>
      <c r="B410" s="1" t="n">
        <v>44588</v>
      </c>
      <c r="C410" s="1" t="n">
        <v>45473</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4663-2022</t>
        </is>
      </c>
      <c r="B411" s="1" t="n">
        <v>44592</v>
      </c>
      <c r="C411" s="1" t="n">
        <v>45473</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4779-2022</t>
        </is>
      </c>
      <c r="B412" s="1" t="n">
        <v>44592</v>
      </c>
      <c r="C412" s="1" t="n">
        <v>45473</v>
      </c>
      <c r="D412" t="inlineStr">
        <is>
          <t>VÄSTMANLANDS LÄN</t>
        </is>
      </c>
      <c r="E412" t="inlineStr">
        <is>
          <t>SALA</t>
        </is>
      </c>
      <c r="G412" t="n">
        <v>4.3</v>
      </c>
      <c r="H412" t="n">
        <v>0</v>
      </c>
      <c r="I412" t="n">
        <v>0</v>
      </c>
      <c r="J412" t="n">
        <v>0</v>
      </c>
      <c r="K412" t="n">
        <v>0</v>
      </c>
      <c r="L412" t="n">
        <v>0</v>
      </c>
      <c r="M412" t="n">
        <v>0</v>
      </c>
      <c r="N412" t="n">
        <v>0</v>
      </c>
      <c r="O412" t="n">
        <v>0</v>
      </c>
      <c r="P412" t="n">
        <v>0</v>
      </c>
      <c r="Q412" t="n">
        <v>0</v>
      </c>
      <c r="R412" s="2" t="inlineStr"/>
    </row>
    <row r="413" ht="15" customHeight="1">
      <c r="A413" t="inlineStr">
        <is>
          <t>A 5335-2022</t>
        </is>
      </c>
      <c r="B413" s="1" t="n">
        <v>44594</v>
      </c>
      <c r="C413" s="1" t="n">
        <v>45473</v>
      </c>
      <c r="D413" t="inlineStr">
        <is>
          <t>VÄSTMANLANDS LÄN</t>
        </is>
      </c>
      <c r="E413" t="inlineStr">
        <is>
          <t>SALA</t>
        </is>
      </c>
      <c r="G413" t="n">
        <v>0.6</v>
      </c>
      <c r="H413" t="n">
        <v>0</v>
      </c>
      <c r="I413" t="n">
        <v>0</v>
      </c>
      <c r="J413" t="n">
        <v>0</v>
      </c>
      <c r="K413" t="n">
        <v>0</v>
      </c>
      <c r="L413" t="n">
        <v>0</v>
      </c>
      <c r="M413" t="n">
        <v>0</v>
      </c>
      <c r="N413" t="n">
        <v>0</v>
      </c>
      <c r="O413" t="n">
        <v>0</v>
      </c>
      <c r="P413" t="n">
        <v>0</v>
      </c>
      <c r="Q413" t="n">
        <v>0</v>
      </c>
      <c r="R413" s="2" t="inlineStr"/>
    </row>
    <row r="414" ht="15" customHeight="1">
      <c r="A414" t="inlineStr">
        <is>
          <t>A 5737-2022</t>
        </is>
      </c>
      <c r="B414" s="1" t="n">
        <v>44596</v>
      </c>
      <c r="C414" s="1" t="n">
        <v>45473</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5728-2022</t>
        </is>
      </c>
      <c r="B415" s="1" t="n">
        <v>44596</v>
      </c>
      <c r="C415" s="1" t="n">
        <v>45473</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6097-2022</t>
        </is>
      </c>
      <c r="B416" s="1" t="n">
        <v>44599</v>
      </c>
      <c r="C416" s="1" t="n">
        <v>45473</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6705-2022</t>
        </is>
      </c>
      <c r="B417" s="1" t="n">
        <v>44602</v>
      </c>
      <c r="C417" s="1" t="n">
        <v>45473</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6665-2022</t>
        </is>
      </c>
      <c r="B418" s="1" t="n">
        <v>44602</v>
      </c>
      <c r="C418" s="1" t="n">
        <v>45473</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6667-2022</t>
        </is>
      </c>
      <c r="B419" s="1" t="n">
        <v>44602</v>
      </c>
      <c r="C419" s="1" t="n">
        <v>45473</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6710-2022</t>
        </is>
      </c>
      <c r="B420" s="1" t="n">
        <v>44602</v>
      </c>
      <c r="C420" s="1" t="n">
        <v>45473</v>
      </c>
      <c r="D420" t="inlineStr">
        <is>
          <t>VÄSTMANLANDS LÄN</t>
        </is>
      </c>
      <c r="E420" t="inlineStr">
        <is>
          <t>SALA</t>
        </is>
      </c>
      <c r="G420" t="n">
        <v>6.4</v>
      </c>
      <c r="H420" t="n">
        <v>0</v>
      </c>
      <c r="I420" t="n">
        <v>0</v>
      </c>
      <c r="J420" t="n">
        <v>0</v>
      </c>
      <c r="K420" t="n">
        <v>0</v>
      </c>
      <c r="L420" t="n">
        <v>0</v>
      </c>
      <c r="M420" t="n">
        <v>0</v>
      </c>
      <c r="N420" t="n">
        <v>0</v>
      </c>
      <c r="O420" t="n">
        <v>0</v>
      </c>
      <c r="P420" t="n">
        <v>0</v>
      </c>
      <c r="Q420" t="n">
        <v>0</v>
      </c>
      <c r="R420" s="2" t="inlineStr"/>
    </row>
    <row r="421" ht="15" customHeight="1">
      <c r="A421" t="inlineStr">
        <is>
          <t>A 6957-2022</t>
        </is>
      </c>
      <c r="B421" s="1" t="n">
        <v>44603</v>
      </c>
      <c r="C421" s="1" t="n">
        <v>45473</v>
      </c>
      <c r="D421" t="inlineStr">
        <is>
          <t>VÄSTMANLANDS LÄN</t>
        </is>
      </c>
      <c r="E421" t="inlineStr">
        <is>
          <t>SALA</t>
        </is>
      </c>
      <c r="G421" t="n">
        <v>4.5</v>
      </c>
      <c r="H421" t="n">
        <v>0</v>
      </c>
      <c r="I421" t="n">
        <v>0</v>
      </c>
      <c r="J421" t="n">
        <v>0</v>
      </c>
      <c r="K421" t="n">
        <v>0</v>
      </c>
      <c r="L421" t="n">
        <v>0</v>
      </c>
      <c r="M421" t="n">
        <v>0</v>
      </c>
      <c r="N421" t="n">
        <v>0</v>
      </c>
      <c r="O421" t="n">
        <v>0</v>
      </c>
      <c r="P421" t="n">
        <v>0</v>
      </c>
      <c r="Q421" t="n">
        <v>0</v>
      </c>
      <c r="R421" s="2" t="inlineStr"/>
    </row>
    <row r="422" ht="15" customHeight="1">
      <c r="A422" t="inlineStr">
        <is>
          <t>A 7169-2022</t>
        </is>
      </c>
      <c r="B422" s="1" t="n">
        <v>44604</v>
      </c>
      <c r="C422" s="1" t="n">
        <v>45473</v>
      </c>
      <c r="D422" t="inlineStr">
        <is>
          <t>VÄSTMANLANDS LÄN</t>
        </is>
      </c>
      <c r="E422" t="inlineStr">
        <is>
          <t>SALA</t>
        </is>
      </c>
      <c r="G422" t="n">
        <v>0.9</v>
      </c>
      <c r="H422" t="n">
        <v>0</v>
      </c>
      <c r="I422" t="n">
        <v>0</v>
      </c>
      <c r="J422" t="n">
        <v>0</v>
      </c>
      <c r="K422" t="n">
        <v>0</v>
      </c>
      <c r="L422" t="n">
        <v>0</v>
      </c>
      <c r="M422" t="n">
        <v>0</v>
      </c>
      <c r="N422" t="n">
        <v>0</v>
      </c>
      <c r="O422" t="n">
        <v>0</v>
      </c>
      <c r="P422" t="n">
        <v>0</v>
      </c>
      <c r="Q422" t="n">
        <v>0</v>
      </c>
      <c r="R422" s="2" t="inlineStr"/>
    </row>
    <row r="423" ht="15" customHeight="1">
      <c r="A423" t="inlineStr">
        <is>
          <t>A 8130-2022</t>
        </is>
      </c>
      <c r="B423" s="1" t="n">
        <v>44609</v>
      </c>
      <c r="C423" s="1" t="n">
        <v>45473</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9048-2022</t>
        </is>
      </c>
      <c r="B424" s="1" t="n">
        <v>44615</v>
      </c>
      <c r="C424" s="1" t="n">
        <v>45473</v>
      </c>
      <c r="D424" t="inlineStr">
        <is>
          <t>VÄSTMANLANDS LÄN</t>
        </is>
      </c>
      <c r="E424" t="inlineStr">
        <is>
          <t>SALA</t>
        </is>
      </c>
      <c r="G424" t="n">
        <v>5.2</v>
      </c>
      <c r="H424" t="n">
        <v>0</v>
      </c>
      <c r="I424" t="n">
        <v>0</v>
      </c>
      <c r="J424" t="n">
        <v>0</v>
      </c>
      <c r="K424" t="n">
        <v>0</v>
      </c>
      <c r="L424" t="n">
        <v>0</v>
      </c>
      <c r="M424" t="n">
        <v>0</v>
      </c>
      <c r="N424" t="n">
        <v>0</v>
      </c>
      <c r="O424" t="n">
        <v>0</v>
      </c>
      <c r="P424" t="n">
        <v>0</v>
      </c>
      <c r="Q424" t="n">
        <v>0</v>
      </c>
      <c r="R424" s="2" t="inlineStr"/>
    </row>
    <row r="425" ht="15" customHeight="1">
      <c r="A425" t="inlineStr">
        <is>
          <t>A 9050-2022</t>
        </is>
      </c>
      <c r="B425" s="1" t="n">
        <v>44615</v>
      </c>
      <c r="C425" s="1" t="n">
        <v>45473</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9075-2022</t>
        </is>
      </c>
      <c r="B426" s="1" t="n">
        <v>44615</v>
      </c>
      <c r="C426" s="1" t="n">
        <v>45473</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9335-2022</t>
        </is>
      </c>
      <c r="B427" s="1" t="n">
        <v>44616</v>
      </c>
      <c r="C427" s="1" t="n">
        <v>45473</v>
      </c>
      <c r="D427" t="inlineStr">
        <is>
          <t>VÄSTMANLANDS LÄN</t>
        </is>
      </c>
      <c r="E427" t="inlineStr">
        <is>
          <t>SALA</t>
        </is>
      </c>
      <c r="G427" t="n">
        <v>1.5</v>
      </c>
      <c r="H427" t="n">
        <v>0</v>
      </c>
      <c r="I427" t="n">
        <v>0</v>
      </c>
      <c r="J427" t="n">
        <v>0</v>
      </c>
      <c r="K427" t="n">
        <v>0</v>
      </c>
      <c r="L427" t="n">
        <v>0</v>
      </c>
      <c r="M427" t="n">
        <v>0</v>
      </c>
      <c r="N427" t="n">
        <v>0</v>
      </c>
      <c r="O427" t="n">
        <v>0</v>
      </c>
      <c r="P427" t="n">
        <v>0</v>
      </c>
      <c r="Q427" t="n">
        <v>0</v>
      </c>
      <c r="R427" s="2" t="inlineStr"/>
    </row>
    <row r="428" ht="15" customHeight="1">
      <c r="A428" t="inlineStr">
        <is>
          <t>A 9856-2022</t>
        </is>
      </c>
      <c r="B428" s="1" t="n">
        <v>44620</v>
      </c>
      <c r="C428" s="1" t="n">
        <v>45473</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10083-2022</t>
        </is>
      </c>
      <c r="B429" s="1" t="n">
        <v>44621</v>
      </c>
      <c r="C429" s="1" t="n">
        <v>45473</v>
      </c>
      <c r="D429" t="inlineStr">
        <is>
          <t>VÄSTMANLANDS LÄN</t>
        </is>
      </c>
      <c r="E429" t="inlineStr">
        <is>
          <t>SALA</t>
        </is>
      </c>
      <c r="G429" t="n">
        <v>7.8</v>
      </c>
      <c r="H429" t="n">
        <v>0</v>
      </c>
      <c r="I429" t="n">
        <v>0</v>
      </c>
      <c r="J429" t="n">
        <v>0</v>
      </c>
      <c r="K429" t="n">
        <v>0</v>
      </c>
      <c r="L429" t="n">
        <v>0</v>
      </c>
      <c r="M429" t="n">
        <v>0</v>
      </c>
      <c r="N429" t="n">
        <v>0</v>
      </c>
      <c r="O429" t="n">
        <v>0</v>
      </c>
      <c r="P429" t="n">
        <v>0</v>
      </c>
      <c r="Q429" t="n">
        <v>0</v>
      </c>
      <c r="R429" s="2" t="inlineStr"/>
    </row>
    <row r="430" ht="15" customHeight="1">
      <c r="A430" t="inlineStr">
        <is>
          <t>A 10168-2022</t>
        </is>
      </c>
      <c r="B430" s="1" t="n">
        <v>44622</v>
      </c>
      <c r="C430" s="1" t="n">
        <v>45473</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10434-2022</t>
        </is>
      </c>
      <c r="B431" s="1" t="n">
        <v>44623</v>
      </c>
      <c r="C431" s="1" t="n">
        <v>45473</v>
      </c>
      <c r="D431" t="inlineStr">
        <is>
          <t>VÄSTMANLANDS LÄN</t>
        </is>
      </c>
      <c r="E431" t="inlineStr">
        <is>
          <t>SALA</t>
        </is>
      </c>
      <c r="G431" t="n">
        <v>5.5</v>
      </c>
      <c r="H431" t="n">
        <v>0</v>
      </c>
      <c r="I431" t="n">
        <v>0</v>
      </c>
      <c r="J431" t="n">
        <v>0</v>
      </c>
      <c r="K431" t="n">
        <v>0</v>
      </c>
      <c r="L431" t="n">
        <v>0</v>
      </c>
      <c r="M431" t="n">
        <v>0</v>
      </c>
      <c r="N431" t="n">
        <v>0</v>
      </c>
      <c r="O431" t="n">
        <v>0</v>
      </c>
      <c r="P431" t="n">
        <v>0</v>
      </c>
      <c r="Q431" t="n">
        <v>0</v>
      </c>
      <c r="R431" s="2" t="inlineStr"/>
    </row>
    <row r="432" ht="15" customHeight="1">
      <c r="A432" t="inlineStr">
        <is>
          <t>A 10585-2022</t>
        </is>
      </c>
      <c r="B432" s="1" t="n">
        <v>44624</v>
      </c>
      <c r="C432" s="1" t="n">
        <v>45473</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10579-2022</t>
        </is>
      </c>
      <c r="B433" s="1" t="n">
        <v>44624</v>
      </c>
      <c r="C433" s="1" t="n">
        <v>45473</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11370-2022</t>
        </is>
      </c>
      <c r="B434" s="1" t="n">
        <v>44630</v>
      </c>
      <c r="C434" s="1" t="n">
        <v>45473</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12245-2022</t>
        </is>
      </c>
      <c r="B435" s="1" t="n">
        <v>44637</v>
      </c>
      <c r="C435" s="1" t="n">
        <v>45473</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13608-2022</t>
        </is>
      </c>
      <c r="B436" s="1" t="n">
        <v>44648</v>
      </c>
      <c r="C436" s="1" t="n">
        <v>45473</v>
      </c>
      <c r="D436" t="inlineStr">
        <is>
          <t>VÄSTMANLANDS LÄN</t>
        </is>
      </c>
      <c r="E436" t="inlineStr">
        <is>
          <t>SALA</t>
        </is>
      </c>
      <c r="G436" t="n">
        <v>5.9</v>
      </c>
      <c r="H436" t="n">
        <v>0</v>
      </c>
      <c r="I436" t="n">
        <v>0</v>
      </c>
      <c r="J436" t="n">
        <v>0</v>
      </c>
      <c r="K436" t="n">
        <v>0</v>
      </c>
      <c r="L436" t="n">
        <v>0</v>
      </c>
      <c r="M436" t="n">
        <v>0</v>
      </c>
      <c r="N436" t="n">
        <v>0</v>
      </c>
      <c r="O436" t="n">
        <v>0</v>
      </c>
      <c r="P436" t="n">
        <v>0</v>
      </c>
      <c r="Q436" t="n">
        <v>0</v>
      </c>
      <c r="R436" s="2" t="inlineStr"/>
    </row>
    <row r="437" ht="15" customHeight="1">
      <c r="A437" t="inlineStr">
        <is>
          <t>A 13962-2022</t>
        </is>
      </c>
      <c r="B437" s="1" t="n">
        <v>44650</v>
      </c>
      <c r="C437" s="1" t="n">
        <v>45473</v>
      </c>
      <c r="D437" t="inlineStr">
        <is>
          <t>VÄSTMANLANDS LÄN</t>
        </is>
      </c>
      <c r="E437" t="inlineStr">
        <is>
          <t>SALA</t>
        </is>
      </c>
      <c r="G437" t="n">
        <v>2.3</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v>
      </c>
      <c r="C438" s="1" t="n">
        <v>45473</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16255-2022</t>
        </is>
      </c>
      <c r="B439" s="1" t="n">
        <v>44670</v>
      </c>
      <c r="C439" s="1" t="n">
        <v>45473</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16404-2022</t>
        </is>
      </c>
      <c r="B440" s="1" t="n">
        <v>44671</v>
      </c>
      <c r="C440" s="1" t="n">
        <v>45473</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16768-2022</t>
        </is>
      </c>
      <c r="B441" s="1" t="n">
        <v>44673</v>
      </c>
      <c r="C441" s="1" t="n">
        <v>45473</v>
      </c>
      <c r="D441" t="inlineStr">
        <is>
          <t>VÄSTMANLANDS LÄN</t>
        </is>
      </c>
      <c r="E441" t="inlineStr">
        <is>
          <t>SALA</t>
        </is>
      </c>
      <c r="G441" t="n">
        <v>4.7</v>
      </c>
      <c r="H441" t="n">
        <v>0</v>
      </c>
      <c r="I441" t="n">
        <v>0</v>
      </c>
      <c r="J441" t="n">
        <v>0</v>
      </c>
      <c r="K441" t="n">
        <v>0</v>
      </c>
      <c r="L441" t="n">
        <v>0</v>
      </c>
      <c r="M441" t="n">
        <v>0</v>
      </c>
      <c r="N441" t="n">
        <v>0</v>
      </c>
      <c r="O441" t="n">
        <v>0</v>
      </c>
      <c r="P441" t="n">
        <v>0</v>
      </c>
      <c r="Q441" t="n">
        <v>0</v>
      </c>
      <c r="R441" s="2" t="inlineStr"/>
    </row>
    <row r="442" ht="15" customHeight="1">
      <c r="A442" t="inlineStr">
        <is>
          <t>A 16905-2022</t>
        </is>
      </c>
      <c r="B442" s="1" t="n">
        <v>44676</v>
      </c>
      <c r="C442" s="1" t="n">
        <v>45473</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17897-2022</t>
        </is>
      </c>
      <c r="B443" s="1" t="n">
        <v>44683</v>
      </c>
      <c r="C443" s="1" t="n">
        <v>45473</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19058-2022</t>
        </is>
      </c>
      <c r="B444" s="1" t="n">
        <v>44691</v>
      </c>
      <c r="C444" s="1" t="n">
        <v>45473</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19065-2022</t>
        </is>
      </c>
      <c r="B445" s="1" t="n">
        <v>44691</v>
      </c>
      <c r="C445" s="1" t="n">
        <v>45473</v>
      </c>
      <c r="D445" t="inlineStr">
        <is>
          <t>VÄSTMANLANDS LÄN</t>
        </is>
      </c>
      <c r="E445" t="inlineStr">
        <is>
          <t>SALA</t>
        </is>
      </c>
      <c r="G445" t="n">
        <v>3.4</v>
      </c>
      <c r="H445" t="n">
        <v>0</v>
      </c>
      <c r="I445" t="n">
        <v>0</v>
      </c>
      <c r="J445" t="n">
        <v>0</v>
      </c>
      <c r="K445" t="n">
        <v>0</v>
      </c>
      <c r="L445" t="n">
        <v>0</v>
      </c>
      <c r="M445" t="n">
        <v>0</v>
      </c>
      <c r="N445" t="n">
        <v>0</v>
      </c>
      <c r="O445" t="n">
        <v>0</v>
      </c>
      <c r="P445" t="n">
        <v>0</v>
      </c>
      <c r="Q445" t="n">
        <v>0</v>
      </c>
      <c r="R445" s="2" t="inlineStr"/>
    </row>
    <row r="446" ht="15" customHeight="1">
      <c r="A446" t="inlineStr">
        <is>
          <t>A 19751-2022</t>
        </is>
      </c>
      <c r="B446" s="1" t="n">
        <v>44694</v>
      </c>
      <c r="C446" s="1" t="n">
        <v>45473</v>
      </c>
      <c r="D446" t="inlineStr">
        <is>
          <t>VÄSTMANLANDS LÄN</t>
        </is>
      </c>
      <c r="E446" t="inlineStr">
        <is>
          <t>SALA</t>
        </is>
      </c>
      <c r="G446" t="n">
        <v>2.7</v>
      </c>
      <c r="H446" t="n">
        <v>0</v>
      </c>
      <c r="I446" t="n">
        <v>0</v>
      </c>
      <c r="J446" t="n">
        <v>0</v>
      </c>
      <c r="K446" t="n">
        <v>0</v>
      </c>
      <c r="L446" t="n">
        <v>0</v>
      </c>
      <c r="M446" t="n">
        <v>0</v>
      </c>
      <c r="N446" t="n">
        <v>0</v>
      </c>
      <c r="O446" t="n">
        <v>0</v>
      </c>
      <c r="P446" t="n">
        <v>0</v>
      </c>
      <c r="Q446" t="n">
        <v>0</v>
      </c>
      <c r="R446" s="2" t="inlineStr"/>
    </row>
    <row r="447" ht="15" customHeight="1">
      <c r="A447" t="inlineStr">
        <is>
          <t>A 19760-2022</t>
        </is>
      </c>
      <c r="B447" s="1" t="n">
        <v>44694</v>
      </c>
      <c r="C447" s="1" t="n">
        <v>45473</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20344-2022</t>
        </is>
      </c>
      <c r="B448" s="1" t="n">
        <v>44699</v>
      </c>
      <c r="C448" s="1" t="n">
        <v>45473</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20352-2022</t>
        </is>
      </c>
      <c r="B449" s="1" t="n">
        <v>44699</v>
      </c>
      <c r="C449" s="1" t="n">
        <v>45473</v>
      </c>
      <c r="D449" t="inlineStr">
        <is>
          <t>VÄSTMANLANDS LÄN</t>
        </is>
      </c>
      <c r="E449" t="inlineStr">
        <is>
          <t>SALA</t>
        </is>
      </c>
      <c r="G449" t="n">
        <v>1.3</v>
      </c>
      <c r="H449" t="n">
        <v>0</v>
      </c>
      <c r="I449" t="n">
        <v>0</v>
      </c>
      <c r="J449" t="n">
        <v>0</v>
      </c>
      <c r="K449" t="n">
        <v>0</v>
      </c>
      <c r="L449" t="n">
        <v>0</v>
      </c>
      <c r="M449" t="n">
        <v>0</v>
      </c>
      <c r="N449" t="n">
        <v>0</v>
      </c>
      <c r="O449" t="n">
        <v>0</v>
      </c>
      <c r="P449" t="n">
        <v>0</v>
      </c>
      <c r="Q449" t="n">
        <v>0</v>
      </c>
      <c r="R449" s="2" t="inlineStr"/>
    </row>
    <row r="450" ht="15" customHeight="1">
      <c r="A450" t="inlineStr">
        <is>
          <t>A 20875-2022</t>
        </is>
      </c>
      <c r="B450" s="1" t="n">
        <v>44701</v>
      </c>
      <c r="C450" s="1" t="n">
        <v>45473</v>
      </c>
      <c r="D450" t="inlineStr">
        <is>
          <t>VÄSTMANLANDS LÄN</t>
        </is>
      </c>
      <c r="E450" t="inlineStr">
        <is>
          <t>SALA</t>
        </is>
      </c>
      <c r="G450" t="n">
        <v>2.6</v>
      </c>
      <c r="H450" t="n">
        <v>0</v>
      </c>
      <c r="I450" t="n">
        <v>0</v>
      </c>
      <c r="J450" t="n">
        <v>0</v>
      </c>
      <c r="K450" t="n">
        <v>0</v>
      </c>
      <c r="L450" t="n">
        <v>0</v>
      </c>
      <c r="M450" t="n">
        <v>0</v>
      </c>
      <c r="N450" t="n">
        <v>0</v>
      </c>
      <c r="O450" t="n">
        <v>0</v>
      </c>
      <c r="P450" t="n">
        <v>0</v>
      </c>
      <c r="Q450" t="n">
        <v>0</v>
      </c>
      <c r="R450" s="2" t="inlineStr"/>
    </row>
    <row r="451" ht="15" customHeight="1">
      <c r="A451" t="inlineStr">
        <is>
          <t>A 21055-2022</t>
        </is>
      </c>
      <c r="B451" s="1" t="n">
        <v>44704</v>
      </c>
      <c r="C451" s="1" t="n">
        <v>45473</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21053-2022</t>
        </is>
      </c>
      <c r="B452" s="1" t="n">
        <v>44704</v>
      </c>
      <c r="C452" s="1" t="n">
        <v>45473</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21159-2022</t>
        </is>
      </c>
      <c r="B453" s="1" t="n">
        <v>44704</v>
      </c>
      <c r="C453" s="1" t="n">
        <v>45473</v>
      </c>
      <c r="D453" t="inlineStr">
        <is>
          <t>VÄSTMANLANDS LÄN</t>
        </is>
      </c>
      <c r="E453" t="inlineStr">
        <is>
          <t>SALA</t>
        </is>
      </c>
      <c r="G453" t="n">
        <v>1.4</v>
      </c>
      <c r="H453" t="n">
        <v>0</v>
      </c>
      <c r="I453" t="n">
        <v>0</v>
      </c>
      <c r="J453" t="n">
        <v>0</v>
      </c>
      <c r="K453" t="n">
        <v>0</v>
      </c>
      <c r="L453" t="n">
        <v>0</v>
      </c>
      <c r="M453" t="n">
        <v>0</v>
      </c>
      <c r="N453" t="n">
        <v>0</v>
      </c>
      <c r="O453" t="n">
        <v>0</v>
      </c>
      <c r="P453" t="n">
        <v>0</v>
      </c>
      <c r="Q453" t="n">
        <v>0</v>
      </c>
      <c r="R453" s="2" t="inlineStr"/>
    </row>
    <row r="454" ht="15" customHeight="1">
      <c r="A454" t="inlineStr">
        <is>
          <t>A 21777-2022</t>
        </is>
      </c>
      <c r="B454" s="1" t="n">
        <v>44708</v>
      </c>
      <c r="C454" s="1" t="n">
        <v>45473</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22397-2022</t>
        </is>
      </c>
      <c r="B455" s="1" t="n">
        <v>44713</v>
      </c>
      <c r="C455" s="1" t="n">
        <v>45473</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22575-2022</t>
        </is>
      </c>
      <c r="B456" s="1" t="n">
        <v>44713</v>
      </c>
      <c r="C456" s="1" t="n">
        <v>45473</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22562-2022</t>
        </is>
      </c>
      <c r="B457" s="1" t="n">
        <v>44713</v>
      </c>
      <c r="C457" s="1" t="n">
        <v>45473</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22811-2022</t>
        </is>
      </c>
      <c r="B458" s="1" t="n">
        <v>44715</v>
      </c>
      <c r="C458" s="1" t="n">
        <v>45473</v>
      </c>
      <c r="D458" t="inlineStr">
        <is>
          <t>VÄSTMANLANDS LÄN</t>
        </is>
      </c>
      <c r="E458" t="inlineStr">
        <is>
          <t>SALA</t>
        </is>
      </c>
      <c r="G458" t="n">
        <v>5</v>
      </c>
      <c r="H458" t="n">
        <v>0</v>
      </c>
      <c r="I458" t="n">
        <v>0</v>
      </c>
      <c r="J458" t="n">
        <v>0</v>
      </c>
      <c r="K458" t="n">
        <v>0</v>
      </c>
      <c r="L458" t="n">
        <v>0</v>
      </c>
      <c r="M458" t="n">
        <v>0</v>
      </c>
      <c r="N458" t="n">
        <v>0</v>
      </c>
      <c r="O458" t="n">
        <v>0</v>
      </c>
      <c r="P458" t="n">
        <v>0</v>
      </c>
      <c r="Q458" t="n">
        <v>0</v>
      </c>
      <c r="R458" s="2" t="inlineStr"/>
    </row>
    <row r="459" ht="15" customHeight="1">
      <c r="A459" t="inlineStr">
        <is>
          <t>A 23119-2022</t>
        </is>
      </c>
      <c r="B459" s="1" t="n">
        <v>44719</v>
      </c>
      <c r="C459" s="1" t="n">
        <v>45473</v>
      </c>
      <c r="D459" t="inlineStr">
        <is>
          <t>VÄSTMANLANDS LÄN</t>
        </is>
      </c>
      <c r="E459" t="inlineStr">
        <is>
          <t>SALA</t>
        </is>
      </c>
      <c r="G459" t="n">
        <v>7</v>
      </c>
      <c r="H459" t="n">
        <v>0</v>
      </c>
      <c r="I459" t="n">
        <v>0</v>
      </c>
      <c r="J459" t="n">
        <v>0</v>
      </c>
      <c r="K459" t="n">
        <v>0</v>
      </c>
      <c r="L459" t="n">
        <v>0</v>
      </c>
      <c r="M459" t="n">
        <v>0</v>
      </c>
      <c r="N459" t="n">
        <v>0</v>
      </c>
      <c r="O459" t="n">
        <v>0</v>
      </c>
      <c r="P459" t="n">
        <v>0</v>
      </c>
      <c r="Q459" t="n">
        <v>0</v>
      </c>
      <c r="R459" s="2" t="inlineStr"/>
    </row>
    <row r="460" ht="15" customHeight="1">
      <c r="A460" t="inlineStr">
        <is>
          <t>A 23181-2022</t>
        </is>
      </c>
      <c r="B460" s="1" t="n">
        <v>44719</v>
      </c>
      <c r="C460" s="1" t="n">
        <v>45473</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23180-2022</t>
        </is>
      </c>
      <c r="B461" s="1" t="n">
        <v>44719</v>
      </c>
      <c r="C461" s="1" t="n">
        <v>45473</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23182-2022</t>
        </is>
      </c>
      <c r="B462" s="1" t="n">
        <v>44719</v>
      </c>
      <c r="C462" s="1" t="n">
        <v>45473</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23757-2022</t>
        </is>
      </c>
      <c r="B463" s="1" t="n">
        <v>44722</v>
      </c>
      <c r="C463" s="1" t="n">
        <v>45473</v>
      </c>
      <c r="D463" t="inlineStr">
        <is>
          <t>VÄSTMANLANDS LÄN</t>
        </is>
      </c>
      <c r="E463" t="inlineStr">
        <is>
          <t>SALA</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23847-2022</t>
        </is>
      </c>
      <c r="B464" s="1" t="n">
        <v>44722</v>
      </c>
      <c r="C464" s="1" t="n">
        <v>45473</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24818-2022</t>
        </is>
      </c>
      <c r="B465" s="1" t="n">
        <v>44727</v>
      </c>
      <c r="C465" s="1" t="n">
        <v>45473</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24835-2022</t>
        </is>
      </c>
      <c r="B466" s="1" t="n">
        <v>44727</v>
      </c>
      <c r="C466" s="1" t="n">
        <v>45473</v>
      </c>
      <c r="D466" t="inlineStr">
        <is>
          <t>VÄSTMANLANDS LÄN</t>
        </is>
      </c>
      <c r="E466" t="inlineStr">
        <is>
          <t>SALA</t>
        </is>
      </c>
      <c r="G466" t="n">
        <v>5.8</v>
      </c>
      <c r="H466" t="n">
        <v>0</v>
      </c>
      <c r="I466" t="n">
        <v>0</v>
      </c>
      <c r="J466" t="n">
        <v>0</v>
      </c>
      <c r="K466" t="n">
        <v>0</v>
      </c>
      <c r="L466" t="n">
        <v>0</v>
      </c>
      <c r="M466" t="n">
        <v>0</v>
      </c>
      <c r="N466" t="n">
        <v>0</v>
      </c>
      <c r="O466" t="n">
        <v>0</v>
      </c>
      <c r="P466" t="n">
        <v>0</v>
      </c>
      <c r="Q466" t="n">
        <v>0</v>
      </c>
      <c r="R466" s="2" t="inlineStr"/>
    </row>
    <row r="467" ht="15" customHeight="1">
      <c r="A467" t="inlineStr">
        <is>
          <t>A 24882-2022</t>
        </is>
      </c>
      <c r="B467" s="1" t="n">
        <v>44728</v>
      </c>
      <c r="C467" s="1" t="n">
        <v>45473</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25603-2022</t>
        </is>
      </c>
      <c r="B468" s="1" t="n">
        <v>44732</v>
      </c>
      <c r="C468" s="1" t="n">
        <v>45473</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25748-2022</t>
        </is>
      </c>
      <c r="B469" s="1" t="n">
        <v>44732</v>
      </c>
      <c r="C469" s="1" t="n">
        <v>45473</v>
      </c>
      <c r="D469" t="inlineStr">
        <is>
          <t>VÄSTMANLANDS LÄN</t>
        </is>
      </c>
      <c r="E469" t="inlineStr">
        <is>
          <t>SALA</t>
        </is>
      </c>
      <c r="G469" t="n">
        <v>7.7</v>
      </c>
      <c r="H469" t="n">
        <v>0</v>
      </c>
      <c r="I469" t="n">
        <v>0</v>
      </c>
      <c r="J469" t="n">
        <v>0</v>
      </c>
      <c r="K469" t="n">
        <v>0</v>
      </c>
      <c r="L469" t="n">
        <v>0</v>
      </c>
      <c r="M469" t="n">
        <v>0</v>
      </c>
      <c r="N469" t="n">
        <v>0</v>
      </c>
      <c r="O469" t="n">
        <v>0</v>
      </c>
      <c r="P469" t="n">
        <v>0</v>
      </c>
      <c r="Q469" t="n">
        <v>0</v>
      </c>
      <c r="R469" s="2" t="inlineStr"/>
    </row>
    <row r="470" ht="15" customHeight="1">
      <c r="A470" t="inlineStr">
        <is>
          <t>A 27229-2022</t>
        </is>
      </c>
      <c r="B470" s="1" t="n">
        <v>44741</v>
      </c>
      <c r="C470" s="1" t="n">
        <v>45473</v>
      </c>
      <c r="D470" t="inlineStr">
        <is>
          <t>VÄSTMANLANDS LÄN</t>
        </is>
      </c>
      <c r="E470" t="inlineStr">
        <is>
          <t>SALA</t>
        </is>
      </c>
      <c r="F470" t="inlineStr">
        <is>
          <t>Kommuner</t>
        </is>
      </c>
      <c r="G470" t="n">
        <v>1.4</v>
      </c>
      <c r="H470" t="n">
        <v>0</v>
      </c>
      <c r="I470" t="n">
        <v>0</v>
      </c>
      <c r="J470" t="n">
        <v>0</v>
      </c>
      <c r="K470" t="n">
        <v>0</v>
      </c>
      <c r="L470" t="n">
        <v>0</v>
      </c>
      <c r="M470" t="n">
        <v>0</v>
      </c>
      <c r="N470" t="n">
        <v>0</v>
      </c>
      <c r="O470" t="n">
        <v>0</v>
      </c>
      <c r="P470" t="n">
        <v>0</v>
      </c>
      <c r="Q470" t="n">
        <v>0</v>
      </c>
      <c r="R470" s="2" t="inlineStr"/>
    </row>
    <row r="471" ht="15" customHeight="1">
      <c r="A471" t="inlineStr">
        <is>
          <t>A 27240-2022</t>
        </is>
      </c>
      <c r="B471" s="1" t="n">
        <v>44741</v>
      </c>
      <c r="C471" s="1" t="n">
        <v>45473</v>
      </c>
      <c r="D471" t="inlineStr">
        <is>
          <t>VÄSTMANLANDS LÄN</t>
        </is>
      </c>
      <c r="E471" t="inlineStr">
        <is>
          <t>SALA</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27446-2022</t>
        </is>
      </c>
      <c r="B472" s="1" t="n">
        <v>44742</v>
      </c>
      <c r="C472" s="1" t="n">
        <v>45473</v>
      </c>
      <c r="D472" t="inlineStr">
        <is>
          <t>VÄSTMANLANDS LÄN</t>
        </is>
      </c>
      <c r="E472" t="inlineStr">
        <is>
          <t>SALA</t>
        </is>
      </c>
      <c r="G472" t="n">
        <v>6.7</v>
      </c>
      <c r="H472" t="n">
        <v>0</v>
      </c>
      <c r="I472" t="n">
        <v>0</v>
      </c>
      <c r="J472" t="n">
        <v>0</v>
      </c>
      <c r="K472" t="n">
        <v>0</v>
      </c>
      <c r="L472" t="n">
        <v>0</v>
      </c>
      <c r="M472" t="n">
        <v>0</v>
      </c>
      <c r="N472" t="n">
        <v>0</v>
      </c>
      <c r="O472" t="n">
        <v>0</v>
      </c>
      <c r="P472" t="n">
        <v>0</v>
      </c>
      <c r="Q472" t="n">
        <v>0</v>
      </c>
      <c r="R472" s="2" t="inlineStr"/>
    </row>
    <row r="473" ht="15" customHeight="1">
      <c r="A473" t="inlineStr">
        <is>
          <t>A 27528-2022</t>
        </is>
      </c>
      <c r="B473" s="1" t="n">
        <v>44742</v>
      </c>
      <c r="C473" s="1" t="n">
        <v>45473</v>
      </c>
      <c r="D473" t="inlineStr">
        <is>
          <t>VÄSTMANLANDS LÄN</t>
        </is>
      </c>
      <c r="E473" t="inlineStr">
        <is>
          <t>SALA</t>
        </is>
      </c>
      <c r="G473" t="n">
        <v>3.2</v>
      </c>
      <c r="H473" t="n">
        <v>0</v>
      </c>
      <c r="I473" t="n">
        <v>0</v>
      </c>
      <c r="J473" t="n">
        <v>0</v>
      </c>
      <c r="K473" t="n">
        <v>0</v>
      </c>
      <c r="L473" t="n">
        <v>0</v>
      </c>
      <c r="M473" t="n">
        <v>0</v>
      </c>
      <c r="N473" t="n">
        <v>0</v>
      </c>
      <c r="O473" t="n">
        <v>0</v>
      </c>
      <c r="P473" t="n">
        <v>0</v>
      </c>
      <c r="Q473" t="n">
        <v>0</v>
      </c>
      <c r="R473" s="2" t="inlineStr"/>
    </row>
    <row r="474" ht="15" customHeight="1">
      <c r="A474" t="inlineStr">
        <is>
          <t>A 27486-2022</t>
        </is>
      </c>
      <c r="B474" s="1" t="n">
        <v>44742</v>
      </c>
      <c r="C474" s="1" t="n">
        <v>45473</v>
      </c>
      <c r="D474" t="inlineStr">
        <is>
          <t>VÄSTMANLANDS LÄN</t>
        </is>
      </c>
      <c r="E474" t="inlineStr">
        <is>
          <t>SALA</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28069-2022</t>
        </is>
      </c>
      <c r="B475" s="1" t="n">
        <v>44746</v>
      </c>
      <c r="C475" s="1" t="n">
        <v>45473</v>
      </c>
      <c r="D475" t="inlineStr">
        <is>
          <t>VÄSTMANLANDS LÄN</t>
        </is>
      </c>
      <c r="E475" t="inlineStr">
        <is>
          <t>SALA</t>
        </is>
      </c>
      <c r="G475" t="n">
        <v>2.8</v>
      </c>
      <c r="H475" t="n">
        <v>0</v>
      </c>
      <c r="I475" t="n">
        <v>0</v>
      </c>
      <c r="J475" t="n">
        <v>0</v>
      </c>
      <c r="K475" t="n">
        <v>0</v>
      </c>
      <c r="L475" t="n">
        <v>0</v>
      </c>
      <c r="M475" t="n">
        <v>0</v>
      </c>
      <c r="N475" t="n">
        <v>0</v>
      </c>
      <c r="O475" t="n">
        <v>0</v>
      </c>
      <c r="P475" t="n">
        <v>0</v>
      </c>
      <c r="Q475" t="n">
        <v>0</v>
      </c>
      <c r="R475" s="2" t="inlineStr"/>
    </row>
    <row r="476" ht="15" customHeight="1">
      <c r="A476" t="inlineStr">
        <is>
          <t>A 28215-2022</t>
        </is>
      </c>
      <c r="B476" s="1" t="n">
        <v>44746</v>
      </c>
      <c r="C476" s="1" t="n">
        <v>45473</v>
      </c>
      <c r="D476" t="inlineStr">
        <is>
          <t>VÄSTMANLANDS LÄN</t>
        </is>
      </c>
      <c r="E476" t="inlineStr">
        <is>
          <t>SALA</t>
        </is>
      </c>
      <c r="F476" t="inlineStr">
        <is>
          <t>Kyrkan</t>
        </is>
      </c>
      <c r="G476" t="n">
        <v>1.9</v>
      </c>
      <c r="H476" t="n">
        <v>0</v>
      </c>
      <c r="I476" t="n">
        <v>0</v>
      </c>
      <c r="J476" t="n">
        <v>0</v>
      </c>
      <c r="K476" t="n">
        <v>0</v>
      </c>
      <c r="L476" t="n">
        <v>0</v>
      </c>
      <c r="M476" t="n">
        <v>0</v>
      </c>
      <c r="N476" t="n">
        <v>0</v>
      </c>
      <c r="O476" t="n">
        <v>0</v>
      </c>
      <c r="P476" t="n">
        <v>0</v>
      </c>
      <c r="Q476" t="n">
        <v>0</v>
      </c>
      <c r="R476" s="2" t="inlineStr"/>
    </row>
    <row r="477" ht="15" customHeight="1">
      <c r="A477" t="inlineStr">
        <is>
          <t>A 28402-2022</t>
        </is>
      </c>
      <c r="B477" s="1" t="n">
        <v>44747</v>
      </c>
      <c r="C477" s="1" t="n">
        <v>45473</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28863-2022</t>
        </is>
      </c>
      <c r="B478" s="1" t="n">
        <v>44749</v>
      </c>
      <c r="C478" s="1" t="n">
        <v>45473</v>
      </c>
      <c r="D478" t="inlineStr">
        <is>
          <t>VÄSTMANLANDS LÄN</t>
        </is>
      </c>
      <c r="E478" t="inlineStr">
        <is>
          <t>SALA</t>
        </is>
      </c>
      <c r="G478" t="n">
        <v>1.6</v>
      </c>
      <c r="H478" t="n">
        <v>0</v>
      </c>
      <c r="I478" t="n">
        <v>0</v>
      </c>
      <c r="J478" t="n">
        <v>0</v>
      </c>
      <c r="K478" t="n">
        <v>0</v>
      </c>
      <c r="L478" t="n">
        <v>0</v>
      </c>
      <c r="M478" t="n">
        <v>0</v>
      </c>
      <c r="N478" t="n">
        <v>0</v>
      </c>
      <c r="O478" t="n">
        <v>0</v>
      </c>
      <c r="P478" t="n">
        <v>0</v>
      </c>
      <c r="Q478" t="n">
        <v>0</v>
      </c>
      <c r="R478" s="2" t="inlineStr"/>
    </row>
    <row r="479" ht="15" customHeight="1">
      <c r="A479" t="inlineStr">
        <is>
          <t>A 28875-2022</t>
        </is>
      </c>
      <c r="B479" s="1" t="n">
        <v>44749</v>
      </c>
      <c r="C479" s="1" t="n">
        <v>45473</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28999-2022</t>
        </is>
      </c>
      <c r="B480" s="1" t="n">
        <v>44749</v>
      </c>
      <c r="C480" s="1" t="n">
        <v>45473</v>
      </c>
      <c r="D480" t="inlineStr">
        <is>
          <t>VÄSTMANLANDS LÄN</t>
        </is>
      </c>
      <c r="E480" t="inlineStr">
        <is>
          <t>SALA</t>
        </is>
      </c>
      <c r="G480" t="n">
        <v>5.7</v>
      </c>
      <c r="H480" t="n">
        <v>0</v>
      </c>
      <c r="I480" t="n">
        <v>0</v>
      </c>
      <c r="J480" t="n">
        <v>0</v>
      </c>
      <c r="K480" t="n">
        <v>0</v>
      </c>
      <c r="L480" t="n">
        <v>0</v>
      </c>
      <c r="M480" t="n">
        <v>0</v>
      </c>
      <c r="N480" t="n">
        <v>0</v>
      </c>
      <c r="O480" t="n">
        <v>0</v>
      </c>
      <c r="P480" t="n">
        <v>0</v>
      </c>
      <c r="Q480" t="n">
        <v>0</v>
      </c>
      <c r="R480" s="2" t="inlineStr"/>
    </row>
    <row r="481" ht="15" customHeight="1">
      <c r="A481" t="inlineStr">
        <is>
          <t>A 28827-2022</t>
        </is>
      </c>
      <c r="B481" s="1" t="n">
        <v>44749</v>
      </c>
      <c r="C481" s="1" t="n">
        <v>45473</v>
      </c>
      <c r="D481" t="inlineStr">
        <is>
          <t>VÄSTMANLANDS LÄN</t>
        </is>
      </c>
      <c r="E481" t="inlineStr">
        <is>
          <t>SALA</t>
        </is>
      </c>
      <c r="F481" t="inlineStr">
        <is>
          <t>Kommuner</t>
        </is>
      </c>
      <c r="G481" t="n">
        <v>11.9</v>
      </c>
      <c r="H481" t="n">
        <v>0</v>
      </c>
      <c r="I481" t="n">
        <v>0</v>
      </c>
      <c r="J481" t="n">
        <v>0</v>
      </c>
      <c r="K481" t="n">
        <v>0</v>
      </c>
      <c r="L481" t="n">
        <v>0</v>
      </c>
      <c r="M481" t="n">
        <v>0</v>
      </c>
      <c r="N481" t="n">
        <v>0</v>
      </c>
      <c r="O481" t="n">
        <v>0</v>
      </c>
      <c r="P481" t="n">
        <v>0</v>
      </c>
      <c r="Q481" t="n">
        <v>0</v>
      </c>
      <c r="R481" s="2" t="inlineStr"/>
    </row>
    <row r="482" ht="15" customHeight="1">
      <c r="A482" t="inlineStr">
        <is>
          <t>A 28873-2022</t>
        </is>
      </c>
      <c r="B482" s="1" t="n">
        <v>44749</v>
      </c>
      <c r="C482" s="1" t="n">
        <v>45473</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29002-2022</t>
        </is>
      </c>
      <c r="B483" s="1" t="n">
        <v>44749</v>
      </c>
      <c r="C483" s="1" t="n">
        <v>45473</v>
      </c>
      <c r="D483" t="inlineStr">
        <is>
          <t>VÄSTMANLANDS LÄN</t>
        </is>
      </c>
      <c r="E483" t="inlineStr">
        <is>
          <t>SALA</t>
        </is>
      </c>
      <c r="G483" t="n">
        <v>5.4</v>
      </c>
      <c r="H483" t="n">
        <v>0</v>
      </c>
      <c r="I483" t="n">
        <v>0</v>
      </c>
      <c r="J483" t="n">
        <v>0</v>
      </c>
      <c r="K483" t="n">
        <v>0</v>
      </c>
      <c r="L483" t="n">
        <v>0</v>
      </c>
      <c r="M483" t="n">
        <v>0</v>
      </c>
      <c r="N483" t="n">
        <v>0</v>
      </c>
      <c r="O483" t="n">
        <v>0</v>
      </c>
      <c r="P483" t="n">
        <v>0</v>
      </c>
      <c r="Q483" t="n">
        <v>0</v>
      </c>
      <c r="R483" s="2" t="inlineStr"/>
    </row>
    <row r="484" ht="15" customHeight="1">
      <c r="A484" t="inlineStr">
        <is>
          <t>A 28868-2022</t>
        </is>
      </c>
      <c r="B484" s="1" t="n">
        <v>44749</v>
      </c>
      <c r="C484" s="1" t="n">
        <v>45473</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28874-2022</t>
        </is>
      </c>
      <c r="B485" s="1" t="n">
        <v>44749</v>
      </c>
      <c r="C485" s="1" t="n">
        <v>45473</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28879-2022</t>
        </is>
      </c>
      <c r="B486" s="1" t="n">
        <v>44749</v>
      </c>
      <c r="C486" s="1" t="n">
        <v>45473</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45473</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29228-2022</t>
        </is>
      </c>
      <c r="B488" s="1" t="n">
        <v>44750</v>
      </c>
      <c r="C488" s="1" t="n">
        <v>45473</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29233-2022</t>
        </is>
      </c>
      <c r="B489" s="1" t="n">
        <v>44750</v>
      </c>
      <c r="C489" s="1" t="n">
        <v>45473</v>
      </c>
      <c r="D489" t="inlineStr">
        <is>
          <t>VÄSTMANLANDS LÄN</t>
        </is>
      </c>
      <c r="E489" t="inlineStr">
        <is>
          <t>SALA</t>
        </is>
      </c>
      <c r="G489" t="n">
        <v>2.4</v>
      </c>
      <c r="H489" t="n">
        <v>0</v>
      </c>
      <c r="I489" t="n">
        <v>0</v>
      </c>
      <c r="J489" t="n">
        <v>0</v>
      </c>
      <c r="K489" t="n">
        <v>0</v>
      </c>
      <c r="L489" t="n">
        <v>0</v>
      </c>
      <c r="M489" t="n">
        <v>0</v>
      </c>
      <c r="N489" t="n">
        <v>0</v>
      </c>
      <c r="O489" t="n">
        <v>0</v>
      </c>
      <c r="P489" t="n">
        <v>0</v>
      </c>
      <c r="Q489" t="n">
        <v>0</v>
      </c>
      <c r="R489" s="2" t="inlineStr"/>
    </row>
    <row r="490" ht="15" customHeight="1">
      <c r="A490" t="inlineStr">
        <is>
          <t>A 29248-2022</t>
        </is>
      </c>
      <c r="B490" s="1" t="n">
        <v>44750</v>
      </c>
      <c r="C490" s="1" t="n">
        <v>45473</v>
      </c>
      <c r="D490" t="inlineStr">
        <is>
          <t>VÄSTMANLANDS LÄN</t>
        </is>
      </c>
      <c r="E490" t="inlineStr">
        <is>
          <t>SALA</t>
        </is>
      </c>
      <c r="G490" t="n">
        <v>1.6</v>
      </c>
      <c r="H490" t="n">
        <v>0</v>
      </c>
      <c r="I490" t="n">
        <v>0</v>
      </c>
      <c r="J490" t="n">
        <v>0</v>
      </c>
      <c r="K490" t="n">
        <v>0</v>
      </c>
      <c r="L490" t="n">
        <v>0</v>
      </c>
      <c r="M490" t="n">
        <v>0</v>
      </c>
      <c r="N490" t="n">
        <v>0</v>
      </c>
      <c r="O490" t="n">
        <v>0</v>
      </c>
      <c r="P490" t="n">
        <v>0</v>
      </c>
      <c r="Q490" t="n">
        <v>0</v>
      </c>
      <c r="R490" s="2" t="inlineStr"/>
    </row>
    <row r="491" ht="15" customHeight="1">
      <c r="A491" t="inlineStr">
        <is>
          <t>A 29230-2022</t>
        </is>
      </c>
      <c r="B491" s="1" t="n">
        <v>44750</v>
      </c>
      <c r="C491" s="1" t="n">
        <v>45473</v>
      </c>
      <c r="D491" t="inlineStr">
        <is>
          <t>VÄSTMANLANDS LÄN</t>
        </is>
      </c>
      <c r="E491" t="inlineStr">
        <is>
          <t>SALA</t>
        </is>
      </c>
      <c r="G491" t="n">
        <v>1.1</v>
      </c>
      <c r="H491" t="n">
        <v>0</v>
      </c>
      <c r="I491" t="n">
        <v>0</v>
      </c>
      <c r="J491" t="n">
        <v>0</v>
      </c>
      <c r="K491" t="n">
        <v>0</v>
      </c>
      <c r="L491" t="n">
        <v>0</v>
      </c>
      <c r="M491" t="n">
        <v>0</v>
      </c>
      <c r="N491" t="n">
        <v>0</v>
      </c>
      <c r="O491" t="n">
        <v>0</v>
      </c>
      <c r="P491" t="n">
        <v>0</v>
      </c>
      <c r="Q491" t="n">
        <v>0</v>
      </c>
      <c r="R491" s="2" t="inlineStr"/>
    </row>
    <row r="492" ht="15" customHeight="1">
      <c r="A492" t="inlineStr">
        <is>
          <t>A 29133-2022</t>
        </is>
      </c>
      <c r="B492" s="1" t="n">
        <v>44750</v>
      </c>
      <c r="C492" s="1" t="n">
        <v>45473</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29213-2022</t>
        </is>
      </c>
      <c r="B493" s="1" t="n">
        <v>44750</v>
      </c>
      <c r="C493" s="1" t="n">
        <v>45473</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29963-2022</t>
        </is>
      </c>
      <c r="B494" s="1" t="n">
        <v>44756</v>
      </c>
      <c r="C494" s="1" t="n">
        <v>45473</v>
      </c>
      <c r="D494" t="inlineStr">
        <is>
          <t>VÄSTMANLANDS LÄN</t>
        </is>
      </c>
      <c r="E494" t="inlineStr">
        <is>
          <t>SALA</t>
        </is>
      </c>
      <c r="G494" t="n">
        <v>2.3</v>
      </c>
      <c r="H494" t="n">
        <v>0</v>
      </c>
      <c r="I494" t="n">
        <v>0</v>
      </c>
      <c r="J494" t="n">
        <v>0</v>
      </c>
      <c r="K494" t="n">
        <v>0</v>
      </c>
      <c r="L494" t="n">
        <v>0</v>
      </c>
      <c r="M494" t="n">
        <v>0</v>
      </c>
      <c r="N494" t="n">
        <v>0</v>
      </c>
      <c r="O494" t="n">
        <v>0</v>
      </c>
      <c r="P494" t="n">
        <v>0</v>
      </c>
      <c r="Q494" t="n">
        <v>0</v>
      </c>
      <c r="R494" s="2" t="inlineStr"/>
    </row>
    <row r="495" ht="15" customHeight="1">
      <c r="A495" t="inlineStr">
        <is>
          <t>A 29965-2022</t>
        </is>
      </c>
      <c r="B495" s="1" t="n">
        <v>44756</v>
      </c>
      <c r="C495" s="1" t="n">
        <v>45473</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29982-2022</t>
        </is>
      </c>
      <c r="B496" s="1" t="n">
        <v>44756</v>
      </c>
      <c r="C496" s="1" t="n">
        <v>45473</v>
      </c>
      <c r="D496" t="inlineStr">
        <is>
          <t>VÄSTMANLANDS LÄN</t>
        </is>
      </c>
      <c r="E496" t="inlineStr">
        <is>
          <t>SALA</t>
        </is>
      </c>
      <c r="G496" t="n">
        <v>1.4</v>
      </c>
      <c r="H496" t="n">
        <v>0</v>
      </c>
      <c r="I496" t="n">
        <v>0</v>
      </c>
      <c r="J496" t="n">
        <v>0</v>
      </c>
      <c r="K496" t="n">
        <v>0</v>
      </c>
      <c r="L496" t="n">
        <v>0</v>
      </c>
      <c r="M496" t="n">
        <v>0</v>
      </c>
      <c r="N496" t="n">
        <v>0</v>
      </c>
      <c r="O496" t="n">
        <v>0</v>
      </c>
      <c r="P496" t="n">
        <v>0</v>
      </c>
      <c r="Q496" t="n">
        <v>0</v>
      </c>
      <c r="R496" s="2" t="inlineStr"/>
    </row>
    <row r="497" ht="15" customHeight="1">
      <c r="A497" t="inlineStr">
        <is>
          <t>A 30360-2022</t>
        </is>
      </c>
      <c r="B497" s="1" t="n">
        <v>44760</v>
      </c>
      <c r="C497" s="1" t="n">
        <v>45473</v>
      </c>
      <c r="D497" t="inlineStr">
        <is>
          <t>VÄSTMANLANDS LÄN</t>
        </is>
      </c>
      <c r="E497" t="inlineStr">
        <is>
          <t>SALA</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30442-2022</t>
        </is>
      </c>
      <c r="B498" s="1" t="n">
        <v>44761</v>
      </c>
      <c r="C498" s="1" t="n">
        <v>45473</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30971-2022</t>
        </is>
      </c>
      <c r="B499" s="1" t="n">
        <v>44768</v>
      </c>
      <c r="C499" s="1" t="n">
        <v>45473</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31000-2022</t>
        </is>
      </c>
      <c r="B500" s="1" t="n">
        <v>44768</v>
      </c>
      <c r="C500" s="1" t="n">
        <v>45473</v>
      </c>
      <c r="D500" t="inlineStr">
        <is>
          <t>VÄSTMANLANDS LÄN</t>
        </is>
      </c>
      <c r="E500" t="inlineStr">
        <is>
          <t>SALA</t>
        </is>
      </c>
      <c r="G500" t="n">
        <v>5.7</v>
      </c>
      <c r="H500" t="n">
        <v>0</v>
      </c>
      <c r="I500" t="n">
        <v>0</v>
      </c>
      <c r="J500" t="n">
        <v>0</v>
      </c>
      <c r="K500" t="n">
        <v>0</v>
      </c>
      <c r="L500" t="n">
        <v>0</v>
      </c>
      <c r="M500" t="n">
        <v>0</v>
      </c>
      <c r="N500" t="n">
        <v>0</v>
      </c>
      <c r="O500" t="n">
        <v>0</v>
      </c>
      <c r="P500" t="n">
        <v>0</v>
      </c>
      <c r="Q500" t="n">
        <v>0</v>
      </c>
      <c r="R500" s="2" t="inlineStr"/>
    </row>
    <row r="501" ht="15" customHeight="1">
      <c r="A501" t="inlineStr">
        <is>
          <t>A 31373-2022</t>
        </is>
      </c>
      <c r="B501" s="1" t="n">
        <v>44774</v>
      </c>
      <c r="C501" s="1" t="n">
        <v>45473</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31380-2022</t>
        </is>
      </c>
      <c r="B502" s="1" t="n">
        <v>44774</v>
      </c>
      <c r="C502" s="1" t="n">
        <v>45473</v>
      </c>
      <c r="D502" t="inlineStr">
        <is>
          <t>VÄSTMANLANDS LÄN</t>
        </is>
      </c>
      <c r="E502" t="inlineStr">
        <is>
          <t>SALA</t>
        </is>
      </c>
      <c r="G502" t="n">
        <v>4.7</v>
      </c>
      <c r="H502" t="n">
        <v>0</v>
      </c>
      <c r="I502" t="n">
        <v>0</v>
      </c>
      <c r="J502" t="n">
        <v>0</v>
      </c>
      <c r="K502" t="n">
        <v>0</v>
      </c>
      <c r="L502" t="n">
        <v>0</v>
      </c>
      <c r="M502" t="n">
        <v>0</v>
      </c>
      <c r="N502" t="n">
        <v>0</v>
      </c>
      <c r="O502" t="n">
        <v>0</v>
      </c>
      <c r="P502" t="n">
        <v>0</v>
      </c>
      <c r="Q502" t="n">
        <v>0</v>
      </c>
      <c r="R502" s="2" t="inlineStr"/>
    </row>
    <row r="503" ht="15" customHeight="1">
      <c r="A503" t="inlineStr">
        <is>
          <t>A 31387-2022</t>
        </is>
      </c>
      <c r="B503" s="1" t="n">
        <v>44774</v>
      </c>
      <c r="C503" s="1" t="n">
        <v>45473</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31394-2022</t>
        </is>
      </c>
      <c r="B504" s="1" t="n">
        <v>44774</v>
      </c>
      <c r="C504" s="1" t="n">
        <v>45473</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33309-2022</t>
        </is>
      </c>
      <c r="B505" s="1" t="n">
        <v>44788</v>
      </c>
      <c r="C505" s="1" t="n">
        <v>45473</v>
      </c>
      <c r="D505" t="inlineStr">
        <is>
          <t>VÄSTMANLANDS LÄN</t>
        </is>
      </c>
      <c r="E505" t="inlineStr">
        <is>
          <t>SALA</t>
        </is>
      </c>
      <c r="G505" t="n">
        <v>2.6</v>
      </c>
      <c r="H505" t="n">
        <v>0</v>
      </c>
      <c r="I505" t="n">
        <v>0</v>
      </c>
      <c r="J505" t="n">
        <v>0</v>
      </c>
      <c r="K505" t="n">
        <v>0</v>
      </c>
      <c r="L505" t="n">
        <v>0</v>
      </c>
      <c r="M505" t="n">
        <v>0</v>
      </c>
      <c r="N505" t="n">
        <v>0</v>
      </c>
      <c r="O505" t="n">
        <v>0</v>
      </c>
      <c r="P505" t="n">
        <v>0</v>
      </c>
      <c r="Q505" t="n">
        <v>0</v>
      </c>
      <c r="R505" s="2" t="inlineStr"/>
    </row>
    <row r="506" ht="15" customHeight="1">
      <c r="A506" t="inlineStr">
        <is>
          <t>A 34110-2022</t>
        </is>
      </c>
      <c r="B506" s="1" t="n">
        <v>44791</v>
      </c>
      <c r="C506" s="1" t="n">
        <v>45473</v>
      </c>
      <c r="D506" t="inlineStr">
        <is>
          <t>VÄSTMANLANDS LÄN</t>
        </is>
      </c>
      <c r="E506" t="inlineStr">
        <is>
          <t>SALA</t>
        </is>
      </c>
      <c r="G506" t="n">
        <v>0.2</v>
      </c>
      <c r="H506" t="n">
        <v>0</v>
      </c>
      <c r="I506" t="n">
        <v>0</v>
      </c>
      <c r="J506" t="n">
        <v>0</v>
      </c>
      <c r="K506" t="n">
        <v>0</v>
      </c>
      <c r="L506" t="n">
        <v>0</v>
      </c>
      <c r="M506" t="n">
        <v>0</v>
      </c>
      <c r="N506" t="n">
        <v>0</v>
      </c>
      <c r="O506" t="n">
        <v>0</v>
      </c>
      <c r="P506" t="n">
        <v>0</v>
      </c>
      <c r="Q506" t="n">
        <v>0</v>
      </c>
      <c r="R506" s="2" t="inlineStr"/>
    </row>
    <row r="507" ht="15" customHeight="1">
      <c r="A507" t="inlineStr">
        <is>
          <t>A 34468-2022</t>
        </is>
      </c>
      <c r="B507" s="1" t="n">
        <v>44792</v>
      </c>
      <c r="C507" s="1" t="n">
        <v>45473</v>
      </c>
      <c r="D507" t="inlineStr">
        <is>
          <t>VÄSTMANLANDS LÄN</t>
        </is>
      </c>
      <c r="E507" t="inlineStr">
        <is>
          <t>SALA</t>
        </is>
      </c>
      <c r="F507" t="inlineStr">
        <is>
          <t>Kommuner</t>
        </is>
      </c>
      <c r="G507" t="n">
        <v>1</v>
      </c>
      <c r="H507" t="n">
        <v>0</v>
      </c>
      <c r="I507" t="n">
        <v>0</v>
      </c>
      <c r="J507" t="n">
        <v>0</v>
      </c>
      <c r="K507" t="n">
        <v>0</v>
      </c>
      <c r="L507" t="n">
        <v>0</v>
      </c>
      <c r="M507" t="n">
        <v>0</v>
      </c>
      <c r="N507" t="n">
        <v>0</v>
      </c>
      <c r="O507" t="n">
        <v>0</v>
      </c>
      <c r="P507" t="n">
        <v>0</v>
      </c>
      <c r="Q507" t="n">
        <v>0</v>
      </c>
      <c r="R507" s="2" t="inlineStr"/>
    </row>
    <row r="508" ht="15" customHeight="1">
      <c r="A508" t="inlineStr">
        <is>
          <t>A 34737-2022</t>
        </is>
      </c>
      <c r="B508" s="1" t="n">
        <v>44795</v>
      </c>
      <c r="C508" s="1" t="n">
        <v>45473</v>
      </c>
      <c r="D508" t="inlineStr">
        <is>
          <t>VÄSTMANLANDS LÄN</t>
        </is>
      </c>
      <c r="E508" t="inlineStr">
        <is>
          <t>SALA</t>
        </is>
      </c>
      <c r="G508" t="n">
        <v>1.3</v>
      </c>
      <c r="H508" t="n">
        <v>0</v>
      </c>
      <c r="I508" t="n">
        <v>0</v>
      </c>
      <c r="J508" t="n">
        <v>0</v>
      </c>
      <c r="K508" t="n">
        <v>0</v>
      </c>
      <c r="L508" t="n">
        <v>0</v>
      </c>
      <c r="M508" t="n">
        <v>0</v>
      </c>
      <c r="N508" t="n">
        <v>0</v>
      </c>
      <c r="O508" t="n">
        <v>0</v>
      </c>
      <c r="P508" t="n">
        <v>0</v>
      </c>
      <c r="Q508" t="n">
        <v>0</v>
      </c>
      <c r="R508" s="2" t="inlineStr"/>
    </row>
    <row r="509" ht="15" customHeight="1">
      <c r="A509" t="inlineStr">
        <is>
          <t>A 35410-2022</t>
        </is>
      </c>
      <c r="B509" s="1" t="n">
        <v>44798</v>
      </c>
      <c r="C509" s="1" t="n">
        <v>45473</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35637-2022</t>
        </is>
      </c>
      <c r="B510" s="1" t="n">
        <v>44799</v>
      </c>
      <c r="C510" s="1" t="n">
        <v>45473</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38081-2022</t>
        </is>
      </c>
      <c r="B511" s="1" t="n">
        <v>44811</v>
      </c>
      <c r="C511" s="1" t="n">
        <v>45473</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38161-2022</t>
        </is>
      </c>
      <c r="B512" s="1" t="n">
        <v>44812</v>
      </c>
      <c r="C512" s="1" t="n">
        <v>45473</v>
      </c>
      <c r="D512" t="inlineStr">
        <is>
          <t>VÄSTMANLANDS LÄN</t>
        </is>
      </c>
      <c r="E512" t="inlineStr">
        <is>
          <t>SALA</t>
        </is>
      </c>
      <c r="G512" t="n">
        <v>3.6</v>
      </c>
      <c r="H512" t="n">
        <v>0</v>
      </c>
      <c r="I512" t="n">
        <v>0</v>
      </c>
      <c r="J512" t="n">
        <v>0</v>
      </c>
      <c r="K512" t="n">
        <v>0</v>
      </c>
      <c r="L512" t="n">
        <v>0</v>
      </c>
      <c r="M512" t="n">
        <v>0</v>
      </c>
      <c r="N512" t="n">
        <v>0</v>
      </c>
      <c r="O512" t="n">
        <v>0</v>
      </c>
      <c r="P512" t="n">
        <v>0</v>
      </c>
      <c r="Q512" t="n">
        <v>0</v>
      </c>
      <c r="R512" s="2" t="inlineStr"/>
    </row>
    <row r="513" ht="15" customHeight="1">
      <c r="A513" t="inlineStr">
        <is>
          <t>A 39451-2022</t>
        </is>
      </c>
      <c r="B513" s="1" t="n">
        <v>44818</v>
      </c>
      <c r="C513" s="1" t="n">
        <v>45473</v>
      </c>
      <c r="D513" t="inlineStr">
        <is>
          <t>VÄSTMANLANDS LÄN</t>
        </is>
      </c>
      <c r="E513" t="inlineStr">
        <is>
          <t>SALA</t>
        </is>
      </c>
      <c r="G513" t="n">
        <v>9.4</v>
      </c>
      <c r="H513" t="n">
        <v>0</v>
      </c>
      <c r="I513" t="n">
        <v>0</v>
      </c>
      <c r="J513" t="n">
        <v>0</v>
      </c>
      <c r="K513" t="n">
        <v>0</v>
      </c>
      <c r="L513" t="n">
        <v>0</v>
      </c>
      <c r="M513" t="n">
        <v>0</v>
      </c>
      <c r="N513" t="n">
        <v>0</v>
      </c>
      <c r="O513" t="n">
        <v>0</v>
      </c>
      <c r="P513" t="n">
        <v>0</v>
      </c>
      <c r="Q513" t="n">
        <v>0</v>
      </c>
      <c r="R513" s="2" t="inlineStr"/>
    </row>
    <row r="514" ht="15" customHeight="1">
      <c r="A514" t="inlineStr">
        <is>
          <t>A 39600-2022</t>
        </is>
      </c>
      <c r="B514" s="1" t="n">
        <v>44818</v>
      </c>
      <c r="C514" s="1" t="n">
        <v>45473</v>
      </c>
      <c r="D514" t="inlineStr">
        <is>
          <t>VÄSTMANLANDS LÄN</t>
        </is>
      </c>
      <c r="E514" t="inlineStr">
        <is>
          <t>SALA</t>
        </is>
      </c>
      <c r="G514" t="n">
        <v>0.9</v>
      </c>
      <c r="H514" t="n">
        <v>0</v>
      </c>
      <c r="I514" t="n">
        <v>0</v>
      </c>
      <c r="J514" t="n">
        <v>0</v>
      </c>
      <c r="K514" t="n">
        <v>0</v>
      </c>
      <c r="L514" t="n">
        <v>0</v>
      </c>
      <c r="M514" t="n">
        <v>0</v>
      </c>
      <c r="N514" t="n">
        <v>0</v>
      </c>
      <c r="O514" t="n">
        <v>0</v>
      </c>
      <c r="P514" t="n">
        <v>0</v>
      </c>
      <c r="Q514" t="n">
        <v>0</v>
      </c>
      <c r="R514" s="2" t="inlineStr"/>
    </row>
    <row r="515" ht="15" customHeight="1">
      <c r="A515" t="inlineStr">
        <is>
          <t>A 39597-2022</t>
        </is>
      </c>
      <c r="B515" s="1" t="n">
        <v>44818</v>
      </c>
      <c r="C515" s="1" t="n">
        <v>45473</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40094-2022</t>
        </is>
      </c>
      <c r="B516" s="1" t="n">
        <v>44819</v>
      </c>
      <c r="C516" s="1" t="n">
        <v>45473</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40113-2022</t>
        </is>
      </c>
      <c r="B517" s="1" t="n">
        <v>44819</v>
      </c>
      <c r="C517" s="1" t="n">
        <v>45473</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40405-2022</t>
        </is>
      </c>
      <c r="B518" s="1" t="n">
        <v>44823</v>
      </c>
      <c r="C518" s="1" t="n">
        <v>45473</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40597-2022</t>
        </is>
      </c>
      <c r="B519" s="1" t="n">
        <v>44823</v>
      </c>
      <c r="C519" s="1" t="n">
        <v>45473</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41567-2022</t>
        </is>
      </c>
      <c r="B520" s="1" t="n">
        <v>44827</v>
      </c>
      <c r="C520" s="1" t="n">
        <v>45473</v>
      </c>
      <c r="D520" t="inlineStr">
        <is>
          <t>VÄSTMANLANDS LÄN</t>
        </is>
      </c>
      <c r="E520" t="inlineStr">
        <is>
          <t>SALA</t>
        </is>
      </c>
      <c r="F520" t="inlineStr">
        <is>
          <t>Bergvik skog öst AB</t>
        </is>
      </c>
      <c r="G520" t="n">
        <v>3.9</v>
      </c>
      <c r="H520" t="n">
        <v>0</v>
      </c>
      <c r="I520" t="n">
        <v>0</v>
      </c>
      <c r="J520" t="n">
        <v>0</v>
      </c>
      <c r="K520" t="n">
        <v>0</v>
      </c>
      <c r="L520" t="n">
        <v>0</v>
      </c>
      <c r="M520" t="n">
        <v>0</v>
      </c>
      <c r="N520" t="n">
        <v>0</v>
      </c>
      <c r="O520" t="n">
        <v>0</v>
      </c>
      <c r="P520" t="n">
        <v>0</v>
      </c>
      <c r="Q520" t="n">
        <v>0</v>
      </c>
      <c r="R520" s="2" t="inlineStr"/>
    </row>
    <row r="521" ht="15" customHeight="1">
      <c r="A521" t="inlineStr">
        <is>
          <t>A 41876-2022</t>
        </is>
      </c>
      <c r="B521" s="1" t="n">
        <v>44830</v>
      </c>
      <c r="C521" s="1" t="n">
        <v>45473</v>
      </c>
      <c r="D521" t="inlineStr">
        <is>
          <t>VÄSTMANLANDS LÄN</t>
        </is>
      </c>
      <c r="E521" t="inlineStr">
        <is>
          <t>SALA</t>
        </is>
      </c>
      <c r="G521" t="n">
        <v>3.6</v>
      </c>
      <c r="H521" t="n">
        <v>0</v>
      </c>
      <c r="I521" t="n">
        <v>0</v>
      </c>
      <c r="J521" t="n">
        <v>0</v>
      </c>
      <c r="K521" t="n">
        <v>0</v>
      </c>
      <c r="L521" t="n">
        <v>0</v>
      </c>
      <c r="M521" t="n">
        <v>0</v>
      </c>
      <c r="N521" t="n">
        <v>0</v>
      </c>
      <c r="O521" t="n">
        <v>0</v>
      </c>
      <c r="P521" t="n">
        <v>0</v>
      </c>
      <c r="Q521" t="n">
        <v>0</v>
      </c>
      <c r="R521" s="2" t="inlineStr"/>
    </row>
    <row r="522" ht="15" customHeight="1">
      <c r="A522" t="inlineStr">
        <is>
          <t>A 42416-2022</t>
        </is>
      </c>
      <c r="B522" s="1" t="n">
        <v>44831</v>
      </c>
      <c r="C522" s="1" t="n">
        <v>45473</v>
      </c>
      <c r="D522" t="inlineStr">
        <is>
          <t>VÄSTMANLANDS LÄN</t>
        </is>
      </c>
      <c r="E522" t="inlineStr">
        <is>
          <t>SALA</t>
        </is>
      </c>
      <c r="G522" t="n">
        <v>2.2</v>
      </c>
      <c r="H522" t="n">
        <v>0</v>
      </c>
      <c r="I522" t="n">
        <v>0</v>
      </c>
      <c r="J522" t="n">
        <v>0</v>
      </c>
      <c r="K522" t="n">
        <v>0</v>
      </c>
      <c r="L522" t="n">
        <v>0</v>
      </c>
      <c r="M522" t="n">
        <v>0</v>
      </c>
      <c r="N522" t="n">
        <v>0</v>
      </c>
      <c r="O522" t="n">
        <v>0</v>
      </c>
      <c r="P522" t="n">
        <v>0</v>
      </c>
      <c r="Q522" t="n">
        <v>0</v>
      </c>
      <c r="R522" s="2" t="inlineStr"/>
    </row>
    <row r="523" ht="15" customHeight="1">
      <c r="A523" t="inlineStr">
        <is>
          <t>A 42447-2022</t>
        </is>
      </c>
      <c r="B523" s="1" t="n">
        <v>44831</v>
      </c>
      <c r="C523" s="1" t="n">
        <v>45473</v>
      </c>
      <c r="D523" t="inlineStr">
        <is>
          <t>VÄSTMANLANDS LÄN</t>
        </is>
      </c>
      <c r="E523" t="inlineStr">
        <is>
          <t>SALA</t>
        </is>
      </c>
      <c r="G523" t="n">
        <v>1.1</v>
      </c>
      <c r="H523" t="n">
        <v>0</v>
      </c>
      <c r="I523" t="n">
        <v>0</v>
      </c>
      <c r="J523" t="n">
        <v>0</v>
      </c>
      <c r="K523" t="n">
        <v>0</v>
      </c>
      <c r="L523" t="n">
        <v>0</v>
      </c>
      <c r="M523" t="n">
        <v>0</v>
      </c>
      <c r="N523" t="n">
        <v>0</v>
      </c>
      <c r="O523" t="n">
        <v>0</v>
      </c>
      <c r="P523" t="n">
        <v>0</v>
      </c>
      <c r="Q523" t="n">
        <v>0</v>
      </c>
      <c r="R523" s="2" t="inlineStr"/>
    </row>
    <row r="524" ht="15" customHeight="1">
      <c r="A524" t="inlineStr">
        <is>
          <t>A 42414-2022</t>
        </is>
      </c>
      <c r="B524" s="1" t="n">
        <v>44831</v>
      </c>
      <c r="C524" s="1" t="n">
        <v>45473</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43103-2022</t>
        </is>
      </c>
      <c r="B525" s="1" t="n">
        <v>44833</v>
      </c>
      <c r="C525" s="1" t="n">
        <v>45473</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43101-2022</t>
        </is>
      </c>
      <c r="B526" s="1" t="n">
        <v>44833</v>
      </c>
      <c r="C526" s="1" t="n">
        <v>45473</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44217-2022</t>
        </is>
      </c>
      <c r="B527" s="1" t="n">
        <v>44839</v>
      </c>
      <c r="C527" s="1" t="n">
        <v>45473</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44318-2022</t>
        </is>
      </c>
      <c r="B528" s="1" t="n">
        <v>44839</v>
      </c>
      <c r="C528" s="1" t="n">
        <v>45473</v>
      </c>
      <c r="D528" t="inlineStr">
        <is>
          <t>VÄSTMANLANDS LÄN</t>
        </is>
      </c>
      <c r="E528" t="inlineStr">
        <is>
          <t>SALA</t>
        </is>
      </c>
      <c r="G528" t="n">
        <v>0.6</v>
      </c>
      <c r="H528" t="n">
        <v>0</v>
      </c>
      <c r="I528" t="n">
        <v>0</v>
      </c>
      <c r="J528" t="n">
        <v>0</v>
      </c>
      <c r="K528" t="n">
        <v>0</v>
      </c>
      <c r="L528" t="n">
        <v>0</v>
      </c>
      <c r="M528" t="n">
        <v>0</v>
      </c>
      <c r="N528" t="n">
        <v>0</v>
      </c>
      <c r="O528" t="n">
        <v>0</v>
      </c>
      <c r="P528" t="n">
        <v>0</v>
      </c>
      <c r="Q528" t="n">
        <v>0</v>
      </c>
      <c r="R528" s="2" t="inlineStr"/>
    </row>
    <row r="529" ht="15" customHeight="1">
      <c r="A529" t="inlineStr">
        <is>
          <t>A 44224-2022</t>
        </is>
      </c>
      <c r="B529" s="1" t="n">
        <v>44839</v>
      </c>
      <c r="C529" s="1" t="n">
        <v>45473</v>
      </c>
      <c r="D529" t="inlineStr">
        <is>
          <t>VÄSTMANLANDS LÄN</t>
        </is>
      </c>
      <c r="E529" t="inlineStr">
        <is>
          <t>SALA</t>
        </is>
      </c>
      <c r="G529" t="n">
        <v>2.1</v>
      </c>
      <c r="H529" t="n">
        <v>0</v>
      </c>
      <c r="I529" t="n">
        <v>0</v>
      </c>
      <c r="J529" t="n">
        <v>0</v>
      </c>
      <c r="K529" t="n">
        <v>0</v>
      </c>
      <c r="L529" t="n">
        <v>0</v>
      </c>
      <c r="M529" t="n">
        <v>0</v>
      </c>
      <c r="N529" t="n">
        <v>0</v>
      </c>
      <c r="O529" t="n">
        <v>0</v>
      </c>
      <c r="P529" t="n">
        <v>0</v>
      </c>
      <c r="Q529" t="n">
        <v>0</v>
      </c>
      <c r="R529" s="2" t="inlineStr"/>
    </row>
    <row r="530" ht="15" customHeight="1">
      <c r="A530" t="inlineStr">
        <is>
          <t>A 44892-2022</t>
        </is>
      </c>
      <c r="B530" s="1" t="n">
        <v>44841</v>
      </c>
      <c r="C530" s="1" t="n">
        <v>45473</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45015-2022</t>
        </is>
      </c>
      <c r="B531" s="1" t="n">
        <v>44841</v>
      </c>
      <c r="C531" s="1" t="n">
        <v>45473</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44935-2022</t>
        </is>
      </c>
      <c r="B532" s="1" t="n">
        <v>44841</v>
      </c>
      <c r="C532" s="1" t="n">
        <v>45473</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45309-2022</t>
        </is>
      </c>
      <c r="B533" s="1" t="n">
        <v>44844</v>
      </c>
      <c r="C533" s="1" t="n">
        <v>45473</v>
      </c>
      <c r="D533" t="inlineStr">
        <is>
          <t>VÄSTMANLANDS LÄN</t>
        </is>
      </c>
      <c r="E533" t="inlineStr">
        <is>
          <t>SALA</t>
        </is>
      </c>
      <c r="G533" t="n">
        <v>10.9</v>
      </c>
      <c r="H533" t="n">
        <v>0</v>
      </c>
      <c r="I533" t="n">
        <v>0</v>
      </c>
      <c r="J533" t="n">
        <v>0</v>
      </c>
      <c r="K533" t="n">
        <v>0</v>
      </c>
      <c r="L533" t="n">
        <v>0</v>
      </c>
      <c r="M533" t="n">
        <v>0</v>
      </c>
      <c r="N533" t="n">
        <v>0</v>
      </c>
      <c r="O533" t="n">
        <v>0</v>
      </c>
      <c r="P533" t="n">
        <v>0</v>
      </c>
      <c r="Q533" t="n">
        <v>0</v>
      </c>
      <c r="R533" s="2" t="inlineStr"/>
    </row>
    <row r="534" ht="15" customHeight="1">
      <c r="A534" t="inlineStr">
        <is>
          <t>A 45517-2022</t>
        </is>
      </c>
      <c r="B534" s="1" t="n">
        <v>44845</v>
      </c>
      <c r="C534" s="1" t="n">
        <v>45473</v>
      </c>
      <c r="D534" t="inlineStr">
        <is>
          <t>VÄSTMANLANDS LÄN</t>
        </is>
      </c>
      <c r="E534" t="inlineStr">
        <is>
          <t>SALA</t>
        </is>
      </c>
      <c r="G534" t="n">
        <v>2.2</v>
      </c>
      <c r="H534" t="n">
        <v>0</v>
      </c>
      <c r="I534" t="n">
        <v>0</v>
      </c>
      <c r="J534" t="n">
        <v>0</v>
      </c>
      <c r="K534" t="n">
        <v>0</v>
      </c>
      <c r="L534" t="n">
        <v>0</v>
      </c>
      <c r="M534" t="n">
        <v>0</v>
      </c>
      <c r="N534" t="n">
        <v>0</v>
      </c>
      <c r="O534" t="n">
        <v>0</v>
      </c>
      <c r="P534" t="n">
        <v>0</v>
      </c>
      <c r="Q534" t="n">
        <v>0</v>
      </c>
      <c r="R534" s="2" t="inlineStr"/>
    </row>
    <row r="535" ht="15" customHeight="1">
      <c r="A535" t="inlineStr">
        <is>
          <t>A 45615-2022</t>
        </is>
      </c>
      <c r="B535" s="1" t="n">
        <v>44845</v>
      </c>
      <c r="C535" s="1" t="n">
        <v>45473</v>
      </c>
      <c r="D535" t="inlineStr">
        <is>
          <t>VÄSTMANLANDS LÄN</t>
        </is>
      </c>
      <c r="E535" t="inlineStr">
        <is>
          <t>SALA</t>
        </is>
      </c>
      <c r="F535" t="inlineStr">
        <is>
          <t>Bergvik skog öst AB</t>
        </is>
      </c>
      <c r="G535" t="n">
        <v>10</v>
      </c>
      <c r="H535" t="n">
        <v>0</v>
      </c>
      <c r="I535" t="n">
        <v>0</v>
      </c>
      <c r="J535" t="n">
        <v>0</v>
      </c>
      <c r="K535" t="n">
        <v>0</v>
      </c>
      <c r="L535" t="n">
        <v>0</v>
      </c>
      <c r="M535" t="n">
        <v>0</v>
      </c>
      <c r="N535" t="n">
        <v>0</v>
      </c>
      <c r="O535" t="n">
        <v>0</v>
      </c>
      <c r="P535" t="n">
        <v>0</v>
      </c>
      <c r="Q535" t="n">
        <v>0</v>
      </c>
      <c r="R535" s="2" t="inlineStr"/>
    </row>
    <row r="536" ht="15" customHeight="1">
      <c r="A536" t="inlineStr">
        <is>
          <t>A 46264-2022</t>
        </is>
      </c>
      <c r="B536" s="1" t="n">
        <v>44847</v>
      </c>
      <c r="C536" s="1" t="n">
        <v>45473</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46460-2022</t>
        </is>
      </c>
      <c r="B537" s="1" t="n">
        <v>44848</v>
      </c>
      <c r="C537" s="1" t="n">
        <v>45473</v>
      </c>
      <c r="D537" t="inlineStr">
        <is>
          <t>VÄSTMANLANDS LÄN</t>
        </is>
      </c>
      <c r="E537" t="inlineStr">
        <is>
          <t>SALA</t>
        </is>
      </c>
      <c r="G537" t="n">
        <v>1.3</v>
      </c>
      <c r="H537" t="n">
        <v>0</v>
      </c>
      <c r="I537" t="n">
        <v>0</v>
      </c>
      <c r="J537" t="n">
        <v>0</v>
      </c>
      <c r="K537" t="n">
        <v>0</v>
      </c>
      <c r="L537" t="n">
        <v>0</v>
      </c>
      <c r="M537" t="n">
        <v>0</v>
      </c>
      <c r="N537" t="n">
        <v>0</v>
      </c>
      <c r="O537" t="n">
        <v>0</v>
      </c>
      <c r="P537" t="n">
        <v>0</v>
      </c>
      <c r="Q537" t="n">
        <v>0</v>
      </c>
      <c r="R537" s="2" t="inlineStr"/>
    </row>
    <row r="538" ht="15" customHeight="1">
      <c r="A538" t="inlineStr">
        <is>
          <t>A 47086-2022</t>
        </is>
      </c>
      <c r="B538" s="1" t="n">
        <v>44852</v>
      </c>
      <c r="C538" s="1" t="n">
        <v>45473</v>
      </c>
      <c r="D538" t="inlineStr">
        <is>
          <t>VÄSTMANLANDS LÄN</t>
        </is>
      </c>
      <c r="E538" t="inlineStr">
        <is>
          <t>SALA</t>
        </is>
      </c>
      <c r="G538" t="n">
        <v>12.5</v>
      </c>
      <c r="H538" t="n">
        <v>0</v>
      </c>
      <c r="I538" t="n">
        <v>0</v>
      </c>
      <c r="J538" t="n">
        <v>0</v>
      </c>
      <c r="K538" t="n">
        <v>0</v>
      </c>
      <c r="L538" t="n">
        <v>0</v>
      </c>
      <c r="M538" t="n">
        <v>0</v>
      </c>
      <c r="N538" t="n">
        <v>0</v>
      </c>
      <c r="O538" t="n">
        <v>0</v>
      </c>
      <c r="P538" t="n">
        <v>0</v>
      </c>
      <c r="Q538" t="n">
        <v>0</v>
      </c>
      <c r="R538" s="2" t="inlineStr"/>
    </row>
    <row r="539" ht="15" customHeight="1">
      <c r="A539" t="inlineStr">
        <is>
          <t>A 47713-2022</t>
        </is>
      </c>
      <c r="B539" s="1" t="n">
        <v>44854</v>
      </c>
      <c r="C539" s="1" t="n">
        <v>45473</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47715-2022</t>
        </is>
      </c>
      <c r="B540" s="1" t="n">
        <v>44854</v>
      </c>
      <c r="C540" s="1" t="n">
        <v>45473</v>
      </c>
      <c r="D540" t="inlineStr">
        <is>
          <t>VÄSTMANLANDS LÄN</t>
        </is>
      </c>
      <c r="E540" t="inlineStr">
        <is>
          <t>SALA</t>
        </is>
      </c>
      <c r="G540" t="n">
        <v>2</v>
      </c>
      <c r="H540" t="n">
        <v>0</v>
      </c>
      <c r="I540" t="n">
        <v>0</v>
      </c>
      <c r="J540" t="n">
        <v>0</v>
      </c>
      <c r="K540" t="n">
        <v>0</v>
      </c>
      <c r="L540" t="n">
        <v>0</v>
      </c>
      <c r="M540" t="n">
        <v>0</v>
      </c>
      <c r="N540" t="n">
        <v>0</v>
      </c>
      <c r="O540" t="n">
        <v>0</v>
      </c>
      <c r="P540" t="n">
        <v>0</v>
      </c>
      <c r="Q540" t="n">
        <v>0</v>
      </c>
      <c r="R540" s="2" t="inlineStr"/>
    </row>
    <row r="541" ht="15" customHeight="1">
      <c r="A541" t="inlineStr">
        <is>
          <t>A 47909-2022</t>
        </is>
      </c>
      <c r="B541" s="1" t="n">
        <v>44855</v>
      </c>
      <c r="C541" s="1" t="n">
        <v>45473</v>
      </c>
      <c r="D541" t="inlineStr">
        <is>
          <t>VÄSTMANLANDS LÄN</t>
        </is>
      </c>
      <c r="E541" t="inlineStr">
        <is>
          <t>SALA</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48219-2022</t>
        </is>
      </c>
      <c r="B542" s="1" t="n">
        <v>44858</v>
      </c>
      <c r="C542" s="1" t="n">
        <v>45473</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49086-2022</t>
        </is>
      </c>
      <c r="B543" s="1" t="n">
        <v>44860</v>
      </c>
      <c r="C543" s="1" t="n">
        <v>45473</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49254-2022</t>
        </is>
      </c>
      <c r="B544" s="1" t="n">
        <v>44861</v>
      </c>
      <c r="C544" s="1" t="n">
        <v>45473</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50461-2022</t>
        </is>
      </c>
      <c r="B545" s="1" t="n">
        <v>44861</v>
      </c>
      <c r="C545" s="1" t="n">
        <v>45473</v>
      </c>
      <c r="D545" t="inlineStr">
        <is>
          <t>VÄSTMANLANDS LÄN</t>
        </is>
      </c>
      <c r="E545" t="inlineStr">
        <is>
          <t>SALA</t>
        </is>
      </c>
      <c r="G545" t="n">
        <v>2.2</v>
      </c>
      <c r="H545" t="n">
        <v>0</v>
      </c>
      <c r="I545" t="n">
        <v>0</v>
      </c>
      <c r="J545" t="n">
        <v>0</v>
      </c>
      <c r="K545" t="n">
        <v>0</v>
      </c>
      <c r="L545" t="n">
        <v>0</v>
      </c>
      <c r="M545" t="n">
        <v>0</v>
      </c>
      <c r="N545" t="n">
        <v>0</v>
      </c>
      <c r="O545" t="n">
        <v>0</v>
      </c>
      <c r="P545" t="n">
        <v>0</v>
      </c>
      <c r="Q545" t="n">
        <v>0</v>
      </c>
      <c r="R545" s="2" t="inlineStr"/>
    </row>
    <row r="546" ht="15" customHeight="1">
      <c r="A546" t="inlineStr">
        <is>
          <t>A 50479-2022</t>
        </is>
      </c>
      <c r="B546" s="1" t="n">
        <v>44861</v>
      </c>
      <c r="C546" s="1" t="n">
        <v>45473</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51279-2022</t>
        </is>
      </c>
      <c r="B547" s="1" t="n">
        <v>44866</v>
      </c>
      <c r="C547" s="1" t="n">
        <v>45473</v>
      </c>
      <c r="D547" t="inlineStr">
        <is>
          <t>VÄSTMANLANDS LÄN</t>
        </is>
      </c>
      <c r="E547" t="inlineStr">
        <is>
          <t>SALA</t>
        </is>
      </c>
      <c r="G547" t="n">
        <v>3.9</v>
      </c>
      <c r="H547" t="n">
        <v>0</v>
      </c>
      <c r="I547" t="n">
        <v>0</v>
      </c>
      <c r="J547" t="n">
        <v>0</v>
      </c>
      <c r="K547" t="n">
        <v>0</v>
      </c>
      <c r="L547" t="n">
        <v>0</v>
      </c>
      <c r="M547" t="n">
        <v>0</v>
      </c>
      <c r="N547" t="n">
        <v>0</v>
      </c>
      <c r="O547" t="n">
        <v>0</v>
      </c>
      <c r="P547" t="n">
        <v>0</v>
      </c>
      <c r="Q547" t="n">
        <v>0</v>
      </c>
      <c r="R547" s="2" t="inlineStr"/>
    </row>
    <row r="548" ht="15" customHeight="1">
      <c r="A548" t="inlineStr">
        <is>
          <t>A 51377-2022</t>
        </is>
      </c>
      <c r="B548" s="1" t="n">
        <v>44866</v>
      </c>
      <c r="C548" s="1" t="n">
        <v>45473</v>
      </c>
      <c r="D548" t="inlineStr">
        <is>
          <t>VÄSTMANLANDS LÄN</t>
        </is>
      </c>
      <c r="E548" t="inlineStr">
        <is>
          <t>SALA</t>
        </is>
      </c>
      <c r="G548" t="n">
        <v>6.3</v>
      </c>
      <c r="H548" t="n">
        <v>0</v>
      </c>
      <c r="I548" t="n">
        <v>0</v>
      </c>
      <c r="J548" t="n">
        <v>0</v>
      </c>
      <c r="K548" t="n">
        <v>0</v>
      </c>
      <c r="L548" t="n">
        <v>0</v>
      </c>
      <c r="M548" t="n">
        <v>0</v>
      </c>
      <c r="N548" t="n">
        <v>0</v>
      </c>
      <c r="O548" t="n">
        <v>0</v>
      </c>
      <c r="P548" t="n">
        <v>0</v>
      </c>
      <c r="Q548" t="n">
        <v>0</v>
      </c>
      <c r="R548" s="2" t="inlineStr"/>
    </row>
    <row r="549" ht="15" customHeight="1">
      <c r="A549" t="inlineStr">
        <is>
          <t>A 50795-2022</t>
        </is>
      </c>
      <c r="B549" s="1" t="n">
        <v>44867</v>
      </c>
      <c r="C549" s="1" t="n">
        <v>45473</v>
      </c>
      <c r="D549" t="inlineStr">
        <is>
          <t>VÄSTMANLANDS LÄN</t>
        </is>
      </c>
      <c r="E549" t="inlineStr">
        <is>
          <t>SALA</t>
        </is>
      </c>
      <c r="G549" t="n">
        <v>2.6</v>
      </c>
      <c r="H549" t="n">
        <v>0</v>
      </c>
      <c r="I549" t="n">
        <v>0</v>
      </c>
      <c r="J549" t="n">
        <v>0</v>
      </c>
      <c r="K549" t="n">
        <v>0</v>
      </c>
      <c r="L549" t="n">
        <v>0</v>
      </c>
      <c r="M549" t="n">
        <v>0</v>
      </c>
      <c r="N549" t="n">
        <v>0</v>
      </c>
      <c r="O549" t="n">
        <v>0</v>
      </c>
      <c r="P549" t="n">
        <v>0</v>
      </c>
      <c r="Q549" t="n">
        <v>0</v>
      </c>
      <c r="R549" s="2" t="inlineStr"/>
    </row>
    <row r="550" ht="15" customHeight="1">
      <c r="A550" t="inlineStr">
        <is>
          <t>A 51600-2022</t>
        </is>
      </c>
      <c r="B550" s="1" t="n">
        <v>44871</v>
      </c>
      <c r="C550" s="1" t="n">
        <v>45473</v>
      </c>
      <c r="D550" t="inlineStr">
        <is>
          <t>VÄSTMANLANDS LÄN</t>
        </is>
      </c>
      <c r="E550" t="inlineStr">
        <is>
          <t>SALA</t>
        </is>
      </c>
      <c r="F550" t="inlineStr">
        <is>
          <t>Bergvik skog öst AB</t>
        </is>
      </c>
      <c r="G550" t="n">
        <v>2.7</v>
      </c>
      <c r="H550" t="n">
        <v>0</v>
      </c>
      <c r="I550" t="n">
        <v>0</v>
      </c>
      <c r="J550" t="n">
        <v>0</v>
      </c>
      <c r="K550" t="n">
        <v>0</v>
      </c>
      <c r="L550" t="n">
        <v>0</v>
      </c>
      <c r="M550" t="n">
        <v>0</v>
      </c>
      <c r="N550" t="n">
        <v>0</v>
      </c>
      <c r="O550" t="n">
        <v>0</v>
      </c>
      <c r="P550" t="n">
        <v>0</v>
      </c>
      <c r="Q550" t="n">
        <v>0</v>
      </c>
      <c r="R550" s="2" t="inlineStr"/>
    </row>
    <row r="551" ht="15" customHeight="1">
      <c r="A551" t="inlineStr">
        <is>
          <t>A 51596-2022</t>
        </is>
      </c>
      <c r="B551" s="1" t="n">
        <v>44871</v>
      </c>
      <c r="C551" s="1" t="n">
        <v>45473</v>
      </c>
      <c r="D551" t="inlineStr">
        <is>
          <t>VÄSTMANLANDS LÄN</t>
        </is>
      </c>
      <c r="E551" t="inlineStr">
        <is>
          <t>SALA</t>
        </is>
      </c>
      <c r="F551" t="inlineStr">
        <is>
          <t>Bergvik skog öst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52504-2022</t>
        </is>
      </c>
      <c r="B552" s="1" t="n">
        <v>44874</v>
      </c>
      <c r="C552" s="1" t="n">
        <v>45473</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52498-2022</t>
        </is>
      </c>
      <c r="B553" s="1" t="n">
        <v>44874</v>
      </c>
      <c r="C553" s="1" t="n">
        <v>45473</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52630-2022</t>
        </is>
      </c>
      <c r="B554" s="1" t="n">
        <v>44874</v>
      </c>
      <c r="C554" s="1" t="n">
        <v>45473</v>
      </c>
      <c r="D554" t="inlineStr">
        <is>
          <t>VÄSTMANLANDS LÄN</t>
        </is>
      </c>
      <c r="E554" t="inlineStr">
        <is>
          <t>SALA</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53425-2022</t>
        </is>
      </c>
      <c r="B555" s="1" t="n">
        <v>44879</v>
      </c>
      <c r="C555" s="1" t="n">
        <v>45473</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53432-2022</t>
        </is>
      </c>
      <c r="B556" s="1" t="n">
        <v>44879</v>
      </c>
      <c r="C556" s="1" t="n">
        <v>45473</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53628-2022</t>
        </is>
      </c>
      <c r="B557" s="1" t="n">
        <v>44879</v>
      </c>
      <c r="C557" s="1" t="n">
        <v>45473</v>
      </c>
      <c r="D557" t="inlineStr">
        <is>
          <t>VÄSTMANLANDS LÄN</t>
        </is>
      </c>
      <c r="E557" t="inlineStr">
        <is>
          <t>SALA</t>
        </is>
      </c>
      <c r="G557" t="n">
        <v>2.7</v>
      </c>
      <c r="H557" t="n">
        <v>0</v>
      </c>
      <c r="I557" t="n">
        <v>0</v>
      </c>
      <c r="J557" t="n">
        <v>0</v>
      </c>
      <c r="K557" t="n">
        <v>0</v>
      </c>
      <c r="L557" t="n">
        <v>0</v>
      </c>
      <c r="M557" t="n">
        <v>0</v>
      </c>
      <c r="N557" t="n">
        <v>0</v>
      </c>
      <c r="O557" t="n">
        <v>0</v>
      </c>
      <c r="P557" t="n">
        <v>0</v>
      </c>
      <c r="Q557" t="n">
        <v>0</v>
      </c>
      <c r="R557" s="2" t="inlineStr"/>
    </row>
    <row r="558" ht="15" customHeight="1">
      <c r="A558" t="inlineStr">
        <is>
          <t>A 53630-2022</t>
        </is>
      </c>
      <c r="B558" s="1" t="n">
        <v>44879</v>
      </c>
      <c r="C558" s="1" t="n">
        <v>45473</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53864-2022</t>
        </is>
      </c>
      <c r="B559" s="1" t="n">
        <v>44880</v>
      </c>
      <c r="C559" s="1" t="n">
        <v>45473</v>
      </c>
      <c r="D559" t="inlineStr">
        <is>
          <t>VÄSTMANLANDS LÄN</t>
        </is>
      </c>
      <c r="E559" t="inlineStr">
        <is>
          <t>SALA</t>
        </is>
      </c>
      <c r="G559" t="n">
        <v>5.9</v>
      </c>
      <c r="H559" t="n">
        <v>0</v>
      </c>
      <c r="I559" t="n">
        <v>0</v>
      </c>
      <c r="J559" t="n">
        <v>0</v>
      </c>
      <c r="K559" t="n">
        <v>0</v>
      </c>
      <c r="L559" t="n">
        <v>0</v>
      </c>
      <c r="M559" t="n">
        <v>0</v>
      </c>
      <c r="N559" t="n">
        <v>0</v>
      </c>
      <c r="O559" t="n">
        <v>0</v>
      </c>
      <c r="P559" t="n">
        <v>0</v>
      </c>
      <c r="Q559" t="n">
        <v>0</v>
      </c>
      <c r="R559" s="2" t="inlineStr"/>
    </row>
    <row r="560" ht="15" customHeight="1">
      <c r="A560" t="inlineStr">
        <is>
          <t>A 53735-2022</t>
        </is>
      </c>
      <c r="B560" s="1" t="n">
        <v>44880</v>
      </c>
      <c r="C560" s="1" t="n">
        <v>45473</v>
      </c>
      <c r="D560" t="inlineStr">
        <is>
          <t>VÄSTMANLANDS LÄN</t>
        </is>
      </c>
      <c r="E560" t="inlineStr">
        <is>
          <t>SALA</t>
        </is>
      </c>
      <c r="F560" t="inlineStr">
        <is>
          <t>Bergvik skog öst AB</t>
        </is>
      </c>
      <c r="G560" t="n">
        <v>1.8</v>
      </c>
      <c r="H560" t="n">
        <v>0</v>
      </c>
      <c r="I560" t="n">
        <v>0</v>
      </c>
      <c r="J560" t="n">
        <v>0</v>
      </c>
      <c r="K560" t="n">
        <v>0</v>
      </c>
      <c r="L560" t="n">
        <v>0</v>
      </c>
      <c r="M560" t="n">
        <v>0</v>
      </c>
      <c r="N560" t="n">
        <v>0</v>
      </c>
      <c r="O560" t="n">
        <v>0</v>
      </c>
      <c r="P560" t="n">
        <v>0</v>
      </c>
      <c r="Q560" t="n">
        <v>0</v>
      </c>
      <c r="R560" s="2" t="inlineStr"/>
    </row>
    <row r="561" ht="15" customHeight="1">
      <c r="A561" t="inlineStr">
        <is>
          <t>A 53838-2022</t>
        </is>
      </c>
      <c r="B561" s="1" t="n">
        <v>44880</v>
      </c>
      <c r="C561" s="1" t="n">
        <v>45473</v>
      </c>
      <c r="D561" t="inlineStr">
        <is>
          <t>VÄSTMANLANDS LÄN</t>
        </is>
      </c>
      <c r="E561" t="inlineStr">
        <is>
          <t>SALA</t>
        </is>
      </c>
      <c r="G561" t="n">
        <v>3.9</v>
      </c>
      <c r="H561" t="n">
        <v>0</v>
      </c>
      <c r="I561" t="n">
        <v>0</v>
      </c>
      <c r="J561" t="n">
        <v>0</v>
      </c>
      <c r="K561" t="n">
        <v>0</v>
      </c>
      <c r="L561" t="n">
        <v>0</v>
      </c>
      <c r="M561" t="n">
        <v>0</v>
      </c>
      <c r="N561" t="n">
        <v>0</v>
      </c>
      <c r="O561" t="n">
        <v>0</v>
      </c>
      <c r="P561" t="n">
        <v>0</v>
      </c>
      <c r="Q561" t="n">
        <v>0</v>
      </c>
      <c r="R561" s="2" t="inlineStr"/>
    </row>
    <row r="562" ht="15" customHeight="1">
      <c r="A562" t="inlineStr">
        <is>
          <t>A 53997-2022</t>
        </is>
      </c>
      <c r="B562" s="1" t="n">
        <v>44881</v>
      </c>
      <c r="C562" s="1" t="n">
        <v>45473</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55733-2022</t>
        </is>
      </c>
      <c r="B563" s="1" t="n">
        <v>44888</v>
      </c>
      <c r="C563" s="1" t="n">
        <v>45473</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56089-2022</t>
        </is>
      </c>
      <c r="B564" s="1" t="n">
        <v>44889</v>
      </c>
      <c r="C564" s="1" t="n">
        <v>45473</v>
      </c>
      <c r="D564" t="inlineStr">
        <is>
          <t>VÄSTMANLANDS LÄN</t>
        </is>
      </c>
      <c r="E564" t="inlineStr">
        <is>
          <t>SALA</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56088-2022</t>
        </is>
      </c>
      <c r="B565" s="1" t="n">
        <v>44889</v>
      </c>
      <c r="C565" s="1" t="n">
        <v>45473</v>
      </c>
      <c r="D565" t="inlineStr">
        <is>
          <t>VÄSTMANLANDS LÄN</t>
        </is>
      </c>
      <c r="E565" t="inlineStr">
        <is>
          <t>SALA</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56234-2022</t>
        </is>
      </c>
      <c r="B566" s="1" t="n">
        <v>44890</v>
      </c>
      <c r="C566" s="1" t="n">
        <v>45473</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56242-2022</t>
        </is>
      </c>
      <c r="B567" s="1" t="n">
        <v>44890</v>
      </c>
      <c r="C567" s="1" t="n">
        <v>45473</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56535-2022</t>
        </is>
      </c>
      <c r="B568" s="1" t="n">
        <v>44893</v>
      </c>
      <c r="C568" s="1" t="n">
        <v>45473</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56706-2022</t>
        </is>
      </c>
      <c r="B569" s="1" t="n">
        <v>44893</v>
      </c>
      <c r="C569" s="1" t="n">
        <v>45473</v>
      </c>
      <c r="D569" t="inlineStr">
        <is>
          <t>VÄSTMANLANDS LÄN</t>
        </is>
      </c>
      <c r="E569" t="inlineStr">
        <is>
          <t>SALA</t>
        </is>
      </c>
      <c r="G569" t="n">
        <v>4.5</v>
      </c>
      <c r="H569" t="n">
        <v>0</v>
      </c>
      <c r="I569" t="n">
        <v>0</v>
      </c>
      <c r="J569" t="n">
        <v>0</v>
      </c>
      <c r="K569" t="n">
        <v>0</v>
      </c>
      <c r="L569" t="n">
        <v>0</v>
      </c>
      <c r="M569" t="n">
        <v>0</v>
      </c>
      <c r="N569" t="n">
        <v>0</v>
      </c>
      <c r="O569" t="n">
        <v>0</v>
      </c>
      <c r="P569" t="n">
        <v>0</v>
      </c>
      <c r="Q569" t="n">
        <v>0</v>
      </c>
      <c r="R569" s="2" t="inlineStr"/>
    </row>
    <row r="570" ht="15" customHeight="1">
      <c r="A570" t="inlineStr">
        <is>
          <t>A 56547-2022</t>
        </is>
      </c>
      <c r="B570" s="1" t="n">
        <v>44893</v>
      </c>
      <c r="C570" s="1" t="n">
        <v>45473</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56707-2022</t>
        </is>
      </c>
      <c r="B571" s="1" t="n">
        <v>44893</v>
      </c>
      <c r="C571" s="1" t="n">
        <v>45473</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56977-2022</t>
        </is>
      </c>
      <c r="B572" s="1" t="n">
        <v>44894</v>
      </c>
      <c r="C572" s="1" t="n">
        <v>45473</v>
      </c>
      <c r="D572" t="inlineStr">
        <is>
          <t>VÄSTMANLANDS LÄN</t>
        </is>
      </c>
      <c r="E572" t="inlineStr">
        <is>
          <t>SALA</t>
        </is>
      </c>
      <c r="G572" t="n">
        <v>13</v>
      </c>
      <c r="H572" t="n">
        <v>0</v>
      </c>
      <c r="I572" t="n">
        <v>0</v>
      </c>
      <c r="J572" t="n">
        <v>0</v>
      </c>
      <c r="K572" t="n">
        <v>0</v>
      </c>
      <c r="L572" t="n">
        <v>0</v>
      </c>
      <c r="M572" t="n">
        <v>0</v>
      </c>
      <c r="N572" t="n">
        <v>0</v>
      </c>
      <c r="O572" t="n">
        <v>0</v>
      </c>
      <c r="P572" t="n">
        <v>0</v>
      </c>
      <c r="Q572" t="n">
        <v>0</v>
      </c>
      <c r="R572" s="2" t="inlineStr"/>
    </row>
    <row r="573" ht="15" customHeight="1">
      <c r="A573" t="inlineStr">
        <is>
          <t>A 57371-2022</t>
        </is>
      </c>
      <c r="B573" s="1" t="n">
        <v>44896</v>
      </c>
      <c r="C573" s="1" t="n">
        <v>45473</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58076-2022</t>
        </is>
      </c>
      <c r="B574" s="1" t="n">
        <v>44900</v>
      </c>
      <c r="C574" s="1" t="n">
        <v>45473</v>
      </c>
      <c r="D574" t="inlineStr">
        <is>
          <t>VÄSTMANLANDS LÄN</t>
        </is>
      </c>
      <c r="E574" t="inlineStr">
        <is>
          <t>SALA</t>
        </is>
      </c>
      <c r="G574" t="n">
        <v>6.4</v>
      </c>
      <c r="H574" t="n">
        <v>0</v>
      </c>
      <c r="I574" t="n">
        <v>0</v>
      </c>
      <c r="J574" t="n">
        <v>0</v>
      </c>
      <c r="K574" t="n">
        <v>0</v>
      </c>
      <c r="L574" t="n">
        <v>0</v>
      </c>
      <c r="M574" t="n">
        <v>0</v>
      </c>
      <c r="N574" t="n">
        <v>0</v>
      </c>
      <c r="O574" t="n">
        <v>0</v>
      </c>
      <c r="P574" t="n">
        <v>0</v>
      </c>
      <c r="Q574" t="n">
        <v>0</v>
      </c>
      <c r="R574" s="2" t="inlineStr"/>
    </row>
    <row r="575" ht="15" customHeight="1">
      <c r="A575" t="inlineStr">
        <is>
          <t>A 58496-2022</t>
        </is>
      </c>
      <c r="B575" s="1" t="n">
        <v>44902</v>
      </c>
      <c r="C575" s="1" t="n">
        <v>45473</v>
      </c>
      <c r="D575" t="inlineStr">
        <is>
          <t>VÄSTMANLANDS LÄN</t>
        </is>
      </c>
      <c r="E575" t="inlineStr">
        <is>
          <t>SALA</t>
        </is>
      </c>
      <c r="G575" t="n">
        <v>5.9</v>
      </c>
      <c r="H575" t="n">
        <v>0</v>
      </c>
      <c r="I575" t="n">
        <v>0</v>
      </c>
      <c r="J575" t="n">
        <v>0</v>
      </c>
      <c r="K575" t="n">
        <v>0</v>
      </c>
      <c r="L575" t="n">
        <v>0</v>
      </c>
      <c r="M575" t="n">
        <v>0</v>
      </c>
      <c r="N575" t="n">
        <v>0</v>
      </c>
      <c r="O575" t="n">
        <v>0</v>
      </c>
      <c r="P575" t="n">
        <v>0</v>
      </c>
      <c r="Q575" t="n">
        <v>0</v>
      </c>
      <c r="R575" s="2" t="inlineStr"/>
    </row>
    <row r="576" ht="15" customHeight="1">
      <c r="A576" t="inlineStr">
        <is>
          <t>A 58502-2022</t>
        </is>
      </c>
      <c r="B576" s="1" t="n">
        <v>44902</v>
      </c>
      <c r="C576" s="1" t="n">
        <v>45473</v>
      </c>
      <c r="D576" t="inlineStr">
        <is>
          <t>VÄSTMANLANDS LÄN</t>
        </is>
      </c>
      <c r="E576" t="inlineStr">
        <is>
          <t>SALA</t>
        </is>
      </c>
      <c r="G576" t="n">
        <v>4.6</v>
      </c>
      <c r="H576" t="n">
        <v>0</v>
      </c>
      <c r="I576" t="n">
        <v>0</v>
      </c>
      <c r="J576" t="n">
        <v>0</v>
      </c>
      <c r="K576" t="n">
        <v>0</v>
      </c>
      <c r="L576" t="n">
        <v>0</v>
      </c>
      <c r="M576" t="n">
        <v>0</v>
      </c>
      <c r="N576" t="n">
        <v>0</v>
      </c>
      <c r="O576" t="n">
        <v>0</v>
      </c>
      <c r="P576" t="n">
        <v>0</v>
      </c>
      <c r="Q576" t="n">
        <v>0</v>
      </c>
      <c r="R576" s="2" t="inlineStr"/>
    </row>
    <row r="577" ht="15" customHeight="1">
      <c r="A577" t="inlineStr">
        <is>
          <t>A 59019-2022</t>
        </is>
      </c>
      <c r="B577" s="1" t="n">
        <v>44903</v>
      </c>
      <c r="C577" s="1" t="n">
        <v>45473</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59175-2022</t>
        </is>
      </c>
      <c r="B578" s="1" t="n">
        <v>44904</v>
      </c>
      <c r="C578" s="1" t="n">
        <v>45473</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59483-2022</t>
        </is>
      </c>
      <c r="B579" s="1" t="n">
        <v>44907</v>
      </c>
      <c r="C579" s="1" t="n">
        <v>45473</v>
      </c>
      <c r="D579" t="inlineStr">
        <is>
          <t>VÄSTMANLANDS LÄN</t>
        </is>
      </c>
      <c r="E579" t="inlineStr">
        <is>
          <t>SALA</t>
        </is>
      </c>
      <c r="G579" t="n">
        <v>5.2</v>
      </c>
      <c r="H579" t="n">
        <v>0</v>
      </c>
      <c r="I579" t="n">
        <v>0</v>
      </c>
      <c r="J579" t="n">
        <v>0</v>
      </c>
      <c r="K579" t="n">
        <v>0</v>
      </c>
      <c r="L579" t="n">
        <v>0</v>
      </c>
      <c r="M579" t="n">
        <v>0</v>
      </c>
      <c r="N579" t="n">
        <v>0</v>
      </c>
      <c r="O579" t="n">
        <v>0</v>
      </c>
      <c r="P579" t="n">
        <v>0</v>
      </c>
      <c r="Q579" t="n">
        <v>0</v>
      </c>
      <c r="R579" s="2" t="inlineStr"/>
    </row>
    <row r="580" ht="15" customHeight="1">
      <c r="A580" t="inlineStr">
        <is>
          <t>A 60156-2022</t>
        </is>
      </c>
      <c r="B580" s="1" t="n">
        <v>44909</v>
      </c>
      <c r="C580" s="1" t="n">
        <v>45473</v>
      </c>
      <c r="D580" t="inlineStr">
        <is>
          <t>VÄSTMANLANDS LÄN</t>
        </is>
      </c>
      <c r="E580" t="inlineStr">
        <is>
          <t>SALA</t>
        </is>
      </c>
      <c r="G580" t="n">
        <v>3.4</v>
      </c>
      <c r="H580" t="n">
        <v>0</v>
      </c>
      <c r="I580" t="n">
        <v>0</v>
      </c>
      <c r="J580" t="n">
        <v>0</v>
      </c>
      <c r="K580" t="n">
        <v>0</v>
      </c>
      <c r="L580" t="n">
        <v>0</v>
      </c>
      <c r="M580" t="n">
        <v>0</v>
      </c>
      <c r="N580" t="n">
        <v>0</v>
      </c>
      <c r="O580" t="n">
        <v>0</v>
      </c>
      <c r="P580" t="n">
        <v>0</v>
      </c>
      <c r="Q580" t="n">
        <v>0</v>
      </c>
      <c r="R580" s="2" t="inlineStr"/>
    </row>
    <row r="581" ht="15" customHeight="1">
      <c r="A581" t="inlineStr">
        <is>
          <t>A 60379-2022</t>
        </is>
      </c>
      <c r="B581" s="1" t="n">
        <v>44910</v>
      </c>
      <c r="C581" s="1" t="n">
        <v>45473</v>
      </c>
      <c r="D581" t="inlineStr">
        <is>
          <t>VÄSTMANLANDS LÄN</t>
        </is>
      </c>
      <c r="E581" t="inlineStr">
        <is>
          <t>SALA</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60703-2022</t>
        </is>
      </c>
      <c r="B582" s="1" t="n">
        <v>44912</v>
      </c>
      <c r="C582" s="1" t="n">
        <v>45473</v>
      </c>
      <c r="D582" t="inlineStr">
        <is>
          <t>VÄSTMANLANDS LÄN</t>
        </is>
      </c>
      <c r="E582" t="inlineStr">
        <is>
          <t>SALA</t>
        </is>
      </c>
      <c r="G582" t="n">
        <v>4.6</v>
      </c>
      <c r="H582" t="n">
        <v>0</v>
      </c>
      <c r="I582" t="n">
        <v>0</v>
      </c>
      <c r="J582" t="n">
        <v>0</v>
      </c>
      <c r="K582" t="n">
        <v>0</v>
      </c>
      <c r="L582" t="n">
        <v>0</v>
      </c>
      <c r="M582" t="n">
        <v>0</v>
      </c>
      <c r="N582" t="n">
        <v>0</v>
      </c>
      <c r="O582" t="n">
        <v>0</v>
      </c>
      <c r="P582" t="n">
        <v>0</v>
      </c>
      <c r="Q582" t="n">
        <v>0</v>
      </c>
      <c r="R582" s="2" t="inlineStr"/>
    </row>
    <row r="583" ht="15" customHeight="1">
      <c r="A583" t="inlineStr">
        <is>
          <t>A 60974-2022</t>
        </is>
      </c>
      <c r="B583" s="1" t="n">
        <v>44914</v>
      </c>
      <c r="C583" s="1" t="n">
        <v>45473</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62635-2022</t>
        </is>
      </c>
      <c r="B584" s="1" t="n">
        <v>44917</v>
      </c>
      <c r="C584" s="1" t="n">
        <v>45473</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62654-2022</t>
        </is>
      </c>
      <c r="B585" s="1" t="n">
        <v>44917</v>
      </c>
      <c r="C585" s="1" t="n">
        <v>45473</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62651-2022</t>
        </is>
      </c>
      <c r="B586" s="1" t="n">
        <v>44917</v>
      </c>
      <c r="C586" s="1" t="n">
        <v>45473</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62648-2022</t>
        </is>
      </c>
      <c r="B587" s="1" t="n">
        <v>44917</v>
      </c>
      <c r="C587" s="1" t="n">
        <v>45473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61985-2022</t>
        </is>
      </c>
      <c r="B588" s="1" t="n">
        <v>44918</v>
      </c>
      <c r="C588" s="1" t="n">
        <v>45473</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62292-2022</t>
        </is>
      </c>
      <c r="B589" s="1" t="n">
        <v>44923</v>
      </c>
      <c r="C589" s="1" t="n">
        <v>45473</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62300-2022</t>
        </is>
      </c>
      <c r="B590" s="1" t="n">
        <v>44923</v>
      </c>
      <c r="C590" s="1" t="n">
        <v>45473</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1196-2023</t>
        </is>
      </c>
      <c r="B591" s="1" t="n">
        <v>44935</v>
      </c>
      <c r="C591" s="1" t="n">
        <v>45473</v>
      </c>
      <c r="D591" t="inlineStr">
        <is>
          <t>VÄSTMANLANDS LÄN</t>
        </is>
      </c>
      <c r="E591" t="inlineStr">
        <is>
          <t>SALA</t>
        </is>
      </c>
      <c r="G591" t="n">
        <v>4.1</v>
      </c>
      <c r="H591" t="n">
        <v>0</v>
      </c>
      <c r="I591" t="n">
        <v>0</v>
      </c>
      <c r="J591" t="n">
        <v>0</v>
      </c>
      <c r="K591" t="n">
        <v>0</v>
      </c>
      <c r="L591" t="n">
        <v>0</v>
      </c>
      <c r="M591" t="n">
        <v>0</v>
      </c>
      <c r="N591" t="n">
        <v>0</v>
      </c>
      <c r="O591" t="n">
        <v>0</v>
      </c>
      <c r="P591" t="n">
        <v>0</v>
      </c>
      <c r="Q591" t="n">
        <v>0</v>
      </c>
      <c r="R591" s="2" t="inlineStr"/>
    </row>
    <row r="592" ht="15" customHeight="1">
      <c r="A592" t="inlineStr">
        <is>
          <t>A 1638-2023</t>
        </is>
      </c>
      <c r="B592" s="1" t="n">
        <v>44937</v>
      </c>
      <c r="C592" s="1" t="n">
        <v>45473</v>
      </c>
      <c r="D592" t="inlineStr">
        <is>
          <t>VÄSTMANLANDS LÄN</t>
        </is>
      </c>
      <c r="E592" t="inlineStr">
        <is>
          <t>SALA</t>
        </is>
      </c>
      <c r="G592" t="n">
        <v>3.1</v>
      </c>
      <c r="H592" t="n">
        <v>0</v>
      </c>
      <c r="I592" t="n">
        <v>0</v>
      </c>
      <c r="J592" t="n">
        <v>0</v>
      </c>
      <c r="K592" t="n">
        <v>0</v>
      </c>
      <c r="L592" t="n">
        <v>0</v>
      </c>
      <c r="M592" t="n">
        <v>0</v>
      </c>
      <c r="N592" t="n">
        <v>0</v>
      </c>
      <c r="O592" t="n">
        <v>0</v>
      </c>
      <c r="P592" t="n">
        <v>0</v>
      </c>
      <c r="Q592" t="n">
        <v>0</v>
      </c>
      <c r="R592" s="2" t="inlineStr"/>
    </row>
    <row r="593" ht="15" customHeight="1">
      <c r="A593" t="inlineStr">
        <is>
          <t>A 1793-2023</t>
        </is>
      </c>
      <c r="B593" s="1" t="n">
        <v>44937</v>
      </c>
      <c r="C593" s="1" t="n">
        <v>45473</v>
      </c>
      <c r="D593" t="inlineStr">
        <is>
          <t>VÄSTMANLANDS LÄN</t>
        </is>
      </c>
      <c r="E593" t="inlineStr">
        <is>
          <t>SALA</t>
        </is>
      </c>
      <c r="G593" t="n">
        <v>2.6</v>
      </c>
      <c r="H593" t="n">
        <v>0</v>
      </c>
      <c r="I593" t="n">
        <v>0</v>
      </c>
      <c r="J593" t="n">
        <v>0</v>
      </c>
      <c r="K593" t="n">
        <v>0</v>
      </c>
      <c r="L593" t="n">
        <v>0</v>
      </c>
      <c r="M593" t="n">
        <v>0</v>
      </c>
      <c r="N593" t="n">
        <v>0</v>
      </c>
      <c r="O593" t="n">
        <v>0</v>
      </c>
      <c r="P593" t="n">
        <v>0</v>
      </c>
      <c r="Q593" t="n">
        <v>0</v>
      </c>
      <c r="R593" s="2" t="inlineStr"/>
    </row>
    <row r="594" ht="15" customHeight="1">
      <c r="A594" t="inlineStr">
        <is>
          <t>A 1934-2023</t>
        </is>
      </c>
      <c r="B594" s="1" t="n">
        <v>44939</v>
      </c>
      <c r="C594" s="1" t="n">
        <v>45473</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1967-2023</t>
        </is>
      </c>
      <c r="B595" s="1" t="n">
        <v>44939</v>
      </c>
      <c r="C595" s="1" t="n">
        <v>45473</v>
      </c>
      <c r="D595" t="inlineStr">
        <is>
          <t>VÄSTMANLANDS LÄN</t>
        </is>
      </c>
      <c r="E595" t="inlineStr">
        <is>
          <t>SALA</t>
        </is>
      </c>
      <c r="G595" t="n">
        <v>4.1</v>
      </c>
      <c r="H595" t="n">
        <v>0</v>
      </c>
      <c r="I595" t="n">
        <v>0</v>
      </c>
      <c r="J595" t="n">
        <v>0</v>
      </c>
      <c r="K595" t="n">
        <v>0</v>
      </c>
      <c r="L595" t="n">
        <v>0</v>
      </c>
      <c r="M595" t="n">
        <v>0</v>
      </c>
      <c r="N595" t="n">
        <v>0</v>
      </c>
      <c r="O595" t="n">
        <v>0</v>
      </c>
      <c r="P595" t="n">
        <v>0</v>
      </c>
      <c r="Q595" t="n">
        <v>0</v>
      </c>
      <c r="R595" s="2" t="inlineStr"/>
    </row>
    <row r="596" ht="15" customHeight="1">
      <c r="A596" t="inlineStr">
        <is>
          <t>A 2521-2023</t>
        </is>
      </c>
      <c r="B596" s="1" t="n">
        <v>44943</v>
      </c>
      <c r="C596" s="1" t="n">
        <v>45473</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2900-2023</t>
        </is>
      </c>
      <c r="B597" s="1" t="n">
        <v>44943</v>
      </c>
      <c r="C597" s="1" t="n">
        <v>45473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3733-2023</t>
        </is>
      </c>
      <c r="B598" s="1" t="n">
        <v>44951</v>
      </c>
      <c r="C598" s="1" t="n">
        <v>45473</v>
      </c>
      <c r="D598" t="inlineStr">
        <is>
          <t>VÄSTMANLANDS LÄN</t>
        </is>
      </c>
      <c r="E598" t="inlineStr">
        <is>
          <t>SALA</t>
        </is>
      </c>
      <c r="G598" t="n">
        <v>3.1</v>
      </c>
      <c r="H598" t="n">
        <v>0</v>
      </c>
      <c r="I598" t="n">
        <v>0</v>
      </c>
      <c r="J598" t="n">
        <v>0</v>
      </c>
      <c r="K598" t="n">
        <v>0</v>
      </c>
      <c r="L598" t="n">
        <v>0</v>
      </c>
      <c r="M598" t="n">
        <v>0</v>
      </c>
      <c r="N598" t="n">
        <v>0</v>
      </c>
      <c r="O598" t="n">
        <v>0</v>
      </c>
      <c r="P598" t="n">
        <v>0</v>
      </c>
      <c r="Q598" t="n">
        <v>0</v>
      </c>
      <c r="R598" s="2" t="inlineStr"/>
    </row>
    <row r="599" ht="15" customHeight="1">
      <c r="A599" t="inlineStr">
        <is>
          <t>A 3810-2023</t>
        </is>
      </c>
      <c r="B599" s="1" t="n">
        <v>44951</v>
      </c>
      <c r="C599" s="1" t="n">
        <v>45473</v>
      </c>
      <c r="D599" t="inlineStr">
        <is>
          <t>VÄSTMANLANDS LÄN</t>
        </is>
      </c>
      <c r="E599" t="inlineStr">
        <is>
          <t>SALA</t>
        </is>
      </c>
      <c r="G599" t="n">
        <v>4.2</v>
      </c>
      <c r="H599" t="n">
        <v>0</v>
      </c>
      <c r="I599" t="n">
        <v>0</v>
      </c>
      <c r="J599" t="n">
        <v>0</v>
      </c>
      <c r="K599" t="n">
        <v>0</v>
      </c>
      <c r="L599" t="n">
        <v>0</v>
      </c>
      <c r="M599" t="n">
        <v>0</v>
      </c>
      <c r="N599" t="n">
        <v>0</v>
      </c>
      <c r="O599" t="n">
        <v>0</v>
      </c>
      <c r="P599" t="n">
        <v>0</v>
      </c>
      <c r="Q599" t="n">
        <v>0</v>
      </c>
      <c r="R599" s="2" t="inlineStr"/>
    </row>
    <row r="600" ht="15" customHeight="1">
      <c r="A600" t="inlineStr">
        <is>
          <t>A 3866-2023</t>
        </is>
      </c>
      <c r="B600" s="1" t="n">
        <v>44951</v>
      </c>
      <c r="C600" s="1" t="n">
        <v>45473</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4853-2023</t>
        </is>
      </c>
      <c r="B601" s="1" t="n">
        <v>44957</v>
      </c>
      <c r="C601" s="1" t="n">
        <v>45473</v>
      </c>
      <c r="D601" t="inlineStr">
        <is>
          <t>VÄSTMANLANDS LÄN</t>
        </is>
      </c>
      <c r="E601" t="inlineStr">
        <is>
          <t>SALA</t>
        </is>
      </c>
      <c r="G601" t="n">
        <v>2.7</v>
      </c>
      <c r="H601" t="n">
        <v>0</v>
      </c>
      <c r="I601" t="n">
        <v>0</v>
      </c>
      <c r="J601" t="n">
        <v>0</v>
      </c>
      <c r="K601" t="n">
        <v>0</v>
      </c>
      <c r="L601" t="n">
        <v>0</v>
      </c>
      <c r="M601" t="n">
        <v>0</v>
      </c>
      <c r="N601" t="n">
        <v>0</v>
      </c>
      <c r="O601" t="n">
        <v>0</v>
      </c>
      <c r="P601" t="n">
        <v>0</v>
      </c>
      <c r="Q601" t="n">
        <v>0</v>
      </c>
      <c r="R601" s="2" t="inlineStr"/>
    </row>
    <row r="602" ht="15" customHeight="1">
      <c r="A602" t="inlineStr">
        <is>
          <t>A 4637-2023</t>
        </is>
      </c>
      <c r="B602" s="1" t="n">
        <v>44957</v>
      </c>
      <c r="C602" s="1" t="n">
        <v>45473</v>
      </c>
      <c r="D602" t="inlineStr">
        <is>
          <t>VÄSTMANLANDS LÄN</t>
        </is>
      </c>
      <c r="E602" t="inlineStr">
        <is>
          <t>SALA</t>
        </is>
      </c>
      <c r="G602" t="n">
        <v>1.4</v>
      </c>
      <c r="H602" t="n">
        <v>0</v>
      </c>
      <c r="I602" t="n">
        <v>0</v>
      </c>
      <c r="J602" t="n">
        <v>0</v>
      </c>
      <c r="K602" t="n">
        <v>0</v>
      </c>
      <c r="L602" t="n">
        <v>0</v>
      </c>
      <c r="M602" t="n">
        <v>0</v>
      </c>
      <c r="N602" t="n">
        <v>0</v>
      </c>
      <c r="O602" t="n">
        <v>0</v>
      </c>
      <c r="P602" t="n">
        <v>0</v>
      </c>
      <c r="Q602" t="n">
        <v>0</v>
      </c>
      <c r="R602" s="2" t="inlineStr"/>
    </row>
    <row r="603" ht="15" customHeight="1">
      <c r="A603" t="inlineStr">
        <is>
          <t>A 4791-2023</t>
        </is>
      </c>
      <c r="B603" s="1" t="n">
        <v>44957</v>
      </c>
      <c r="C603" s="1" t="n">
        <v>45473</v>
      </c>
      <c r="D603" t="inlineStr">
        <is>
          <t>VÄSTMANLANDS LÄN</t>
        </is>
      </c>
      <c r="E603" t="inlineStr">
        <is>
          <t>SALA</t>
        </is>
      </c>
      <c r="G603" t="n">
        <v>2.8</v>
      </c>
      <c r="H603" t="n">
        <v>0</v>
      </c>
      <c r="I603" t="n">
        <v>0</v>
      </c>
      <c r="J603" t="n">
        <v>0</v>
      </c>
      <c r="K603" t="n">
        <v>0</v>
      </c>
      <c r="L603" t="n">
        <v>0</v>
      </c>
      <c r="M603" t="n">
        <v>0</v>
      </c>
      <c r="N603" t="n">
        <v>0</v>
      </c>
      <c r="O603" t="n">
        <v>0</v>
      </c>
      <c r="P603" t="n">
        <v>0</v>
      </c>
      <c r="Q603" t="n">
        <v>0</v>
      </c>
      <c r="R603" s="2" t="inlineStr"/>
    </row>
    <row r="604" ht="15" customHeight="1">
      <c r="A604" t="inlineStr">
        <is>
          <t>A 4797-2023</t>
        </is>
      </c>
      <c r="B604" s="1" t="n">
        <v>44957</v>
      </c>
      <c r="C604" s="1" t="n">
        <v>45473</v>
      </c>
      <c r="D604" t="inlineStr">
        <is>
          <t>VÄSTMANLANDS LÄN</t>
        </is>
      </c>
      <c r="E604" t="inlineStr">
        <is>
          <t>SALA</t>
        </is>
      </c>
      <c r="G604" t="n">
        <v>5.7</v>
      </c>
      <c r="H604" t="n">
        <v>0</v>
      </c>
      <c r="I604" t="n">
        <v>0</v>
      </c>
      <c r="J604" t="n">
        <v>0</v>
      </c>
      <c r="K604" t="n">
        <v>0</v>
      </c>
      <c r="L604" t="n">
        <v>0</v>
      </c>
      <c r="M604" t="n">
        <v>0</v>
      </c>
      <c r="N604" t="n">
        <v>0</v>
      </c>
      <c r="O604" t="n">
        <v>0</v>
      </c>
      <c r="P604" t="n">
        <v>0</v>
      </c>
      <c r="Q604" t="n">
        <v>0</v>
      </c>
      <c r="R604" s="2" t="inlineStr"/>
    </row>
    <row r="605" ht="15" customHeight="1">
      <c r="A605" t="inlineStr">
        <is>
          <t>A 4852-2023</t>
        </is>
      </c>
      <c r="B605" s="1" t="n">
        <v>44957</v>
      </c>
      <c r="C605" s="1" t="n">
        <v>45473</v>
      </c>
      <c r="D605" t="inlineStr">
        <is>
          <t>VÄSTMANLANDS LÄN</t>
        </is>
      </c>
      <c r="E605" t="inlineStr">
        <is>
          <t>SALA</t>
        </is>
      </c>
      <c r="G605" t="n">
        <v>2</v>
      </c>
      <c r="H605" t="n">
        <v>0</v>
      </c>
      <c r="I605" t="n">
        <v>0</v>
      </c>
      <c r="J605" t="n">
        <v>0</v>
      </c>
      <c r="K605" t="n">
        <v>0</v>
      </c>
      <c r="L605" t="n">
        <v>0</v>
      </c>
      <c r="M605" t="n">
        <v>0</v>
      </c>
      <c r="N605" t="n">
        <v>0</v>
      </c>
      <c r="O605" t="n">
        <v>0</v>
      </c>
      <c r="P605" t="n">
        <v>0</v>
      </c>
      <c r="Q605" t="n">
        <v>0</v>
      </c>
      <c r="R605" s="2" t="inlineStr"/>
    </row>
    <row r="606" ht="15" customHeight="1">
      <c r="A606" t="inlineStr">
        <is>
          <t>A 5782-2023</t>
        </is>
      </c>
      <c r="B606" s="1" t="n">
        <v>44963</v>
      </c>
      <c r="C606" s="1" t="n">
        <v>45473</v>
      </c>
      <c r="D606" t="inlineStr">
        <is>
          <t>VÄSTMANLANDS LÄN</t>
        </is>
      </c>
      <c r="E606" t="inlineStr">
        <is>
          <t>SALA</t>
        </is>
      </c>
      <c r="G606" t="n">
        <v>4.2</v>
      </c>
      <c r="H606" t="n">
        <v>0</v>
      </c>
      <c r="I606" t="n">
        <v>0</v>
      </c>
      <c r="J606" t="n">
        <v>0</v>
      </c>
      <c r="K606" t="n">
        <v>0</v>
      </c>
      <c r="L606" t="n">
        <v>0</v>
      </c>
      <c r="M606" t="n">
        <v>0</v>
      </c>
      <c r="N606" t="n">
        <v>0</v>
      </c>
      <c r="O606" t="n">
        <v>0</v>
      </c>
      <c r="P606" t="n">
        <v>0</v>
      </c>
      <c r="Q606" t="n">
        <v>0</v>
      </c>
      <c r="R606" s="2" t="inlineStr"/>
    </row>
    <row r="607" ht="15" customHeight="1">
      <c r="A607" t="inlineStr">
        <is>
          <t>A 6111-2023</t>
        </is>
      </c>
      <c r="B607" s="1" t="n">
        <v>44964</v>
      </c>
      <c r="C607" s="1" t="n">
        <v>45473</v>
      </c>
      <c r="D607" t="inlineStr">
        <is>
          <t>VÄSTMANLANDS LÄN</t>
        </is>
      </c>
      <c r="E607" t="inlineStr">
        <is>
          <t>SALA</t>
        </is>
      </c>
      <c r="G607" t="n">
        <v>3.7</v>
      </c>
      <c r="H607" t="n">
        <v>0</v>
      </c>
      <c r="I607" t="n">
        <v>0</v>
      </c>
      <c r="J607" t="n">
        <v>0</v>
      </c>
      <c r="K607" t="n">
        <v>0</v>
      </c>
      <c r="L607" t="n">
        <v>0</v>
      </c>
      <c r="M607" t="n">
        <v>0</v>
      </c>
      <c r="N607" t="n">
        <v>0</v>
      </c>
      <c r="O607" t="n">
        <v>0</v>
      </c>
      <c r="P607" t="n">
        <v>0</v>
      </c>
      <c r="Q607" t="n">
        <v>0</v>
      </c>
      <c r="R607" s="2" t="inlineStr"/>
    </row>
    <row r="608" ht="15" customHeight="1">
      <c r="A608" t="inlineStr">
        <is>
          <t>A 6135-2023</t>
        </is>
      </c>
      <c r="B608" s="1" t="n">
        <v>44964</v>
      </c>
      <c r="C608" s="1" t="n">
        <v>45473</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6167-2023</t>
        </is>
      </c>
      <c r="B609" s="1" t="n">
        <v>44964</v>
      </c>
      <c r="C609" s="1" t="n">
        <v>45473</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6130-2023</t>
        </is>
      </c>
      <c r="B610" s="1" t="n">
        <v>44964</v>
      </c>
      <c r="C610" s="1" t="n">
        <v>45473</v>
      </c>
      <c r="D610" t="inlineStr">
        <is>
          <t>VÄSTMANLANDS LÄN</t>
        </is>
      </c>
      <c r="E610" t="inlineStr">
        <is>
          <t>SALA</t>
        </is>
      </c>
      <c r="G610" t="n">
        <v>8</v>
      </c>
      <c r="H610" t="n">
        <v>0</v>
      </c>
      <c r="I610" t="n">
        <v>0</v>
      </c>
      <c r="J610" t="n">
        <v>0</v>
      </c>
      <c r="K610" t="n">
        <v>0</v>
      </c>
      <c r="L610" t="n">
        <v>0</v>
      </c>
      <c r="M610" t="n">
        <v>0</v>
      </c>
      <c r="N610" t="n">
        <v>0</v>
      </c>
      <c r="O610" t="n">
        <v>0</v>
      </c>
      <c r="P610" t="n">
        <v>0</v>
      </c>
      <c r="Q610" t="n">
        <v>0</v>
      </c>
      <c r="R610" s="2" t="inlineStr"/>
    </row>
    <row r="611" ht="15" customHeight="1">
      <c r="A611" t="inlineStr">
        <is>
          <t>A 6116-2023</t>
        </is>
      </c>
      <c r="B611" s="1" t="n">
        <v>44964</v>
      </c>
      <c r="C611" s="1" t="n">
        <v>45473</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6139-2023</t>
        </is>
      </c>
      <c r="B612" s="1" t="n">
        <v>44964</v>
      </c>
      <c r="C612" s="1" t="n">
        <v>45473</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6869-2023</t>
        </is>
      </c>
      <c r="B613" s="1" t="n">
        <v>44964</v>
      </c>
      <c r="C613" s="1" t="n">
        <v>45473</v>
      </c>
      <c r="D613" t="inlineStr">
        <is>
          <t>VÄSTMANLANDS LÄN</t>
        </is>
      </c>
      <c r="E613" t="inlineStr">
        <is>
          <t>SALA</t>
        </is>
      </c>
      <c r="G613" t="n">
        <v>11.6</v>
      </c>
      <c r="H613" t="n">
        <v>0</v>
      </c>
      <c r="I613" t="n">
        <v>0</v>
      </c>
      <c r="J613" t="n">
        <v>0</v>
      </c>
      <c r="K613" t="n">
        <v>0</v>
      </c>
      <c r="L613" t="n">
        <v>0</v>
      </c>
      <c r="M613" t="n">
        <v>0</v>
      </c>
      <c r="N613" t="n">
        <v>0</v>
      </c>
      <c r="O613" t="n">
        <v>0</v>
      </c>
      <c r="P613" t="n">
        <v>0</v>
      </c>
      <c r="Q613" t="n">
        <v>0</v>
      </c>
      <c r="R613" s="2" t="inlineStr"/>
    </row>
    <row r="614" ht="15" customHeight="1">
      <c r="A614" t="inlineStr">
        <is>
          <t>A 6351-2023</t>
        </is>
      </c>
      <c r="B614" s="1" t="n">
        <v>44965</v>
      </c>
      <c r="C614" s="1" t="n">
        <v>45473</v>
      </c>
      <c r="D614" t="inlineStr">
        <is>
          <t>VÄSTMANLANDS LÄN</t>
        </is>
      </c>
      <c r="E614" t="inlineStr">
        <is>
          <t>SALA</t>
        </is>
      </c>
      <c r="F614" t="inlineStr">
        <is>
          <t>Kommuner</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6851-2023</t>
        </is>
      </c>
      <c r="B615" s="1" t="n">
        <v>44967</v>
      </c>
      <c r="C615" s="1" t="n">
        <v>45473</v>
      </c>
      <c r="D615" t="inlineStr">
        <is>
          <t>VÄSTMANLANDS LÄN</t>
        </is>
      </c>
      <c r="E615" t="inlineStr">
        <is>
          <t>SALA</t>
        </is>
      </c>
      <c r="G615" t="n">
        <v>2.7</v>
      </c>
      <c r="H615" t="n">
        <v>0</v>
      </c>
      <c r="I615" t="n">
        <v>0</v>
      </c>
      <c r="J615" t="n">
        <v>0</v>
      </c>
      <c r="K615" t="n">
        <v>0</v>
      </c>
      <c r="L615" t="n">
        <v>0</v>
      </c>
      <c r="M615" t="n">
        <v>0</v>
      </c>
      <c r="N615" t="n">
        <v>0</v>
      </c>
      <c r="O615" t="n">
        <v>0</v>
      </c>
      <c r="P615" t="n">
        <v>0</v>
      </c>
      <c r="Q615" t="n">
        <v>0</v>
      </c>
      <c r="R615" s="2" t="inlineStr"/>
    </row>
    <row r="616" ht="15" customHeight="1">
      <c r="A616" t="inlineStr">
        <is>
          <t>A 7176-2023</t>
        </is>
      </c>
      <c r="B616" s="1" t="n">
        <v>44970</v>
      </c>
      <c r="C616" s="1" t="n">
        <v>45473</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7193-2023</t>
        </is>
      </c>
      <c r="B617" s="1" t="n">
        <v>44970</v>
      </c>
      <c r="C617" s="1" t="n">
        <v>45473</v>
      </c>
      <c r="D617" t="inlineStr">
        <is>
          <t>VÄSTMANLANDS LÄN</t>
        </is>
      </c>
      <c r="E617" t="inlineStr">
        <is>
          <t>SALA</t>
        </is>
      </c>
      <c r="G617" t="n">
        <v>2.5</v>
      </c>
      <c r="H617" t="n">
        <v>0</v>
      </c>
      <c r="I617" t="n">
        <v>0</v>
      </c>
      <c r="J617" t="n">
        <v>0</v>
      </c>
      <c r="K617" t="n">
        <v>0</v>
      </c>
      <c r="L617" t="n">
        <v>0</v>
      </c>
      <c r="M617" t="n">
        <v>0</v>
      </c>
      <c r="N617" t="n">
        <v>0</v>
      </c>
      <c r="O617" t="n">
        <v>0</v>
      </c>
      <c r="P617" t="n">
        <v>0</v>
      </c>
      <c r="Q617" t="n">
        <v>0</v>
      </c>
      <c r="R617" s="2" t="inlineStr"/>
    </row>
    <row r="618" ht="15" customHeight="1">
      <c r="A618" t="inlineStr">
        <is>
          <t>A 7954-2023</t>
        </is>
      </c>
      <c r="B618" s="1" t="n">
        <v>44970</v>
      </c>
      <c r="C618" s="1" t="n">
        <v>45473</v>
      </c>
      <c r="D618" t="inlineStr">
        <is>
          <t>VÄSTMANLANDS LÄN</t>
        </is>
      </c>
      <c r="E618" t="inlineStr">
        <is>
          <t>SALA</t>
        </is>
      </c>
      <c r="G618" t="n">
        <v>1.6</v>
      </c>
      <c r="H618" t="n">
        <v>0</v>
      </c>
      <c r="I618" t="n">
        <v>0</v>
      </c>
      <c r="J618" t="n">
        <v>0</v>
      </c>
      <c r="K618" t="n">
        <v>0</v>
      </c>
      <c r="L618" t="n">
        <v>0</v>
      </c>
      <c r="M618" t="n">
        <v>0</v>
      </c>
      <c r="N618" t="n">
        <v>0</v>
      </c>
      <c r="O618" t="n">
        <v>0</v>
      </c>
      <c r="P618" t="n">
        <v>0</v>
      </c>
      <c r="Q618" t="n">
        <v>0</v>
      </c>
      <c r="R618" s="2" t="inlineStr"/>
    </row>
    <row r="619" ht="15" customHeight="1">
      <c r="A619" t="inlineStr">
        <is>
          <t>A 7377-2023</t>
        </is>
      </c>
      <c r="B619" s="1" t="n">
        <v>44971</v>
      </c>
      <c r="C619" s="1" t="n">
        <v>45473</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7351-2023</t>
        </is>
      </c>
      <c r="B620" s="1" t="n">
        <v>44971</v>
      </c>
      <c r="C620" s="1" t="n">
        <v>45473</v>
      </c>
      <c r="D620" t="inlineStr">
        <is>
          <t>VÄSTMANLANDS LÄN</t>
        </is>
      </c>
      <c r="E620" t="inlineStr">
        <is>
          <t>SALA</t>
        </is>
      </c>
      <c r="G620" t="n">
        <v>2.3</v>
      </c>
      <c r="H620" t="n">
        <v>0</v>
      </c>
      <c r="I620" t="n">
        <v>0</v>
      </c>
      <c r="J620" t="n">
        <v>0</v>
      </c>
      <c r="K620" t="n">
        <v>0</v>
      </c>
      <c r="L620" t="n">
        <v>0</v>
      </c>
      <c r="M620" t="n">
        <v>0</v>
      </c>
      <c r="N620" t="n">
        <v>0</v>
      </c>
      <c r="O620" t="n">
        <v>0</v>
      </c>
      <c r="P620" t="n">
        <v>0</v>
      </c>
      <c r="Q620" t="n">
        <v>0</v>
      </c>
      <c r="R620" s="2" t="inlineStr"/>
    </row>
    <row r="621" ht="15" customHeight="1">
      <c r="A621" t="inlineStr">
        <is>
          <t>A 7502-2023</t>
        </is>
      </c>
      <c r="B621" s="1" t="n">
        <v>44971</v>
      </c>
      <c r="C621" s="1" t="n">
        <v>45473</v>
      </c>
      <c r="D621" t="inlineStr">
        <is>
          <t>VÄSTMANLANDS LÄN</t>
        </is>
      </c>
      <c r="E621" t="inlineStr">
        <is>
          <t>SALA</t>
        </is>
      </c>
      <c r="G621" t="n">
        <v>1.8</v>
      </c>
      <c r="H621" t="n">
        <v>0</v>
      </c>
      <c r="I621" t="n">
        <v>0</v>
      </c>
      <c r="J621" t="n">
        <v>0</v>
      </c>
      <c r="K621" t="n">
        <v>0</v>
      </c>
      <c r="L621" t="n">
        <v>0</v>
      </c>
      <c r="M621" t="n">
        <v>0</v>
      </c>
      <c r="N621" t="n">
        <v>0</v>
      </c>
      <c r="O621" t="n">
        <v>0</v>
      </c>
      <c r="P621" t="n">
        <v>0</v>
      </c>
      <c r="Q621" t="n">
        <v>0</v>
      </c>
      <c r="R621" s="2" t="inlineStr"/>
    </row>
    <row r="622" ht="15" customHeight="1">
      <c r="A622" t="inlineStr">
        <is>
          <t>A 7664-2023</t>
        </is>
      </c>
      <c r="B622" s="1" t="n">
        <v>44972</v>
      </c>
      <c r="C622" s="1" t="n">
        <v>45473</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7635-2023</t>
        </is>
      </c>
      <c r="B623" s="1" t="n">
        <v>44972</v>
      </c>
      <c r="C623" s="1" t="n">
        <v>45473</v>
      </c>
      <c r="D623" t="inlineStr">
        <is>
          <t>VÄSTMANLANDS LÄN</t>
        </is>
      </c>
      <c r="E623" t="inlineStr">
        <is>
          <t>SALA</t>
        </is>
      </c>
      <c r="G623" t="n">
        <v>1.3</v>
      </c>
      <c r="H623" t="n">
        <v>0</v>
      </c>
      <c r="I623" t="n">
        <v>0</v>
      </c>
      <c r="J623" t="n">
        <v>0</v>
      </c>
      <c r="K623" t="n">
        <v>0</v>
      </c>
      <c r="L623" t="n">
        <v>0</v>
      </c>
      <c r="M623" t="n">
        <v>0</v>
      </c>
      <c r="N623" t="n">
        <v>0</v>
      </c>
      <c r="O623" t="n">
        <v>0</v>
      </c>
      <c r="P623" t="n">
        <v>0</v>
      </c>
      <c r="Q623" t="n">
        <v>0</v>
      </c>
      <c r="R623" s="2" t="inlineStr"/>
    </row>
    <row r="624" ht="15" customHeight="1">
      <c r="A624" t="inlineStr">
        <is>
          <t>A 7772-2023</t>
        </is>
      </c>
      <c r="B624" s="1" t="n">
        <v>44973</v>
      </c>
      <c r="C624" s="1" t="n">
        <v>45473</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7813-2023</t>
        </is>
      </c>
      <c r="B625" s="1" t="n">
        <v>44973</v>
      </c>
      <c r="C625" s="1" t="n">
        <v>45473</v>
      </c>
      <c r="D625" t="inlineStr">
        <is>
          <t>VÄSTMANLANDS LÄN</t>
        </is>
      </c>
      <c r="E625" t="inlineStr">
        <is>
          <t>SALA</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8047-2023</t>
        </is>
      </c>
      <c r="B626" s="1" t="n">
        <v>44974</v>
      </c>
      <c r="C626" s="1" t="n">
        <v>45473</v>
      </c>
      <c r="D626" t="inlineStr">
        <is>
          <t>VÄSTMANLANDS LÄN</t>
        </is>
      </c>
      <c r="E626" t="inlineStr">
        <is>
          <t>SALA</t>
        </is>
      </c>
      <c r="G626" t="n">
        <v>17.4</v>
      </c>
      <c r="H626" t="n">
        <v>0</v>
      </c>
      <c r="I626" t="n">
        <v>0</v>
      </c>
      <c r="J626" t="n">
        <v>0</v>
      </c>
      <c r="K626" t="n">
        <v>0</v>
      </c>
      <c r="L626" t="n">
        <v>0</v>
      </c>
      <c r="M626" t="n">
        <v>0</v>
      </c>
      <c r="N626" t="n">
        <v>0</v>
      </c>
      <c r="O626" t="n">
        <v>0</v>
      </c>
      <c r="P626" t="n">
        <v>0</v>
      </c>
      <c r="Q626" t="n">
        <v>0</v>
      </c>
      <c r="R626" s="2" t="inlineStr"/>
    </row>
    <row r="627" ht="15" customHeight="1">
      <c r="A627" t="inlineStr">
        <is>
          <t>A 8766-2023</t>
        </is>
      </c>
      <c r="B627" s="1" t="n">
        <v>44978</v>
      </c>
      <c r="C627" s="1" t="n">
        <v>45473</v>
      </c>
      <c r="D627" t="inlineStr">
        <is>
          <t>VÄSTMANLANDS LÄN</t>
        </is>
      </c>
      <c r="E627" t="inlineStr">
        <is>
          <t>SALA</t>
        </is>
      </c>
      <c r="G627" t="n">
        <v>1.2</v>
      </c>
      <c r="H627" t="n">
        <v>0</v>
      </c>
      <c r="I627" t="n">
        <v>0</v>
      </c>
      <c r="J627" t="n">
        <v>0</v>
      </c>
      <c r="K627" t="n">
        <v>0</v>
      </c>
      <c r="L627" t="n">
        <v>0</v>
      </c>
      <c r="M627" t="n">
        <v>0</v>
      </c>
      <c r="N627" t="n">
        <v>0</v>
      </c>
      <c r="O627" t="n">
        <v>0</v>
      </c>
      <c r="P627" t="n">
        <v>0</v>
      </c>
      <c r="Q627" t="n">
        <v>0</v>
      </c>
      <c r="R627" s="2" t="inlineStr"/>
    </row>
    <row r="628" ht="15" customHeight="1">
      <c r="A628" t="inlineStr">
        <is>
          <t>A 9051-2023</t>
        </is>
      </c>
      <c r="B628" s="1" t="n">
        <v>44979</v>
      </c>
      <c r="C628" s="1" t="n">
        <v>45473</v>
      </c>
      <c r="D628" t="inlineStr">
        <is>
          <t>VÄSTMANLANDS LÄN</t>
        </is>
      </c>
      <c r="E628" t="inlineStr">
        <is>
          <t>SALA</t>
        </is>
      </c>
      <c r="G628" t="n">
        <v>4.1</v>
      </c>
      <c r="H628" t="n">
        <v>0</v>
      </c>
      <c r="I628" t="n">
        <v>0</v>
      </c>
      <c r="J628" t="n">
        <v>0</v>
      </c>
      <c r="K628" t="n">
        <v>0</v>
      </c>
      <c r="L628" t="n">
        <v>0</v>
      </c>
      <c r="M628" t="n">
        <v>0</v>
      </c>
      <c r="N628" t="n">
        <v>0</v>
      </c>
      <c r="O628" t="n">
        <v>0</v>
      </c>
      <c r="P628" t="n">
        <v>0</v>
      </c>
      <c r="Q628" t="n">
        <v>0</v>
      </c>
      <c r="R628" s="2" t="inlineStr"/>
    </row>
    <row r="629" ht="15" customHeight="1">
      <c r="A629" t="inlineStr">
        <is>
          <t>A 11190-2023</t>
        </is>
      </c>
      <c r="B629" s="1" t="n">
        <v>44992</v>
      </c>
      <c r="C629" s="1" t="n">
        <v>45473</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11166-2023</t>
        </is>
      </c>
      <c r="B630" s="1" t="n">
        <v>44992</v>
      </c>
      <c r="C630" s="1" t="n">
        <v>45473</v>
      </c>
      <c r="D630" t="inlineStr">
        <is>
          <t>VÄSTMANLANDS LÄN</t>
        </is>
      </c>
      <c r="E630" t="inlineStr">
        <is>
          <t>SALA</t>
        </is>
      </c>
      <c r="G630" t="n">
        <v>3.9</v>
      </c>
      <c r="H630" t="n">
        <v>0</v>
      </c>
      <c r="I630" t="n">
        <v>0</v>
      </c>
      <c r="J630" t="n">
        <v>0</v>
      </c>
      <c r="K630" t="n">
        <v>0</v>
      </c>
      <c r="L630" t="n">
        <v>0</v>
      </c>
      <c r="M630" t="n">
        <v>0</v>
      </c>
      <c r="N630" t="n">
        <v>0</v>
      </c>
      <c r="O630" t="n">
        <v>0</v>
      </c>
      <c r="P630" t="n">
        <v>0</v>
      </c>
      <c r="Q630" t="n">
        <v>0</v>
      </c>
      <c r="R630" s="2" t="inlineStr"/>
    </row>
    <row r="631" ht="15" customHeight="1">
      <c r="A631" t="inlineStr">
        <is>
          <t>A 11183-2023</t>
        </is>
      </c>
      <c r="B631" s="1" t="n">
        <v>44992</v>
      </c>
      <c r="C631" s="1" t="n">
        <v>45473</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11631-2023</t>
        </is>
      </c>
      <c r="B632" s="1" t="n">
        <v>44994</v>
      </c>
      <c r="C632" s="1" t="n">
        <v>45473</v>
      </c>
      <c r="D632" t="inlineStr">
        <is>
          <t>VÄSTMANLANDS LÄN</t>
        </is>
      </c>
      <c r="E632" t="inlineStr">
        <is>
          <t>SALA</t>
        </is>
      </c>
      <c r="F632" t="inlineStr">
        <is>
          <t>Kommuner</t>
        </is>
      </c>
      <c r="G632" t="n">
        <v>1.9</v>
      </c>
      <c r="H632" t="n">
        <v>0</v>
      </c>
      <c r="I632" t="n">
        <v>0</v>
      </c>
      <c r="J632" t="n">
        <v>0</v>
      </c>
      <c r="K632" t="n">
        <v>0</v>
      </c>
      <c r="L632" t="n">
        <v>0</v>
      </c>
      <c r="M632" t="n">
        <v>0</v>
      </c>
      <c r="N632" t="n">
        <v>0</v>
      </c>
      <c r="O632" t="n">
        <v>0</v>
      </c>
      <c r="P632" t="n">
        <v>0</v>
      </c>
      <c r="Q632" t="n">
        <v>0</v>
      </c>
      <c r="R632" s="2" t="inlineStr"/>
    </row>
    <row r="633" ht="15" customHeight="1">
      <c r="A633" t="inlineStr">
        <is>
          <t>A 12231-2023</t>
        </is>
      </c>
      <c r="B633" s="1" t="n">
        <v>44995</v>
      </c>
      <c r="C633" s="1" t="n">
        <v>45473</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12246-2023</t>
        </is>
      </c>
      <c r="B634" s="1" t="n">
        <v>44995</v>
      </c>
      <c r="C634" s="1" t="n">
        <v>45473</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12272-2023</t>
        </is>
      </c>
      <c r="B635" s="1" t="n">
        <v>44995</v>
      </c>
      <c r="C635" s="1" t="n">
        <v>45473</v>
      </c>
      <c r="D635" t="inlineStr">
        <is>
          <t>VÄSTMANLANDS LÄN</t>
        </is>
      </c>
      <c r="E635" t="inlineStr">
        <is>
          <t>SALA</t>
        </is>
      </c>
      <c r="G635" t="n">
        <v>5.2</v>
      </c>
      <c r="H635" t="n">
        <v>0</v>
      </c>
      <c r="I635" t="n">
        <v>0</v>
      </c>
      <c r="J635" t="n">
        <v>0</v>
      </c>
      <c r="K635" t="n">
        <v>0</v>
      </c>
      <c r="L635" t="n">
        <v>0</v>
      </c>
      <c r="M635" t="n">
        <v>0</v>
      </c>
      <c r="N635" t="n">
        <v>0</v>
      </c>
      <c r="O635" t="n">
        <v>0</v>
      </c>
      <c r="P635" t="n">
        <v>0</v>
      </c>
      <c r="Q635" t="n">
        <v>0</v>
      </c>
      <c r="R635" s="2" t="inlineStr"/>
    </row>
    <row r="636" ht="15" customHeight="1">
      <c r="A636" t="inlineStr">
        <is>
          <t>A 12242-2023</t>
        </is>
      </c>
      <c r="B636" s="1" t="n">
        <v>44995</v>
      </c>
      <c r="C636" s="1" t="n">
        <v>45473</v>
      </c>
      <c r="D636" t="inlineStr">
        <is>
          <t>VÄSTMANLANDS LÄN</t>
        </is>
      </c>
      <c r="E636" t="inlineStr">
        <is>
          <t>SALA</t>
        </is>
      </c>
      <c r="G636" t="n">
        <v>2</v>
      </c>
      <c r="H636" t="n">
        <v>0</v>
      </c>
      <c r="I636" t="n">
        <v>0</v>
      </c>
      <c r="J636" t="n">
        <v>0</v>
      </c>
      <c r="K636" t="n">
        <v>0</v>
      </c>
      <c r="L636" t="n">
        <v>0</v>
      </c>
      <c r="M636" t="n">
        <v>0</v>
      </c>
      <c r="N636" t="n">
        <v>0</v>
      </c>
      <c r="O636" t="n">
        <v>0</v>
      </c>
      <c r="P636" t="n">
        <v>0</v>
      </c>
      <c r="Q636" t="n">
        <v>0</v>
      </c>
      <c r="R636" s="2" t="inlineStr"/>
    </row>
    <row r="637" ht="15" customHeight="1">
      <c r="A637" t="inlineStr">
        <is>
          <t>A 12252-2023</t>
        </is>
      </c>
      <c r="B637" s="1" t="n">
        <v>44995</v>
      </c>
      <c r="C637" s="1" t="n">
        <v>45473</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12225-2023</t>
        </is>
      </c>
      <c r="B638" s="1" t="n">
        <v>44995</v>
      </c>
      <c r="C638" s="1" t="n">
        <v>45473</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12509-2023</t>
        </is>
      </c>
      <c r="B639" s="1" t="n">
        <v>45000</v>
      </c>
      <c r="C639" s="1" t="n">
        <v>45473</v>
      </c>
      <c r="D639" t="inlineStr">
        <is>
          <t>VÄSTMANLANDS LÄN</t>
        </is>
      </c>
      <c r="E639" t="inlineStr">
        <is>
          <t>SALA</t>
        </is>
      </c>
      <c r="G639" t="n">
        <v>13.9</v>
      </c>
      <c r="H639" t="n">
        <v>0</v>
      </c>
      <c r="I639" t="n">
        <v>0</v>
      </c>
      <c r="J639" t="n">
        <v>0</v>
      </c>
      <c r="K639" t="n">
        <v>0</v>
      </c>
      <c r="L639" t="n">
        <v>0</v>
      </c>
      <c r="M639" t="n">
        <v>0</v>
      </c>
      <c r="N639" t="n">
        <v>0</v>
      </c>
      <c r="O639" t="n">
        <v>0</v>
      </c>
      <c r="P639" t="n">
        <v>0</v>
      </c>
      <c r="Q639" t="n">
        <v>0</v>
      </c>
      <c r="R639" s="2" t="inlineStr"/>
    </row>
    <row r="640" ht="15" customHeight="1">
      <c r="A640" t="inlineStr">
        <is>
          <t>A 12510-2023</t>
        </is>
      </c>
      <c r="B640" s="1" t="n">
        <v>45000</v>
      </c>
      <c r="C640" s="1" t="n">
        <v>45473</v>
      </c>
      <c r="D640" t="inlineStr">
        <is>
          <t>VÄSTMANLANDS LÄN</t>
        </is>
      </c>
      <c r="E640" t="inlineStr">
        <is>
          <t>SALA</t>
        </is>
      </c>
      <c r="G640" t="n">
        <v>3.1</v>
      </c>
      <c r="H640" t="n">
        <v>0</v>
      </c>
      <c r="I640" t="n">
        <v>0</v>
      </c>
      <c r="J640" t="n">
        <v>0</v>
      </c>
      <c r="K640" t="n">
        <v>0</v>
      </c>
      <c r="L640" t="n">
        <v>0</v>
      </c>
      <c r="M640" t="n">
        <v>0</v>
      </c>
      <c r="N640" t="n">
        <v>0</v>
      </c>
      <c r="O640" t="n">
        <v>0</v>
      </c>
      <c r="P640" t="n">
        <v>0</v>
      </c>
      <c r="Q640" t="n">
        <v>0</v>
      </c>
      <c r="R640" s="2" t="inlineStr"/>
    </row>
    <row r="641" ht="15" customHeight="1">
      <c r="A641" t="inlineStr">
        <is>
          <t>A 13146-2023</t>
        </is>
      </c>
      <c r="B641" s="1" t="n">
        <v>45002</v>
      </c>
      <c r="C641" s="1" t="n">
        <v>45473</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13022-2023</t>
        </is>
      </c>
      <c r="B642" s="1" t="n">
        <v>45002</v>
      </c>
      <c r="C642" s="1" t="n">
        <v>45473</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13151-2023</t>
        </is>
      </c>
      <c r="B643" s="1" t="n">
        <v>45002</v>
      </c>
      <c r="C643" s="1" t="n">
        <v>45473</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13128-2023</t>
        </is>
      </c>
      <c r="B644" s="1" t="n">
        <v>45002</v>
      </c>
      <c r="C644" s="1" t="n">
        <v>45473</v>
      </c>
      <c r="D644" t="inlineStr">
        <is>
          <t>VÄSTMANLANDS LÄN</t>
        </is>
      </c>
      <c r="E644" t="inlineStr">
        <is>
          <t>SALA</t>
        </is>
      </c>
      <c r="G644" t="n">
        <v>7.9</v>
      </c>
      <c r="H644" t="n">
        <v>0</v>
      </c>
      <c r="I644" t="n">
        <v>0</v>
      </c>
      <c r="J644" t="n">
        <v>0</v>
      </c>
      <c r="K644" t="n">
        <v>0</v>
      </c>
      <c r="L644" t="n">
        <v>0</v>
      </c>
      <c r="M644" t="n">
        <v>0</v>
      </c>
      <c r="N644" t="n">
        <v>0</v>
      </c>
      <c r="O644" t="n">
        <v>0</v>
      </c>
      <c r="P644" t="n">
        <v>0</v>
      </c>
      <c r="Q644" t="n">
        <v>0</v>
      </c>
      <c r="R644" s="2" t="inlineStr"/>
    </row>
    <row r="645" ht="15" customHeight="1">
      <c r="A645" t="inlineStr">
        <is>
          <t>A 13153-2023</t>
        </is>
      </c>
      <c r="B645" s="1" t="n">
        <v>45002</v>
      </c>
      <c r="C645" s="1" t="n">
        <v>45473</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13059-2023</t>
        </is>
      </c>
      <c r="B646" s="1" t="n">
        <v>45002</v>
      </c>
      <c r="C646" s="1" t="n">
        <v>45473</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13857-2023</t>
        </is>
      </c>
      <c r="B647" s="1" t="n">
        <v>45007</v>
      </c>
      <c r="C647" s="1" t="n">
        <v>45473</v>
      </c>
      <c r="D647" t="inlineStr">
        <is>
          <t>VÄSTMANLANDS LÄN</t>
        </is>
      </c>
      <c r="E647" t="inlineStr">
        <is>
          <t>SALA</t>
        </is>
      </c>
      <c r="G647" t="n">
        <v>5.7</v>
      </c>
      <c r="H647" t="n">
        <v>0</v>
      </c>
      <c r="I647" t="n">
        <v>0</v>
      </c>
      <c r="J647" t="n">
        <v>0</v>
      </c>
      <c r="K647" t="n">
        <v>0</v>
      </c>
      <c r="L647" t="n">
        <v>0</v>
      </c>
      <c r="M647" t="n">
        <v>0</v>
      </c>
      <c r="N647" t="n">
        <v>0</v>
      </c>
      <c r="O647" t="n">
        <v>0</v>
      </c>
      <c r="P647" t="n">
        <v>0</v>
      </c>
      <c r="Q647" t="n">
        <v>0</v>
      </c>
      <c r="R647" s="2" t="inlineStr"/>
    </row>
    <row r="648" ht="15" customHeight="1">
      <c r="A648" t="inlineStr">
        <is>
          <t>A 13833-2023</t>
        </is>
      </c>
      <c r="B648" s="1" t="n">
        <v>45007</v>
      </c>
      <c r="C648" s="1" t="n">
        <v>45473</v>
      </c>
      <c r="D648" t="inlineStr">
        <is>
          <t>VÄSTMANLANDS LÄN</t>
        </is>
      </c>
      <c r="E648" t="inlineStr">
        <is>
          <t>SALA</t>
        </is>
      </c>
      <c r="G648" t="n">
        <v>4.3</v>
      </c>
      <c r="H648" t="n">
        <v>0</v>
      </c>
      <c r="I648" t="n">
        <v>0</v>
      </c>
      <c r="J648" t="n">
        <v>0</v>
      </c>
      <c r="K648" t="n">
        <v>0</v>
      </c>
      <c r="L648" t="n">
        <v>0</v>
      </c>
      <c r="M648" t="n">
        <v>0</v>
      </c>
      <c r="N648" t="n">
        <v>0</v>
      </c>
      <c r="O648" t="n">
        <v>0</v>
      </c>
      <c r="P648" t="n">
        <v>0</v>
      </c>
      <c r="Q648" t="n">
        <v>0</v>
      </c>
      <c r="R648" s="2" t="inlineStr"/>
    </row>
    <row r="649" ht="15" customHeight="1">
      <c r="A649" t="inlineStr">
        <is>
          <t>A 13855-2023</t>
        </is>
      </c>
      <c r="B649" s="1" t="n">
        <v>45007</v>
      </c>
      <c r="C649" s="1" t="n">
        <v>45473</v>
      </c>
      <c r="D649" t="inlineStr">
        <is>
          <t>VÄSTMANLANDS LÄN</t>
        </is>
      </c>
      <c r="E649" t="inlineStr">
        <is>
          <t>SALA</t>
        </is>
      </c>
      <c r="G649" t="n">
        <v>2.9</v>
      </c>
      <c r="H649" t="n">
        <v>0</v>
      </c>
      <c r="I649" t="n">
        <v>0</v>
      </c>
      <c r="J649" t="n">
        <v>0</v>
      </c>
      <c r="K649" t="n">
        <v>0</v>
      </c>
      <c r="L649" t="n">
        <v>0</v>
      </c>
      <c r="M649" t="n">
        <v>0</v>
      </c>
      <c r="N649" t="n">
        <v>0</v>
      </c>
      <c r="O649" t="n">
        <v>0</v>
      </c>
      <c r="P649" t="n">
        <v>0</v>
      </c>
      <c r="Q649" t="n">
        <v>0</v>
      </c>
      <c r="R649" s="2" t="inlineStr"/>
    </row>
    <row r="650" ht="15" customHeight="1">
      <c r="A650" t="inlineStr">
        <is>
          <t>A 13990-2023</t>
        </is>
      </c>
      <c r="B650" s="1" t="n">
        <v>45007</v>
      </c>
      <c r="C650" s="1" t="n">
        <v>45473</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13987-2023</t>
        </is>
      </c>
      <c r="B651" s="1" t="n">
        <v>45007</v>
      </c>
      <c r="C651" s="1" t="n">
        <v>45473</v>
      </c>
      <c r="D651" t="inlineStr">
        <is>
          <t>VÄSTMANLANDS LÄN</t>
        </is>
      </c>
      <c r="E651" t="inlineStr">
        <is>
          <t>SALA</t>
        </is>
      </c>
      <c r="G651" t="n">
        <v>3.2</v>
      </c>
      <c r="H651" t="n">
        <v>0</v>
      </c>
      <c r="I651" t="n">
        <v>0</v>
      </c>
      <c r="J651" t="n">
        <v>0</v>
      </c>
      <c r="K651" t="n">
        <v>0</v>
      </c>
      <c r="L651" t="n">
        <v>0</v>
      </c>
      <c r="M651" t="n">
        <v>0</v>
      </c>
      <c r="N651" t="n">
        <v>0</v>
      </c>
      <c r="O651" t="n">
        <v>0</v>
      </c>
      <c r="P651" t="n">
        <v>0</v>
      </c>
      <c r="Q651" t="n">
        <v>0</v>
      </c>
      <c r="R651" s="2" t="inlineStr"/>
    </row>
    <row r="652" ht="15" customHeight="1">
      <c r="A652" t="inlineStr">
        <is>
          <t>A 13935-2023</t>
        </is>
      </c>
      <c r="B652" s="1" t="n">
        <v>45008</v>
      </c>
      <c r="C652" s="1" t="n">
        <v>45473</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14578-2023</t>
        </is>
      </c>
      <c r="B653" s="1" t="n">
        <v>45013</v>
      </c>
      <c r="C653" s="1" t="n">
        <v>45473</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14823-2023</t>
        </is>
      </c>
      <c r="B654" s="1" t="n">
        <v>45014</v>
      </c>
      <c r="C654" s="1" t="n">
        <v>45473</v>
      </c>
      <c r="D654" t="inlineStr">
        <is>
          <t>VÄSTMANLANDS LÄN</t>
        </is>
      </c>
      <c r="E654" t="inlineStr">
        <is>
          <t>SALA</t>
        </is>
      </c>
      <c r="F654" t="inlineStr">
        <is>
          <t>Kyrkan</t>
        </is>
      </c>
      <c r="G654" t="n">
        <v>3.1</v>
      </c>
      <c r="H654" t="n">
        <v>0</v>
      </c>
      <c r="I654" t="n">
        <v>0</v>
      </c>
      <c r="J654" t="n">
        <v>0</v>
      </c>
      <c r="K654" t="n">
        <v>0</v>
      </c>
      <c r="L654" t="n">
        <v>0</v>
      </c>
      <c r="M654" t="n">
        <v>0</v>
      </c>
      <c r="N654" t="n">
        <v>0</v>
      </c>
      <c r="O654" t="n">
        <v>0</v>
      </c>
      <c r="P654" t="n">
        <v>0</v>
      </c>
      <c r="Q654" t="n">
        <v>0</v>
      </c>
      <c r="R654" s="2" t="inlineStr"/>
    </row>
    <row r="655" ht="15" customHeight="1">
      <c r="A655" t="inlineStr">
        <is>
          <t>A 14790-2023</t>
        </is>
      </c>
      <c r="B655" s="1" t="n">
        <v>45014</v>
      </c>
      <c r="C655" s="1" t="n">
        <v>45473</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15589-2023</t>
        </is>
      </c>
      <c r="B656" s="1" t="n">
        <v>45020</v>
      </c>
      <c r="C656" s="1" t="n">
        <v>45473</v>
      </c>
      <c r="D656" t="inlineStr">
        <is>
          <t>VÄSTMANLANDS LÄN</t>
        </is>
      </c>
      <c r="E656" t="inlineStr">
        <is>
          <t>SALA</t>
        </is>
      </c>
      <c r="G656" t="n">
        <v>7.5</v>
      </c>
      <c r="H656" t="n">
        <v>0</v>
      </c>
      <c r="I656" t="n">
        <v>0</v>
      </c>
      <c r="J656" t="n">
        <v>0</v>
      </c>
      <c r="K656" t="n">
        <v>0</v>
      </c>
      <c r="L656" t="n">
        <v>0</v>
      </c>
      <c r="M656" t="n">
        <v>0</v>
      </c>
      <c r="N656" t="n">
        <v>0</v>
      </c>
      <c r="O656" t="n">
        <v>0</v>
      </c>
      <c r="P656" t="n">
        <v>0</v>
      </c>
      <c r="Q656" t="n">
        <v>0</v>
      </c>
      <c r="R656" s="2" t="inlineStr"/>
    </row>
    <row r="657" ht="15" customHeight="1">
      <c r="A657" t="inlineStr">
        <is>
          <t>A 15584-2023</t>
        </is>
      </c>
      <c r="B657" s="1" t="n">
        <v>45020</v>
      </c>
      <c r="C657" s="1" t="n">
        <v>45473</v>
      </c>
      <c r="D657" t="inlineStr">
        <is>
          <t>VÄSTMANLANDS LÄN</t>
        </is>
      </c>
      <c r="E657" t="inlineStr">
        <is>
          <t>SALA</t>
        </is>
      </c>
      <c r="G657" t="n">
        <v>4.2</v>
      </c>
      <c r="H657" t="n">
        <v>0</v>
      </c>
      <c r="I657" t="n">
        <v>0</v>
      </c>
      <c r="J657" t="n">
        <v>0</v>
      </c>
      <c r="K657" t="n">
        <v>0</v>
      </c>
      <c r="L657" t="n">
        <v>0</v>
      </c>
      <c r="M657" t="n">
        <v>0</v>
      </c>
      <c r="N657" t="n">
        <v>0</v>
      </c>
      <c r="O657" t="n">
        <v>0</v>
      </c>
      <c r="P657" t="n">
        <v>0</v>
      </c>
      <c r="Q657" t="n">
        <v>0</v>
      </c>
      <c r="R657" s="2" t="inlineStr"/>
    </row>
    <row r="658" ht="15" customHeight="1">
      <c r="A658" t="inlineStr">
        <is>
          <t>A 16003-2023</t>
        </is>
      </c>
      <c r="B658" s="1" t="n">
        <v>45024</v>
      </c>
      <c r="C658" s="1" t="n">
        <v>45473</v>
      </c>
      <c r="D658" t="inlineStr">
        <is>
          <t>VÄSTMANLANDS LÄN</t>
        </is>
      </c>
      <c r="E658" t="inlineStr">
        <is>
          <t>SALA</t>
        </is>
      </c>
      <c r="G658" t="n">
        <v>6.6</v>
      </c>
      <c r="H658" t="n">
        <v>0</v>
      </c>
      <c r="I658" t="n">
        <v>0</v>
      </c>
      <c r="J658" t="n">
        <v>0</v>
      </c>
      <c r="K658" t="n">
        <v>0</v>
      </c>
      <c r="L658" t="n">
        <v>0</v>
      </c>
      <c r="M658" t="n">
        <v>0</v>
      </c>
      <c r="N658" t="n">
        <v>0</v>
      </c>
      <c r="O658" t="n">
        <v>0</v>
      </c>
      <c r="P658" t="n">
        <v>0</v>
      </c>
      <c r="Q658" t="n">
        <v>0</v>
      </c>
      <c r="R658" s="2" t="inlineStr"/>
    </row>
    <row r="659" ht="15" customHeight="1">
      <c r="A659" t="inlineStr">
        <is>
          <t>A 16002-2023</t>
        </is>
      </c>
      <c r="B659" s="1" t="n">
        <v>45024</v>
      </c>
      <c r="C659" s="1" t="n">
        <v>45473</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16041-2023</t>
        </is>
      </c>
      <c r="B660" s="1" t="n">
        <v>45027</v>
      </c>
      <c r="C660" s="1" t="n">
        <v>45473</v>
      </c>
      <c r="D660" t="inlineStr">
        <is>
          <t>VÄSTMANLANDS LÄN</t>
        </is>
      </c>
      <c r="E660" t="inlineStr">
        <is>
          <t>SALA</t>
        </is>
      </c>
      <c r="G660" t="n">
        <v>3.1</v>
      </c>
      <c r="H660" t="n">
        <v>0</v>
      </c>
      <c r="I660" t="n">
        <v>0</v>
      </c>
      <c r="J660" t="n">
        <v>0</v>
      </c>
      <c r="K660" t="n">
        <v>0</v>
      </c>
      <c r="L660" t="n">
        <v>0</v>
      </c>
      <c r="M660" t="n">
        <v>0</v>
      </c>
      <c r="N660" t="n">
        <v>0</v>
      </c>
      <c r="O660" t="n">
        <v>0</v>
      </c>
      <c r="P660" t="n">
        <v>0</v>
      </c>
      <c r="Q660" t="n">
        <v>0</v>
      </c>
      <c r="R660" s="2" t="inlineStr"/>
    </row>
    <row r="661" ht="15" customHeight="1">
      <c r="A661" t="inlineStr">
        <is>
          <t>A 16142-2023</t>
        </is>
      </c>
      <c r="B661" s="1" t="n">
        <v>45027</v>
      </c>
      <c r="C661" s="1" t="n">
        <v>45473</v>
      </c>
      <c r="D661" t="inlineStr">
        <is>
          <t>VÄSTMANLANDS LÄN</t>
        </is>
      </c>
      <c r="E661" t="inlineStr">
        <is>
          <t>SALA</t>
        </is>
      </c>
      <c r="G661" t="n">
        <v>6.3</v>
      </c>
      <c r="H661" t="n">
        <v>0</v>
      </c>
      <c r="I661" t="n">
        <v>0</v>
      </c>
      <c r="J661" t="n">
        <v>0</v>
      </c>
      <c r="K661" t="n">
        <v>0</v>
      </c>
      <c r="L661" t="n">
        <v>0</v>
      </c>
      <c r="M661" t="n">
        <v>0</v>
      </c>
      <c r="N661" t="n">
        <v>0</v>
      </c>
      <c r="O661" t="n">
        <v>0</v>
      </c>
      <c r="P661" t="n">
        <v>0</v>
      </c>
      <c r="Q661" t="n">
        <v>0</v>
      </c>
      <c r="R661" s="2" t="inlineStr"/>
    </row>
    <row r="662" ht="15" customHeight="1">
      <c r="A662" t="inlineStr">
        <is>
          <t>A 16083-2023</t>
        </is>
      </c>
      <c r="B662" s="1" t="n">
        <v>45027</v>
      </c>
      <c r="C662" s="1" t="n">
        <v>45473</v>
      </c>
      <c r="D662" t="inlineStr">
        <is>
          <t>VÄSTMANLANDS LÄN</t>
        </is>
      </c>
      <c r="E662" t="inlineStr">
        <is>
          <t>SALA</t>
        </is>
      </c>
      <c r="G662" t="n">
        <v>4.4</v>
      </c>
      <c r="H662" t="n">
        <v>0</v>
      </c>
      <c r="I662" t="n">
        <v>0</v>
      </c>
      <c r="J662" t="n">
        <v>0</v>
      </c>
      <c r="K662" t="n">
        <v>0</v>
      </c>
      <c r="L662" t="n">
        <v>0</v>
      </c>
      <c r="M662" t="n">
        <v>0</v>
      </c>
      <c r="N662" t="n">
        <v>0</v>
      </c>
      <c r="O662" t="n">
        <v>0</v>
      </c>
      <c r="P662" t="n">
        <v>0</v>
      </c>
      <c r="Q662" t="n">
        <v>0</v>
      </c>
      <c r="R662" s="2" t="inlineStr"/>
    </row>
    <row r="663" ht="15" customHeight="1">
      <c r="A663" t="inlineStr">
        <is>
          <t>A 16638-2023</t>
        </is>
      </c>
      <c r="B663" s="1" t="n">
        <v>45027</v>
      </c>
      <c r="C663" s="1" t="n">
        <v>45473</v>
      </c>
      <c r="D663" t="inlineStr">
        <is>
          <t>VÄSTMANLANDS LÄN</t>
        </is>
      </c>
      <c r="E663" t="inlineStr">
        <is>
          <t>SALA</t>
        </is>
      </c>
      <c r="G663" t="n">
        <v>14.8</v>
      </c>
      <c r="H663" t="n">
        <v>0</v>
      </c>
      <c r="I663" t="n">
        <v>0</v>
      </c>
      <c r="J663" t="n">
        <v>0</v>
      </c>
      <c r="K663" t="n">
        <v>0</v>
      </c>
      <c r="L663" t="n">
        <v>0</v>
      </c>
      <c r="M663" t="n">
        <v>0</v>
      </c>
      <c r="N663" t="n">
        <v>0</v>
      </c>
      <c r="O663" t="n">
        <v>0</v>
      </c>
      <c r="P663" t="n">
        <v>0</v>
      </c>
      <c r="Q663" t="n">
        <v>0</v>
      </c>
      <c r="R663" s="2" t="inlineStr"/>
    </row>
    <row r="664" ht="15" customHeight="1">
      <c r="A664" t="inlineStr">
        <is>
          <t>A 16693-2023</t>
        </is>
      </c>
      <c r="B664" s="1" t="n">
        <v>45028</v>
      </c>
      <c r="C664" s="1" t="n">
        <v>45473</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16546-2023</t>
        </is>
      </c>
      <c r="B665" s="1" t="n">
        <v>45029</v>
      </c>
      <c r="C665" s="1" t="n">
        <v>45473</v>
      </c>
      <c r="D665" t="inlineStr">
        <is>
          <t>VÄSTMANLANDS LÄN</t>
        </is>
      </c>
      <c r="E665" t="inlineStr">
        <is>
          <t>SALA</t>
        </is>
      </c>
      <c r="F665" t="inlineStr">
        <is>
          <t>Sveaskog</t>
        </is>
      </c>
      <c r="G665" t="n">
        <v>0.5</v>
      </c>
      <c r="H665" t="n">
        <v>0</v>
      </c>
      <c r="I665" t="n">
        <v>0</v>
      </c>
      <c r="J665" t="n">
        <v>0</v>
      </c>
      <c r="K665" t="n">
        <v>0</v>
      </c>
      <c r="L665" t="n">
        <v>0</v>
      </c>
      <c r="M665" t="n">
        <v>0</v>
      </c>
      <c r="N665" t="n">
        <v>0</v>
      </c>
      <c r="O665" t="n">
        <v>0</v>
      </c>
      <c r="P665" t="n">
        <v>0</v>
      </c>
      <c r="Q665" t="n">
        <v>0</v>
      </c>
      <c r="R665" s="2" t="inlineStr"/>
    </row>
    <row r="666" ht="15" customHeight="1">
      <c r="A666" t="inlineStr">
        <is>
          <t>A 16543-2023</t>
        </is>
      </c>
      <c r="B666" s="1" t="n">
        <v>45029</v>
      </c>
      <c r="C666" s="1" t="n">
        <v>45473</v>
      </c>
      <c r="D666" t="inlineStr">
        <is>
          <t>VÄSTMANLANDS LÄN</t>
        </is>
      </c>
      <c r="E666" t="inlineStr">
        <is>
          <t>SALA</t>
        </is>
      </c>
      <c r="F666" t="inlineStr">
        <is>
          <t>Sveaskog</t>
        </is>
      </c>
      <c r="G666" t="n">
        <v>1.9</v>
      </c>
      <c r="H666" t="n">
        <v>0</v>
      </c>
      <c r="I666" t="n">
        <v>0</v>
      </c>
      <c r="J666" t="n">
        <v>0</v>
      </c>
      <c r="K666" t="n">
        <v>0</v>
      </c>
      <c r="L666" t="n">
        <v>0</v>
      </c>
      <c r="M666" t="n">
        <v>0</v>
      </c>
      <c r="N666" t="n">
        <v>0</v>
      </c>
      <c r="O666" t="n">
        <v>0</v>
      </c>
      <c r="P666" t="n">
        <v>0</v>
      </c>
      <c r="Q666" t="n">
        <v>0</v>
      </c>
      <c r="R666" s="2" t="inlineStr"/>
    </row>
    <row r="667" ht="15" customHeight="1">
      <c r="A667" t="inlineStr">
        <is>
          <t>A 16544-2023</t>
        </is>
      </c>
      <c r="B667" s="1" t="n">
        <v>45029</v>
      </c>
      <c r="C667" s="1" t="n">
        <v>45473</v>
      </c>
      <c r="D667" t="inlineStr">
        <is>
          <t>VÄSTMANLANDS LÄN</t>
        </is>
      </c>
      <c r="E667" t="inlineStr">
        <is>
          <t>SALA</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16547-2023</t>
        </is>
      </c>
      <c r="B668" s="1" t="n">
        <v>45029</v>
      </c>
      <c r="C668" s="1" t="n">
        <v>45473</v>
      </c>
      <c r="D668" t="inlineStr">
        <is>
          <t>VÄSTMANLANDS LÄN</t>
        </is>
      </c>
      <c r="E668" t="inlineStr">
        <is>
          <t>SALA</t>
        </is>
      </c>
      <c r="F668" t="inlineStr">
        <is>
          <t>Sveaskog</t>
        </is>
      </c>
      <c r="G668" t="n">
        <v>11.2</v>
      </c>
      <c r="H668" t="n">
        <v>0</v>
      </c>
      <c r="I668" t="n">
        <v>0</v>
      </c>
      <c r="J668" t="n">
        <v>0</v>
      </c>
      <c r="K668" t="n">
        <v>0</v>
      </c>
      <c r="L668" t="n">
        <v>0</v>
      </c>
      <c r="M668" t="n">
        <v>0</v>
      </c>
      <c r="N668" t="n">
        <v>0</v>
      </c>
      <c r="O668" t="n">
        <v>0</v>
      </c>
      <c r="P668" t="n">
        <v>0</v>
      </c>
      <c r="Q668" t="n">
        <v>0</v>
      </c>
      <c r="R668" s="2" t="inlineStr"/>
    </row>
    <row r="669" ht="15" customHeight="1">
      <c r="A669" t="inlineStr">
        <is>
          <t>A 16545-2023</t>
        </is>
      </c>
      <c r="B669" s="1" t="n">
        <v>45029</v>
      </c>
      <c r="C669" s="1" t="n">
        <v>45473</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16984-2023</t>
        </is>
      </c>
      <c r="B670" s="1" t="n">
        <v>45033</v>
      </c>
      <c r="C670" s="1" t="n">
        <v>45473</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17079-2023</t>
        </is>
      </c>
      <c r="B671" s="1" t="n">
        <v>45034</v>
      </c>
      <c r="C671" s="1" t="n">
        <v>45473</v>
      </c>
      <c r="D671" t="inlineStr">
        <is>
          <t>VÄSTMANLANDS LÄN</t>
        </is>
      </c>
      <c r="E671" t="inlineStr">
        <is>
          <t>SALA</t>
        </is>
      </c>
      <c r="G671" t="n">
        <v>1.1</v>
      </c>
      <c r="H671" t="n">
        <v>0</v>
      </c>
      <c r="I671" t="n">
        <v>0</v>
      </c>
      <c r="J671" t="n">
        <v>0</v>
      </c>
      <c r="K671" t="n">
        <v>0</v>
      </c>
      <c r="L671" t="n">
        <v>0</v>
      </c>
      <c r="M671" t="n">
        <v>0</v>
      </c>
      <c r="N671" t="n">
        <v>0</v>
      </c>
      <c r="O671" t="n">
        <v>0</v>
      </c>
      <c r="P671" t="n">
        <v>0</v>
      </c>
      <c r="Q671" t="n">
        <v>0</v>
      </c>
      <c r="R671" s="2" t="inlineStr"/>
    </row>
    <row r="672" ht="15" customHeight="1">
      <c r="A672" t="inlineStr">
        <is>
          <t>A 17117-2023</t>
        </is>
      </c>
      <c r="B672" s="1" t="n">
        <v>45034</v>
      </c>
      <c r="C672" s="1" t="n">
        <v>45473</v>
      </c>
      <c r="D672" t="inlineStr">
        <is>
          <t>VÄSTMANLANDS LÄN</t>
        </is>
      </c>
      <c r="E672" t="inlineStr">
        <is>
          <t>SALA</t>
        </is>
      </c>
      <c r="G672" t="n">
        <v>0.4</v>
      </c>
      <c r="H672" t="n">
        <v>0</v>
      </c>
      <c r="I672" t="n">
        <v>0</v>
      </c>
      <c r="J672" t="n">
        <v>0</v>
      </c>
      <c r="K672" t="n">
        <v>0</v>
      </c>
      <c r="L672" t="n">
        <v>0</v>
      </c>
      <c r="M672" t="n">
        <v>0</v>
      </c>
      <c r="N672" t="n">
        <v>0</v>
      </c>
      <c r="O672" t="n">
        <v>0</v>
      </c>
      <c r="P672" t="n">
        <v>0</v>
      </c>
      <c r="Q672" t="n">
        <v>0</v>
      </c>
      <c r="R672" s="2" t="inlineStr"/>
    </row>
    <row r="673" ht="15" customHeight="1">
      <c r="A673" t="inlineStr">
        <is>
          <t>A 17109-2023</t>
        </is>
      </c>
      <c r="B673" s="1" t="n">
        <v>45034</v>
      </c>
      <c r="C673" s="1" t="n">
        <v>45473</v>
      </c>
      <c r="D673" t="inlineStr">
        <is>
          <t>VÄSTMANLANDS LÄN</t>
        </is>
      </c>
      <c r="E673" t="inlineStr">
        <is>
          <t>SALA</t>
        </is>
      </c>
      <c r="G673" t="n">
        <v>5.8</v>
      </c>
      <c r="H673" t="n">
        <v>0</v>
      </c>
      <c r="I673" t="n">
        <v>0</v>
      </c>
      <c r="J673" t="n">
        <v>0</v>
      </c>
      <c r="K673" t="n">
        <v>0</v>
      </c>
      <c r="L673" t="n">
        <v>0</v>
      </c>
      <c r="M673" t="n">
        <v>0</v>
      </c>
      <c r="N673" t="n">
        <v>0</v>
      </c>
      <c r="O673" t="n">
        <v>0</v>
      </c>
      <c r="P673" t="n">
        <v>0</v>
      </c>
      <c r="Q673" t="n">
        <v>0</v>
      </c>
      <c r="R673" s="2" t="inlineStr"/>
    </row>
    <row r="674" ht="15" customHeight="1">
      <c r="A674" t="inlineStr">
        <is>
          <t>A 17120-2023</t>
        </is>
      </c>
      <c r="B674" s="1" t="n">
        <v>45034</v>
      </c>
      <c r="C674" s="1" t="n">
        <v>45473</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18100-2023</t>
        </is>
      </c>
      <c r="B675" s="1" t="n">
        <v>45040</v>
      </c>
      <c r="C675" s="1" t="n">
        <v>45473</v>
      </c>
      <c r="D675" t="inlineStr">
        <is>
          <t>VÄSTMANLANDS LÄN</t>
        </is>
      </c>
      <c r="E675" t="inlineStr">
        <is>
          <t>SALA</t>
        </is>
      </c>
      <c r="G675" t="n">
        <v>1.8</v>
      </c>
      <c r="H675" t="n">
        <v>0</v>
      </c>
      <c r="I675" t="n">
        <v>0</v>
      </c>
      <c r="J675" t="n">
        <v>0</v>
      </c>
      <c r="K675" t="n">
        <v>0</v>
      </c>
      <c r="L675" t="n">
        <v>0</v>
      </c>
      <c r="M675" t="n">
        <v>0</v>
      </c>
      <c r="N675" t="n">
        <v>0</v>
      </c>
      <c r="O675" t="n">
        <v>0</v>
      </c>
      <c r="P675" t="n">
        <v>0</v>
      </c>
      <c r="Q675" t="n">
        <v>0</v>
      </c>
      <c r="R675" s="2" t="inlineStr"/>
    </row>
    <row r="676" ht="15" customHeight="1">
      <c r="A676" t="inlineStr">
        <is>
          <t>A 18431-2023</t>
        </is>
      </c>
      <c r="B676" s="1" t="n">
        <v>45042</v>
      </c>
      <c r="C676" s="1" t="n">
        <v>45473</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18877-2023</t>
        </is>
      </c>
      <c r="B677" s="1" t="n">
        <v>45044</v>
      </c>
      <c r="C677" s="1" t="n">
        <v>45473</v>
      </c>
      <c r="D677" t="inlineStr">
        <is>
          <t>VÄSTMANLANDS LÄN</t>
        </is>
      </c>
      <c r="E677" t="inlineStr">
        <is>
          <t>SALA</t>
        </is>
      </c>
      <c r="F677" t="inlineStr">
        <is>
          <t>Kommuner</t>
        </is>
      </c>
      <c r="G677" t="n">
        <v>4.4</v>
      </c>
      <c r="H677" t="n">
        <v>0</v>
      </c>
      <c r="I677" t="n">
        <v>0</v>
      </c>
      <c r="J677" t="n">
        <v>0</v>
      </c>
      <c r="K677" t="n">
        <v>0</v>
      </c>
      <c r="L677" t="n">
        <v>0</v>
      </c>
      <c r="M677" t="n">
        <v>0</v>
      </c>
      <c r="N677" t="n">
        <v>0</v>
      </c>
      <c r="O677" t="n">
        <v>0</v>
      </c>
      <c r="P677" t="n">
        <v>0</v>
      </c>
      <c r="Q677" t="n">
        <v>0</v>
      </c>
      <c r="R677" s="2" t="inlineStr"/>
    </row>
    <row r="678" ht="15" customHeight="1">
      <c r="A678" t="inlineStr">
        <is>
          <t>A 19916-2023</t>
        </is>
      </c>
      <c r="B678" s="1" t="n">
        <v>45054</v>
      </c>
      <c r="C678" s="1" t="n">
        <v>45473</v>
      </c>
      <c r="D678" t="inlineStr">
        <is>
          <t>VÄSTMANLANDS LÄN</t>
        </is>
      </c>
      <c r="E678" t="inlineStr">
        <is>
          <t>SALA</t>
        </is>
      </c>
      <c r="G678" t="n">
        <v>9.9</v>
      </c>
      <c r="H678" t="n">
        <v>0</v>
      </c>
      <c r="I678" t="n">
        <v>0</v>
      </c>
      <c r="J678" t="n">
        <v>0</v>
      </c>
      <c r="K678" t="n">
        <v>0</v>
      </c>
      <c r="L678" t="n">
        <v>0</v>
      </c>
      <c r="M678" t="n">
        <v>0</v>
      </c>
      <c r="N678" t="n">
        <v>0</v>
      </c>
      <c r="O678" t="n">
        <v>0</v>
      </c>
      <c r="P678" t="n">
        <v>0</v>
      </c>
      <c r="Q678" t="n">
        <v>0</v>
      </c>
      <c r="R678" s="2" t="inlineStr"/>
    </row>
    <row r="679" ht="15" customHeight="1">
      <c r="A679" t="inlineStr">
        <is>
          <t>A 20568-2023</t>
        </is>
      </c>
      <c r="B679" s="1" t="n">
        <v>45055</v>
      </c>
      <c r="C679" s="1" t="n">
        <v>45473</v>
      </c>
      <c r="D679" t="inlineStr">
        <is>
          <t>VÄSTMANLANDS LÄN</t>
        </is>
      </c>
      <c r="E679" t="inlineStr">
        <is>
          <t>SALA</t>
        </is>
      </c>
      <c r="G679" t="n">
        <v>2.2</v>
      </c>
      <c r="H679" t="n">
        <v>0</v>
      </c>
      <c r="I679" t="n">
        <v>0</v>
      </c>
      <c r="J679" t="n">
        <v>0</v>
      </c>
      <c r="K679" t="n">
        <v>0</v>
      </c>
      <c r="L679" t="n">
        <v>0</v>
      </c>
      <c r="M679" t="n">
        <v>0</v>
      </c>
      <c r="N679" t="n">
        <v>0</v>
      </c>
      <c r="O679" t="n">
        <v>0</v>
      </c>
      <c r="P679" t="n">
        <v>0</v>
      </c>
      <c r="Q679" t="n">
        <v>0</v>
      </c>
      <c r="R679" s="2" t="inlineStr"/>
    </row>
    <row r="680" ht="15" customHeight="1">
      <c r="A680" t="inlineStr">
        <is>
          <t>A 20567-2023</t>
        </is>
      </c>
      <c r="B680" s="1" t="n">
        <v>45055</v>
      </c>
      <c r="C680" s="1" t="n">
        <v>45473</v>
      </c>
      <c r="D680" t="inlineStr">
        <is>
          <t>VÄSTMANLANDS LÄN</t>
        </is>
      </c>
      <c r="E680" t="inlineStr">
        <is>
          <t>SALA</t>
        </is>
      </c>
      <c r="G680" t="n">
        <v>1.4</v>
      </c>
      <c r="H680" t="n">
        <v>0</v>
      </c>
      <c r="I680" t="n">
        <v>0</v>
      </c>
      <c r="J680" t="n">
        <v>0</v>
      </c>
      <c r="K680" t="n">
        <v>0</v>
      </c>
      <c r="L680" t="n">
        <v>0</v>
      </c>
      <c r="M680" t="n">
        <v>0</v>
      </c>
      <c r="N680" t="n">
        <v>0</v>
      </c>
      <c r="O680" t="n">
        <v>0</v>
      </c>
      <c r="P680" t="n">
        <v>0</v>
      </c>
      <c r="Q680" t="n">
        <v>0</v>
      </c>
      <c r="R680" s="2" t="inlineStr"/>
    </row>
    <row r="681" ht="15" customHeight="1">
      <c r="A681" t="inlineStr">
        <is>
          <t>A 20405-2023</t>
        </is>
      </c>
      <c r="B681" s="1" t="n">
        <v>45056</v>
      </c>
      <c r="C681" s="1" t="n">
        <v>45473</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20587-2023</t>
        </is>
      </c>
      <c r="B682" s="1" t="n">
        <v>45057</v>
      </c>
      <c r="C682" s="1" t="n">
        <v>45473</v>
      </c>
      <c r="D682" t="inlineStr">
        <is>
          <t>VÄSTMANLANDS LÄN</t>
        </is>
      </c>
      <c r="E682" t="inlineStr">
        <is>
          <t>SALA</t>
        </is>
      </c>
      <c r="G682" t="n">
        <v>1</v>
      </c>
      <c r="H682" t="n">
        <v>0</v>
      </c>
      <c r="I682" t="n">
        <v>0</v>
      </c>
      <c r="J682" t="n">
        <v>0</v>
      </c>
      <c r="K682" t="n">
        <v>0</v>
      </c>
      <c r="L682" t="n">
        <v>0</v>
      </c>
      <c r="M682" t="n">
        <v>0</v>
      </c>
      <c r="N682" t="n">
        <v>0</v>
      </c>
      <c r="O682" t="n">
        <v>0</v>
      </c>
      <c r="P682" t="n">
        <v>0</v>
      </c>
      <c r="Q682" t="n">
        <v>0</v>
      </c>
      <c r="R682" s="2" t="inlineStr"/>
    </row>
    <row r="683" ht="15" customHeight="1">
      <c r="A683" t="inlineStr">
        <is>
          <t>A 21455-2023</t>
        </is>
      </c>
      <c r="B683" s="1" t="n">
        <v>45058</v>
      </c>
      <c r="C683" s="1" t="n">
        <v>45473</v>
      </c>
      <c r="D683" t="inlineStr">
        <is>
          <t>VÄSTMANLANDS LÄN</t>
        </is>
      </c>
      <c r="E683" t="inlineStr">
        <is>
          <t>SALA</t>
        </is>
      </c>
      <c r="G683" t="n">
        <v>6.4</v>
      </c>
      <c r="H683" t="n">
        <v>0</v>
      </c>
      <c r="I683" t="n">
        <v>0</v>
      </c>
      <c r="J683" t="n">
        <v>0</v>
      </c>
      <c r="K683" t="n">
        <v>0</v>
      </c>
      <c r="L683" t="n">
        <v>0</v>
      </c>
      <c r="M683" t="n">
        <v>0</v>
      </c>
      <c r="N683" t="n">
        <v>0</v>
      </c>
      <c r="O683" t="n">
        <v>0</v>
      </c>
      <c r="P683" t="n">
        <v>0</v>
      </c>
      <c r="Q683" t="n">
        <v>0</v>
      </c>
      <c r="R683" s="2" t="inlineStr"/>
    </row>
    <row r="684" ht="15" customHeight="1">
      <c r="A684" t="inlineStr">
        <is>
          <t>A 22097-2023</t>
        </is>
      </c>
      <c r="B684" s="1" t="n">
        <v>45065</v>
      </c>
      <c r="C684" s="1" t="n">
        <v>45473</v>
      </c>
      <c r="D684" t="inlineStr">
        <is>
          <t>VÄSTMANLANDS LÄN</t>
        </is>
      </c>
      <c r="E684" t="inlineStr">
        <is>
          <t>SALA</t>
        </is>
      </c>
      <c r="G684" t="n">
        <v>3.6</v>
      </c>
      <c r="H684" t="n">
        <v>0</v>
      </c>
      <c r="I684" t="n">
        <v>0</v>
      </c>
      <c r="J684" t="n">
        <v>0</v>
      </c>
      <c r="K684" t="n">
        <v>0</v>
      </c>
      <c r="L684" t="n">
        <v>0</v>
      </c>
      <c r="M684" t="n">
        <v>0</v>
      </c>
      <c r="N684" t="n">
        <v>0</v>
      </c>
      <c r="O684" t="n">
        <v>0</v>
      </c>
      <c r="P684" t="n">
        <v>0</v>
      </c>
      <c r="Q684" t="n">
        <v>0</v>
      </c>
      <c r="R684" s="2" t="inlineStr"/>
    </row>
    <row r="685" ht="15" customHeight="1">
      <c r="A685" t="inlineStr">
        <is>
          <t>A 22076-2023</t>
        </is>
      </c>
      <c r="B685" s="1" t="n">
        <v>45069</v>
      </c>
      <c r="C685" s="1" t="n">
        <v>45473</v>
      </c>
      <c r="D685" t="inlineStr">
        <is>
          <t>VÄSTMANLANDS LÄN</t>
        </is>
      </c>
      <c r="E685" t="inlineStr">
        <is>
          <t>SALA</t>
        </is>
      </c>
      <c r="G685" t="n">
        <v>5.3</v>
      </c>
      <c r="H685" t="n">
        <v>0</v>
      </c>
      <c r="I685" t="n">
        <v>0</v>
      </c>
      <c r="J685" t="n">
        <v>0</v>
      </c>
      <c r="K685" t="n">
        <v>0</v>
      </c>
      <c r="L685" t="n">
        <v>0</v>
      </c>
      <c r="M685" t="n">
        <v>0</v>
      </c>
      <c r="N685" t="n">
        <v>0</v>
      </c>
      <c r="O685" t="n">
        <v>0</v>
      </c>
      <c r="P685" t="n">
        <v>0</v>
      </c>
      <c r="Q685" t="n">
        <v>0</v>
      </c>
      <c r="R685" s="2" t="inlineStr"/>
    </row>
    <row r="686" ht="15" customHeight="1">
      <c r="A686" t="inlineStr">
        <is>
          <t>A 22146-2023</t>
        </is>
      </c>
      <c r="B686" s="1" t="n">
        <v>45069</v>
      </c>
      <c r="C686" s="1" t="n">
        <v>45473</v>
      </c>
      <c r="D686" t="inlineStr">
        <is>
          <t>VÄSTMANLANDS LÄN</t>
        </is>
      </c>
      <c r="E686" t="inlineStr">
        <is>
          <t>SALA</t>
        </is>
      </c>
      <c r="F686" t="inlineStr">
        <is>
          <t>Kommuner</t>
        </is>
      </c>
      <c r="G686" t="n">
        <v>9.9</v>
      </c>
      <c r="H686" t="n">
        <v>0</v>
      </c>
      <c r="I686" t="n">
        <v>0</v>
      </c>
      <c r="J686" t="n">
        <v>0</v>
      </c>
      <c r="K686" t="n">
        <v>0</v>
      </c>
      <c r="L686" t="n">
        <v>0</v>
      </c>
      <c r="M686" t="n">
        <v>0</v>
      </c>
      <c r="N686" t="n">
        <v>0</v>
      </c>
      <c r="O686" t="n">
        <v>0</v>
      </c>
      <c r="P686" t="n">
        <v>0</v>
      </c>
      <c r="Q686" t="n">
        <v>0</v>
      </c>
      <c r="R686" s="2" t="inlineStr"/>
    </row>
    <row r="687" ht="15" customHeight="1">
      <c r="A687" t="inlineStr">
        <is>
          <t>A 22091-2023</t>
        </is>
      </c>
      <c r="B687" s="1" t="n">
        <v>45069</v>
      </c>
      <c r="C687" s="1" t="n">
        <v>45473</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22082-2023</t>
        </is>
      </c>
      <c r="B688" s="1" t="n">
        <v>45069</v>
      </c>
      <c r="C688" s="1" t="n">
        <v>45473</v>
      </c>
      <c r="D688" t="inlineStr">
        <is>
          <t>VÄSTMANLANDS LÄN</t>
        </is>
      </c>
      <c r="E688" t="inlineStr">
        <is>
          <t>SALA</t>
        </is>
      </c>
      <c r="G688" t="n">
        <v>1.7</v>
      </c>
      <c r="H688" t="n">
        <v>0</v>
      </c>
      <c r="I688" t="n">
        <v>0</v>
      </c>
      <c r="J688" t="n">
        <v>0</v>
      </c>
      <c r="K688" t="n">
        <v>0</v>
      </c>
      <c r="L688" t="n">
        <v>0</v>
      </c>
      <c r="M688" t="n">
        <v>0</v>
      </c>
      <c r="N688" t="n">
        <v>0</v>
      </c>
      <c r="O688" t="n">
        <v>0</v>
      </c>
      <c r="P688" t="n">
        <v>0</v>
      </c>
      <c r="Q688" t="n">
        <v>0</v>
      </c>
      <c r="R688" s="2" t="inlineStr"/>
    </row>
    <row r="689" ht="15" customHeight="1">
      <c r="A689" t="inlineStr">
        <is>
          <t>A 22523-2023</t>
        </is>
      </c>
      <c r="B689" s="1" t="n">
        <v>45069</v>
      </c>
      <c r="C689" s="1" t="n">
        <v>45473</v>
      </c>
      <c r="D689" t="inlineStr">
        <is>
          <t>VÄSTMANLANDS LÄN</t>
        </is>
      </c>
      <c r="E689" t="inlineStr">
        <is>
          <t>SALA</t>
        </is>
      </c>
      <c r="G689" t="n">
        <v>2.4</v>
      </c>
      <c r="H689" t="n">
        <v>0</v>
      </c>
      <c r="I689" t="n">
        <v>0</v>
      </c>
      <c r="J689" t="n">
        <v>0</v>
      </c>
      <c r="K689" t="n">
        <v>0</v>
      </c>
      <c r="L689" t="n">
        <v>0</v>
      </c>
      <c r="M689" t="n">
        <v>0</v>
      </c>
      <c r="N689" t="n">
        <v>0</v>
      </c>
      <c r="O689" t="n">
        <v>0</v>
      </c>
      <c r="P689" t="n">
        <v>0</v>
      </c>
      <c r="Q689" t="n">
        <v>0</v>
      </c>
      <c r="R689" s="2" t="inlineStr"/>
    </row>
    <row r="690" ht="15" customHeight="1">
      <c r="A690" t="inlineStr">
        <is>
          <t>A 22921-2023</t>
        </is>
      </c>
      <c r="B690" s="1" t="n">
        <v>45070</v>
      </c>
      <c r="C690" s="1" t="n">
        <v>45473</v>
      </c>
      <c r="D690" t="inlineStr">
        <is>
          <t>VÄSTMANLANDS LÄN</t>
        </is>
      </c>
      <c r="E690" t="inlineStr">
        <is>
          <t>SALA</t>
        </is>
      </c>
      <c r="G690" t="n">
        <v>1.3</v>
      </c>
      <c r="H690" t="n">
        <v>0</v>
      </c>
      <c r="I690" t="n">
        <v>0</v>
      </c>
      <c r="J690" t="n">
        <v>0</v>
      </c>
      <c r="K690" t="n">
        <v>0</v>
      </c>
      <c r="L690" t="n">
        <v>0</v>
      </c>
      <c r="M690" t="n">
        <v>0</v>
      </c>
      <c r="N690" t="n">
        <v>0</v>
      </c>
      <c r="O690" t="n">
        <v>0</v>
      </c>
      <c r="P690" t="n">
        <v>0</v>
      </c>
      <c r="Q690" t="n">
        <v>0</v>
      </c>
      <c r="R690" s="2" t="inlineStr"/>
    </row>
    <row r="691" ht="15" customHeight="1">
      <c r="A691" t="inlineStr">
        <is>
          <t>A 22963-2023</t>
        </is>
      </c>
      <c r="B691" s="1" t="n">
        <v>45072</v>
      </c>
      <c r="C691" s="1" t="n">
        <v>45473</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22961-2023</t>
        </is>
      </c>
      <c r="B692" s="1" t="n">
        <v>45072</v>
      </c>
      <c r="C692" s="1" t="n">
        <v>45473</v>
      </c>
      <c r="D692" t="inlineStr">
        <is>
          <t>VÄSTMANLANDS LÄN</t>
        </is>
      </c>
      <c r="E692" t="inlineStr">
        <is>
          <t>SALA</t>
        </is>
      </c>
      <c r="G692" t="n">
        <v>2.7</v>
      </c>
      <c r="H692" t="n">
        <v>0</v>
      </c>
      <c r="I692" t="n">
        <v>0</v>
      </c>
      <c r="J692" t="n">
        <v>0</v>
      </c>
      <c r="K692" t="n">
        <v>0</v>
      </c>
      <c r="L692" t="n">
        <v>0</v>
      </c>
      <c r="M692" t="n">
        <v>0</v>
      </c>
      <c r="N692" t="n">
        <v>0</v>
      </c>
      <c r="O692" t="n">
        <v>0</v>
      </c>
      <c r="P692" t="n">
        <v>0</v>
      </c>
      <c r="Q692" t="n">
        <v>0</v>
      </c>
      <c r="R692" s="2" t="inlineStr"/>
    </row>
    <row r="693" ht="15" customHeight="1">
      <c r="A693" t="inlineStr">
        <is>
          <t>A 23145-2023</t>
        </is>
      </c>
      <c r="B693" s="1" t="n">
        <v>45075</v>
      </c>
      <c r="C693" s="1" t="n">
        <v>45473</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23146-2023</t>
        </is>
      </c>
      <c r="B694" s="1" t="n">
        <v>45075</v>
      </c>
      <c r="C694" s="1" t="n">
        <v>45473</v>
      </c>
      <c r="D694" t="inlineStr">
        <is>
          <t>VÄSTMANLANDS LÄN</t>
        </is>
      </c>
      <c r="E694" t="inlineStr">
        <is>
          <t>SALA</t>
        </is>
      </c>
      <c r="G694" t="n">
        <v>1.7</v>
      </c>
      <c r="H694" t="n">
        <v>0</v>
      </c>
      <c r="I694" t="n">
        <v>0</v>
      </c>
      <c r="J694" t="n">
        <v>0</v>
      </c>
      <c r="K694" t="n">
        <v>0</v>
      </c>
      <c r="L694" t="n">
        <v>0</v>
      </c>
      <c r="M694" t="n">
        <v>0</v>
      </c>
      <c r="N694" t="n">
        <v>0</v>
      </c>
      <c r="O694" t="n">
        <v>0</v>
      </c>
      <c r="P694" t="n">
        <v>0</v>
      </c>
      <c r="Q694" t="n">
        <v>0</v>
      </c>
      <c r="R694" s="2" t="inlineStr"/>
    </row>
    <row r="695" ht="15" customHeight="1">
      <c r="A695" t="inlineStr">
        <is>
          <t>A 23224-2023</t>
        </is>
      </c>
      <c r="B695" s="1" t="n">
        <v>45075</v>
      </c>
      <c r="C695" s="1" t="n">
        <v>45473</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23222-2023</t>
        </is>
      </c>
      <c r="B696" s="1" t="n">
        <v>45075</v>
      </c>
      <c r="C696" s="1" t="n">
        <v>45473</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23232-2023</t>
        </is>
      </c>
      <c r="B697" s="1" t="n">
        <v>45075</v>
      </c>
      <c r="C697" s="1" t="n">
        <v>45473</v>
      </c>
      <c r="D697" t="inlineStr">
        <is>
          <t>VÄSTMANLANDS LÄN</t>
        </is>
      </c>
      <c r="E697" t="inlineStr">
        <is>
          <t>SALA</t>
        </is>
      </c>
      <c r="G697" t="n">
        <v>1.6</v>
      </c>
      <c r="H697" t="n">
        <v>0</v>
      </c>
      <c r="I697" t="n">
        <v>0</v>
      </c>
      <c r="J697" t="n">
        <v>0</v>
      </c>
      <c r="K697" t="n">
        <v>0</v>
      </c>
      <c r="L697" t="n">
        <v>0</v>
      </c>
      <c r="M697" t="n">
        <v>0</v>
      </c>
      <c r="N697" t="n">
        <v>0</v>
      </c>
      <c r="O697" t="n">
        <v>0</v>
      </c>
      <c r="P697" t="n">
        <v>0</v>
      </c>
      <c r="Q697" t="n">
        <v>0</v>
      </c>
      <c r="R697" s="2" t="inlineStr"/>
    </row>
    <row r="698" ht="15" customHeight="1">
      <c r="A698" t="inlineStr">
        <is>
          <t>A 23374-2023</t>
        </is>
      </c>
      <c r="B698" s="1" t="n">
        <v>45076</v>
      </c>
      <c r="C698" s="1" t="n">
        <v>45473</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23372-2023</t>
        </is>
      </c>
      <c r="B699" s="1" t="n">
        <v>45076</v>
      </c>
      <c r="C699" s="1" t="n">
        <v>45473</v>
      </c>
      <c r="D699" t="inlineStr">
        <is>
          <t>VÄSTMANLANDS LÄN</t>
        </is>
      </c>
      <c r="E699" t="inlineStr">
        <is>
          <t>SALA</t>
        </is>
      </c>
      <c r="G699" t="n">
        <v>2.2</v>
      </c>
      <c r="H699" t="n">
        <v>0</v>
      </c>
      <c r="I699" t="n">
        <v>0</v>
      </c>
      <c r="J699" t="n">
        <v>0</v>
      </c>
      <c r="K699" t="n">
        <v>0</v>
      </c>
      <c r="L699" t="n">
        <v>0</v>
      </c>
      <c r="M699" t="n">
        <v>0</v>
      </c>
      <c r="N699" t="n">
        <v>0</v>
      </c>
      <c r="O699" t="n">
        <v>0</v>
      </c>
      <c r="P699" t="n">
        <v>0</v>
      </c>
      <c r="Q699" t="n">
        <v>0</v>
      </c>
      <c r="R699" s="2" t="inlineStr"/>
    </row>
    <row r="700" ht="15" customHeight="1">
      <c r="A700" t="inlineStr">
        <is>
          <t>A 23659-2023</t>
        </is>
      </c>
      <c r="B700" s="1" t="n">
        <v>45077</v>
      </c>
      <c r="C700" s="1" t="n">
        <v>45473</v>
      </c>
      <c r="D700" t="inlineStr">
        <is>
          <t>VÄSTMANLANDS LÄN</t>
        </is>
      </c>
      <c r="E700" t="inlineStr">
        <is>
          <t>SALA</t>
        </is>
      </c>
      <c r="G700" t="n">
        <v>2.5</v>
      </c>
      <c r="H700" t="n">
        <v>0</v>
      </c>
      <c r="I700" t="n">
        <v>0</v>
      </c>
      <c r="J700" t="n">
        <v>0</v>
      </c>
      <c r="K700" t="n">
        <v>0</v>
      </c>
      <c r="L700" t="n">
        <v>0</v>
      </c>
      <c r="M700" t="n">
        <v>0</v>
      </c>
      <c r="N700" t="n">
        <v>0</v>
      </c>
      <c r="O700" t="n">
        <v>0</v>
      </c>
      <c r="P700" t="n">
        <v>0</v>
      </c>
      <c r="Q700" t="n">
        <v>0</v>
      </c>
      <c r="R700" s="2" t="inlineStr"/>
    </row>
    <row r="701" ht="15" customHeight="1">
      <c r="A701" t="inlineStr">
        <is>
          <t>A 24248-2023</t>
        </is>
      </c>
      <c r="B701" s="1" t="n">
        <v>45079</v>
      </c>
      <c r="C701" s="1" t="n">
        <v>45473</v>
      </c>
      <c r="D701" t="inlineStr">
        <is>
          <t>VÄSTMANLANDS LÄN</t>
        </is>
      </c>
      <c r="E701" t="inlineStr">
        <is>
          <t>SALA</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24495-2023</t>
        </is>
      </c>
      <c r="B702" s="1" t="n">
        <v>45082</v>
      </c>
      <c r="C702" s="1" t="n">
        <v>45473</v>
      </c>
      <c r="D702" t="inlineStr">
        <is>
          <t>VÄSTMANLANDS LÄN</t>
        </is>
      </c>
      <c r="E702" t="inlineStr">
        <is>
          <t>SALA</t>
        </is>
      </c>
      <c r="G702" t="n">
        <v>5.2</v>
      </c>
      <c r="H702" t="n">
        <v>0</v>
      </c>
      <c r="I702" t="n">
        <v>0</v>
      </c>
      <c r="J702" t="n">
        <v>0</v>
      </c>
      <c r="K702" t="n">
        <v>0</v>
      </c>
      <c r="L702" t="n">
        <v>0</v>
      </c>
      <c r="M702" t="n">
        <v>0</v>
      </c>
      <c r="N702" t="n">
        <v>0</v>
      </c>
      <c r="O702" t="n">
        <v>0</v>
      </c>
      <c r="P702" t="n">
        <v>0</v>
      </c>
      <c r="Q702" t="n">
        <v>0</v>
      </c>
      <c r="R702" s="2" t="inlineStr"/>
    </row>
    <row r="703" ht="15" customHeight="1">
      <c r="A703" t="inlineStr">
        <is>
          <t>A 24585-2023</t>
        </is>
      </c>
      <c r="B703" s="1" t="n">
        <v>45083</v>
      </c>
      <c r="C703" s="1" t="n">
        <v>45473</v>
      </c>
      <c r="D703" t="inlineStr">
        <is>
          <t>VÄSTMANLANDS LÄN</t>
        </is>
      </c>
      <c r="E703" t="inlineStr">
        <is>
          <t>SALA</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24584-2023</t>
        </is>
      </c>
      <c r="B704" s="1" t="n">
        <v>45083</v>
      </c>
      <c r="C704" s="1" t="n">
        <v>45473</v>
      </c>
      <c r="D704" t="inlineStr">
        <is>
          <t>VÄSTMANLANDS LÄN</t>
        </is>
      </c>
      <c r="E704" t="inlineStr">
        <is>
          <t>SALA</t>
        </is>
      </c>
      <c r="F704" t="inlineStr">
        <is>
          <t>Sveaskog</t>
        </is>
      </c>
      <c r="G704" t="n">
        <v>7.2</v>
      </c>
      <c r="H704" t="n">
        <v>0</v>
      </c>
      <c r="I704" t="n">
        <v>0</v>
      </c>
      <c r="J704" t="n">
        <v>0</v>
      </c>
      <c r="K704" t="n">
        <v>0</v>
      </c>
      <c r="L704" t="n">
        <v>0</v>
      </c>
      <c r="M704" t="n">
        <v>0</v>
      </c>
      <c r="N704" t="n">
        <v>0</v>
      </c>
      <c r="O704" t="n">
        <v>0</v>
      </c>
      <c r="P704" t="n">
        <v>0</v>
      </c>
      <c r="Q704" t="n">
        <v>0</v>
      </c>
      <c r="R704" s="2" t="inlineStr"/>
    </row>
    <row r="705" ht="15" customHeight="1">
      <c r="A705" t="inlineStr">
        <is>
          <t>A 24586-2023</t>
        </is>
      </c>
      <c r="B705" s="1" t="n">
        <v>45083</v>
      </c>
      <c r="C705" s="1" t="n">
        <v>45473</v>
      </c>
      <c r="D705" t="inlineStr">
        <is>
          <t>VÄSTMANLANDS LÄN</t>
        </is>
      </c>
      <c r="E705" t="inlineStr">
        <is>
          <t>SALA</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24773-2023</t>
        </is>
      </c>
      <c r="B706" s="1" t="n">
        <v>45084</v>
      </c>
      <c r="C706" s="1" t="n">
        <v>45473</v>
      </c>
      <c r="D706" t="inlineStr">
        <is>
          <t>VÄSTMANLANDS LÄN</t>
        </is>
      </c>
      <c r="E706" t="inlineStr">
        <is>
          <t>SALA</t>
        </is>
      </c>
      <c r="G706" t="n">
        <v>5</v>
      </c>
      <c r="H706" t="n">
        <v>0</v>
      </c>
      <c r="I706" t="n">
        <v>0</v>
      </c>
      <c r="J706" t="n">
        <v>0</v>
      </c>
      <c r="K706" t="n">
        <v>0</v>
      </c>
      <c r="L706" t="n">
        <v>0</v>
      </c>
      <c r="M706" t="n">
        <v>0</v>
      </c>
      <c r="N706" t="n">
        <v>0</v>
      </c>
      <c r="O706" t="n">
        <v>0</v>
      </c>
      <c r="P706" t="n">
        <v>0</v>
      </c>
      <c r="Q706" t="n">
        <v>0</v>
      </c>
      <c r="R706" s="2" t="inlineStr"/>
    </row>
    <row r="707" ht="15" customHeight="1">
      <c r="A707" t="inlineStr">
        <is>
          <t>A 24777-2023</t>
        </is>
      </c>
      <c r="B707" s="1" t="n">
        <v>45084</v>
      </c>
      <c r="C707" s="1" t="n">
        <v>45473</v>
      </c>
      <c r="D707" t="inlineStr">
        <is>
          <t>VÄSTMANLANDS LÄN</t>
        </is>
      </c>
      <c r="E707" t="inlineStr">
        <is>
          <t>SALA</t>
        </is>
      </c>
      <c r="G707" t="n">
        <v>1.1</v>
      </c>
      <c r="H707" t="n">
        <v>0</v>
      </c>
      <c r="I707" t="n">
        <v>0</v>
      </c>
      <c r="J707" t="n">
        <v>0</v>
      </c>
      <c r="K707" t="n">
        <v>0</v>
      </c>
      <c r="L707" t="n">
        <v>0</v>
      </c>
      <c r="M707" t="n">
        <v>0</v>
      </c>
      <c r="N707" t="n">
        <v>0</v>
      </c>
      <c r="O707" t="n">
        <v>0</v>
      </c>
      <c r="P707" t="n">
        <v>0</v>
      </c>
      <c r="Q707" t="n">
        <v>0</v>
      </c>
      <c r="R707" s="2" t="inlineStr"/>
    </row>
    <row r="708" ht="15" customHeight="1">
      <c r="A708" t="inlineStr">
        <is>
          <t>A 24944-2023</t>
        </is>
      </c>
      <c r="B708" s="1" t="n">
        <v>45085</v>
      </c>
      <c r="C708" s="1" t="n">
        <v>45473</v>
      </c>
      <c r="D708" t="inlineStr">
        <is>
          <t>VÄSTMANLANDS LÄN</t>
        </is>
      </c>
      <c r="E708" t="inlineStr">
        <is>
          <t>SALA</t>
        </is>
      </c>
      <c r="G708" t="n">
        <v>3.8</v>
      </c>
      <c r="H708" t="n">
        <v>0</v>
      </c>
      <c r="I708" t="n">
        <v>0</v>
      </c>
      <c r="J708" t="n">
        <v>0</v>
      </c>
      <c r="K708" t="n">
        <v>0</v>
      </c>
      <c r="L708" t="n">
        <v>0</v>
      </c>
      <c r="M708" t="n">
        <v>0</v>
      </c>
      <c r="N708" t="n">
        <v>0</v>
      </c>
      <c r="O708" t="n">
        <v>0</v>
      </c>
      <c r="P708" t="n">
        <v>0</v>
      </c>
      <c r="Q708" t="n">
        <v>0</v>
      </c>
      <c r="R708" s="2" t="inlineStr"/>
    </row>
    <row r="709" ht="15" customHeight="1">
      <c r="A709" t="inlineStr">
        <is>
          <t>A 25260-2023</t>
        </is>
      </c>
      <c r="B709" s="1" t="n">
        <v>45086</v>
      </c>
      <c r="C709" s="1" t="n">
        <v>45473</v>
      </c>
      <c r="D709" t="inlineStr">
        <is>
          <t>VÄSTMANLANDS LÄN</t>
        </is>
      </c>
      <c r="E709" t="inlineStr">
        <is>
          <t>SALA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25233-2023</t>
        </is>
      </c>
      <c r="B710" s="1" t="n">
        <v>45086</v>
      </c>
      <c r="C710" s="1" t="n">
        <v>45473</v>
      </c>
      <c r="D710" t="inlineStr">
        <is>
          <t>VÄSTMANLANDS LÄN</t>
        </is>
      </c>
      <c r="E710" t="inlineStr">
        <is>
          <t>SALA</t>
        </is>
      </c>
      <c r="F710" t="inlineStr">
        <is>
          <t>Kommuner</t>
        </is>
      </c>
      <c r="G710" t="n">
        <v>4.7</v>
      </c>
      <c r="H710" t="n">
        <v>0</v>
      </c>
      <c r="I710" t="n">
        <v>0</v>
      </c>
      <c r="J710" t="n">
        <v>0</v>
      </c>
      <c r="K710" t="n">
        <v>0</v>
      </c>
      <c r="L710" t="n">
        <v>0</v>
      </c>
      <c r="M710" t="n">
        <v>0</v>
      </c>
      <c r="N710" t="n">
        <v>0</v>
      </c>
      <c r="O710" t="n">
        <v>0</v>
      </c>
      <c r="P710" t="n">
        <v>0</v>
      </c>
      <c r="Q710" t="n">
        <v>0</v>
      </c>
      <c r="R710" s="2" t="inlineStr"/>
    </row>
    <row r="711" ht="15" customHeight="1">
      <c r="A711" t="inlineStr">
        <is>
          <t>A 26229-2023</t>
        </is>
      </c>
      <c r="B711" s="1" t="n">
        <v>45086</v>
      </c>
      <c r="C711" s="1" t="n">
        <v>45473</v>
      </c>
      <c r="D711" t="inlineStr">
        <is>
          <t>VÄSTMANLANDS LÄN</t>
        </is>
      </c>
      <c r="E711" t="inlineStr">
        <is>
          <t>SALA</t>
        </is>
      </c>
      <c r="G711" t="n">
        <v>6.6</v>
      </c>
      <c r="H711" t="n">
        <v>0</v>
      </c>
      <c r="I711" t="n">
        <v>0</v>
      </c>
      <c r="J711" t="n">
        <v>0</v>
      </c>
      <c r="K711" t="n">
        <v>0</v>
      </c>
      <c r="L711" t="n">
        <v>0</v>
      </c>
      <c r="M711" t="n">
        <v>0</v>
      </c>
      <c r="N711" t="n">
        <v>0</v>
      </c>
      <c r="O711" t="n">
        <v>0</v>
      </c>
      <c r="P711" t="n">
        <v>0</v>
      </c>
      <c r="Q711" t="n">
        <v>0</v>
      </c>
      <c r="R711" s="2" t="inlineStr"/>
    </row>
    <row r="712" ht="15" customHeight="1">
      <c r="A712" t="inlineStr">
        <is>
          <t>A 25566-2023</t>
        </is>
      </c>
      <c r="B712" s="1" t="n">
        <v>45089</v>
      </c>
      <c r="C712" s="1" t="n">
        <v>45473</v>
      </c>
      <c r="D712" t="inlineStr">
        <is>
          <t>VÄSTMANLANDS LÄN</t>
        </is>
      </c>
      <c r="E712" t="inlineStr">
        <is>
          <t>SALA</t>
        </is>
      </c>
      <c r="G712" t="n">
        <v>2.1</v>
      </c>
      <c r="H712" t="n">
        <v>0</v>
      </c>
      <c r="I712" t="n">
        <v>0</v>
      </c>
      <c r="J712" t="n">
        <v>0</v>
      </c>
      <c r="K712" t="n">
        <v>0</v>
      </c>
      <c r="L712" t="n">
        <v>0</v>
      </c>
      <c r="M712" t="n">
        <v>0</v>
      </c>
      <c r="N712" t="n">
        <v>0</v>
      </c>
      <c r="O712" t="n">
        <v>0</v>
      </c>
      <c r="P712" t="n">
        <v>0</v>
      </c>
      <c r="Q712" t="n">
        <v>0</v>
      </c>
      <c r="R712" s="2" t="inlineStr"/>
    </row>
    <row r="713" ht="15" customHeight="1">
      <c r="A713" t="inlineStr">
        <is>
          <t>A 25571-2023</t>
        </is>
      </c>
      <c r="B713" s="1" t="n">
        <v>45089</v>
      </c>
      <c r="C713" s="1" t="n">
        <v>45473</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25576-2023</t>
        </is>
      </c>
      <c r="B714" s="1" t="n">
        <v>45089</v>
      </c>
      <c r="C714" s="1" t="n">
        <v>45473</v>
      </c>
      <c r="D714" t="inlineStr">
        <is>
          <t>VÄSTMANLANDS LÄN</t>
        </is>
      </c>
      <c r="E714" t="inlineStr">
        <is>
          <t>SALA</t>
        </is>
      </c>
      <c r="G714" t="n">
        <v>1</v>
      </c>
      <c r="H714" t="n">
        <v>0</v>
      </c>
      <c r="I714" t="n">
        <v>0</v>
      </c>
      <c r="J714" t="n">
        <v>0</v>
      </c>
      <c r="K714" t="n">
        <v>0</v>
      </c>
      <c r="L714" t="n">
        <v>0</v>
      </c>
      <c r="M714" t="n">
        <v>0</v>
      </c>
      <c r="N714" t="n">
        <v>0</v>
      </c>
      <c r="O714" t="n">
        <v>0</v>
      </c>
      <c r="P714" t="n">
        <v>0</v>
      </c>
      <c r="Q714" t="n">
        <v>0</v>
      </c>
      <c r="R714" s="2" t="inlineStr"/>
    </row>
    <row r="715" ht="15" customHeight="1">
      <c r="A715" t="inlineStr">
        <is>
          <t>A 25580-2023</t>
        </is>
      </c>
      <c r="B715" s="1" t="n">
        <v>45089</v>
      </c>
      <c r="C715" s="1" t="n">
        <v>45473</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25894-2023</t>
        </is>
      </c>
      <c r="B716" s="1" t="n">
        <v>45090</v>
      </c>
      <c r="C716" s="1" t="n">
        <v>45473</v>
      </c>
      <c r="D716" t="inlineStr">
        <is>
          <t>VÄSTMANLANDS LÄN</t>
        </is>
      </c>
      <c r="E716" t="inlineStr">
        <is>
          <t>SALA</t>
        </is>
      </c>
      <c r="G716" t="n">
        <v>3.2</v>
      </c>
      <c r="H716" t="n">
        <v>0</v>
      </c>
      <c r="I716" t="n">
        <v>0</v>
      </c>
      <c r="J716" t="n">
        <v>0</v>
      </c>
      <c r="K716" t="n">
        <v>0</v>
      </c>
      <c r="L716" t="n">
        <v>0</v>
      </c>
      <c r="M716" t="n">
        <v>0</v>
      </c>
      <c r="N716" t="n">
        <v>0</v>
      </c>
      <c r="O716" t="n">
        <v>0</v>
      </c>
      <c r="P716" t="n">
        <v>0</v>
      </c>
      <c r="Q716" t="n">
        <v>0</v>
      </c>
      <c r="R716" s="2" t="inlineStr"/>
    </row>
    <row r="717" ht="15" customHeight="1">
      <c r="A717" t="inlineStr">
        <is>
          <t>A 26607-2023</t>
        </is>
      </c>
      <c r="B717" s="1" t="n">
        <v>45090</v>
      </c>
      <c r="C717" s="1" t="n">
        <v>45473</v>
      </c>
      <c r="D717" t="inlineStr">
        <is>
          <t>VÄSTMANLANDS LÄN</t>
        </is>
      </c>
      <c r="E717" t="inlineStr">
        <is>
          <t>SALA</t>
        </is>
      </c>
      <c r="G717" t="n">
        <v>4.8</v>
      </c>
      <c r="H717" t="n">
        <v>0</v>
      </c>
      <c r="I717" t="n">
        <v>0</v>
      </c>
      <c r="J717" t="n">
        <v>0</v>
      </c>
      <c r="K717" t="n">
        <v>0</v>
      </c>
      <c r="L717" t="n">
        <v>0</v>
      </c>
      <c r="M717" t="n">
        <v>0</v>
      </c>
      <c r="N717" t="n">
        <v>0</v>
      </c>
      <c r="O717" t="n">
        <v>0</v>
      </c>
      <c r="P717" t="n">
        <v>0</v>
      </c>
      <c r="Q717" t="n">
        <v>0</v>
      </c>
      <c r="R717" s="2" t="inlineStr"/>
    </row>
    <row r="718" ht="15" customHeight="1">
      <c r="A718" t="inlineStr">
        <is>
          <t>A 26505-2023</t>
        </is>
      </c>
      <c r="B718" s="1" t="n">
        <v>45092</v>
      </c>
      <c r="C718" s="1" t="n">
        <v>45473</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26509-2023</t>
        </is>
      </c>
      <c r="B719" s="1" t="n">
        <v>45092</v>
      </c>
      <c r="C719" s="1" t="n">
        <v>45473</v>
      </c>
      <c r="D719" t="inlineStr">
        <is>
          <t>VÄSTMANLANDS LÄN</t>
        </is>
      </c>
      <c r="E719" t="inlineStr">
        <is>
          <t>SALA</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26508-2023</t>
        </is>
      </c>
      <c r="B720" s="1" t="n">
        <v>45092</v>
      </c>
      <c r="C720" s="1" t="n">
        <v>45473</v>
      </c>
      <c r="D720" t="inlineStr">
        <is>
          <t>VÄSTMANLANDS LÄN</t>
        </is>
      </c>
      <c r="E720" t="inlineStr">
        <is>
          <t>SALA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26416-2023</t>
        </is>
      </c>
      <c r="B721" s="1" t="n">
        <v>45092</v>
      </c>
      <c r="C721" s="1" t="n">
        <v>45473</v>
      </c>
      <c r="D721" t="inlineStr">
        <is>
          <t>VÄSTMANLANDS LÄN</t>
        </is>
      </c>
      <c r="E721" t="inlineStr">
        <is>
          <t>SALA</t>
        </is>
      </c>
      <c r="G721" t="n">
        <v>2.9</v>
      </c>
      <c r="H721" t="n">
        <v>0</v>
      </c>
      <c r="I721" t="n">
        <v>0</v>
      </c>
      <c r="J721" t="n">
        <v>0</v>
      </c>
      <c r="K721" t="n">
        <v>0</v>
      </c>
      <c r="L721" t="n">
        <v>0</v>
      </c>
      <c r="M721" t="n">
        <v>0</v>
      </c>
      <c r="N721" t="n">
        <v>0</v>
      </c>
      <c r="O721" t="n">
        <v>0</v>
      </c>
      <c r="P721" t="n">
        <v>0</v>
      </c>
      <c r="Q721" t="n">
        <v>0</v>
      </c>
      <c r="R721" s="2" t="inlineStr"/>
    </row>
    <row r="722" ht="15" customHeight="1">
      <c r="A722" t="inlineStr">
        <is>
          <t>A 26507-2023</t>
        </is>
      </c>
      <c r="B722" s="1" t="n">
        <v>45092</v>
      </c>
      <c r="C722" s="1" t="n">
        <v>45473</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26692-2023</t>
        </is>
      </c>
      <c r="B723" s="1" t="n">
        <v>45093</v>
      </c>
      <c r="C723" s="1" t="n">
        <v>45473</v>
      </c>
      <c r="D723" t="inlineStr">
        <is>
          <t>VÄSTMANLANDS LÄN</t>
        </is>
      </c>
      <c r="E723" t="inlineStr">
        <is>
          <t>SALA</t>
        </is>
      </c>
      <c r="G723" t="n">
        <v>1.8</v>
      </c>
      <c r="H723" t="n">
        <v>0</v>
      </c>
      <c r="I723" t="n">
        <v>0</v>
      </c>
      <c r="J723" t="n">
        <v>0</v>
      </c>
      <c r="K723" t="n">
        <v>0</v>
      </c>
      <c r="L723" t="n">
        <v>0</v>
      </c>
      <c r="M723" t="n">
        <v>0</v>
      </c>
      <c r="N723" t="n">
        <v>0</v>
      </c>
      <c r="O723" t="n">
        <v>0</v>
      </c>
      <c r="P723" t="n">
        <v>0</v>
      </c>
      <c r="Q723" t="n">
        <v>0</v>
      </c>
      <c r="R723" s="2" t="inlineStr"/>
    </row>
    <row r="724" ht="15" customHeight="1">
      <c r="A724" t="inlineStr">
        <is>
          <t>A 26761-2023</t>
        </is>
      </c>
      <c r="B724" s="1" t="n">
        <v>45093</v>
      </c>
      <c r="C724" s="1" t="n">
        <v>45473</v>
      </c>
      <c r="D724" t="inlineStr">
        <is>
          <t>VÄSTMANLANDS LÄN</t>
        </is>
      </c>
      <c r="E724" t="inlineStr">
        <is>
          <t>SALA</t>
        </is>
      </c>
      <c r="G724" t="n">
        <v>4.3</v>
      </c>
      <c r="H724" t="n">
        <v>0</v>
      </c>
      <c r="I724" t="n">
        <v>0</v>
      </c>
      <c r="J724" t="n">
        <v>0</v>
      </c>
      <c r="K724" t="n">
        <v>0</v>
      </c>
      <c r="L724" t="n">
        <v>0</v>
      </c>
      <c r="M724" t="n">
        <v>0</v>
      </c>
      <c r="N724" t="n">
        <v>0</v>
      </c>
      <c r="O724" t="n">
        <v>0</v>
      </c>
      <c r="P724" t="n">
        <v>0</v>
      </c>
      <c r="Q724" t="n">
        <v>0</v>
      </c>
      <c r="R724" s="2" t="inlineStr"/>
    </row>
    <row r="725" ht="15" customHeight="1">
      <c r="A725" t="inlineStr">
        <is>
          <t>A 27023-2023</t>
        </is>
      </c>
      <c r="B725" s="1" t="n">
        <v>45094</v>
      </c>
      <c r="C725" s="1" t="n">
        <v>45473</v>
      </c>
      <c r="D725" t="inlineStr">
        <is>
          <t>VÄSTMANLANDS LÄN</t>
        </is>
      </c>
      <c r="E725" t="inlineStr">
        <is>
          <t>SALA</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27038-2023</t>
        </is>
      </c>
      <c r="B726" s="1" t="n">
        <v>45095</v>
      </c>
      <c r="C726" s="1" t="n">
        <v>45473</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27228-2023</t>
        </is>
      </c>
      <c r="B727" s="1" t="n">
        <v>45096</v>
      </c>
      <c r="C727" s="1" t="n">
        <v>45473</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27255-2023</t>
        </is>
      </c>
      <c r="B728" s="1" t="n">
        <v>45096</v>
      </c>
      <c r="C728" s="1" t="n">
        <v>45473</v>
      </c>
      <c r="D728" t="inlineStr">
        <is>
          <t>VÄSTMANLANDS LÄN</t>
        </is>
      </c>
      <c r="E728" t="inlineStr">
        <is>
          <t>SALA</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27424-2023</t>
        </is>
      </c>
      <c r="B729" s="1" t="n">
        <v>45097</v>
      </c>
      <c r="C729" s="1" t="n">
        <v>45473</v>
      </c>
      <c r="D729" t="inlineStr">
        <is>
          <t>VÄSTMANLANDS LÄN</t>
        </is>
      </c>
      <c r="E729" t="inlineStr">
        <is>
          <t>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27638-2023</t>
        </is>
      </c>
      <c r="B730" s="1" t="n">
        <v>45097</v>
      </c>
      <c r="C730" s="1" t="n">
        <v>45473</v>
      </c>
      <c r="D730" t="inlineStr">
        <is>
          <t>VÄSTMANLANDS LÄN</t>
        </is>
      </c>
      <c r="E730" t="inlineStr">
        <is>
          <t>SALA</t>
        </is>
      </c>
      <c r="G730" t="n">
        <v>8.4</v>
      </c>
      <c r="H730" t="n">
        <v>0</v>
      </c>
      <c r="I730" t="n">
        <v>0</v>
      </c>
      <c r="J730" t="n">
        <v>0</v>
      </c>
      <c r="K730" t="n">
        <v>0</v>
      </c>
      <c r="L730" t="n">
        <v>0</v>
      </c>
      <c r="M730" t="n">
        <v>0</v>
      </c>
      <c r="N730" t="n">
        <v>0</v>
      </c>
      <c r="O730" t="n">
        <v>0</v>
      </c>
      <c r="P730" t="n">
        <v>0</v>
      </c>
      <c r="Q730" t="n">
        <v>0</v>
      </c>
      <c r="R730" s="2" t="inlineStr"/>
    </row>
    <row r="731" ht="15" customHeight="1">
      <c r="A731" t="inlineStr">
        <is>
          <t>A 27657-2023</t>
        </is>
      </c>
      <c r="B731" s="1" t="n">
        <v>45097</v>
      </c>
      <c r="C731" s="1" t="n">
        <v>45473</v>
      </c>
      <c r="D731" t="inlineStr">
        <is>
          <t>VÄSTMANLANDS LÄN</t>
        </is>
      </c>
      <c r="E731" t="inlineStr">
        <is>
          <t>SALA</t>
        </is>
      </c>
      <c r="G731" t="n">
        <v>0.1</v>
      </c>
      <c r="H731" t="n">
        <v>0</v>
      </c>
      <c r="I731" t="n">
        <v>0</v>
      </c>
      <c r="J731" t="n">
        <v>0</v>
      </c>
      <c r="K731" t="n">
        <v>0</v>
      </c>
      <c r="L731" t="n">
        <v>0</v>
      </c>
      <c r="M731" t="n">
        <v>0</v>
      </c>
      <c r="N731" t="n">
        <v>0</v>
      </c>
      <c r="O731" t="n">
        <v>0</v>
      </c>
      <c r="P731" t="n">
        <v>0</v>
      </c>
      <c r="Q731" t="n">
        <v>0</v>
      </c>
      <c r="R731" s="2" t="inlineStr"/>
    </row>
    <row r="732" ht="15" customHeight="1">
      <c r="A732" t="inlineStr">
        <is>
          <t>A 27744-2023</t>
        </is>
      </c>
      <c r="B732" s="1" t="n">
        <v>45098</v>
      </c>
      <c r="C732" s="1" t="n">
        <v>45473</v>
      </c>
      <c r="D732" t="inlineStr">
        <is>
          <t>VÄSTMANLANDS LÄN</t>
        </is>
      </c>
      <c r="E732" t="inlineStr">
        <is>
          <t>SALA</t>
        </is>
      </c>
      <c r="G732" t="n">
        <v>5.7</v>
      </c>
      <c r="H732" t="n">
        <v>0</v>
      </c>
      <c r="I732" t="n">
        <v>0</v>
      </c>
      <c r="J732" t="n">
        <v>0</v>
      </c>
      <c r="K732" t="n">
        <v>0</v>
      </c>
      <c r="L732" t="n">
        <v>0</v>
      </c>
      <c r="M732" t="n">
        <v>0</v>
      </c>
      <c r="N732" t="n">
        <v>0</v>
      </c>
      <c r="O732" t="n">
        <v>0</v>
      </c>
      <c r="P732" t="n">
        <v>0</v>
      </c>
      <c r="Q732" t="n">
        <v>0</v>
      </c>
      <c r="R732" s="2" t="inlineStr"/>
    </row>
    <row r="733" ht="15" customHeight="1">
      <c r="A733" t="inlineStr">
        <is>
          <t>A 27834-2023</t>
        </is>
      </c>
      <c r="B733" s="1" t="n">
        <v>45098</v>
      </c>
      <c r="C733" s="1" t="n">
        <v>45473</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27824-2023</t>
        </is>
      </c>
      <c r="B734" s="1" t="n">
        <v>45098</v>
      </c>
      <c r="C734" s="1" t="n">
        <v>45473</v>
      </c>
      <c r="D734" t="inlineStr">
        <is>
          <t>VÄSTMANLANDS LÄN</t>
        </is>
      </c>
      <c r="E734" t="inlineStr">
        <is>
          <t>SALA</t>
        </is>
      </c>
      <c r="G734" t="n">
        <v>5.3</v>
      </c>
      <c r="H734" t="n">
        <v>0</v>
      </c>
      <c r="I734" t="n">
        <v>0</v>
      </c>
      <c r="J734" t="n">
        <v>0</v>
      </c>
      <c r="K734" t="n">
        <v>0</v>
      </c>
      <c r="L734" t="n">
        <v>0</v>
      </c>
      <c r="M734" t="n">
        <v>0</v>
      </c>
      <c r="N734" t="n">
        <v>0</v>
      </c>
      <c r="O734" t="n">
        <v>0</v>
      </c>
      <c r="P734" t="n">
        <v>0</v>
      </c>
      <c r="Q734" t="n">
        <v>0</v>
      </c>
      <c r="R734" s="2" t="inlineStr"/>
    </row>
    <row r="735" ht="15" customHeight="1">
      <c r="A735" t="inlineStr">
        <is>
          <t>A 27749-2023</t>
        </is>
      </c>
      <c r="B735" s="1" t="n">
        <v>45098</v>
      </c>
      <c r="C735" s="1" t="n">
        <v>45473</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29542-2023</t>
        </is>
      </c>
      <c r="B736" s="1" t="n">
        <v>45098</v>
      </c>
      <c r="C736" s="1" t="n">
        <v>45473</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28328-2023</t>
        </is>
      </c>
      <c r="B737" s="1" t="n">
        <v>45099</v>
      </c>
      <c r="C737" s="1" t="n">
        <v>45473</v>
      </c>
      <c r="D737" t="inlineStr">
        <is>
          <t>VÄSTMANLANDS LÄN</t>
        </is>
      </c>
      <c r="E737" t="inlineStr">
        <is>
          <t>SALA</t>
        </is>
      </c>
      <c r="G737" t="n">
        <v>1.8</v>
      </c>
      <c r="H737" t="n">
        <v>0</v>
      </c>
      <c r="I737" t="n">
        <v>0</v>
      </c>
      <c r="J737" t="n">
        <v>0</v>
      </c>
      <c r="K737" t="n">
        <v>0</v>
      </c>
      <c r="L737" t="n">
        <v>0</v>
      </c>
      <c r="M737" t="n">
        <v>0</v>
      </c>
      <c r="N737" t="n">
        <v>0</v>
      </c>
      <c r="O737" t="n">
        <v>0</v>
      </c>
      <c r="P737" t="n">
        <v>0</v>
      </c>
      <c r="Q737" t="n">
        <v>0</v>
      </c>
      <c r="R737" s="2" t="inlineStr"/>
    </row>
    <row r="738" ht="15" customHeight="1">
      <c r="A738" t="inlineStr">
        <is>
          <t>A 28696-2023</t>
        </is>
      </c>
      <c r="B738" s="1" t="n">
        <v>45103</v>
      </c>
      <c r="C738" s="1" t="n">
        <v>45473</v>
      </c>
      <c r="D738" t="inlineStr">
        <is>
          <t>VÄSTMANLANDS LÄN</t>
        </is>
      </c>
      <c r="E738" t="inlineStr">
        <is>
          <t>SALA</t>
        </is>
      </c>
      <c r="F738" t="inlineStr">
        <is>
          <t>Kommuner</t>
        </is>
      </c>
      <c r="G738" t="n">
        <v>5.9</v>
      </c>
      <c r="H738" t="n">
        <v>0</v>
      </c>
      <c r="I738" t="n">
        <v>0</v>
      </c>
      <c r="J738" t="n">
        <v>0</v>
      </c>
      <c r="K738" t="n">
        <v>0</v>
      </c>
      <c r="L738" t="n">
        <v>0</v>
      </c>
      <c r="M738" t="n">
        <v>0</v>
      </c>
      <c r="N738" t="n">
        <v>0</v>
      </c>
      <c r="O738" t="n">
        <v>0</v>
      </c>
      <c r="P738" t="n">
        <v>0</v>
      </c>
      <c r="Q738" t="n">
        <v>0</v>
      </c>
      <c r="R738" s="2" t="inlineStr"/>
    </row>
    <row r="739" ht="15" customHeight="1">
      <c r="A739" t="inlineStr">
        <is>
          <t>A 29241-2023</t>
        </is>
      </c>
      <c r="B739" s="1" t="n">
        <v>45105</v>
      </c>
      <c r="C739" s="1" t="n">
        <v>45473</v>
      </c>
      <c r="D739" t="inlineStr">
        <is>
          <t>VÄSTMANLANDS LÄN</t>
        </is>
      </c>
      <c r="E739" t="inlineStr">
        <is>
          <t>SALA</t>
        </is>
      </c>
      <c r="F739" t="inlineStr">
        <is>
          <t>Kommuner</t>
        </is>
      </c>
      <c r="G739" t="n">
        <v>4.8</v>
      </c>
      <c r="H739" t="n">
        <v>0</v>
      </c>
      <c r="I739" t="n">
        <v>0</v>
      </c>
      <c r="J739" t="n">
        <v>0</v>
      </c>
      <c r="K739" t="n">
        <v>0</v>
      </c>
      <c r="L739" t="n">
        <v>0</v>
      </c>
      <c r="M739" t="n">
        <v>0</v>
      </c>
      <c r="N739" t="n">
        <v>0</v>
      </c>
      <c r="O739" t="n">
        <v>0</v>
      </c>
      <c r="P739" t="n">
        <v>0</v>
      </c>
      <c r="Q739" t="n">
        <v>0</v>
      </c>
      <c r="R739" s="2" t="inlineStr"/>
    </row>
    <row r="740" ht="15" customHeight="1">
      <c r="A740" t="inlineStr">
        <is>
          <t>A 29727-2023</t>
        </is>
      </c>
      <c r="B740" s="1" t="n">
        <v>45107</v>
      </c>
      <c r="C740" s="1" t="n">
        <v>45473</v>
      </c>
      <c r="D740" t="inlineStr">
        <is>
          <t>VÄSTMANLANDS LÄN</t>
        </is>
      </c>
      <c r="E740" t="inlineStr">
        <is>
          <t>SALA</t>
        </is>
      </c>
      <c r="G740" t="n">
        <v>1.9</v>
      </c>
      <c r="H740" t="n">
        <v>0</v>
      </c>
      <c r="I740" t="n">
        <v>0</v>
      </c>
      <c r="J740" t="n">
        <v>0</v>
      </c>
      <c r="K740" t="n">
        <v>0</v>
      </c>
      <c r="L740" t="n">
        <v>0</v>
      </c>
      <c r="M740" t="n">
        <v>0</v>
      </c>
      <c r="N740" t="n">
        <v>0</v>
      </c>
      <c r="O740" t="n">
        <v>0</v>
      </c>
      <c r="P740" t="n">
        <v>0</v>
      </c>
      <c r="Q740" t="n">
        <v>0</v>
      </c>
      <c r="R740" s="2" t="inlineStr"/>
    </row>
    <row r="741" ht="15" customHeight="1">
      <c r="A741" t="inlineStr">
        <is>
          <t>A 31945-2023</t>
        </is>
      </c>
      <c r="B741" s="1" t="n">
        <v>45107</v>
      </c>
      <c r="C741" s="1" t="n">
        <v>45473</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31950-2023</t>
        </is>
      </c>
      <c r="B742" s="1" t="n">
        <v>45107</v>
      </c>
      <c r="C742" s="1" t="n">
        <v>45473</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31953-2023</t>
        </is>
      </c>
      <c r="B743" s="1" t="n">
        <v>45107</v>
      </c>
      <c r="C743" s="1" t="n">
        <v>45473</v>
      </c>
      <c r="D743" t="inlineStr">
        <is>
          <t>VÄSTMANLANDS LÄN</t>
        </is>
      </c>
      <c r="E743" t="inlineStr">
        <is>
          <t>SALA</t>
        </is>
      </c>
      <c r="G743" t="n">
        <v>1.5</v>
      </c>
      <c r="H743" t="n">
        <v>0</v>
      </c>
      <c r="I743" t="n">
        <v>0</v>
      </c>
      <c r="J743" t="n">
        <v>0</v>
      </c>
      <c r="K743" t="n">
        <v>0</v>
      </c>
      <c r="L743" t="n">
        <v>0</v>
      </c>
      <c r="M743" t="n">
        <v>0</v>
      </c>
      <c r="N743" t="n">
        <v>0</v>
      </c>
      <c r="O743" t="n">
        <v>0</v>
      </c>
      <c r="P743" t="n">
        <v>0</v>
      </c>
      <c r="Q743" t="n">
        <v>0</v>
      </c>
      <c r="R743" s="2" t="inlineStr"/>
    </row>
    <row r="744" ht="15" customHeight="1">
      <c r="A744" t="inlineStr">
        <is>
          <t>A 31298-2023</t>
        </is>
      </c>
      <c r="B744" s="1" t="n">
        <v>45114</v>
      </c>
      <c r="C744" s="1" t="n">
        <v>45473</v>
      </c>
      <c r="D744" t="inlineStr">
        <is>
          <t>VÄSTMANLANDS LÄN</t>
        </is>
      </c>
      <c r="E744" t="inlineStr">
        <is>
          <t>SALA</t>
        </is>
      </c>
      <c r="G744" t="n">
        <v>3</v>
      </c>
      <c r="H744" t="n">
        <v>0</v>
      </c>
      <c r="I744" t="n">
        <v>0</v>
      </c>
      <c r="J744" t="n">
        <v>0</v>
      </c>
      <c r="K744" t="n">
        <v>0</v>
      </c>
      <c r="L744" t="n">
        <v>0</v>
      </c>
      <c r="M744" t="n">
        <v>0</v>
      </c>
      <c r="N744" t="n">
        <v>0</v>
      </c>
      <c r="O744" t="n">
        <v>0</v>
      </c>
      <c r="P744" t="n">
        <v>0</v>
      </c>
      <c r="Q744" t="n">
        <v>0</v>
      </c>
      <c r="R744" s="2" t="inlineStr"/>
    </row>
    <row r="745" ht="15" customHeight="1">
      <c r="A745" t="inlineStr">
        <is>
          <t>A 31315-2023</t>
        </is>
      </c>
      <c r="B745" s="1" t="n">
        <v>45114</v>
      </c>
      <c r="C745" s="1" t="n">
        <v>45473</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31646-2023</t>
        </is>
      </c>
      <c r="B746" s="1" t="n">
        <v>45117</v>
      </c>
      <c r="C746" s="1" t="n">
        <v>45473</v>
      </c>
      <c r="D746" t="inlineStr">
        <is>
          <t>VÄSTMANLANDS LÄN</t>
        </is>
      </c>
      <c r="E746" t="inlineStr">
        <is>
          <t>SALA</t>
        </is>
      </c>
      <c r="G746" t="n">
        <v>3.5</v>
      </c>
      <c r="H746" t="n">
        <v>0</v>
      </c>
      <c r="I746" t="n">
        <v>0</v>
      </c>
      <c r="J746" t="n">
        <v>0</v>
      </c>
      <c r="K746" t="n">
        <v>0</v>
      </c>
      <c r="L746" t="n">
        <v>0</v>
      </c>
      <c r="M746" t="n">
        <v>0</v>
      </c>
      <c r="N746" t="n">
        <v>0</v>
      </c>
      <c r="O746" t="n">
        <v>0</v>
      </c>
      <c r="P746" t="n">
        <v>0</v>
      </c>
      <c r="Q746" t="n">
        <v>0</v>
      </c>
      <c r="R746" s="2" t="inlineStr"/>
    </row>
    <row r="747" ht="15" customHeight="1">
      <c r="A747" t="inlineStr">
        <is>
          <t>A 31859-2023</t>
        </is>
      </c>
      <c r="B747" s="1" t="n">
        <v>45118</v>
      </c>
      <c r="C747" s="1" t="n">
        <v>45473</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c r="U747">
        <f>HYPERLINK("https://klasma.github.io/Logging_1981/knärot/A 31859-2023 karta knärot.png", "A 31859-2023")</f>
        <v/>
      </c>
      <c r="V747">
        <f>HYPERLINK("https://klasma.github.io/Logging_1981/klagomål/A 31859-2023 FSC-klagomål.docx", "A 31859-2023")</f>
        <v/>
      </c>
      <c r="W747">
        <f>HYPERLINK("https://klasma.github.io/Logging_1981/klagomålsmail/A 31859-2023 FSC-klagomål mail.docx", "A 31859-2023")</f>
        <v/>
      </c>
      <c r="X747">
        <f>HYPERLINK("https://klasma.github.io/Logging_1981/tillsyn/A 31859-2023 tillsynsbegäran.docx", "A 31859-2023")</f>
        <v/>
      </c>
      <c r="Y747">
        <f>HYPERLINK("https://klasma.github.io/Logging_1981/tillsynsmail/A 31859-2023 tillsynsbegäran mail.docx", "A 31859-2023")</f>
        <v/>
      </c>
    </row>
    <row r="748" ht="15" customHeight="1">
      <c r="A748" t="inlineStr">
        <is>
          <t>A 32945-2023</t>
        </is>
      </c>
      <c r="B748" s="1" t="n">
        <v>45125</v>
      </c>
      <c r="C748" s="1" t="n">
        <v>45473</v>
      </c>
      <c r="D748" t="inlineStr">
        <is>
          <t>VÄSTMANLANDS LÄN</t>
        </is>
      </c>
      <c r="E748" t="inlineStr">
        <is>
          <t>SALA</t>
        </is>
      </c>
      <c r="G748" t="n">
        <v>1.5</v>
      </c>
      <c r="H748" t="n">
        <v>0</v>
      </c>
      <c r="I748" t="n">
        <v>0</v>
      </c>
      <c r="J748" t="n">
        <v>0</v>
      </c>
      <c r="K748" t="n">
        <v>0</v>
      </c>
      <c r="L748" t="n">
        <v>0</v>
      </c>
      <c r="M748" t="n">
        <v>0</v>
      </c>
      <c r="N748" t="n">
        <v>0</v>
      </c>
      <c r="O748" t="n">
        <v>0</v>
      </c>
      <c r="P748" t="n">
        <v>0</v>
      </c>
      <c r="Q748" t="n">
        <v>0</v>
      </c>
      <c r="R748" s="2" t="inlineStr"/>
    </row>
    <row r="749" ht="15" customHeight="1">
      <c r="A749" t="inlineStr">
        <is>
          <t>A 33152-2023</t>
        </is>
      </c>
      <c r="B749" s="1" t="n">
        <v>45126</v>
      </c>
      <c r="C749" s="1" t="n">
        <v>45473</v>
      </c>
      <c r="D749" t="inlineStr">
        <is>
          <t>VÄSTMANLANDS LÄN</t>
        </is>
      </c>
      <c r="E749" t="inlineStr">
        <is>
          <t>SALA</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33151-2023</t>
        </is>
      </c>
      <c r="B750" s="1" t="n">
        <v>45126</v>
      </c>
      <c r="C750" s="1" t="n">
        <v>45473</v>
      </c>
      <c r="D750" t="inlineStr">
        <is>
          <t>VÄSTMANLANDS LÄN</t>
        </is>
      </c>
      <c r="E750" t="inlineStr">
        <is>
          <t>SALA</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33180-2023</t>
        </is>
      </c>
      <c r="B751" s="1" t="n">
        <v>45127</v>
      </c>
      <c r="C751" s="1" t="n">
        <v>45473</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33273-2023</t>
        </is>
      </c>
      <c r="B752" s="1" t="n">
        <v>45127</v>
      </c>
      <c r="C752" s="1" t="n">
        <v>45473</v>
      </c>
      <c r="D752" t="inlineStr">
        <is>
          <t>VÄSTMANLANDS LÄN</t>
        </is>
      </c>
      <c r="E752" t="inlineStr">
        <is>
          <t>SALA</t>
        </is>
      </c>
      <c r="G752" t="n">
        <v>2.6</v>
      </c>
      <c r="H752" t="n">
        <v>0</v>
      </c>
      <c r="I752" t="n">
        <v>0</v>
      </c>
      <c r="J752" t="n">
        <v>0</v>
      </c>
      <c r="K752" t="n">
        <v>0</v>
      </c>
      <c r="L752" t="n">
        <v>0</v>
      </c>
      <c r="M752" t="n">
        <v>0</v>
      </c>
      <c r="N752" t="n">
        <v>0</v>
      </c>
      <c r="O752" t="n">
        <v>0</v>
      </c>
      <c r="P752" t="n">
        <v>0</v>
      </c>
      <c r="Q752" t="n">
        <v>0</v>
      </c>
      <c r="R752" s="2" t="inlineStr"/>
    </row>
    <row r="753" ht="15" customHeight="1">
      <c r="A753" t="inlineStr">
        <is>
          <t>A 33527-2023</t>
        </is>
      </c>
      <c r="B753" s="1" t="n">
        <v>45131</v>
      </c>
      <c r="C753" s="1" t="n">
        <v>45473</v>
      </c>
      <c r="D753" t="inlineStr">
        <is>
          <t>VÄSTMANLANDS LÄN</t>
        </is>
      </c>
      <c r="E753" t="inlineStr">
        <is>
          <t>SALA</t>
        </is>
      </c>
      <c r="G753" t="n">
        <v>1</v>
      </c>
      <c r="H753" t="n">
        <v>0</v>
      </c>
      <c r="I753" t="n">
        <v>0</v>
      </c>
      <c r="J753" t="n">
        <v>0</v>
      </c>
      <c r="K753" t="n">
        <v>0</v>
      </c>
      <c r="L753" t="n">
        <v>0</v>
      </c>
      <c r="M753" t="n">
        <v>0</v>
      </c>
      <c r="N753" t="n">
        <v>0</v>
      </c>
      <c r="O753" t="n">
        <v>0</v>
      </c>
      <c r="P753" t="n">
        <v>0</v>
      </c>
      <c r="Q753" t="n">
        <v>0</v>
      </c>
      <c r="R753" s="2" t="inlineStr"/>
    </row>
    <row r="754" ht="15" customHeight="1">
      <c r="A754" t="inlineStr">
        <is>
          <t>A 34361-2023</t>
        </is>
      </c>
      <c r="B754" s="1" t="n">
        <v>45131</v>
      </c>
      <c r="C754" s="1" t="n">
        <v>45473</v>
      </c>
      <c r="D754" t="inlineStr">
        <is>
          <t>VÄSTMANLANDS LÄN</t>
        </is>
      </c>
      <c r="E754" t="inlineStr">
        <is>
          <t>SALA</t>
        </is>
      </c>
      <c r="G754" t="n">
        <v>2.7</v>
      </c>
      <c r="H754" t="n">
        <v>0</v>
      </c>
      <c r="I754" t="n">
        <v>0</v>
      </c>
      <c r="J754" t="n">
        <v>0</v>
      </c>
      <c r="K754" t="n">
        <v>0</v>
      </c>
      <c r="L754" t="n">
        <v>0</v>
      </c>
      <c r="M754" t="n">
        <v>0</v>
      </c>
      <c r="N754" t="n">
        <v>0</v>
      </c>
      <c r="O754" t="n">
        <v>0</v>
      </c>
      <c r="P754" t="n">
        <v>0</v>
      </c>
      <c r="Q754" t="n">
        <v>0</v>
      </c>
      <c r="R754" s="2" t="inlineStr"/>
    </row>
    <row r="755" ht="15" customHeight="1">
      <c r="A755" t="inlineStr">
        <is>
          <t>A 33732-2023</t>
        </is>
      </c>
      <c r="B755" s="1" t="n">
        <v>45133</v>
      </c>
      <c r="C755" s="1" t="n">
        <v>45473</v>
      </c>
      <c r="D755" t="inlineStr">
        <is>
          <t>VÄSTMANLANDS LÄN</t>
        </is>
      </c>
      <c r="E755" t="inlineStr">
        <is>
          <t>SALA</t>
        </is>
      </c>
      <c r="G755" t="n">
        <v>2</v>
      </c>
      <c r="H755" t="n">
        <v>0</v>
      </c>
      <c r="I755" t="n">
        <v>0</v>
      </c>
      <c r="J755" t="n">
        <v>0</v>
      </c>
      <c r="K755" t="n">
        <v>0</v>
      </c>
      <c r="L755" t="n">
        <v>0</v>
      </c>
      <c r="M755" t="n">
        <v>0</v>
      </c>
      <c r="N755" t="n">
        <v>0</v>
      </c>
      <c r="O755" t="n">
        <v>0</v>
      </c>
      <c r="P755" t="n">
        <v>0</v>
      </c>
      <c r="Q755" t="n">
        <v>0</v>
      </c>
      <c r="R755" s="2" t="inlineStr"/>
    </row>
    <row r="756" ht="15" customHeight="1">
      <c r="A756" t="inlineStr">
        <is>
          <t>A 33743-2023</t>
        </is>
      </c>
      <c r="B756" s="1" t="n">
        <v>45133</v>
      </c>
      <c r="C756" s="1" t="n">
        <v>45473</v>
      </c>
      <c r="D756" t="inlineStr">
        <is>
          <t>VÄSTMANLANDS LÄN</t>
        </is>
      </c>
      <c r="E756" t="inlineStr">
        <is>
          <t>SALA</t>
        </is>
      </c>
      <c r="G756" t="n">
        <v>4.6</v>
      </c>
      <c r="H756" t="n">
        <v>0</v>
      </c>
      <c r="I756" t="n">
        <v>0</v>
      </c>
      <c r="J756" t="n">
        <v>0</v>
      </c>
      <c r="K756" t="n">
        <v>0</v>
      </c>
      <c r="L756" t="n">
        <v>0</v>
      </c>
      <c r="M756" t="n">
        <v>0</v>
      </c>
      <c r="N756" t="n">
        <v>0</v>
      </c>
      <c r="O756" t="n">
        <v>0</v>
      </c>
      <c r="P756" t="n">
        <v>0</v>
      </c>
      <c r="Q756" t="n">
        <v>0</v>
      </c>
      <c r="R756" s="2" t="inlineStr"/>
    </row>
    <row r="757" ht="15" customHeight="1">
      <c r="A757" t="inlineStr">
        <is>
          <t>A 34494-2023</t>
        </is>
      </c>
      <c r="B757" s="1" t="n">
        <v>45133</v>
      </c>
      <c r="C757" s="1" t="n">
        <v>45473</v>
      </c>
      <c r="D757" t="inlineStr">
        <is>
          <t>VÄSTMANLANDS LÄN</t>
        </is>
      </c>
      <c r="E757" t="inlineStr">
        <is>
          <t>SALA</t>
        </is>
      </c>
      <c r="G757" t="n">
        <v>0.8</v>
      </c>
      <c r="H757" t="n">
        <v>0</v>
      </c>
      <c r="I757" t="n">
        <v>0</v>
      </c>
      <c r="J757" t="n">
        <v>0</v>
      </c>
      <c r="K757" t="n">
        <v>0</v>
      </c>
      <c r="L757" t="n">
        <v>0</v>
      </c>
      <c r="M757" t="n">
        <v>0</v>
      </c>
      <c r="N757" t="n">
        <v>0</v>
      </c>
      <c r="O757" t="n">
        <v>0</v>
      </c>
      <c r="P757" t="n">
        <v>0</v>
      </c>
      <c r="Q757" t="n">
        <v>0</v>
      </c>
      <c r="R757" s="2" t="inlineStr"/>
    </row>
    <row r="758" ht="15" customHeight="1">
      <c r="A758" t="inlineStr">
        <is>
          <t>A 34215-2023</t>
        </is>
      </c>
      <c r="B758" s="1" t="n">
        <v>45138</v>
      </c>
      <c r="C758" s="1" t="n">
        <v>45473</v>
      </c>
      <c r="D758" t="inlineStr">
        <is>
          <t>VÄSTMANLANDS LÄN</t>
        </is>
      </c>
      <c r="E758" t="inlineStr">
        <is>
          <t>SALA</t>
        </is>
      </c>
      <c r="G758" t="n">
        <v>0.9</v>
      </c>
      <c r="H758" t="n">
        <v>0</v>
      </c>
      <c r="I758" t="n">
        <v>0</v>
      </c>
      <c r="J758" t="n">
        <v>0</v>
      </c>
      <c r="K758" t="n">
        <v>0</v>
      </c>
      <c r="L758" t="n">
        <v>0</v>
      </c>
      <c r="M758" t="n">
        <v>0</v>
      </c>
      <c r="N758" t="n">
        <v>0</v>
      </c>
      <c r="O758" t="n">
        <v>0</v>
      </c>
      <c r="P758" t="n">
        <v>0</v>
      </c>
      <c r="Q758" t="n">
        <v>0</v>
      </c>
      <c r="R758" s="2" t="inlineStr"/>
    </row>
    <row r="759" ht="15" customHeight="1">
      <c r="A759" t="inlineStr">
        <is>
          <t>A 34867-2023</t>
        </is>
      </c>
      <c r="B759" s="1" t="n">
        <v>45142</v>
      </c>
      <c r="C759" s="1" t="n">
        <v>45473</v>
      </c>
      <c r="D759" t="inlineStr">
        <is>
          <t>VÄSTMANLANDS LÄN</t>
        </is>
      </c>
      <c r="E759" t="inlineStr">
        <is>
          <t>SALA</t>
        </is>
      </c>
      <c r="G759" t="n">
        <v>1.1</v>
      </c>
      <c r="H759" t="n">
        <v>0</v>
      </c>
      <c r="I759" t="n">
        <v>0</v>
      </c>
      <c r="J759" t="n">
        <v>0</v>
      </c>
      <c r="K759" t="n">
        <v>0</v>
      </c>
      <c r="L759" t="n">
        <v>0</v>
      </c>
      <c r="M759" t="n">
        <v>0</v>
      </c>
      <c r="N759" t="n">
        <v>0</v>
      </c>
      <c r="O759" t="n">
        <v>0</v>
      </c>
      <c r="P759" t="n">
        <v>0</v>
      </c>
      <c r="Q759" t="n">
        <v>0</v>
      </c>
      <c r="R759" s="2" t="inlineStr"/>
    </row>
    <row r="760" ht="15" customHeight="1">
      <c r="A760" t="inlineStr">
        <is>
          <t>A 35434-2023</t>
        </is>
      </c>
      <c r="B760" s="1" t="n">
        <v>45146</v>
      </c>
      <c r="C760" s="1" t="n">
        <v>45473</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36393-2023</t>
        </is>
      </c>
      <c r="B761" s="1" t="n">
        <v>45152</v>
      </c>
      <c r="C761" s="1" t="n">
        <v>45473</v>
      </c>
      <c r="D761" t="inlineStr">
        <is>
          <t>VÄSTMANLANDS LÄN</t>
        </is>
      </c>
      <c r="E761" t="inlineStr">
        <is>
          <t>SALA</t>
        </is>
      </c>
      <c r="G761" t="n">
        <v>0.9</v>
      </c>
      <c r="H761" t="n">
        <v>0</v>
      </c>
      <c r="I761" t="n">
        <v>0</v>
      </c>
      <c r="J761" t="n">
        <v>0</v>
      </c>
      <c r="K761" t="n">
        <v>0</v>
      </c>
      <c r="L761" t="n">
        <v>0</v>
      </c>
      <c r="M761" t="n">
        <v>0</v>
      </c>
      <c r="N761" t="n">
        <v>0</v>
      </c>
      <c r="O761" t="n">
        <v>0</v>
      </c>
      <c r="P761" t="n">
        <v>0</v>
      </c>
      <c r="Q761" t="n">
        <v>0</v>
      </c>
      <c r="R761" s="2" t="inlineStr"/>
    </row>
    <row r="762" ht="15" customHeight="1">
      <c r="A762" t="inlineStr">
        <is>
          <t>A 36858-2023</t>
        </is>
      </c>
      <c r="B762" s="1" t="n">
        <v>45154</v>
      </c>
      <c r="C762" s="1" t="n">
        <v>45473</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38773-2023</t>
        </is>
      </c>
      <c r="B763" s="1" t="n">
        <v>45161</v>
      </c>
      <c r="C763" s="1" t="n">
        <v>45473</v>
      </c>
      <c r="D763" t="inlineStr">
        <is>
          <t>VÄSTMANLANDS LÄN</t>
        </is>
      </c>
      <c r="E763" t="inlineStr">
        <is>
          <t>SALA</t>
        </is>
      </c>
      <c r="G763" t="n">
        <v>12.5</v>
      </c>
      <c r="H763" t="n">
        <v>0</v>
      </c>
      <c r="I763" t="n">
        <v>0</v>
      </c>
      <c r="J763" t="n">
        <v>0</v>
      </c>
      <c r="K763" t="n">
        <v>0</v>
      </c>
      <c r="L763" t="n">
        <v>0</v>
      </c>
      <c r="M763" t="n">
        <v>0</v>
      </c>
      <c r="N763" t="n">
        <v>0</v>
      </c>
      <c r="O763" t="n">
        <v>0</v>
      </c>
      <c r="P763" t="n">
        <v>0</v>
      </c>
      <c r="Q763" t="n">
        <v>0</v>
      </c>
      <c r="R763" s="2" t="inlineStr"/>
    </row>
    <row r="764" ht="15" customHeight="1">
      <c r="A764" t="inlineStr">
        <is>
          <t>A 38561-2023</t>
        </is>
      </c>
      <c r="B764" s="1" t="n">
        <v>45162</v>
      </c>
      <c r="C764" s="1" t="n">
        <v>45473</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39011-2023</t>
        </is>
      </c>
      <c r="B765" s="1" t="n">
        <v>45162</v>
      </c>
      <c r="C765" s="1" t="n">
        <v>45473</v>
      </c>
      <c r="D765" t="inlineStr">
        <is>
          <t>VÄSTMANLANDS LÄN</t>
        </is>
      </c>
      <c r="E765" t="inlineStr">
        <is>
          <t>SALA</t>
        </is>
      </c>
      <c r="G765" t="n">
        <v>1.6</v>
      </c>
      <c r="H765" t="n">
        <v>0</v>
      </c>
      <c r="I765" t="n">
        <v>0</v>
      </c>
      <c r="J765" t="n">
        <v>0</v>
      </c>
      <c r="K765" t="n">
        <v>0</v>
      </c>
      <c r="L765" t="n">
        <v>0</v>
      </c>
      <c r="M765" t="n">
        <v>0</v>
      </c>
      <c r="N765" t="n">
        <v>0</v>
      </c>
      <c r="O765" t="n">
        <v>0</v>
      </c>
      <c r="P765" t="n">
        <v>0</v>
      </c>
      <c r="Q765" t="n">
        <v>0</v>
      </c>
      <c r="R765" s="2" t="inlineStr"/>
    </row>
    <row r="766" ht="15" customHeight="1">
      <c r="A766" t="inlineStr">
        <is>
          <t>A 39604-2023</t>
        </is>
      </c>
      <c r="B766" s="1" t="n">
        <v>45163</v>
      </c>
      <c r="C766" s="1" t="n">
        <v>45473</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39714-2023</t>
        </is>
      </c>
      <c r="B767" s="1" t="n">
        <v>45167</v>
      </c>
      <c r="C767" s="1" t="n">
        <v>45473</v>
      </c>
      <c r="D767" t="inlineStr">
        <is>
          <t>VÄSTMANLANDS LÄN</t>
        </is>
      </c>
      <c r="E767" t="inlineStr">
        <is>
          <t>SALA</t>
        </is>
      </c>
      <c r="G767" t="n">
        <v>1.3</v>
      </c>
      <c r="H767" t="n">
        <v>0</v>
      </c>
      <c r="I767" t="n">
        <v>0</v>
      </c>
      <c r="J767" t="n">
        <v>0</v>
      </c>
      <c r="K767" t="n">
        <v>0</v>
      </c>
      <c r="L767" t="n">
        <v>0</v>
      </c>
      <c r="M767" t="n">
        <v>0</v>
      </c>
      <c r="N767" t="n">
        <v>0</v>
      </c>
      <c r="O767" t="n">
        <v>0</v>
      </c>
      <c r="P767" t="n">
        <v>0</v>
      </c>
      <c r="Q767" t="n">
        <v>0</v>
      </c>
      <c r="R767" s="2" t="inlineStr"/>
    </row>
    <row r="768" ht="15" customHeight="1">
      <c r="A768" t="inlineStr">
        <is>
          <t>A 39708-2023</t>
        </is>
      </c>
      <c r="B768" s="1" t="n">
        <v>45167</v>
      </c>
      <c r="C768" s="1" t="n">
        <v>45473</v>
      </c>
      <c r="D768" t="inlineStr">
        <is>
          <t>VÄSTMANLANDS LÄN</t>
        </is>
      </c>
      <c r="E768" t="inlineStr">
        <is>
          <t>SALA</t>
        </is>
      </c>
      <c r="G768" t="n">
        <v>5.3</v>
      </c>
      <c r="H768" t="n">
        <v>0</v>
      </c>
      <c r="I768" t="n">
        <v>0</v>
      </c>
      <c r="J768" t="n">
        <v>0</v>
      </c>
      <c r="K768" t="n">
        <v>0</v>
      </c>
      <c r="L768" t="n">
        <v>0</v>
      </c>
      <c r="M768" t="n">
        <v>0</v>
      </c>
      <c r="N768" t="n">
        <v>0</v>
      </c>
      <c r="O768" t="n">
        <v>0</v>
      </c>
      <c r="P768" t="n">
        <v>0</v>
      </c>
      <c r="Q768" t="n">
        <v>0</v>
      </c>
      <c r="R768" s="2" t="inlineStr"/>
    </row>
    <row r="769" ht="15" customHeight="1">
      <c r="A769" t="inlineStr">
        <is>
          <t>A 39713-2023</t>
        </is>
      </c>
      <c r="B769" s="1" t="n">
        <v>45167</v>
      </c>
      <c r="C769" s="1" t="n">
        <v>45473</v>
      </c>
      <c r="D769" t="inlineStr">
        <is>
          <t>VÄSTMANLANDS LÄN</t>
        </is>
      </c>
      <c r="E769" t="inlineStr">
        <is>
          <t>SALA</t>
        </is>
      </c>
      <c r="G769" t="n">
        <v>3.1</v>
      </c>
      <c r="H769" t="n">
        <v>0</v>
      </c>
      <c r="I769" t="n">
        <v>0</v>
      </c>
      <c r="J769" t="n">
        <v>0</v>
      </c>
      <c r="K769" t="n">
        <v>0</v>
      </c>
      <c r="L769" t="n">
        <v>0</v>
      </c>
      <c r="M769" t="n">
        <v>0</v>
      </c>
      <c r="N769" t="n">
        <v>0</v>
      </c>
      <c r="O769" t="n">
        <v>0</v>
      </c>
      <c r="P769" t="n">
        <v>0</v>
      </c>
      <c r="Q769" t="n">
        <v>0</v>
      </c>
      <c r="R769" s="2" t="inlineStr"/>
    </row>
    <row r="770" ht="15" customHeight="1">
      <c r="A770" t="inlineStr">
        <is>
          <t>A 40214-2023</t>
        </is>
      </c>
      <c r="B770" s="1" t="n">
        <v>45169</v>
      </c>
      <c r="C770" s="1" t="n">
        <v>45473</v>
      </c>
      <c r="D770" t="inlineStr">
        <is>
          <t>VÄSTMANLANDS LÄN</t>
        </is>
      </c>
      <c r="E770" t="inlineStr">
        <is>
          <t>SALA</t>
        </is>
      </c>
      <c r="G770" t="n">
        <v>5.5</v>
      </c>
      <c r="H770" t="n">
        <v>0</v>
      </c>
      <c r="I770" t="n">
        <v>0</v>
      </c>
      <c r="J770" t="n">
        <v>0</v>
      </c>
      <c r="K770" t="n">
        <v>0</v>
      </c>
      <c r="L770" t="n">
        <v>0</v>
      </c>
      <c r="M770" t="n">
        <v>0</v>
      </c>
      <c r="N770" t="n">
        <v>0</v>
      </c>
      <c r="O770" t="n">
        <v>0</v>
      </c>
      <c r="P770" t="n">
        <v>0</v>
      </c>
      <c r="Q770" t="n">
        <v>0</v>
      </c>
      <c r="R770" s="2" t="inlineStr"/>
    </row>
    <row r="771" ht="15" customHeight="1">
      <c r="A771" t="inlineStr">
        <is>
          <t>A 41613-2023</t>
        </is>
      </c>
      <c r="B771" s="1" t="n">
        <v>45173</v>
      </c>
      <c r="C771" s="1" t="n">
        <v>45473</v>
      </c>
      <c r="D771" t="inlineStr">
        <is>
          <t>VÄSTMANLANDS LÄN</t>
        </is>
      </c>
      <c r="E771" t="inlineStr">
        <is>
          <t>SALA</t>
        </is>
      </c>
      <c r="G771" t="n">
        <v>0.7</v>
      </c>
      <c r="H771" t="n">
        <v>0</v>
      </c>
      <c r="I771" t="n">
        <v>0</v>
      </c>
      <c r="J771" t="n">
        <v>0</v>
      </c>
      <c r="K771" t="n">
        <v>0</v>
      </c>
      <c r="L771" t="n">
        <v>0</v>
      </c>
      <c r="M771" t="n">
        <v>0</v>
      </c>
      <c r="N771" t="n">
        <v>0</v>
      </c>
      <c r="O771" t="n">
        <v>0</v>
      </c>
      <c r="P771" t="n">
        <v>0</v>
      </c>
      <c r="Q771" t="n">
        <v>0</v>
      </c>
      <c r="R771" s="2" t="inlineStr"/>
    </row>
    <row r="772" ht="15" customHeight="1">
      <c r="A772" t="inlineStr">
        <is>
          <t>A 41619-2023</t>
        </is>
      </c>
      <c r="B772" s="1" t="n">
        <v>45173</v>
      </c>
      <c r="C772" s="1" t="n">
        <v>45473</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42312-2023</t>
        </is>
      </c>
      <c r="B773" s="1" t="n">
        <v>45175</v>
      </c>
      <c r="C773" s="1" t="n">
        <v>45473</v>
      </c>
      <c r="D773" t="inlineStr">
        <is>
          <t>VÄSTMANLANDS LÄN</t>
        </is>
      </c>
      <c r="E773" t="inlineStr">
        <is>
          <t>SALA</t>
        </is>
      </c>
      <c r="G773" t="n">
        <v>2.2</v>
      </c>
      <c r="H773" t="n">
        <v>0</v>
      </c>
      <c r="I773" t="n">
        <v>0</v>
      </c>
      <c r="J773" t="n">
        <v>0</v>
      </c>
      <c r="K773" t="n">
        <v>0</v>
      </c>
      <c r="L773" t="n">
        <v>0</v>
      </c>
      <c r="M773" t="n">
        <v>0</v>
      </c>
      <c r="N773" t="n">
        <v>0</v>
      </c>
      <c r="O773" t="n">
        <v>0</v>
      </c>
      <c r="P773" t="n">
        <v>0</v>
      </c>
      <c r="Q773" t="n">
        <v>0</v>
      </c>
      <c r="R773" s="2" t="inlineStr"/>
    </row>
    <row r="774" ht="15" customHeight="1">
      <c r="A774" t="inlineStr">
        <is>
          <t>A 42938-2023</t>
        </is>
      </c>
      <c r="B774" s="1" t="n">
        <v>45179</v>
      </c>
      <c r="C774" s="1" t="n">
        <v>45473</v>
      </c>
      <c r="D774" t="inlineStr">
        <is>
          <t>VÄSTMANLANDS LÄN</t>
        </is>
      </c>
      <c r="E774" t="inlineStr">
        <is>
          <t>SALA</t>
        </is>
      </c>
      <c r="G774" t="n">
        <v>10.9</v>
      </c>
      <c r="H774" t="n">
        <v>0</v>
      </c>
      <c r="I774" t="n">
        <v>0</v>
      </c>
      <c r="J774" t="n">
        <v>0</v>
      </c>
      <c r="K774" t="n">
        <v>0</v>
      </c>
      <c r="L774" t="n">
        <v>0</v>
      </c>
      <c r="M774" t="n">
        <v>0</v>
      </c>
      <c r="N774" t="n">
        <v>0</v>
      </c>
      <c r="O774" t="n">
        <v>0</v>
      </c>
      <c r="P774" t="n">
        <v>0</v>
      </c>
      <c r="Q774" t="n">
        <v>0</v>
      </c>
      <c r="R774" s="2" t="inlineStr"/>
    </row>
    <row r="775" ht="15" customHeight="1">
      <c r="A775" t="inlineStr">
        <is>
          <t>A 42984-2023</t>
        </is>
      </c>
      <c r="B775" s="1" t="n">
        <v>45179</v>
      </c>
      <c r="C775" s="1" t="n">
        <v>45473</v>
      </c>
      <c r="D775" t="inlineStr">
        <is>
          <t>VÄSTMANLANDS LÄN</t>
        </is>
      </c>
      <c r="E775" t="inlineStr">
        <is>
          <t>SALA</t>
        </is>
      </c>
      <c r="G775" t="n">
        <v>1.1</v>
      </c>
      <c r="H775" t="n">
        <v>0</v>
      </c>
      <c r="I775" t="n">
        <v>0</v>
      </c>
      <c r="J775" t="n">
        <v>0</v>
      </c>
      <c r="K775" t="n">
        <v>0</v>
      </c>
      <c r="L775" t="n">
        <v>0</v>
      </c>
      <c r="M775" t="n">
        <v>0</v>
      </c>
      <c r="N775" t="n">
        <v>0</v>
      </c>
      <c r="O775" t="n">
        <v>0</v>
      </c>
      <c r="P775" t="n">
        <v>0</v>
      </c>
      <c r="Q775" t="n">
        <v>0</v>
      </c>
      <c r="R775" s="2" t="inlineStr"/>
    </row>
    <row r="776" ht="15" customHeight="1">
      <c r="A776" t="inlineStr">
        <is>
          <t>A 42991-2023</t>
        </is>
      </c>
      <c r="B776" s="1" t="n">
        <v>45179</v>
      </c>
      <c r="C776" s="1" t="n">
        <v>45473</v>
      </c>
      <c r="D776" t="inlineStr">
        <is>
          <t>VÄSTMANLANDS LÄN</t>
        </is>
      </c>
      <c r="E776" t="inlineStr">
        <is>
          <t>SALA</t>
        </is>
      </c>
      <c r="G776" t="n">
        <v>3.6</v>
      </c>
      <c r="H776" t="n">
        <v>0</v>
      </c>
      <c r="I776" t="n">
        <v>0</v>
      </c>
      <c r="J776" t="n">
        <v>0</v>
      </c>
      <c r="K776" t="n">
        <v>0</v>
      </c>
      <c r="L776" t="n">
        <v>0</v>
      </c>
      <c r="M776" t="n">
        <v>0</v>
      </c>
      <c r="N776" t="n">
        <v>0</v>
      </c>
      <c r="O776" t="n">
        <v>0</v>
      </c>
      <c r="P776" t="n">
        <v>0</v>
      </c>
      <c r="Q776" t="n">
        <v>0</v>
      </c>
      <c r="R776" s="2" t="inlineStr"/>
    </row>
    <row r="777" ht="15" customHeight="1">
      <c r="A777" t="inlineStr">
        <is>
          <t>A 44247-2023</t>
        </is>
      </c>
      <c r="B777" s="1" t="n">
        <v>45182</v>
      </c>
      <c r="C777" s="1" t="n">
        <v>45473</v>
      </c>
      <c r="D777" t="inlineStr">
        <is>
          <t>VÄSTMANLANDS LÄN</t>
        </is>
      </c>
      <c r="E777" t="inlineStr">
        <is>
          <t>SALA</t>
        </is>
      </c>
      <c r="G777" t="n">
        <v>1.7</v>
      </c>
      <c r="H777" t="n">
        <v>0</v>
      </c>
      <c r="I777" t="n">
        <v>0</v>
      </c>
      <c r="J777" t="n">
        <v>0</v>
      </c>
      <c r="K777" t="n">
        <v>0</v>
      </c>
      <c r="L777" t="n">
        <v>0</v>
      </c>
      <c r="M777" t="n">
        <v>0</v>
      </c>
      <c r="N777" t="n">
        <v>0</v>
      </c>
      <c r="O777" t="n">
        <v>0</v>
      </c>
      <c r="P777" t="n">
        <v>0</v>
      </c>
      <c r="Q777" t="n">
        <v>0</v>
      </c>
      <c r="R777" s="2" t="inlineStr"/>
    </row>
    <row r="778" ht="15" customHeight="1">
      <c r="A778" t="inlineStr">
        <is>
          <t>A 43188-2023</t>
        </is>
      </c>
      <c r="B778" s="1" t="n">
        <v>45183</v>
      </c>
      <c r="C778" s="1" t="n">
        <v>45473</v>
      </c>
      <c r="D778" t="inlineStr">
        <is>
          <t>VÄSTMANLANDS LÄN</t>
        </is>
      </c>
      <c r="E778" t="inlineStr">
        <is>
          <t>SALA</t>
        </is>
      </c>
      <c r="G778" t="n">
        <v>1.2</v>
      </c>
      <c r="H778" t="n">
        <v>0</v>
      </c>
      <c r="I778" t="n">
        <v>0</v>
      </c>
      <c r="J778" t="n">
        <v>0</v>
      </c>
      <c r="K778" t="n">
        <v>0</v>
      </c>
      <c r="L778" t="n">
        <v>0</v>
      </c>
      <c r="M778" t="n">
        <v>0</v>
      </c>
      <c r="N778" t="n">
        <v>0</v>
      </c>
      <c r="O778" t="n">
        <v>0</v>
      </c>
      <c r="P778" t="n">
        <v>0</v>
      </c>
      <c r="Q778" t="n">
        <v>0</v>
      </c>
      <c r="R778" s="2" t="inlineStr"/>
    </row>
    <row r="779" ht="15" customHeight="1">
      <c r="A779" t="inlineStr">
        <is>
          <t>A 43184-2023</t>
        </is>
      </c>
      <c r="B779" s="1" t="n">
        <v>45183</v>
      </c>
      <c r="C779" s="1" t="n">
        <v>45473</v>
      </c>
      <c r="D779" t="inlineStr">
        <is>
          <t>VÄSTMANLANDS LÄN</t>
        </is>
      </c>
      <c r="E779" t="inlineStr">
        <is>
          <t>SALA</t>
        </is>
      </c>
      <c r="G779" t="n">
        <v>1.6</v>
      </c>
      <c r="H779" t="n">
        <v>0</v>
      </c>
      <c r="I779" t="n">
        <v>0</v>
      </c>
      <c r="J779" t="n">
        <v>0</v>
      </c>
      <c r="K779" t="n">
        <v>0</v>
      </c>
      <c r="L779" t="n">
        <v>0</v>
      </c>
      <c r="M779" t="n">
        <v>0</v>
      </c>
      <c r="N779" t="n">
        <v>0</v>
      </c>
      <c r="O779" t="n">
        <v>0</v>
      </c>
      <c r="P779" t="n">
        <v>0</v>
      </c>
      <c r="Q779" t="n">
        <v>0</v>
      </c>
      <c r="R779" s="2" t="inlineStr"/>
    </row>
    <row r="780" ht="15" customHeight="1">
      <c r="A780" t="inlineStr">
        <is>
          <t>A 43205-2023</t>
        </is>
      </c>
      <c r="B780" s="1" t="n">
        <v>45183</v>
      </c>
      <c r="C780" s="1" t="n">
        <v>45473</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43176-2023</t>
        </is>
      </c>
      <c r="B781" s="1" t="n">
        <v>45183</v>
      </c>
      <c r="C781" s="1" t="n">
        <v>45473</v>
      </c>
      <c r="D781" t="inlineStr">
        <is>
          <t>VÄSTMANLANDS LÄN</t>
        </is>
      </c>
      <c r="E781" t="inlineStr">
        <is>
          <t>SALA</t>
        </is>
      </c>
      <c r="G781" t="n">
        <v>1.2</v>
      </c>
      <c r="H781" t="n">
        <v>0</v>
      </c>
      <c r="I781" t="n">
        <v>0</v>
      </c>
      <c r="J781" t="n">
        <v>0</v>
      </c>
      <c r="K781" t="n">
        <v>0</v>
      </c>
      <c r="L781" t="n">
        <v>0</v>
      </c>
      <c r="M781" t="n">
        <v>0</v>
      </c>
      <c r="N781" t="n">
        <v>0</v>
      </c>
      <c r="O781" t="n">
        <v>0</v>
      </c>
      <c r="P781" t="n">
        <v>0</v>
      </c>
      <c r="Q781" t="n">
        <v>0</v>
      </c>
      <c r="R781" s="2" t="inlineStr"/>
    </row>
    <row r="782" ht="15" customHeight="1">
      <c r="A782" t="inlineStr">
        <is>
          <t>A 43187-2023</t>
        </is>
      </c>
      <c r="B782" s="1" t="n">
        <v>45183</v>
      </c>
      <c r="C782" s="1" t="n">
        <v>45473</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43363-2023</t>
        </is>
      </c>
      <c r="B783" s="1" t="n">
        <v>45183</v>
      </c>
      <c r="C783" s="1" t="n">
        <v>45473</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43362-2023</t>
        </is>
      </c>
      <c r="B784" s="1" t="n">
        <v>45183</v>
      </c>
      <c r="C784" s="1" t="n">
        <v>45473</v>
      </c>
      <c r="D784" t="inlineStr">
        <is>
          <t>VÄSTMANLANDS LÄN</t>
        </is>
      </c>
      <c r="E784" t="inlineStr">
        <is>
          <t>SALA</t>
        </is>
      </c>
      <c r="G784" t="n">
        <v>2</v>
      </c>
      <c r="H784" t="n">
        <v>0</v>
      </c>
      <c r="I784" t="n">
        <v>0</v>
      </c>
      <c r="J784" t="n">
        <v>0</v>
      </c>
      <c r="K784" t="n">
        <v>0</v>
      </c>
      <c r="L784" t="n">
        <v>0</v>
      </c>
      <c r="M784" t="n">
        <v>0</v>
      </c>
      <c r="N784" t="n">
        <v>0</v>
      </c>
      <c r="O784" t="n">
        <v>0</v>
      </c>
      <c r="P784" t="n">
        <v>0</v>
      </c>
      <c r="Q784" t="n">
        <v>0</v>
      </c>
      <c r="R784" s="2" t="inlineStr"/>
    </row>
    <row r="785" ht="15" customHeight="1">
      <c r="A785" t="inlineStr">
        <is>
          <t>A 44713-2023</t>
        </is>
      </c>
      <c r="B785" s="1" t="n">
        <v>45184</v>
      </c>
      <c r="C785" s="1" t="n">
        <v>45473</v>
      </c>
      <c r="D785" t="inlineStr">
        <is>
          <t>VÄSTMANLANDS LÄN</t>
        </is>
      </c>
      <c r="E785" t="inlineStr">
        <is>
          <t>SALA</t>
        </is>
      </c>
      <c r="F785" t="inlineStr">
        <is>
          <t>Kyrkan</t>
        </is>
      </c>
      <c r="G785" t="n">
        <v>7.6</v>
      </c>
      <c r="H785" t="n">
        <v>0</v>
      </c>
      <c r="I785" t="n">
        <v>0</v>
      </c>
      <c r="J785" t="n">
        <v>0</v>
      </c>
      <c r="K785" t="n">
        <v>0</v>
      </c>
      <c r="L785" t="n">
        <v>0</v>
      </c>
      <c r="M785" t="n">
        <v>0</v>
      </c>
      <c r="N785" t="n">
        <v>0</v>
      </c>
      <c r="O785" t="n">
        <v>0</v>
      </c>
      <c r="P785" t="n">
        <v>0</v>
      </c>
      <c r="Q785" t="n">
        <v>0</v>
      </c>
      <c r="R785" s="2" t="inlineStr"/>
    </row>
    <row r="786" ht="15" customHeight="1">
      <c r="A786" t="inlineStr">
        <is>
          <t>A 44720-2023</t>
        </is>
      </c>
      <c r="B786" s="1" t="n">
        <v>45184</v>
      </c>
      <c r="C786" s="1" t="n">
        <v>45473</v>
      </c>
      <c r="D786" t="inlineStr">
        <is>
          <t>VÄSTMANLANDS LÄN</t>
        </is>
      </c>
      <c r="E786" t="inlineStr">
        <is>
          <t>SALA</t>
        </is>
      </c>
      <c r="F786" t="inlineStr">
        <is>
          <t>Kyrkan</t>
        </is>
      </c>
      <c r="G786" t="n">
        <v>2.3</v>
      </c>
      <c r="H786" t="n">
        <v>0</v>
      </c>
      <c r="I786" t="n">
        <v>0</v>
      </c>
      <c r="J786" t="n">
        <v>0</v>
      </c>
      <c r="K786" t="n">
        <v>0</v>
      </c>
      <c r="L786" t="n">
        <v>0</v>
      </c>
      <c r="M786" t="n">
        <v>0</v>
      </c>
      <c r="N786" t="n">
        <v>0</v>
      </c>
      <c r="O786" t="n">
        <v>0</v>
      </c>
      <c r="P786" t="n">
        <v>0</v>
      </c>
      <c r="Q786" t="n">
        <v>0</v>
      </c>
      <c r="R786" s="2" t="inlineStr"/>
    </row>
    <row r="787" ht="15" customHeight="1">
      <c r="A787" t="inlineStr">
        <is>
          <t>A 44297-2023</t>
        </is>
      </c>
      <c r="B787" s="1" t="n">
        <v>45188</v>
      </c>
      <c r="C787" s="1" t="n">
        <v>45473</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44846-2023</t>
        </is>
      </c>
      <c r="B788" s="1" t="n">
        <v>45190</v>
      </c>
      <c r="C788" s="1" t="n">
        <v>45473</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44857-2023</t>
        </is>
      </c>
      <c r="B789" s="1" t="n">
        <v>45190</v>
      </c>
      <c r="C789" s="1" t="n">
        <v>45473</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46352-2023</t>
        </is>
      </c>
      <c r="B790" s="1" t="n">
        <v>45192</v>
      </c>
      <c r="C790" s="1" t="n">
        <v>45473</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46355-2023</t>
        </is>
      </c>
      <c r="B791" s="1" t="n">
        <v>45192</v>
      </c>
      <c r="C791" s="1" t="n">
        <v>45473</v>
      </c>
      <c r="D791" t="inlineStr">
        <is>
          <t>VÄSTMANLANDS LÄN</t>
        </is>
      </c>
      <c r="E791" t="inlineStr">
        <is>
          <t>SALA</t>
        </is>
      </c>
      <c r="G791" t="n">
        <v>12</v>
      </c>
      <c r="H791" t="n">
        <v>0</v>
      </c>
      <c r="I791" t="n">
        <v>0</v>
      </c>
      <c r="J791" t="n">
        <v>0</v>
      </c>
      <c r="K791" t="n">
        <v>0</v>
      </c>
      <c r="L791" t="n">
        <v>0</v>
      </c>
      <c r="M791" t="n">
        <v>0</v>
      </c>
      <c r="N791" t="n">
        <v>0</v>
      </c>
      <c r="O791" t="n">
        <v>0</v>
      </c>
      <c r="P791" t="n">
        <v>0</v>
      </c>
      <c r="Q791" t="n">
        <v>0</v>
      </c>
      <c r="R791" s="2" t="inlineStr"/>
    </row>
    <row r="792" ht="15" customHeight="1">
      <c r="A792" t="inlineStr">
        <is>
          <t>A 46350-2023</t>
        </is>
      </c>
      <c r="B792" s="1" t="n">
        <v>45192</v>
      </c>
      <c r="C792" s="1" t="n">
        <v>45473</v>
      </c>
      <c r="D792" t="inlineStr">
        <is>
          <t>VÄSTMANLANDS LÄN</t>
        </is>
      </c>
      <c r="E792" t="inlineStr">
        <is>
          <t>SALA</t>
        </is>
      </c>
      <c r="G792" t="n">
        <v>4.8</v>
      </c>
      <c r="H792" t="n">
        <v>0</v>
      </c>
      <c r="I792" t="n">
        <v>0</v>
      </c>
      <c r="J792" t="n">
        <v>0</v>
      </c>
      <c r="K792" t="n">
        <v>0</v>
      </c>
      <c r="L792" t="n">
        <v>0</v>
      </c>
      <c r="M792" t="n">
        <v>0</v>
      </c>
      <c r="N792" t="n">
        <v>0</v>
      </c>
      <c r="O792" t="n">
        <v>0</v>
      </c>
      <c r="P792" t="n">
        <v>0</v>
      </c>
      <c r="Q792" t="n">
        <v>0</v>
      </c>
      <c r="R792" s="2" t="inlineStr"/>
    </row>
    <row r="793" ht="15" customHeight="1">
      <c r="A793" t="inlineStr">
        <is>
          <t>A 45531-2023</t>
        </is>
      </c>
      <c r="B793" s="1" t="n">
        <v>45194</v>
      </c>
      <c r="C793" s="1" t="n">
        <v>45473</v>
      </c>
      <c r="D793" t="inlineStr">
        <is>
          <t>VÄSTMANLANDS LÄN</t>
        </is>
      </c>
      <c r="E793" t="inlineStr">
        <is>
          <t>SALA</t>
        </is>
      </c>
      <c r="G793" t="n">
        <v>0.7</v>
      </c>
      <c r="H793" t="n">
        <v>0</v>
      </c>
      <c r="I793" t="n">
        <v>0</v>
      </c>
      <c r="J793" t="n">
        <v>0</v>
      </c>
      <c r="K793" t="n">
        <v>0</v>
      </c>
      <c r="L793" t="n">
        <v>0</v>
      </c>
      <c r="M793" t="n">
        <v>0</v>
      </c>
      <c r="N793" t="n">
        <v>0</v>
      </c>
      <c r="O793" t="n">
        <v>0</v>
      </c>
      <c r="P793" t="n">
        <v>0</v>
      </c>
      <c r="Q793" t="n">
        <v>0</v>
      </c>
      <c r="R793" s="2" t="inlineStr"/>
    </row>
    <row r="794" ht="15" customHeight="1">
      <c r="A794" t="inlineStr">
        <is>
          <t>A 45602-2023</t>
        </is>
      </c>
      <c r="B794" s="1" t="n">
        <v>45194</v>
      </c>
      <c r="C794" s="1" t="n">
        <v>45473</v>
      </c>
      <c r="D794" t="inlineStr">
        <is>
          <t>VÄSTMANLANDS LÄN</t>
        </is>
      </c>
      <c r="E794" t="inlineStr">
        <is>
          <t>SALA</t>
        </is>
      </c>
      <c r="G794" t="n">
        <v>1.9</v>
      </c>
      <c r="H794" t="n">
        <v>0</v>
      </c>
      <c r="I794" t="n">
        <v>0</v>
      </c>
      <c r="J794" t="n">
        <v>0</v>
      </c>
      <c r="K794" t="n">
        <v>0</v>
      </c>
      <c r="L794" t="n">
        <v>0</v>
      </c>
      <c r="M794" t="n">
        <v>0</v>
      </c>
      <c r="N794" t="n">
        <v>0</v>
      </c>
      <c r="O794" t="n">
        <v>0</v>
      </c>
      <c r="P794" t="n">
        <v>0</v>
      </c>
      <c r="Q794" t="n">
        <v>0</v>
      </c>
      <c r="R794" s="2" t="inlineStr"/>
    </row>
    <row r="795" ht="15" customHeight="1">
      <c r="A795" t="inlineStr">
        <is>
          <t>A 45790-2023</t>
        </is>
      </c>
      <c r="B795" s="1" t="n">
        <v>45195</v>
      </c>
      <c r="C795" s="1" t="n">
        <v>45473</v>
      </c>
      <c r="D795" t="inlineStr">
        <is>
          <t>VÄSTMANLANDS LÄN</t>
        </is>
      </c>
      <c r="E795" t="inlineStr">
        <is>
          <t>SALA</t>
        </is>
      </c>
      <c r="G795" t="n">
        <v>5.7</v>
      </c>
      <c r="H795" t="n">
        <v>0</v>
      </c>
      <c r="I795" t="n">
        <v>0</v>
      </c>
      <c r="J795" t="n">
        <v>0</v>
      </c>
      <c r="K795" t="n">
        <v>0</v>
      </c>
      <c r="L795" t="n">
        <v>0</v>
      </c>
      <c r="M795" t="n">
        <v>0</v>
      </c>
      <c r="N795" t="n">
        <v>0</v>
      </c>
      <c r="O795" t="n">
        <v>0</v>
      </c>
      <c r="P795" t="n">
        <v>0</v>
      </c>
      <c r="Q795" t="n">
        <v>0</v>
      </c>
      <c r="R795" s="2" t="inlineStr"/>
    </row>
    <row r="796" ht="15" customHeight="1">
      <c r="A796" t="inlineStr">
        <is>
          <t>A 46226-2023</t>
        </is>
      </c>
      <c r="B796" s="1" t="n">
        <v>45196</v>
      </c>
      <c r="C796" s="1" t="n">
        <v>45473</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47501-2023</t>
        </is>
      </c>
      <c r="B797" s="1" t="n">
        <v>45202</v>
      </c>
      <c r="C797" s="1" t="n">
        <v>45473</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50876-2023</t>
        </is>
      </c>
      <c r="B798" s="1" t="n">
        <v>45211</v>
      </c>
      <c r="C798" s="1" t="n">
        <v>45473</v>
      </c>
      <c r="D798" t="inlineStr">
        <is>
          <t>VÄSTMANLANDS LÄN</t>
        </is>
      </c>
      <c r="E798" t="inlineStr">
        <is>
          <t>SALA</t>
        </is>
      </c>
      <c r="G798" t="n">
        <v>1.9</v>
      </c>
      <c r="H798" t="n">
        <v>0</v>
      </c>
      <c r="I798" t="n">
        <v>0</v>
      </c>
      <c r="J798" t="n">
        <v>0</v>
      </c>
      <c r="K798" t="n">
        <v>0</v>
      </c>
      <c r="L798" t="n">
        <v>0</v>
      </c>
      <c r="M798" t="n">
        <v>0</v>
      </c>
      <c r="N798" t="n">
        <v>0</v>
      </c>
      <c r="O798" t="n">
        <v>0</v>
      </c>
      <c r="P798" t="n">
        <v>0</v>
      </c>
      <c r="Q798" t="n">
        <v>0</v>
      </c>
      <c r="R798" s="2" t="inlineStr"/>
    </row>
    <row r="799" ht="15" customHeight="1">
      <c r="A799" t="inlineStr">
        <is>
          <t>A 50241-2023</t>
        </is>
      </c>
      <c r="B799" s="1" t="n">
        <v>45216</v>
      </c>
      <c r="C799" s="1" t="n">
        <v>45473</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51203-2023</t>
        </is>
      </c>
      <c r="B800" s="1" t="n">
        <v>45219</v>
      </c>
      <c r="C800" s="1" t="n">
        <v>45473</v>
      </c>
      <c r="D800" t="inlineStr">
        <is>
          <t>VÄSTMANLANDS LÄN</t>
        </is>
      </c>
      <c r="E800" t="inlineStr">
        <is>
          <t>SALA</t>
        </is>
      </c>
      <c r="F800" t="inlineStr">
        <is>
          <t>Kommuner</t>
        </is>
      </c>
      <c r="G800" t="n">
        <v>2.7</v>
      </c>
      <c r="H800" t="n">
        <v>0</v>
      </c>
      <c r="I800" t="n">
        <v>0</v>
      </c>
      <c r="J800" t="n">
        <v>0</v>
      </c>
      <c r="K800" t="n">
        <v>0</v>
      </c>
      <c r="L800" t="n">
        <v>0</v>
      </c>
      <c r="M800" t="n">
        <v>0</v>
      </c>
      <c r="N800" t="n">
        <v>0</v>
      </c>
      <c r="O800" t="n">
        <v>0</v>
      </c>
      <c r="P800" t="n">
        <v>0</v>
      </c>
      <c r="Q800" t="n">
        <v>0</v>
      </c>
      <c r="R800" s="2" t="inlineStr"/>
    </row>
    <row r="801" ht="15" customHeight="1">
      <c r="A801" t="inlineStr">
        <is>
          <t>A 51848-2023</t>
        </is>
      </c>
      <c r="B801" s="1" t="n">
        <v>45223</v>
      </c>
      <c r="C801" s="1" t="n">
        <v>45473</v>
      </c>
      <c r="D801" t="inlineStr">
        <is>
          <t>VÄSTMANLANDS LÄN</t>
        </is>
      </c>
      <c r="E801" t="inlineStr">
        <is>
          <t>SALA</t>
        </is>
      </c>
      <c r="G801" t="n">
        <v>7</v>
      </c>
      <c r="H801" t="n">
        <v>0</v>
      </c>
      <c r="I801" t="n">
        <v>0</v>
      </c>
      <c r="J801" t="n">
        <v>0</v>
      </c>
      <c r="K801" t="n">
        <v>0</v>
      </c>
      <c r="L801" t="n">
        <v>0</v>
      </c>
      <c r="M801" t="n">
        <v>0</v>
      </c>
      <c r="N801" t="n">
        <v>0</v>
      </c>
      <c r="O801" t="n">
        <v>0</v>
      </c>
      <c r="P801" t="n">
        <v>0</v>
      </c>
      <c r="Q801" t="n">
        <v>0</v>
      </c>
      <c r="R801" s="2" t="inlineStr"/>
    </row>
    <row r="802" ht="15" customHeight="1">
      <c r="A802" t="inlineStr">
        <is>
          <t>A 52654-2023</t>
        </is>
      </c>
      <c r="B802" s="1" t="n">
        <v>45225</v>
      </c>
      <c r="C802" s="1" t="n">
        <v>45473</v>
      </c>
      <c r="D802" t="inlineStr">
        <is>
          <t>VÄSTMANLANDS LÄN</t>
        </is>
      </c>
      <c r="E802" t="inlineStr">
        <is>
          <t>SALA</t>
        </is>
      </c>
      <c r="G802" t="n">
        <v>4.6</v>
      </c>
      <c r="H802" t="n">
        <v>0</v>
      </c>
      <c r="I802" t="n">
        <v>0</v>
      </c>
      <c r="J802" t="n">
        <v>0</v>
      </c>
      <c r="K802" t="n">
        <v>0</v>
      </c>
      <c r="L802" t="n">
        <v>0</v>
      </c>
      <c r="M802" t="n">
        <v>0</v>
      </c>
      <c r="N802" t="n">
        <v>0</v>
      </c>
      <c r="O802" t="n">
        <v>0</v>
      </c>
      <c r="P802" t="n">
        <v>0</v>
      </c>
      <c r="Q802" t="n">
        <v>0</v>
      </c>
      <c r="R802" s="2" t="inlineStr"/>
    </row>
    <row r="803" ht="15" customHeight="1">
      <c r="A803" t="inlineStr">
        <is>
          <t>A 54910-2023</t>
        </is>
      </c>
      <c r="B803" s="1" t="n">
        <v>45229</v>
      </c>
      <c r="C803" s="1" t="n">
        <v>45473</v>
      </c>
      <c r="D803" t="inlineStr">
        <is>
          <t>VÄSTMANLANDS LÄN</t>
        </is>
      </c>
      <c r="E803" t="inlineStr">
        <is>
          <t>SALA</t>
        </is>
      </c>
      <c r="G803" t="n">
        <v>2.4</v>
      </c>
      <c r="H803" t="n">
        <v>0</v>
      </c>
      <c r="I803" t="n">
        <v>0</v>
      </c>
      <c r="J803" t="n">
        <v>0</v>
      </c>
      <c r="K803" t="n">
        <v>0</v>
      </c>
      <c r="L803" t="n">
        <v>0</v>
      </c>
      <c r="M803" t="n">
        <v>0</v>
      </c>
      <c r="N803" t="n">
        <v>0</v>
      </c>
      <c r="O803" t="n">
        <v>0</v>
      </c>
      <c r="P803" t="n">
        <v>0</v>
      </c>
      <c r="Q803" t="n">
        <v>0</v>
      </c>
      <c r="R803" s="2" t="inlineStr"/>
    </row>
    <row r="804" ht="15" customHeight="1">
      <c r="A804" t="inlineStr">
        <is>
          <t>A 55024-2023</t>
        </is>
      </c>
      <c r="B804" s="1" t="n">
        <v>45229</v>
      </c>
      <c r="C804" s="1" t="n">
        <v>45473</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55032-2023</t>
        </is>
      </c>
      <c r="B805" s="1" t="n">
        <v>45229</v>
      </c>
      <c r="C805" s="1" t="n">
        <v>45473</v>
      </c>
      <c r="D805" t="inlineStr">
        <is>
          <t>VÄSTMANLANDS LÄN</t>
        </is>
      </c>
      <c r="E805" t="inlineStr">
        <is>
          <t>SALA</t>
        </is>
      </c>
      <c r="G805" t="n">
        <v>1.5</v>
      </c>
      <c r="H805" t="n">
        <v>0</v>
      </c>
      <c r="I805" t="n">
        <v>0</v>
      </c>
      <c r="J805" t="n">
        <v>0</v>
      </c>
      <c r="K805" t="n">
        <v>0</v>
      </c>
      <c r="L805" t="n">
        <v>0</v>
      </c>
      <c r="M805" t="n">
        <v>0</v>
      </c>
      <c r="N805" t="n">
        <v>0</v>
      </c>
      <c r="O805" t="n">
        <v>0</v>
      </c>
      <c r="P805" t="n">
        <v>0</v>
      </c>
      <c r="Q805" t="n">
        <v>0</v>
      </c>
      <c r="R805" s="2" t="inlineStr"/>
    </row>
    <row r="806" ht="15" customHeight="1">
      <c r="A806" t="inlineStr">
        <is>
          <t>A 55035-2023</t>
        </is>
      </c>
      <c r="B806" s="1" t="n">
        <v>45229</v>
      </c>
      <c r="C806" s="1" t="n">
        <v>45473</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55040-2023</t>
        </is>
      </c>
      <c r="B807" s="1" t="n">
        <v>45229</v>
      </c>
      <c r="C807" s="1" t="n">
        <v>45473</v>
      </c>
      <c r="D807" t="inlineStr">
        <is>
          <t>VÄSTMANLANDS LÄN</t>
        </is>
      </c>
      <c r="E807" t="inlineStr">
        <is>
          <t>SALA</t>
        </is>
      </c>
      <c r="G807" t="n">
        <v>3.3</v>
      </c>
      <c r="H807" t="n">
        <v>0</v>
      </c>
      <c r="I807" t="n">
        <v>0</v>
      </c>
      <c r="J807" t="n">
        <v>0</v>
      </c>
      <c r="K807" t="n">
        <v>0</v>
      </c>
      <c r="L807" t="n">
        <v>0</v>
      </c>
      <c r="M807" t="n">
        <v>0</v>
      </c>
      <c r="N807" t="n">
        <v>0</v>
      </c>
      <c r="O807" t="n">
        <v>0</v>
      </c>
      <c r="P807" t="n">
        <v>0</v>
      </c>
      <c r="Q807" t="n">
        <v>0</v>
      </c>
      <c r="R807" s="2" t="inlineStr"/>
    </row>
    <row r="808" ht="15" customHeight="1">
      <c r="A808" t="inlineStr">
        <is>
          <t>A 53877-2023</t>
        </is>
      </c>
      <c r="B808" s="1" t="n">
        <v>45231</v>
      </c>
      <c r="C808" s="1" t="n">
        <v>45473</v>
      </c>
      <c r="D808" t="inlineStr">
        <is>
          <t>VÄSTMANLANDS LÄN</t>
        </is>
      </c>
      <c r="E808" t="inlineStr">
        <is>
          <t>SALA</t>
        </is>
      </c>
      <c r="G808" t="n">
        <v>3.2</v>
      </c>
      <c r="H808" t="n">
        <v>0</v>
      </c>
      <c r="I808" t="n">
        <v>0</v>
      </c>
      <c r="J808" t="n">
        <v>0</v>
      </c>
      <c r="K808" t="n">
        <v>0</v>
      </c>
      <c r="L808" t="n">
        <v>0</v>
      </c>
      <c r="M808" t="n">
        <v>0</v>
      </c>
      <c r="N808" t="n">
        <v>0</v>
      </c>
      <c r="O808" t="n">
        <v>0</v>
      </c>
      <c r="P808" t="n">
        <v>0</v>
      </c>
      <c r="Q808" t="n">
        <v>0</v>
      </c>
      <c r="R808" s="2" t="inlineStr"/>
    </row>
    <row r="809" ht="15" customHeight="1">
      <c r="A809" t="inlineStr">
        <is>
          <t>A 53951-2023</t>
        </is>
      </c>
      <c r="B809" s="1" t="n">
        <v>45231</v>
      </c>
      <c r="C809" s="1" t="n">
        <v>45473</v>
      </c>
      <c r="D809" t="inlineStr">
        <is>
          <t>VÄSTMANLANDS LÄN</t>
        </is>
      </c>
      <c r="E809" t="inlineStr">
        <is>
          <t>SALA</t>
        </is>
      </c>
      <c r="F809" t="inlineStr">
        <is>
          <t>Kommuner</t>
        </is>
      </c>
      <c r="G809" t="n">
        <v>8.4</v>
      </c>
      <c r="H809" t="n">
        <v>0</v>
      </c>
      <c r="I809" t="n">
        <v>0</v>
      </c>
      <c r="J809" t="n">
        <v>0</v>
      </c>
      <c r="K809" t="n">
        <v>0</v>
      </c>
      <c r="L809" t="n">
        <v>0</v>
      </c>
      <c r="M809" t="n">
        <v>0</v>
      </c>
      <c r="N809" t="n">
        <v>0</v>
      </c>
      <c r="O809" t="n">
        <v>0</v>
      </c>
      <c r="P809" t="n">
        <v>0</v>
      </c>
      <c r="Q809" t="n">
        <v>0</v>
      </c>
      <c r="R809" s="2" t="inlineStr"/>
      <c r="U809">
        <f>HYPERLINK("https://klasma.github.io/Logging_1981/knärot/A 53951-2023 karta knärot.png", "A 53951-2023")</f>
        <v/>
      </c>
      <c r="V809">
        <f>HYPERLINK("https://klasma.github.io/Logging_1981/klagomål/A 53951-2023 FSC-klagomål.docx", "A 53951-2023")</f>
        <v/>
      </c>
      <c r="W809">
        <f>HYPERLINK("https://klasma.github.io/Logging_1981/klagomålsmail/A 53951-2023 FSC-klagomål mail.docx", "A 53951-2023")</f>
        <v/>
      </c>
      <c r="X809">
        <f>HYPERLINK("https://klasma.github.io/Logging_1981/tillsyn/A 53951-2023 tillsynsbegäran.docx", "A 53951-2023")</f>
        <v/>
      </c>
      <c r="Y809">
        <f>HYPERLINK("https://klasma.github.io/Logging_1981/tillsynsmail/A 53951-2023 tillsynsbegäran mail.docx", "A 53951-2023")</f>
        <v/>
      </c>
    </row>
    <row r="810" ht="15" customHeight="1">
      <c r="A810" t="inlineStr">
        <is>
          <t>A 54125-2023</t>
        </is>
      </c>
      <c r="B810" s="1" t="n">
        <v>45232</v>
      </c>
      <c r="C810" s="1" t="n">
        <v>45473</v>
      </c>
      <c r="D810" t="inlineStr">
        <is>
          <t>VÄSTMANLANDS LÄN</t>
        </is>
      </c>
      <c r="E810" t="inlineStr">
        <is>
          <t>SALA</t>
        </is>
      </c>
      <c r="G810" t="n">
        <v>3.7</v>
      </c>
      <c r="H810" t="n">
        <v>0</v>
      </c>
      <c r="I810" t="n">
        <v>0</v>
      </c>
      <c r="J810" t="n">
        <v>0</v>
      </c>
      <c r="K810" t="n">
        <v>0</v>
      </c>
      <c r="L810" t="n">
        <v>0</v>
      </c>
      <c r="M810" t="n">
        <v>0</v>
      </c>
      <c r="N810" t="n">
        <v>0</v>
      </c>
      <c r="O810" t="n">
        <v>0</v>
      </c>
      <c r="P810" t="n">
        <v>0</v>
      </c>
      <c r="Q810" t="n">
        <v>0</v>
      </c>
      <c r="R810" s="2" t="inlineStr"/>
    </row>
    <row r="811" ht="15" customHeight="1">
      <c r="A811" t="inlineStr">
        <is>
          <t>A 54114-2023</t>
        </is>
      </c>
      <c r="B811" s="1" t="n">
        <v>45232</v>
      </c>
      <c r="C811" s="1" t="n">
        <v>45473</v>
      </c>
      <c r="D811" t="inlineStr">
        <is>
          <t>VÄSTMANLANDS LÄN</t>
        </is>
      </c>
      <c r="E811" t="inlineStr">
        <is>
          <t>SALA</t>
        </is>
      </c>
      <c r="G811" t="n">
        <v>1.6</v>
      </c>
      <c r="H811" t="n">
        <v>0</v>
      </c>
      <c r="I811" t="n">
        <v>0</v>
      </c>
      <c r="J811" t="n">
        <v>0</v>
      </c>
      <c r="K811" t="n">
        <v>0</v>
      </c>
      <c r="L811" t="n">
        <v>0</v>
      </c>
      <c r="M811" t="n">
        <v>0</v>
      </c>
      <c r="N811" t="n">
        <v>0</v>
      </c>
      <c r="O811" t="n">
        <v>0</v>
      </c>
      <c r="P811" t="n">
        <v>0</v>
      </c>
      <c r="Q811" t="n">
        <v>0</v>
      </c>
      <c r="R811" s="2" t="inlineStr"/>
    </row>
    <row r="812" ht="15" customHeight="1">
      <c r="A812" t="inlineStr">
        <is>
          <t>A 54118-2023</t>
        </is>
      </c>
      <c r="B812" s="1" t="n">
        <v>45232</v>
      </c>
      <c r="C812" s="1" t="n">
        <v>45473</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55556-2023</t>
        </is>
      </c>
      <c r="B813" s="1" t="n">
        <v>45232</v>
      </c>
      <c r="C813" s="1" t="n">
        <v>45473</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55550-2023</t>
        </is>
      </c>
      <c r="B814" s="1" t="n">
        <v>45232</v>
      </c>
      <c r="C814" s="1" t="n">
        <v>45473</v>
      </c>
      <c r="D814" t="inlineStr">
        <is>
          <t>VÄSTMANLANDS LÄN</t>
        </is>
      </c>
      <c r="E814" t="inlineStr">
        <is>
          <t>SALA</t>
        </is>
      </c>
      <c r="G814" t="n">
        <v>9.9</v>
      </c>
      <c r="H814" t="n">
        <v>0</v>
      </c>
      <c r="I814" t="n">
        <v>0</v>
      </c>
      <c r="J814" t="n">
        <v>0</v>
      </c>
      <c r="K814" t="n">
        <v>0</v>
      </c>
      <c r="L814" t="n">
        <v>0</v>
      </c>
      <c r="M814" t="n">
        <v>0</v>
      </c>
      <c r="N814" t="n">
        <v>0</v>
      </c>
      <c r="O814" t="n">
        <v>0</v>
      </c>
      <c r="P814" t="n">
        <v>0</v>
      </c>
      <c r="Q814" t="n">
        <v>0</v>
      </c>
      <c r="R814" s="2" t="inlineStr"/>
    </row>
    <row r="815" ht="15" customHeight="1">
      <c r="A815" t="inlineStr">
        <is>
          <t>A 56057-2023</t>
        </is>
      </c>
      <c r="B815" s="1" t="n">
        <v>45233</v>
      </c>
      <c r="C815" s="1" t="n">
        <v>45473</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56064-2023</t>
        </is>
      </c>
      <c r="B816" s="1" t="n">
        <v>45233</v>
      </c>
      <c r="C816" s="1" t="n">
        <v>45473</v>
      </c>
      <c r="D816" t="inlineStr">
        <is>
          <t>VÄSTMANLANDS LÄN</t>
        </is>
      </c>
      <c r="E816" t="inlineStr">
        <is>
          <t>SALA</t>
        </is>
      </c>
      <c r="G816" t="n">
        <v>0.8</v>
      </c>
      <c r="H816" t="n">
        <v>0</v>
      </c>
      <c r="I816" t="n">
        <v>0</v>
      </c>
      <c r="J816" t="n">
        <v>0</v>
      </c>
      <c r="K816" t="n">
        <v>0</v>
      </c>
      <c r="L816" t="n">
        <v>0</v>
      </c>
      <c r="M816" t="n">
        <v>0</v>
      </c>
      <c r="N816" t="n">
        <v>0</v>
      </c>
      <c r="O816" t="n">
        <v>0</v>
      </c>
      <c r="P816" t="n">
        <v>0</v>
      </c>
      <c r="Q816" t="n">
        <v>0</v>
      </c>
      <c r="R816" s="2" t="inlineStr"/>
    </row>
    <row r="817" ht="15" customHeight="1">
      <c r="A817" t="inlineStr">
        <is>
          <t>A 55504-2023</t>
        </is>
      </c>
      <c r="B817" s="1" t="n">
        <v>45238</v>
      </c>
      <c r="C817" s="1" t="n">
        <v>45473</v>
      </c>
      <c r="D817" t="inlineStr">
        <is>
          <t>VÄSTMANLANDS LÄN</t>
        </is>
      </c>
      <c r="E817" t="inlineStr">
        <is>
          <t>SALA</t>
        </is>
      </c>
      <c r="G817" t="n">
        <v>4</v>
      </c>
      <c r="H817" t="n">
        <v>0</v>
      </c>
      <c r="I817" t="n">
        <v>0</v>
      </c>
      <c r="J817" t="n">
        <v>0</v>
      </c>
      <c r="K817" t="n">
        <v>0</v>
      </c>
      <c r="L817" t="n">
        <v>0</v>
      </c>
      <c r="M817" t="n">
        <v>0</v>
      </c>
      <c r="N817" t="n">
        <v>0</v>
      </c>
      <c r="O817" t="n">
        <v>0</v>
      </c>
      <c r="P817" t="n">
        <v>0</v>
      </c>
      <c r="Q817" t="n">
        <v>0</v>
      </c>
      <c r="R817" s="2" t="inlineStr"/>
    </row>
    <row r="818" ht="15" customHeight="1">
      <c r="A818" t="inlineStr">
        <is>
          <t>A 55474-2023</t>
        </is>
      </c>
      <c r="B818" s="1" t="n">
        <v>45238</v>
      </c>
      <c r="C818" s="1" t="n">
        <v>45473</v>
      </c>
      <c r="D818" t="inlineStr">
        <is>
          <t>VÄSTMANLANDS LÄN</t>
        </is>
      </c>
      <c r="E818" t="inlineStr">
        <is>
          <t>SALA</t>
        </is>
      </c>
      <c r="G818" t="n">
        <v>2.4</v>
      </c>
      <c r="H818" t="n">
        <v>0</v>
      </c>
      <c r="I818" t="n">
        <v>0</v>
      </c>
      <c r="J818" t="n">
        <v>0</v>
      </c>
      <c r="K818" t="n">
        <v>0</v>
      </c>
      <c r="L818" t="n">
        <v>0</v>
      </c>
      <c r="M818" t="n">
        <v>0</v>
      </c>
      <c r="N818" t="n">
        <v>0</v>
      </c>
      <c r="O818" t="n">
        <v>0</v>
      </c>
      <c r="P818" t="n">
        <v>0</v>
      </c>
      <c r="Q818" t="n">
        <v>0</v>
      </c>
      <c r="R818" s="2" t="inlineStr"/>
    </row>
    <row r="819" ht="15" customHeight="1">
      <c r="A819" t="inlineStr">
        <is>
          <t>A 56956-2023</t>
        </is>
      </c>
      <c r="B819" s="1" t="n">
        <v>45244</v>
      </c>
      <c r="C819" s="1" t="n">
        <v>45473</v>
      </c>
      <c r="D819" t="inlineStr">
        <is>
          <t>VÄSTMANLANDS LÄN</t>
        </is>
      </c>
      <c r="E819" t="inlineStr">
        <is>
          <t>SALA</t>
        </is>
      </c>
      <c r="G819" t="n">
        <v>6.5</v>
      </c>
      <c r="H819" t="n">
        <v>0</v>
      </c>
      <c r="I819" t="n">
        <v>0</v>
      </c>
      <c r="J819" t="n">
        <v>0</v>
      </c>
      <c r="K819" t="n">
        <v>0</v>
      </c>
      <c r="L819" t="n">
        <v>0</v>
      </c>
      <c r="M819" t="n">
        <v>0</v>
      </c>
      <c r="N819" t="n">
        <v>0</v>
      </c>
      <c r="O819" t="n">
        <v>0</v>
      </c>
      <c r="P819" t="n">
        <v>0</v>
      </c>
      <c r="Q819" t="n">
        <v>0</v>
      </c>
      <c r="R819" s="2" t="inlineStr"/>
    </row>
    <row r="820" ht="15" customHeight="1">
      <c r="A820" t="inlineStr">
        <is>
          <t>A 56949-2023</t>
        </is>
      </c>
      <c r="B820" s="1" t="n">
        <v>45244</v>
      </c>
      <c r="C820" s="1" t="n">
        <v>45473</v>
      </c>
      <c r="D820" t="inlineStr">
        <is>
          <t>VÄSTMANLANDS LÄN</t>
        </is>
      </c>
      <c r="E820" t="inlineStr">
        <is>
          <t>SALA</t>
        </is>
      </c>
      <c r="G820" t="n">
        <v>4.7</v>
      </c>
      <c r="H820" t="n">
        <v>0</v>
      </c>
      <c r="I820" t="n">
        <v>0</v>
      </c>
      <c r="J820" t="n">
        <v>0</v>
      </c>
      <c r="K820" t="n">
        <v>0</v>
      </c>
      <c r="L820" t="n">
        <v>0</v>
      </c>
      <c r="M820" t="n">
        <v>0</v>
      </c>
      <c r="N820" t="n">
        <v>0</v>
      </c>
      <c r="O820" t="n">
        <v>0</v>
      </c>
      <c r="P820" t="n">
        <v>0</v>
      </c>
      <c r="Q820" t="n">
        <v>0</v>
      </c>
      <c r="R820" s="2" t="inlineStr"/>
    </row>
    <row r="821" ht="15" customHeight="1">
      <c r="A821" t="inlineStr">
        <is>
          <t>A 56964-2023</t>
        </is>
      </c>
      <c r="B821" s="1" t="n">
        <v>45244</v>
      </c>
      <c r="C821" s="1" t="n">
        <v>45473</v>
      </c>
      <c r="D821" t="inlineStr">
        <is>
          <t>VÄSTMANLANDS LÄN</t>
        </is>
      </c>
      <c r="E821" t="inlineStr">
        <is>
          <t>SALA</t>
        </is>
      </c>
      <c r="G821" t="n">
        <v>4.6</v>
      </c>
      <c r="H821" t="n">
        <v>0</v>
      </c>
      <c r="I821" t="n">
        <v>0</v>
      </c>
      <c r="J821" t="n">
        <v>0</v>
      </c>
      <c r="K821" t="n">
        <v>0</v>
      </c>
      <c r="L821" t="n">
        <v>0</v>
      </c>
      <c r="M821" t="n">
        <v>0</v>
      </c>
      <c r="N821" t="n">
        <v>0</v>
      </c>
      <c r="O821" t="n">
        <v>0</v>
      </c>
      <c r="P821" t="n">
        <v>0</v>
      </c>
      <c r="Q821" t="n">
        <v>0</v>
      </c>
      <c r="R821" s="2" t="inlineStr"/>
    </row>
    <row r="822" ht="15" customHeight="1">
      <c r="A822" t="inlineStr">
        <is>
          <t>A 58028-2023</t>
        </is>
      </c>
      <c r="B822" s="1" t="n">
        <v>45247</v>
      </c>
      <c r="C822" s="1" t="n">
        <v>45473</v>
      </c>
      <c r="D822" t="inlineStr">
        <is>
          <t>VÄSTMANLANDS LÄN</t>
        </is>
      </c>
      <c r="E822" t="inlineStr">
        <is>
          <t>SALA</t>
        </is>
      </c>
      <c r="G822" t="n">
        <v>19.6</v>
      </c>
      <c r="H822" t="n">
        <v>0</v>
      </c>
      <c r="I822" t="n">
        <v>0</v>
      </c>
      <c r="J822" t="n">
        <v>0</v>
      </c>
      <c r="K822" t="n">
        <v>0</v>
      </c>
      <c r="L822" t="n">
        <v>0</v>
      </c>
      <c r="M822" t="n">
        <v>0</v>
      </c>
      <c r="N822" t="n">
        <v>0</v>
      </c>
      <c r="O822" t="n">
        <v>0</v>
      </c>
      <c r="P822" t="n">
        <v>0</v>
      </c>
      <c r="Q822" t="n">
        <v>0</v>
      </c>
      <c r="R822" s="2" t="inlineStr"/>
    </row>
    <row r="823" ht="15" customHeight="1">
      <c r="A823" t="inlineStr">
        <is>
          <t>A 58113-2023</t>
        </is>
      </c>
      <c r="B823" s="1" t="n">
        <v>45249</v>
      </c>
      <c r="C823" s="1" t="n">
        <v>45473</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58271-2023</t>
        </is>
      </c>
      <c r="B824" s="1" t="n">
        <v>45250</v>
      </c>
      <c r="C824" s="1" t="n">
        <v>45473</v>
      </c>
      <c r="D824" t="inlineStr">
        <is>
          <t>VÄSTMANLANDS LÄN</t>
        </is>
      </c>
      <c r="E824" t="inlineStr">
        <is>
          <t>SALA</t>
        </is>
      </c>
      <c r="G824" t="n">
        <v>5.2</v>
      </c>
      <c r="H824" t="n">
        <v>0</v>
      </c>
      <c r="I824" t="n">
        <v>0</v>
      </c>
      <c r="J824" t="n">
        <v>0</v>
      </c>
      <c r="K824" t="n">
        <v>0</v>
      </c>
      <c r="L824" t="n">
        <v>0</v>
      </c>
      <c r="M824" t="n">
        <v>0</v>
      </c>
      <c r="N824" t="n">
        <v>0</v>
      </c>
      <c r="O824" t="n">
        <v>0</v>
      </c>
      <c r="P824" t="n">
        <v>0</v>
      </c>
      <c r="Q824" t="n">
        <v>0</v>
      </c>
      <c r="R824" s="2" t="inlineStr"/>
    </row>
    <row r="825" ht="15" customHeight="1">
      <c r="A825" t="inlineStr">
        <is>
          <t>A 58920-2023</t>
        </is>
      </c>
      <c r="B825" s="1" t="n">
        <v>45252</v>
      </c>
      <c r="C825" s="1" t="n">
        <v>45473</v>
      </c>
      <c r="D825" t="inlineStr">
        <is>
          <t>VÄSTMANLANDS LÄN</t>
        </is>
      </c>
      <c r="E825" t="inlineStr">
        <is>
          <t>SALA</t>
        </is>
      </c>
      <c r="G825" t="n">
        <v>2.4</v>
      </c>
      <c r="H825" t="n">
        <v>0</v>
      </c>
      <c r="I825" t="n">
        <v>0</v>
      </c>
      <c r="J825" t="n">
        <v>0</v>
      </c>
      <c r="K825" t="n">
        <v>0</v>
      </c>
      <c r="L825" t="n">
        <v>0</v>
      </c>
      <c r="M825" t="n">
        <v>0</v>
      </c>
      <c r="N825" t="n">
        <v>0</v>
      </c>
      <c r="O825" t="n">
        <v>0</v>
      </c>
      <c r="P825" t="n">
        <v>0</v>
      </c>
      <c r="Q825" t="n">
        <v>0</v>
      </c>
      <c r="R825" s="2" t="inlineStr"/>
    </row>
    <row r="826" ht="15" customHeight="1">
      <c r="A826" t="inlineStr">
        <is>
          <t>A 58823-2023</t>
        </is>
      </c>
      <c r="B826" s="1" t="n">
        <v>45252</v>
      </c>
      <c r="C826" s="1" t="n">
        <v>45473</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59297-2023</t>
        </is>
      </c>
      <c r="B827" s="1" t="n">
        <v>45253</v>
      </c>
      <c r="C827" s="1" t="n">
        <v>45473</v>
      </c>
      <c r="D827" t="inlineStr">
        <is>
          <t>VÄSTMANLANDS LÄN</t>
        </is>
      </c>
      <c r="E827" t="inlineStr">
        <is>
          <t>SALA</t>
        </is>
      </c>
      <c r="G827" t="n">
        <v>2</v>
      </c>
      <c r="H827" t="n">
        <v>0</v>
      </c>
      <c r="I827" t="n">
        <v>0</v>
      </c>
      <c r="J827" t="n">
        <v>0</v>
      </c>
      <c r="K827" t="n">
        <v>0</v>
      </c>
      <c r="L827" t="n">
        <v>0</v>
      </c>
      <c r="M827" t="n">
        <v>0</v>
      </c>
      <c r="N827" t="n">
        <v>0</v>
      </c>
      <c r="O827" t="n">
        <v>0</v>
      </c>
      <c r="P827" t="n">
        <v>0</v>
      </c>
      <c r="Q827" t="n">
        <v>0</v>
      </c>
      <c r="R827" s="2" t="inlineStr"/>
    </row>
    <row r="828" ht="15" customHeight="1">
      <c r="A828" t="inlineStr">
        <is>
          <t>A 59713-2023</t>
        </is>
      </c>
      <c r="B828" s="1" t="n">
        <v>45257</v>
      </c>
      <c r="C828" s="1" t="n">
        <v>45473</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59785-2023</t>
        </is>
      </c>
      <c r="B829" s="1" t="n">
        <v>45257</v>
      </c>
      <c r="C829" s="1" t="n">
        <v>45473</v>
      </c>
      <c r="D829" t="inlineStr">
        <is>
          <t>VÄSTMANLANDS LÄN</t>
        </is>
      </c>
      <c r="E829" t="inlineStr">
        <is>
          <t>SALA</t>
        </is>
      </c>
      <c r="G829" t="n">
        <v>2.2</v>
      </c>
      <c r="H829" t="n">
        <v>0</v>
      </c>
      <c r="I829" t="n">
        <v>0</v>
      </c>
      <c r="J829" t="n">
        <v>0</v>
      </c>
      <c r="K829" t="n">
        <v>0</v>
      </c>
      <c r="L829" t="n">
        <v>0</v>
      </c>
      <c r="M829" t="n">
        <v>0</v>
      </c>
      <c r="N829" t="n">
        <v>0</v>
      </c>
      <c r="O829" t="n">
        <v>0</v>
      </c>
      <c r="P829" t="n">
        <v>0</v>
      </c>
      <c r="Q829" t="n">
        <v>0</v>
      </c>
      <c r="R829" s="2" t="inlineStr"/>
    </row>
    <row r="830" ht="15" customHeight="1">
      <c r="A830" t="inlineStr">
        <is>
          <t>A 60249-2023</t>
        </is>
      </c>
      <c r="B830" s="1" t="n">
        <v>45258</v>
      </c>
      <c r="C830" s="1" t="n">
        <v>45473</v>
      </c>
      <c r="D830" t="inlineStr">
        <is>
          <t>VÄSTMANLANDS LÄN</t>
        </is>
      </c>
      <c r="E830" t="inlineStr">
        <is>
          <t>SALA</t>
        </is>
      </c>
      <c r="G830" t="n">
        <v>2</v>
      </c>
      <c r="H830" t="n">
        <v>0</v>
      </c>
      <c r="I830" t="n">
        <v>0</v>
      </c>
      <c r="J830" t="n">
        <v>0</v>
      </c>
      <c r="K830" t="n">
        <v>0</v>
      </c>
      <c r="L830" t="n">
        <v>0</v>
      </c>
      <c r="M830" t="n">
        <v>0</v>
      </c>
      <c r="N830" t="n">
        <v>0</v>
      </c>
      <c r="O830" t="n">
        <v>0</v>
      </c>
      <c r="P830" t="n">
        <v>0</v>
      </c>
      <c r="Q830" t="n">
        <v>0</v>
      </c>
      <c r="R830" s="2" t="inlineStr"/>
    </row>
    <row r="831" ht="15" customHeight="1">
      <c r="A831" t="inlineStr">
        <is>
          <t>A 60731-2023</t>
        </is>
      </c>
      <c r="B831" s="1" t="n">
        <v>45260</v>
      </c>
      <c r="C831" s="1" t="n">
        <v>45473</v>
      </c>
      <c r="D831" t="inlineStr">
        <is>
          <t>VÄSTMANLANDS LÄN</t>
        </is>
      </c>
      <c r="E831" t="inlineStr">
        <is>
          <t>SALA</t>
        </is>
      </c>
      <c r="G831" t="n">
        <v>1</v>
      </c>
      <c r="H831" t="n">
        <v>0</v>
      </c>
      <c r="I831" t="n">
        <v>0</v>
      </c>
      <c r="J831" t="n">
        <v>0</v>
      </c>
      <c r="K831" t="n">
        <v>0</v>
      </c>
      <c r="L831" t="n">
        <v>0</v>
      </c>
      <c r="M831" t="n">
        <v>0</v>
      </c>
      <c r="N831" t="n">
        <v>0</v>
      </c>
      <c r="O831" t="n">
        <v>0</v>
      </c>
      <c r="P831" t="n">
        <v>0</v>
      </c>
      <c r="Q831" t="n">
        <v>0</v>
      </c>
      <c r="R831" s="2" t="inlineStr"/>
    </row>
    <row r="832" ht="15" customHeight="1">
      <c r="A832" t="inlineStr">
        <is>
          <t>A 60730-2023</t>
        </is>
      </c>
      <c r="B832" s="1" t="n">
        <v>45260</v>
      </c>
      <c r="C832" s="1" t="n">
        <v>45473</v>
      </c>
      <c r="D832" t="inlineStr">
        <is>
          <t>VÄSTMANLANDS LÄN</t>
        </is>
      </c>
      <c r="E832" t="inlineStr">
        <is>
          <t>SALA</t>
        </is>
      </c>
      <c r="G832" t="n">
        <v>1.3</v>
      </c>
      <c r="H832" t="n">
        <v>0</v>
      </c>
      <c r="I832" t="n">
        <v>0</v>
      </c>
      <c r="J832" t="n">
        <v>0</v>
      </c>
      <c r="K832" t="n">
        <v>0</v>
      </c>
      <c r="L832" t="n">
        <v>0</v>
      </c>
      <c r="M832" t="n">
        <v>0</v>
      </c>
      <c r="N832" t="n">
        <v>0</v>
      </c>
      <c r="O832" t="n">
        <v>0</v>
      </c>
      <c r="P832" t="n">
        <v>0</v>
      </c>
      <c r="Q832" t="n">
        <v>0</v>
      </c>
      <c r="R832" s="2" t="inlineStr"/>
    </row>
    <row r="833" ht="15" customHeight="1">
      <c r="A833" t="inlineStr">
        <is>
          <t>A 61525-2023</t>
        </is>
      </c>
      <c r="B833" s="1" t="n">
        <v>45265</v>
      </c>
      <c r="C833" s="1" t="n">
        <v>45473</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62449-2023</t>
        </is>
      </c>
      <c r="B834" s="1" t="n">
        <v>45268</v>
      </c>
      <c r="C834" s="1" t="n">
        <v>45473</v>
      </c>
      <c r="D834" t="inlineStr">
        <is>
          <t>VÄSTMANLANDS LÄN</t>
        </is>
      </c>
      <c r="E834" t="inlineStr">
        <is>
          <t>SALA</t>
        </is>
      </c>
      <c r="G834" t="n">
        <v>0.5</v>
      </c>
      <c r="H834" t="n">
        <v>0</v>
      </c>
      <c r="I834" t="n">
        <v>0</v>
      </c>
      <c r="J834" t="n">
        <v>0</v>
      </c>
      <c r="K834" t="n">
        <v>0</v>
      </c>
      <c r="L834" t="n">
        <v>0</v>
      </c>
      <c r="M834" t="n">
        <v>0</v>
      </c>
      <c r="N834" t="n">
        <v>0</v>
      </c>
      <c r="O834" t="n">
        <v>0</v>
      </c>
      <c r="P834" t="n">
        <v>0</v>
      </c>
      <c r="Q834" t="n">
        <v>0</v>
      </c>
      <c r="R834" s="2" t="inlineStr"/>
    </row>
    <row r="835" ht="15" customHeight="1">
      <c r="A835" t="inlineStr">
        <is>
          <t>A 62630-2023</t>
        </is>
      </c>
      <c r="B835" s="1" t="n">
        <v>45271</v>
      </c>
      <c r="C835" s="1" t="n">
        <v>45473</v>
      </c>
      <c r="D835" t="inlineStr">
        <is>
          <t>VÄSTMANLANDS LÄN</t>
        </is>
      </c>
      <c r="E835" t="inlineStr">
        <is>
          <t>SALA</t>
        </is>
      </c>
      <c r="G835" t="n">
        <v>1.5</v>
      </c>
      <c r="H835" t="n">
        <v>0</v>
      </c>
      <c r="I835" t="n">
        <v>0</v>
      </c>
      <c r="J835" t="n">
        <v>0</v>
      </c>
      <c r="K835" t="n">
        <v>0</v>
      </c>
      <c r="L835" t="n">
        <v>0</v>
      </c>
      <c r="M835" t="n">
        <v>0</v>
      </c>
      <c r="N835" t="n">
        <v>0</v>
      </c>
      <c r="O835" t="n">
        <v>0</v>
      </c>
      <c r="P835" t="n">
        <v>0</v>
      </c>
      <c r="Q835" t="n">
        <v>0</v>
      </c>
      <c r="R835" s="2" t="inlineStr"/>
    </row>
    <row r="836" ht="15" customHeight="1">
      <c r="A836" t="inlineStr">
        <is>
          <t>A 63234-2023</t>
        </is>
      </c>
      <c r="B836" s="1" t="n">
        <v>45273</v>
      </c>
      <c r="C836" s="1" t="n">
        <v>45473</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63274-2023</t>
        </is>
      </c>
      <c r="B837" s="1" t="n">
        <v>45273</v>
      </c>
      <c r="C837" s="1" t="n">
        <v>45473</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63466-2023</t>
        </is>
      </c>
      <c r="B838" s="1" t="n">
        <v>45274</v>
      </c>
      <c r="C838" s="1" t="n">
        <v>45473</v>
      </c>
      <c r="D838" t="inlineStr">
        <is>
          <t>VÄSTMANLANDS LÄN</t>
        </is>
      </c>
      <c r="E838" t="inlineStr">
        <is>
          <t>SALA</t>
        </is>
      </c>
      <c r="G838" t="n">
        <v>2.9</v>
      </c>
      <c r="H838" t="n">
        <v>0</v>
      </c>
      <c r="I838" t="n">
        <v>0</v>
      </c>
      <c r="J838" t="n">
        <v>0</v>
      </c>
      <c r="K838" t="n">
        <v>0</v>
      </c>
      <c r="L838" t="n">
        <v>0</v>
      </c>
      <c r="M838" t="n">
        <v>0</v>
      </c>
      <c r="N838" t="n">
        <v>0</v>
      </c>
      <c r="O838" t="n">
        <v>0</v>
      </c>
      <c r="P838" t="n">
        <v>0</v>
      </c>
      <c r="Q838" t="n">
        <v>0</v>
      </c>
      <c r="R838" s="2" t="inlineStr"/>
    </row>
    <row r="839" ht="15" customHeight="1">
      <c r="A839" t="inlineStr">
        <is>
          <t>A 63564-2023</t>
        </is>
      </c>
      <c r="B839" s="1" t="n">
        <v>45275</v>
      </c>
      <c r="C839" s="1" t="n">
        <v>45473</v>
      </c>
      <c r="D839" t="inlineStr">
        <is>
          <t>VÄSTMANLANDS LÄN</t>
        </is>
      </c>
      <c r="E839" t="inlineStr">
        <is>
          <t>SALA</t>
        </is>
      </c>
      <c r="G839" t="n">
        <v>3.6</v>
      </c>
      <c r="H839" t="n">
        <v>0</v>
      </c>
      <c r="I839" t="n">
        <v>0</v>
      </c>
      <c r="J839" t="n">
        <v>0</v>
      </c>
      <c r="K839" t="n">
        <v>0</v>
      </c>
      <c r="L839" t="n">
        <v>0</v>
      </c>
      <c r="M839" t="n">
        <v>0</v>
      </c>
      <c r="N839" t="n">
        <v>0</v>
      </c>
      <c r="O839" t="n">
        <v>0</v>
      </c>
      <c r="P839" t="n">
        <v>0</v>
      </c>
      <c r="Q839" t="n">
        <v>0</v>
      </c>
      <c r="R839" s="2" t="inlineStr"/>
    </row>
    <row r="840" ht="15" customHeight="1">
      <c r="A840" t="inlineStr">
        <is>
          <t>A 63905-2023</t>
        </is>
      </c>
      <c r="B840" s="1" t="n">
        <v>45278</v>
      </c>
      <c r="C840" s="1" t="n">
        <v>45473</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63933-2023</t>
        </is>
      </c>
      <c r="B841" s="1" t="n">
        <v>45278</v>
      </c>
      <c r="C841" s="1" t="n">
        <v>45473</v>
      </c>
      <c r="D841" t="inlineStr">
        <is>
          <t>VÄSTMANLANDS LÄN</t>
        </is>
      </c>
      <c r="E841" t="inlineStr">
        <is>
          <t>SALA</t>
        </is>
      </c>
      <c r="G841" t="n">
        <v>1.4</v>
      </c>
      <c r="H841" t="n">
        <v>0</v>
      </c>
      <c r="I841" t="n">
        <v>0</v>
      </c>
      <c r="J841" t="n">
        <v>0</v>
      </c>
      <c r="K841" t="n">
        <v>0</v>
      </c>
      <c r="L841" t="n">
        <v>0</v>
      </c>
      <c r="M841" t="n">
        <v>0</v>
      </c>
      <c r="N841" t="n">
        <v>0</v>
      </c>
      <c r="O841" t="n">
        <v>0</v>
      </c>
      <c r="P841" t="n">
        <v>0</v>
      </c>
      <c r="Q841" t="n">
        <v>0</v>
      </c>
      <c r="R841" s="2" t="inlineStr"/>
    </row>
    <row r="842" ht="15" customHeight="1">
      <c r="A842" t="inlineStr">
        <is>
          <t>A 64109-2023</t>
        </is>
      </c>
      <c r="B842" s="1" t="n">
        <v>45279</v>
      </c>
      <c r="C842" s="1" t="n">
        <v>45473</v>
      </c>
      <c r="D842" t="inlineStr">
        <is>
          <t>VÄSTMANLANDS LÄN</t>
        </is>
      </c>
      <c r="E842" t="inlineStr">
        <is>
          <t>SALA</t>
        </is>
      </c>
      <c r="G842" t="n">
        <v>3.7</v>
      </c>
      <c r="H842" t="n">
        <v>0</v>
      </c>
      <c r="I842" t="n">
        <v>0</v>
      </c>
      <c r="J842" t="n">
        <v>0</v>
      </c>
      <c r="K842" t="n">
        <v>0</v>
      </c>
      <c r="L842" t="n">
        <v>0</v>
      </c>
      <c r="M842" t="n">
        <v>0</v>
      </c>
      <c r="N842" t="n">
        <v>0</v>
      </c>
      <c r="O842" t="n">
        <v>0</v>
      </c>
      <c r="P842" t="n">
        <v>0</v>
      </c>
      <c r="Q842" t="n">
        <v>0</v>
      </c>
      <c r="R842" s="2" t="inlineStr"/>
    </row>
    <row r="843" ht="15" customHeight="1">
      <c r="A843" t="inlineStr">
        <is>
          <t>A 64123-2023</t>
        </is>
      </c>
      <c r="B843" s="1" t="n">
        <v>45279</v>
      </c>
      <c r="C843" s="1" t="n">
        <v>45473</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64693-2023</t>
        </is>
      </c>
      <c r="B844" s="1" t="n">
        <v>45281</v>
      </c>
      <c r="C844" s="1" t="n">
        <v>45473</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64729-2023</t>
        </is>
      </c>
      <c r="B845" s="1" t="n">
        <v>45281</v>
      </c>
      <c r="C845" s="1" t="n">
        <v>45473</v>
      </c>
      <c r="D845" t="inlineStr">
        <is>
          <t>VÄSTMANLANDS LÄN</t>
        </is>
      </c>
      <c r="E845" t="inlineStr">
        <is>
          <t>SALA</t>
        </is>
      </c>
      <c r="G845" t="n">
        <v>1.8</v>
      </c>
      <c r="H845" t="n">
        <v>0</v>
      </c>
      <c r="I845" t="n">
        <v>0</v>
      </c>
      <c r="J845" t="n">
        <v>0</v>
      </c>
      <c r="K845" t="n">
        <v>0</v>
      </c>
      <c r="L845" t="n">
        <v>0</v>
      </c>
      <c r="M845" t="n">
        <v>0</v>
      </c>
      <c r="N845" t="n">
        <v>0</v>
      </c>
      <c r="O845" t="n">
        <v>0</v>
      </c>
      <c r="P845" t="n">
        <v>0</v>
      </c>
      <c r="Q845" t="n">
        <v>0</v>
      </c>
      <c r="R845" s="2" t="inlineStr"/>
    </row>
    <row r="846" ht="15" customHeight="1">
      <c r="A846" t="inlineStr">
        <is>
          <t>A 64724-2023</t>
        </is>
      </c>
      <c r="B846" s="1" t="n">
        <v>45281</v>
      </c>
      <c r="C846" s="1" t="n">
        <v>45473</v>
      </c>
      <c r="D846" t="inlineStr">
        <is>
          <t>VÄSTMANLANDS LÄN</t>
        </is>
      </c>
      <c r="E846" t="inlineStr">
        <is>
          <t>SALA</t>
        </is>
      </c>
      <c r="G846" t="n">
        <v>2.3</v>
      </c>
      <c r="H846" t="n">
        <v>0</v>
      </c>
      <c r="I846" t="n">
        <v>0</v>
      </c>
      <c r="J846" t="n">
        <v>0</v>
      </c>
      <c r="K846" t="n">
        <v>0</v>
      </c>
      <c r="L846" t="n">
        <v>0</v>
      </c>
      <c r="M846" t="n">
        <v>0</v>
      </c>
      <c r="N846" t="n">
        <v>0</v>
      </c>
      <c r="O846" t="n">
        <v>0</v>
      </c>
      <c r="P846" t="n">
        <v>0</v>
      </c>
      <c r="Q846" t="n">
        <v>0</v>
      </c>
      <c r="R846" s="2" t="inlineStr"/>
    </row>
    <row r="847" ht="15" customHeight="1">
      <c r="A847" t="inlineStr">
        <is>
          <t>A 64692-2023</t>
        </is>
      </c>
      <c r="B847" s="1" t="n">
        <v>45281</v>
      </c>
      <c r="C847" s="1" t="n">
        <v>45473</v>
      </c>
      <c r="D847" t="inlineStr">
        <is>
          <t>VÄSTMANLANDS LÄN</t>
        </is>
      </c>
      <c r="E847" t="inlineStr">
        <is>
          <t>SALA</t>
        </is>
      </c>
      <c r="G847" t="n">
        <v>1.7</v>
      </c>
      <c r="H847" t="n">
        <v>0</v>
      </c>
      <c r="I847" t="n">
        <v>0</v>
      </c>
      <c r="J847" t="n">
        <v>0</v>
      </c>
      <c r="K847" t="n">
        <v>0</v>
      </c>
      <c r="L847" t="n">
        <v>0</v>
      </c>
      <c r="M847" t="n">
        <v>0</v>
      </c>
      <c r="N847" t="n">
        <v>0</v>
      </c>
      <c r="O847" t="n">
        <v>0</v>
      </c>
      <c r="P847" t="n">
        <v>0</v>
      </c>
      <c r="Q847" t="n">
        <v>0</v>
      </c>
      <c r="R847" s="2" t="inlineStr"/>
    </row>
    <row r="848" ht="15" customHeight="1">
      <c r="A848" t="inlineStr">
        <is>
          <t>A 64687-2023</t>
        </is>
      </c>
      <c r="B848" s="1" t="n">
        <v>45281</v>
      </c>
      <c r="C848" s="1" t="n">
        <v>45473</v>
      </c>
      <c r="D848" t="inlineStr">
        <is>
          <t>VÄSTMANLANDS LÄN</t>
        </is>
      </c>
      <c r="E848" t="inlineStr">
        <is>
          <t>SALA</t>
        </is>
      </c>
      <c r="G848" t="n">
        <v>2.8</v>
      </c>
      <c r="H848" t="n">
        <v>0</v>
      </c>
      <c r="I848" t="n">
        <v>0</v>
      </c>
      <c r="J848" t="n">
        <v>0</v>
      </c>
      <c r="K848" t="n">
        <v>0</v>
      </c>
      <c r="L848" t="n">
        <v>0</v>
      </c>
      <c r="M848" t="n">
        <v>0</v>
      </c>
      <c r="N848" t="n">
        <v>0</v>
      </c>
      <c r="O848" t="n">
        <v>0</v>
      </c>
      <c r="P848" t="n">
        <v>0</v>
      </c>
      <c r="Q848" t="n">
        <v>0</v>
      </c>
      <c r="R848" s="2" t="inlineStr"/>
    </row>
    <row r="849" ht="15" customHeight="1">
      <c r="A849" t="inlineStr">
        <is>
          <t>A 64695-2023</t>
        </is>
      </c>
      <c r="B849" s="1" t="n">
        <v>45281</v>
      </c>
      <c r="C849" s="1" t="n">
        <v>45473</v>
      </c>
      <c r="D849" t="inlineStr">
        <is>
          <t>VÄSTMANLANDS LÄN</t>
        </is>
      </c>
      <c r="E849" t="inlineStr">
        <is>
          <t>SALA</t>
        </is>
      </c>
      <c r="G849" t="n">
        <v>0.5</v>
      </c>
      <c r="H849" t="n">
        <v>0</v>
      </c>
      <c r="I849" t="n">
        <v>0</v>
      </c>
      <c r="J849" t="n">
        <v>0</v>
      </c>
      <c r="K849" t="n">
        <v>0</v>
      </c>
      <c r="L849" t="n">
        <v>0</v>
      </c>
      <c r="M849" t="n">
        <v>0</v>
      </c>
      <c r="N849" t="n">
        <v>0</v>
      </c>
      <c r="O849" t="n">
        <v>0</v>
      </c>
      <c r="P849" t="n">
        <v>0</v>
      </c>
      <c r="Q849" t="n">
        <v>0</v>
      </c>
      <c r="R849" s="2" t="inlineStr"/>
    </row>
    <row r="850" ht="15" customHeight="1">
      <c r="A850" t="inlineStr">
        <is>
          <t>A 64925-2023</t>
        </is>
      </c>
      <c r="B850" s="1" t="n">
        <v>45282</v>
      </c>
      <c r="C850" s="1" t="n">
        <v>45473</v>
      </c>
      <c r="D850" t="inlineStr">
        <is>
          <t>VÄSTMANLANDS LÄN</t>
        </is>
      </c>
      <c r="E850" t="inlineStr">
        <is>
          <t>SALA</t>
        </is>
      </c>
      <c r="G850" t="n">
        <v>2.5</v>
      </c>
      <c r="H850" t="n">
        <v>0</v>
      </c>
      <c r="I850" t="n">
        <v>0</v>
      </c>
      <c r="J850" t="n">
        <v>0</v>
      </c>
      <c r="K850" t="n">
        <v>0</v>
      </c>
      <c r="L850" t="n">
        <v>0</v>
      </c>
      <c r="M850" t="n">
        <v>0</v>
      </c>
      <c r="N850" t="n">
        <v>0</v>
      </c>
      <c r="O850" t="n">
        <v>0</v>
      </c>
      <c r="P850" t="n">
        <v>0</v>
      </c>
      <c r="Q850" t="n">
        <v>0</v>
      </c>
      <c r="R850" s="2" t="inlineStr"/>
    </row>
    <row r="851" ht="15" customHeight="1">
      <c r="A851" t="inlineStr">
        <is>
          <t>A 30-2024</t>
        </is>
      </c>
      <c r="B851" s="1" t="n">
        <v>45293</v>
      </c>
      <c r="C851" s="1" t="n">
        <v>45473</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96-2024</t>
        </is>
      </c>
      <c r="B852" s="1" t="n">
        <v>45293</v>
      </c>
      <c r="C852" s="1" t="n">
        <v>45473</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110-2024</t>
        </is>
      </c>
      <c r="B853" s="1" t="n">
        <v>45294</v>
      </c>
      <c r="C853" s="1" t="n">
        <v>45473</v>
      </c>
      <c r="D853" t="inlineStr">
        <is>
          <t>VÄSTMANLANDS LÄN</t>
        </is>
      </c>
      <c r="E853" t="inlineStr">
        <is>
          <t>SALA</t>
        </is>
      </c>
      <c r="G853" t="n">
        <v>3.8</v>
      </c>
      <c r="H853" t="n">
        <v>0</v>
      </c>
      <c r="I853" t="n">
        <v>0</v>
      </c>
      <c r="J853" t="n">
        <v>0</v>
      </c>
      <c r="K853" t="n">
        <v>0</v>
      </c>
      <c r="L853" t="n">
        <v>0</v>
      </c>
      <c r="M853" t="n">
        <v>0</v>
      </c>
      <c r="N853" t="n">
        <v>0</v>
      </c>
      <c r="O853" t="n">
        <v>0</v>
      </c>
      <c r="P853" t="n">
        <v>0</v>
      </c>
      <c r="Q853" t="n">
        <v>0</v>
      </c>
      <c r="R853" s="2" t="inlineStr"/>
    </row>
    <row r="854" ht="15" customHeight="1">
      <c r="A854" t="inlineStr">
        <is>
          <t>A 456-2024</t>
        </is>
      </c>
      <c r="B854" s="1" t="n">
        <v>45296</v>
      </c>
      <c r="C854" s="1" t="n">
        <v>45473</v>
      </c>
      <c r="D854" t="inlineStr">
        <is>
          <t>VÄSTMANLANDS LÄN</t>
        </is>
      </c>
      <c r="E854" t="inlineStr">
        <is>
          <t>SALA</t>
        </is>
      </c>
      <c r="G854" t="n">
        <v>4.7</v>
      </c>
      <c r="H854" t="n">
        <v>0</v>
      </c>
      <c r="I854" t="n">
        <v>0</v>
      </c>
      <c r="J854" t="n">
        <v>0</v>
      </c>
      <c r="K854" t="n">
        <v>0</v>
      </c>
      <c r="L854" t="n">
        <v>0</v>
      </c>
      <c r="M854" t="n">
        <v>0</v>
      </c>
      <c r="N854" t="n">
        <v>0</v>
      </c>
      <c r="O854" t="n">
        <v>0</v>
      </c>
      <c r="P854" t="n">
        <v>0</v>
      </c>
      <c r="Q854" t="n">
        <v>0</v>
      </c>
      <c r="R854" s="2" t="inlineStr"/>
    </row>
    <row r="855" ht="15" customHeight="1">
      <c r="A855" t="inlineStr">
        <is>
          <t>A 1118-2024</t>
        </is>
      </c>
      <c r="B855" s="1" t="n">
        <v>45302</v>
      </c>
      <c r="C855" s="1" t="n">
        <v>45473</v>
      </c>
      <c r="D855" t="inlineStr">
        <is>
          <t>VÄSTMANLANDS LÄN</t>
        </is>
      </c>
      <c r="E855" t="inlineStr">
        <is>
          <t>SALA</t>
        </is>
      </c>
      <c r="G855" t="n">
        <v>1.9</v>
      </c>
      <c r="H855" t="n">
        <v>0</v>
      </c>
      <c r="I855" t="n">
        <v>0</v>
      </c>
      <c r="J855" t="n">
        <v>0</v>
      </c>
      <c r="K855" t="n">
        <v>0</v>
      </c>
      <c r="L855" t="n">
        <v>0</v>
      </c>
      <c r="M855" t="n">
        <v>0</v>
      </c>
      <c r="N855" t="n">
        <v>0</v>
      </c>
      <c r="O855" t="n">
        <v>0</v>
      </c>
      <c r="P855" t="n">
        <v>0</v>
      </c>
      <c r="Q855" t="n">
        <v>0</v>
      </c>
      <c r="R855" s="2" t="inlineStr"/>
    </row>
    <row r="856" ht="15" customHeight="1">
      <c r="A856" t="inlineStr">
        <is>
          <t>A 1555-2024</t>
        </is>
      </c>
      <c r="B856" s="1" t="n">
        <v>45306</v>
      </c>
      <c r="C856" s="1" t="n">
        <v>45473</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1552-2024</t>
        </is>
      </c>
      <c r="B857" s="1" t="n">
        <v>45306</v>
      </c>
      <c r="C857" s="1" t="n">
        <v>45473</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2392-2024</t>
        </is>
      </c>
      <c r="B858" s="1" t="n">
        <v>45310</v>
      </c>
      <c r="C858" s="1" t="n">
        <v>45473</v>
      </c>
      <c r="D858" t="inlineStr">
        <is>
          <t>VÄSTMANLANDS LÄN</t>
        </is>
      </c>
      <c r="E858" t="inlineStr">
        <is>
          <t>SALA</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2478-2024</t>
        </is>
      </c>
      <c r="B859" s="1" t="n">
        <v>45313</v>
      </c>
      <c r="C859" s="1" t="n">
        <v>45473</v>
      </c>
      <c r="D859" t="inlineStr">
        <is>
          <t>VÄSTMANLANDS LÄN</t>
        </is>
      </c>
      <c r="E859" t="inlineStr">
        <is>
          <t>SALA</t>
        </is>
      </c>
      <c r="G859" t="n">
        <v>0.9</v>
      </c>
      <c r="H859" t="n">
        <v>0</v>
      </c>
      <c r="I859" t="n">
        <v>0</v>
      </c>
      <c r="J859" t="n">
        <v>0</v>
      </c>
      <c r="K859" t="n">
        <v>0</v>
      </c>
      <c r="L859" t="n">
        <v>0</v>
      </c>
      <c r="M859" t="n">
        <v>0</v>
      </c>
      <c r="N859" t="n">
        <v>0</v>
      </c>
      <c r="O859" t="n">
        <v>0</v>
      </c>
      <c r="P859" t="n">
        <v>0</v>
      </c>
      <c r="Q859" t="n">
        <v>0</v>
      </c>
      <c r="R859" s="2" t="inlineStr"/>
    </row>
    <row r="860" ht="15" customHeight="1">
      <c r="A860" t="inlineStr">
        <is>
          <t>A 2599-2024</t>
        </is>
      </c>
      <c r="B860" s="1" t="n">
        <v>45313</v>
      </c>
      <c r="C860" s="1" t="n">
        <v>45473</v>
      </c>
      <c r="D860" t="inlineStr">
        <is>
          <t>VÄSTMANLANDS LÄN</t>
        </is>
      </c>
      <c r="E860" t="inlineStr">
        <is>
          <t>SALA</t>
        </is>
      </c>
      <c r="G860" t="n">
        <v>1.8</v>
      </c>
      <c r="H860" t="n">
        <v>0</v>
      </c>
      <c r="I860" t="n">
        <v>0</v>
      </c>
      <c r="J860" t="n">
        <v>0</v>
      </c>
      <c r="K860" t="n">
        <v>0</v>
      </c>
      <c r="L860" t="n">
        <v>0</v>
      </c>
      <c r="M860" t="n">
        <v>0</v>
      </c>
      <c r="N860" t="n">
        <v>0</v>
      </c>
      <c r="O860" t="n">
        <v>0</v>
      </c>
      <c r="P860" t="n">
        <v>0</v>
      </c>
      <c r="Q860" t="n">
        <v>0</v>
      </c>
      <c r="R860" s="2" t="inlineStr"/>
    </row>
    <row r="861" ht="15" customHeight="1">
      <c r="A861" t="inlineStr">
        <is>
          <t>A 2766-2024</t>
        </is>
      </c>
      <c r="B861" s="1" t="n">
        <v>45314</v>
      </c>
      <c r="C861" s="1" t="n">
        <v>45473</v>
      </c>
      <c r="D861" t="inlineStr">
        <is>
          <t>VÄSTMANLANDS LÄN</t>
        </is>
      </c>
      <c r="E861" t="inlineStr">
        <is>
          <t>SALA</t>
        </is>
      </c>
      <c r="G861" t="n">
        <v>2.8</v>
      </c>
      <c r="H861" t="n">
        <v>0</v>
      </c>
      <c r="I861" t="n">
        <v>0</v>
      </c>
      <c r="J861" t="n">
        <v>0</v>
      </c>
      <c r="K861" t="n">
        <v>0</v>
      </c>
      <c r="L861" t="n">
        <v>0</v>
      </c>
      <c r="M861" t="n">
        <v>0</v>
      </c>
      <c r="N861" t="n">
        <v>0</v>
      </c>
      <c r="O861" t="n">
        <v>0</v>
      </c>
      <c r="P861" t="n">
        <v>0</v>
      </c>
      <c r="Q861" t="n">
        <v>0</v>
      </c>
      <c r="R861" s="2" t="inlineStr"/>
    </row>
    <row r="862" ht="15" customHeight="1">
      <c r="A862" t="inlineStr">
        <is>
          <t>A 2925-2024</t>
        </is>
      </c>
      <c r="B862" s="1" t="n">
        <v>45315</v>
      </c>
      <c r="C862" s="1" t="n">
        <v>45473</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2928-2024</t>
        </is>
      </c>
      <c r="B863" s="1" t="n">
        <v>45315</v>
      </c>
      <c r="C863" s="1" t="n">
        <v>45473</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2927-2024</t>
        </is>
      </c>
      <c r="B864" s="1" t="n">
        <v>45315</v>
      </c>
      <c r="C864" s="1" t="n">
        <v>45473</v>
      </c>
      <c r="D864" t="inlineStr">
        <is>
          <t>VÄSTMANLANDS LÄN</t>
        </is>
      </c>
      <c r="E864" t="inlineStr">
        <is>
          <t>SALA</t>
        </is>
      </c>
      <c r="G864" t="n">
        <v>2.5</v>
      </c>
      <c r="H864" t="n">
        <v>0</v>
      </c>
      <c r="I864" t="n">
        <v>0</v>
      </c>
      <c r="J864" t="n">
        <v>0</v>
      </c>
      <c r="K864" t="n">
        <v>0</v>
      </c>
      <c r="L864" t="n">
        <v>0</v>
      </c>
      <c r="M864" t="n">
        <v>0</v>
      </c>
      <c r="N864" t="n">
        <v>0</v>
      </c>
      <c r="O864" t="n">
        <v>0</v>
      </c>
      <c r="P864" t="n">
        <v>0</v>
      </c>
      <c r="Q864" t="n">
        <v>0</v>
      </c>
      <c r="R864" s="2" t="inlineStr"/>
    </row>
    <row r="865" ht="15" customHeight="1">
      <c r="A865" t="inlineStr">
        <is>
          <t>A 3061-2024</t>
        </is>
      </c>
      <c r="B865" s="1" t="n">
        <v>45316</v>
      </c>
      <c r="C865" s="1" t="n">
        <v>45473</v>
      </c>
      <c r="D865" t="inlineStr">
        <is>
          <t>VÄSTMANLANDS LÄN</t>
        </is>
      </c>
      <c r="E865" t="inlineStr">
        <is>
          <t>SALA</t>
        </is>
      </c>
      <c r="G865" t="n">
        <v>5.7</v>
      </c>
      <c r="H865" t="n">
        <v>0</v>
      </c>
      <c r="I865" t="n">
        <v>0</v>
      </c>
      <c r="J865" t="n">
        <v>0</v>
      </c>
      <c r="K865" t="n">
        <v>0</v>
      </c>
      <c r="L865" t="n">
        <v>0</v>
      </c>
      <c r="M865" t="n">
        <v>0</v>
      </c>
      <c r="N865" t="n">
        <v>0</v>
      </c>
      <c r="O865" t="n">
        <v>0</v>
      </c>
      <c r="P865" t="n">
        <v>0</v>
      </c>
      <c r="Q865" t="n">
        <v>0</v>
      </c>
      <c r="R865" s="2" t="inlineStr"/>
    </row>
    <row r="866" ht="15" customHeight="1">
      <c r="A866" t="inlineStr">
        <is>
          <t>A 3332-2024</t>
        </is>
      </c>
      <c r="B866" s="1" t="n">
        <v>45317</v>
      </c>
      <c r="C866" s="1" t="n">
        <v>45473</v>
      </c>
      <c r="D866" t="inlineStr">
        <is>
          <t>VÄSTMANLANDS LÄN</t>
        </is>
      </c>
      <c r="E866" t="inlineStr">
        <is>
          <t>SALA</t>
        </is>
      </c>
      <c r="G866" t="n">
        <v>2</v>
      </c>
      <c r="H866" t="n">
        <v>0</v>
      </c>
      <c r="I866" t="n">
        <v>0</v>
      </c>
      <c r="J866" t="n">
        <v>0</v>
      </c>
      <c r="K866" t="n">
        <v>0</v>
      </c>
      <c r="L866" t="n">
        <v>0</v>
      </c>
      <c r="M866" t="n">
        <v>0</v>
      </c>
      <c r="N866" t="n">
        <v>0</v>
      </c>
      <c r="O866" t="n">
        <v>0</v>
      </c>
      <c r="P866" t="n">
        <v>0</v>
      </c>
      <c r="Q866" t="n">
        <v>0</v>
      </c>
      <c r="R866" s="2" t="inlineStr"/>
    </row>
    <row r="867" ht="15" customHeight="1">
      <c r="A867" t="inlineStr">
        <is>
          <t>A 3577-2024</t>
        </is>
      </c>
      <c r="B867" s="1" t="n">
        <v>45320</v>
      </c>
      <c r="C867" s="1" t="n">
        <v>45473</v>
      </c>
      <c r="D867" t="inlineStr">
        <is>
          <t>VÄSTMANLANDS LÄN</t>
        </is>
      </c>
      <c r="E867" t="inlineStr">
        <is>
          <t>SALA</t>
        </is>
      </c>
      <c r="F867" t="inlineStr">
        <is>
          <t>Kommuner</t>
        </is>
      </c>
      <c r="G867" t="n">
        <v>7.2</v>
      </c>
      <c r="H867" t="n">
        <v>0</v>
      </c>
      <c r="I867" t="n">
        <v>0</v>
      </c>
      <c r="J867" t="n">
        <v>0</v>
      </c>
      <c r="K867" t="n">
        <v>0</v>
      </c>
      <c r="L867" t="n">
        <v>0</v>
      </c>
      <c r="M867" t="n">
        <v>0</v>
      </c>
      <c r="N867" t="n">
        <v>0</v>
      </c>
      <c r="O867" t="n">
        <v>0</v>
      </c>
      <c r="P867" t="n">
        <v>0</v>
      </c>
      <c r="Q867" t="n">
        <v>0</v>
      </c>
      <c r="R867" s="2" t="inlineStr"/>
    </row>
    <row r="868" ht="15" customHeight="1">
      <c r="A868" t="inlineStr">
        <is>
          <t>A 3527-2024</t>
        </is>
      </c>
      <c r="B868" s="1" t="n">
        <v>45320</v>
      </c>
      <c r="C868" s="1" t="n">
        <v>45473</v>
      </c>
      <c r="D868" t="inlineStr">
        <is>
          <t>VÄSTMANLANDS LÄN</t>
        </is>
      </c>
      <c r="E868" t="inlineStr">
        <is>
          <t>SALA</t>
        </is>
      </c>
      <c r="G868" t="n">
        <v>1.7</v>
      </c>
      <c r="H868" t="n">
        <v>0</v>
      </c>
      <c r="I868" t="n">
        <v>0</v>
      </c>
      <c r="J868" t="n">
        <v>0</v>
      </c>
      <c r="K868" t="n">
        <v>0</v>
      </c>
      <c r="L868" t="n">
        <v>0</v>
      </c>
      <c r="M868" t="n">
        <v>0</v>
      </c>
      <c r="N868" t="n">
        <v>0</v>
      </c>
      <c r="O868" t="n">
        <v>0</v>
      </c>
      <c r="P868" t="n">
        <v>0</v>
      </c>
      <c r="Q868" t="n">
        <v>0</v>
      </c>
      <c r="R868" s="2" t="inlineStr"/>
    </row>
    <row r="869" ht="15" customHeight="1">
      <c r="A869" t="inlineStr">
        <is>
          <t>A 3551-2024</t>
        </is>
      </c>
      <c r="B869" s="1" t="n">
        <v>45320</v>
      </c>
      <c r="C869" s="1" t="n">
        <v>45473</v>
      </c>
      <c r="D869" t="inlineStr">
        <is>
          <t>VÄSTMANLANDS LÄN</t>
        </is>
      </c>
      <c r="E869" t="inlineStr">
        <is>
          <t>SALA</t>
        </is>
      </c>
      <c r="F869" t="inlineStr">
        <is>
          <t>Kommuner</t>
        </is>
      </c>
      <c r="G869" t="n">
        <v>6</v>
      </c>
      <c r="H869" t="n">
        <v>0</v>
      </c>
      <c r="I869" t="n">
        <v>0</v>
      </c>
      <c r="J869" t="n">
        <v>0</v>
      </c>
      <c r="K869" t="n">
        <v>0</v>
      </c>
      <c r="L869" t="n">
        <v>0</v>
      </c>
      <c r="M869" t="n">
        <v>0</v>
      </c>
      <c r="N869" t="n">
        <v>0</v>
      </c>
      <c r="O869" t="n">
        <v>0</v>
      </c>
      <c r="P869" t="n">
        <v>0</v>
      </c>
      <c r="Q869" t="n">
        <v>0</v>
      </c>
      <c r="R869" s="2" t="inlineStr"/>
    </row>
    <row r="870" ht="15" customHeight="1">
      <c r="A870" t="inlineStr">
        <is>
          <t>A 3525-2024</t>
        </is>
      </c>
      <c r="B870" s="1" t="n">
        <v>45320</v>
      </c>
      <c r="C870" s="1" t="n">
        <v>45473</v>
      </c>
      <c r="D870" t="inlineStr">
        <is>
          <t>VÄSTMANLANDS LÄN</t>
        </is>
      </c>
      <c r="E870" t="inlineStr">
        <is>
          <t>SALA</t>
        </is>
      </c>
      <c r="G870" t="n">
        <v>3.5</v>
      </c>
      <c r="H870" t="n">
        <v>0</v>
      </c>
      <c r="I870" t="n">
        <v>0</v>
      </c>
      <c r="J870" t="n">
        <v>0</v>
      </c>
      <c r="K870" t="n">
        <v>0</v>
      </c>
      <c r="L870" t="n">
        <v>0</v>
      </c>
      <c r="M870" t="n">
        <v>0</v>
      </c>
      <c r="N870" t="n">
        <v>0</v>
      </c>
      <c r="O870" t="n">
        <v>0</v>
      </c>
      <c r="P870" t="n">
        <v>0</v>
      </c>
      <c r="Q870" t="n">
        <v>0</v>
      </c>
      <c r="R870" s="2" t="inlineStr"/>
    </row>
    <row r="871" ht="15" customHeight="1">
      <c r="A871" t="inlineStr">
        <is>
          <t>A 3560-2024</t>
        </is>
      </c>
      <c r="B871" s="1" t="n">
        <v>45320</v>
      </c>
      <c r="C871" s="1" t="n">
        <v>45473</v>
      </c>
      <c r="D871" t="inlineStr">
        <is>
          <t>VÄSTMANLANDS LÄN</t>
        </is>
      </c>
      <c r="E871" t="inlineStr">
        <is>
          <t>SALA</t>
        </is>
      </c>
      <c r="F871" t="inlineStr">
        <is>
          <t>Kommuner</t>
        </is>
      </c>
      <c r="G871" t="n">
        <v>4.2</v>
      </c>
      <c r="H871" t="n">
        <v>0</v>
      </c>
      <c r="I871" t="n">
        <v>0</v>
      </c>
      <c r="J871" t="n">
        <v>0</v>
      </c>
      <c r="K871" t="n">
        <v>0</v>
      </c>
      <c r="L871" t="n">
        <v>0</v>
      </c>
      <c r="M871" t="n">
        <v>0</v>
      </c>
      <c r="N871" t="n">
        <v>0</v>
      </c>
      <c r="O871" t="n">
        <v>0</v>
      </c>
      <c r="P871" t="n">
        <v>0</v>
      </c>
      <c r="Q871" t="n">
        <v>0</v>
      </c>
      <c r="R871" s="2" t="inlineStr"/>
    </row>
    <row r="872" ht="15" customHeight="1">
      <c r="A872" t="inlineStr">
        <is>
          <t>A 4417-2024</t>
        </is>
      </c>
      <c r="B872" s="1" t="n">
        <v>45327</v>
      </c>
      <c r="C872" s="1" t="n">
        <v>45473</v>
      </c>
      <c r="D872" t="inlineStr">
        <is>
          <t>VÄSTMANLANDS LÄN</t>
        </is>
      </c>
      <c r="E872" t="inlineStr">
        <is>
          <t>SALA</t>
        </is>
      </c>
      <c r="G872" t="n">
        <v>3.7</v>
      </c>
      <c r="H872" t="n">
        <v>0</v>
      </c>
      <c r="I872" t="n">
        <v>0</v>
      </c>
      <c r="J872" t="n">
        <v>0</v>
      </c>
      <c r="K872" t="n">
        <v>0</v>
      </c>
      <c r="L872" t="n">
        <v>0</v>
      </c>
      <c r="M872" t="n">
        <v>0</v>
      </c>
      <c r="N872" t="n">
        <v>0</v>
      </c>
      <c r="O872" t="n">
        <v>0</v>
      </c>
      <c r="P872" t="n">
        <v>0</v>
      </c>
      <c r="Q872" t="n">
        <v>0</v>
      </c>
      <c r="R872" s="2" t="inlineStr"/>
    </row>
    <row r="873" ht="15" customHeight="1">
      <c r="A873" t="inlineStr">
        <is>
          <t>A 4897-2024</t>
        </is>
      </c>
      <c r="B873" s="1" t="n">
        <v>45329</v>
      </c>
      <c r="C873" s="1" t="n">
        <v>45473</v>
      </c>
      <c r="D873" t="inlineStr">
        <is>
          <t>VÄSTMANLANDS LÄN</t>
        </is>
      </c>
      <c r="E873" t="inlineStr">
        <is>
          <t>SALA</t>
        </is>
      </c>
      <c r="G873" t="n">
        <v>3.4</v>
      </c>
      <c r="H873" t="n">
        <v>0</v>
      </c>
      <c r="I873" t="n">
        <v>0</v>
      </c>
      <c r="J873" t="n">
        <v>0</v>
      </c>
      <c r="K873" t="n">
        <v>0</v>
      </c>
      <c r="L873" t="n">
        <v>0</v>
      </c>
      <c r="M873" t="n">
        <v>0</v>
      </c>
      <c r="N873" t="n">
        <v>0</v>
      </c>
      <c r="O873" t="n">
        <v>0</v>
      </c>
      <c r="P873" t="n">
        <v>0</v>
      </c>
      <c r="Q873" t="n">
        <v>0</v>
      </c>
      <c r="R873" s="2" t="inlineStr"/>
    </row>
    <row r="874" ht="15" customHeight="1">
      <c r="A874" t="inlineStr">
        <is>
          <t>A 5478-2024</t>
        </is>
      </c>
      <c r="B874" s="1" t="n">
        <v>45333</v>
      </c>
      <c r="C874" s="1" t="n">
        <v>45473</v>
      </c>
      <c r="D874" t="inlineStr">
        <is>
          <t>VÄSTMANLANDS LÄN</t>
        </is>
      </c>
      <c r="E874" t="inlineStr">
        <is>
          <t>SALA</t>
        </is>
      </c>
      <c r="G874" t="n">
        <v>1.5</v>
      </c>
      <c r="H874" t="n">
        <v>0</v>
      </c>
      <c r="I874" t="n">
        <v>0</v>
      </c>
      <c r="J874" t="n">
        <v>0</v>
      </c>
      <c r="K874" t="n">
        <v>0</v>
      </c>
      <c r="L874" t="n">
        <v>0</v>
      </c>
      <c r="M874" t="n">
        <v>0</v>
      </c>
      <c r="N874" t="n">
        <v>0</v>
      </c>
      <c r="O874" t="n">
        <v>0</v>
      </c>
      <c r="P874" t="n">
        <v>0</v>
      </c>
      <c r="Q874" t="n">
        <v>0</v>
      </c>
      <c r="R874" s="2" t="inlineStr"/>
    </row>
    <row r="875" ht="15" customHeight="1">
      <c r="A875" t="inlineStr">
        <is>
          <t>A 5477-2024</t>
        </is>
      </c>
      <c r="B875" s="1" t="n">
        <v>45333</v>
      </c>
      <c r="C875" s="1" t="n">
        <v>45473</v>
      </c>
      <c r="D875" t="inlineStr">
        <is>
          <t>VÄSTMANLANDS LÄN</t>
        </is>
      </c>
      <c r="E875" t="inlineStr">
        <is>
          <t>SALA</t>
        </is>
      </c>
      <c r="G875" t="n">
        <v>2.3</v>
      </c>
      <c r="H875" t="n">
        <v>0</v>
      </c>
      <c r="I875" t="n">
        <v>0</v>
      </c>
      <c r="J875" t="n">
        <v>0</v>
      </c>
      <c r="K875" t="n">
        <v>0</v>
      </c>
      <c r="L875" t="n">
        <v>0</v>
      </c>
      <c r="M875" t="n">
        <v>0</v>
      </c>
      <c r="N875" t="n">
        <v>0</v>
      </c>
      <c r="O875" t="n">
        <v>0</v>
      </c>
      <c r="P875" t="n">
        <v>0</v>
      </c>
      <c r="Q875" t="n">
        <v>0</v>
      </c>
      <c r="R875" s="2" t="inlineStr"/>
    </row>
    <row r="876" ht="15" customHeight="1">
      <c r="A876" t="inlineStr">
        <is>
          <t>A 5705-2024</t>
        </is>
      </c>
      <c r="B876" s="1" t="n">
        <v>45334</v>
      </c>
      <c r="C876" s="1" t="n">
        <v>45473</v>
      </c>
      <c r="D876" t="inlineStr">
        <is>
          <t>VÄSTMANLANDS LÄN</t>
        </is>
      </c>
      <c r="E876" t="inlineStr">
        <is>
          <t>SALA</t>
        </is>
      </c>
      <c r="G876" t="n">
        <v>2.1</v>
      </c>
      <c r="H876" t="n">
        <v>0</v>
      </c>
      <c r="I876" t="n">
        <v>0</v>
      </c>
      <c r="J876" t="n">
        <v>0</v>
      </c>
      <c r="K876" t="n">
        <v>0</v>
      </c>
      <c r="L876" t="n">
        <v>0</v>
      </c>
      <c r="M876" t="n">
        <v>0</v>
      </c>
      <c r="N876" t="n">
        <v>0</v>
      </c>
      <c r="O876" t="n">
        <v>0</v>
      </c>
      <c r="P876" t="n">
        <v>0</v>
      </c>
      <c r="Q876" t="n">
        <v>0</v>
      </c>
      <c r="R876" s="2" t="inlineStr"/>
    </row>
    <row r="877" ht="15" customHeight="1">
      <c r="A877" t="inlineStr">
        <is>
          <t>A 5977-2024</t>
        </is>
      </c>
      <c r="B877" s="1" t="n">
        <v>45336</v>
      </c>
      <c r="C877" s="1" t="n">
        <v>45473</v>
      </c>
      <c r="D877" t="inlineStr">
        <is>
          <t>VÄSTMANLANDS LÄN</t>
        </is>
      </c>
      <c r="E877" t="inlineStr">
        <is>
          <t>SALA</t>
        </is>
      </c>
      <c r="G877" t="n">
        <v>13.1</v>
      </c>
      <c r="H877" t="n">
        <v>0</v>
      </c>
      <c r="I877" t="n">
        <v>0</v>
      </c>
      <c r="J877" t="n">
        <v>0</v>
      </c>
      <c r="K877" t="n">
        <v>0</v>
      </c>
      <c r="L877" t="n">
        <v>0</v>
      </c>
      <c r="M877" t="n">
        <v>0</v>
      </c>
      <c r="N877" t="n">
        <v>0</v>
      </c>
      <c r="O877" t="n">
        <v>0</v>
      </c>
      <c r="P877" t="n">
        <v>0</v>
      </c>
      <c r="Q877" t="n">
        <v>0</v>
      </c>
      <c r="R877" s="2" t="inlineStr"/>
    </row>
    <row r="878" ht="15" customHeight="1">
      <c r="A878" t="inlineStr">
        <is>
          <t>A 6030-2024</t>
        </is>
      </c>
      <c r="B878" s="1" t="n">
        <v>45336</v>
      </c>
      <c r="C878" s="1" t="n">
        <v>45473</v>
      </c>
      <c r="D878" t="inlineStr">
        <is>
          <t>VÄSTMANLANDS LÄN</t>
        </is>
      </c>
      <c r="E878" t="inlineStr">
        <is>
          <t>SALA</t>
        </is>
      </c>
      <c r="G878" t="n">
        <v>3.9</v>
      </c>
      <c r="H878" t="n">
        <v>0</v>
      </c>
      <c r="I878" t="n">
        <v>0</v>
      </c>
      <c r="J878" t="n">
        <v>0</v>
      </c>
      <c r="K878" t="n">
        <v>0</v>
      </c>
      <c r="L878" t="n">
        <v>0</v>
      </c>
      <c r="M878" t="n">
        <v>0</v>
      </c>
      <c r="N878" t="n">
        <v>0</v>
      </c>
      <c r="O878" t="n">
        <v>0</v>
      </c>
      <c r="P878" t="n">
        <v>0</v>
      </c>
      <c r="Q878" t="n">
        <v>0</v>
      </c>
      <c r="R878" s="2" t="inlineStr"/>
    </row>
    <row r="879" ht="15" customHeight="1">
      <c r="A879" t="inlineStr">
        <is>
          <t>A 5984-2024</t>
        </is>
      </c>
      <c r="B879" s="1" t="n">
        <v>45336</v>
      </c>
      <c r="C879" s="1" t="n">
        <v>45473</v>
      </c>
      <c r="D879" t="inlineStr">
        <is>
          <t>VÄSTMANLANDS LÄN</t>
        </is>
      </c>
      <c r="E879" t="inlineStr">
        <is>
          <t>SALA</t>
        </is>
      </c>
      <c r="G879" t="n">
        <v>0.7</v>
      </c>
      <c r="H879" t="n">
        <v>0</v>
      </c>
      <c r="I879" t="n">
        <v>0</v>
      </c>
      <c r="J879" t="n">
        <v>0</v>
      </c>
      <c r="K879" t="n">
        <v>0</v>
      </c>
      <c r="L879" t="n">
        <v>0</v>
      </c>
      <c r="M879" t="n">
        <v>0</v>
      </c>
      <c r="N879" t="n">
        <v>0</v>
      </c>
      <c r="O879" t="n">
        <v>0</v>
      </c>
      <c r="P879" t="n">
        <v>0</v>
      </c>
      <c r="Q879" t="n">
        <v>0</v>
      </c>
      <c r="R879" s="2" t="inlineStr"/>
    </row>
    <row r="880" ht="15" customHeight="1">
      <c r="A880" t="inlineStr">
        <is>
          <t>A 6134-2024</t>
        </is>
      </c>
      <c r="B880" s="1" t="n">
        <v>45337</v>
      </c>
      <c r="C880" s="1" t="n">
        <v>45473</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6572-2024</t>
        </is>
      </c>
      <c r="B881" s="1" t="n">
        <v>45338</v>
      </c>
      <c r="C881" s="1" t="n">
        <v>45473</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6538-2024</t>
        </is>
      </c>
      <c r="B882" s="1" t="n">
        <v>45338</v>
      </c>
      <c r="C882" s="1" t="n">
        <v>45473</v>
      </c>
      <c r="D882" t="inlineStr">
        <is>
          <t>VÄSTMANLANDS LÄN</t>
        </is>
      </c>
      <c r="E882" t="inlineStr">
        <is>
          <t>SALA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6601-2024</t>
        </is>
      </c>
      <c r="B883" s="1" t="n">
        <v>45338</v>
      </c>
      <c r="C883" s="1" t="n">
        <v>45473</v>
      </c>
      <c r="D883" t="inlineStr">
        <is>
          <t>VÄSTMANLANDS LÄN</t>
        </is>
      </c>
      <c r="E883" t="inlineStr">
        <is>
          <t>SALA</t>
        </is>
      </c>
      <c r="G883" t="n">
        <v>4</v>
      </c>
      <c r="H883" t="n">
        <v>0</v>
      </c>
      <c r="I883" t="n">
        <v>0</v>
      </c>
      <c r="J883" t="n">
        <v>0</v>
      </c>
      <c r="K883" t="n">
        <v>0</v>
      </c>
      <c r="L883" t="n">
        <v>0</v>
      </c>
      <c r="M883" t="n">
        <v>0</v>
      </c>
      <c r="N883" t="n">
        <v>0</v>
      </c>
      <c r="O883" t="n">
        <v>0</v>
      </c>
      <c r="P883" t="n">
        <v>0</v>
      </c>
      <c r="Q883" t="n">
        <v>0</v>
      </c>
      <c r="R883" s="2" t="inlineStr"/>
    </row>
    <row r="884" ht="15" customHeight="1">
      <c r="A884" t="inlineStr">
        <is>
          <t>A 6585-2024</t>
        </is>
      </c>
      <c r="B884" s="1" t="n">
        <v>45338</v>
      </c>
      <c r="C884" s="1" t="n">
        <v>45473</v>
      </c>
      <c r="D884" t="inlineStr">
        <is>
          <t>VÄSTMANLANDS LÄN</t>
        </is>
      </c>
      <c r="E884" t="inlineStr">
        <is>
          <t>SALA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6541-2024</t>
        </is>
      </c>
      <c r="B885" s="1" t="n">
        <v>45338</v>
      </c>
      <c r="C885" s="1" t="n">
        <v>45473</v>
      </c>
      <c r="D885" t="inlineStr">
        <is>
          <t>VÄSTMANLANDS LÄN</t>
        </is>
      </c>
      <c r="E885" t="inlineStr">
        <is>
          <t>SALA</t>
        </is>
      </c>
      <c r="G885" t="n">
        <v>0.8</v>
      </c>
      <c r="H885" t="n">
        <v>0</v>
      </c>
      <c r="I885" t="n">
        <v>0</v>
      </c>
      <c r="J885" t="n">
        <v>0</v>
      </c>
      <c r="K885" t="n">
        <v>0</v>
      </c>
      <c r="L885" t="n">
        <v>0</v>
      </c>
      <c r="M885" t="n">
        <v>0</v>
      </c>
      <c r="N885" t="n">
        <v>0</v>
      </c>
      <c r="O885" t="n">
        <v>0</v>
      </c>
      <c r="P885" t="n">
        <v>0</v>
      </c>
      <c r="Q885" t="n">
        <v>0</v>
      </c>
      <c r="R885" s="2" t="inlineStr"/>
    </row>
    <row r="886" ht="15" customHeight="1">
      <c r="A886" t="inlineStr">
        <is>
          <t>A 6657-2024</t>
        </is>
      </c>
      <c r="B886" s="1" t="n">
        <v>45341</v>
      </c>
      <c r="C886" s="1" t="n">
        <v>45473</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7953-2024</t>
        </is>
      </c>
      <c r="B887" s="1" t="n">
        <v>45350</v>
      </c>
      <c r="C887" s="1" t="n">
        <v>45473</v>
      </c>
      <c r="D887" t="inlineStr">
        <is>
          <t>VÄSTMANLANDS LÄN</t>
        </is>
      </c>
      <c r="E887" t="inlineStr">
        <is>
          <t>SALA</t>
        </is>
      </c>
      <c r="G887" t="n">
        <v>2.6</v>
      </c>
      <c r="H887" t="n">
        <v>0</v>
      </c>
      <c r="I887" t="n">
        <v>0</v>
      </c>
      <c r="J887" t="n">
        <v>0</v>
      </c>
      <c r="K887" t="n">
        <v>0</v>
      </c>
      <c r="L887" t="n">
        <v>0</v>
      </c>
      <c r="M887" t="n">
        <v>0</v>
      </c>
      <c r="N887" t="n">
        <v>0</v>
      </c>
      <c r="O887" t="n">
        <v>0</v>
      </c>
      <c r="P887" t="n">
        <v>0</v>
      </c>
      <c r="Q887" t="n">
        <v>0</v>
      </c>
      <c r="R887" s="2" t="inlineStr"/>
    </row>
    <row r="888" ht="15" customHeight="1">
      <c r="A888" t="inlineStr">
        <is>
          <t>A 8591-2024</t>
        </is>
      </c>
      <c r="B888" s="1" t="n">
        <v>45355</v>
      </c>
      <c r="C888" s="1" t="n">
        <v>45473</v>
      </c>
      <c r="D888" t="inlineStr">
        <is>
          <t>VÄSTMANLANDS LÄN</t>
        </is>
      </c>
      <c r="E888" t="inlineStr">
        <is>
          <t>SALA</t>
        </is>
      </c>
      <c r="G888" t="n">
        <v>4.6</v>
      </c>
      <c r="H888" t="n">
        <v>0</v>
      </c>
      <c r="I888" t="n">
        <v>0</v>
      </c>
      <c r="J888" t="n">
        <v>0</v>
      </c>
      <c r="K888" t="n">
        <v>0</v>
      </c>
      <c r="L888" t="n">
        <v>0</v>
      </c>
      <c r="M888" t="n">
        <v>0</v>
      </c>
      <c r="N888" t="n">
        <v>0</v>
      </c>
      <c r="O888" t="n">
        <v>0</v>
      </c>
      <c r="P888" t="n">
        <v>0</v>
      </c>
      <c r="Q888" t="n">
        <v>0</v>
      </c>
      <c r="R888" s="2" t="inlineStr"/>
    </row>
    <row r="889" ht="15" customHeight="1">
      <c r="A889" t="inlineStr">
        <is>
          <t>A 8775-2024</t>
        </is>
      </c>
      <c r="B889" s="1" t="n">
        <v>45356</v>
      </c>
      <c r="C889" s="1" t="n">
        <v>45473</v>
      </c>
      <c r="D889" t="inlineStr">
        <is>
          <t>VÄSTMANLANDS LÄN</t>
        </is>
      </c>
      <c r="E889" t="inlineStr">
        <is>
          <t>SALA</t>
        </is>
      </c>
      <c r="G889" t="n">
        <v>0.6</v>
      </c>
      <c r="H889" t="n">
        <v>0</v>
      </c>
      <c r="I889" t="n">
        <v>0</v>
      </c>
      <c r="J889" t="n">
        <v>0</v>
      </c>
      <c r="K889" t="n">
        <v>0</v>
      </c>
      <c r="L889" t="n">
        <v>0</v>
      </c>
      <c r="M889" t="n">
        <v>0</v>
      </c>
      <c r="N889" t="n">
        <v>0</v>
      </c>
      <c r="O889" t="n">
        <v>0</v>
      </c>
      <c r="P889" t="n">
        <v>0</v>
      </c>
      <c r="Q889" t="n">
        <v>0</v>
      </c>
      <c r="R889" s="2" t="inlineStr"/>
    </row>
    <row r="890" ht="15" customHeight="1">
      <c r="A890" t="inlineStr">
        <is>
          <t>A 8793-2024</t>
        </is>
      </c>
      <c r="B890" s="1" t="n">
        <v>45356</v>
      </c>
      <c r="C890" s="1" t="n">
        <v>45473</v>
      </c>
      <c r="D890" t="inlineStr">
        <is>
          <t>VÄSTMANLANDS LÄN</t>
        </is>
      </c>
      <c r="E890" t="inlineStr">
        <is>
          <t>SALA</t>
        </is>
      </c>
      <c r="G890" t="n">
        <v>2</v>
      </c>
      <c r="H890" t="n">
        <v>0</v>
      </c>
      <c r="I890" t="n">
        <v>0</v>
      </c>
      <c r="J890" t="n">
        <v>0</v>
      </c>
      <c r="K890" t="n">
        <v>0</v>
      </c>
      <c r="L890" t="n">
        <v>0</v>
      </c>
      <c r="M890" t="n">
        <v>0</v>
      </c>
      <c r="N890" t="n">
        <v>0</v>
      </c>
      <c r="O890" t="n">
        <v>0</v>
      </c>
      <c r="P890" t="n">
        <v>0</v>
      </c>
      <c r="Q890" t="n">
        <v>0</v>
      </c>
      <c r="R890" s="2" t="inlineStr"/>
    </row>
    <row r="891" ht="15" customHeight="1">
      <c r="A891" t="inlineStr">
        <is>
          <t>A 8778-2024</t>
        </is>
      </c>
      <c r="B891" s="1" t="n">
        <v>45356</v>
      </c>
      <c r="C891" s="1" t="n">
        <v>45473</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9205-2024</t>
        </is>
      </c>
      <c r="B892" s="1" t="n">
        <v>45358</v>
      </c>
      <c r="C892" s="1" t="n">
        <v>45473</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9204-2024</t>
        </is>
      </c>
      <c r="B893" s="1" t="n">
        <v>45358</v>
      </c>
      <c r="C893" s="1" t="n">
        <v>45473</v>
      </c>
      <c r="D893" t="inlineStr">
        <is>
          <t>VÄSTMANLANDS LÄN</t>
        </is>
      </c>
      <c r="E893" t="inlineStr">
        <is>
          <t>SALA</t>
        </is>
      </c>
      <c r="G893" t="n">
        <v>0.6</v>
      </c>
      <c r="H893" t="n">
        <v>0</v>
      </c>
      <c r="I893" t="n">
        <v>0</v>
      </c>
      <c r="J893" t="n">
        <v>0</v>
      </c>
      <c r="K893" t="n">
        <v>0</v>
      </c>
      <c r="L893" t="n">
        <v>0</v>
      </c>
      <c r="M893" t="n">
        <v>0</v>
      </c>
      <c r="N893" t="n">
        <v>0</v>
      </c>
      <c r="O893" t="n">
        <v>0</v>
      </c>
      <c r="P893" t="n">
        <v>0</v>
      </c>
      <c r="Q893" t="n">
        <v>0</v>
      </c>
      <c r="R893" s="2" t="inlineStr"/>
    </row>
    <row r="894" ht="15" customHeight="1">
      <c r="A894" t="inlineStr">
        <is>
          <t>A 9474-2024</t>
        </is>
      </c>
      <c r="B894" s="1" t="n">
        <v>45359</v>
      </c>
      <c r="C894" s="1" t="n">
        <v>45473</v>
      </c>
      <c r="D894" t="inlineStr">
        <is>
          <t>VÄSTMANLANDS LÄN</t>
        </is>
      </c>
      <c r="E894" t="inlineStr">
        <is>
          <t>SALA</t>
        </is>
      </c>
      <c r="F894" t="inlineStr">
        <is>
          <t>Kommuner</t>
        </is>
      </c>
      <c r="G894" t="n">
        <v>4.1</v>
      </c>
      <c r="H894" t="n">
        <v>0</v>
      </c>
      <c r="I894" t="n">
        <v>0</v>
      </c>
      <c r="J894" t="n">
        <v>0</v>
      </c>
      <c r="K894" t="n">
        <v>0</v>
      </c>
      <c r="L894" t="n">
        <v>0</v>
      </c>
      <c r="M894" t="n">
        <v>0</v>
      </c>
      <c r="N894" t="n">
        <v>0</v>
      </c>
      <c r="O894" t="n">
        <v>0</v>
      </c>
      <c r="P894" t="n">
        <v>0</v>
      </c>
      <c r="Q894" t="n">
        <v>0</v>
      </c>
      <c r="R894" s="2" t="inlineStr"/>
    </row>
    <row r="895" ht="15" customHeight="1">
      <c r="A895" t="inlineStr">
        <is>
          <t>A 9853-2024</t>
        </is>
      </c>
      <c r="B895" s="1" t="n">
        <v>45363</v>
      </c>
      <c r="C895" s="1" t="n">
        <v>45473</v>
      </c>
      <c r="D895" t="inlineStr">
        <is>
          <t>VÄSTMANLANDS LÄN</t>
        </is>
      </c>
      <c r="E895" t="inlineStr">
        <is>
          <t>SALA</t>
        </is>
      </c>
      <c r="G895" t="n">
        <v>3.2</v>
      </c>
      <c r="H895" t="n">
        <v>0</v>
      </c>
      <c r="I895" t="n">
        <v>0</v>
      </c>
      <c r="J895" t="n">
        <v>0</v>
      </c>
      <c r="K895" t="n">
        <v>0</v>
      </c>
      <c r="L895" t="n">
        <v>0</v>
      </c>
      <c r="M895" t="n">
        <v>0</v>
      </c>
      <c r="N895" t="n">
        <v>0</v>
      </c>
      <c r="O895" t="n">
        <v>0</v>
      </c>
      <c r="P895" t="n">
        <v>0</v>
      </c>
      <c r="Q895" t="n">
        <v>0</v>
      </c>
      <c r="R895" s="2" t="inlineStr"/>
    </row>
    <row r="896" ht="15" customHeight="1">
      <c r="A896" t="inlineStr">
        <is>
          <t>A 9874-2024</t>
        </is>
      </c>
      <c r="B896" s="1" t="n">
        <v>45363</v>
      </c>
      <c r="C896" s="1" t="n">
        <v>45473</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10255-2024</t>
        </is>
      </c>
      <c r="B897" s="1" t="n">
        <v>45365</v>
      </c>
      <c r="C897" s="1" t="n">
        <v>45473</v>
      </c>
      <c r="D897" t="inlineStr">
        <is>
          <t>VÄSTMANLANDS LÄN</t>
        </is>
      </c>
      <c r="E897" t="inlineStr">
        <is>
          <t>SALA</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10559-2024</t>
        </is>
      </c>
      <c r="B898" s="1" t="n">
        <v>45366</v>
      </c>
      <c r="C898" s="1" t="n">
        <v>45473</v>
      </c>
      <c r="D898" t="inlineStr">
        <is>
          <t>VÄSTMANLANDS LÄN</t>
        </is>
      </c>
      <c r="E898" t="inlineStr">
        <is>
          <t>SALA</t>
        </is>
      </c>
      <c r="G898" t="n">
        <v>0.3</v>
      </c>
      <c r="H898" t="n">
        <v>0</v>
      </c>
      <c r="I898" t="n">
        <v>0</v>
      </c>
      <c r="J898" t="n">
        <v>0</v>
      </c>
      <c r="K898" t="n">
        <v>0</v>
      </c>
      <c r="L898" t="n">
        <v>0</v>
      </c>
      <c r="M898" t="n">
        <v>0</v>
      </c>
      <c r="N898" t="n">
        <v>0</v>
      </c>
      <c r="O898" t="n">
        <v>0</v>
      </c>
      <c r="P898" t="n">
        <v>0</v>
      </c>
      <c r="Q898" t="n">
        <v>0</v>
      </c>
      <c r="R898" s="2" t="inlineStr"/>
    </row>
    <row r="899" ht="15" customHeight="1">
      <c r="A899" t="inlineStr">
        <is>
          <t>A 10751-2024</t>
        </is>
      </c>
      <c r="B899" s="1" t="n">
        <v>45369</v>
      </c>
      <c r="C899" s="1" t="n">
        <v>45473</v>
      </c>
      <c r="D899" t="inlineStr">
        <is>
          <t>VÄSTMANLANDS LÄN</t>
        </is>
      </c>
      <c r="E899" t="inlineStr">
        <is>
          <t>SALA</t>
        </is>
      </c>
      <c r="G899" t="n">
        <v>1.6</v>
      </c>
      <c r="H899" t="n">
        <v>0</v>
      </c>
      <c r="I899" t="n">
        <v>0</v>
      </c>
      <c r="J899" t="n">
        <v>0</v>
      </c>
      <c r="K899" t="n">
        <v>0</v>
      </c>
      <c r="L899" t="n">
        <v>0</v>
      </c>
      <c r="M899" t="n">
        <v>0</v>
      </c>
      <c r="N899" t="n">
        <v>0</v>
      </c>
      <c r="O899" t="n">
        <v>0</v>
      </c>
      <c r="P899" t="n">
        <v>0</v>
      </c>
      <c r="Q899" t="n">
        <v>0</v>
      </c>
      <c r="R899" s="2" t="inlineStr"/>
    </row>
    <row r="900" ht="15" customHeight="1">
      <c r="A900" t="inlineStr">
        <is>
          <t>A 10754-2024</t>
        </is>
      </c>
      <c r="B900" s="1" t="n">
        <v>45369</v>
      </c>
      <c r="C900" s="1" t="n">
        <v>45473</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10909-2024</t>
        </is>
      </c>
      <c r="B901" s="1" t="n">
        <v>45370</v>
      </c>
      <c r="C901" s="1" t="n">
        <v>45473</v>
      </c>
      <c r="D901" t="inlineStr">
        <is>
          <t>VÄSTMANLANDS LÄN</t>
        </is>
      </c>
      <c r="E901" t="inlineStr">
        <is>
          <t>SALA</t>
        </is>
      </c>
      <c r="G901" t="n">
        <v>3.3</v>
      </c>
      <c r="H901" t="n">
        <v>0</v>
      </c>
      <c r="I901" t="n">
        <v>0</v>
      </c>
      <c r="J901" t="n">
        <v>0</v>
      </c>
      <c r="K901" t="n">
        <v>0</v>
      </c>
      <c r="L901" t="n">
        <v>0</v>
      </c>
      <c r="M901" t="n">
        <v>0</v>
      </c>
      <c r="N901" t="n">
        <v>0</v>
      </c>
      <c r="O901" t="n">
        <v>0</v>
      </c>
      <c r="P901" t="n">
        <v>0</v>
      </c>
      <c r="Q901" t="n">
        <v>0</v>
      </c>
      <c r="R901" s="2" t="inlineStr"/>
    </row>
    <row r="902" ht="15" customHeight="1">
      <c r="A902" t="inlineStr">
        <is>
          <t>A 11244-2024</t>
        </is>
      </c>
      <c r="B902" s="1" t="n">
        <v>45371</v>
      </c>
      <c r="C902" s="1" t="n">
        <v>45473</v>
      </c>
      <c r="D902" t="inlineStr">
        <is>
          <t>VÄSTMANLANDS LÄN</t>
        </is>
      </c>
      <c r="E902" t="inlineStr">
        <is>
          <t>SALA</t>
        </is>
      </c>
      <c r="G902" t="n">
        <v>1.2</v>
      </c>
      <c r="H902" t="n">
        <v>0</v>
      </c>
      <c r="I902" t="n">
        <v>0</v>
      </c>
      <c r="J902" t="n">
        <v>0</v>
      </c>
      <c r="K902" t="n">
        <v>0</v>
      </c>
      <c r="L902" t="n">
        <v>0</v>
      </c>
      <c r="M902" t="n">
        <v>0</v>
      </c>
      <c r="N902" t="n">
        <v>0</v>
      </c>
      <c r="O902" t="n">
        <v>0</v>
      </c>
      <c r="P902" t="n">
        <v>0</v>
      </c>
      <c r="Q902" t="n">
        <v>0</v>
      </c>
      <c r="R902" s="2" t="inlineStr"/>
    </row>
    <row r="903" ht="15" customHeight="1">
      <c r="A903" t="inlineStr">
        <is>
          <t>A 11381-2024</t>
        </is>
      </c>
      <c r="B903" s="1" t="n">
        <v>45372</v>
      </c>
      <c r="C903" s="1" t="n">
        <v>45473</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11389-2024</t>
        </is>
      </c>
      <c r="B904" s="1" t="n">
        <v>45372</v>
      </c>
      <c r="C904" s="1" t="n">
        <v>45473</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11378-2024</t>
        </is>
      </c>
      <c r="B905" s="1" t="n">
        <v>45372</v>
      </c>
      <c r="C905" s="1" t="n">
        <v>45473</v>
      </c>
      <c r="D905" t="inlineStr">
        <is>
          <t>VÄSTMANLANDS LÄN</t>
        </is>
      </c>
      <c r="E905" t="inlineStr">
        <is>
          <t>SALA</t>
        </is>
      </c>
      <c r="G905" t="n">
        <v>2.9</v>
      </c>
      <c r="H905" t="n">
        <v>0</v>
      </c>
      <c r="I905" t="n">
        <v>0</v>
      </c>
      <c r="J905" t="n">
        <v>0</v>
      </c>
      <c r="K905" t="n">
        <v>0</v>
      </c>
      <c r="L905" t="n">
        <v>0</v>
      </c>
      <c r="M905" t="n">
        <v>0</v>
      </c>
      <c r="N905" t="n">
        <v>0</v>
      </c>
      <c r="O905" t="n">
        <v>0</v>
      </c>
      <c r="P905" t="n">
        <v>0</v>
      </c>
      <c r="Q905" t="n">
        <v>0</v>
      </c>
      <c r="R905" s="2" t="inlineStr"/>
    </row>
    <row r="906" ht="15" customHeight="1">
      <c r="A906" t="inlineStr">
        <is>
          <t>A 11492-2024</t>
        </is>
      </c>
      <c r="B906" s="1" t="n">
        <v>45372</v>
      </c>
      <c r="C906" s="1" t="n">
        <v>45473</v>
      </c>
      <c r="D906" t="inlineStr">
        <is>
          <t>VÄSTMANLANDS LÄN</t>
        </is>
      </c>
      <c r="E906" t="inlineStr">
        <is>
          <t>SALA</t>
        </is>
      </c>
      <c r="G906" t="n">
        <v>6.9</v>
      </c>
      <c r="H906" t="n">
        <v>0</v>
      </c>
      <c r="I906" t="n">
        <v>0</v>
      </c>
      <c r="J906" t="n">
        <v>0</v>
      </c>
      <c r="K906" t="n">
        <v>0</v>
      </c>
      <c r="L906" t="n">
        <v>0</v>
      </c>
      <c r="M906" t="n">
        <v>0</v>
      </c>
      <c r="N906" t="n">
        <v>0</v>
      </c>
      <c r="O906" t="n">
        <v>0</v>
      </c>
      <c r="P906" t="n">
        <v>0</v>
      </c>
      <c r="Q906" t="n">
        <v>0</v>
      </c>
      <c r="R906" s="2" t="inlineStr"/>
    </row>
    <row r="907" ht="15" customHeight="1">
      <c r="A907" t="inlineStr">
        <is>
          <t>A 11846-2024</t>
        </is>
      </c>
      <c r="B907" s="1" t="n">
        <v>45376</v>
      </c>
      <c r="C907" s="1" t="n">
        <v>45473</v>
      </c>
      <c r="D907" t="inlineStr">
        <is>
          <t>VÄSTMANLANDS LÄN</t>
        </is>
      </c>
      <c r="E907" t="inlineStr">
        <is>
          <t>SALA</t>
        </is>
      </c>
      <c r="G907" t="n">
        <v>8</v>
      </c>
      <c r="H907" t="n">
        <v>0</v>
      </c>
      <c r="I907" t="n">
        <v>0</v>
      </c>
      <c r="J907" t="n">
        <v>0</v>
      </c>
      <c r="K907" t="n">
        <v>0</v>
      </c>
      <c r="L907" t="n">
        <v>0</v>
      </c>
      <c r="M907" t="n">
        <v>0</v>
      </c>
      <c r="N907" t="n">
        <v>0</v>
      </c>
      <c r="O907" t="n">
        <v>0</v>
      </c>
      <c r="P907" t="n">
        <v>0</v>
      </c>
      <c r="Q907" t="n">
        <v>0</v>
      </c>
      <c r="R907" s="2" t="inlineStr"/>
    </row>
    <row r="908" ht="15" customHeight="1">
      <c r="A908" t="inlineStr">
        <is>
          <t>A 11847-2024</t>
        </is>
      </c>
      <c r="B908" s="1" t="n">
        <v>45376</v>
      </c>
      <c r="C908" s="1" t="n">
        <v>45473</v>
      </c>
      <c r="D908" t="inlineStr">
        <is>
          <t>VÄSTMANLANDS LÄN</t>
        </is>
      </c>
      <c r="E908" t="inlineStr">
        <is>
          <t>SALA</t>
        </is>
      </c>
      <c r="G908" t="n">
        <v>7.1</v>
      </c>
      <c r="H908" t="n">
        <v>0</v>
      </c>
      <c r="I908" t="n">
        <v>0</v>
      </c>
      <c r="J908" t="n">
        <v>0</v>
      </c>
      <c r="K908" t="n">
        <v>0</v>
      </c>
      <c r="L908" t="n">
        <v>0</v>
      </c>
      <c r="M908" t="n">
        <v>0</v>
      </c>
      <c r="N908" t="n">
        <v>0</v>
      </c>
      <c r="O908" t="n">
        <v>0</v>
      </c>
      <c r="P908" t="n">
        <v>0</v>
      </c>
      <c r="Q908" t="n">
        <v>0</v>
      </c>
      <c r="R908" s="2" t="inlineStr"/>
    </row>
    <row r="909" ht="15" customHeight="1">
      <c r="A909" t="inlineStr">
        <is>
          <t>A 12236-2024</t>
        </is>
      </c>
      <c r="B909" s="1" t="n">
        <v>45378</v>
      </c>
      <c r="C909" s="1" t="n">
        <v>45473</v>
      </c>
      <c r="D909" t="inlineStr">
        <is>
          <t>VÄSTMANLANDS LÄN</t>
        </is>
      </c>
      <c r="E909" t="inlineStr">
        <is>
          <t>SALA</t>
        </is>
      </c>
      <c r="F909" t="inlineStr">
        <is>
          <t>Kommuner</t>
        </is>
      </c>
      <c r="G909" t="n">
        <v>4.4</v>
      </c>
      <c r="H909" t="n">
        <v>0</v>
      </c>
      <c r="I909" t="n">
        <v>0</v>
      </c>
      <c r="J909" t="n">
        <v>0</v>
      </c>
      <c r="K909" t="n">
        <v>0</v>
      </c>
      <c r="L909" t="n">
        <v>0</v>
      </c>
      <c r="M909" t="n">
        <v>0</v>
      </c>
      <c r="N909" t="n">
        <v>0</v>
      </c>
      <c r="O909" t="n">
        <v>0</v>
      </c>
      <c r="P909" t="n">
        <v>0</v>
      </c>
      <c r="Q909" t="n">
        <v>0</v>
      </c>
      <c r="R909" s="2" t="inlineStr"/>
    </row>
    <row r="910" ht="15" customHeight="1">
      <c r="A910" t="inlineStr">
        <is>
          <t>A 12244-2024</t>
        </is>
      </c>
      <c r="B910" s="1" t="n">
        <v>45378</v>
      </c>
      <c r="C910" s="1" t="n">
        <v>45473</v>
      </c>
      <c r="D910" t="inlineStr">
        <is>
          <t>VÄSTMANLANDS LÄN</t>
        </is>
      </c>
      <c r="E910" t="inlineStr">
        <is>
          <t>SALA</t>
        </is>
      </c>
      <c r="G910" t="n">
        <v>3.6</v>
      </c>
      <c r="H910" t="n">
        <v>0</v>
      </c>
      <c r="I910" t="n">
        <v>0</v>
      </c>
      <c r="J910" t="n">
        <v>0</v>
      </c>
      <c r="K910" t="n">
        <v>0</v>
      </c>
      <c r="L910" t="n">
        <v>0</v>
      </c>
      <c r="M910" t="n">
        <v>0</v>
      </c>
      <c r="N910" t="n">
        <v>0</v>
      </c>
      <c r="O910" t="n">
        <v>0</v>
      </c>
      <c r="P910" t="n">
        <v>0</v>
      </c>
      <c r="Q910" t="n">
        <v>0</v>
      </c>
      <c r="R910" s="2" t="inlineStr"/>
    </row>
    <row r="911" ht="15" customHeight="1">
      <c r="A911" t="inlineStr">
        <is>
          <t>A 12237-2024</t>
        </is>
      </c>
      <c r="B911" s="1" t="n">
        <v>45378</v>
      </c>
      <c r="C911" s="1" t="n">
        <v>45473</v>
      </c>
      <c r="D911" t="inlineStr">
        <is>
          <t>VÄSTMANLANDS LÄN</t>
        </is>
      </c>
      <c r="E911" t="inlineStr">
        <is>
          <t>SALA</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12242-2024</t>
        </is>
      </c>
      <c r="B912" s="1" t="n">
        <v>45378</v>
      </c>
      <c r="C912" s="1" t="n">
        <v>45473</v>
      </c>
      <c r="D912" t="inlineStr">
        <is>
          <t>VÄSTMANLANDS LÄN</t>
        </is>
      </c>
      <c r="E912" t="inlineStr">
        <is>
          <t>SALA</t>
        </is>
      </c>
      <c r="F912" t="inlineStr">
        <is>
          <t>Kommuner</t>
        </is>
      </c>
      <c r="G912" t="n">
        <v>1.2</v>
      </c>
      <c r="H912" t="n">
        <v>0</v>
      </c>
      <c r="I912" t="n">
        <v>0</v>
      </c>
      <c r="J912" t="n">
        <v>0</v>
      </c>
      <c r="K912" t="n">
        <v>0</v>
      </c>
      <c r="L912" t="n">
        <v>0</v>
      </c>
      <c r="M912" t="n">
        <v>0</v>
      </c>
      <c r="N912" t="n">
        <v>0</v>
      </c>
      <c r="O912" t="n">
        <v>0</v>
      </c>
      <c r="P912" t="n">
        <v>0</v>
      </c>
      <c r="Q912" t="n">
        <v>0</v>
      </c>
      <c r="R912" s="2" t="inlineStr"/>
    </row>
    <row r="913" ht="15" customHeight="1">
      <c r="A913" t="inlineStr">
        <is>
          <t>A 12463-2024</t>
        </is>
      </c>
      <c r="B913" s="1" t="n">
        <v>45378</v>
      </c>
      <c r="C913" s="1" t="n">
        <v>45473</v>
      </c>
      <c r="D913" t="inlineStr">
        <is>
          <t>VÄSTMANLANDS LÄN</t>
        </is>
      </c>
      <c r="E913" t="inlineStr">
        <is>
          <t>SALA</t>
        </is>
      </c>
      <c r="G913" t="n">
        <v>1.9</v>
      </c>
      <c r="H913" t="n">
        <v>0</v>
      </c>
      <c r="I913" t="n">
        <v>0</v>
      </c>
      <c r="J913" t="n">
        <v>0</v>
      </c>
      <c r="K913" t="n">
        <v>0</v>
      </c>
      <c r="L913" t="n">
        <v>0</v>
      </c>
      <c r="M913" t="n">
        <v>0</v>
      </c>
      <c r="N913" t="n">
        <v>0</v>
      </c>
      <c r="O913" t="n">
        <v>0</v>
      </c>
      <c r="P913" t="n">
        <v>0</v>
      </c>
      <c r="Q913" t="n">
        <v>0</v>
      </c>
      <c r="R913" s="2" t="inlineStr"/>
    </row>
    <row r="914" ht="15" customHeight="1">
      <c r="A914" t="inlineStr">
        <is>
          <t>A 12485-2024</t>
        </is>
      </c>
      <c r="B914" s="1" t="n">
        <v>45379</v>
      </c>
      <c r="C914" s="1" t="n">
        <v>45473</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13106-2024</t>
        </is>
      </c>
      <c r="B915" s="1" t="n">
        <v>45385</v>
      </c>
      <c r="C915" s="1" t="n">
        <v>45473</v>
      </c>
      <c r="D915" t="inlineStr">
        <is>
          <t>VÄSTMANLANDS LÄN</t>
        </is>
      </c>
      <c r="E915" t="inlineStr">
        <is>
          <t>SALA</t>
        </is>
      </c>
      <c r="G915" t="n">
        <v>2.4</v>
      </c>
      <c r="H915" t="n">
        <v>0</v>
      </c>
      <c r="I915" t="n">
        <v>0</v>
      </c>
      <c r="J915" t="n">
        <v>0</v>
      </c>
      <c r="K915" t="n">
        <v>0</v>
      </c>
      <c r="L915" t="n">
        <v>0</v>
      </c>
      <c r="M915" t="n">
        <v>0</v>
      </c>
      <c r="N915" t="n">
        <v>0</v>
      </c>
      <c r="O915" t="n">
        <v>0</v>
      </c>
      <c r="P915" t="n">
        <v>0</v>
      </c>
      <c r="Q915" t="n">
        <v>0</v>
      </c>
      <c r="R915" s="2" t="inlineStr"/>
    </row>
    <row r="916" ht="15" customHeight="1">
      <c r="A916" t="inlineStr">
        <is>
          <t>A 13110-2024</t>
        </is>
      </c>
      <c r="B916" s="1" t="n">
        <v>45385</v>
      </c>
      <c r="C916" s="1" t="n">
        <v>45473</v>
      </c>
      <c r="D916" t="inlineStr">
        <is>
          <t>VÄSTMANLANDS LÄN</t>
        </is>
      </c>
      <c r="E916" t="inlineStr">
        <is>
          <t>SALA</t>
        </is>
      </c>
      <c r="G916" t="n">
        <v>3</v>
      </c>
      <c r="H916" t="n">
        <v>0</v>
      </c>
      <c r="I916" t="n">
        <v>0</v>
      </c>
      <c r="J916" t="n">
        <v>0</v>
      </c>
      <c r="K916" t="n">
        <v>0</v>
      </c>
      <c r="L916" t="n">
        <v>0</v>
      </c>
      <c r="M916" t="n">
        <v>0</v>
      </c>
      <c r="N916" t="n">
        <v>0</v>
      </c>
      <c r="O916" t="n">
        <v>0</v>
      </c>
      <c r="P916" t="n">
        <v>0</v>
      </c>
      <c r="Q916" t="n">
        <v>0</v>
      </c>
      <c r="R916" s="2" t="inlineStr"/>
    </row>
    <row r="917" ht="15" customHeight="1">
      <c r="A917" t="inlineStr">
        <is>
          <t>A 14001-2024</t>
        </is>
      </c>
      <c r="B917" s="1" t="n">
        <v>45392</v>
      </c>
      <c r="C917" s="1" t="n">
        <v>45473</v>
      </c>
      <c r="D917" t="inlineStr">
        <is>
          <t>VÄSTMANLANDS LÄN</t>
        </is>
      </c>
      <c r="E917" t="inlineStr">
        <is>
          <t>SALA</t>
        </is>
      </c>
      <c r="G917" t="n">
        <v>2.2</v>
      </c>
      <c r="H917" t="n">
        <v>0</v>
      </c>
      <c r="I917" t="n">
        <v>0</v>
      </c>
      <c r="J917" t="n">
        <v>0</v>
      </c>
      <c r="K917" t="n">
        <v>0</v>
      </c>
      <c r="L917" t="n">
        <v>0</v>
      </c>
      <c r="M917" t="n">
        <v>0</v>
      </c>
      <c r="N917" t="n">
        <v>0</v>
      </c>
      <c r="O917" t="n">
        <v>0</v>
      </c>
      <c r="P917" t="n">
        <v>0</v>
      </c>
      <c r="Q917" t="n">
        <v>0</v>
      </c>
      <c r="R917" s="2" t="inlineStr"/>
    </row>
    <row r="918" ht="15" customHeight="1">
      <c r="A918" t="inlineStr">
        <is>
          <t>A 14115-2024</t>
        </is>
      </c>
      <c r="B918" s="1" t="n">
        <v>45392</v>
      </c>
      <c r="C918" s="1" t="n">
        <v>45473</v>
      </c>
      <c r="D918" t="inlineStr">
        <is>
          <t>VÄSTMANLANDS LÄN</t>
        </is>
      </c>
      <c r="E918" t="inlineStr">
        <is>
          <t>SALA</t>
        </is>
      </c>
      <c r="G918" t="n">
        <v>5</v>
      </c>
      <c r="H918" t="n">
        <v>0</v>
      </c>
      <c r="I918" t="n">
        <v>0</v>
      </c>
      <c r="J918" t="n">
        <v>0</v>
      </c>
      <c r="K918" t="n">
        <v>0</v>
      </c>
      <c r="L918" t="n">
        <v>0</v>
      </c>
      <c r="M918" t="n">
        <v>0</v>
      </c>
      <c r="N918" t="n">
        <v>0</v>
      </c>
      <c r="O918" t="n">
        <v>0</v>
      </c>
      <c r="P918" t="n">
        <v>0</v>
      </c>
      <c r="Q918" t="n">
        <v>0</v>
      </c>
      <c r="R918" s="2" t="inlineStr"/>
    </row>
    <row r="919" ht="15" customHeight="1">
      <c r="A919" t="inlineStr">
        <is>
          <t>A 14181-2024</t>
        </is>
      </c>
      <c r="B919" s="1" t="n">
        <v>45393</v>
      </c>
      <c r="C919" s="1" t="n">
        <v>45473</v>
      </c>
      <c r="D919" t="inlineStr">
        <is>
          <t>VÄSTMANLANDS LÄN</t>
        </is>
      </c>
      <c r="E919" t="inlineStr">
        <is>
          <t>SALA</t>
        </is>
      </c>
      <c r="G919" t="n">
        <v>6.4</v>
      </c>
      <c r="H919" t="n">
        <v>0</v>
      </c>
      <c r="I919" t="n">
        <v>0</v>
      </c>
      <c r="J919" t="n">
        <v>0</v>
      </c>
      <c r="K919" t="n">
        <v>0</v>
      </c>
      <c r="L919" t="n">
        <v>0</v>
      </c>
      <c r="M919" t="n">
        <v>0</v>
      </c>
      <c r="N919" t="n">
        <v>0</v>
      </c>
      <c r="O919" t="n">
        <v>0</v>
      </c>
      <c r="P919" t="n">
        <v>0</v>
      </c>
      <c r="Q919" t="n">
        <v>0</v>
      </c>
      <c r="R919" s="2" t="inlineStr"/>
    </row>
    <row r="920" ht="15" customHeight="1">
      <c r="A920" t="inlineStr">
        <is>
          <t>A 15972-2024</t>
        </is>
      </c>
      <c r="B920" s="1" t="n">
        <v>45405</v>
      </c>
      <c r="C920" s="1" t="n">
        <v>45473</v>
      </c>
      <c r="D920" t="inlineStr">
        <is>
          <t>VÄSTMANLANDS LÄN</t>
        </is>
      </c>
      <c r="E920" t="inlineStr">
        <is>
          <t>SALA</t>
        </is>
      </c>
      <c r="G920" t="n">
        <v>1.8</v>
      </c>
      <c r="H920" t="n">
        <v>0</v>
      </c>
      <c r="I920" t="n">
        <v>0</v>
      </c>
      <c r="J920" t="n">
        <v>0</v>
      </c>
      <c r="K920" t="n">
        <v>0</v>
      </c>
      <c r="L920" t="n">
        <v>0</v>
      </c>
      <c r="M920" t="n">
        <v>0</v>
      </c>
      <c r="N920" t="n">
        <v>0</v>
      </c>
      <c r="O920" t="n">
        <v>0</v>
      </c>
      <c r="P920" t="n">
        <v>0</v>
      </c>
      <c r="Q920" t="n">
        <v>0</v>
      </c>
      <c r="R920" s="2" t="inlineStr"/>
    </row>
    <row r="921" ht="15" customHeight="1">
      <c r="A921" t="inlineStr">
        <is>
          <t>A 15968-2024</t>
        </is>
      </c>
      <c r="B921" s="1" t="n">
        <v>45405</v>
      </c>
      <c r="C921" s="1" t="n">
        <v>45473</v>
      </c>
      <c r="D921" t="inlineStr">
        <is>
          <t>VÄSTMANLANDS LÄN</t>
        </is>
      </c>
      <c r="E921" t="inlineStr">
        <is>
          <t>SALA</t>
        </is>
      </c>
      <c r="G921" t="n">
        <v>0.7</v>
      </c>
      <c r="H921" t="n">
        <v>0</v>
      </c>
      <c r="I921" t="n">
        <v>0</v>
      </c>
      <c r="J921" t="n">
        <v>0</v>
      </c>
      <c r="K921" t="n">
        <v>0</v>
      </c>
      <c r="L921" t="n">
        <v>0</v>
      </c>
      <c r="M921" t="n">
        <v>0</v>
      </c>
      <c r="N921" t="n">
        <v>0</v>
      </c>
      <c r="O921" t="n">
        <v>0</v>
      </c>
      <c r="P921" t="n">
        <v>0</v>
      </c>
      <c r="Q921" t="n">
        <v>0</v>
      </c>
      <c r="R921" s="2" t="inlineStr"/>
    </row>
    <row r="922" ht="15" customHeight="1">
      <c r="A922" t="inlineStr">
        <is>
          <t>A 15965-2024</t>
        </is>
      </c>
      <c r="B922" s="1" t="n">
        <v>45405</v>
      </c>
      <c r="C922" s="1" t="n">
        <v>45473</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16159-2024</t>
        </is>
      </c>
      <c r="B923" s="1" t="n">
        <v>45406</v>
      </c>
      <c r="C923" s="1" t="n">
        <v>45473</v>
      </c>
      <c r="D923" t="inlineStr">
        <is>
          <t>VÄSTMANLANDS LÄN</t>
        </is>
      </c>
      <c r="E923" t="inlineStr">
        <is>
          <t>SALA</t>
        </is>
      </c>
      <c r="G923" t="n">
        <v>0.4</v>
      </c>
      <c r="H923" t="n">
        <v>0</v>
      </c>
      <c r="I923" t="n">
        <v>0</v>
      </c>
      <c r="J923" t="n">
        <v>0</v>
      </c>
      <c r="K923" t="n">
        <v>0</v>
      </c>
      <c r="L923" t="n">
        <v>0</v>
      </c>
      <c r="M923" t="n">
        <v>0</v>
      </c>
      <c r="N923" t="n">
        <v>0</v>
      </c>
      <c r="O923" t="n">
        <v>0</v>
      </c>
      <c r="P923" t="n">
        <v>0</v>
      </c>
      <c r="Q923" t="n">
        <v>0</v>
      </c>
      <c r="R923" s="2" t="inlineStr"/>
    </row>
    <row r="924" ht="15" customHeight="1">
      <c r="A924" t="inlineStr">
        <is>
          <t>A 16163-2024</t>
        </is>
      </c>
      <c r="B924" s="1" t="n">
        <v>45406</v>
      </c>
      <c r="C924" s="1" t="n">
        <v>45473</v>
      </c>
      <c r="D924" t="inlineStr">
        <is>
          <t>VÄSTMANLANDS LÄN</t>
        </is>
      </c>
      <c r="E924" t="inlineStr">
        <is>
          <t>SALA</t>
        </is>
      </c>
      <c r="G924" t="n">
        <v>3.2</v>
      </c>
      <c r="H924" t="n">
        <v>0</v>
      </c>
      <c r="I924" t="n">
        <v>0</v>
      </c>
      <c r="J924" t="n">
        <v>0</v>
      </c>
      <c r="K924" t="n">
        <v>0</v>
      </c>
      <c r="L924" t="n">
        <v>0</v>
      </c>
      <c r="M924" t="n">
        <v>0</v>
      </c>
      <c r="N924" t="n">
        <v>0</v>
      </c>
      <c r="O924" t="n">
        <v>0</v>
      </c>
      <c r="P924" t="n">
        <v>0</v>
      </c>
      <c r="Q924" t="n">
        <v>0</v>
      </c>
      <c r="R924" s="2" t="inlineStr"/>
    </row>
    <row r="925" ht="15" customHeight="1">
      <c r="A925" t="inlineStr">
        <is>
          <t>A 16148-2024</t>
        </is>
      </c>
      <c r="B925" s="1" t="n">
        <v>45406</v>
      </c>
      <c r="C925" s="1" t="n">
        <v>45473</v>
      </c>
      <c r="D925" t="inlineStr">
        <is>
          <t>VÄSTMANLANDS LÄN</t>
        </is>
      </c>
      <c r="E925" t="inlineStr">
        <is>
          <t>SALA</t>
        </is>
      </c>
      <c r="G925" t="n">
        <v>5.1</v>
      </c>
      <c r="H925" t="n">
        <v>0</v>
      </c>
      <c r="I925" t="n">
        <v>0</v>
      </c>
      <c r="J925" t="n">
        <v>0</v>
      </c>
      <c r="K925" t="n">
        <v>0</v>
      </c>
      <c r="L925" t="n">
        <v>0</v>
      </c>
      <c r="M925" t="n">
        <v>0</v>
      </c>
      <c r="N925" t="n">
        <v>0</v>
      </c>
      <c r="O925" t="n">
        <v>0</v>
      </c>
      <c r="P925" t="n">
        <v>0</v>
      </c>
      <c r="Q925" t="n">
        <v>0</v>
      </c>
      <c r="R925" s="2" t="inlineStr"/>
    </row>
    <row r="926" ht="15" customHeight="1">
      <c r="A926" t="inlineStr">
        <is>
          <t>A 16160-2024</t>
        </is>
      </c>
      <c r="B926" s="1" t="n">
        <v>45406</v>
      </c>
      <c r="C926" s="1" t="n">
        <v>45473</v>
      </c>
      <c r="D926" t="inlineStr">
        <is>
          <t>VÄSTMANLANDS LÄN</t>
        </is>
      </c>
      <c r="E926" t="inlineStr">
        <is>
          <t>SALA</t>
        </is>
      </c>
      <c r="G926" t="n">
        <v>1.1</v>
      </c>
      <c r="H926" t="n">
        <v>0</v>
      </c>
      <c r="I926" t="n">
        <v>0</v>
      </c>
      <c r="J926" t="n">
        <v>0</v>
      </c>
      <c r="K926" t="n">
        <v>0</v>
      </c>
      <c r="L926" t="n">
        <v>0</v>
      </c>
      <c r="M926" t="n">
        <v>0</v>
      </c>
      <c r="N926" t="n">
        <v>0</v>
      </c>
      <c r="O926" t="n">
        <v>0</v>
      </c>
      <c r="P926" t="n">
        <v>0</v>
      </c>
      <c r="Q926" t="n">
        <v>0</v>
      </c>
      <c r="R926" s="2" t="inlineStr"/>
    </row>
    <row r="927" ht="15" customHeight="1">
      <c r="A927" t="inlineStr">
        <is>
          <t>A 16767-2024</t>
        </is>
      </c>
      <c r="B927" s="1" t="n">
        <v>45411</v>
      </c>
      <c r="C927" s="1" t="n">
        <v>45473</v>
      </c>
      <c r="D927" t="inlineStr">
        <is>
          <t>VÄSTMANLANDS LÄN</t>
        </is>
      </c>
      <c r="E927" t="inlineStr">
        <is>
          <t>SALA</t>
        </is>
      </c>
      <c r="G927" t="n">
        <v>2.5</v>
      </c>
      <c r="H927" t="n">
        <v>0</v>
      </c>
      <c r="I927" t="n">
        <v>0</v>
      </c>
      <c r="J927" t="n">
        <v>0</v>
      </c>
      <c r="K927" t="n">
        <v>0</v>
      </c>
      <c r="L927" t="n">
        <v>0</v>
      </c>
      <c r="M927" t="n">
        <v>0</v>
      </c>
      <c r="N927" t="n">
        <v>0</v>
      </c>
      <c r="O927" t="n">
        <v>0</v>
      </c>
      <c r="P927" t="n">
        <v>0</v>
      </c>
      <c r="Q927" t="n">
        <v>0</v>
      </c>
      <c r="R927" s="2" t="inlineStr"/>
    </row>
    <row r="928" ht="15" customHeight="1">
      <c r="A928" t="inlineStr">
        <is>
          <t>A 16760-2024</t>
        </is>
      </c>
      <c r="B928" s="1" t="n">
        <v>45411</v>
      </c>
      <c r="C928" s="1" t="n">
        <v>45473</v>
      </c>
      <c r="D928" t="inlineStr">
        <is>
          <t>VÄSTMANLANDS LÄN</t>
        </is>
      </c>
      <c r="E928" t="inlineStr">
        <is>
          <t>SALA</t>
        </is>
      </c>
      <c r="G928" t="n">
        <v>2.6</v>
      </c>
      <c r="H928" t="n">
        <v>0</v>
      </c>
      <c r="I928" t="n">
        <v>0</v>
      </c>
      <c r="J928" t="n">
        <v>0</v>
      </c>
      <c r="K928" t="n">
        <v>0</v>
      </c>
      <c r="L928" t="n">
        <v>0</v>
      </c>
      <c r="M928" t="n">
        <v>0</v>
      </c>
      <c r="N928" t="n">
        <v>0</v>
      </c>
      <c r="O928" t="n">
        <v>0</v>
      </c>
      <c r="P928" t="n">
        <v>0</v>
      </c>
      <c r="Q928" t="n">
        <v>0</v>
      </c>
      <c r="R928" s="2" t="inlineStr"/>
    </row>
    <row r="929" ht="15" customHeight="1">
      <c r="A929" t="inlineStr">
        <is>
          <t>A 16769-2024</t>
        </is>
      </c>
      <c r="B929" s="1" t="n">
        <v>45411</v>
      </c>
      <c r="C929" s="1" t="n">
        <v>45473</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17455-2024</t>
        </is>
      </c>
      <c r="B930" s="1" t="n">
        <v>45415</v>
      </c>
      <c r="C930" s="1" t="n">
        <v>45473</v>
      </c>
      <c r="D930" t="inlineStr">
        <is>
          <t>VÄSTMANLANDS LÄN</t>
        </is>
      </c>
      <c r="E930" t="inlineStr">
        <is>
          <t>SALA</t>
        </is>
      </c>
      <c r="G930" t="n">
        <v>2.8</v>
      </c>
      <c r="H930" t="n">
        <v>0</v>
      </c>
      <c r="I930" t="n">
        <v>0</v>
      </c>
      <c r="J930" t="n">
        <v>0</v>
      </c>
      <c r="K930" t="n">
        <v>0</v>
      </c>
      <c r="L930" t="n">
        <v>0</v>
      </c>
      <c r="M930" t="n">
        <v>0</v>
      </c>
      <c r="N930" t="n">
        <v>0</v>
      </c>
      <c r="O930" t="n">
        <v>0</v>
      </c>
      <c r="P930" t="n">
        <v>0</v>
      </c>
      <c r="Q930" t="n">
        <v>0</v>
      </c>
      <c r="R930" s="2" t="inlineStr"/>
    </row>
    <row r="931" ht="15" customHeight="1">
      <c r="A931" t="inlineStr">
        <is>
          <t>A 17495-2024</t>
        </is>
      </c>
      <c r="B931" s="1" t="n">
        <v>45415</v>
      </c>
      <c r="C931" s="1" t="n">
        <v>45473</v>
      </c>
      <c r="D931" t="inlineStr">
        <is>
          <t>VÄSTMANLANDS LÄN</t>
        </is>
      </c>
      <c r="E931" t="inlineStr">
        <is>
          <t>SALA</t>
        </is>
      </c>
      <c r="G931" t="n">
        <v>3.1</v>
      </c>
      <c r="H931" t="n">
        <v>0</v>
      </c>
      <c r="I931" t="n">
        <v>0</v>
      </c>
      <c r="J931" t="n">
        <v>0</v>
      </c>
      <c r="K931" t="n">
        <v>0</v>
      </c>
      <c r="L931" t="n">
        <v>0</v>
      </c>
      <c r="M931" t="n">
        <v>0</v>
      </c>
      <c r="N931" t="n">
        <v>0</v>
      </c>
      <c r="O931" t="n">
        <v>0</v>
      </c>
      <c r="P931" t="n">
        <v>0</v>
      </c>
      <c r="Q931" t="n">
        <v>0</v>
      </c>
      <c r="R931" s="2" t="inlineStr"/>
    </row>
    <row r="932" ht="15" customHeight="1">
      <c r="A932" t="inlineStr">
        <is>
          <t>A 17457-2024</t>
        </is>
      </c>
      <c r="B932" s="1" t="n">
        <v>45415</v>
      </c>
      <c r="C932" s="1" t="n">
        <v>45473</v>
      </c>
      <c r="D932" t="inlineStr">
        <is>
          <t>VÄSTMANLANDS LÄN</t>
        </is>
      </c>
      <c r="E932" t="inlineStr">
        <is>
          <t>SALA</t>
        </is>
      </c>
      <c r="G932" t="n">
        <v>0.8</v>
      </c>
      <c r="H932" t="n">
        <v>0</v>
      </c>
      <c r="I932" t="n">
        <v>0</v>
      </c>
      <c r="J932" t="n">
        <v>0</v>
      </c>
      <c r="K932" t="n">
        <v>0</v>
      </c>
      <c r="L932" t="n">
        <v>0</v>
      </c>
      <c r="M932" t="n">
        <v>0</v>
      </c>
      <c r="N932" t="n">
        <v>0</v>
      </c>
      <c r="O932" t="n">
        <v>0</v>
      </c>
      <c r="P932" t="n">
        <v>0</v>
      </c>
      <c r="Q932" t="n">
        <v>0</v>
      </c>
      <c r="R932" s="2" t="inlineStr"/>
    </row>
    <row r="933" ht="15" customHeight="1">
      <c r="A933" t="inlineStr">
        <is>
          <t>A 17458-2024</t>
        </is>
      </c>
      <c r="B933" s="1" t="n">
        <v>45415</v>
      </c>
      <c r="C933" s="1" t="n">
        <v>45473</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17496-2024</t>
        </is>
      </c>
      <c r="B934" s="1" t="n">
        <v>45415</v>
      </c>
      <c r="C934" s="1" t="n">
        <v>45473</v>
      </c>
      <c r="D934" t="inlineStr">
        <is>
          <t>VÄSTMANLANDS LÄN</t>
        </is>
      </c>
      <c r="E934" t="inlineStr">
        <is>
          <t>SALA</t>
        </is>
      </c>
      <c r="G934" t="n">
        <v>1.6</v>
      </c>
      <c r="H934" t="n">
        <v>0</v>
      </c>
      <c r="I934" t="n">
        <v>0</v>
      </c>
      <c r="J934" t="n">
        <v>0</v>
      </c>
      <c r="K934" t="n">
        <v>0</v>
      </c>
      <c r="L934" t="n">
        <v>0</v>
      </c>
      <c r="M934" t="n">
        <v>0</v>
      </c>
      <c r="N934" t="n">
        <v>0</v>
      </c>
      <c r="O934" t="n">
        <v>0</v>
      </c>
      <c r="P934" t="n">
        <v>0</v>
      </c>
      <c r="Q934" t="n">
        <v>0</v>
      </c>
      <c r="R934" s="2" t="inlineStr"/>
    </row>
    <row r="935" ht="15" customHeight="1">
      <c r="A935" t="inlineStr">
        <is>
          <t>A 17918-2024</t>
        </is>
      </c>
      <c r="B935" s="1" t="n">
        <v>45419</v>
      </c>
      <c r="C935" s="1" t="n">
        <v>45473</v>
      </c>
      <c r="D935" t="inlineStr">
        <is>
          <t>VÄSTMANLANDS LÄN</t>
        </is>
      </c>
      <c r="E935" t="inlineStr">
        <is>
          <t>SALA</t>
        </is>
      </c>
      <c r="G935" t="n">
        <v>4.5</v>
      </c>
      <c r="H935" t="n">
        <v>0</v>
      </c>
      <c r="I935" t="n">
        <v>0</v>
      </c>
      <c r="J935" t="n">
        <v>0</v>
      </c>
      <c r="K935" t="n">
        <v>0</v>
      </c>
      <c r="L935" t="n">
        <v>0</v>
      </c>
      <c r="M935" t="n">
        <v>0</v>
      </c>
      <c r="N935" t="n">
        <v>0</v>
      </c>
      <c r="O935" t="n">
        <v>0</v>
      </c>
      <c r="P935" t="n">
        <v>0</v>
      </c>
      <c r="Q935" t="n">
        <v>0</v>
      </c>
      <c r="R935" s="2" t="inlineStr"/>
    </row>
    <row r="936" ht="15" customHeight="1">
      <c r="A936" t="inlineStr">
        <is>
          <t>A 18461-2024</t>
        </is>
      </c>
      <c r="B936" s="1" t="n">
        <v>45425</v>
      </c>
      <c r="C936" s="1" t="n">
        <v>45473</v>
      </c>
      <c r="D936" t="inlineStr">
        <is>
          <t>VÄSTMANLANDS LÄN</t>
        </is>
      </c>
      <c r="E936" t="inlineStr">
        <is>
          <t>SALA</t>
        </is>
      </c>
      <c r="G936" t="n">
        <v>1.7</v>
      </c>
      <c r="H936" t="n">
        <v>0</v>
      </c>
      <c r="I936" t="n">
        <v>0</v>
      </c>
      <c r="J936" t="n">
        <v>0</v>
      </c>
      <c r="K936" t="n">
        <v>0</v>
      </c>
      <c r="L936" t="n">
        <v>0</v>
      </c>
      <c r="M936" t="n">
        <v>0</v>
      </c>
      <c r="N936" t="n">
        <v>0</v>
      </c>
      <c r="O936" t="n">
        <v>0</v>
      </c>
      <c r="P936" t="n">
        <v>0</v>
      </c>
      <c r="Q936" t="n">
        <v>0</v>
      </c>
      <c r="R936" s="2" t="inlineStr"/>
    </row>
    <row r="937" ht="15" customHeight="1">
      <c r="A937" t="inlineStr">
        <is>
          <t>A 18522-2024</t>
        </is>
      </c>
      <c r="B937" s="1" t="n">
        <v>45425</v>
      </c>
      <c r="C937" s="1" t="n">
        <v>45473</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18750-2024</t>
        </is>
      </c>
      <c r="B938" s="1" t="n">
        <v>45426</v>
      </c>
      <c r="C938" s="1" t="n">
        <v>45473</v>
      </c>
      <c r="D938" t="inlineStr">
        <is>
          <t>VÄSTMANLANDS LÄN</t>
        </is>
      </c>
      <c r="E938" t="inlineStr">
        <is>
          <t>SALA</t>
        </is>
      </c>
      <c r="G938" t="n">
        <v>5.5</v>
      </c>
      <c r="H938" t="n">
        <v>0</v>
      </c>
      <c r="I938" t="n">
        <v>0</v>
      </c>
      <c r="J938" t="n">
        <v>0</v>
      </c>
      <c r="K938" t="n">
        <v>0</v>
      </c>
      <c r="L938" t="n">
        <v>0</v>
      </c>
      <c r="M938" t="n">
        <v>0</v>
      </c>
      <c r="N938" t="n">
        <v>0</v>
      </c>
      <c r="O938" t="n">
        <v>0</v>
      </c>
      <c r="P938" t="n">
        <v>0</v>
      </c>
      <c r="Q938" t="n">
        <v>0</v>
      </c>
      <c r="R938" s="2" t="inlineStr"/>
    </row>
    <row r="939" ht="15" customHeight="1">
      <c r="A939" t="inlineStr">
        <is>
          <t>A 18762-2024</t>
        </is>
      </c>
      <c r="B939" s="1" t="n">
        <v>45426</v>
      </c>
      <c r="C939" s="1" t="n">
        <v>45473</v>
      </c>
      <c r="D939" t="inlineStr">
        <is>
          <t>VÄSTMANLANDS LÄN</t>
        </is>
      </c>
      <c r="E939" t="inlineStr">
        <is>
          <t>SALA</t>
        </is>
      </c>
      <c r="G939" t="n">
        <v>6.2</v>
      </c>
      <c r="H939" t="n">
        <v>0</v>
      </c>
      <c r="I939" t="n">
        <v>0</v>
      </c>
      <c r="J939" t="n">
        <v>0</v>
      </c>
      <c r="K939" t="n">
        <v>0</v>
      </c>
      <c r="L939" t="n">
        <v>0</v>
      </c>
      <c r="M939" t="n">
        <v>0</v>
      </c>
      <c r="N939" t="n">
        <v>0</v>
      </c>
      <c r="O939" t="n">
        <v>0</v>
      </c>
      <c r="P939" t="n">
        <v>0</v>
      </c>
      <c r="Q939" t="n">
        <v>0</v>
      </c>
      <c r="R939" s="2" t="inlineStr"/>
    </row>
    <row r="940" ht="15" customHeight="1">
      <c r="A940" t="inlineStr">
        <is>
          <t>A 19224-2024</t>
        </is>
      </c>
      <c r="B940" s="1" t="n">
        <v>45428</v>
      </c>
      <c r="C940" s="1" t="n">
        <v>45473</v>
      </c>
      <c r="D940" t="inlineStr">
        <is>
          <t>VÄSTMANLANDS LÄN</t>
        </is>
      </c>
      <c r="E940" t="inlineStr">
        <is>
          <t>SALA</t>
        </is>
      </c>
      <c r="G940" t="n">
        <v>1.5</v>
      </c>
      <c r="H940" t="n">
        <v>0</v>
      </c>
      <c r="I940" t="n">
        <v>0</v>
      </c>
      <c r="J940" t="n">
        <v>0</v>
      </c>
      <c r="K940" t="n">
        <v>0</v>
      </c>
      <c r="L940" t="n">
        <v>0</v>
      </c>
      <c r="M940" t="n">
        <v>0</v>
      </c>
      <c r="N940" t="n">
        <v>0</v>
      </c>
      <c r="O940" t="n">
        <v>0</v>
      </c>
      <c r="P940" t="n">
        <v>0</v>
      </c>
      <c r="Q940" t="n">
        <v>0</v>
      </c>
      <c r="R940" s="2" t="inlineStr"/>
    </row>
    <row r="941" ht="15" customHeight="1">
      <c r="A941" t="inlineStr">
        <is>
          <t>A 19803-2024</t>
        </is>
      </c>
      <c r="B941" s="1" t="n">
        <v>45432</v>
      </c>
      <c r="C941" s="1" t="n">
        <v>45473</v>
      </c>
      <c r="D941" t="inlineStr">
        <is>
          <t>VÄSTMANLANDS LÄN</t>
        </is>
      </c>
      <c r="E941" t="inlineStr">
        <is>
          <t>SALA</t>
        </is>
      </c>
      <c r="G941" t="n">
        <v>3.1</v>
      </c>
      <c r="H941" t="n">
        <v>0</v>
      </c>
      <c r="I941" t="n">
        <v>0</v>
      </c>
      <c r="J941" t="n">
        <v>0</v>
      </c>
      <c r="K941" t="n">
        <v>0</v>
      </c>
      <c r="L941" t="n">
        <v>0</v>
      </c>
      <c r="M941" t="n">
        <v>0</v>
      </c>
      <c r="N941" t="n">
        <v>0</v>
      </c>
      <c r="O941" t="n">
        <v>0</v>
      </c>
      <c r="P941" t="n">
        <v>0</v>
      </c>
      <c r="Q941" t="n">
        <v>0</v>
      </c>
      <c r="R941" s="2" t="inlineStr"/>
    </row>
    <row r="942" ht="15" customHeight="1">
      <c r="A942" t="inlineStr">
        <is>
          <t>A 19860-2024</t>
        </is>
      </c>
      <c r="B942" s="1" t="n">
        <v>45433</v>
      </c>
      <c r="C942" s="1" t="n">
        <v>45473</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19969-2024</t>
        </is>
      </c>
      <c r="B943" s="1" t="n">
        <v>45433</v>
      </c>
      <c r="C943" s="1" t="n">
        <v>45473</v>
      </c>
      <c r="D943" t="inlineStr">
        <is>
          <t>VÄSTMANLANDS LÄN</t>
        </is>
      </c>
      <c r="E943" t="inlineStr">
        <is>
          <t>SALA</t>
        </is>
      </c>
      <c r="G943" t="n">
        <v>4.7</v>
      </c>
      <c r="H943" t="n">
        <v>0</v>
      </c>
      <c r="I943" t="n">
        <v>0</v>
      </c>
      <c r="J943" t="n">
        <v>0</v>
      </c>
      <c r="K943" t="n">
        <v>0</v>
      </c>
      <c r="L943" t="n">
        <v>0</v>
      </c>
      <c r="M943" t="n">
        <v>0</v>
      </c>
      <c r="N943" t="n">
        <v>0</v>
      </c>
      <c r="O943" t="n">
        <v>0</v>
      </c>
      <c r="P943" t="n">
        <v>0</v>
      </c>
      <c r="Q943" t="n">
        <v>0</v>
      </c>
      <c r="R943" s="2" t="inlineStr"/>
    </row>
    <row r="944" ht="15" customHeight="1">
      <c r="A944" t="inlineStr">
        <is>
          <t>A 21234-2024</t>
        </is>
      </c>
      <c r="B944" s="1" t="n">
        <v>45440</v>
      </c>
      <c r="C944" s="1" t="n">
        <v>45473</v>
      </c>
      <c r="D944" t="inlineStr">
        <is>
          <t>VÄSTMANLANDS LÄN</t>
        </is>
      </c>
      <c r="E944" t="inlineStr">
        <is>
          <t>SALA</t>
        </is>
      </c>
      <c r="G944" t="n">
        <v>4.9</v>
      </c>
      <c r="H944" t="n">
        <v>0</v>
      </c>
      <c r="I944" t="n">
        <v>0</v>
      </c>
      <c r="J944" t="n">
        <v>0</v>
      </c>
      <c r="K944" t="n">
        <v>0</v>
      </c>
      <c r="L944" t="n">
        <v>0</v>
      </c>
      <c r="M944" t="n">
        <v>0</v>
      </c>
      <c r="N944" t="n">
        <v>0</v>
      </c>
      <c r="O944" t="n">
        <v>0</v>
      </c>
      <c r="P944" t="n">
        <v>0</v>
      </c>
      <c r="Q944" t="n">
        <v>0</v>
      </c>
      <c r="R944" s="2" t="inlineStr"/>
    </row>
    <row r="945" ht="15" customHeight="1">
      <c r="A945" t="inlineStr">
        <is>
          <t>A 21225-2024</t>
        </is>
      </c>
      <c r="B945" s="1" t="n">
        <v>45440</v>
      </c>
      <c r="C945" s="1" t="n">
        <v>45473</v>
      </c>
      <c r="D945" t="inlineStr">
        <is>
          <t>VÄSTMANLANDS LÄN</t>
        </is>
      </c>
      <c r="E945" t="inlineStr">
        <is>
          <t>SALA</t>
        </is>
      </c>
      <c r="G945" t="n">
        <v>2.2</v>
      </c>
      <c r="H945" t="n">
        <v>0</v>
      </c>
      <c r="I945" t="n">
        <v>0</v>
      </c>
      <c r="J945" t="n">
        <v>0</v>
      </c>
      <c r="K945" t="n">
        <v>0</v>
      </c>
      <c r="L945" t="n">
        <v>0</v>
      </c>
      <c r="M945" t="n">
        <v>0</v>
      </c>
      <c r="N945" t="n">
        <v>0</v>
      </c>
      <c r="O945" t="n">
        <v>0</v>
      </c>
      <c r="P945" t="n">
        <v>0</v>
      </c>
      <c r="Q945" t="n">
        <v>0</v>
      </c>
      <c r="R945" s="2" t="inlineStr"/>
    </row>
    <row r="946" ht="15" customHeight="1">
      <c r="A946" t="inlineStr">
        <is>
          <t>A 21968-2024</t>
        </is>
      </c>
      <c r="B946" s="1" t="n">
        <v>45443</v>
      </c>
      <c r="C946" s="1" t="n">
        <v>45473</v>
      </c>
      <c r="D946" t="inlineStr">
        <is>
          <t>VÄSTMANLANDS LÄN</t>
        </is>
      </c>
      <c r="E946" t="inlineStr">
        <is>
          <t>SALA</t>
        </is>
      </c>
      <c r="G946" t="n">
        <v>1.9</v>
      </c>
      <c r="H946" t="n">
        <v>0</v>
      </c>
      <c r="I946" t="n">
        <v>0</v>
      </c>
      <c r="J946" t="n">
        <v>0</v>
      </c>
      <c r="K946" t="n">
        <v>0</v>
      </c>
      <c r="L946" t="n">
        <v>0</v>
      </c>
      <c r="M946" t="n">
        <v>0</v>
      </c>
      <c r="N946" t="n">
        <v>0</v>
      </c>
      <c r="O946" t="n">
        <v>0</v>
      </c>
      <c r="P946" t="n">
        <v>0</v>
      </c>
      <c r="Q946" t="n">
        <v>0</v>
      </c>
      <c r="R946" s="2" t="inlineStr"/>
    </row>
    <row r="947" ht="15" customHeight="1">
      <c r="A947" t="inlineStr">
        <is>
          <t>A 23406-2024</t>
        </is>
      </c>
      <c r="B947" s="1" t="n">
        <v>45453</v>
      </c>
      <c r="C947" s="1" t="n">
        <v>45473</v>
      </c>
      <c r="D947" t="inlineStr">
        <is>
          <t>VÄSTMANLANDS LÄN</t>
        </is>
      </c>
      <c r="E947" t="inlineStr">
        <is>
          <t>SALA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23322-2024</t>
        </is>
      </c>
      <c r="B948" s="1" t="n">
        <v>45453</v>
      </c>
      <c r="C948" s="1" t="n">
        <v>45473</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23317-2024</t>
        </is>
      </c>
      <c r="B949" s="1" t="n">
        <v>45453</v>
      </c>
      <c r="C949" s="1" t="n">
        <v>45473</v>
      </c>
      <c r="D949" t="inlineStr">
        <is>
          <t>VÄSTMANLANDS LÄN</t>
        </is>
      </c>
      <c r="E949" t="inlineStr">
        <is>
          <t>SALA</t>
        </is>
      </c>
      <c r="G949" t="n">
        <v>6.5</v>
      </c>
      <c r="H949" t="n">
        <v>0</v>
      </c>
      <c r="I949" t="n">
        <v>0</v>
      </c>
      <c r="J949" t="n">
        <v>0</v>
      </c>
      <c r="K949" t="n">
        <v>0</v>
      </c>
      <c r="L949" t="n">
        <v>0</v>
      </c>
      <c r="M949" t="n">
        <v>0</v>
      </c>
      <c r="N949" t="n">
        <v>0</v>
      </c>
      <c r="O949" t="n">
        <v>0</v>
      </c>
      <c r="P949" t="n">
        <v>0</v>
      </c>
      <c r="Q949" t="n">
        <v>0</v>
      </c>
      <c r="R949" s="2" t="inlineStr"/>
    </row>
    <row r="950" ht="15" customHeight="1">
      <c r="A950" t="inlineStr">
        <is>
          <t>A 23433-2024</t>
        </is>
      </c>
      <c r="B950" s="1" t="n">
        <v>45453</v>
      </c>
      <c r="C950" s="1" t="n">
        <v>45473</v>
      </c>
      <c r="D950" t="inlineStr">
        <is>
          <t>VÄSTMANLANDS LÄN</t>
        </is>
      </c>
      <c r="E950" t="inlineStr">
        <is>
          <t>SALA</t>
        </is>
      </c>
      <c r="G950" t="n">
        <v>2.1</v>
      </c>
      <c r="H950" t="n">
        <v>0</v>
      </c>
      <c r="I950" t="n">
        <v>0</v>
      </c>
      <c r="J950" t="n">
        <v>0</v>
      </c>
      <c r="K950" t="n">
        <v>0</v>
      </c>
      <c r="L950" t="n">
        <v>0</v>
      </c>
      <c r="M950" t="n">
        <v>0</v>
      </c>
      <c r="N950" t="n">
        <v>0</v>
      </c>
      <c r="O950" t="n">
        <v>0</v>
      </c>
      <c r="P950" t="n">
        <v>0</v>
      </c>
      <c r="Q950" t="n">
        <v>0</v>
      </c>
      <c r="R950" s="2" t="inlineStr"/>
    </row>
    <row r="951" ht="15" customHeight="1">
      <c r="A951" t="inlineStr">
        <is>
          <t>A 23431-2024</t>
        </is>
      </c>
      <c r="B951" s="1" t="n">
        <v>45453</v>
      </c>
      <c r="C951" s="1" t="n">
        <v>45473</v>
      </c>
      <c r="D951" t="inlineStr">
        <is>
          <t>VÄSTMANLANDS LÄN</t>
        </is>
      </c>
      <c r="E951" t="inlineStr">
        <is>
          <t>SALA</t>
        </is>
      </c>
      <c r="G951" t="n">
        <v>1.6</v>
      </c>
      <c r="H951" t="n">
        <v>0</v>
      </c>
      <c r="I951" t="n">
        <v>0</v>
      </c>
      <c r="J951" t="n">
        <v>0</v>
      </c>
      <c r="K951" t="n">
        <v>0</v>
      </c>
      <c r="L951" t="n">
        <v>0</v>
      </c>
      <c r="M951" t="n">
        <v>0</v>
      </c>
      <c r="N951" t="n">
        <v>0</v>
      </c>
      <c r="O951" t="n">
        <v>0</v>
      </c>
      <c r="P951" t="n">
        <v>0</v>
      </c>
      <c r="Q951" t="n">
        <v>0</v>
      </c>
      <c r="R951" s="2" t="inlineStr"/>
    </row>
    <row r="952" ht="15" customHeight="1">
      <c r="A952" t="inlineStr">
        <is>
          <t>A 23621-2024</t>
        </is>
      </c>
      <c r="B952" s="1" t="n">
        <v>45454</v>
      </c>
      <c r="C952" s="1" t="n">
        <v>45473</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24039-2024</t>
        </is>
      </c>
      <c r="B953" s="1" t="n">
        <v>45456</v>
      </c>
      <c r="C953" s="1" t="n">
        <v>45473</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24175-2024</t>
        </is>
      </c>
      <c r="B954" s="1" t="n">
        <v>45456</v>
      </c>
      <c r="C954" s="1" t="n">
        <v>45473</v>
      </c>
      <c r="D954" t="inlineStr">
        <is>
          <t>VÄSTMANLANDS LÄN</t>
        </is>
      </c>
      <c r="E954" t="inlineStr">
        <is>
          <t>SALA</t>
        </is>
      </c>
      <c r="G954" t="n">
        <v>0.6</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45473</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24375-2024</t>
        </is>
      </c>
      <c r="B956" s="1" t="n">
        <v>45457</v>
      </c>
      <c r="C956" s="1" t="n">
        <v>45473</v>
      </c>
      <c r="D956" t="inlineStr">
        <is>
          <t>VÄSTMANLANDS LÄN</t>
        </is>
      </c>
      <c r="E956" t="inlineStr">
        <is>
          <t>SALA</t>
        </is>
      </c>
      <c r="G956" t="n">
        <v>6.3</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45473</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24864-2024</t>
        </is>
      </c>
      <c r="B958" s="1" t="n">
        <v>45461</v>
      </c>
      <c r="C958" s="1" t="n">
        <v>45473</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24900-2024</t>
        </is>
      </c>
      <c r="B959" s="1" t="n">
        <v>45461</v>
      </c>
      <c r="C959" s="1" t="n">
        <v>45473</v>
      </c>
      <c r="D959" t="inlineStr">
        <is>
          <t>VÄSTMANLANDS LÄN</t>
        </is>
      </c>
      <c r="E959" t="inlineStr">
        <is>
          <t>SALA</t>
        </is>
      </c>
      <c r="G959" t="n">
        <v>5.8</v>
      </c>
      <c r="H959" t="n">
        <v>0</v>
      </c>
      <c r="I959" t="n">
        <v>0</v>
      </c>
      <c r="J959" t="n">
        <v>0</v>
      </c>
      <c r="K959" t="n">
        <v>0</v>
      </c>
      <c r="L959" t="n">
        <v>0</v>
      </c>
      <c r="M959" t="n">
        <v>0</v>
      </c>
      <c r="N959" t="n">
        <v>0</v>
      </c>
      <c r="O959" t="n">
        <v>0</v>
      </c>
      <c r="P959" t="n">
        <v>0</v>
      </c>
      <c r="Q959" t="n">
        <v>0</v>
      </c>
      <c r="R959" s="2" t="inlineStr"/>
    </row>
    <row r="960" ht="15" customHeight="1">
      <c r="A960" t="inlineStr">
        <is>
          <t>A 24866-2024</t>
        </is>
      </c>
      <c r="B960" s="1" t="n">
        <v>45461</v>
      </c>
      <c r="C960" s="1" t="n">
        <v>45473</v>
      </c>
      <c r="D960" t="inlineStr">
        <is>
          <t>VÄSTMANLANDS LÄN</t>
        </is>
      </c>
      <c r="E960" t="inlineStr">
        <is>
          <t>SALA</t>
        </is>
      </c>
      <c r="G960" t="n">
        <v>2.8</v>
      </c>
      <c r="H960" t="n">
        <v>0</v>
      </c>
      <c r="I960" t="n">
        <v>0</v>
      </c>
      <c r="J960" t="n">
        <v>0</v>
      </c>
      <c r="K960" t="n">
        <v>0</v>
      </c>
      <c r="L960" t="n">
        <v>0</v>
      </c>
      <c r="M960" t="n">
        <v>0</v>
      </c>
      <c r="N960" t="n">
        <v>0</v>
      </c>
      <c r="O960" t="n">
        <v>0</v>
      </c>
      <c r="P960" t="n">
        <v>0</v>
      </c>
      <c r="Q960" t="n">
        <v>0</v>
      </c>
      <c r="R960" s="2" t="inlineStr"/>
    </row>
    <row r="961" ht="15" customHeight="1">
      <c r="A961" t="inlineStr">
        <is>
          <t>A 25541-2024</t>
        </is>
      </c>
      <c r="B961" s="1" t="n">
        <v>45463</v>
      </c>
      <c r="C961" s="1" t="n">
        <v>45473</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25891-2024</t>
        </is>
      </c>
      <c r="B962" s="1" t="n">
        <v>45467</v>
      </c>
      <c r="C962" s="1" t="n">
        <v>45473</v>
      </c>
      <c r="D962" t="inlineStr">
        <is>
          <t>VÄSTMANLANDS LÄN</t>
        </is>
      </c>
      <c r="E962" t="inlineStr">
        <is>
          <t>SALA</t>
        </is>
      </c>
      <c r="G962" t="n">
        <v>2.3</v>
      </c>
      <c r="H962" t="n">
        <v>0</v>
      </c>
      <c r="I962" t="n">
        <v>0</v>
      </c>
      <c r="J962" t="n">
        <v>0</v>
      </c>
      <c r="K962" t="n">
        <v>0</v>
      </c>
      <c r="L962" t="n">
        <v>0</v>
      </c>
      <c r="M962" t="n">
        <v>0</v>
      </c>
      <c r="N962" t="n">
        <v>0</v>
      </c>
      <c r="O962" t="n">
        <v>0</v>
      </c>
      <c r="P962" t="n">
        <v>0</v>
      </c>
      <c r="Q962" t="n">
        <v>0</v>
      </c>
      <c r="R962" s="2" t="inlineStr"/>
    </row>
    <row r="963" ht="15" customHeight="1">
      <c r="A963" t="inlineStr">
        <is>
          <t>A 25897-2024</t>
        </is>
      </c>
      <c r="B963" s="1" t="n">
        <v>45467</v>
      </c>
      <c r="C963" s="1" t="n">
        <v>45473</v>
      </c>
      <c r="D963" t="inlineStr">
        <is>
          <t>VÄSTMANLANDS LÄN</t>
        </is>
      </c>
      <c r="E963" t="inlineStr">
        <is>
          <t>SALA</t>
        </is>
      </c>
      <c r="G963" t="n">
        <v>9.9</v>
      </c>
      <c r="H963" t="n">
        <v>0</v>
      </c>
      <c r="I963" t="n">
        <v>0</v>
      </c>
      <c r="J963" t="n">
        <v>0</v>
      </c>
      <c r="K963" t="n">
        <v>0</v>
      </c>
      <c r="L963" t="n">
        <v>0</v>
      </c>
      <c r="M963" t="n">
        <v>0</v>
      </c>
      <c r="N963" t="n">
        <v>0</v>
      </c>
      <c r="O963" t="n">
        <v>0</v>
      </c>
      <c r="P963" t="n">
        <v>0</v>
      </c>
      <c r="Q963" t="n">
        <v>0</v>
      </c>
      <c r="R963" s="2" t="inlineStr"/>
    </row>
    <row r="964" ht="15" customHeight="1">
      <c r="A964" t="inlineStr">
        <is>
          <t>A 25868-2024</t>
        </is>
      </c>
      <c r="B964" s="1" t="n">
        <v>45467</v>
      </c>
      <c r="C964" s="1" t="n">
        <v>45473</v>
      </c>
      <c r="D964" t="inlineStr">
        <is>
          <t>VÄSTMANLANDS LÄN</t>
        </is>
      </c>
      <c r="E964" t="inlineStr">
        <is>
          <t>SALA</t>
        </is>
      </c>
      <c r="G964" t="n">
        <v>0.8</v>
      </c>
      <c r="H964" t="n">
        <v>0</v>
      </c>
      <c r="I964" t="n">
        <v>0</v>
      </c>
      <c r="J964" t="n">
        <v>0</v>
      </c>
      <c r="K964" t="n">
        <v>0</v>
      </c>
      <c r="L964" t="n">
        <v>0</v>
      </c>
      <c r="M964" t="n">
        <v>0</v>
      </c>
      <c r="N964" t="n">
        <v>0</v>
      </c>
      <c r="O964" t="n">
        <v>0</v>
      </c>
      <c r="P964" t="n">
        <v>0</v>
      </c>
      <c r="Q964" t="n">
        <v>0</v>
      </c>
      <c r="R964" s="2" t="inlineStr"/>
    </row>
    <row r="965" ht="15" customHeight="1">
      <c r="A965" t="inlineStr">
        <is>
          <t>A 25860-2024</t>
        </is>
      </c>
      <c r="B965" s="1" t="n">
        <v>45467</v>
      </c>
      <c r="C965" s="1" t="n">
        <v>45473</v>
      </c>
      <c r="D965" t="inlineStr">
        <is>
          <t>VÄSTMANLANDS LÄN</t>
        </is>
      </c>
      <c r="E965" t="inlineStr">
        <is>
          <t>SALA</t>
        </is>
      </c>
      <c r="G965" t="n">
        <v>0.7</v>
      </c>
      <c r="H965" t="n">
        <v>0</v>
      </c>
      <c r="I965" t="n">
        <v>0</v>
      </c>
      <c r="J965" t="n">
        <v>0</v>
      </c>
      <c r="K965" t="n">
        <v>0</v>
      </c>
      <c r="L965" t="n">
        <v>0</v>
      </c>
      <c r="M965" t="n">
        <v>0</v>
      </c>
      <c r="N965" t="n">
        <v>0</v>
      </c>
      <c r="O965" t="n">
        <v>0</v>
      </c>
      <c r="P965" t="n">
        <v>0</v>
      </c>
      <c r="Q965" t="n">
        <v>0</v>
      </c>
      <c r="R965" s="2" t="inlineStr"/>
    </row>
    <row r="966" ht="15" customHeight="1">
      <c r="A966" t="inlineStr">
        <is>
          <t>A 26844-2024</t>
        </is>
      </c>
      <c r="B966" s="1" t="n">
        <v>45470</v>
      </c>
      <c r="C966" s="1" t="n">
        <v>45473</v>
      </c>
      <c r="D966" t="inlineStr">
        <is>
          <t>VÄSTMANLANDS LÄN</t>
        </is>
      </c>
      <c r="E966" t="inlineStr">
        <is>
          <t>SALA</t>
        </is>
      </c>
      <c r="G966" t="n">
        <v>2.6</v>
      </c>
      <c r="H966" t="n">
        <v>0</v>
      </c>
      <c r="I966" t="n">
        <v>0</v>
      </c>
      <c r="J966" t="n">
        <v>0</v>
      </c>
      <c r="K966" t="n">
        <v>0</v>
      </c>
      <c r="L966" t="n">
        <v>0</v>
      </c>
      <c r="M966" t="n">
        <v>0</v>
      </c>
      <c r="N966" t="n">
        <v>0</v>
      </c>
      <c r="O966" t="n">
        <v>0</v>
      </c>
      <c r="P966" t="n">
        <v>0</v>
      </c>
      <c r="Q966" t="n">
        <v>0</v>
      </c>
      <c r="R966" s="2" t="inlineStr"/>
    </row>
    <row r="967" ht="15" customHeight="1">
      <c r="A967" t="inlineStr">
        <is>
          <t>A 26848-2024</t>
        </is>
      </c>
      <c r="B967" s="1" t="n">
        <v>45470</v>
      </c>
      <c r="C967" s="1" t="n">
        <v>45473</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26854-2024</t>
        </is>
      </c>
      <c r="B968" s="1" t="n">
        <v>45470</v>
      </c>
      <c r="C968" s="1" t="n">
        <v>45473</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27261-2024</t>
        </is>
      </c>
      <c r="B969" s="1" t="n">
        <v>45471</v>
      </c>
      <c r="C969" s="1" t="n">
        <v>45473</v>
      </c>
      <c r="D969" t="inlineStr">
        <is>
          <t>VÄSTMANLANDS LÄN</t>
        </is>
      </c>
      <c r="E969" t="inlineStr">
        <is>
          <t>SALA</t>
        </is>
      </c>
      <c r="G969" t="n">
        <v>6.1</v>
      </c>
      <c r="H969" t="n">
        <v>0</v>
      </c>
      <c r="I969" t="n">
        <v>0</v>
      </c>
      <c r="J969" t="n">
        <v>0</v>
      </c>
      <c r="K969" t="n">
        <v>0</v>
      </c>
      <c r="L969" t="n">
        <v>0</v>
      </c>
      <c r="M969" t="n">
        <v>0</v>
      </c>
      <c r="N969" t="n">
        <v>0</v>
      </c>
      <c r="O969" t="n">
        <v>0</v>
      </c>
      <c r="P969" t="n">
        <v>0</v>
      </c>
      <c r="Q969" t="n">
        <v>0</v>
      </c>
      <c r="R969" s="2" t="inlineStr"/>
    </row>
    <row r="970">
      <c r="A970" t="inlineStr">
        <is>
          <t>A 27097-2024</t>
        </is>
      </c>
      <c r="B970" s="1" t="n">
        <v>45471</v>
      </c>
      <c r="C970" s="1" t="n">
        <v>45473</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2024-06-30T10:01:44Z</dcterms:created>
  <dcterms:modified xmlns:dcterms="http://purl.org/dc/terms/" xmlns:xsi="http://www.w3.org/2001/XMLSchema-instance" xsi:type="dcterms:W3CDTF">2024-06-30T10:01:45Z</dcterms:modified>
</cp:coreProperties>
</file>